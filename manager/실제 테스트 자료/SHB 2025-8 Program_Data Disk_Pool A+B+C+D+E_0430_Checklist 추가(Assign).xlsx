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ksymo\Desktop\비핵심프로그램화\확인용 DD\"/>
    </mc:Choice>
  </mc:AlternateContent>
  <bookViews>
    <workbookView xWindow="-110" yWindow="0" windowWidth="2260" windowHeight="0" tabRatio="912" activeTab="1"/>
  </bookViews>
  <sheets>
    <sheet name="Description" sheetId="1" r:id="rId1"/>
    <sheet name="Check List" sheetId="50" r:id="rId2"/>
    <sheet name="Sheet1" sheetId="51" r:id="rId3"/>
    <sheet name="1.차주일반" sheetId="2" r:id="rId4"/>
    <sheet name="2.매각대상채권" sheetId="32" r:id="rId5"/>
    <sheet name="3.담보물건" sheetId="46" r:id="rId6"/>
    <sheet name="3-1.담보지번" sheetId="47" r:id="rId7"/>
    <sheet name="3-2.설정순위" sheetId="48" r:id="rId8"/>
    <sheet name="4.회생차주 추가정보" sheetId="11" r:id="rId9"/>
    <sheet name="Assign" sheetId="49" r:id="rId10"/>
    <sheet name="Sheet2" sheetId="52" r:id="rId11"/>
  </sheets>
  <definedNames>
    <definedName name="______" localSheetId="4" hidden="1">#REF!</definedName>
    <definedName name="______" hidden="1">#REF!</definedName>
    <definedName name="__123Graph_F" localSheetId="4" hidden="1">#REF!</definedName>
    <definedName name="__123Graph_F" hidden="1">#REF!</definedName>
    <definedName name="_10__123Graph_A차트_5" localSheetId="4" hidden="1">#REF!</definedName>
    <definedName name="_10__123Graph_A차트_5" hidden="1">#REF!</definedName>
    <definedName name="_100T2_" localSheetId="4" hidden="1">{#N/A,#N/A,FALSE,"단축1";#N/A,#N/A,FALSE,"단축2";#N/A,#N/A,FALSE,"단축3";#N/A,#N/A,FALSE,"장축";#N/A,#N/A,FALSE,"4WD"}</definedName>
    <definedName name="_100T2_" hidden="1">{#N/A,#N/A,FALSE,"단축1";#N/A,#N/A,FALSE,"단축2";#N/A,#N/A,FALSE,"단축3";#N/A,#N/A,FALSE,"장축";#N/A,#N/A,FALSE,"4WD"}</definedName>
    <definedName name="_101T3_" localSheetId="4" hidden="1">{#N/A,#N/A,FALSE,"단축1";#N/A,#N/A,FALSE,"단축2";#N/A,#N/A,FALSE,"단축3";#N/A,#N/A,FALSE,"장축";#N/A,#N/A,FALSE,"4WD"}</definedName>
    <definedName name="_101T3_" hidden="1">{#N/A,#N/A,FALSE,"단축1";#N/A,#N/A,FALSE,"단축2";#N/A,#N/A,FALSE,"단축3";#N/A,#N/A,FALSE,"장축";#N/A,#N/A,FALSE,"4WD"}</definedName>
    <definedName name="_102T5_" localSheetId="4" hidden="1">{#N/A,#N/A,FALSE,"단축1";#N/A,#N/A,FALSE,"단축2";#N/A,#N/A,FALSE,"단축3";#N/A,#N/A,FALSE,"장축";#N/A,#N/A,FALSE,"4WD"}</definedName>
    <definedName name="_102T5_" hidden="1">{#N/A,#N/A,FALSE,"단축1";#N/A,#N/A,FALSE,"단축2";#N/A,#N/A,FALSE,"단축3";#N/A,#N/A,FALSE,"장축";#N/A,#N/A,FALSE,"4WD"}</definedName>
    <definedName name="_106W2_" localSheetId="4" hidden="1">{#N/A,#N/A,FALSE,"품의서";#N/A,#N/A,FALSE,"전제";#N/A,#N/A,FALSE,"총손";#N/A,#N/A,FALSE,"손익"}</definedName>
    <definedName name="_106W2_" hidden="1">{#N/A,#N/A,FALSE,"품의서";#N/A,#N/A,FALSE,"전제";#N/A,#N/A,FALSE,"총손";#N/A,#N/A,FALSE,"손익"}</definedName>
    <definedName name="_110__0_S" localSheetId="4" hidden="1">#REF!</definedName>
    <definedName name="_110__0_S" hidden="1">#REF!</definedName>
    <definedName name="_12__123Graph_A차트_6" localSheetId="4" hidden="1">#REF!</definedName>
    <definedName name="_12__123Graph_A차트_6" hidden="1">#REF!</definedName>
    <definedName name="_14__123Graph_A차트_7" localSheetId="4" hidden="1">#REF!</definedName>
    <definedName name="_14__123Graph_A차트_7" hidden="1">#REF!</definedName>
    <definedName name="_16__123Graph_A차트_8" localSheetId="4" hidden="1">#REF!</definedName>
    <definedName name="_16__123Graph_A차트_8" hidden="1">#REF!</definedName>
    <definedName name="_18__123Graph_B차트_1" localSheetId="4" hidden="1">#REF!</definedName>
    <definedName name="_18__123Graph_B차트_1" hidden="1">#REF!</definedName>
    <definedName name="_2__123Graph_A차트_1" localSheetId="4" hidden="1">#REF!</definedName>
    <definedName name="_2__123Graph_A차트_1" hidden="1">#REF!</definedName>
    <definedName name="_20__123Graph_B차트_2" localSheetId="4" hidden="1">#REF!</definedName>
    <definedName name="_20__123Graph_B차트_2" hidden="1">#REF!</definedName>
    <definedName name="_22__123Graph_B차트_3" localSheetId="4" hidden="1">#REF!</definedName>
    <definedName name="_22__123Graph_B차트_3" hidden="1">#REF!</definedName>
    <definedName name="_24__123Graph_B차트_4" localSheetId="4" hidden="1">#REF!</definedName>
    <definedName name="_24__123Graph_B차트_4" hidden="1">#REF!</definedName>
    <definedName name="_26__123Graph_B차트_5" localSheetId="4" hidden="1">#REF!</definedName>
    <definedName name="_26__123Graph_B차트_5" hidden="1">#REF!</definedName>
    <definedName name="_28__123Graph_B차트_6" localSheetId="4" hidden="1">#REF!</definedName>
    <definedName name="_28__123Graph_B차트_6" hidden="1">#REF!</definedName>
    <definedName name="_30__123Graph_B차트_7" localSheetId="4" hidden="1">#REF!</definedName>
    <definedName name="_30__123Graph_B차트_7" hidden="1">#REF!</definedName>
    <definedName name="_32__123Graph_B차트_8" localSheetId="4" hidden="1">#REF!</definedName>
    <definedName name="_32__123Graph_B차트_8" hidden="1">#REF!</definedName>
    <definedName name="_34__123Graph_X차트_1" localSheetId="4" hidden="1">#REF!</definedName>
    <definedName name="_34__123Graph_X차트_1" hidden="1">#REF!</definedName>
    <definedName name="_36__123Graph_X차트_2" localSheetId="4" hidden="1">#REF!</definedName>
    <definedName name="_36__123Graph_X차트_2" hidden="1">#REF!</definedName>
    <definedName name="_38__123Graph_X차트_3" localSheetId="4" hidden="1">#REF!</definedName>
    <definedName name="_38__123Graph_X차트_3" hidden="1">#REF!</definedName>
    <definedName name="_4__123Graph_A차트_2" localSheetId="4" hidden="1">#REF!</definedName>
    <definedName name="_4__123Graph_A차트_2" hidden="1">#REF!</definedName>
    <definedName name="_40__123Graph_X차트_4" localSheetId="4" hidden="1">#REF!</definedName>
    <definedName name="_40__123Graph_X차트_4" hidden="1">#REF!</definedName>
    <definedName name="_42__123Graph_X차트_5" localSheetId="4" hidden="1">#REF!</definedName>
    <definedName name="_42__123Graph_X차트_5" hidden="1">#REF!</definedName>
    <definedName name="_44__123Graph_X차트_6" localSheetId="4" hidden="1">#REF!</definedName>
    <definedName name="_44__123Graph_X차트_6" hidden="1">#REF!</definedName>
    <definedName name="_46__123Graph_X차트_7" localSheetId="4" hidden="1">#REF!</definedName>
    <definedName name="_46__123Graph_X차트_7" hidden="1">#REF!</definedName>
    <definedName name="_48__123Graph_X차트_8" localSheetId="4" hidden="1">#REF!</definedName>
    <definedName name="_48__123Graph_X차트_8" hidden="1">#REF!</definedName>
    <definedName name="_54L2_" localSheetId="4" hidden="1">{#N/A,#N/A,FALSE,"보험현황";#N/A,#N/A,FALSE,"보험현황"}</definedName>
    <definedName name="_54L2_" hidden="1">{#N/A,#N/A,FALSE,"보험현황";#N/A,#N/A,FALSE,"보험현황"}</definedName>
    <definedName name="_55A3_" localSheetId="4" hidden="1">{#N/A,#N/A,FALSE,"단축1";#N/A,#N/A,FALSE,"단축2";#N/A,#N/A,FALSE,"단축3";#N/A,#N/A,FALSE,"장축";#N/A,#N/A,FALSE,"4WD"}</definedName>
    <definedName name="_55A3_" hidden="1">{#N/A,#N/A,FALSE,"단축1";#N/A,#N/A,FALSE,"단축2";#N/A,#N/A,FALSE,"단축3";#N/A,#N/A,FALSE,"장축";#N/A,#N/A,FALSE,"4WD"}</definedName>
    <definedName name="_6__123Graph_A차트_3" localSheetId="4" hidden="1">#REF!</definedName>
    <definedName name="_6__123Graph_A차트_3" hidden="1">#REF!</definedName>
    <definedName name="_8__123Graph_A차트_4" localSheetId="4" hidden="1">#REF!</definedName>
    <definedName name="_8__123Graph_A차트_4" hidden="1">#REF!</definedName>
    <definedName name="_90K7_" localSheetId="4" hidden="1">{#N/A,#N/A,TRUE,"Y생산";#N/A,#N/A,TRUE,"Y판매";#N/A,#N/A,TRUE,"Y총물량";#N/A,#N/A,TRUE,"Y능력";#N/A,#N/A,TRUE,"YKD"}</definedName>
    <definedName name="_90K7_" hidden="1">{#N/A,#N/A,TRUE,"Y생산";#N/A,#N/A,TRUE,"Y판매";#N/A,#N/A,TRUE,"Y총물량";#N/A,#N/A,TRUE,"Y능력";#N/A,#N/A,TRUE,"YKD"}</definedName>
    <definedName name="_91k8_" localSheetId="4" hidden="1">{#N/A,#N/A,FALSE,"단축1";#N/A,#N/A,FALSE,"단축2";#N/A,#N/A,FALSE,"단축3";#N/A,#N/A,FALSE,"장축";#N/A,#N/A,FALSE,"4WD"}</definedName>
    <definedName name="_91k8_" hidden="1">{#N/A,#N/A,FALSE,"단축1";#N/A,#N/A,FALSE,"단축2";#N/A,#N/A,FALSE,"단축3";#N/A,#N/A,FALSE,"장축";#N/A,#N/A,FALSE,"4WD"}</definedName>
    <definedName name="_92k9_" localSheetId="4" hidden="1">{#N/A,#N/A,FALSE,"단축1";#N/A,#N/A,FALSE,"단축2";#N/A,#N/A,FALSE,"단축3";#N/A,#N/A,FALSE,"장축";#N/A,#N/A,FALSE,"4WD"}</definedName>
    <definedName name="_92k9_" hidden="1">{#N/A,#N/A,FALSE,"단축1";#N/A,#N/A,FALSE,"단축2";#N/A,#N/A,FALSE,"단축3";#N/A,#N/A,FALSE,"장축";#N/A,#N/A,FALSE,"4WD"}</definedName>
    <definedName name="_Dist_Bin" localSheetId="4" hidden="1">#REF!</definedName>
    <definedName name="_Dist_Bin" hidden="1">#REF!</definedName>
    <definedName name="_Dist_Values" localSheetId="4" hidden="1">#REF!</definedName>
    <definedName name="_Dist_Values" hidden="1">#REF!</definedName>
    <definedName name="_Fill" localSheetId="4" hidden="1">#REF!</definedName>
    <definedName name="_Fill" hidden="1">#REF!</definedName>
    <definedName name="_xlnm._FilterDatabase" localSheetId="3" hidden="1">'1.차주일반'!$A$10:$XDW$588</definedName>
    <definedName name="_xlnm._FilterDatabase" localSheetId="4" hidden="1">'2.매각대상채권'!$A$10:$Z$935</definedName>
    <definedName name="_xlnm._FilterDatabase" localSheetId="5" hidden="1">'3.담보물건'!$A$10:$BZ$664</definedName>
    <definedName name="_xlnm._FilterDatabase" localSheetId="6" hidden="1">'3-1.담보지번'!$A$10:$AI$1076</definedName>
    <definedName name="_xlnm._FilterDatabase" localSheetId="7" hidden="1">'3-2.설정순위'!$A$10:$V$968</definedName>
    <definedName name="_xlnm._FilterDatabase" localSheetId="8" hidden="1">'4.회생차주 추가정보'!$A$10:$AT$587</definedName>
    <definedName name="_xlnm._FilterDatabase" localSheetId="1" hidden="1">'Check List'!$A$2:$V$142</definedName>
    <definedName name="_xlnm._FilterDatabase" localSheetId="0" hidden="1">Description!$J$9:$L$203</definedName>
    <definedName name="_xlnm._FilterDatabase" hidden="1">#REF!</definedName>
    <definedName name="_Key1" localSheetId="4" hidden="1">#REF!</definedName>
    <definedName name="_Key1" hidden="1">#REF!</definedName>
    <definedName name="_Key2" localSheetId="4" hidden="1">#REF!</definedName>
    <definedName name="_Key2" hidden="1">#REF!</definedName>
    <definedName name="_KI9" localSheetId="4" hidden="1">{#N/A,#N/A,TRUE,"Y생산";#N/A,#N/A,TRUE,"Y판매";#N/A,#N/A,TRUE,"Y총물량";#N/A,#N/A,TRUE,"Y능력";#N/A,#N/A,TRUE,"YKD"}</definedName>
    <definedName name="_KI9" hidden="1">{#N/A,#N/A,TRUE,"Y생산";#N/A,#N/A,TRUE,"Y판매";#N/A,#N/A,TRUE,"Y총물량";#N/A,#N/A,TRUE,"Y능력";#N/A,#N/A,TRUE,"YKD"}</definedName>
    <definedName name="_L2" localSheetId="4" hidden="1">{#N/A,#N/A,FALSE,"보험현황";#N/A,#N/A,FALSE,"보험현황"}</definedName>
    <definedName name="_L2" hidden="1">{#N/A,#N/A,FALSE,"보험현황";#N/A,#N/A,FALSE,"보험현황"}</definedName>
    <definedName name="_MatInverse_In" localSheetId="4" hidden="1">#REF!</definedName>
    <definedName name="_MatInverse_In" hidden="1">#REF!</definedName>
    <definedName name="_MatInverse_Out" localSheetId="4" hidden="1">#REF!</definedName>
    <definedName name="_MatInverse_Out" hidden="1">#REF!</definedName>
    <definedName name="_MatMult_B" localSheetId="4" hidden="1">#REF!</definedName>
    <definedName name="_MatMult_B" hidden="1">#REF!</definedName>
    <definedName name="_Order1" hidden="1">255</definedName>
    <definedName name="_Order2" hidden="1">255</definedName>
    <definedName name="_Parse_In" localSheetId="4" hidden="1">#REF!</definedName>
    <definedName name="_Parse_In" hidden="1">#REF!</definedName>
    <definedName name="_Parse_Out" localSheetId="4" hidden="1">#REF!</definedName>
    <definedName name="_Parse_Out" hidden="1">#REF!</definedName>
    <definedName name="_Regression_Int" hidden="1">1</definedName>
    <definedName name="_Regression_Out" localSheetId="4" hidden="1">#REF!</definedName>
    <definedName name="_Regression_Out" hidden="1">#REF!</definedName>
    <definedName name="_Regression_X" localSheetId="4" hidden="1">#REF!</definedName>
    <definedName name="_Regression_X" hidden="1">#REF!</definedName>
    <definedName name="_Regression_Y" localSheetId="4" hidden="1">#REF!</definedName>
    <definedName name="_Regression_Y" hidden="1">#REF!</definedName>
    <definedName name="_RLA2" localSheetId="4" hidden="1">{#N/A,#N/A,FALSE,"96 3월물량표";#N/A,#N/A,FALSE,"96 4월물량표";#N/A,#N/A,FALSE,"96 5월물량표"}</definedName>
    <definedName name="_RLA2" hidden="1">{#N/A,#N/A,FALSE,"96 3월물량표";#N/A,#N/A,FALSE,"96 4월물량표";#N/A,#N/A,FALSE,"96 5월물량표"}</definedName>
    <definedName name="_RLA5" localSheetId="4" hidden="1">{#N/A,#N/A,TRUE,"Y생산";#N/A,#N/A,TRUE,"Y판매";#N/A,#N/A,TRUE,"Y총물량";#N/A,#N/A,TRUE,"Y능력";#N/A,#N/A,TRUE,"YKD"}</definedName>
    <definedName name="_RLA5" hidden="1">{#N/A,#N/A,TRUE,"Y생산";#N/A,#N/A,TRUE,"Y판매";#N/A,#N/A,TRUE,"Y총물량";#N/A,#N/A,TRUE,"Y능력";#N/A,#N/A,TRUE,"YKD"}</definedName>
    <definedName name="_RLA6" localSheetId="4" hidden="1">{#N/A,#N/A,TRUE,"Y생산";#N/A,#N/A,TRUE,"Y판매";#N/A,#N/A,TRUE,"Y총물량";#N/A,#N/A,TRUE,"Y능력";#N/A,#N/A,TRUE,"YKD"}</definedName>
    <definedName name="_RLA6" hidden="1">{#N/A,#N/A,TRUE,"Y생산";#N/A,#N/A,TRUE,"Y판매";#N/A,#N/A,TRUE,"Y총물량";#N/A,#N/A,TRUE,"Y능력";#N/A,#N/A,TRUE,"YKD"}</definedName>
    <definedName name="_Sort" localSheetId="4" hidden="1">#REF!</definedName>
    <definedName name="_Sort" hidden="1">#REF!</definedName>
    <definedName name="_SUM1" localSheetId="4" hidden="1">{#N/A,#N/A,FALSE,"단축1";#N/A,#N/A,FALSE,"단축2";#N/A,#N/A,FALSE,"단축3";#N/A,#N/A,FALSE,"장축";#N/A,#N/A,FALSE,"4WD"}</definedName>
    <definedName name="_SUM1" hidden="1">{#N/A,#N/A,FALSE,"단축1";#N/A,#N/A,FALSE,"단축2";#N/A,#N/A,FALSE,"단축3";#N/A,#N/A,FALSE,"장축";#N/A,#N/A,FALSE,"4WD"}</definedName>
    <definedName name="_Table1_In1" localSheetId="4" hidden="1">#REF!</definedName>
    <definedName name="_Table1_In1" hidden="1">#REF!</definedName>
    <definedName name="_Table1_Out" localSheetId="4" hidden="1">#REF!</definedName>
    <definedName name="_Table1_Out" hidden="1">#REF!</definedName>
    <definedName name="_UNDO_UPS_" hidden="1">#REF!</definedName>
    <definedName name="_UNDO_UPS_SEL_" hidden="1">#REF!</definedName>
    <definedName name="_UNDO31X31X_" hidden="1">#REF!</definedName>
    <definedName name="A1_00근거" localSheetId="4" hidden="1">{#N/A,#N/A,FALSE,"단축1";#N/A,#N/A,FALSE,"단축2";#N/A,#N/A,FALSE,"단축3";#N/A,#N/A,FALSE,"장축";#N/A,#N/A,FALSE,"4WD"}</definedName>
    <definedName name="A1_00근거" hidden="1">{#N/A,#N/A,FALSE,"단축1";#N/A,#N/A,FALSE,"단축2";#N/A,#N/A,FALSE,"단축3";#N/A,#N/A,FALSE,"장축";#N/A,#N/A,FALSE,"4WD"}</definedName>
    <definedName name="AAAA1" localSheetId="4" hidden="1">{#N/A,#N/A,FALSE,"기술료 비교"}</definedName>
    <definedName name="AAAA1" hidden="1">{#N/A,#N/A,FALSE,"기술료 비교"}</definedName>
    <definedName name="AAAAAAA" localSheetId="4" hidden="1">{#N/A,#N/A,TRUE,"Y생산";#N/A,#N/A,TRUE,"Y판매";#N/A,#N/A,TRUE,"Y총물량";#N/A,#N/A,TRUE,"Y능력";#N/A,#N/A,TRUE,"YKD"}</definedName>
    <definedName name="AAAAAAA" hidden="1">{#N/A,#N/A,TRUE,"Y생산";#N/A,#N/A,TRUE,"Y판매";#N/A,#N/A,TRUE,"Y총물량";#N/A,#N/A,TRUE,"Y능력";#N/A,#N/A,TRUE,"YKD"}</definedName>
    <definedName name="AAAAAAAAAAA" localSheetId="4" hidden="1">{#N/A,#N/A,FALSE,"단축1";#N/A,#N/A,FALSE,"단축2";#N/A,#N/A,FALSE,"단축3";#N/A,#N/A,FALSE,"장축";#N/A,#N/A,FALSE,"4WD"}</definedName>
    <definedName name="AAAAAAAAAAA" hidden="1">{#N/A,#N/A,FALSE,"단축1";#N/A,#N/A,FALSE,"단축2";#N/A,#N/A,FALSE,"단축3";#N/A,#N/A,FALSE,"장축";#N/A,#N/A,FALSE,"4WD"}</definedName>
    <definedName name="AAAAAAAAAAAAAAAAAAAAAAAAA" localSheetId="4" hidden="1">{#N/A,#N/A,TRUE,"Y생산";#N/A,#N/A,TRUE,"Y판매";#N/A,#N/A,TRUE,"Y총물량";#N/A,#N/A,TRUE,"Y능력";#N/A,#N/A,TRUE,"YKD"}</definedName>
    <definedName name="AAAAAAAAAAAAAAAAAAAAAAAAA" hidden="1">{#N/A,#N/A,TRUE,"Y생산";#N/A,#N/A,TRUE,"Y판매";#N/A,#N/A,TRUE,"Y총물량";#N/A,#N/A,TRUE,"Y능력";#N/A,#N/A,TRUE,"YKD"}</definedName>
    <definedName name="ACB" localSheetId="4" hidden="1">{#N/A,#N/A,FALSE,"단축1";#N/A,#N/A,FALSE,"단축2";#N/A,#N/A,FALSE,"단축3";#N/A,#N/A,FALSE,"장축";#N/A,#N/A,FALSE,"4WD"}</definedName>
    <definedName name="ACB" hidden="1">{#N/A,#N/A,FALSE,"단축1";#N/A,#N/A,FALSE,"단축2";#N/A,#N/A,FALSE,"단축3";#N/A,#N/A,FALSE,"장축";#N/A,#N/A,FALSE,"4WD"}</definedName>
    <definedName name="Access_Button" hidden="1">"bo_sang_토지조서_List"</definedName>
    <definedName name="AccessDatabase" hidden="1">"C:\파생DESK\평가\월말평가\2001년11월\국내요약200111.mdb"</definedName>
    <definedName name="ADSDF" localSheetId="4" hidden="1">{#N/A,#N/A,TRUE,"Y생산";#N/A,#N/A,TRUE,"Y판매";#N/A,#N/A,TRUE,"Y총물량";#N/A,#N/A,TRUE,"Y능력";#N/A,#N/A,TRUE,"YKD"}</definedName>
    <definedName name="ADSDF" hidden="1">{#N/A,#N/A,TRUE,"Y생산";#N/A,#N/A,TRUE,"Y판매";#N/A,#N/A,TRUE,"Y총물량";#N/A,#N/A,TRUE,"Y능력";#N/A,#N/A,TRUE,"YKD"}</definedName>
    <definedName name="adspojewq" localSheetId="4" hidden="1">#REF!</definedName>
    <definedName name="adspojewq" hidden="1">#REF!</definedName>
    <definedName name="adsqojisad" localSheetId="4" hidden="1">#REF!</definedName>
    <definedName name="adsqojisad" hidden="1">#REF!</definedName>
    <definedName name="ahffk" hidden="1">"AS2DocumentBrowse"</definedName>
    <definedName name="akrka123" localSheetId="4" hidden="1">{#N/A,#N/A,TRUE,"Y생산";#N/A,#N/A,TRUE,"Y판매";#N/A,#N/A,TRUE,"Y총물량";#N/A,#N/A,TRUE,"Y능력";#N/A,#N/A,TRUE,"YKD"}</definedName>
    <definedName name="akrka123" hidden="1">{#N/A,#N/A,TRUE,"Y생산";#N/A,#N/A,TRUE,"Y판매";#N/A,#N/A,TRUE,"Y총물량";#N/A,#N/A,TRUE,"Y능력";#N/A,#N/A,TRUE,"YKD"}</definedName>
    <definedName name="aoidqpowdjwqe" localSheetId="4" hidden="1">{#N/A,#N/A,FALSE,"주요여수신";#N/A,#N/A,FALSE,"수신금리";#N/A,#N/A,FALSE,"대출금리";#N/A,#N/A,FALSE,"신규대출";#N/A,#N/A,FALSE,"총액대출"}</definedName>
    <definedName name="aoidqpowdjwqe" hidden="1">{#N/A,#N/A,FALSE,"주요여수신";#N/A,#N/A,FALSE,"수신금리";#N/A,#N/A,FALSE,"대출금리";#N/A,#N/A,FALSE,"신규대출";#N/A,#N/A,FALSE,"총액대출"}</definedName>
    <definedName name="aoijdoiajd" localSheetId="4" hidden="1">{#N/A,#N/A,FALSE,"Sheet8"}</definedName>
    <definedName name="aoijdoiajd" hidden="1">{#N/A,#N/A,FALSE,"Sheet8"}</definedName>
    <definedName name="apodjadjsad" localSheetId="4" hidden="1">{#N/A,#N/A,FALSE,"주요여수신";#N/A,#N/A,FALSE,"수신금리";#N/A,#N/A,FALSE,"대출금리";#N/A,#N/A,FALSE,"신규대출";#N/A,#N/A,FALSE,"총액대출"}</definedName>
    <definedName name="apodjadjsad" hidden="1">{#N/A,#N/A,FALSE,"주요여수신";#N/A,#N/A,FALSE,"수신금리";#N/A,#N/A,FALSE,"대출금리";#N/A,#N/A,FALSE,"신규대출";#N/A,#N/A,FALSE,"총액대출"}</definedName>
    <definedName name="apodpsjdq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apodpsjdq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AQP" localSheetId="4" hidden="1">{#N/A,#N/A,FALSE,"96 3월물량표";#N/A,#N/A,FALSE,"96 4월물량표";#N/A,#N/A,FALSE,"96 5월물량표"}</definedName>
    <definedName name="AQP" hidden="1">{#N/A,#N/A,FALSE,"96 3월물량표";#N/A,#N/A,FALSE,"96 4월물량표";#N/A,#N/A,FALSE,"96 5월물량표"}</definedName>
    <definedName name="AS" localSheetId="4" hidden="1">{"'보고양식'!$A$58:$K$111"}</definedName>
    <definedName name="AS" hidden="1">{"'보고양식'!$A$58:$K$111"}</definedName>
    <definedName name="AS2DocOpenMode" hidden="1">"AS2DocumentEdit"</definedName>
    <definedName name="asd" localSheetId="4" hidden="1">#REF!</definedName>
    <definedName name="asd" hidden="1">#REF!</definedName>
    <definedName name="asdd" localSheetId="4" hidden="1">#REF!</definedName>
    <definedName name="asdd" hidden="1">#REF!</definedName>
    <definedName name="ASDF" localSheetId="4" hidden="1">#REF!</definedName>
    <definedName name="ASDF" hidden="1">#REF!</definedName>
    <definedName name="asdijqidw" localSheetId="4" hidden="1">{#N/A,#N/A,FALSE,"Sheet8"}</definedName>
    <definedName name="asdijqidw" hidden="1">{#N/A,#N/A,FALSE,"Sheet8"}</definedName>
    <definedName name="ASFD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SF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BB" localSheetId="4" hidden="1">{"'보고양식'!$A$58:$K$111"}</definedName>
    <definedName name="BB" hidden="1">{"'보고양식'!$A$58:$K$111"}</definedName>
    <definedName name="BL" localSheetId="4" hidden="1">{#N/A,#N/A,FALSE,"단축1";#N/A,#N/A,FALSE,"단축2";#N/A,#N/A,FALSE,"단축3";#N/A,#N/A,FALSE,"장축";#N/A,#N/A,FALSE,"4WD"}</definedName>
    <definedName name="BL" hidden="1">{#N/A,#N/A,FALSE,"단축1";#N/A,#N/A,FALSE,"단축2";#N/A,#N/A,FALSE,"단축3";#N/A,#N/A,FALSE,"장축";#N/A,#N/A,FALSE,"4WD"}</definedName>
    <definedName name="BLBL" localSheetId="4" hidden="1">{#N/A,#N/A,FALSE,"단축1";#N/A,#N/A,FALSE,"단축2";#N/A,#N/A,FALSE,"단축3";#N/A,#N/A,FALSE,"장축";#N/A,#N/A,FALSE,"4WD"}</definedName>
    <definedName name="BLBL" hidden="1">{#N/A,#N/A,FALSE,"단축1";#N/A,#N/A,FALSE,"단축2";#N/A,#N/A,FALSE,"단축3";#N/A,#N/A,FALSE,"장축";#N/A,#N/A,FALSE,"4WD"}</definedName>
    <definedName name="BNG" localSheetId="4" hidden="1">{#N/A,#N/A,TRUE,"Y생산";#N/A,#N/A,TRUE,"Y판매";#N/A,#N/A,TRUE,"Y총물량";#N/A,#N/A,TRUE,"Y능력";#N/A,#N/A,TRUE,"YKD"}</definedName>
    <definedName name="BNG" hidden="1">{#N/A,#N/A,TRUE,"Y생산";#N/A,#N/A,TRUE,"Y판매";#N/A,#N/A,TRUE,"Y총물량";#N/A,#N/A,TRUE,"Y능력";#N/A,#N/A,TRUE,"YKD"}</definedName>
    <definedName name="book1" localSheetId="4" hidden="1">{#N/A,#N/A,FALSE,"UNIT";#N/A,#N/A,FALSE,"UNIT";#N/A,#N/A,FALSE,"계정"}</definedName>
    <definedName name="book1" hidden="1">{#N/A,#N/A,FALSE,"UNIT";#N/A,#N/A,FALSE,"UNIT";#N/A,#N/A,FALSE,"계정"}</definedName>
    <definedName name="BS추정" localSheetId="4" hidden="1">{"'보고양식'!$A$58:$K$111"}</definedName>
    <definedName name="BS추정" hidden="1">{"'보고양식'!$A$58:$K$111"}</definedName>
    <definedName name="CAE해석" localSheetId="4" hidden="1">{#N/A,#N/A,FALSE,"단축1";#N/A,#N/A,FALSE,"단축2";#N/A,#N/A,FALSE,"단축3";#N/A,#N/A,FALSE,"장축";#N/A,#N/A,FALSE,"4WD"}</definedName>
    <definedName name="CAE해석" hidden="1">{#N/A,#N/A,FALSE,"단축1";#N/A,#N/A,FALSE,"단축2";#N/A,#N/A,FALSE,"단축3";#N/A,#N/A,FALSE,"장축";#N/A,#N/A,FALSE,"4WD"}</definedName>
    <definedName name="CAPA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i" localSheetId="4" hidden="1">{#N/A,#N/A,FALSE,"단축1";#N/A,#N/A,FALSE,"단축2";#N/A,#N/A,FALSE,"단축3";#N/A,#N/A,FALSE,"장축";#N/A,#N/A,FALSE,"4WD"}</definedName>
    <definedName name="ci" hidden="1">{#N/A,#N/A,FALSE,"단축1";#N/A,#N/A,FALSE,"단축2";#N/A,#N/A,FALSE,"단축3";#N/A,#N/A,FALSE,"장축";#N/A,#N/A,FALSE,"4WD"}</definedName>
    <definedName name="CIQWBGuid" hidden="1">"a82e2c4e-c594-4a76-b8e0-4483a62647d3"</definedName>
    <definedName name="CIQWBInfo" hidden="1">"{ ""CIQVersion"":""9.51.3510.3078"" }"</definedName>
    <definedName name="CONFI" localSheetId="4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CONFI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cover2" localSheetId="4" hidden="1">#REF!</definedName>
    <definedName name="cover2" hidden="1">#REF!</definedName>
    <definedName name="CXVZ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XVZ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adwqpe" localSheetId="4" hidden="1">#REF!</definedName>
    <definedName name="dadwqpe" hidden="1">#REF!</definedName>
    <definedName name="dddddf" localSheetId="4" hidden="1">{#N/A,#N/A,FALSE,"단축1";#N/A,#N/A,FALSE,"단축2";#N/A,#N/A,FALSE,"단축3";#N/A,#N/A,FALSE,"장축";#N/A,#N/A,FALSE,"4WD"}</definedName>
    <definedName name="dddddf" hidden="1">{#N/A,#N/A,FALSE,"단축1";#N/A,#N/A,FALSE,"단축2";#N/A,#N/A,FALSE,"단축3";#N/A,#N/A,FALSE,"장축";#N/A,#N/A,FALSE,"4WD"}</definedName>
    <definedName name="DETAIL1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ETAIL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FASD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FAS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G" localSheetId="4" hidden="1">#REF!</definedName>
    <definedName name="DG" hidden="1">#REF!</definedName>
    <definedName name="DIE" localSheetId="4" hidden="1">{#N/A,#N/A,FALSE,"단축1";#N/A,#N/A,FALSE,"단축2";#N/A,#N/A,FALSE,"단축3";#N/A,#N/A,FALSE,"장축";#N/A,#N/A,FALSE,"4WD"}</definedName>
    <definedName name="DIE" hidden="1">{#N/A,#N/A,FALSE,"단축1";#N/A,#N/A,FALSE,"단축2";#N/A,#N/A,FALSE,"단축3";#N/A,#N/A,FALSE,"장축";#N/A,#N/A,FALSE,"4WD"}</definedName>
    <definedName name="DIESEL" localSheetId="4" hidden="1">{#N/A,#N/A,FALSE,"단축1";#N/A,#N/A,FALSE,"단축2";#N/A,#N/A,FALSE,"단축3";#N/A,#N/A,FALSE,"장축";#N/A,#N/A,FALSE,"4WD"}</definedName>
    <definedName name="DIESEL" hidden="1">{#N/A,#N/A,FALSE,"단축1";#N/A,#N/A,FALSE,"단축2";#N/A,#N/A,FALSE,"단축3";#N/A,#N/A,FALSE,"장축";#N/A,#N/A,FALSE,"4WD"}</definedName>
    <definedName name="DIESELLL" localSheetId="4" hidden="1">{#N/A,#N/A,FALSE,"단축1";#N/A,#N/A,FALSE,"단축2";#N/A,#N/A,FALSE,"단축3";#N/A,#N/A,FALSE,"장축";#N/A,#N/A,FALSE,"4WD"}</definedName>
    <definedName name="DIESELLL" hidden="1">{#N/A,#N/A,FALSE,"단축1";#N/A,#N/A,FALSE,"단축2";#N/A,#N/A,FALSE,"단축3";#N/A,#N/A,FALSE,"장축";#N/A,#N/A,FALSE,"4WD"}</definedName>
    <definedName name="DK" localSheetId="4" hidden="1">{"'보고양식'!$A$58:$K$111"}</definedName>
    <definedName name="DK" hidden="1">{"'보고양식'!$A$58:$K$111"}</definedName>
    <definedName name="DLAKL" localSheetId="4" hidden="1">{#N/A,#N/A,TRUE,"Y생산";#N/A,#N/A,TRUE,"Y판매";#N/A,#N/A,TRUE,"Y총물량";#N/A,#N/A,TRUE,"Y능력";#N/A,#N/A,TRUE,"YKD"}</definedName>
    <definedName name="DLAKL" hidden="1">{#N/A,#N/A,TRUE,"Y생산";#N/A,#N/A,TRUE,"Y판매";#N/A,#N/A,TRUE,"Y총물량";#N/A,#N/A,TRUE,"Y능력";#N/A,#N/A,TRUE,"YKD"}</definedName>
    <definedName name="DLS" localSheetId="4" hidden="1">{#N/A,#N/A,TRUE,"Y생산";#N/A,#N/A,TRUE,"Y판매";#N/A,#N/A,TRUE,"Y총물량";#N/A,#N/A,TRUE,"Y능력";#N/A,#N/A,TRUE,"YKD"}</definedName>
    <definedName name="DLS" hidden="1">{#N/A,#N/A,TRUE,"Y생산";#N/A,#N/A,TRUE,"Y판매";#N/A,#N/A,TRUE,"Y총물량";#N/A,#N/A,TRUE,"Y능력";#N/A,#N/A,TRUE,"YKD"}</definedName>
    <definedName name="DRIVEABILITY" localSheetId="4" hidden="1">{#N/A,#N/A,FALSE,"단축1";#N/A,#N/A,FALSE,"단축2";#N/A,#N/A,FALSE,"단축3";#N/A,#N/A,FALSE,"장축";#N/A,#N/A,FALSE,"4WD"}</definedName>
    <definedName name="DRIVEABILITY" hidden="1">{#N/A,#N/A,FALSE,"단축1";#N/A,#N/A,FALSE,"단축2";#N/A,#N/A,FALSE,"단축3";#N/A,#N/A,FALSE,"장축";#N/A,#N/A,FALSE,"4WD"}</definedName>
    <definedName name="DSFA" localSheetId="4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SF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SFHDFL" localSheetId="4" hidden="1">#REF!</definedName>
    <definedName name="DSFHDFL" hidden="1">#REF!</definedName>
    <definedName name="DSL" localSheetId="4" hidden="1">{#N/A,#N/A,FALSE,"단축1";#N/A,#N/A,FALSE,"단축2";#N/A,#N/A,FALSE,"단축3";#N/A,#N/A,FALSE,"장축";#N/A,#N/A,FALSE,"4WD"}</definedName>
    <definedName name="DSL" hidden="1">{#N/A,#N/A,FALSE,"단축1";#N/A,#N/A,FALSE,"단축2";#N/A,#N/A,FALSE,"단축3";#N/A,#N/A,FALSE,"장축";#N/A,#N/A,FALSE,"4WD"}</definedName>
    <definedName name="E" localSheetId="4" hidden="1">{#N/A,#N/A,TRUE,"Y생산";#N/A,#N/A,TRUE,"Y판매";#N/A,#N/A,TRUE,"Y총물량";#N/A,#N/A,TRUE,"Y능력";#N/A,#N/A,TRUE,"YKD"}</definedName>
    <definedName name="E" hidden="1">{#N/A,#N/A,TRUE,"Y생산";#N/A,#N/A,TRUE,"Y판매";#N/A,#N/A,TRUE,"Y총물량";#N/A,#N/A,TRUE,"Y능력";#N/A,#N/A,TRUE,"YKD"}</definedName>
    <definedName name="ed" localSheetId="4" hidden="1">{"'보고양식'!$A$58:$K$111"}</definedName>
    <definedName name="ed" hidden="1">{"'보고양식'!$A$58:$K$111"}</definedName>
    <definedName name="EK" localSheetId="4" hidden="1">{#N/A,#N/A,FALSE,"단축1";#N/A,#N/A,FALSE,"단축2";#N/A,#N/A,FALSE,"단축3";#N/A,#N/A,FALSE,"장축";#N/A,#N/A,FALSE,"4WD"}</definedName>
    <definedName name="EK" hidden="1">{#N/A,#N/A,FALSE,"단축1";#N/A,#N/A,FALSE,"단축2";#N/A,#N/A,FALSE,"단축3";#N/A,#N/A,FALSE,"장축";#N/A,#N/A,FALSE,"4WD"}</definedName>
    <definedName name="ert" localSheetId="4" hidden="1">{#N/A,#N/A,TRUE,"Y생산";#N/A,#N/A,TRUE,"Y판매";#N/A,#N/A,TRUE,"Y총물량";#N/A,#N/A,TRUE,"Y능력";#N/A,#N/A,TRUE,"YKD"}</definedName>
    <definedName name="ert" hidden="1">{#N/A,#N/A,TRUE,"Y생산";#N/A,#N/A,TRUE,"Y판매";#N/A,#N/A,TRUE,"Y총물량";#N/A,#N/A,TRUE,"Y능력";#N/A,#N/A,TRUE,"YKD"}</definedName>
    <definedName name="ewrw" localSheetId="4" hidden="1">#REF!</definedName>
    <definedName name="ewrw" hidden="1">#REF!</definedName>
    <definedName name="F" localSheetId="4" hidden="1">{#N/A,#N/A,FALSE,"96 3월물량표";#N/A,#N/A,FALSE,"96 4월물량표";#N/A,#N/A,FALSE,"96 5월물량표"}</definedName>
    <definedName name="F" hidden="1">{#N/A,#N/A,FALSE,"96 3월물량표";#N/A,#N/A,FALSE,"96 4월물량표";#N/A,#N/A,FALSE,"96 5월물량표"}</definedName>
    <definedName name="FFFFFFFFFFF" localSheetId="4" hidden="1">{#N/A,#N/A,FALSE,"정공"}</definedName>
    <definedName name="FFFFFFFFFFF" hidden="1">{#N/A,#N/A,FALSE,"정공"}</definedName>
    <definedName name="fffgfg" localSheetId="4" hidden="1">{#N/A,#N/A,FALSE,"단축1";#N/A,#N/A,FALSE,"단축2";#N/A,#N/A,FALSE,"단축3";#N/A,#N/A,FALSE,"장축";#N/A,#N/A,FALSE,"4WD"}</definedName>
    <definedName name="fffgfg" hidden="1">{#N/A,#N/A,FALSE,"단축1";#N/A,#N/A,FALSE,"단축2";#N/A,#N/A,FALSE,"단축3";#N/A,#N/A,FALSE,"장축";#N/A,#N/A,FALSE,"4WD"}</definedName>
    <definedName name="FJD" localSheetId="4" hidden="1">{#N/A,#N/A,FALSE,"단축1";#N/A,#N/A,FALSE,"단축2";#N/A,#N/A,FALSE,"단축3";#N/A,#N/A,FALSE,"장축";#N/A,#N/A,FALSE,"4WD"}</definedName>
    <definedName name="FJD" hidden="1">{#N/A,#N/A,FALSE,"단축1";#N/A,#N/A,FALSE,"단축2";#N/A,#N/A,FALSE,"단축3";#N/A,#N/A,FALSE,"장축";#N/A,#N/A,FALSE,"4WD"}</definedName>
    <definedName name="fkla" localSheetId="4" hidden="1">{#N/A,#N/A,TRUE,"Y생산";#N/A,#N/A,TRUE,"Y판매";#N/A,#N/A,TRUE,"Y총물량";#N/A,#N/A,TRUE,"Y능력";#N/A,#N/A,TRUE,"YKD"}</definedName>
    <definedName name="fkla" hidden="1">{#N/A,#N/A,TRUE,"Y생산";#N/A,#N/A,TRUE,"Y판매";#N/A,#N/A,TRUE,"Y총물량";#N/A,#N/A,TRUE,"Y능력";#N/A,#N/A,TRUE,"YKD"}</definedName>
    <definedName name="FLEXIBLE.T.L" localSheetId="4" hidden="1">{#N/A,#N/A,FALSE,"단축1";#N/A,#N/A,FALSE,"단축2";#N/A,#N/A,FALSE,"단축3";#N/A,#N/A,FALSE,"장축";#N/A,#N/A,FALSE,"4WD"}</definedName>
    <definedName name="FLEXIBLE.T.L" hidden="1">{#N/A,#N/A,FALSE,"단축1";#N/A,#N/A,FALSE,"단축2";#N/A,#N/A,FALSE,"단축3";#N/A,#N/A,FALSE,"장축";#N/A,#N/A,FALSE,"4WD"}</definedName>
    <definedName name="FO투입시UPH조정" localSheetId="4" hidden="1">{#N/A,#N/A,FALSE,"단축1";#N/A,#N/A,FALSE,"단축2";#N/A,#N/A,FALSE,"단축3";#N/A,#N/A,FALSE,"장축";#N/A,#N/A,FALSE,"4WD"}</definedName>
    <definedName name="FO투입시UPH조정" hidden="1">{#N/A,#N/A,FALSE,"단축1";#N/A,#N/A,FALSE,"단축2";#N/A,#N/A,FALSE,"단축3";#N/A,#N/A,FALSE,"장축";#N/A,#N/A,FALSE,"4WD"}</definedName>
    <definedName name="G" localSheetId="4" hidden="1">{#N/A,#N/A,FALSE,"96 3월물량표";#N/A,#N/A,FALSE,"96 4월물량표";#N/A,#N/A,FALSE,"96 5월물량표"}</definedName>
    <definedName name="G" hidden="1">{#N/A,#N/A,FALSE,"96 3월물량표";#N/A,#N/A,FALSE,"96 4월물량표";#N/A,#N/A,FALSE,"96 5월물량표"}</definedName>
    <definedName name="GDF" localSheetId="4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GD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GFF" localSheetId="4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GF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gfld" localSheetId="4" hidden="1">{#N/A,#N/A,TRUE,"Y생산";#N/A,#N/A,TRUE,"Y판매";#N/A,#N/A,TRUE,"Y총물량";#N/A,#N/A,TRUE,"Y능력";#N/A,#N/A,TRUE,"YKD"}</definedName>
    <definedName name="gfld" hidden="1">{#N/A,#N/A,TRUE,"Y생산";#N/A,#N/A,TRUE,"Y판매";#N/A,#N/A,TRUE,"Y총물량";#N/A,#N/A,TRUE,"Y능력";#N/A,#N/A,TRUE,"YKD"}</definedName>
    <definedName name="GFRGH" localSheetId="4" hidden="1">{#N/A,#N/A,TRUE,"Y생산";#N/A,#N/A,TRUE,"Y판매";#N/A,#N/A,TRUE,"Y총물량";#N/A,#N/A,TRUE,"Y능력";#N/A,#N/A,TRUE,"YKD"}</definedName>
    <definedName name="GFRGH" hidden="1">{#N/A,#N/A,TRUE,"Y생산";#N/A,#N/A,TRUE,"Y판매";#N/A,#N/A,TRUE,"Y총물량";#N/A,#N/A,TRUE,"Y능력";#N/A,#N/A,TRUE,"YKD"}</definedName>
    <definedName name="GGG" localSheetId="4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GGG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GHUTGHF" localSheetId="4" hidden="1">{#N/A,#N/A,FALSE,"96 3월물량표";#N/A,#N/A,FALSE,"96 4월물량표";#N/A,#N/A,FALSE,"96 5월물량표"}</definedName>
    <definedName name="GHUTGHF" hidden="1">{#N/A,#N/A,FALSE,"96 3월물량표";#N/A,#N/A,FALSE,"96 4월물량표";#N/A,#N/A,FALSE,"96 5월물량표"}</definedName>
    <definedName name="gkd" localSheetId="4" hidden="1">{#N/A,#N/A,FALSE,"COL-HIS"}</definedName>
    <definedName name="gkd" hidden="1">{#N/A,#N/A,FALSE,"COL-HIS"}</definedName>
    <definedName name="H" localSheetId="4" hidden="1">{#N/A,#N/A,TRUE,"Y생산";#N/A,#N/A,TRUE,"Y판매";#N/A,#N/A,TRUE,"Y총물량";#N/A,#N/A,TRUE,"Y능력";#N/A,#N/A,TRUE,"YKD"}</definedName>
    <definedName name="H" hidden="1">{#N/A,#N/A,TRUE,"Y생산";#N/A,#N/A,TRUE,"Y판매";#N/A,#N/A,TRUE,"Y총물량";#N/A,#N/A,TRUE,"Y능력";#N/A,#N/A,TRUE,"YKD"}</definedName>
    <definedName name="H3직행율1" localSheetId="4" hidden="1">{#N/A,#N/A,TRUE,"Y생산";#N/A,#N/A,TRUE,"Y판매";#N/A,#N/A,TRUE,"Y총물량";#N/A,#N/A,TRUE,"Y능력";#N/A,#N/A,TRUE,"YKD"}</definedName>
    <definedName name="H3직행율1" hidden="1">{#N/A,#N/A,TRUE,"Y생산";#N/A,#N/A,TRUE,"Y판매";#N/A,#N/A,TRUE,"Y총물량";#N/A,#N/A,TRUE,"Y능력";#N/A,#N/A,TRUE,"YKD"}</definedName>
    <definedName name="HFG" localSheetId="4" hidden="1">{#N/A,#N/A,TRUE,"Y생산";#N/A,#N/A,TRUE,"Y판매";#N/A,#N/A,TRUE,"Y총물량";#N/A,#N/A,TRUE,"Y능력";#N/A,#N/A,TRUE,"YKD"}</definedName>
    <definedName name="HFG" hidden="1">{#N/A,#N/A,TRUE,"Y생산";#N/A,#N/A,TRUE,"Y판매";#N/A,#N/A,TRUE,"Y총물량";#N/A,#N/A,TRUE,"Y능력";#N/A,#N/A,TRUE,"YKD"}</definedName>
    <definedName name="HHH" localSheetId="4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HHH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HJKLL" localSheetId="4" hidden="1">{#N/A,#N/A,TRUE,"Y생산";#N/A,#N/A,TRUE,"Y판매";#N/A,#N/A,TRUE,"Y총물량";#N/A,#N/A,TRUE,"Y능력";#N/A,#N/A,TRUE,"YKD"}</definedName>
    <definedName name="HJKLL" hidden="1">{#N/A,#N/A,TRUE,"Y생산";#N/A,#N/A,TRUE,"Y판매";#N/A,#N/A,TRUE,"Y총물량";#N/A,#N/A,TRUE,"Y능력";#N/A,#N/A,TRUE,"YKD"}</definedName>
    <definedName name="hpv" localSheetId="4" hidden="1">{#N/A,#N/A,FALSE,"단축1";#N/A,#N/A,FALSE,"단축2";#N/A,#N/A,FALSE,"단축3";#N/A,#N/A,FALSE,"장축";#N/A,#N/A,FALSE,"4WD"}</definedName>
    <definedName name="hpv" hidden="1">{#N/A,#N/A,FALSE,"단축1";#N/A,#N/A,FALSE,"단축2";#N/A,#N/A,FALSE,"단축3";#N/A,#N/A,FALSE,"장축";#N/A,#N/A,FALSE,"4WD"}</definedName>
    <definedName name="HTML_CodePage" hidden="1">949</definedName>
    <definedName name="HTML_Control" localSheetId="4" hidden="1">{"'보고양식'!$A$58:$K$111"}</definedName>
    <definedName name="HTML_Control" hidden="1">{"'보고양식'!$A$58:$K$111"}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Documents\98년\영업현황\2월 수주현황(2월 마감분).htm"</definedName>
    <definedName name="HTML_Title" hidden="1">""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YP" localSheetId="4" hidden="1">#REF!</definedName>
    <definedName name="HYP" hidden="1">#REF!</definedName>
    <definedName name="iaosdjwkqe" localSheetId="4" hidden="1">#REF!</definedName>
    <definedName name="iaosdjwkqe" hidden="1">#REF!</definedName>
    <definedName name="ic" localSheetId="4" hidden="1">{#N/A,#N/A,FALSE,"단축1";#N/A,#N/A,FALSE,"단축2";#N/A,#N/A,FALSE,"단축3";#N/A,#N/A,FALSE,"장축";#N/A,#N/A,FALSE,"4WD"}</definedName>
    <definedName name="ic" hidden="1">{#N/A,#N/A,FALSE,"단축1";#N/A,#N/A,FALSE,"단축2";#N/A,#N/A,FALSE,"단축3";#N/A,#N/A,FALSE,"장축";#N/A,#N/A,FALSE,"4WD"}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"2012-05-02 오후 10:46:3"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QB_BOOKMARK_COUNT" hidden="1">1</definedName>
    <definedName name="isadjpqjd" localSheetId="4" hidden="1">{#N/A,#N/A,FALSE,"Aging Summary";#N/A,#N/A,FALSE,"Ratio Analysis";#N/A,#N/A,FALSE,"Test 120 Day Accts";#N/A,#N/A,FALSE,"Tickmarks"}</definedName>
    <definedName name="isadjpqjd" hidden="1">{#N/A,#N/A,FALSE,"Aging Summary";#N/A,#N/A,FALSE,"Ratio Analysis";#N/A,#N/A,FALSE,"Test 120 Day Accts";#N/A,#N/A,FALSE,"Tickmarks"}</definedName>
    <definedName name="JJJ" localSheetId="4" hidden="1">{#N/A,#N/A,FALSE,"전제";#N/A,#N/A,FALSE,"표지";#N/A,#N/A,FALSE,"6D16";#N/A,#N/A,FALSE,"6D22";#N/A,#N/A,FALSE,"6D22-T";#N/A,#N/A,FALSE,"Q-DEG";#N/A,#N/A,FALSE,"총손";#N/A,#N/A,FALSE,"대당";#N/A,#N/A,FALSE,"가공비"}</definedName>
    <definedName name="JJJ" hidden="1">{#N/A,#N/A,FALSE,"전제";#N/A,#N/A,FALSE,"표지";#N/A,#N/A,FALSE,"6D16";#N/A,#N/A,FALSE,"6D22";#N/A,#N/A,FALSE,"6D22-T";#N/A,#N/A,FALSE,"Q-DEG";#N/A,#N/A,FALSE,"총손";#N/A,#N/A,FALSE,"대당";#N/A,#N/A,FALSE,"가공비"}</definedName>
    <definedName name="JK" localSheetId="4" hidden="1">{#N/A,#N/A,TRUE,"Y생산";#N/A,#N/A,TRUE,"Y판매";#N/A,#N/A,TRUE,"Y총물량";#N/A,#N/A,TRUE,"Y능력";#N/A,#N/A,TRUE,"YKD"}</definedName>
    <definedName name="JK" hidden="1">{#N/A,#N/A,TRUE,"Y생산";#N/A,#N/A,TRUE,"Y판매";#N/A,#N/A,TRUE,"Y총물량";#N/A,#N/A,TRUE,"Y능력";#N/A,#N/A,TRUE,"YKD"}</definedName>
    <definedName name="k1공장" localSheetId="4" hidden="1">{#N/A,#N/A,TRUE,"Y생산";#N/A,#N/A,TRUE,"Y판매";#N/A,#N/A,TRUE,"Y총물량";#N/A,#N/A,TRUE,"Y능력";#N/A,#N/A,TRUE,"YKD"}</definedName>
    <definedName name="k1공장" hidden="1">{#N/A,#N/A,TRUE,"Y생산";#N/A,#N/A,TRUE,"Y판매";#N/A,#N/A,TRUE,"Y총물량";#N/A,#N/A,TRUE,"Y능력";#N/A,#N/A,TRUE,"YKD"}</definedName>
    <definedName name="K8M" localSheetId="4" hidden="1">{#N/A,#N/A,FALSE,"전제";#N/A,#N/A,FALSE,"표지";#N/A,#N/A,FALSE,"6D16";#N/A,#N/A,FALSE,"6D22";#N/A,#N/A,FALSE,"6D22-T";#N/A,#N/A,FALSE,"Q-DEG";#N/A,#N/A,FALSE,"총손";#N/A,#N/A,FALSE,"대당";#N/A,#N/A,FALSE,"가공비"}</definedName>
    <definedName name="K8M" hidden="1">{#N/A,#N/A,FALSE,"전제";#N/A,#N/A,FALSE,"표지";#N/A,#N/A,FALSE,"6D16";#N/A,#N/A,FALSE,"6D22";#N/A,#N/A,FALSE,"6D22-T";#N/A,#N/A,FALSE,"Q-DEG";#N/A,#N/A,FALSE,"총손";#N/A,#N/A,FALSE,"대당";#N/A,#N/A,FALSE,"가공비"}</definedName>
    <definedName name="key" localSheetId="4" hidden="1">#REF!</definedName>
    <definedName name="key" hidden="1">#REF!</definedName>
    <definedName name="KHN" localSheetId="4" hidden="1">{"'보고양식'!$A$58:$K$111"}</definedName>
    <definedName name="KHN" hidden="1">{"'보고양식'!$A$58:$K$111"}</definedName>
    <definedName name="KIM" localSheetId="4" hidden="1">{#N/A,#N/A,FALSE,"단축1";#N/A,#N/A,FALSE,"단축2";#N/A,#N/A,FALSE,"단축3";#N/A,#N/A,FALSE,"장축";#N/A,#N/A,FALSE,"4WD"}</definedName>
    <definedName name="KIM" hidden="1">{#N/A,#N/A,FALSE,"단축1";#N/A,#N/A,FALSE,"단축2";#N/A,#N/A,FALSE,"단축3";#N/A,#N/A,FALSE,"장축";#N/A,#N/A,FALSE,"4WD"}</definedName>
    <definedName name="KK" localSheetId="4" hidden="1">{#N/A,#N/A,TRUE,"Y생산";#N/A,#N/A,TRUE,"Y판매";#N/A,#N/A,TRUE,"Y총물량";#N/A,#N/A,TRUE,"Y능력";#N/A,#N/A,TRUE,"YKD"}</definedName>
    <definedName name="KK" hidden="1">{#N/A,#N/A,TRUE,"Y생산";#N/A,#N/A,TRUE,"Y판매";#N/A,#N/A,TRUE,"Y총물량";#N/A,#N/A,TRUE,"Y능력";#N/A,#N/A,TRUE,"YKD"}</definedName>
    <definedName name="kkk" localSheetId="4" hidden="1">{#N/A,#N/A,FALSE,"단축1";#N/A,#N/A,FALSE,"단축2";#N/A,#N/A,FALSE,"단축3";#N/A,#N/A,FALSE,"장축";#N/A,#N/A,FALSE,"4WD"}</definedName>
    <definedName name="kkk" hidden="1">{#N/A,#N/A,FALSE,"단축1";#N/A,#N/A,FALSE,"단축2";#N/A,#N/A,FALSE,"단축3";#N/A,#N/A,FALSE,"장축";#N/A,#N/A,FALSE,"4WD"}</definedName>
    <definedName name="kkkk" localSheetId="4" hidden="1">#REF!</definedName>
    <definedName name="kkkk" hidden="1">#REF!</definedName>
    <definedName name="KK노무비" localSheetId="4" hidden="1">{#N/A,#N/A,TRUE,"Y생산";#N/A,#N/A,TRUE,"Y판매";#N/A,#N/A,TRUE,"Y총물량";#N/A,#N/A,TRUE,"Y능력";#N/A,#N/A,TRUE,"YKD"}</definedName>
    <definedName name="KK노무비" hidden="1">{#N/A,#N/A,TRUE,"Y생산";#N/A,#N/A,TRUE,"Y판매";#N/A,#N/A,TRUE,"Y총물량";#N/A,#N/A,TRUE,"Y능력";#N/A,#N/A,TRUE,"YKD"}</definedName>
    <definedName name="KMD" localSheetId="4" hidden="1">{#N/A,#N/A,FALSE,"96 3월물량표";#N/A,#N/A,FALSE,"96 4월물량표";#N/A,#N/A,FALSE,"96 5월물량표"}</definedName>
    <definedName name="KMD" hidden="1">{#N/A,#N/A,FALSE,"96 3월물량표";#N/A,#N/A,FALSE,"96 4월물량표";#N/A,#N/A,FALSE,"96 5월물량표"}</definedName>
    <definedName name="KSJJ" localSheetId="4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SJJ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U" localSheetId="4" hidden="1">{#N/A,#N/A,TRUE,"Y생산";#N/A,#N/A,TRUE,"Y판매";#N/A,#N/A,TRUE,"Y총물량";#N/A,#N/A,TRUE,"Y능력";#N/A,#N/A,TRUE,"YKD"}</definedName>
    <definedName name="KU" hidden="1">{#N/A,#N/A,TRUE,"Y생산";#N/A,#N/A,TRUE,"Y판매";#N/A,#N/A,TRUE,"Y총물량";#N/A,#N/A,TRUE,"Y능력";#N/A,#N/A,TRUE,"YKD"}</definedName>
    <definedName name="LINE검토2" localSheetId="4" hidden="1">{#N/A,#N/A,TRUE,"Y생산";#N/A,#N/A,TRUE,"Y판매";#N/A,#N/A,TRUE,"Y총물량";#N/A,#N/A,TRUE,"Y능력";#N/A,#N/A,TRUE,"YKD"}</definedName>
    <definedName name="LINE검토2" hidden="1">{#N/A,#N/A,TRUE,"Y생산";#N/A,#N/A,TRUE,"Y판매";#N/A,#N/A,TRUE,"Y총물량";#N/A,#N/A,TRUE,"Y능력";#N/A,#N/A,TRUE,"YKD"}</definedName>
    <definedName name="LKHGFDF" localSheetId="4" hidden="1">{#N/A,#N/A,TRUE,"Y생산";#N/A,#N/A,TRUE,"Y판매";#N/A,#N/A,TRUE,"Y총물량";#N/A,#N/A,TRUE,"Y능력";#N/A,#N/A,TRUE,"YKD"}</definedName>
    <definedName name="LKHGFDF" hidden="1">{#N/A,#N/A,TRUE,"Y생산";#N/A,#N/A,TRUE,"Y판매";#N/A,#N/A,TRUE,"Y총물량";#N/A,#N/A,TRUE,"Y능력";#N/A,#N/A,TRUE,"YKD"}</definedName>
    <definedName name="LLLLD" localSheetId="4" hidden="1">{#N/A,#N/A,TRUE,"Y생산";#N/A,#N/A,TRUE,"Y판매";#N/A,#N/A,TRUE,"Y총물량";#N/A,#N/A,TRUE,"Y능력";#N/A,#N/A,TRUE,"YKD"}</definedName>
    <definedName name="LLLLD" hidden="1">{#N/A,#N/A,TRUE,"Y생산";#N/A,#N/A,TRUE,"Y판매";#N/A,#N/A,TRUE,"Y총물량";#N/A,#N/A,TRUE,"Y능력";#N/A,#N/A,TRUE,"YKD"}</definedName>
    <definedName name="LLLLL" localSheetId="4" hidden="1">{#N/A,#N/A,FALSE,"단축1";#N/A,#N/A,FALSE,"단축2";#N/A,#N/A,FALSE,"단축3";#N/A,#N/A,FALSE,"장축";#N/A,#N/A,FALSE,"4WD"}</definedName>
    <definedName name="LLLLL" hidden="1">{#N/A,#N/A,FALSE,"단축1";#N/A,#N/A,FALSE,"단축2";#N/A,#N/A,FALSE,"단축3";#N/A,#N/A,FALSE,"장축";#N/A,#N/A,FALSE,"4WD"}</definedName>
    <definedName name="MH향상" localSheetId="4" hidden="1">{#N/A,#N/A,TRUE,"Y생산";#N/A,#N/A,TRUE,"Y판매";#N/A,#N/A,TRUE,"Y총물량";#N/A,#N/A,TRUE,"Y능력";#N/A,#N/A,TRUE,"YKD"}</definedName>
    <definedName name="MH향상" hidden="1">{#N/A,#N/A,TRUE,"Y생산";#N/A,#N/A,TRUE,"Y판매";#N/A,#N/A,TRUE,"Y총물량";#N/A,#N/A,TRUE,"Y능력";#N/A,#N/A,TRUE,"YKD"}</definedName>
    <definedName name="N" localSheetId="4" hidden="1">{#N/A,#N/A,FALSE,"96 3월물량표";#N/A,#N/A,FALSE,"96 4월물량표";#N/A,#N/A,FALSE,"96 5월물량표"}</definedName>
    <definedName name="N" hidden="1">{#N/A,#N/A,FALSE,"96 3월물량표";#N/A,#N/A,FALSE,"96 4월물량표";#N/A,#N/A,FALSE,"96 5월물량표"}</definedName>
    <definedName name="naodsjpqwojeq" localSheetId="4" hidden="1">#REF!</definedName>
    <definedName name="naodsjpqwojeq" hidden="1">#REF!</definedName>
    <definedName name="NGH" localSheetId="4" hidden="1">{#N/A,#N/A,TRUE,"Y생산";#N/A,#N/A,TRUE,"Y판매";#N/A,#N/A,TRUE,"Y총물량";#N/A,#N/A,TRUE,"Y능력";#N/A,#N/A,TRUE,"YKD"}</definedName>
    <definedName name="NGH" hidden="1">{#N/A,#N/A,TRUE,"Y생산";#N/A,#N/A,TRUE,"Y판매";#N/A,#N/A,TRUE,"Y총물량";#N/A,#N/A,TRUE,"Y능력";#N/A,#N/A,TRUE,"YKD"}</definedName>
    <definedName name="NH" localSheetId="4" hidden="1">#REF!</definedName>
    <definedName name="NH" hidden="1">#REF!</definedName>
    <definedName name="nhgv" localSheetId="4" hidden="1">{#N/A,#N/A,FALSE,"주요여수신";#N/A,#N/A,FALSE,"수신금리";#N/A,#N/A,FALSE,"대출금리";#N/A,#N/A,FALSE,"신규대출";#N/A,#N/A,FALSE,"총액대출"}</definedName>
    <definedName name="nhgv" hidden="1">{#N/A,#N/A,FALSE,"주요여수신";#N/A,#N/A,FALSE,"수신금리";#N/A,#N/A,FALSE,"대출금리";#N/A,#N/A,FALSE,"신규대출";#N/A,#N/A,FALSE,"총액대출"}</definedName>
    <definedName name="NNL" localSheetId="4" hidden="1">{#N/A,#N/A,FALSE,"단축1";#N/A,#N/A,FALSE,"단축2";#N/A,#N/A,FALSE,"단축3";#N/A,#N/A,FALSE,"장축";#N/A,#N/A,FALSE,"4WD"}</definedName>
    <definedName name="NNL" hidden="1">{#N/A,#N/A,FALSE,"단축1";#N/A,#N/A,FALSE,"단축2";#N/A,#N/A,FALSE,"단축3";#N/A,#N/A,FALSE,"장축";#N/A,#N/A,FALSE,"4WD"}</definedName>
    <definedName name="NNN" localSheetId="4" hidden="1">{#N/A,#N/A,FALSE,"96 3월물량표";#N/A,#N/A,FALSE,"96 4월물량표";#N/A,#N/A,FALSE,"96 5월물량표"}</definedName>
    <definedName name="NNN" hidden="1">{#N/A,#N/A,FALSE,"96 3월물량표";#N/A,#N/A,FALSE,"96 4월물량표";#N/A,#N/A,FALSE,"96 5월물량표"}</definedName>
    <definedName name="NW" localSheetId="4" hidden="1">{#N/A,#N/A,FALSE,"단축1";#N/A,#N/A,FALSE,"단축2";#N/A,#N/A,FALSE,"단축3";#N/A,#N/A,FALSE,"장축";#N/A,#N/A,FALSE,"4WD"}</definedName>
    <definedName name="NW" hidden="1">{#N/A,#N/A,FALSE,"단축1";#N/A,#N/A,FALSE,"단축2";#N/A,#N/A,FALSE,"단축3";#N/A,#N/A,FALSE,"장축";#N/A,#N/A,FALSE,"4WD"}</definedName>
    <definedName name="oaudpoqjwpdqwe" localSheetId="4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oaudpoqjwpdqwe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oiajsdpoaksd" localSheetId="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oiajsdpoaksd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P2예산" localSheetId="4" hidden="1">{#N/A,#N/A,FALSE,"단축1";#N/A,#N/A,FALSE,"단축2";#N/A,#N/A,FALSE,"단축3";#N/A,#N/A,FALSE,"장축";#N/A,#N/A,FALSE,"4WD"}</definedName>
    <definedName name="P2예산" hidden="1">{#N/A,#N/A,FALSE,"단축1";#N/A,#N/A,FALSE,"단축2";#N/A,#N/A,FALSE,"단축3";#N/A,#N/A,FALSE,"장축";#N/A,#N/A,FALSE,"4WD"}</definedName>
    <definedName name="P3가공향상" localSheetId="4" hidden="1">{#N/A,#N/A,TRUE,"Y생산";#N/A,#N/A,TRUE,"Y판매";#N/A,#N/A,TRUE,"Y총물량";#N/A,#N/A,TRUE,"Y능력";#N/A,#N/A,TRUE,"YKD"}</definedName>
    <definedName name="P3가공향상" hidden="1">{#N/A,#N/A,TRUE,"Y생산";#N/A,#N/A,TRUE,"Y판매";#N/A,#N/A,TRUE,"Y총물량";#N/A,#N/A,TRUE,"Y능력";#N/A,#N/A,TRUE,"YKD"}</definedName>
    <definedName name="padojadljsa" hidden="1">"7edd904b-12d8-46a4-a0f4-4282e6b75fdb"</definedName>
    <definedName name="PADWN" localSheetId="4" hidden="1">#REF!</definedName>
    <definedName name="PADWN" hidden="1">#REF!</definedName>
    <definedName name="pajdsajd" localSheetId="4" hidden="1">#REF!</definedName>
    <definedName name="pajdsajd" hidden="1">#REF!</definedName>
    <definedName name="pajspodkdq" localSheetId="4" hidden="1">{#N/A,#N/A,FALSE,"주요여수신";#N/A,#N/A,FALSE,"수신금리";#N/A,#N/A,FALSE,"대출금리";#N/A,#N/A,FALSE,"신규대출";#N/A,#N/A,FALSE,"총액대출"}</definedName>
    <definedName name="pajspodkdq" hidden="1">{#N/A,#N/A,FALSE,"주요여수신";#N/A,#N/A,FALSE,"수신금리";#N/A,#N/A,FALSE,"대출금리";#N/A,#N/A,FALSE,"신규대출";#N/A,#N/A,FALSE,"총액대출"}</definedName>
    <definedName name="poajsdpaojdpoasd" localSheetId="4" hidden="1">{#N/A,#N/A,FALSE,"주요여수신";#N/A,#N/A,FALSE,"수신금리";#N/A,#N/A,FALSE,"대출금리";#N/A,#N/A,FALSE,"신규대출";#N/A,#N/A,FALSE,"총액대출"}</definedName>
    <definedName name="poajsdpaojdpoasd" hidden="1">{#N/A,#N/A,FALSE,"주요여수신";#N/A,#N/A,FALSE,"수신금리";#N/A,#N/A,FALSE,"대출금리";#N/A,#N/A,FALSE,"신규대출";#N/A,#N/A,FALSE,"총액대출"}</definedName>
    <definedName name="pojqwpoeqjwd" localSheetId="4" hidden="1">{#N/A,#N/A,FALSE,"주요여수신";#N/A,#N/A,FALSE,"수신금리";#N/A,#N/A,FALSE,"대출금리";#N/A,#N/A,FALSE,"신규대출";#N/A,#N/A,FALSE,"총액대출"}</definedName>
    <definedName name="pojqwpoeqjwd" hidden="1">{#N/A,#N/A,FALSE,"주요여수신";#N/A,#N/A,FALSE,"수신금리";#N/A,#N/A,FALSE,"대출금리";#N/A,#N/A,FALSE,"신규대출";#N/A,#N/A,FALSE,"총액대출"}</definedName>
    <definedName name="PP" localSheetId="4" hidden="1">{#N/A,#N/A,TRUE,"Y생산";#N/A,#N/A,TRUE,"Y판매";#N/A,#N/A,TRUE,"Y총물량";#N/A,#N/A,TRUE,"Y능력";#N/A,#N/A,TRUE,"YKD"}</definedName>
    <definedName name="PP" hidden="1">{#N/A,#N/A,TRUE,"Y생산";#N/A,#N/A,TRUE,"Y판매";#N/A,#N/A,TRUE,"Y총물량";#N/A,#N/A,TRUE,"Y능력";#N/A,#N/A,TRUE,"YKD"}</definedName>
    <definedName name="PPK" localSheetId="4" hidden="1">{#N/A,#N/A,FALSE,"96 3월물량표";#N/A,#N/A,FALSE,"96 4월물량표";#N/A,#N/A,FALSE,"96 5월물량표"}</definedName>
    <definedName name="PPK" hidden="1">{#N/A,#N/A,FALSE,"96 3월물량표";#N/A,#N/A,FALSE,"96 4월물량표";#N/A,#N/A,FALSE,"96 5월물량표"}</definedName>
    <definedName name="ppo" localSheetId="4" hidden="1">{#N/A,#N/A,FALSE,"단축1";#N/A,#N/A,FALSE,"단축2";#N/A,#N/A,FALSE,"단축3";#N/A,#N/A,FALSE,"장축";#N/A,#N/A,FALSE,"4WD"}</definedName>
    <definedName name="ppo" hidden="1">{#N/A,#N/A,FALSE,"단축1";#N/A,#N/A,FALSE,"단축2";#N/A,#N/A,FALSE,"단축3";#N/A,#N/A,FALSE,"장축";#N/A,#N/A,FALSE,"4WD"}</definedName>
    <definedName name="ppsdjadas" localSheetId="4" hidden="1">{#N/A,#N/A,FALSE,"Aging Summary";#N/A,#N/A,FALSE,"Ratio Analysis";#N/A,#N/A,FALSE,"Test 120 Day Accts";#N/A,#N/A,FALSE,"Tickmarks"}</definedName>
    <definedName name="ppsdjadas" hidden="1">{#N/A,#N/A,FALSE,"Aging Summary";#N/A,#N/A,FALSE,"Ratio Analysis";#N/A,#N/A,FALSE,"Test 120 Day Accts";#N/A,#N/A,FALSE,"Tickmarks"}</definedName>
    <definedName name="pqdjpjsadksald" localSheetId="4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pqdjpjsadksald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pqdqpwjdpoq" localSheetId="4" hidden="1">{#N/A,#N/A,FALSE,"주요여수신";#N/A,#N/A,FALSE,"수신금리";#N/A,#N/A,FALSE,"대출금리";#N/A,#N/A,FALSE,"신규대출";#N/A,#N/A,FALSE,"총액대출"}</definedName>
    <definedName name="pqdqpwjdpoq" hidden="1">{#N/A,#N/A,FALSE,"주요여수신";#N/A,#N/A,FALSE,"수신금리";#N/A,#N/A,FALSE,"대출금리";#N/A,#N/A,FALSE,"신규대출";#N/A,#N/A,FALSE,"총액대출"}</definedName>
    <definedName name="pqkwdkqd" localSheetId="4" hidden="1">#REF!</definedName>
    <definedName name="pqkwdkqd" hidden="1">#REF!</definedName>
    <definedName name="PROTO2" localSheetId="4" hidden="1">{#N/A,#N/A,FALSE,"단축1";#N/A,#N/A,FALSE,"단축2";#N/A,#N/A,FALSE,"단축3";#N/A,#N/A,FALSE,"장축";#N/A,#N/A,FALSE,"4WD"}</definedName>
    <definedName name="PROTO2" hidden="1">{#N/A,#N/A,FALSE,"단축1";#N/A,#N/A,FALSE,"단축2";#N/A,#N/A,FALSE,"단축3";#N/A,#N/A,FALSE,"장축";#N/A,#N/A,FALSE,"4WD"}</definedName>
    <definedName name="PROTO3" localSheetId="4" hidden="1">{#N/A,#N/A,FALSE,"단축1";#N/A,#N/A,FALSE,"단축2";#N/A,#N/A,FALSE,"단축3";#N/A,#N/A,FALSE,"장축";#N/A,#N/A,FALSE,"4WD"}</definedName>
    <definedName name="PROTO3" hidden="1">{#N/A,#N/A,FALSE,"단축1";#N/A,#N/A,FALSE,"단축2";#N/A,#N/A,FALSE,"단축3";#N/A,#N/A,FALSE,"장축";#N/A,#N/A,FALSE,"4WD"}</definedName>
    <definedName name="pskdaksd" localSheetId="4" hidden="1">#REF!</definedName>
    <definedName name="pskdaksd" hidden="1">#REF!</definedName>
    <definedName name="PT다추가" localSheetId="4" hidden="1">{#N/A,#N/A,TRUE,"Y생산";#N/A,#N/A,TRUE,"Y판매";#N/A,#N/A,TRUE,"Y총물량";#N/A,#N/A,TRUE,"Y능력";#N/A,#N/A,TRUE,"YKD"}</definedName>
    <definedName name="PT다추가" hidden="1">{#N/A,#N/A,TRUE,"Y생산";#N/A,#N/A,TRUE,"Y판매";#N/A,#N/A,TRUE,"Y총물량";#N/A,#N/A,TRUE,"Y능력";#N/A,#N/A,TRUE,"YKD"}</definedName>
    <definedName name="QEQ" localSheetId="4" hidden="1">{#N/A,#N/A,FALSE,"기술료 비교"}</definedName>
    <definedName name="QEQ" hidden="1">{#N/A,#N/A,FALSE,"기술료 비교"}</definedName>
    <definedName name="qiwjdjsakdas" localSheetId="4" hidden="1">{#N/A,#N/A,FALSE,"Sheet1";#N/A,#N/A,FALSE,"기평9607"}</definedName>
    <definedName name="qiwjdjsakdas" hidden="1">{#N/A,#N/A,FALSE,"Sheet1";#N/A,#N/A,FALSE,"기평9607"}</definedName>
    <definedName name="qlty" localSheetId="4" hidden="1">{#N/A,#N/A,TRUE,"Y생산";#N/A,#N/A,TRUE,"Y판매";#N/A,#N/A,TRUE,"Y총물량";#N/A,#N/A,TRUE,"Y능력";#N/A,#N/A,TRUE,"YKD"}</definedName>
    <definedName name="qlty" hidden="1">{#N/A,#N/A,TRUE,"Y생산";#N/A,#N/A,TRUE,"Y판매";#N/A,#N/A,TRUE,"Y총물량";#N/A,#N/A,TRUE,"Y능력";#N/A,#N/A,TRUE,"YKD"}</definedName>
    <definedName name="qpowkdanp" localSheetId="4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qpowkdanp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QQQAAASSS" localSheetId="4" hidden="1">{#N/A,#N/A,TRUE,"Y생산";#N/A,#N/A,TRUE,"Y판매";#N/A,#N/A,TRUE,"Y총물량";#N/A,#N/A,TRUE,"Y능력";#N/A,#N/A,TRUE,"YKD"}</definedName>
    <definedName name="QQQAAASSS" hidden="1">{#N/A,#N/A,TRUE,"Y생산";#N/A,#N/A,TRUE,"Y판매";#N/A,#N/A,TRUE,"Y총물량";#N/A,#N/A,TRUE,"Y능력";#N/A,#N/A,TRUE,"YKD"}</definedName>
    <definedName name="QQQQ" localSheetId="4" hidden="1">{#N/A,#N/A,FALSE,"96 3월물량표";#N/A,#N/A,FALSE,"96 4월물량표";#N/A,#N/A,FALSE,"96 5월물량표"}</definedName>
    <definedName name="QQQQ" hidden="1">{#N/A,#N/A,FALSE,"96 3월물량표";#N/A,#N/A,FALSE,"96 4월물량표";#N/A,#N/A,FALSE,"96 5월물량표"}</definedName>
    <definedName name="QQQQQQQ" localSheetId="4" hidden="1">{#N/A,#N/A,TRUE,"Y생산";#N/A,#N/A,TRUE,"Y판매";#N/A,#N/A,TRUE,"Y총물량";#N/A,#N/A,TRUE,"Y능력";#N/A,#N/A,TRUE,"YKD"}</definedName>
    <definedName name="QQQQQQQ" hidden="1">{#N/A,#N/A,TRUE,"Y생산";#N/A,#N/A,TRUE,"Y판매";#N/A,#N/A,TRUE,"Y총물량";#N/A,#N/A,TRUE,"Y능력";#N/A,#N/A,TRUE,"YKD"}</definedName>
    <definedName name="qqqqqqqqq" localSheetId="4" hidden="1">{#N/A,#N/A,TRUE,"Y생산";#N/A,#N/A,TRUE,"Y판매";#N/A,#N/A,TRUE,"Y총물량";#N/A,#N/A,TRUE,"Y능력";#N/A,#N/A,TRUE,"YKD"}</definedName>
    <definedName name="qqqqqqqqq" hidden="1">{#N/A,#N/A,TRUE,"Y생산";#N/A,#N/A,TRUE,"Y판매";#N/A,#N/A,TRUE,"Y총물량";#N/A,#N/A,TRUE,"Y능력";#N/A,#N/A,TRUE,"YKD"}</definedName>
    <definedName name="QWE" localSheetId="4" hidden="1">{#N/A,#N/A,FALSE,"단축1";#N/A,#N/A,FALSE,"단축2";#N/A,#N/A,FALSE,"단축3";#N/A,#N/A,FALSE,"장축";#N/A,#N/A,FALSE,"4WD"}</definedName>
    <definedName name="QWE" hidden="1">{#N/A,#N/A,FALSE,"단축1";#N/A,#N/A,FALSE,"단축2";#N/A,#N/A,FALSE,"단축3";#N/A,#N/A,FALSE,"장축";#N/A,#N/A,FALSE,"4WD"}</definedName>
    <definedName name="qweqweojds" localSheetId="4" hidden="1">#REF!</definedName>
    <definedName name="qweqweojds" hidden="1">#REF!</definedName>
    <definedName name="QWQW" localSheetId="4" hidden="1">{#N/A,#N/A,FALSE,"단축1";#N/A,#N/A,FALSE,"단축2";#N/A,#N/A,FALSE,"단축3";#N/A,#N/A,FALSE,"장축";#N/A,#N/A,FALSE,"4WD"}</definedName>
    <definedName name="QWQW" hidden="1">{#N/A,#N/A,FALSE,"단축1";#N/A,#N/A,FALSE,"단축2";#N/A,#N/A,FALSE,"단축3";#N/A,#N/A,FALSE,"장축";#N/A,#N/A,FALSE,"4WD"}</definedName>
    <definedName name="RLA" localSheetId="4" hidden="1">{#N/A,#N/A,TRUE,"Y생산";#N/A,#N/A,TRUE,"Y판매";#N/A,#N/A,TRUE,"Y총물량";#N/A,#N/A,TRUE,"Y능력";#N/A,#N/A,TRUE,"YKD"}</definedName>
    <definedName name="RLA" hidden="1">{#N/A,#N/A,TRUE,"Y생산";#N/A,#N/A,TRUE,"Y판매";#N/A,#N/A,TRUE,"Y총물량";#N/A,#N/A,TRUE,"Y능력";#N/A,#N/A,TRUE,"YKD"}</definedName>
    <definedName name="ROTJSRHKWJD1" localSheetId="4" hidden="1">{#N/A,#N/A,FALSE,"단축1";#N/A,#N/A,FALSE,"단축2";#N/A,#N/A,FALSE,"단축3";#N/A,#N/A,FALSE,"장축";#N/A,#N/A,FALSE,"4WD"}</definedName>
    <definedName name="ROTJSRHKWJD1" hidden="1">{#N/A,#N/A,FALSE,"단축1";#N/A,#N/A,FALSE,"단축2";#N/A,#N/A,FALSE,"단축3";#N/A,#N/A,FALSE,"장축";#N/A,#N/A,FALSE,"4WD"}</definedName>
    <definedName name="rPghlr" localSheetId="4" hidden="1">{#N/A,#N/A,FALSE,"기술료 비교"}</definedName>
    <definedName name="rPghlr" hidden="1">{#N/A,#N/A,FALSE,"기술료 비교"}</definedName>
    <definedName name="RRR" localSheetId="4" hidden="1">{#N/A,#N/A,FALSE,"표지";#N/A,#N/A,FALSE,"전제";#N/A,#N/A,FALSE,"손익-자 (2)";#N/A,#N/A,FALSE,"손익-자";#N/A,#N/A,FALSE,"손익-마 (2)";#N/A,#N/A,FALSE,"손익-마";#N/A,#N/A,FALSE,"총손최종"}</definedName>
    <definedName name="RRR" hidden="1">{#N/A,#N/A,FALSE,"표지";#N/A,#N/A,FALSE,"전제";#N/A,#N/A,FALSE,"손익-자 (2)";#N/A,#N/A,FALSE,"손익-자";#N/A,#N/A,FALSE,"손익-마 (2)";#N/A,#N/A,FALSE,"손익-마";#N/A,#N/A,FALSE,"총손최종"}</definedName>
    <definedName name="SD" localSheetId="4" hidden="1">{#N/A,#N/A,FALSE,"표지";#N/A,#N/A,FALSE,"전제";#N/A,#N/A,FALSE,"손익-자 (2)";#N/A,#N/A,FALSE,"손익-자";#N/A,#N/A,FALSE,"손익-마 (2)";#N/A,#N/A,FALSE,"손익-마";#N/A,#N/A,FALSE,"총손최종"}</definedName>
    <definedName name="SD" hidden="1">{#N/A,#N/A,FALSE,"표지";#N/A,#N/A,FALSE,"전제";#N/A,#N/A,FALSE,"손익-자 (2)";#N/A,#N/A,FALSE,"손익-자";#N/A,#N/A,FALSE,"손익-마 (2)";#N/A,#N/A,FALSE,"손익-마";#N/A,#N/A,FALSE,"총손최종"}</definedName>
    <definedName name="sds" localSheetId="4" hidden="1">{"'보고양식'!$A$58:$K$111"}</definedName>
    <definedName name="sds" hidden="1">{"'보고양식'!$A$58:$K$111"}</definedName>
    <definedName name="SGFA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GF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HE" localSheetId="4" hidden="1">{#N/A,#N/A,FALSE,"전제";#N/A,#N/A,FALSE,"표지";#N/A,#N/A,FALSE,"6D16";#N/A,#N/A,FALSE,"6D22";#N/A,#N/A,FALSE,"6D22-T";#N/A,#N/A,FALSE,"Q-DEG";#N/A,#N/A,FALSE,"총손";#N/A,#N/A,FALSE,"대당";#N/A,#N/A,FALSE,"가공비"}</definedName>
    <definedName name="SHE" hidden="1">{#N/A,#N/A,FALSE,"전제";#N/A,#N/A,FALSE,"표지";#N/A,#N/A,FALSE,"6D16";#N/A,#N/A,FALSE,"6D22";#N/A,#N/A,FALSE,"6D22-T";#N/A,#N/A,FALSE,"Q-DEG";#N/A,#N/A,FALSE,"총손";#N/A,#N/A,FALSE,"대당";#N/A,#N/A,FALSE,"가공비"}</definedName>
    <definedName name="SK" localSheetId="4" hidden="1">{#N/A,#N/A,FALSE,"표지";#N/A,#N/A,FALSE,"전제";#N/A,#N/A,FALSE,"대당";#N/A,#N/A,FALSE,"가공비";#N/A,#N/A,FALSE,"재료비";#N/A,#N/A,FALSE,"손익"}</definedName>
    <definedName name="SK" hidden="1">{#N/A,#N/A,FALSE,"표지";#N/A,#N/A,FALSE,"전제";#N/A,#N/A,FALSE,"대당";#N/A,#N/A,FALSE,"가공비";#N/A,#N/A,FALSE,"재료비";#N/A,#N/A,FALSE,"손익"}</definedName>
    <definedName name="SKEKSK" localSheetId="4" hidden="1">{#N/A,#N/A,FALSE,"품의서";#N/A,#N/A,FALSE,"전제";#N/A,#N/A,FALSE,"총손";#N/A,#N/A,FALSE,"손익"}</definedName>
    <definedName name="SKEKSK" hidden="1">{#N/A,#N/A,FALSE,"품의서";#N/A,#N/A,FALSE,"전제";#N/A,#N/A,FALSE,"총손";#N/A,#N/A,FALSE,"손익"}</definedName>
    <definedName name="sksk" localSheetId="4" hidden="1">{#N/A,#N/A,FALSE,"주요여수신";#N/A,#N/A,FALSE,"수신금리";#N/A,#N/A,FALSE,"대출금리";#N/A,#N/A,FALSE,"신규대출";#N/A,#N/A,FALSE,"총액대출"}</definedName>
    <definedName name="sksk" hidden="1">{#N/A,#N/A,FALSE,"주요여수신";#N/A,#N/A,FALSE,"수신금리";#N/A,#N/A,FALSE,"대출금리";#N/A,#N/A,FALSE,"신규대출";#N/A,#N/A,FALSE,"총액대출"}</definedName>
    <definedName name="SM부자재" localSheetId="4" hidden="1">{#N/A,#N/A,FALSE,"신규dep";#N/A,#N/A,FALSE,"신규dep-금형상각후";#N/A,#N/A,FALSE,"신규dep-연구비상각후";#N/A,#N/A,FALSE,"신규dep-기계,공구상각후"}</definedName>
    <definedName name="SM부자재" hidden="1">{#N/A,#N/A,FALSE,"신규dep";#N/A,#N/A,FALSE,"신규dep-금형상각후";#N/A,#N/A,FALSE,"신규dep-연구비상각후";#N/A,#N/A,FALSE,"신규dep-기계,공구상각후"}</definedName>
    <definedName name="SOS" localSheetId="4" hidden="1">#REF!</definedName>
    <definedName name="SOS" hidden="1">#REF!</definedName>
    <definedName name="SS" localSheetId="4" hidden="1">{#N/A,#N/A,FALSE,"계약직(여)"}</definedName>
    <definedName name="SS" hidden="1">{#N/A,#N/A,FALSE,"계약직(여)"}</definedName>
    <definedName name="SSSSSS" localSheetId="4" hidden="1">#REF!</definedName>
    <definedName name="SSSSSS" hidden="1">#REF!</definedName>
    <definedName name="tc" localSheetId="4" hidden="1">{#N/A,#N/A,FALSE,"단축1";#N/A,#N/A,FALSE,"단축2";#N/A,#N/A,FALSE,"단축3";#N/A,#N/A,FALSE,"장축";#N/A,#N/A,FALSE,"4WD"}</definedName>
    <definedName name="tc" hidden="1">{#N/A,#N/A,FALSE,"단축1";#N/A,#N/A,FALSE,"단축2";#N/A,#N/A,FALSE,"단축3";#N/A,#N/A,FALSE,"장축";#N/A,#N/A,FALSE,"4WD"}</definedName>
    <definedName name="tci" localSheetId="4" hidden="1">{#N/A,#N/A,FALSE,"단축1";#N/A,#N/A,FALSE,"단축2";#N/A,#N/A,FALSE,"단축3";#N/A,#N/A,FALSE,"장축";#N/A,#N/A,FALSE,"4WD"}</definedName>
    <definedName name="tci" hidden="1">{#N/A,#N/A,FALSE,"단축1";#N/A,#N/A,FALSE,"단축2";#N/A,#N/A,FALSE,"단축3";#N/A,#N/A,FALSE,"장축";#N/A,#N/A,FALSE,"4WD"}</definedName>
    <definedName name="TEWR" localSheetId="4" hidden="1">{#N/A,#N/A,TRUE,"Y생산";#N/A,#N/A,TRUE,"Y판매";#N/A,#N/A,TRUE,"Y총물량";#N/A,#N/A,TRUE,"Y능력";#N/A,#N/A,TRUE,"YKD"}</definedName>
    <definedName name="TEWR" hidden="1">{#N/A,#N/A,TRUE,"Y생산";#N/A,#N/A,TRUE,"Y판매";#N/A,#N/A,TRUE,"Y총물량";#N/A,#N/A,TRUE,"Y능력";#N/A,#N/A,TRUE,"YKD"}</definedName>
    <definedName name="TextRefCopyRangeCount" hidden="1">2</definedName>
    <definedName name="THEME2" localSheetId="4" hidden="1">{#N/A,#N/A,FALSE,"96 3월물량표";#N/A,#N/A,FALSE,"96 4월물량표";#N/A,#N/A,FALSE,"96 5월물량표"}</definedName>
    <definedName name="THEME2" hidden="1">{#N/A,#N/A,FALSE,"96 3월물량표";#N/A,#N/A,FALSE,"96 4월물량표";#N/A,#N/A,FALSE,"96 5월물량표"}</definedName>
    <definedName name="TITLE5" localSheetId="4" hidden="1">{#N/A,#N/A,FALSE,"기술료 비교"}</definedName>
    <definedName name="TITLE5" hidden="1">{#N/A,#N/A,FALSE,"기술료 비교"}</definedName>
    <definedName name="TJAUDLWS" localSheetId="4" hidden="1">{#N/A,#N/A,TRUE,"Y생산";#N/A,#N/A,TRUE,"Y판매";#N/A,#N/A,TRUE,"Y총물량";#N/A,#N/A,TRUE,"Y능력";#N/A,#N/A,TRUE,"YKD"}</definedName>
    <definedName name="TJAUDLWS" hidden="1">{#N/A,#N/A,TRUE,"Y생산";#N/A,#N/A,TRUE,"Y판매";#N/A,#N/A,TRUE,"Y총물량";#N/A,#N/A,TRUE,"Y능력";#N/A,#N/A,TRUE,"YKD"}</definedName>
    <definedName name="TOFHDNS" localSheetId="4" hidden="1">#REF!</definedName>
    <definedName name="TOFHDNS" hidden="1">#REF!</definedName>
    <definedName name="tp" localSheetId="4" hidden="1">{#N/A,#N/A,FALSE,"주요여수신";#N/A,#N/A,FALSE,"수신금리";#N/A,#N/A,FALSE,"대출금리";#N/A,#N/A,FALSE,"신규대출";#N/A,#N/A,FALSE,"총액대출"}</definedName>
    <definedName name="tp" hidden="1">{#N/A,#N/A,FALSE,"주요여수신";#N/A,#N/A,FALSE,"수신금리";#N/A,#N/A,FALSE,"대출금리";#N/A,#N/A,FALSE,"신규대출";#N/A,#N/A,FALSE,"총액대출"}</definedName>
    <definedName name="trim" localSheetId="4" hidden="1">#REF!</definedName>
    <definedName name="trim" hidden="1">#REF!</definedName>
    <definedName name="trim1" localSheetId="4" hidden="1">#REF!</definedName>
    <definedName name="trim1" hidden="1">#REF!</definedName>
    <definedName name="TT" localSheetId="4" hidden="1">{#N/A,#N/A,FALSE,"UNIT";#N/A,#N/A,FALSE,"UNIT";#N/A,#N/A,FALSE,"계정"}</definedName>
    <definedName name="TT" hidden="1">{#N/A,#N/A,FALSE,"UNIT";#N/A,#N/A,FALSE,"UNIT";#N/A,#N/A,FALSE,"계정"}</definedName>
    <definedName name="TY" localSheetId="4" hidden="1">#REF!</definedName>
    <definedName name="TY" hidden="1">#REF!</definedName>
    <definedName name="UB" localSheetId="4" hidden="1">#REF!</definedName>
    <definedName name="UB" hidden="1">#REF!</definedName>
    <definedName name="VPDLSXM" localSheetId="4" hidden="1">{#N/A,#N/A,TRUE,"Y생산";#N/A,#N/A,TRUE,"Y판매";#N/A,#N/A,TRUE,"Y총물량";#N/A,#N/A,TRUE,"Y능력";#N/A,#N/A,TRUE,"YKD"}</definedName>
    <definedName name="VPDLSXM" hidden="1">{#N/A,#N/A,TRUE,"Y생산";#N/A,#N/A,TRUE,"Y판매";#N/A,#N/A,TRUE,"Y총물량";#N/A,#N/A,TRUE,"Y능력";#N/A,#N/A,TRUE,"YKD"}</definedName>
    <definedName name="VZXSF" localSheetId="4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VZXS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EARF" localSheetId="4" hidden="1">{#N/A,#N/A,TRUE,"Y생산";#N/A,#N/A,TRUE,"Y판매";#N/A,#N/A,TRUE,"Y총물량";#N/A,#N/A,TRUE,"Y능력";#N/A,#N/A,TRUE,"YKD"}</definedName>
    <definedName name="WEARF" hidden="1">{#N/A,#N/A,TRUE,"Y생산";#N/A,#N/A,TRUE,"Y판매";#N/A,#N/A,TRUE,"Y총물량";#N/A,#N/A,TRUE,"Y능력";#N/A,#N/A,TRUE,"YKD"}</definedName>
    <definedName name="WEFRWE" localSheetId="4" hidden="1">{#N/A,#N/A,FALSE,"단축1";#N/A,#N/A,FALSE,"단축2";#N/A,#N/A,FALSE,"단축3";#N/A,#N/A,FALSE,"장축";#N/A,#N/A,FALSE,"4WD"}</definedName>
    <definedName name="WEFRWE" hidden="1">{#N/A,#N/A,FALSE,"단축1";#N/A,#N/A,FALSE,"단축2";#N/A,#N/A,FALSE,"단축3";#N/A,#N/A,FALSE,"장축";#N/A,#N/A,FALSE,"4WD"}</definedName>
    <definedName name="WIIWIW" localSheetId="4" hidden="1">{#N/A,#N/A,TRUE,"Y생산";#N/A,#N/A,TRUE,"Y판매";#N/A,#N/A,TRUE,"Y총물량";#N/A,#N/A,TRUE,"Y능력";#N/A,#N/A,TRUE,"YKD"}</definedName>
    <definedName name="WIIWIW" hidden="1">{#N/A,#N/A,TRUE,"Y생산";#N/A,#N/A,TRUE,"Y판매";#N/A,#N/A,TRUE,"Y총물량";#N/A,#N/A,TRUE,"Y능력";#N/A,#N/A,TRUE,"YKD"}</definedName>
    <definedName name="wjdwlswlswlslwlsl" localSheetId="4" hidden="1">{#N/A,#N/A,TRUE,"Y생산";#N/A,#N/A,TRUE,"Y판매";#N/A,#N/A,TRUE,"Y총물량";#N/A,#N/A,TRUE,"Y능력";#N/A,#N/A,TRUE,"YKD"}</definedName>
    <definedName name="wjdwlswlswlslwlsl" hidden="1">{#N/A,#N/A,TRUE,"Y생산";#N/A,#N/A,TRUE,"Y판매";#N/A,#N/A,TRUE,"Y총물량";#N/A,#N/A,TRUE,"Y능력";#N/A,#N/A,TRUE,"YKD"}</definedName>
    <definedName name="wkworhgk" localSheetId="4" hidden="1">{#N/A,#N/A,TRUE,"Y생산";#N/A,#N/A,TRUE,"Y판매";#N/A,#N/A,TRUE,"Y총물량";#N/A,#N/A,TRUE,"Y능력";#N/A,#N/A,TRUE,"YKD"}</definedName>
    <definedName name="wkworhgk" hidden="1">{#N/A,#N/A,TRUE,"Y생산";#N/A,#N/A,TRUE,"Y판매";#N/A,#N/A,TRUE,"Y총물량";#N/A,#N/A,TRUE,"Y능력";#N/A,#N/A,TRUE,"YKD"}</definedName>
    <definedName name="wnd" localSheetId="4" hidden="1">{#N/A,#N/A,TRUE,"Y생산";#N/A,#N/A,TRUE,"Y판매";#N/A,#N/A,TRUE,"Y총물량";#N/A,#N/A,TRUE,"Y능력";#N/A,#N/A,TRUE,"YKD"}</definedName>
    <definedName name="wnd" hidden="1">{#N/A,#N/A,TRUE,"Y생산";#N/A,#N/A,TRUE,"Y판매";#N/A,#N/A,TRUE,"Y총물량";#N/A,#N/A,TRUE,"Y능력";#N/A,#N/A,TRUE,"YKD"}</definedName>
    <definedName name="wrn" localSheetId="4" hidden="1">{#N/A,#N/A,FALSE,"단축1";#N/A,#N/A,FALSE,"단축2";#N/A,#N/A,FALSE,"단축3";#N/A,#N/A,FALSE,"장축";#N/A,#N/A,FALSE,"4WD"}</definedName>
    <definedName name="wrn" hidden="1">{#N/A,#N/A,FALSE,"단축1";#N/A,#N/A,FALSE,"단축2";#N/A,#N/A,FALSE,"단축3";#N/A,#N/A,FALSE,"장축";#N/A,#N/A,FALSE,"4WD"}</definedName>
    <definedName name="wrn.345." localSheetId="4" hidden="1">{#N/A,#N/A,FALSE,"96 3월물량표";#N/A,#N/A,FALSE,"96 4월물량표";#N/A,#N/A,FALSE,"96 5월물량표"}</definedName>
    <definedName name="wrn.345." hidden="1">{#N/A,#N/A,FALSE,"96 3월물량표";#N/A,#N/A,FALSE,"96 4월물량표";#N/A,#N/A,FALSE,"96 5월물량표"}</definedName>
    <definedName name="wrn.aa." localSheetId="4" hidden="1">{#N/A,#N/A,FALSE,"UNIT";#N/A,#N/A,FALSE,"UNIT";#N/A,#N/A,FALSE,"계정"}</definedName>
    <definedName name="wrn.aa." hidden="1">{#N/A,#N/A,FALSE,"UNIT";#N/A,#N/A,FALSE,"UNIT";#N/A,#N/A,FALSE,"계정"}</definedName>
    <definedName name="wrn.Aging._.and._.Trend._.Analysis." localSheetId="4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localSheetId="4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4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LLECTION._.HISTORY._.REPORT." localSheetId="4" hidden="1">{#N/A,#N/A,FALSE,"COL-HIS"}</definedName>
    <definedName name="wrn.COLLECTION._.HISTORY._.REPORT." hidden="1">{#N/A,#N/A,FALSE,"COL-HIS"}</definedName>
    <definedName name="wrn.COSA._.FS._.국문." localSheetId="4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COSA94TAXRETURN." localSheetId="4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EM." localSheetId="4" hidden="1">{#N/A,#N/A,FALSE,"전제";#N/A,#N/A,FALSE,"표지";#N/A,#N/A,FALSE,"6D16";#N/A,#N/A,FALSE,"6D22";#N/A,#N/A,FALSE,"6D22-T";#N/A,#N/A,FALSE,"Q-DEG";#N/A,#N/A,FALSE,"총손";#N/A,#N/A,FALSE,"대당";#N/A,#N/A,FALSE,"가공비"}</definedName>
    <definedName name="wrn.EM." hidden="1">{#N/A,#N/A,FALSE,"전제";#N/A,#N/A,FALSE,"표지";#N/A,#N/A,FALSE,"6D16";#N/A,#N/A,FALSE,"6D22";#N/A,#N/A,FALSE,"6D22-T";#N/A,#N/A,FALSE,"Q-DEG";#N/A,#N/A,FALSE,"총손";#N/A,#N/A,FALSE,"대당";#N/A,#N/A,FALSE,"가공비"}</definedName>
    <definedName name="wrn.jck94TAXRETURN." localSheetId="4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ck94TAXRETURN.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Lead._.Schedule." localSheetId="4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RPT.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su." localSheetId="4" hidden="1">{#N/A,#N/A,FALSE,"표지";#N/A,#N/A,FALSE,"전제";#N/A,#N/A,FALSE,"손익-자 (2)";#N/A,#N/A,FALSE,"손익-자";#N/A,#N/A,FALSE,"손익-마 (2)";#N/A,#N/A,FALSE,"손익-마";#N/A,#N/A,FALSE,"총손최종"}</definedName>
    <definedName name="wrn.su." hidden="1">{#N/A,#N/A,FALSE,"표지";#N/A,#N/A,FALSE,"전제";#N/A,#N/A,FALSE,"손익-자 (2)";#N/A,#N/A,FALSE,"손익-자";#N/A,#N/A,FALSE,"손익-마 (2)";#N/A,#N/A,FALSE,"손익-마";#N/A,#N/A,FALSE,"총손최종"}</definedName>
    <definedName name="wrn.tou구매." localSheetId="4" hidden="1">{#N/A,#N/A,FALSE,"견적대비-2"}</definedName>
    <definedName name="wrn.tou구매." hidden="1">{#N/A,#N/A,FALSE,"견적대비-2"}</definedName>
    <definedName name="wrn.VT수익성._.FULL._.SET." localSheetId="4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VT수익성._.FULL._.SET.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Y차._.종합." localSheetId="4" hidden="1">{#N/A,#N/A,TRUE,"Y생산";#N/A,#N/A,TRUE,"Y판매";#N/A,#N/A,TRUE,"Y총물량";#N/A,#N/A,TRUE,"Y능력";#N/A,#N/A,TRUE,"YKD"}</definedName>
    <definedName name="wrn.Y차._.종합." hidden="1">{#N/A,#N/A,TRUE,"Y생산";#N/A,#N/A,TRUE,"Y판매";#N/A,#N/A,TRUE,"Y총물량";#N/A,#N/A,TRUE,"Y능력";#N/A,#N/A,TRUE,"YKD"}</definedName>
    <definedName name="wrn.간단한세무조정계산서." localSheetId="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간단한세무조정계산서.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결산서." localSheetId="4" hidden="1">{#N/A,#N/A,FALSE,"확정합계잔액"}</definedName>
    <definedName name="wrn.결산서." hidden="1">{#N/A,#N/A,FALSE,"확정합계잔액"}</definedName>
    <definedName name="wrn.급여인상안." localSheetId="4" hidden="1">{#N/A,#N/A,FALSE,"계약직(여)"}</definedName>
    <definedName name="wrn.급여인상안." hidden="1">{#N/A,#N/A,FALSE,"계약직(여)"}</definedName>
    <definedName name="wrn.기술료._.비교." localSheetId="4" hidden="1">{#N/A,#N/A,FALSE,"기술료 비교"}</definedName>
    <definedName name="wrn.기술료._.비교." hidden="1">{#N/A,#N/A,FALSE,"기술료 비교"}</definedName>
    <definedName name="wrn.리스현황." localSheetId="4" hidden="1">{#N/A,#N/A,FALSE,"집계표"}</definedName>
    <definedName name="wrn.리스현황." hidden="1">{#N/A,#N/A,FALSE,"집계표"}</definedName>
    <definedName name="wrn.보고서." localSheetId="4" hidden="1">{#N/A,#N/A,FALSE,"Sheet1";#N/A,#N/A,FALSE,"기평9607"}</definedName>
    <definedName name="wrn.보고서." hidden="1">{#N/A,#N/A,FALSE,"Sheet1";#N/A,#N/A,FALSE,"기평9607"}</definedName>
    <definedName name="wrn.보험현황." localSheetId="4" hidden="1">{#N/A,#N/A,FALSE,"보험현황";#N/A,#N/A,FALSE,"보험현황"}</definedName>
    <definedName name="wrn.보험현황." hidden="1">{#N/A,#N/A,FALSE,"보험현황";#N/A,#N/A,FALSE,"보험현황"}</definedName>
    <definedName name="wrn.부산주경기장.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선사." localSheetId="4" hidden="1">{#N/A,#N/A,FALSE,"품의서";#N/A,#N/A,FALSE,"전제";#N/A,#N/A,FALSE,"총손";#N/A,#N/A,FALSE,"손익"}</definedName>
    <definedName name="wrn.선사." hidden="1">{#N/A,#N/A,FALSE,"품의서";#N/A,#N/A,FALSE,"전제";#N/A,#N/A,FALSE,"총손";#N/A,#N/A,FALSE,"손익"}</definedName>
    <definedName name="wrn.세무조정계산서." localSheetId="4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신규dep._.full._.set." localSheetId="4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자판정비._.월간회의자료." localSheetId="4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재고분석." localSheetId="4" hidden="1">{#N/A,#N/A,TRUE,"재고분석";#N/A,#N/A,TRUE,"입고현황"}</definedName>
    <definedName name="wrn.재고분석." hidden="1">{#N/A,#N/A,TRUE,"재고분석";#N/A,#N/A,TRUE,"입고현황"}</definedName>
    <definedName name="wrn.전부인쇄." localSheetId="4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rn.주간공정보고." localSheetId="4" hidden="1">{#N/A,#N/A,FALSE,"Sheet8"}</definedName>
    <definedName name="wrn.주간공정보고." hidden="1">{#N/A,#N/A,FALSE,"Sheet8"}</definedName>
    <definedName name="wrn.주간공정보고서." localSheetId="4" hidden="1">{#N/A,#N/A,FALSE,"Sheet8"}</definedName>
    <definedName name="wrn.주간공정보고서." hidden="1">{#N/A,#N/A,FALSE,"Sheet8"}</definedName>
    <definedName name="wrn.직좌." localSheetId="4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좌.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중." localSheetId="4" hidden="1">{#N/A,#N/A,FALSE,"표지";#N/A,#N/A,FALSE,"전제";#N/A,#N/A,FALSE,"대당";#N/A,#N/A,FALSE,"가공비";#N/A,#N/A,FALSE,"재료비";#N/A,#N/A,FALSE,"손익"}</definedName>
    <definedName name="wrn.직중." hidden="1">{#N/A,#N/A,FALSE,"표지";#N/A,#N/A,FALSE,"전제";#N/A,#N/A,FALSE,"대당";#N/A,#N/A,FALSE,"가공비";#N/A,#N/A,FALSE,"재료비";#N/A,#N/A,FALSE,"손익"}</definedName>
    <definedName name="wrn.채권재조정." localSheetId="4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wrn.채권재조정.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wrn.한국은행._.보고서." localSheetId="4" hidden="1">{#N/A,#N/A,FALSE,"주요여수신";#N/A,#N/A,FALSE,"수신금리";#N/A,#N/A,FALSE,"대출금리";#N/A,#N/A,FALSE,"신규대출";#N/A,#N/A,FALSE,"총액대출"}</definedName>
    <definedName name="wrn.한국은행._.보고서." hidden="1">{#N/A,#N/A,FALSE,"주요여수신";#N/A,#N/A,FALSE,"수신금리";#N/A,#N/A,FALSE,"대출금리";#N/A,#N/A,FALSE,"신규대출";#N/A,#N/A,FALSE,"총액대출"}</definedName>
    <definedName name="wrn.현대정공구매현황." localSheetId="4" hidden="1">{#N/A,#N/A,FALSE,"정공"}</definedName>
    <definedName name="wrn.현대정공구매현황." hidden="1">{#N/A,#N/A,FALSE,"정공"}</definedName>
    <definedName name="wrn.ㅛY차보고" localSheetId="4" hidden="1">{#N/A,#N/A,TRUE,"Y생산";#N/A,#N/A,TRUE,"Y판매";#N/A,#N/A,TRUE,"Y총물량";#N/A,#N/A,TRUE,"Y능력";#N/A,#N/A,TRUE,"YKD"}</definedName>
    <definedName name="wrn.ㅛY차보고" hidden="1">{#N/A,#N/A,TRUE,"Y생산";#N/A,#N/A,TRUE,"Y판매";#N/A,#N/A,TRUE,"Y총물량";#N/A,#N/A,TRUE,"Y능력";#N/A,#N/A,TRUE,"YKD"}</definedName>
    <definedName name="ws" localSheetId="4" hidden="1">{"'보고양식'!$A$58:$K$111"}</definedName>
    <definedName name="ws" hidden="1">{"'보고양식'!$A$58:$K$111"}</definedName>
    <definedName name="WWWWWW" localSheetId="4" hidden="1">{#N/A,#N/A,FALSE,"표지";#N/A,#N/A,FALSE,"전제";#N/A,#N/A,FALSE,"대당";#N/A,#N/A,FALSE,"가공비";#N/A,#N/A,FALSE,"재료비";#N/A,#N/A,FALSE,"손익"}</definedName>
    <definedName name="WWWWWW" hidden="1">{#N/A,#N/A,FALSE,"표지";#N/A,#N/A,FALSE,"전제";#N/A,#N/A,FALSE,"대당";#N/A,#N/A,FALSE,"가공비";#N/A,#N/A,FALSE,"재료비";#N/A,#N/A,FALSE,"손익"}</definedName>
    <definedName name="XNXNX" localSheetId="4" hidden="1">{#N/A,#N/A,TRUE,"Y생산";#N/A,#N/A,TRUE,"Y판매";#N/A,#N/A,TRUE,"Y총물량";#N/A,#N/A,TRUE,"Y능력";#N/A,#N/A,TRUE,"YKD"}</definedName>
    <definedName name="XNXNX" hidden="1">{#N/A,#N/A,TRUE,"Y생산";#N/A,#N/A,TRUE,"Y판매";#N/A,#N/A,TRUE,"Y총물량";#N/A,#N/A,TRUE,"Y능력";#N/A,#N/A,TRUE,"YKD"}</definedName>
    <definedName name="XREF_COLUMN_1" localSheetId="4" hidden="1">#REF!</definedName>
    <definedName name="XREF_COLUMN_1" hidden="1">#REF!</definedName>
    <definedName name="XREF_COLUMN_100" localSheetId="4" hidden="1">#REF!</definedName>
    <definedName name="XREF_COLUMN_100" hidden="1">#REF!</definedName>
    <definedName name="XREF_COLUMN_2" localSheetId="4" hidden="1">#REF!</definedName>
    <definedName name="XREF_COLUMN_2" hidden="1">#REF!</definedName>
    <definedName name="XREF_COLUMN_3" localSheetId="4" hidden="1">#REF!</definedName>
    <definedName name="XREF_COLUMN_3" hidden="1">#REF!</definedName>
    <definedName name="XREF_COLUMN_4" localSheetId="4" hidden="1">#REF!</definedName>
    <definedName name="XREF_COLUMN_4" hidden="1">#REF!</definedName>
    <definedName name="XREF_COLUMN_5" localSheetId="4" hidden="1">#REF!</definedName>
    <definedName name="XREF_COLUMN_5" hidden="1">#REF!</definedName>
    <definedName name="XREF_COLUMN_6" localSheetId="4" hidden="1">#REF!</definedName>
    <definedName name="XREF_COLUMN_6" hidden="1">#REF!</definedName>
    <definedName name="XREF_COLUMN_7" localSheetId="4" hidden="1">#REF!</definedName>
    <definedName name="XREF_COLUMN_7" hidden="1">#REF!</definedName>
    <definedName name="XRefActiveRow" localSheetId="4" hidden="1">#REF!</definedName>
    <definedName name="XRefActiveRow" hidden="1">#REF!</definedName>
    <definedName name="XRefColumnsCount" hidden="1">7</definedName>
    <definedName name="XRefCopy1" localSheetId="4" hidden="1">#REF!</definedName>
    <definedName name="XRefCopy1" hidden="1">#REF!</definedName>
    <definedName name="XRefCopy1Row" localSheetId="4" hidden="1">#REF!</definedName>
    <definedName name="XRefCopy1Row" hidden="1">#REF!</definedName>
    <definedName name="XRefCopy2" localSheetId="4" hidden="1">#REF!</definedName>
    <definedName name="XRefCopy2" hidden="1">#REF!</definedName>
    <definedName name="XRefCopy2Row" localSheetId="4" hidden="1">#REF!</definedName>
    <definedName name="XRefCopy2Row" hidden="1">#REF!</definedName>
    <definedName name="XRefCopyRangeCount" hidden="1">7</definedName>
    <definedName name="XRefPaste5Row" localSheetId="4" hidden="1">#REF!</definedName>
    <definedName name="XRefPaste5Row" hidden="1">#REF!</definedName>
    <definedName name="XRefPasteRangeCount" hidden="1">9</definedName>
    <definedName name="YYY" localSheetId="4" hidden="1">{#N/A,#N/A,TRUE,"Y생산";#N/A,#N/A,TRUE,"Y판매";#N/A,#N/A,TRUE,"Y총물량";#N/A,#N/A,TRUE,"Y능력";#N/A,#N/A,TRUE,"YKD"}</definedName>
    <definedName name="YYY" hidden="1">{#N/A,#N/A,TRUE,"Y생산";#N/A,#N/A,TRUE,"Y판매";#N/A,#N/A,TRUE,"Y총물량";#N/A,#N/A,TRUE,"Y능력";#N/A,#N/A,TRUE,"YKD"}</definedName>
    <definedName name="z" localSheetId="4" hidden="1">{#N/A,#N/A,FALSE,"Aging Summary";#N/A,#N/A,FALSE,"Ratio Analysis";#N/A,#N/A,FALSE,"Test 120 Day Accts";#N/A,#N/A,FALSE,"Tickmarks"}</definedName>
    <definedName name="z" hidden="1">{#N/A,#N/A,FALSE,"Aging Summary";#N/A,#N/A,FALSE,"Ratio Analysis";#N/A,#N/A,FALSE,"Test 120 Day Accts";#N/A,#N/A,FALSE,"Tickmarks"}</definedName>
    <definedName name="ZBN" localSheetId="4" hidden="1">{#N/A,#N/A,FALSE,"단축1";#N/A,#N/A,FALSE,"단축2";#N/A,#N/A,FALSE,"단축3";#N/A,#N/A,FALSE,"장축";#N/A,#N/A,FALSE,"4WD"}</definedName>
    <definedName name="ZBN" hidden="1">{#N/A,#N/A,FALSE,"단축1";#N/A,#N/A,FALSE,"단축2";#N/A,#N/A,FALSE,"단축3";#N/A,#N/A,FALSE,"장축";#N/A,#N/A,FALSE,"4WD"}</definedName>
    <definedName name="ZDHGKSDLG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ZDHGKSDL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ZXC" localSheetId="4" hidden="1">#REF!</definedName>
    <definedName name="ZXC" hidden="1">#REF!</definedName>
    <definedName name="ZXCZXC" localSheetId="4" hidden="1">#REF!</definedName>
    <definedName name="ZXCZXC" hidden="1">#REF!</definedName>
    <definedName name="ㄱㄱ" localSheetId="4" hidden="1">{#N/A,#N/A,FALSE,"UNIT";#N/A,#N/A,FALSE,"UNIT";#N/A,#N/A,FALSE,"계정"}</definedName>
    <definedName name="ㄱㄱ" hidden="1">{#N/A,#N/A,FALSE,"UNIT";#N/A,#N/A,FALSE,"UNIT";#N/A,#N/A,FALSE,"계정"}</definedName>
    <definedName name="ㄱㄱㄱ" localSheetId="4" hidden="1">{#N/A,#N/A,FALSE,"UNIT";#N/A,#N/A,FALSE,"UNIT";#N/A,#N/A,FALSE,"계정"}</definedName>
    <definedName name="ㄱㄱㄱ" hidden="1">{#N/A,#N/A,FALSE,"UNIT";#N/A,#N/A,FALSE,"UNIT";#N/A,#N/A,FALSE,"계정"}</definedName>
    <definedName name="ㄱㄱㄱㄱㄱ" localSheetId="4" hidden="1">{#N/A,#N/A,FALSE,"UNIT";#N/A,#N/A,FALSE,"UNIT";#N/A,#N/A,FALSE,"계정"}</definedName>
    <definedName name="ㄱㄱㄱㄱㄱ" hidden="1">{#N/A,#N/A,FALSE,"UNIT";#N/A,#N/A,FALSE,"UNIT";#N/A,#N/A,FALSE,"계정"}</definedName>
    <definedName name="ㄱㅇ" localSheetId="4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1" localSheetId="4" hidden="1">{#N/A,#N/A,TRUE,"Y생산";#N/A,#N/A,TRUE,"Y판매";#N/A,#N/A,TRUE,"Y총물량";#N/A,#N/A,TRUE,"Y능력";#N/A,#N/A,TRUE,"YKD"}</definedName>
    <definedName name="가1" hidden="1">{#N/A,#N/A,TRUE,"Y생산";#N/A,#N/A,TRUE,"Y판매";#N/A,#N/A,TRUE,"Y총물량";#N/A,#N/A,TRUE,"Y능력";#N/A,#N/A,TRUE,"YKD"}</definedName>
    <definedName name="가2" localSheetId="4" hidden="1">{#N/A,#N/A,TRUE,"Y생산";#N/A,#N/A,TRUE,"Y판매";#N/A,#N/A,TRUE,"Y총물량";#N/A,#N/A,TRUE,"Y능력";#N/A,#N/A,TRUE,"YKD"}</definedName>
    <definedName name="가2" hidden="1">{#N/A,#N/A,TRUE,"Y생산";#N/A,#N/A,TRUE,"Y판매";#N/A,#N/A,TRUE,"Y총물량";#N/A,#N/A,TRUE,"Y능력";#N/A,#N/A,TRUE,"YKD"}</definedName>
    <definedName name="가동" localSheetId="4" hidden="1">{#N/A,#N/A,TRUE,"Y생산";#N/A,#N/A,TRUE,"Y판매";#N/A,#N/A,TRUE,"Y총물량";#N/A,#N/A,TRUE,"Y능력";#N/A,#N/A,TRUE,"YKD"}</definedName>
    <definedName name="가동" hidden="1">{#N/A,#N/A,TRUE,"Y생산";#N/A,#N/A,TRUE,"Y판매";#N/A,#N/A,TRUE,"Y총물량";#N/A,#N/A,TRUE,"Y능력";#N/A,#N/A,TRUE,"YKD"}</definedName>
    <definedName name="가동2" localSheetId="4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가동비" localSheetId="4" hidden="1">#REF!</definedName>
    <definedName name="가동비" hidden="1">#REF!</definedName>
    <definedName name="가동조건" localSheetId="4" hidden="1">{#N/A,#N/A,FALSE,"96 3월물량표";#N/A,#N/A,FALSE,"96 4월물량표";#N/A,#N/A,FALSE,"96 5월물량표"}</definedName>
    <definedName name="가동조건" hidden="1">{#N/A,#N/A,FALSE,"96 3월물량표";#N/A,#N/A,FALSE,"96 4월물량표";#N/A,#N/A,FALSE,"96 5월물량표"}</definedName>
    <definedName name="가아나" localSheetId="4" hidden="1">{#N/A,#N/A,TRUE,"Y생산";#N/A,#N/A,TRUE,"Y판매";#N/A,#N/A,TRUE,"Y총물량";#N/A,#N/A,TRUE,"Y능력";#N/A,#N/A,TRUE,"YKD"}</definedName>
    <definedName name="가아나" hidden="1">{#N/A,#N/A,TRUE,"Y생산";#N/A,#N/A,TRUE,"Y판매";#N/A,#N/A,TRUE,"Y총물량";#N/A,#N/A,TRUE,"Y능력";#N/A,#N/A,TRUE,"YKD"}</definedName>
    <definedName name="가을" localSheetId="4" hidden="1">{#N/A,#N/A,TRUE,"Y생산";#N/A,#N/A,TRUE,"Y판매";#N/A,#N/A,TRUE,"Y총물량";#N/A,#N/A,TRUE,"Y능력";#N/A,#N/A,TRUE,"YKD"}</definedName>
    <definedName name="가을" hidden="1">{#N/A,#N/A,TRUE,"Y생산";#N/A,#N/A,TRUE,"Y판매";#N/A,#N/A,TRUE,"Y총물량";#N/A,#N/A,TRUE,"Y능력";#N/A,#N/A,TRUE,"YKD"}</definedName>
    <definedName name="가자" localSheetId="4" hidden="1">{#N/A,#N/A,TRUE,"Y생산";#N/A,#N/A,TRUE,"Y판매";#N/A,#N/A,TRUE,"Y총물량";#N/A,#N/A,TRUE,"Y능력";#N/A,#N/A,TRUE,"YKD"}</definedName>
    <definedName name="가자" hidden="1">{#N/A,#N/A,TRUE,"Y생산";#N/A,#N/A,TRUE,"Y판매";#N/A,#N/A,TRUE,"Y총물량";#N/A,#N/A,TRUE,"Y능력";#N/A,#N/A,TRUE,"YKD"}</definedName>
    <definedName name="가타" localSheetId="4" hidden="1">{#N/A,#N/A,TRUE,"Y생산";#N/A,#N/A,TRUE,"Y판매";#N/A,#N/A,TRUE,"Y총물량";#N/A,#N/A,TRUE,"Y능력";#N/A,#N/A,TRUE,"YKD"}</definedName>
    <definedName name="가타" hidden="1">{#N/A,#N/A,TRUE,"Y생산";#N/A,#N/A,TRUE,"Y판매";#N/A,#N/A,TRUE,"Y총물량";#N/A,#N/A,TRUE,"Y능력";#N/A,#N/A,TRUE,"YKD"}</definedName>
    <definedName name="간" localSheetId="4" hidden="1">{#N/A,#N/A,FALSE,"UNIT";#N/A,#N/A,FALSE,"UNIT";#N/A,#N/A,FALSE,"계정"}</definedName>
    <definedName name="간" hidden="1">{#N/A,#N/A,FALSE,"UNIT";#N/A,#N/A,FALSE,"UNIT";#N/A,#N/A,FALSE,"계정"}</definedName>
    <definedName name="강" localSheetId="4" hidden="1">{#N/A,#N/A,FALSE,"단축1";#N/A,#N/A,FALSE,"단축2";#N/A,#N/A,FALSE,"단축3";#N/A,#N/A,FALSE,"장축";#N/A,#N/A,FALSE,"4WD"}</definedName>
    <definedName name="강" hidden="1">{#N/A,#N/A,FALSE,"단축1";#N/A,#N/A,FALSE,"단축2";#N/A,#N/A,FALSE,"단축3";#N/A,#N/A,FALSE,"장축";#N/A,#N/A,FALSE,"4WD"}</definedName>
    <definedName name="개선과장1" localSheetId="4" hidden="1">{#N/A,#N/A,FALSE,"단축1";#N/A,#N/A,FALSE,"단축2";#N/A,#N/A,FALSE,"단축3";#N/A,#N/A,FALSE,"장축";#N/A,#N/A,FALSE,"4WD"}</definedName>
    <definedName name="개선과장1" hidden="1">{#N/A,#N/A,FALSE,"단축1";#N/A,#N/A,FALSE,"단축2";#N/A,#N/A,FALSE,"단축3";#N/A,#N/A,FALSE,"장축";#N/A,#N/A,FALSE,"4WD"}</definedName>
    <definedName name="개선과정" localSheetId="4" hidden="1">{#N/A,#N/A,FALSE,"단축1";#N/A,#N/A,FALSE,"단축2";#N/A,#N/A,FALSE,"단축3";#N/A,#N/A,FALSE,"장축";#N/A,#N/A,FALSE,"4WD"}</definedName>
    <definedName name="개선과정" hidden="1">{#N/A,#N/A,FALSE,"단축1";#N/A,#N/A,FALSE,"단축2";#N/A,#N/A,FALSE,"단축3";#N/A,#N/A,FALSE,"장축";#N/A,#N/A,FALSE,"4WD"}</definedName>
    <definedName name="개선과제1" localSheetId="4" hidden="1">{#N/A,#N/A,FALSE,"단축1";#N/A,#N/A,FALSE,"단축2";#N/A,#N/A,FALSE,"단축3";#N/A,#N/A,FALSE,"장축";#N/A,#N/A,FALSE,"4WD"}</definedName>
    <definedName name="개선과제1" hidden="1">{#N/A,#N/A,FALSE,"단축1";#N/A,#N/A,FALSE,"단축2";#N/A,#N/A,FALSE,"단축3";#N/A,#N/A,FALSE,"장축";#N/A,#N/A,FALSE,"4WD"}</definedName>
    <definedName name="개선내용" localSheetId="4" hidden="1">{#N/A,#N/A,TRUE,"Y생산";#N/A,#N/A,TRUE,"Y판매";#N/A,#N/A,TRUE,"Y총물량";#N/A,#N/A,TRUE,"Y능력";#N/A,#N/A,TRUE,"YKD"}</definedName>
    <definedName name="개선내용" hidden="1">{#N/A,#N/A,TRUE,"Y생산";#N/A,#N/A,TRUE,"Y판매";#N/A,#N/A,TRUE,"Y총물량";#N/A,#N/A,TRUE,"Y능력";#N/A,#N/A,TRUE,"YKD"}</definedName>
    <definedName name="개선실적" localSheetId="4" hidden="1">{#N/A,#N/A,TRUE,"Y생산";#N/A,#N/A,TRUE,"Y판매";#N/A,#N/A,TRUE,"Y총물량";#N/A,#N/A,TRUE,"Y능력";#N/A,#N/A,TRUE,"YKD"}</definedName>
    <definedName name="개선실적" hidden="1">{#N/A,#N/A,TRUE,"Y생산";#N/A,#N/A,TRUE,"Y판매";#N/A,#N/A,TRUE,"Y총물량";#N/A,#N/A,TRUE,"Y능력";#N/A,#N/A,TRUE,"YKD"}</definedName>
    <definedName name="갸" localSheetId="4" hidden="1">{#N/A,#N/A,TRUE,"Y생산";#N/A,#N/A,TRUE,"Y판매";#N/A,#N/A,TRUE,"Y총물량";#N/A,#N/A,TRUE,"Y능력";#N/A,#N/A,TRUE,"YKD"}</definedName>
    <definedName name="갸" hidden="1">{#N/A,#N/A,TRUE,"Y생산";#N/A,#N/A,TRUE,"Y판매";#N/A,#N/A,TRUE,"Y총물량";#N/A,#N/A,TRUE,"Y능력";#N/A,#N/A,TRUE,"YKD"}</definedName>
    <definedName name="거거" localSheetId="4" hidden="1">{#N/A,#N/A,TRUE,"Y생산";#N/A,#N/A,TRUE,"Y판매";#N/A,#N/A,TRUE,"Y총물량";#N/A,#N/A,TRUE,"Y능력";#N/A,#N/A,TRUE,"YKD"}</definedName>
    <definedName name="거거" hidden="1">{#N/A,#N/A,TRUE,"Y생산";#N/A,#N/A,TRUE,"Y판매";#N/A,#N/A,TRUE,"Y총물량";#N/A,#N/A,TRUE,"Y능력";#N/A,#N/A,TRUE,"YKD"}</definedName>
    <definedName name="건" localSheetId="4" hidden="1">{#N/A,#N/A,FALSE,"단축1";#N/A,#N/A,FALSE,"단축2";#N/A,#N/A,FALSE,"단축3";#N/A,#N/A,FALSE,"장축";#N/A,#N/A,FALSE,"4WD"}</definedName>
    <definedName name="건" hidden="1">{#N/A,#N/A,FALSE,"단축1";#N/A,#N/A,FALSE,"단축2";#N/A,#N/A,FALSE,"단축3";#N/A,#N/A,FALSE,"장축";#N/A,#N/A,FALSE,"4WD"}</definedName>
    <definedName name="건열" localSheetId="4" hidden="1">{#N/A,#N/A,TRUE,"Y생산";#N/A,#N/A,TRUE,"Y판매";#N/A,#N/A,TRUE,"Y총물량";#N/A,#N/A,TRUE,"Y능력";#N/A,#N/A,TRUE,"YKD"}</definedName>
    <definedName name="건열" hidden="1">{#N/A,#N/A,TRUE,"Y생산";#N/A,#N/A,TRUE,"Y판매";#N/A,#N/A,TRUE,"Y총물량";#N/A,#N/A,TRUE,"Y능력";#N/A,#N/A,TRUE,"YKD"}</definedName>
    <definedName name="건전성" localSheetId="4" hidden="1">#REF!</definedName>
    <definedName name="건전성" hidden="1">#REF!</definedName>
    <definedName name="게" localSheetId="4" hidden="1">{#N/A,#N/A,FALSE,"단축1";#N/A,#N/A,FALSE,"단축2";#N/A,#N/A,FALSE,"단축3";#N/A,#N/A,FALSE,"장축";#N/A,#N/A,FALSE,"4WD"}</definedName>
    <definedName name="게" hidden="1">{#N/A,#N/A,FALSE,"단축1";#N/A,#N/A,FALSE,"단축2";#N/A,#N/A,FALSE,"단축3";#N/A,#N/A,FALSE,"장축";#N/A,#N/A,FALSE,"4WD"}</definedName>
    <definedName name="결ㅈ제ㅔㅔ" localSheetId="4" hidden="1">{#N/A,#N/A,FALSE,"주요여수신";#N/A,#N/A,FALSE,"수신금리";#N/A,#N/A,FALSE,"대출금리";#N/A,#N/A,FALSE,"신규대출";#N/A,#N/A,FALSE,"총액대출"}</definedName>
    <definedName name="결ㅈ제ㅔㅔ" hidden="1">{#N/A,#N/A,FALSE,"주요여수신";#N/A,#N/A,FALSE,"수신금리";#N/A,#N/A,FALSE,"대출금리";#N/A,#N/A,FALSE,"신규대출";#N/A,#N/A,FALSE,"총액대출"}</definedName>
    <definedName name="결제2" localSheetId="4" hidden="1">{#N/A,#N/A,FALSE,"주요여수신";#N/A,#N/A,FALSE,"수신금리";#N/A,#N/A,FALSE,"대출금리";#N/A,#N/A,FALSE,"신규대출";#N/A,#N/A,FALSE,"총액대출"}</definedName>
    <definedName name="결제2" hidden="1">{#N/A,#N/A,FALSE,"주요여수신";#N/A,#N/A,FALSE,"수신금리";#N/A,#N/A,FALSE,"대출금리";#N/A,#N/A,FALSE,"신규대출";#N/A,#N/A,FALSE,"총액대출"}</definedName>
    <definedName name="경로" localSheetId="4" hidden="1">{#N/A,#N/A,TRUE,"Y생산";#N/A,#N/A,TRUE,"Y판매";#N/A,#N/A,TRUE,"Y총물량";#N/A,#N/A,TRUE,"Y능력";#N/A,#N/A,TRUE,"YKD"}</definedName>
    <definedName name="경로" hidden="1">{#N/A,#N/A,TRUE,"Y생산";#N/A,#N/A,TRUE,"Y판매";#N/A,#N/A,TRUE,"Y총물량";#N/A,#N/A,TRUE,"Y능력";#N/A,#N/A,TRUE,"YKD"}</definedName>
    <definedName name="경상비8월" localSheetId="4" hidden="1">{#N/A,#N/A,FALSE,"단축1";#N/A,#N/A,FALSE,"단축2";#N/A,#N/A,FALSE,"단축3";#N/A,#N/A,FALSE,"장축";#N/A,#N/A,FALSE,"4WD"}</definedName>
    <definedName name="경상비8월" hidden="1">{#N/A,#N/A,FALSE,"단축1";#N/A,#N/A,FALSE,"단축2";#N/A,#N/A,FALSE,"단축3";#N/A,#N/A,FALSE,"장축";#N/A,#N/A,FALSE,"4WD"}</definedName>
    <definedName name="경합금2과운연계획" localSheetId="4" hidden="1">{#N/A,#N/A,TRUE,"Y생산";#N/A,#N/A,TRUE,"Y판매";#N/A,#N/A,TRUE,"Y총물량";#N/A,#N/A,TRUE,"Y능력";#N/A,#N/A,TRUE,"YKD"}</definedName>
    <definedName name="경합금2과운연계획" hidden="1">{#N/A,#N/A,TRUE,"Y생산";#N/A,#N/A,TRUE,"Y판매";#N/A,#N/A,TRUE,"Y총물량";#N/A,#N/A,TRUE,"Y능력";#N/A,#N/A,TRUE,"YKD"}</definedName>
    <definedName name="계약" localSheetId="4" hidden="1">{#N/A,#N/A,FALSE,"계약직(여)"}</definedName>
    <definedName name="계약" hidden="1">{#N/A,#N/A,FALSE,"계약직(여)"}</definedName>
    <definedName name="계정종합표" localSheetId="4" hidden="1">{#N/A,#N/A,TRUE,"Y생산";#N/A,#N/A,TRUE,"Y판매";#N/A,#N/A,TRUE,"Y총물량";#N/A,#N/A,TRUE,"Y능력";#N/A,#N/A,TRUE,"YKD"}</definedName>
    <definedName name="계정종합표" hidden="1">{#N/A,#N/A,TRUE,"Y생산";#N/A,#N/A,TRUE,"Y판매";#N/A,#N/A,TRUE,"Y총물량";#N/A,#N/A,TRUE,"Y능력";#N/A,#N/A,TRUE,"YKD"}</definedName>
    <definedName name="계획" localSheetId="4" hidden="1">{#N/A,#N/A,FALSE,"기술료 비교"}</definedName>
    <definedName name="계획" hidden="1">{#N/A,#N/A,FALSE,"기술료 비교"}</definedName>
    <definedName name="계획.1" localSheetId="4" hidden="1">{#N/A,#N/A,FALSE,"단축1";#N/A,#N/A,FALSE,"단축2";#N/A,#N/A,FALSE,"단축3";#N/A,#N/A,FALSE,"장축";#N/A,#N/A,FALSE,"4WD"}</definedName>
    <definedName name="계획.1" hidden="1">{#N/A,#N/A,FALSE,"단축1";#N/A,#N/A,FALSE,"단축2";#N/A,#N/A,FALSE,"단축3";#N/A,#N/A,FALSE,"장축";#N/A,#N/A,FALSE,"4WD"}</definedName>
    <definedName name="계획1" localSheetId="4" hidden="1">{#N/A,#N/A,FALSE,"단축1";#N/A,#N/A,FALSE,"단축2";#N/A,#N/A,FALSE,"단축3";#N/A,#N/A,FALSE,"장축";#N/A,#N/A,FALSE,"4WD"}</definedName>
    <definedName name="계획1" hidden="1">{#N/A,#N/A,FALSE,"단축1";#N/A,#N/A,FALSE,"단축2";#N/A,#N/A,FALSE,"단축3";#N/A,#N/A,FALSE,"장축";#N/A,#N/A,FALSE,"4WD"}</definedName>
    <definedName name="계획2" localSheetId="4" hidden="1">{#N/A,#N/A,FALSE,"단축1";#N/A,#N/A,FALSE,"단축2";#N/A,#N/A,FALSE,"단축3";#N/A,#N/A,FALSE,"장축";#N/A,#N/A,FALSE,"4WD"}</definedName>
    <definedName name="계획2" hidden="1">{#N/A,#N/A,FALSE,"단축1";#N/A,#N/A,FALSE,"단축2";#N/A,#N/A,FALSE,"단축3";#N/A,#N/A,FALSE,"장축";#N/A,#N/A,FALSE,"4WD"}</definedName>
    <definedName name="고객미정" localSheetId="4" hidden="1">{#N/A,#N/A,FALSE,"표지";#N/A,#N/A,FALSE,"전제";#N/A,#N/A,FALSE,"손익-자 (2)";#N/A,#N/A,FALSE,"손익-자";#N/A,#N/A,FALSE,"손익-마 (2)";#N/A,#N/A,FALSE,"손익-마";#N/A,#N/A,FALSE,"총손최종"}</definedName>
    <definedName name="고객미정" hidden="1">{#N/A,#N/A,FALSE,"표지";#N/A,#N/A,FALSE,"전제";#N/A,#N/A,FALSE,"손익-자 (2)";#N/A,#N/A,FALSE,"손익-자";#N/A,#N/A,FALSE,"손익-마 (2)";#N/A,#N/A,FALSE,"손익-마";#N/A,#N/A,FALSE,"총손최종"}</definedName>
    <definedName name="고인돌" localSheetId="4" hidden="1">{#N/A,#N/A,FALSE,"전제";#N/A,#N/A,FALSE,"표지";#N/A,#N/A,FALSE,"6D16";#N/A,#N/A,FALSE,"6D22";#N/A,#N/A,FALSE,"6D22-T";#N/A,#N/A,FALSE,"Q-DEG";#N/A,#N/A,FALSE,"총손";#N/A,#N/A,FALSE,"대당";#N/A,#N/A,FALSE,"가공비"}</definedName>
    <definedName name="고인돌" hidden="1">{#N/A,#N/A,FALSE,"전제";#N/A,#N/A,FALSE,"표지";#N/A,#N/A,FALSE,"6D16";#N/A,#N/A,FALSE,"6D22";#N/A,#N/A,FALSE,"6D22-T";#N/A,#N/A,FALSE,"Q-DEG";#N/A,#N/A,FALSE,"총손";#N/A,#N/A,FALSE,"대당";#N/A,#N/A,FALSE,"가공비"}</definedName>
    <definedName name="공사집계" localSheetId="4" hidden="1">{#N/A,#N/A,FALSE,"집계표"}</definedName>
    <definedName name="공사집계" hidden="1">{#N/A,#N/A,FALSE,"집계표"}</definedName>
    <definedName name="공성환" localSheetId="4" hidden="1">{#N/A,#N/A,FALSE,"단축1";#N/A,#N/A,FALSE,"단축2";#N/A,#N/A,FALSE,"단축3";#N/A,#N/A,FALSE,"장축";#N/A,#N/A,FALSE,"4WD"}</definedName>
    <definedName name="공성환" hidden="1">{#N/A,#N/A,FALSE,"단축1";#N/A,#N/A,FALSE,"단축2";#N/A,#N/A,FALSE,"단축3";#N/A,#N/A,FALSE,"장축";#N/A,#N/A,FALSE,"4WD"}</definedName>
    <definedName name="공ㅌ오" localSheetId="4" hidden="1">{#N/A,#N/A,TRUE,"Y생산";#N/A,#N/A,TRUE,"Y판매";#N/A,#N/A,TRUE,"Y총물량";#N/A,#N/A,TRUE,"Y능력";#N/A,#N/A,TRUE,"YKD"}</definedName>
    <definedName name="공ㅌ오" hidden="1">{#N/A,#N/A,TRUE,"Y생산";#N/A,#N/A,TRUE,"Y판매";#N/A,#N/A,TRUE,"Y총물량";#N/A,#N/A,TRUE,"Y능력";#N/A,#N/A,TRUE,"YKD"}</definedName>
    <definedName name="과목세목현황" localSheetId="4" hidden="1">{#N/A,#N/A,TRUE,"Y생산";#N/A,#N/A,TRUE,"Y판매";#N/A,#N/A,TRUE,"Y총물량";#N/A,#N/A,TRUE,"Y능력";#N/A,#N/A,TRUE,"YKD"}</definedName>
    <definedName name="과목세목현황" hidden="1">{#N/A,#N/A,TRUE,"Y생산";#N/A,#N/A,TRUE,"Y판매";#N/A,#N/A,TRUE,"Y총물량";#N/A,#N/A,TRUE,"Y능력";#N/A,#N/A,TRUE,"YKD"}</definedName>
    <definedName name="관리지표2" localSheetId="4" hidden="1">{#N/A,#N/A,TRUE,"Y생산";#N/A,#N/A,TRUE,"Y판매";#N/A,#N/A,TRUE,"Y총물량";#N/A,#N/A,TRUE,"Y능력";#N/A,#N/A,TRUE,"YKD"}</definedName>
    <definedName name="관리지표2" hidden="1">{#N/A,#N/A,TRUE,"Y생산";#N/A,#N/A,TRUE,"Y판매";#N/A,#N/A,TRUE,"Y총물량";#N/A,#N/A,TRUE,"Y능력";#N/A,#N/A,TRUE,"YKD"}</definedName>
    <definedName name="교육" localSheetId="4" hidden="1">{#N/A,#N/A,TRUE,"Y생산";#N/A,#N/A,TRUE,"Y판매";#N/A,#N/A,TRUE,"Y총물량";#N/A,#N/A,TRUE,"Y능력";#N/A,#N/A,TRUE,"YKD"}</definedName>
    <definedName name="교육" hidden="1">{#N/A,#N/A,TRUE,"Y생산";#N/A,#N/A,TRUE,"Y판매";#N/A,#N/A,TRUE,"Y총물량";#N/A,#N/A,TRUE,"Y능력";#N/A,#N/A,TRUE,"YKD"}</definedName>
    <definedName name="국고보조" localSheetId="4" hidden="1">{#N/A,#N/A,FALSE,"보험현황";#N/A,#N/A,FALSE,"보험현황"}</definedName>
    <definedName name="국고보조" hidden="1">{#N/A,#N/A,FALSE,"보험현황";#N/A,#N/A,FALSE,"보험현황"}</definedName>
    <definedName name="그" localSheetId="4" hidden="1">{#N/A,#N/A,FALSE,"단축1";#N/A,#N/A,FALSE,"단축2";#N/A,#N/A,FALSE,"단축3";#N/A,#N/A,FALSE,"장축";#N/A,#N/A,FALSE,"4WD"}</definedName>
    <definedName name="그" hidden="1">{#N/A,#N/A,FALSE,"단축1";#N/A,#N/A,FALSE,"단축2";#N/A,#N/A,FALSE,"단축3";#N/A,#N/A,FALSE,"장축";#N/A,#N/A,FALSE,"4WD"}</definedName>
    <definedName name="그림1" localSheetId="4" hidden="1">{#N/A,#N/A,FALSE,"을지 (4)";#N/A,#N/A,FALSE,"을지 (5)";#N/A,#N/A,FALSE,"을지 (6)"}</definedName>
    <definedName name="그림1" hidden="1">{#N/A,#N/A,FALSE,"을지 (4)";#N/A,#N/A,FALSE,"을지 (5)";#N/A,#N/A,FALSE,"을지 (6)"}</definedName>
    <definedName name="근거2" localSheetId="4" hidden="1">{#N/A,#N/A,FALSE,"단축1";#N/A,#N/A,FALSE,"단축2";#N/A,#N/A,FALSE,"단축3";#N/A,#N/A,FALSE,"장축";#N/A,#N/A,FALSE,"4WD"}</definedName>
    <definedName name="근거2" hidden="1">{#N/A,#N/A,FALSE,"단축1";#N/A,#N/A,FALSE,"단축2";#N/A,#N/A,FALSE,"단축3";#N/A,#N/A,FALSE,"장축";#N/A,#N/A,FALSE,"4WD"}</definedName>
    <definedName name="금월" localSheetId="4" hidden="1">{#N/A,#N/A,TRUE,"Y생산";#N/A,#N/A,TRUE,"Y판매";#N/A,#N/A,TRUE,"Y총물량";#N/A,#N/A,TRUE,"Y능력";#N/A,#N/A,TRUE,"YKD"}</definedName>
    <definedName name="금월" hidden="1">{#N/A,#N/A,TRUE,"Y생산";#N/A,#N/A,TRUE,"Y판매";#N/A,#N/A,TRUE,"Y총물량";#N/A,#N/A,TRUE,"Y능력";#N/A,#N/A,TRUE,"YKD"}</definedName>
    <definedName name="금형" localSheetId="4" hidden="1">{#N/A,#N/A,FALSE,"단축1";#N/A,#N/A,FALSE,"단축2";#N/A,#N/A,FALSE,"단축3";#N/A,#N/A,FALSE,"장축";#N/A,#N/A,FALSE,"4WD"}</definedName>
    <definedName name="금형" hidden="1">{#N/A,#N/A,FALSE,"단축1";#N/A,#N/A,FALSE,"단축2";#N/A,#N/A,FALSE,"단축3";#N/A,#N/A,FALSE,"장축";#N/A,#N/A,FALSE,"4WD"}</definedName>
    <definedName name="금형편성표" localSheetId="4" hidden="1">{#N/A,#N/A,FALSE,"단축1";#N/A,#N/A,FALSE,"단축2";#N/A,#N/A,FALSE,"단축3";#N/A,#N/A,FALSE,"장축";#N/A,#N/A,FALSE,"4WD"}</definedName>
    <definedName name="금형편성표" hidden="1">{#N/A,#N/A,FALSE,"단축1";#N/A,#N/A,FALSE,"단축2";#N/A,#N/A,FALSE,"단축3";#N/A,#N/A,FALSE,"장축";#N/A,#N/A,FALSE,"4WD"}</definedName>
    <definedName name="급여인상안" localSheetId="4" hidden="1">{#N/A,#N/A,FALSE,"계약직(여)"}</definedName>
    <definedName name="급여인상안" hidden="1">{#N/A,#N/A,FALSE,"계약직(여)"}</definedName>
    <definedName name="기" localSheetId="4" hidden="1">{#N/A,#N/A,TRUE,"Y생산";#N/A,#N/A,TRUE,"Y판매";#N/A,#N/A,TRUE,"Y총물량";#N/A,#N/A,TRUE,"Y능력";#N/A,#N/A,TRUE,"YKD"}</definedName>
    <definedName name="기" hidden="1">{#N/A,#N/A,TRUE,"Y생산";#N/A,#N/A,TRUE,"Y판매";#N/A,#N/A,TRUE,"Y총물량";#N/A,#N/A,TRUE,"Y능력";#N/A,#N/A,TRUE,"YKD"}</definedName>
    <definedName name="기아" localSheetId="4" hidden="1">{#N/A,#N/A,FALSE,"단축1";#N/A,#N/A,FALSE,"단축2";#N/A,#N/A,FALSE,"단축3";#N/A,#N/A,FALSE,"장축";#N/A,#N/A,FALSE,"4WD"}</definedName>
    <definedName name="기아" hidden="1">{#N/A,#N/A,FALSE,"단축1";#N/A,#N/A,FALSE,"단축2";#N/A,#N/A,FALSE,"단축3";#N/A,#N/A,FALSE,"장축";#N/A,#N/A,FALSE,"4WD"}</definedName>
    <definedName name="기존" localSheetId="4" hidden="1">{#N/A,#N/A,FALSE,"UNIT";#N/A,#N/A,FALSE,"UNIT";#N/A,#N/A,FALSE,"계정"}</definedName>
    <definedName name="기존" hidden="1">{#N/A,#N/A,FALSE,"UNIT";#N/A,#N/A,FALSE,"UNIT";#N/A,#N/A,FALSE,"계정"}</definedName>
    <definedName name="기주조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주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주조딕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주조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준" localSheetId="4" hidden="1">{#N/A,#N/A,FALSE,"기술료 비교"}</definedName>
    <definedName name="기준" hidden="1">{#N/A,#N/A,FALSE,"기술료 비교"}</definedName>
    <definedName name="김도윤" localSheetId="4" hidden="1">{#N/A,#N/A,TRUE,"Y생산";#N/A,#N/A,TRUE,"Y판매";#N/A,#N/A,TRUE,"Y총물량";#N/A,#N/A,TRUE,"Y능력";#N/A,#N/A,TRUE,"YKD"}</definedName>
    <definedName name="김도윤" hidden="1">{#N/A,#N/A,TRUE,"Y생산";#N/A,#N/A,TRUE,"Y판매";#N/A,#N/A,TRUE,"Y총물량";#N/A,#N/A,TRUE,"Y능력";#N/A,#N/A,TRUE,"YKD"}</definedName>
    <definedName name="김돌" localSheetId="4" hidden="1">{#N/A,#N/A,TRUE,"Y생산";#N/A,#N/A,TRUE,"Y판매";#N/A,#N/A,TRUE,"Y총물량";#N/A,#N/A,TRUE,"Y능력";#N/A,#N/A,TRUE,"YKD"}</definedName>
    <definedName name="김돌" hidden="1">{#N/A,#N/A,TRUE,"Y생산";#N/A,#N/A,TRUE,"Y판매";#N/A,#N/A,TRUE,"Y총물량";#N/A,#N/A,TRUE,"Y능력";#N/A,#N/A,TRUE,"YKD"}</definedName>
    <definedName name="김동탁" localSheetId="4" hidden="1">{#N/A,#N/A,FALSE,"단축1";#N/A,#N/A,FALSE,"단축2";#N/A,#N/A,FALSE,"단축3";#N/A,#N/A,FALSE,"장축";#N/A,#N/A,FALSE,"4WD"}</definedName>
    <definedName name="김동탁" hidden="1">{#N/A,#N/A,FALSE,"단축1";#N/A,#N/A,FALSE,"단축2";#N/A,#N/A,FALSE,"단축3";#N/A,#N/A,FALSE,"장축";#N/A,#N/A,FALSE,"4WD"}</definedName>
    <definedName name="김선화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김선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" localSheetId="4" hidden="1">{#N/A,#N/A,FALSE,"주요여수신";#N/A,#N/A,FALSE,"수신금리";#N/A,#N/A,FALSE,"대출금리";#N/A,#N/A,FALSE,"신규대출";#N/A,#N/A,FALSE,"총액대출"}</definedName>
    <definedName name="ㄴ" hidden="1">{#N/A,#N/A,FALSE,"주요여수신";#N/A,#N/A,FALSE,"수신금리";#N/A,#N/A,FALSE,"대출금리";#N/A,#N/A,FALSE,"신규대출";#N/A,#N/A,FALSE,"총액대출"}</definedName>
    <definedName name="ㄴㄴ" localSheetId="4" hidden="1">{#N/A,#N/A,FALSE,"Aging Summary";#N/A,#N/A,FALSE,"Ratio Analysis";#N/A,#N/A,FALSE,"Test 120 Day Accts";#N/A,#N/A,FALSE,"Tickmarks"}</definedName>
    <definedName name="ㄴㄴ" hidden="1">{#N/A,#N/A,FALSE,"Aging Summary";#N/A,#N/A,FALSE,"Ratio Analysis";#N/A,#N/A,FALSE,"Test 120 Day Accts";#N/A,#N/A,FALSE,"Tickmarks"}</definedName>
    <definedName name="ㄴㄴㄴㄴㄴㄴ" localSheetId="4" hidden="1">#REF!</definedName>
    <definedName name="ㄴㄴㄴㄴㄴㄴ" hidden="1">#REF!</definedName>
    <definedName name="ㄴㄴㅁ" localSheetId="4" hidden="1">#REF!</definedName>
    <definedName name="ㄴㄴㅁ" hidden="1">#REF!</definedName>
    <definedName name="ㄴㅁㅇㅎㅇ롱로" localSheetId="4" hidden="1">#REF!</definedName>
    <definedName name="ㄴㅁㅇㅎㅇ롱로" hidden="1">#REF!</definedName>
    <definedName name="ㄴㅇ" localSheetId="4" hidden="1">{#N/A,#N/A,TRUE,"Y생산";#N/A,#N/A,TRUE,"Y판매";#N/A,#N/A,TRUE,"Y총물량";#N/A,#N/A,TRUE,"Y능력";#N/A,#N/A,TRUE,"YKD"}</definedName>
    <definedName name="ㄴㅇ" hidden="1">{#N/A,#N/A,TRUE,"Y생산";#N/A,#N/A,TRUE,"Y판매";#N/A,#N/A,TRUE,"Y총물량";#N/A,#N/A,TRUE,"Y능력";#N/A,#N/A,TRUE,"YKD"}</definedName>
    <definedName name="ㄴㅇㄴ" localSheetId="4" hidden="1">{#N/A,#N/A,FALSE,"단축1";#N/A,#N/A,FALSE,"단축2";#N/A,#N/A,FALSE,"단축3";#N/A,#N/A,FALSE,"장축";#N/A,#N/A,FALSE,"4WD"}</definedName>
    <definedName name="ㄴㅇㄴ" hidden="1">{#N/A,#N/A,FALSE,"단축1";#N/A,#N/A,FALSE,"단축2";#N/A,#N/A,FALSE,"단축3";#N/A,#N/A,FALSE,"장축";#N/A,#N/A,FALSE,"4WD"}</definedName>
    <definedName name="ㄴㅇㄹ" localSheetId="4" hidden="1">{#N/A,#N/A,FALSE,"UNIT";#N/A,#N/A,FALSE,"UNIT";#N/A,#N/A,FALSE,"계정"}</definedName>
    <definedName name="ㄴㅇㄹ" hidden="1">{#N/A,#N/A,FALSE,"UNIT";#N/A,#N/A,FALSE,"UNIT";#N/A,#N/A,FALSE,"계정"}</definedName>
    <definedName name="ㄴㅇㄹㅁㅇㄹ" localSheetId="4" hidden="1">{#N/A,#N/A,FALSE,"UNIT";#N/A,#N/A,FALSE,"UNIT";#N/A,#N/A,FALSE,"계정"}</definedName>
    <definedName name="ㄴㅇㄹㅁㅇㄹ" hidden="1">{#N/A,#N/A,FALSE,"UNIT";#N/A,#N/A,FALSE,"UNIT";#N/A,#N/A,FALSE,"계정"}</definedName>
    <definedName name="ㄴㅇ라" localSheetId="4" hidden="1">{#N/A,#N/A,FALSE,"계약직(여)"}</definedName>
    <definedName name="ㄴㅇ라" hidden="1">{#N/A,#N/A,FALSE,"계약직(여)"}</definedName>
    <definedName name="ㄴㅇㅁㅇ" localSheetId="4" hidden="1">#REF!</definedName>
    <definedName name="ㄴㅇㅁㅇ" hidden="1">#REF!</definedName>
    <definedName name="ㄴㅋ" localSheetId="4" hidden="1">{#N/A,#N/A,FALSE,"단축1";#N/A,#N/A,FALSE,"단축2";#N/A,#N/A,FALSE,"단축3";#N/A,#N/A,FALSE,"장축";#N/A,#N/A,FALSE,"4WD"}</definedName>
    <definedName name="ㄴㅋ" hidden="1">{#N/A,#N/A,FALSE,"단축1";#N/A,#N/A,FALSE,"단축2";#N/A,#N/A,FALSE,"단축3";#N/A,#N/A,FALSE,"장축";#N/A,#N/A,FALSE,"4WD"}</definedName>
    <definedName name="나" localSheetId="4" hidden="1">{#N/A,#N/A,FALSE,"전제";#N/A,#N/A,FALSE,"표지";#N/A,#N/A,FALSE,"6D16";#N/A,#N/A,FALSE,"6D22";#N/A,#N/A,FALSE,"6D22-T";#N/A,#N/A,FALSE,"Q-DEG";#N/A,#N/A,FALSE,"총손";#N/A,#N/A,FALSE,"대당";#N/A,#N/A,FALSE,"가공비"}</definedName>
    <definedName name="나" hidden="1">{#N/A,#N/A,FALSE,"전제";#N/A,#N/A,FALSE,"표지";#N/A,#N/A,FALSE,"6D16";#N/A,#N/A,FALSE,"6D22";#N/A,#N/A,FALSE,"6D22-T";#N/A,#N/A,FALSE,"Q-DEG";#N/A,#N/A,FALSE,"총손";#N/A,#N/A,FALSE,"대당";#N/A,#N/A,FALSE,"가공비"}</definedName>
    <definedName name="나다" localSheetId="4" hidden="1">{#N/A,#N/A,FALSE,"품의서";#N/A,#N/A,FALSE,"전제";#N/A,#N/A,FALSE,"총손";#N/A,#N/A,FALSE,"손익"}</definedName>
    <definedName name="나다" hidden="1">{#N/A,#N/A,FALSE,"품의서";#N/A,#N/A,FALSE,"전제";#N/A,#N/A,FALSE,"총손";#N/A,#N/A,FALSE,"손익"}</definedName>
    <definedName name="냉무" localSheetId="4" hidden="1">{#N/A,#N/A,FALSE,"계약직(여)"}</definedName>
    <definedName name="냉무" hidden="1">{#N/A,#N/A,FALSE,"계약직(여)"}</definedName>
    <definedName name="너" localSheetId="4" hidden="1">{#N/A,#N/A,FALSE,"전제";#N/A,#N/A,FALSE,"표지";#N/A,#N/A,FALSE,"6D16";#N/A,#N/A,FALSE,"6D22";#N/A,#N/A,FALSE,"6D22-T";#N/A,#N/A,FALSE,"Q-DEG";#N/A,#N/A,FALSE,"총손";#N/A,#N/A,FALSE,"대당";#N/A,#N/A,FALSE,"가공비"}</definedName>
    <definedName name="너" hidden="1">{#N/A,#N/A,FALSE,"전제";#N/A,#N/A,FALSE,"표지";#N/A,#N/A,FALSE,"6D16";#N/A,#N/A,FALSE,"6D22";#N/A,#N/A,FALSE,"6D22-T";#N/A,#N/A,FALSE,"Q-DEG";#N/A,#N/A,FALSE,"총손";#N/A,#N/A,FALSE,"대당";#N/A,#N/A,FALSE,"가공비"}</definedName>
    <definedName name="노원문화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누리" localSheetId="4" hidden="1">{#N/A,#N/A,TRUE,"Y생산";#N/A,#N/A,TRUE,"Y판매";#N/A,#N/A,TRUE,"Y총물량";#N/A,#N/A,TRUE,"Y능력";#N/A,#N/A,TRUE,"YKD"}</definedName>
    <definedName name="누리" hidden="1">{#N/A,#N/A,TRUE,"Y생산";#N/A,#N/A,TRUE,"Y판매";#N/A,#N/A,TRUE,"Y총물량";#N/A,#N/A,TRUE,"Y능력";#N/A,#N/A,TRUE,"YKD"}</definedName>
    <definedName name="누적비용" localSheetId="4" hidden="1">{#N/A,#N/A,TRUE,"Y생산";#N/A,#N/A,TRUE,"Y판매";#N/A,#N/A,TRUE,"Y총물량";#N/A,#N/A,TRUE,"Y능력";#N/A,#N/A,TRUE,"YKD"}</definedName>
    <definedName name="누적비용" hidden="1">{#N/A,#N/A,TRUE,"Y생산";#N/A,#N/A,TRUE,"Y판매";#N/A,#N/A,TRUE,"Y총물량";#N/A,#N/A,TRUE,"Y능력";#N/A,#N/A,TRUE,"YKD"}</definedName>
    <definedName name="닝잉" localSheetId="4" hidden="1">{#N/A,#N/A,TRUE,"Y생산";#N/A,#N/A,TRUE,"Y판매";#N/A,#N/A,TRUE,"Y총물량";#N/A,#N/A,TRUE,"Y능력";#N/A,#N/A,TRUE,"YKD"}</definedName>
    <definedName name="닝잉" hidden="1">{#N/A,#N/A,TRUE,"Y생산";#N/A,#N/A,TRUE,"Y판매";#N/A,#N/A,TRUE,"Y총물량";#N/A,#N/A,TRUE,"Y능력";#N/A,#N/A,TRUE,"YKD"}</definedName>
    <definedName name="ㄷㄴㅊ투ㅠ" localSheetId="4" hidden="1">{#N/A,#N/A,FALSE,"96 3월물량표";#N/A,#N/A,FALSE,"96 4월물량표";#N/A,#N/A,FALSE,"96 5월물량표"}</definedName>
    <definedName name="ㄷㄴㅊ투ㅠ" hidden="1">{#N/A,#N/A,FALSE,"96 3월물량표";#N/A,#N/A,FALSE,"96 4월물량표";#N/A,#N/A,FALSE,"96 5월물량표"}</definedName>
    <definedName name="ㄷㄷ" localSheetId="4" hidden="1">{#N/A,#N/A,FALSE,"단축1";#N/A,#N/A,FALSE,"단축2";#N/A,#N/A,FALSE,"단축3";#N/A,#N/A,FALSE,"장축";#N/A,#N/A,FALSE,"4WD"}</definedName>
    <definedName name="ㄷㄷ" hidden="1">{#N/A,#N/A,FALSE,"단축1";#N/A,#N/A,FALSE,"단축2";#N/A,#N/A,FALSE,"단축3";#N/A,#N/A,FALSE,"장축";#N/A,#N/A,FALSE,"4WD"}</definedName>
    <definedName name="ㄷㄷㄷㄷㄷㄷㄷㄷ" localSheetId="4" hidden="1">#REF!</definedName>
    <definedName name="ㄷㄷㄷㄷㄷㄷㄷㄷ" hidden="1">#REF!</definedName>
    <definedName name="ㄷㅇ" localSheetId="4" hidden="1">{#N/A,#N/A,TRUE,"Y생산";#N/A,#N/A,TRUE,"Y판매";#N/A,#N/A,TRUE,"Y총물량";#N/A,#N/A,TRUE,"Y능력";#N/A,#N/A,TRUE,"YKD"}</definedName>
    <definedName name="ㄷㅇ" hidden="1">{#N/A,#N/A,TRUE,"Y생산";#N/A,#N/A,TRUE,"Y판매";#N/A,#N/A,TRUE,"Y총물량";#N/A,#N/A,TRUE,"Y능력";#N/A,#N/A,TRUE,"YKD"}</definedName>
    <definedName name="다시" localSheetId="4" hidden="1">{#N/A,#N/A,TRUE,"Y생산";#N/A,#N/A,TRUE,"Y판매";#N/A,#N/A,TRUE,"Y총물량";#N/A,#N/A,TRUE,"Y능력";#N/A,#N/A,TRUE,"YKD"}</definedName>
    <definedName name="다시" hidden="1">{#N/A,#N/A,TRUE,"Y생산";#N/A,#N/A,TRUE,"Y판매";#N/A,#N/A,TRUE,"Y총물량";#N/A,#N/A,TRUE,"Y능력";#N/A,#N/A,TRUE,"YKD"}</definedName>
    <definedName name="다시사" localSheetId="4" hidden="1">{#N/A,#N/A,TRUE,"Y생산";#N/A,#N/A,TRUE,"Y판매";#N/A,#N/A,TRUE,"Y총물량";#N/A,#N/A,TRUE,"Y능력";#N/A,#N/A,TRUE,"YKD"}</definedName>
    <definedName name="다시사" hidden="1">{#N/A,#N/A,TRUE,"Y생산";#N/A,#N/A,TRUE,"Y판매";#N/A,#N/A,TRUE,"Y총물량";#N/A,#N/A,TRUE,"Y능력";#N/A,#N/A,TRUE,"YKD"}</definedName>
    <definedName name="단가기준" localSheetId="4" hidden="1">{#N/A,#N/A,TRUE,"Y생산";#N/A,#N/A,TRUE,"Y판매";#N/A,#N/A,TRUE,"Y총물량";#N/A,#N/A,TRUE,"Y능력";#N/A,#N/A,TRUE,"YKD"}</definedName>
    <definedName name="단가기준" hidden="1">{#N/A,#N/A,TRUE,"Y생산";#N/A,#N/A,TRUE,"Y판매";#N/A,#N/A,TRUE,"Y총물량";#N/A,#N/A,TRUE,"Y능력";#N/A,#N/A,TRUE,"YKD"}</definedName>
    <definedName name="단기" localSheetId="4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단기대여금" localSheetId="4" hidden="1">{#N/A,#N/A,TRUE,"Y생산";#N/A,#N/A,TRUE,"Y판매";#N/A,#N/A,TRUE,"Y총물량";#N/A,#N/A,TRUE,"Y능력";#N/A,#N/A,TRUE,"YKD"}</definedName>
    <definedName name="단기대여금" hidden="1">{#N/A,#N/A,TRUE,"Y생산";#N/A,#N/A,TRUE,"Y판매";#N/A,#N/A,TRUE,"Y총물량";#N/A,#N/A,TRUE,"Y능력";#N/A,#N/A,TRUE,"YKD"}</definedName>
    <definedName name="단조편성표" localSheetId="4" hidden="1">{#N/A,#N/A,FALSE,"단축1";#N/A,#N/A,FALSE,"단축2";#N/A,#N/A,FALSE,"단축3";#N/A,#N/A,FALSE,"장축";#N/A,#N/A,FALSE,"4WD"}</definedName>
    <definedName name="단조편성표" hidden="1">{#N/A,#N/A,FALSE,"단축1";#N/A,#N/A,FALSE,"단축2";#N/A,#N/A,FALSE,"단축3";#N/A,#N/A,FALSE,"장축";#N/A,#N/A,FALSE,"4WD"}</definedName>
    <definedName name="담당별조정" localSheetId="4" hidden="1">{#N/A,#N/A,FALSE,"신규dep";#N/A,#N/A,FALSE,"신규dep-금형상각후";#N/A,#N/A,FALSE,"신규dep-연구비상각후";#N/A,#N/A,FALSE,"신규dep-기계,공구상각후"}</definedName>
    <definedName name="담당별조정" hidden="1">{#N/A,#N/A,FALSE,"신규dep";#N/A,#N/A,FALSE,"신규dep-금형상각후";#N/A,#N/A,FALSE,"신규dep-연구비상각후";#N/A,#N/A,FALSE,"신규dep-기계,공구상각후"}</definedName>
    <definedName name="대4" localSheetId="4" hidden="1">{#N/A,#N/A,FALSE,"전제";#N/A,#N/A,FALSE,"표지";#N/A,#N/A,FALSE,"6D16";#N/A,#N/A,FALSE,"6D22";#N/A,#N/A,FALSE,"6D22-T";#N/A,#N/A,FALSE,"Q-DEG";#N/A,#N/A,FALSE,"총손";#N/A,#N/A,FALSE,"대당";#N/A,#N/A,FALSE,"가공비"}</definedName>
    <definedName name="대4" hidden="1">{#N/A,#N/A,FALSE,"전제";#N/A,#N/A,FALSE,"표지";#N/A,#N/A,FALSE,"6D16";#N/A,#N/A,FALSE,"6D22";#N/A,#N/A,FALSE,"6D22-T";#N/A,#N/A,FALSE,"Q-DEG";#N/A,#N/A,FALSE,"총손";#N/A,#N/A,FALSE,"대당";#N/A,#N/A,FALSE,"가공비"}</definedName>
    <definedName name="대5" localSheetId="4" hidden="1">{#N/A,#N/A,FALSE,"표지";#N/A,#N/A,FALSE,"전제";#N/A,#N/A,FALSE,"대당";#N/A,#N/A,FALSE,"가공비";#N/A,#N/A,FALSE,"재료비";#N/A,#N/A,FALSE,"손익"}</definedName>
    <definedName name="대5" hidden="1">{#N/A,#N/A,FALSE,"표지";#N/A,#N/A,FALSE,"전제";#N/A,#N/A,FALSE,"대당";#N/A,#N/A,FALSE,"가공비";#N/A,#N/A,FALSE,"재료비";#N/A,#N/A,FALSE,"손익"}</definedName>
    <definedName name="대6" localSheetId="4" hidden="1">{#N/A,#N/A,FALSE,"품의서";#N/A,#N/A,FALSE,"전제";#N/A,#N/A,FALSE,"총손";#N/A,#N/A,FALSE,"손익"}</definedName>
    <definedName name="대6" hidden="1">{#N/A,#N/A,FALSE,"품의서";#N/A,#N/A,FALSE,"전제";#N/A,#N/A,FALSE,"총손";#N/A,#N/A,FALSE,"손익"}</definedName>
    <definedName name="대발이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발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방총괄" localSheetId="4" hidden="1">{#N/A,#N/A,FALSE,"단축1";#N/A,#N/A,FALSE,"단축2";#N/A,#N/A,FALSE,"단축3";#N/A,#N/A,FALSE,"장축";#N/A,#N/A,FALSE,"4WD"}</definedName>
    <definedName name="대방총괄" hidden="1">{#N/A,#N/A,FALSE,"단축1";#N/A,#N/A,FALSE,"단축2";#N/A,#N/A,FALSE,"단축3";#N/A,#N/A,FALSE,"장축";#N/A,#N/A,FALSE,"4WD"}</definedName>
    <definedName name="대상" localSheetId="4" hidden="1">{#N/A,#N/A,FALSE,"품의서";#N/A,#N/A,FALSE,"전제";#N/A,#N/A,FALSE,"총손";#N/A,#N/A,FALSE,"손익"}</definedName>
    <definedName name="대상" hidden="1">{#N/A,#N/A,FALSE,"품의서";#N/A,#N/A,FALSE,"전제";#N/A,#N/A,FALSE,"총손";#N/A,#N/A,FALSE,"손익"}</definedName>
    <definedName name="대상전기" localSheetId="4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대상전기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대여금" localSheetId="4" hidden="1">{#N/A,#N/A,FALSE,"보험현황";#N/A,#N/A,FALSE,"보험현황"}</definedName>
    <definedName name="대여금" hidden="1">{#N/A,#N/A,FALSE,"보험현황";#N/A,#N/A,FALSE,"보험현황"}</definedName>
    <definedName name="대원" localSheetId="4" hidden="1">#REF!</definedName>
    <definedName name="대원" hidden="1">#REF!</definedName>
    <definedName name="대원3" localSheetId="4" hidden="1">#REF!</definedName>
    <definedName name="대원3" hidden="1">#REF!</definedName>
    <definedName name="대원4" localSheetId="4" hidden="1">#REF!</definedName>
    <definedName name="대원4" hidden="1">#REF!</definedName>
    <definedName name="대차대조표" localSheetId="4" hidden="1">{#N/A,#N/A,FALSE,"보험현황";#N/A,#N/A,FALSE,"보험현황"}</definedName>
    <definedName name="대차대조표" hidden="1">{#N/A,#N/A,FALSE,"보험현황";#N/A,#N/A,FALSE,"보험현황"}</definedName>
    <definedName name="대차대조표_최종" localSheetId="4" hidden="1">{#N/A,#N/A,FALSE,"보험현황";#N/A,#N/A,FALSE,"보험현황"}</definedName>
    <definedName name="대차대조표_최종" hidden="1">{#N/A,#N/A,FALSE,"보험현황";#N/A,#N/A,FALSE,"보험현황"}</definedName>
    <definedName name="도장" localSheetId="4" hidden="1">{#N/A,#N/A,TRUE,"Y생산";#N/A,#N/A,TRUE,"Y판매";#N/A,#N/A,TRUE,"Y총물량";#N/A,#N/A,TRUE,"Y능력";#N/A,#N/A,TRUE,"YKD"}</definedName>
    <definedName name="도장" hidden="1">{#N/A,#N/A,TRUE,"Y생산";#N/A,#N/A,TRUE,"Y판매";#N/A,#N/A,TRUE,"Y총물량";#N/A,#N/A,TRUE,"Y능력";#N/A,#N/A,TRUE,"YKD"}</definedName>
    <definedName name="독일" localSheetId="4" hidden="1">{#N/A,#N/A,TRUE,"Y생산";#N/A,#N/A,TRUE,"Y판매";#N/A,#N/A,TRUE,"Y총물량";#N/A,#N/A,TRUE,"Y능력";#N/A,#N/A,TRUE,"YKD"}</definedName>
    <definedName name="독일" hidden="1">{#N/A,#N/A,TRUE,"Y생산";#N/A,#N/A,TRUE,"Y판매";#N/A,#N/A,TRUE,"Y총물량";#N/A,#N/A,TRUE,"Y능력";#N/A,#N/A,TRUE,"YKD"}</definedName>
    <definedName name="디젤1" localSheetId="4" hidden="1">{#N/A,#N/A,FALSE,"단축1";#N/A,#N/A,FALSE,"단축2";#N/A,#N/A,FALSE,"단축3";#N/A,#N/A,FALSE,"장축";#N/A,#N/A,FALSE,"4WD"}</definedName>
    <definedName name="디젤1" hidden="1">{#N/A,#N/A,FALSE,"단축1";#N/A,#N/A,FALSE,"단축2";#N/A,#N/A,FALSE,"단축3";#N/A,#N/A,FALSE,"장축";#N/A,#N/A,FALSE,"4WD"}</definedName>
    <definedName name="디ㅣ낭" localSheetId="4" hidden="1">{#N/A,#N/A,TRUE,"Y생산";#N/A,#N/A,TRUE,"Y판매";#N/A,#N/A,TRUE,"Y총물량";#N/A,#N/A,TRUE,"Y능력";#N/A,#N/A,TRUE,"YKD"}</definedName>
    <definedName name="디ㅣ낭" hidden="1">{#N/A,#N/A,TRUE,"Y생산";#N/A,#N/A,TRUE,"Y판매";#N/A,#N/A,TRUE,"Y총물량";#N/A,#N/A,TRUE,"Y능력";#N/A,#N/A,TRUE,"YKD"}</definedName>
    <definedName name="ㄹㄴㅇㅁㅇㄴ" localSheetId="4" hidden="1">{#N/A,#N/A,FALSE,"UNIT";#N/A,#N/A,FALSE,"UNIT";#N/A,#N/A,FALSE,"계정"}</definedName>
    <definedName name="ㄹㄴㅇㅁㅇㄴ" hidden="1">{#N/A,#N/A,FALSE,"UNIT";#N/A,#N/A,FALSE,"UNIT";#N/A,#N/A,FALSE,"계정"}</definedName>
    <definedName name="ㄹㄴㅇㅁㅇㄹ" localSheetId="4" hidden="1">{#N/A,#N/A,FALSE,"UNIT";#N/A,#N/A,FALSE,"UNIT";#N/A,#N/A,FALSE,"계정"}</definedName>
    <definedName name="ㄹㄴㅇㅁㅇㄹ" hidden="1">{#N/A,#N/A,FALSE,"UNIT";#N/A,#N/A,FALSE,"UNIT";#N/A,#N/A,FALSE,"계정"}</definedName>
    <definedName name="ㄹㄹㄹ" localSheetId="4" hidden="1">#REF!</definedName>
    <definedName name="ㄹㄹㄹ" hidden="1">#REF!</definedName>
    <definedName name="ㄹㅇ" localSheetId="4" hidden="1">{#N/A,#N/A,TRUE,"Y생산";#N/A,#N/A,TRUE,"Y판매";#N/A,#N/A,TRUE,"Y총물량";#N/A,#N/A,TRUE,"Y능력";#N/A,#N/A,TRUE,"YKD"}</definedName>
    <definedName name="ㄹㅇ" hidden="1">{#N/A,#N/A,TRUE,"Y생산";#N/A,#N/A,TRUE,"Y판매";#N/A,#N/A,TRUE,"Y총물량";#N/A,#N/A,TRUE,"Y능력";#N/A,#N/A,TRUE,"YKD"}</definedName>
    <definedName name="ㄹ어ㅓ럴" localSheetId="4" hidden="1">{#N/A,#N/A,FALSE,"단축1";#N/A,#N/A,FALSE,"단축2";#N/A,#N/A,FALSE,"단축3";#N/A,#N/A,FALSE,"장축";#N/A,#N/A,FALSE,"4WD"}</definedName>
    <definedName name="ㄹ어ㅓ럴" hidden="1">{#N/A,#N/A,FALSE,"단축1";#N/A,#N/A,FALSE,"단축2";#N/A,#N/A,FALSE,"단축3";#N/A,#N/A,FALSE,"장축";#N/A,#N/A,FALSE,"4WD"}</definedName>
    <definedName name="ㄹ히" localSheetId="4" hidden="1">{#N/A,#N/A,TRUE,"Y생산";#N/A,#N/A,TRUE,"Y판매";#N/A,#N/A,TRUE,"Y총물량";#N/A,#N/A,TRUE,"Y능력";#N/A,#N/A,TRUE,"YKD"}</definedName>
    <definedName name="ㄹ히" hidden="1">{#N/A,#N/A,TRUE,"Y생산";#N/A,#N/A,TRUE,"Y판매";#N/A,#N/A,TRUE,"Y총물량";#N/A,#N/A,TRUE,"Y능력";#N/A,#N/A,TRUE,"YKD"}</definedName>
    <definedName name="러시아" localSheetId="4" hidden="1">{#N/A,#N/A,FALSE,"단축1";#N/A,#N/A,FALSE,"단축2";#N/A,#N/A,FALSE,"단축3";#N/A,#N/A,FALSE,"장축";#N/A,#N/A,FALSE,"4WD"}</definedName>
    <definedName name="러시아" hidden="1">{#N/A,#N/A,FALSE,"단축1";#N/A,#N/A,FALSE,"단축2";#N/A,#N/A,FALSE,"단축3";#N/A,#N/A,FALSE,"장축";#N/A,#N/A,FALSE,"4WD"}</definedName>
    <definedName name="렁ㅁ니만ㅇ" localSheetId="4" hidden="1">{#N/A,#N/A,FALSE,"주요여수신";#N/A,#N/A,FALSE,"수신금리";#N/A,#N/A,FALSE,"대출금리";#N/A,#N/A,FALSE,"신규대출";#N/A,#N/A,FALSE,"총액대출"}</definedName>
    <definedName name="렁ㅁ니만ㅇ" hidden="1">{#N/A,#N/A,FALSE,"주요여수신";#N/A,#N/A,FALSE,"수신금리";#N/A,#N/A,FALSE,"대출금리";#N/A,#N/A,FALSE,"신규대출";#N/A,#N/A,FALSE,"총액대출"}</definedName>
    <definedName name="류" localSheetId="4" hidden="1">{#N/A,#N/A,TRUE,"Y생산";#N/A,#N/A,TRUE,"Y판매";#N/A,#N/A,TRUE,"Y총물량";#N/A,#N/A,TRUE,"Y능력";#N/A,#N/A,TRUE,"YKD"}</definedName>
    <definedName name="류" hidden="1">{#N/A,#N/A,TRUE,"Y생산";#N/A,#N/A,TRUE,"Y판매";#N/A,#N/A,TRUE,"Y총물량";#N/A,#N/A,TRUE,"Y능력";#N/A,#N/A,TRUE,"YKD"}</definedName>
    <definedName name="ㅀㅇ" localSheetId="4" hidden="1">#REF!</definedName>
    <definedName name="ㅀㅇ" hidden="1">#REF!</definedName>
    <definedName name="ㅁㄴ" localSheetId="4" hidden="1">{#N/A,#N/A,TRUE,"Y생산";#N/A,#N/A,TRUE,"Y판매";#N/A,#N/A,TRUE,"Y총물량";#N/A,#N/A,TRUE,"Y능력";#N/A,#N/A,TRUE,"YKD"}</definedName>
    <definedName name="ㅁㄴ" hidden="1">{#N/A,#N/A,TRUE,"Y생산";#N/A,#N/A,TRUE,"Y판매";#N/A,#N/A,TRUE,"Y총물량";#N/A,#N/A,TRUE,"Y능력";#N/A,#N/A,TRUE,"YKD"}</definedName>
    <definedName name="ㅁㄴㅁ" localSheetId="4" hidden="1">{#N/A,#N/A,TRUE,"Y생산";#N/A,#N/A,TRUE,"Y판매";#N/A,#N/A,TRUE,"Y총물량";#N/A,#N/A,TRUE,"Y능력";#N/A,#N/A,TRUE,"YKD"}</definedName>
    <definedName name="ㅁㄴㅁ" hidden="1">{#N/A,#N/A,TRUE,"Y생산";#N/A,#N/A,TRUE,"Y판매";#N/A,#N/A,TRUE,"Y총물량";#N/A,#N/A,TRUE,"Y능력";#N/A,#N/A,TRUE,"YKD"}</definedName>
    <definedName name="ㅁㄴㅇㄴㄹ" localSheetId="4" hidden="1">#REF!</definedName>
    <definedName name="ㅁㄴㅇㄴㄹ" hidden="1">#REF!</definedName>
    <definedName name="ㅁㄴㅇㄹ" localSheetId="4" hidden="1">{#N/A,#N/A,TRUE,"Y생산";#N/A,#N/A,TRUE,"Y판매";#N/A,#N/A,TRUE,"Y총물량";#N/A,#N/A,TRUE,"Y능력";#N/A,#N/A,TRUE,"YKD"}</definedName>
    <definedName name="ㅁㄴㅇㄹ" hidden="1">{#N/A,#N/A,TRUE,"Y생산";#N/A,#N/A,TRUE,"Y판매";#N/A,#N/A,TRUE,"Y총물량";#N/A,#N/A,TRUE,"Y능력";#N/A,#N/A,TRUE,"YKD"}</definedName>
    <definedName name="ㅁㅁㅁㅁ" localSheetId="4" hidden="1">{#N/A,#N/A,FALSE,"UNIT";#N/A,#N/A,FALSE,"UNIT";#N/A,#N/A,FALSE,"계정"}</definedName>
    <definedName name="ㅁㅁㅁㅁ" hidden="1">{#N/A,#N/A,FALSE,"UNIT";#N/A,#N/A,FALSE,"UNIT";#N/A,#N/A,FALSE,"계정"}</definedName>
    <definedName name="ㅁㅁㅁㅁㅁ" localSheetId="4" hidden="1">{#N/A,#N/A,FALSE,"UNIT";#N/A,#N/A,FALSE,"UNIT";#N/A,#N/A,FALSE,"계정"}</definedName>
    <definedName name="ㅁㅁㅁㅁㅁ" hidden="1">{#N/A,#N/A,FALSE,"UNIT";#N/A,#N/A,FALSE,"UNIT";#N/A,#N/A,FALSE,"계정"}</definedName>
    <definedName name="ㅁㅇ" localSheetId="4" hidden="1">{#N/A,#N/A,TRUE,"Y생산";#N/A,#N/A,TRUE,"Y판매";#N/A,#N/A,TRUE,"Y총물량";#N/A,#N/A,TRUE,"Y능력";#N/A,#N/A,TRUE,"YKD"}</definedName>
    <definedName name="ㅁㅇ" hidden="1">{#N/A,#N/A,TRUE,"Y생산";#N/A,#N/A,TRUE,"Y판매";#N/A,#N/A,TRUE,"Y총물량";#N/A,#N/A,TRUE,"Y능력";#N/A,#N/A,TRUE,"YKD"}</definedName>
    <definedName name="마11111" localSheetId="4" hidden="1">{#N/A,#N/A,TRUE,"Y생산";#N/A,#N/A,TRUE,"Y판매";#N/A,#N/A,TRUE,"Y총물량";#N/A,#N/A,TRUE,"Y능력";#N/A,#N/A,TRUE,"YKD"}</definedName>
    <definedName name="마11111" hidden="1">{#N/A,#N/A,TRUE,"Y생산";#N/A,#N/A,TRUE,"Y판매";#N/A,#N/A,TRUE,"Y총물량";#N/A,#N/A,TRUE,"Y능력";#N/A,#N/A,TRUE,"YKD"}</definedName>
    <definedName name="마감" localSheetId="4" hidden="1">{#N/A,#N/A,TRUE,"Y생산";#N/A,#N/A,TRUE,"Y판매";#N/A,#N/A,TRUE,"Y총물량";#N/A,#N/A,TRUE,"Y능력";#N/A,#N/A,TRUE,"YKD"}</definedName>
    <definedName name="마감" hidden="1">{#N/A,#N/A,TRUE,"Y생산";#N/A,#N/A,TRUE,"Y판매";#N/A,#N/A,TRUE,"Y총물량";#N/A,#N/A,TRUE,"Y능력";#N/A,#N/A,TRUE,"YKD"}</definedName>
    <definedName name="마감12" localSheetId="4" hidden="1">{#N/A,#N/A,TRUE,"Y생산";#N/A,#N/A,TRUE,"Y판매";#N/A,#N/A,TRUE,"Y총물량";#N/A,#N/A,TRUE,"Y능력";#N/A,#N/A,TRUE,"YKD"}</definedName>
    <definedName name="마감12" hidden="1">{#N/A,#N/A,TRUE,"Y생산";#N/A,#N/A,TRUE,"Y판매";#N/A,#N/A,TRUE,"Y총물량";#N/A,#N/A,TRUE,"Y능력";#N/A,#N/A,TRUE,"YKD"}</definedName>
    <definedName name="마감123" localSheetId="4" hidden="1">{#N/A,#N/A,FALSE,"96 3월물량표";#N/A,#N/A,FALSE,"96 4월물량표";#N/A,#N/A,FALSE,"96 5월물량표"}</definedName>
    <definedName name="마감123" hidden="1">{#N/A,#N/A,FALSE,"96 3월물량표";#N/A,#N/A,FALSE,"96 4월물량표";#N/A,#N/A,FALSE,"96 5월물량표"}</definedName>
    <definedName name="마감830" localSheetId="4" hidden="1">{#N/A,#N/A,TRUE,"Y생산";#N/A,#N/A,TRUE,"Y판매";#N/A,#N/A,TRUE,"Y총물량";#N/A,#N/A,TRUE,"Y능력";#N/A,#N/A,TRUE,"YKD"}</definedName>
    <definedName name="마감830" hidden="1">{#N/A,#N/A,TRUE,"Y생산";#N/A,#N/A,TRUE,"Y판매";#N/A,#N/A,TRUE,"Y총물량";#N/A,#N/A,TRUE,"Y능력";#N/A,#N/A,TRUE,"YKD"}</definedName>
    <definedName name="마감831" localSheetId="4" hidden="1">{#N/A,#N/A,FALSE,"96 3월물량표";#N/A,#N/A,FALSE,"96 4월물량표";#N/A,#N/A,FALSE,"96 5월물량표"}</definedName>
    <definedName name="마감831" hidden="1">{#N/A,#N/A,FALSE,"96 3월물량표";#N/A,#N/A,FALSE,"96 4월물량표";#N/A,#N/A,FALSE,"96 5월물량표"}</definedName>
    <definedName name="매출05" localSheetId="4" hidden="1">{#N/A,#N/A,FALSE,"단축1";#N/A,#N/A,FALSE,"단축2";#N/A,#N/A,FALSE,"단축3";#N/A,#N/A,FALSE,"장축";#N/A,#N/A,FALSE,"4WD"}</definedName>
    <definedName name="매출05" hidden="1">{#N/A,#N/A,FALSE,"단축1";#N/A,#N/A,FALSE,"단축2";#N/A,#N/A,FALSE,"단축3";#N/A,#N/A,FALSE,"장축";#N/A,#N/A,FALSE,"4WD"}</definedName>
    <definedName name="매출2005" localSheetId="4" hidden="1">{#N/A,#N/A,FALSE,"단축1";#N/A,#N/A,FALSE,"단축2";#N/A,#N/A,FALSE,"단축3";#N/A,#N/A,FALSE,"장축";#N/A,#N/A,FALSE,"4WD"}</definedName>
    <definedName name="매출2005" hidden="1">{#N/A,#N/A,FALSE,"단축1";#N/A,#N/A,FALSE,"단축2";#N/A,#N/A,FALSE,"단축3";#N/A,#N/A,FALSE,"장축";#N/A,#N/A,FALSE,"4WD"}</definedName>
    <definedName name="매출5" localSheetId="4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매출5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매출계획" localSheetId="4" hidden="1">{#N/A,#N/A,FALSE,"UNIT";#N/A,#N/A,FALSE,"UNIT";#N/A,#N/A,FALSE,"계정"}</definedName>
    <definedName name="매출계획" hidden="1">{#N/A,#N/A,FALSE,"UNIT";#N/A,#N/A,FALSE,"UNIT";#N/A,#N/A,FALSE,"계정"}</definedName>
    <definedName name="매출원가" localSheetId="4" hidden="1">{#N/A,#N/A,FALSE,"Aging Summary";#N/A,#N/A,FALSE,"Ratio Analysis";#N/A,#N/A,FALSE,"Test 120 Day Accts";#N/A,#N/A,FALSE,"Tickmarks"}</definedName>
    <definedName name="매출원가" hidden="1">{#N/A,#N/A,FALSE,"Aging Summary";#N/A,#N/A,FALSE,"Ratio Analysis";#N/A,#N/A,FALSE,"Test 120 Day Accts";#N/A,#N/A,FALSE,"Tickmarks"}</definedName>
    <definedName name="매출원가1" localSheetId="4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매출채권_금감원" localSheetId="4" hidden="1">{#N/A,#N/A,FALSE,"보험현황";#N/A,#N/A,FALSE,"보험현황"}</definedName>
    <definedName name="매출채권_금감원" hidden="1">{#N/A,#N/A,FALSE,"보험현황";#N/A,#N/A,FALSE,"보험현황"}</definedName>
    <definedName name="모" localSheetId="4" hidden="1">{#N/A,#N/A,FALSE,"UNIT";#N/A,#N/A,FALSE,"UNIT";#N/A,#N/A,FALSE,"계정"}</definedName>
    <definedName name="모" hidden="1">{#N/A,#N/A,FALSE,"UNIT";#N/A,#N/A,FALSE,"UNIT";#N/A,#N/A,FALSE,"계정"}</definedName>
    <definedName name="목차" localSheetId="4" hidden="1">{#N/A,#N/A,FALSE,"주요여수신";#N/A,#N/A,FALSE,"수신금리";#N/A,#N/A,FALSE,"대출금리";#N/A,#N/A,FALSE,"신규대출";#N/A,#N/A,FALSE,"총액대출"}</definedName>
    <definedName name="목차" hidden="1">{#N/A,#N/A,FALSE,"주요여수신";#N/A,#N/A,FALSE,"수신금리";#N/A,#N/A,FALSE,"대출금리";#N/A,#N/A,FALSE,"신규대출";#N/A,#N/A,FALSE,"총액대출"}</definedName>
    <definedName name="목차2" localSheetId="4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목차2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무빙로보트현황" localSheetId="4" hidden="1">{#N/A,#N/A,FALSE,"단축1";#N/A,#N/A,FALSE,"단축2";#N/A,#N/A,FALSE,"단축3";#N/A,#N/A,FALSE,"장축";#N/A,#N/A,FALSE,"4WD"}</definedName>
    <definedName name="무빙로보트현황" hidden="1">{#N/A,#N/A,FALSE,"단축1";#N/A,#N/A,FALSE,"단축2";#N/A,#N/A,FALSE,"단축3";#N/A,#N/A,FALSE,"장축";#N/A,#N/A,FALSE,"4WD"}</definedName>
    <definedName name="무형자산" localSheetId="4" hidden="1">{#N/A,#N/A,FALSE,"Aging Summary";#N/A,#N/A,FALSE,"Ratio Analysis";#N/A,#N/A,FALSE,"Test 120 Day Accts";#N/A,#N/A,FALSE,"Tickmarks"}</definedName>
    <definedName name="무형자산" hidden="1">{#N/A,#N/A,FALSE,"Aging Summary";#N/A,#N/A,FALSE,"Ratio Analysis";#N/A,#N/A,FALSE,"Test 120 Day Accts";#N/A,#N/A,FALSE,"Tickmarks"}</definedName>
    <definedName name="문제3" localSheetId="4" hidden="1">{#N/A,#N/A,FALSE,"단축1";#N/A,#N/A,FALSE,"단축2";#N/A,#N/A,FALSE,"단축3";#N/A,#N/A,FALSE,"장축";#N/A,#N/A,FALSE,"4WD"}</definedName>
    <definedName name="문제3" hidden="1">{#N/A,#N/A,FALSE,"단축1";#N/A,#N/A,FALSE,"단축2";#N/A,#N/A,FALSE,"단축3";#N/A,#N/A,FALSE,"장축";#N/A,#N/A,FALSE,"4WD"}</definedName>
    <definedName name="물랴자" localSheetId="4" hidden="1">{#N/A,#N/A,TRUE,"Y생산";#N/A,#N/A,TRUE,"Y판매";#N/A,#N/A,TRUE,"Y총물량";#N/A,#N/A,TRUE,"Y능력";#N/A,#N/A,TRUE,"YKD"}</definedName>
    <definedName name="물랴자" hidden="1">{#N/A,#N/A,TRUE,"Y생산";#N/A,#N/A,TRUE,"Y판매";#N/A,#N/A,TRUE,"Y총물량";#N/A,#N/A,TRUE,"Y능력";#N/A,#N/A,TRUE,"YKD"}</definedName>
    <definedName name="물량수" localSheetId="4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전ㅇ" localSheetId="4" hidden="1">{#N/A,#N/A,TRUE,"Y생산";#N/A,#N/A,TRUE,"Y판매";#N/A,#N/A,TRUE,"Y총물량";#N/A,#N/A,TRUE,"Y능력";#N/A,#N/A,TRUE,"YKD"}</definedName>
    <definedName name="물량수전ㅇ" hidden="1">{#N/A,#N/A,TRUE,"Y생산";#N/A,#N/A,TRUE,"Y판매";#N/A,#N/A,TRUE,"Y총물량";#N/A,#N/A,TRUE,"Y능력";#N/A,#N/A,TRUE,"YKD"}</definedName>
    <definedName name="물량수정" localSheetId="4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localSheetId="4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localSheetId="4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localSheetId="4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localSheetId="4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수" localSheetId="4" hidden="1">{#N/A,#N/A,TRUE,"Y생산";#N/A,#N/A,TRUE,"Y판매";#N/A,#N/A,TRUE,"Y총물량";#N/A,#N/A,TRUE,"Y능력";#N/A,#N/A,TRUE,"YKD"}</definedName>
    <definedName name="물수" hidden="1">{#N/A,#N/A,TRUE,"Y생산";#N/A,#N/A,TRUE,"Y판매";#N/A,#N/A,TRUE,"Y총물량";#N/A,#N/A,TRUE,"Y능력";#N/A,#N/A,TRUE,"YKD"}</definedName>
    <definedName name="뮤" localSheetId="4" hidden="1">{#N/A,#N/A,FALSE,"기술료 비교"}</definedName>
    <definedName name="뮤" hidden="1">{#N/A,#N/A,FALSE,"기술료 비교"}</definedName>
    <definedName name="ㅂ" localSheetId="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ㅂ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ㅂㄹ어ㅏㄹ아ㅐㅑ" localSheetId="4" hidden="1">#REF!</definedName>
    <definedName name="ㅂㄹ어ㅏㄹ아ㅐㅑ" hidden="1">#REF!</definedName>
    <definedName name="바바라" localSheetId="4" hidden="1">{#N/A,#N/A,TRUE,"Y생산";#N/A,#N/A,TRUE,"Y판매";#N/A,#N/A,TRUE,"Y총물량";#N/A,#N/A,TRUE,"Y능력";#N/A,#N/A,TRUE,"YKD"}</definedName>
    <definedName name="바바라" hidden="1">{#N/A,#N/A,TRUE,"Y생산";#N/A,#N/A,TRUE,"Y판매";#N/A,#N/A,TRUE,"Y총물량";#N/A,#N/A,TRUE,"Y능력";#N/A,#N/A,TRUE,"YKD"}</definedName>
    <definedName name="바보야" localSheetId="4" hidden="1">{#N/A,#N/A,TRUE,"Y생산";#N/A,#N/A,TRUE,"Y판매";#N/A,#N/A,TRUE,"Y총물량";#N/A,#N/A,TRUE,"Y능력";#N/A,#N/A,TRUE,"YKD"}</definedName>
    <definedName name="바보야" hidden="1">{#N/A,#N/A,TRUE,"Y생산";#N/A,#N/A,TRUE,"Y판매";#N/A,#N/A,TRUE,"Y총물량";#N/A,#N/A,TRUE,"Y능력";#N/A,#N/A,TRUE,"YKD"}</definedName>
    <definedName name="박" localSheetId="4" hidden="1">{#N/A,#N/A,FALSE,"주요여수신";#N/A,#N/A,FALSE,"수신금리";#N/A,#N/A,FALSE,"대출금리";#N/A,#N/A,FALSE,"신규대출";#N/A,#N/A,FALSE,"총액대출"}</definedName>
    <definedName name="박" hidden="1">{#N/A,#N/A,FALSE,"주요여수신";#N/A,#N/A,FALSE,"수신금리";#N/A,#N/A,FALSE,"대출금리";#N/A,#N/A,FALSE,"신규대출";#N/A,#N/A,FALSE,"총액대출"}</definedName>
    <definedName name="박기현" localSheetId="4" hidden="1">{#N/A,#N/A,TRUE,"Y생산";#N/A,#N/A,TRUE,"Y판매";#N/A,#N/A,TRUE,"Y총물량";#N/A,#N/A,TRUE,"Y능력";#N/A,#N/A,TRUE,"YKD"}</definedName>
    <definedName name="박기현" hidden="1">{#N/A,#N/A,TRUE,"Y생산";#N/A,#N/A,TRUE,"Y판매";#N/A,#N/A,TRUE,"Y총물량";#N/A,#N/A,TRUE,"Y능력";#N/A,#N/A,TRUE,"YKD"}</definedName>
    <definedName name="박명용" localSheetId="4" hidden="1">{#N/A,#N/A,TRUE,"Y생산";#N/A,#N/A,TRUE,"Y판매";#N/A,#N/A,TRUE,"Y총물량";#N/A,#N/A,TRUE,"Y능력";#N/A,#N/A,TRUE,"YKD"}</definedName>
    <definedName name="박명용" hidden="1">{#N/A,#N/A,TRUE,"Y생산";#N/A,#N/A,TRUE,"Y판매";#N/A,#N/A,TRUE,"Y총물량";#N/A,#N/A,TRUE,"Y능력";#N/A,#N/A,TRUE,"YKD"}</definedName>
    <definedName name="받" localSheetId="4" hidden="1">{#N/A,#N/A,TRUE,"Y생산";#N/A,#N/A,TRUE,"Y판매";#N/A,#N/A,TRUE,"Y총물량";#N/A,#N/A,TRUE,"Y능력";#N/A,#N/A,TRUE,"YKD"}</definedName>
    <definedName name="받" hidden="1">{#N/A,#N/A,TRUE,"Y생산";#N/A,#N/A,TRUE,"Y판매";#N/A,#N/A,TRUE,"Y총물량";#N/A,#N/A,TRUE,"Y능력";#N/A,#N/A,TRUE,"YKD"}</definedName>
    <definedName name="버가" localSheetId="4" hidden="1">{#N/A,#N/A,FALSE,"96 3월물량표";#N/A,#N/A,FALSE,"96 4월물량표";#N/A,#N/A,FALSE,"96 5월물량표"}</definedName>
    <definedName name="버가" hidden="1">{#N/A,#N/A,FALSE,"96 3월물량표";#N/A,#N/A,FALSE,"96 4월물량표";#N/A,#N/A,FALSE,"96 5월물량표"}</definedName>
    <definedName name="법인세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법인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변경후" localSheetId="4" hidden="1">{#N/A,#N/A,FALSE,"단축1";#N/A,#N/A,FALSE,"단축2";#N/A,#N/A,FALSE,"단축3";#N/A,#N/A,FALSE,"장축";#N/A,#N/A,FALSE,"4WD"}</definedName>
    <definedName name="변경후" hidden="1">{#N/A,#N/A,FALSE,"단축1";#N/A,#N/A,FALSE,"단축2";#N/A,#N/A,FALSE,"단축3";#N/A,#N/A,FALSE,"장축";#N/A,#N/A,FALSE,"4WD"}</definedName>
    <definedName name="변환사급가" localSheetId="4" hidden="1">{#N/A,#N/A,TRUE,"Y생산";#N/A,#N/A,TRUE,"Y판매";#N/A,#N/A,TRUE,"Y총물량";#N/A,#N/A,TRUE,"Y능력";#N/A,#N/A,TRUE,"YKD"}</definedName>
    <definedName name="변환사급가" hidden="1">{#N/A,#N/A,TRUE,"Y생산";#N/A,#N/A,TRUE,"Y판매";#N/A,#N/A,TRUE,"Y총물량";#N/A,#N/A,TRUE,"Y능력";#N/A,#N/A,TRUE,"YKD"}</definedName>
    <definedName name="보고" localSheetId="4" hidden="1">{#N/A,#N/A,FALSE,"UNIT";#N/A,#N/A,FALSE,"UNIT";#N/A,#N/A,FALSE,"계정"}</definedName>
    <definedName name="보고" hidden="1">{#N/A,#N/A,FALSE,"UNIT";#N/A,#N/A,FALSE,"UNIT";#N/A,#N/A,FALSE,"계정"}</definedName>
    <definedName name="보고기준" localSheetId="4" hidden="1">{#N/A,#N/A,FALSE,"UNIT";#N/A,#N/A,FALSE,"UNIT";#N/A,#N/A,FALSE,"계정"}</definedName>
    <definedName name="보고기준" hidden="1">{#N/A,#N/A,FALSE,"UNIT";#N/A,#N/A,FALSE,"UNIT";#N/A,#N/A,FALSE,"계정"}</definedName>
    <definedName name="보고서1" localSheetId="4" hidden="1">{#N/A,#N/A,FALSE,"단축1";#N/A,#N/A,FALSE,"단축2";#N/A,#N/A,FALSE,"단축3";#N/A,#N/A,FALSE,"장축";#N/A,#N/A,FALSE,"4WD"}</definedName>
    <definedName name="보고서1" hidden="1">{#N/A,#N/A,FALSE,"단축1";#N/A,#N/A,FALSE,"단축2";#N/A,#N/A,FALSE,"단축3";#N/A,#N/A,FALSE,"장축";#N/A,#N/A,FALSE,"4WD"}</definedName>
    <definedName name="보고자료" localSheetId="4" hidden="1">{#N/A,#N/A,FALSE,"집계표"}</definedName>
    <definedName name="보고자료" hidden="1">{#N/A,#N/A,FALSE,"집계표"}</definedName>
    <definedName name="본문1" localSheetId="4" hidden="1">{#N/A,#N/A,FALSE,"단축1";#N/A,#N/A,FALSE,"단축2";#N/A,#N/A,FALSE,"단축3";#N/A,#N/A,FALSE,"장축";#N/A,#N/A,FALSE,"4WD"}</definedName>
    <definedName name="본문1" hidden="1">{#N/A,#N/A,FALSE,"단축1";#N/A,#N/A,FALSE,"단축2";#N/A,#N/A,FALSE,"단축3";#N/A,#N/A,FALSE,"장축";#N/A,#N/A,FALSE,"4WD"}</definedName>
    <definedName name="부" localSheetId="4" hidden="1">{#N/A,#N/A,FALSE,"단축1";#N/A,#N/A,FALSE,"단축2";#N/A,#N/A,FALSE,"단축3";#N/A,#N/A,FALSE,"장축";#N/A,#N/A,FALSE,"4WD"}</definedName>
    <definedName name="부" hidden="1">{#N/A,#N/A,FALSE,"단축1";#N/A,#N/A,FALSE,"단축2";#N/A,#N/A,FALSE,"단축3";#N/A,#N/A,FALSE,"장축";#N/A,#N/A,FALSE,"4WD"}</definedName>
    <definedName name="부속" localSheetId="4" hidden="1">#REF!</definedName>
    <definedName name="부속" hidden="1">#REF!</definedName>
    <definedName name="분기별" localSheetId="4" hidden="1">{#N/A,#N/A,TRUE,"Y생산";#N/A,#N/A,TRUE,"Y판매";#N/A,#N/A,TRUE,"Y총물량";#N/A,#N/A,TRUE,"Y능력";#N/A,#N/A,TRUE,"YKD"}</definedName>
    <definedName name="분기별" hidden="1">{#N/A,#N/A,TRUE,"Y생산";#N/A,#N/A,TRUE,"Y판매";#N/A,#N/A,TRUE,"Y총물량";#N/A,#N/A,TRUE,"Y능력";#N/A,#N/A,TRUE,"YKD"}</definedName>
    <definedName name="불량재고경비실적" localSheetId="4" hidden="1">{#N/A,#N/A,TRUE,"Y생산";#N/A,#N/A,TRUE,"Y판매";#N/A,#N/A,TRUE,"Y총물량";#N/A,#N/A,TRUE,"Y능력";#N/A,#N/A,TRUE,"YKD"}</definedName>
    <definedName name="불량재고경비실적" hidden="1">{#N/A,#N/A,TRUE,"Y생산";#N/A,#N/A,TRUE,"Y판매";#N/A,#N/A,TRUE,"Y총물량";#N/A,#N/A,TRUE,"Y능력";#N/A,#N/A,TRUE,"YKD"}</definedName>
    <definedName name="ㅅ" localSheetId="4" hidden="1">{#N/A,#N/A,TRUE,"Y생산";#N/A,#N/A,TRUE,"Y판매";#N/A,#N/A,TRUE,"Y총물량";#N/A,#N/A,TRUE,"Y능력";#N/A,#N/A,TRUE,"YKD"}</definedName>
    <definedName name="ㅅ" hidden="1">{#N/A,#N/A,TRUE,"Y생산";#N/A,#N/A,TRUE,"Y판매";#N/A,#N/A,TRUE,"Y총물량";#N/A,#N/A,TRUE,"Y능력";#N/A,#N/A,TRUE,"YKD"}</definedName>
    <definedName name="ㅅㅅㅅ" localSheetId="4" hidden="1">{#N/A,#N/A,FALSE,"단축1";#N/A,#N/A,FALSE,"단축2";#N/A,#N/A,FALSE,"단축3";#N/A,#N/A,FALSE,"장축";#N/A,#N/A,FALSE,"4WD"}</definedName>
    <definedName name="ㅅㅅㅅ" hidden="1">{#N/A,#N/A,FALSE,"단축1";#N/A,#N/A,FALSE,"단축2";#N/A,#N/A,FALSE,"단축3";#N/A,#N/A,FALSE,"장축";#N/A,#N/A,FALSE,"4WD"}</definedName>
    <definedName name="ㅅㅅㅅㅅ" localSheetId="4" hidden="1">{#N/A,#N/A,FALSE,"UNIT";#N/A,#N/A,FALSE,"UNIT";#N/A,#N/A,FALSE,"계정"}</definedName>
    <definedName name="ㅅㅅㅅㅅ" hidden="1">{#N/A,#N/A,FALSE,"UNIT";#N/A,#N/A,FALSE,"UNIT";#N/A,#N/A,FALSE,"계정"}</definedName>
    <definedName name="ㅅㅅㅅㅅㅅㅅㅅ" localSheetId="4" hidden="1">{#N/A,#N/A,FALSE,"UNIT";#N/A,#N/A,FALSE,"UNIT";#N/A,#N/A,FALSE,"계정"}</definedName>
    <definedName name="ㅅㅅㅅㅅㅅㅅㅅ" hidden="1">{#N/A,#N/A,FALSE,"UNIT";#N/A,#N/A,FALSE,"UNIT";#N/A,#N/A,FALSE,"계정"}</definedName>
    <definedName name="사고뭉치" localSheetId="4" hidden="1">{#N/A,#N/A,FALSE,"96 3월물량표";#N/A,#N/A,FALSE,"96 4월물량표";#N/A,#N/A,FALSE,"96 5월물량표"}</definedName>
    <definedName name="사고뭉치" hidden="1">{#N/A,#N/A,FALSE,"96 3월물량표";#N/A,#N/A,FALSE,"96 4월물량표";#N/A,#N/A,FALSE,"96 5월물량표"}</definedName>
    <definedName name="사업계획5" localSheetId="4" hidden="1">{#N/A,#N/A,FALSE,"기술료 비교"}</definedName>
    <definedName name="사업계획5" hidden="1">{#N/A,#N/A,FALSE,"기술료 비교"}</definedName>
    <definedName name="사업활성" localSheetId="4" hidden="1">{#N/A,#N/A,FALSE,"UNIT";#N/A,#N/A,FALSE,"UNIT";#N/A,#N/A,FALSE,"계정"}</definedName>
    <definedName name="사업활성" hidden="1">{#N/A,#N/A,FALSE,"UNIT";#N/A,#N/A,FALSE,"UNIT";#N/A,#N/A,FALSE,"계정"}</definedName>
    <definedName name="사진" localSheetId="4" hidden="1">{#N/A,#N/A,FALSE,"단축1";#N/A,#N/A,FALSE,"단축2";#N/A,#N/A,FALSE,"단축3";#N/A,#N/A,FALSE,"장축";#N/A,#N/A,FALSE,"4WD"}</definedName>
    <definedName name="사진" hidden="1">{#N/A,#N/A,FALSE,"단축1";#N/A,#N/A,FALSE,"단축2";#N/A,#N/A,FALSE,"단축3";#N/A,#N/A,FALSE,"장축";#N/A,#N/A,FALSE,"4WD"}</definedName>
    <definedName name="사진1" localSheetId="4" hidden="1">{#N/A,#N/A,FALSE,"단축1";#N/A,#N/A,FALSE,"단축2";#N/A,#N/A,FALSE,"단축3";#N/A,#N/A,FALSE,"장축";#N/A,#N/A,FALSE,"4WD"}</definedName>
    <definedName name="사진1" hidden="1">{#N/A,#N/A,FALSE,"단축1";#N/A,#N/A,FALSE,"단축2";#N/A,#N/A,FALSE,"단축3";#N/A,#N/A,FALSE,"장축";#N/A,#N/A,FALSE,"4WD"}</definedName>
    <definedName name="사진2" localSheetId="4" hidden="1">{#N/A,#N/A,FALSE,"단축1";#N/A,#N/A,FALSE,"단축2";#N/A,#N/A,FALSE,"단축3";#N/A,#N/A,FALSE,"장축";#N/A,#N/A,FALSE,"4WD"}</definedName>
    <definedName name="사진2" hidden="1">{#N/A,#N/A,FALSE,"단축1";#N/A,#N/A,FALSE,"단축2";#N/A,#N/A,FALSE,"단축3";#N/A,#N/A,FALSE,"장축";#N/A,#N/A,FALSE,"4WD"}</definedName>
    <definedName name="삼성" localSheetId="4" hidden="1">{#N/A,#N/A,FALSE,"정공"}</definedName>
    <definedName name="삼성" hidden="1">{#N/A,#N/A,FALSE,"정공"}</definedName>
    <definedName name="상도2" localSheetId="4" hidden="1">{#N/A,#N/A,FALSE,"단축1";#N/A,#N/A,FALSE,"단축2";#N/A,#N/A,FALSE,"단축3";#N/A,#N/A,FALSE,"장축";#N/A,#N/A,FALSE,"4WD"}</definedName>
    <definedName name="상도2" hidden="1">{#N/A,#N/A,FALSE,"단축1";#N/A,#N/A,FALSE,"단축2";#N/A,#N/A,FALSE,"단축3";#N/A,#N/A,FALSE,"장축";#N/A,#N/A,FALSE,"4WD"}</definedName>
    <definedName name="새" localSheetId="4" hidden="1">{#N/A,#N/A,FALSE,"주요여수신";#N/A,#N/A,FALSE,"수신금리";#N/A,#N/A,FALSE,"대출금리";#N/A,#N/A,FALSE,"신규대출";#N/A,#N/A,FALSE,"총액대출"}</definedName>
    <definedName name="새" hidden="1">{#N/A,#N/A,FALSE,"주요여수신";#N/A,#N/A,FALSE,"수신금리";#N/A,#N/A,FALSE,"대출금리";#N/A,#N/A,FALSE,"신규대출";#N/A,#N/A,FALSE,"총액대출"}</definedName>
    <definedName name="새부" localSheetId="4" hidden="1">{#N/A,#N/A,TRUE,"Y생산";#N/A,#N/A,TRUE,"Y판매";#N/A,#N/A,TRUE,"Y총물량";#N/A,#N/A,TRUE,"Y능력";#N/A,#N/A,TRUE,"YKD"}</definedName>
    <definedName name="새부" hidden="1">{#N/A,#N/A,TRUE,"Y생산";#N/A,#N/A,TRUE,"Y판매";#N/A,#N/A,TRUE,"Y총물량";#N/A,#N/A,TRUE,"Y능력";#N/A,#N/A,TRUE,"YKD"}</definedName>
    <definedName name="새천년" localSheetId="4" hidden="1">{#N/A,#N/A,TRUE,"Y생산";#N/A,#N/A,TRUE,"Y판매";#N/A,#N/A,TRUE,"Y총물량";#N/A,#N/A,TRUE,"Y능력";#N/A,#N/A,TRUE,"YKD"}</definedName>
    <definedName name="새천년" hidden="1">{#N/A,#N/A,TRUE,"Y생산";#N/A,#N/A,TRUE,"Y판매";#N/A,#N/A,TRUE,"Y총물량";#N/A,#N/A,TRUE,"Y능력";#N/A,#N/A,TRUE,"YKD"}</definedName>
    <definedName name="생기양식" localSheetId="4" hidden="1">{#N/A,#N/A,TRUE,"Y생산";#N/A,#N/A,TRUE,"Y판매";#N/A,#N/A,TRUE,"Y총물량";#N/A,#N/A,TRUE,"Y능력";#N/A,#N/A,TRUE,"YKD"}</definedName>
    <definedName name="생기양식" hidden="1">{#N/A,#N/A,TRUE,"Y생산";#N/A,#N/A,TRUE,"Y판매";#N/A,#N/A,TRUE,"Y총물량";#N/A,#N/A,TRUE,"Y능력";#N/A,#N/A,TRUE,"YKD"}</definedName>
    <definedName name="생산" localSheetId="4" hidden="1">{#N/A,#N/A,TRUE,"Y생산";#N/A,#N/A,TRUE,"Y판매";#N/A,#N/A,TRUE,"Y총물량";#N/A,#N/A,TRUE,"Y능력";#N/A,#N/A,TRUE,"YKD"}</definedName>
    <definedName name="생산" hidden="1">{#N/A,#N/A,TRUE,"Y생산";#N/A,#N/A,TRUE,"Y판매";#N/A,#N/A,TRUE,"Y총물량";#N/A,#N/A,TRUE,"Y능력";#N/A,#N/A,TRUE,"YKD"}</definedName>
    <definedName name="생산1" localSheetId="4" hidden="1">{#N/A,#N/A,FALSE,"96 3월물량표";#N/A,#N/A,FALSE,"96 4월물량표";#N/A,#N/A,FALSE,"96 5월물량표"}</definedName>
    <definedName name="생산1" hidden="1">{#N/A,#N/A,FALSE,"96 3월물량표";#N/A,#N/A,FALSE,"96 4월물량표";#N/A,#N/A,FALSE,"96 5월물량표"}</definedName>
    <definedName name="생산TON" localSheetId="4" hidden="1">{#N/A,#N/A,TRUE,"Y생산";#N/A,#N/A,TRUE,"Y판매";#N/A,#N/A,TRUE,"Y총물량";#N/A,#N/A,TRUE,"Y능력";#N/A,#N/A,TRUE,"YKD"}</definedName>
    <definedName name="생산TON" hidden="1">{#N/A,#N/A,TRUE,"Y생산";#N/A,#N/A,TRUE,"Y판매";#N/A,#N/A,TRUE,"Y총물량";#N/A,#N/A,TRUE,"Y능력";#N/A,#N/A,TRUE,"YKD"}</definedName>
    <definedName name="생산성향상" localSheetId="4" hidden="1">{#N/A,#N/A,TRUE,"Y생산";#N/A,#N/A,TRUE,"Y판매";#N/A,#N/A,TRUE,"Y총물량";#N/A,#N/A,TRUE,"Y능력";#N/A,#N/A,TRUE,"YKD"}</definedName>
    <definedName name="생산성향상" hidden="1">{#N/A,#N/A,TRUE,"Y생산";#N/A,#N/A,TRUE,"Y판매";#N/A,#N/A,TRUE,"Y총물량";#N/A,#N/A,TRUE,"Y능력";#N/A,#N/A,TRUE,"YKD"}</definedName>
    <definedName name="생산특장2" localSheetId="4" hidden="1">{#N/A,#N/A,TRUE,"Y생산";#N/A,#N/A,TRUE,"Y판매";#N/A,#N/A,TRUE,"Y총물량";#N/A,#N/A,TRUE,"Y능력";#N/A,#N/A,TRUE,"YKD"}</definedName>
    <definedName name="생산특장2" hidden="1">{#N/A,#N/A,TRUE,"Y생산";#N/A,#N/A,TRUE,"Y판매";#N/A,#N/A,TRUE,"Y총물량";#N/A,#N/A,TRUE,"Y능력";#N/A,#N/A,TRUE,"YKD"}</definedName>
    <definedName name="생산합격" localSheetId="4" hidden="1">{#N/A,#N/A,TRUE,"Y생산";#N/A,#N/A,TRUE,"Y판매";#N/A,#N/A,TRUE,"Y총물량";#N/A,#N/A,TRUE,"Y능력";#N/A,#N/A,TRUE,"YKD"}</definedName>
    <definedName name="생산합격" hidden="1">{#N/A,#N/A,TRUE,"Y생산";#N/A,#N/A,TRUE,"Y판매";#N/A,#N/A,TRUE,"Y총물량";#N/A,#N/A,TRUE,"Y능력";#N/A,#N/A,TRUE,"YKD"}</definedName>
    <definedName name="생조조직도" localSheetId="4" hidden="1">{#N/A,#N/A,TRUE,"Y생산";#N/A,#N/A,TRUE,"Y판매";#N/A,#N/A,TRUE,"Y총물량";#N/A,#N/A,TRUE,"Y능력";#N/A,#N/A,TRUE,"YKD"}</definedName>
    <definedName name="생조조직도" hidden="1">{#N/A,#N/A,TRUE,"Y생산";#N/A,#N/A,TRUE,"Y판매";#N/A,#N/A,TRUE,"Y총물량";#N/A,#N/A,TRUE,"Y능력";#N/A,#N/A,TRUE,"YKD"}</definedName>
    <definedName name="서승수" localSheetId="4" hidden="1">{#N/A,#N/A,TRUE,"Y생산";#N/A,#N/A,TRUE,"Y판매";#N/A,#N/A,TRUE,"Y총물량";#N/A,#N/A,TRUE,"Y능력";#N/A,#N/A,TRUE,"YKD"}</definedName>
    <definedName name="서승수" hidden="1">{#N/A,#N/A,TRUE,"Y생산";#N/A,#N/A,TRUE,"Y판매";#N/A,#N/A,TRUE,"Y총물량";#N/A,#N/A,TRUE,"Y능력";#N/A,#N/A,TRUE,"YKD"}</definedName>
    <definedName name="서천" localSheetId="4" hidden="1">{#N/A,#N/A,FALSE,"표지";#N/A,#N/A,FALSE,"전제";#N/A,#N/A,FALSE,"손익-자 (2)";#N/A,#N/A,FALSE,"손익-자";#N/A,#N/A,FALSE,"손익-마 (2)";#N/A,#N/A,FALSE,"손익-마";#N/A,#N/A,FALSE,"총손최종"}</definedName>
    <definedName name="서천" hidden="1">{#N/A,#N/A,FALSE,"표지";#N/A,#N/A,FALSE,"전제";#N/A,#N/A,FALSE,"손익-자 (2)";#N/A,#N/A,FALSE,"손익-자";#N/A,#N/A,FALSE,"손익-마 (2)";#N/A,#N/A,FALSE,"손익-마";#N/A,#N/A,FALSE,"총손최종"}</definedName>
    <definedName name="서천통일관광" localSheetId="4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서천통일관광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설변" localSheetId="4" hidden="1">{#N/A,#N/A,FALSE,"단축1";#N/A,#N/A,FALSE,"단축2";#N/A,#N/A,FALSE,"단축3";#N/A,#N/A,FALSE,"장축";#N/A,#N/A,FALSE,"4WD"}</definedName>
    <definedName name="설변" hidden="1">{#N/A,#N/A,FALSE,"단축1";#N/A,#N/A,FALSE,"단축2";#N/A,#N/A,FALSE,"단축3";#N/A,#N/A,FALSE,"장축";#N/A,#N/A,FALSE,"4WD"}</definedName>
    <definedName name="설변요청" localSheetId="4" hidden="1">{#N/A,#N/A,FALSE,"단축1";#N/A,#N/A,FALSE,"단축2";#N/A,#N/A,FALSE,"단축3";#N/A,#N/A,FALSE,"장축";#N/A,#N/A,FALSE,"4WD"}</definedName>
    <definedName name="설변요청" hidden="1">{#N/A,#N/A,FALSE,"단축1";#N/A,#N/A,FALSE,"단축2";#N/A,#N/A,FALSE,"단축3";#N/A,#N/A,FALSE,"장축";#N/A,#N/A,FALSE,"4WD"}</definedName>
    <definedName name="성" localSheetId="4" hidden="1">{#N/A,#N/A,FALSE,"UNIT";#N/A,#N/A,FALSE,"UNIT";#N/A,#N/A,FALSE,"계정"}</definedName>
    <definedName name="성" hidden="1">{#N/A,#N/A,FALSE,"UNIT";#N/A,#N/A,FALSE,"UNIT";#N/A,#N/A,FALSE,"계정"}</definedName>
    <definedName name="성구" localSheetId="4" hidden="1">{#N/A,#N/A,FALSE,"단축1";#N/A,#N/A,FALSE,"단축2";#N/A,#N/A,FALSE,"단축3";#N/A,#N/A,FALSE,"장축";#N/A,#N/A,FALSE,"4WD"}</definedName>
    <definedName name="성구" hidden="1">{#N/A,#N/A,FALSE,"단축1";#N/A,#N/A,FALSE,"단축2";#N/A,#N/A,FALSE,"단축3";#N/A,#N/A,FALSE,"장축";#N/A,#N/A,FALSE,"4WD"}</definedName>
    <definedName name="성능시험2" localSheetId="4" hidden="1">{#N/A,#N/A,FALSE,"단축1";#N/A,#N/A,FALSE,"단축2";#N/A,#N/A,FALSE,"단축3";#N/A,#N/A,FALSE,"장축";#N/A,#N/A,FALSE,"4WD"}</definedName>
    <definedName name="성능시험2" hidden="1">{#N/A,#N/A,FALSE,"단축1";#N/A,#N/A,FALSE,"단축2";#N/A,#N/A,FALSE,"단축3";#N/A,#N/A,FALSE,"장축";#N/A,#N/A,FALSE,"4WD"}</definedName>
    <definedName name="세부6월" localSheetId="4" hidden="1">{#N/A,#N/A,FALSE,"단축1";#N/A,#N/A,FALSE,"단축2";#N/A,#N/A,FALSE,"단축3";#N/A,#N/A,FALSE,"장축";#N/A,#N/A,FALSE,"4WD"}</definedName>
    <definedName name="세부6월" hidden="1">{#N/A,#N/A,FALSE,"단축1";#N/A,#N/A,FALSE,"단축2";#N/A,#N/A,FALSE,"단축3";#N/A,#N/A,FALSE,"장축";#N/A,#N/A,FALSE,"4WD"}</definedName>
    <definedName name="세부LIST2" localSheetId="4" hidden="1">{#N/A,#N/A,FALSE,"단축1";#N/A,#N/A,FALSE,"단축2";#N/A,#N/A,FALSE,"단축3";#N/A,#N/A,FALSE,"장축";#N/A,#N/A,FALSE,"4WD"}</definedName>
    <definedName name="세부LIST2" hidden="1">{#N/A,#N/A,FALSE,"단축1";#N/A,#N/A,FALSE,"단축2";#N/A,#N/A,FALSE,"단축3";#N/A,#N/A,FALSE,"장축";#N/A,#N/A,FALSE,"4WD"}</definedName>
    <definedName name="세부계정" localSheetId="4" hidden="1">{#N/A,#N/A,FALSE,"주요여수신";#N/A,#N/A,FALSE,"수신금리";#N/A,#N/A,FALSE,"대출금리";#N/A,#N/A,FALSE,"신규대출";#N/A,#N/A,FALSE,"총액대출"}</definedName>
    <definedName name="세부계정" hidden="1">{#N/A,#N/A,FALSE,"주요여수신";#N/A,#N/A,FALSE,"수신금리";#N/A,#N/A,FALSE,"대출금리";#N/A,#N/A,FALSE,"신규대출";#N/A,#N/A,FALSE,"총액대출"}</definedName>
    <definedName name="세부생산계획" localSheetId="4" hidden="1">{#N/A,#N/A,TRUE,"Y생산";#N/A,#N/A,TRUE,"Y판매";#N/A,#N/A,TRUE,"Y총물량";#N/A,#N/A,TRUE,"Y능력";#N/A,#N/A,TRUE,"YKD"}</definedName>
    <definedName name="세부생산계획" hidden="1">{#N/A,#N/A,TRUE,"Y생산";#N/A,#N/A,TRUE,"Y판매";#N/A,#N/A,TRUE,"Y총물량";#N/A,#N/A,TRUE,"Y능력";#N/A,#N/A,TRUE,"YKD"}</definedName>
    <definedName name="세부일정" localSheetId="4" hidden="1">{#N/A,#N/A,FALSE,"단축1";#N/A,#N/A,FALSE,"단축2";#N/A,#N/A,FALSE,"단축3";#N/A,#N/A,FALSE,"장축";#N/A,#N/A,FALSE,"4WD"}</definedName>
    <definedName name="세부일정" hidden="1">{#N/A,#N/A,FALSE,"단축1";#N/A,#N/A,FALSE,"단축2";#N/A,#N/A,FALSE,"단축3";#N/A,#N/A,FALSE,"장축";#N/A,#N/A,FALSE,"4WD"}</definedName>
    <definedName name="세부일정.1" localSheetId="4" hidden="1">{#N/A,#N/A,FALSE,"단축1";#N/A,#N/A,FALSE,"단축2";#N/A,#N/A,FALSE,"단축3";#N/A,#N/A,FALSE,"장축";#N/A,#N/A,FALSE,"4WD"}</definedName>
    <definedName name="세부일정.1" hidden="1">{#N/A,#N/A,FALSE,"단축1";#N/A,#N/A,FALSE,"단축2";#N/A,#N/A,FALSE,"단축3";#N/A,#N/A,FALSE,"장축";#N/A,#N/A,FALSE,"4WD"}</definedName>
    <definedName name="세피아축소" localSheetId="4" hidden="1">{#N/A,#N/A,TRUE,"Y생산";#N/A,#N/A,TRUE,"Y판매";#N/A,#N/A,TRUE,"Y총물량";#N/A,#N/A,TRUE,"Y능력";#N/A,#N/A,TRUE,"YKD"}</definedName>
    <definedName name="세피아축소" hidden="1">{#N/A,#N/A,TRUE,"Y생산";#N/A,#N/A,TRUE,"Y판매";#N/A,#N/A,TRUE,"Y총물량";#N/A,#N/A,TRUE,"Y능력";#N/A,#N/A,TRUE,"YKD"}</definedName>
    <definedName name="셀리카" localSheetId="4" hidden="1">#REF!</definedName>
    <definedName name="셀리카" hidden="1">#REF!</definedName>
    <definedName name="소" localSheetId="4" hidden="1">{#N/A,#N/A,TRUE,"Y생산";#N/A,#N/A,TRUE,"Y판매";#N/A,#N/A,TRUE,"Y총물량";#N/A,#N/A,TRUE,"Y능력";#N/A,#N/A,TRUE,"YKD"}</definedName>
    <definedName name="소" hidden="1">{#N/A,#N/A,TRUE,"Y생산";#N/A,#N/A,TRUE,"Y판매";#N/A,#N/A,TRUE,"Y총물량";#N/A,#N/A,TRUE,"Y능력";#N/A,#N/A,TRUE,"YKD"}</definedName>
    <definedName name="소하프로젝트" localSheetId="4" hidden="1">{#N/A,#N/A,FALSE,"단축1";#N/A,#N/A,FALSE,"단축2";#N/A,#N/A,FALSE,"단축3";#N/A,#N/A,FALSE,"장축";#N/A,#N/A,FALSE,"4WD"}</definedName>
    <definedName name="소하프로젝트" hidden="1">{#N/A,#N/A,FALSE,"단축1";#N/A,#N/A,FALSE,"단축2";#N/A,#N/A,FALSE,"단축3";#N/A,#N/A,FALSE,"장축";#N/A,#N/A,FALSE,"4WD"}</definedName>
    <definedName name="소화주철장판" localSheetId="4" hidden="1">{#N/A,#N/A,FALSE,"단축1";#N/A,#N/A,FALSE,"단축2";#N/A,#N/A,FALSE,"단축3";#N/A,#N/A,FALSE,"장축";#N/A,#N/A,FALSE,"4WD"}</definedName>
    <definedName name="소화주철장판" hidden="1">{#N/A,#N/A,FALSE,"단축1";#N/A,#N/A,FALSE,"단축2";#N/A,#N/A,FALSE,"단축3";#N/A,#N/A,FALSE,"장축";#N/A,#N/A,FALSE,"4WD"}</definedName>
    <definedName name="손익3" localSheetId="4" hidden="1">{#N/A,#N/A,FALSE,"UNIT";#N/A,#N/A,FALSE,"UNIT";#N/A,#N/A,FALSE,"계정"}</definedName>
    <definedName name="손익3" hidden="1">{#N/A,#N/A,FALSE,"UNIT";#N/A,#N/A,FALSE,"UNIT";#N/A,#N/A,FALSE,"계정"}</definedName>
    <definedName name="손익계산서" localSheetId="4" hidden="1">{#N/A,#N/A,FALSE,"보험현황";#N/A,#N/A,FALSE,"보험현황"}</definedName>
    <definedName name="손익계산서" hidden="1">{#N/A,#N/A,FALSE,"보험현황";#N/A,#N/A,FALSE,"보험현황"}</definedName>
    <definedName name="손익계산서_최종" localSheetId="4" hidden="1">{#N/A,#N/A,FALSE,"보험현황";#N/A,#N/A,FALSE,"보험현황"}</definedName>
    <definedName name="손익계산서_최종" hidden="1">{#N/A,#N/A,FALSE,"보험현황";#N/A,#N/A,FALSE,"보험현황"}</definedName>
    <definedName name="손익예상" localSheetId="4" hidden="1">{#N/A,#N/A,FALSE,"UNIT";#N/A,#N/A,FALSE,"UNIT";#N/A,#N/A,FALSE,"계정"}</definedName>
    <definedName name="손익예상" hidden="1">{#N/A,#N/A,FALSE,"UNIT";#N/A,#N/A,FALSE,"UNIT";#N/A,#N/A,FALSE,"계정"}</definedName>
    <definedName name="송" localSheetId="4" hidden="1">{#N/A,#N/A,TRUE,"Y생산";#N/A,#N/A,TRUE,"Y판매";#N/A,#N/A,TRUE,"Y총물량";#N/A,#N/A,TRUE,"Y능력";#N/A,#N/A,TRUE,"YKD"}</definedName>
    <definedName name="송" hidden="1">{#N/A,#N/A,TRUE,"Y생산";#N/A,#N/A,TRUE,"Y판매";#N/A,#N/A,TRUE,"Y총물량";#N/A,#N/A,TRUE,"Y능력";#N/A,#N/A,TRUE,"YKD"}</definedName>
    <definedName name="송창기" localSheetId="4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수량산출3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수량산출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수선비세부" localSheetId="4" hidden="1">#REF!</definedName>
    <definedName name="수선비세부" hidden="1">#REF!</definedName>
    <definedName name="수율2" localSheetId="4" hidden="1">{#N/A,#N/A,FALSE,"단축1";#N/A,#N/A,FALSE,"단축2";#N/A,#N/A,FALSE,"단축3";#N/A,#N/A,FALSE,"장축";#N/A,#N/A,FALSE,"4WD"}</definedName>
    <definedName name="수율2" hidden="1">{#N/A,#N/A,FALSE,"단축1";#N/A,#N/A,FALSE,"단축2";#N/A,#N/A,FALSE,"단축3";#N/A,#N/A,FALSE,"장축";#N/A,#N/A,FALSE,"4WD"}</definedName>
    <definedName name="수익4속" localSheetId="4" hidden="1">{#N/A,#N/A,FALSE,"단축1";#N/A,#N/A,FALSE,"단축2";#N/A,#N/A,FALSE,"단축3";#N/A,#N/A,FALSE,"장축";#N/A,#N/A,FALSE,"4WD"}</definedName>
    <definedName name="수익4속" hidden="1">{#N/A,#N/A,FALSE,"단축1";#N/A,#N/A,FALSE,"단축2";#N/A,#N/A,FALSE,"단축3";#N/A,#N/A,FALSE,"장축";#N/A,#N/A,FALSE,"4WD"}</definedName>
    <definedName name="수정물량" localSheetId="4" hidden="1">{#N/A,#N/A,TRUE,"Y생산";#N/A,#N/A,TRUE,"Y판매";#N/A,#N/A,TRUE,"Y총물량";#N/A,#N/A,TRUE,"Y능력";#N/A,#N/A,TRUE,"YKD"}</definedName>
    <definedName name="수정물량" hidden="1">{#N/A,#N/A,TRUE,"Y생산";#N/A,#N/A,TRUE,"Y판매";#N/A,#N/A,TRUE,"Y총물량";#N/A,#N/A,TRUE,"Y능력";#N/A,#N/A,TRUE,"YKD"}</definedName>
    <definedName name="수출오더현황12월" localSheetId="4" hidden="1">{#N/A,#N/A,TRUE,"Y생산";#N/A,#N/A,TRUE,"Y판매";#N/A,#N/A,TRUE,"Y총물량";#N/A,#N/A,TRUE,"Y능력";#N/A,#N/A,TRUE,"YKD"}</definedName>
    <definedName name="수출오더현황12월" hidden="1">{#N/A,#N/A,TRUE,"Y생산";#N/A,#N/A,TRUE,"Y판매";#N/A,#N/A,TRUE,"Y총물량";#N/A,#N/A,TRUE,"Y능력";#N/A,#N/A,TRUE,"YKD"}</definedName>
    <definedName name="수출판촉비총괄" hidden="1">#N/A</definedName>
    <definedName name="승인권한2" localSheetId="4" hidden="1">{#N/A,#N/A,FALSE,"단축1";#N/A,#N/A,FALSE,"단축2";#N/A,#N/A,FALSE,"단축3";#N/A,#N/A,FALSE,"장축";#N/A,#N/A,FALSE,"4WD"}</definedName>
    <definedName name="승인권한2" hidden="1">{#N/A,#N/A,FALSE,"단축1";#N/A,#N/A,FALSE,"단축2";#N/A,#N/A,FALSE,"단축3";#N/A,#N/A,FALSE,"장축";#N/A,#N/A,FALSE,"4WD"}</definedName>
    <definedName name="시간" localSheetId="4" hidden="1">{#N/A,#N/A,TRUE,"Y생산";#N/A,#N/A,TRUE,"Y판매";#N/A,#N/A,TRUE,"Y총물량";#N/A,#N/A,TRUE,"Y능력";#N/A,#N/A,TRUE,"YKD"}</definedName>
    <definedName name="시간" hidden="1">{#N/A,#N/A,TRUE,"Y생산";#N/A,#N/A,TRUE,"Y판매";#N/A,#N/A,TRUE,"Y총물량";#N/A,#N/A,TRUE,"Y능력";#N/A,#N/A,TRUE,"YKD"}</definedName>
    <definedName name="시설투자" localSheetId="4" hidden="1">{#N/A,#N/A,FALSE,"UNIT";#N/A,#N/A,FALSE,"UNIT";#N/A,#N/A,FALSE,"계정"}</definedName>
    <definedName name="시설투자" hidden="1">{#N/A,#N/A,FALSE,"UNIT";#N/A,#N/A,FALSE,"UNIT";#N/A,#N/A,FALSE,"계정"}</definedName>
    <definedName name="시설투자계획_월별" localSheetId="4" hidden="1">{#N/A,#N/A,FALSE,"UNIT";#N/A,#N/A,FALSE,"UNIT";#N/A,#N/A,FALSE,"계정"}</definedName>
    <definedName name="시설투자계획_월별" hidden="1">{#N/A,#N/A,FALSE,"UNIT";#N/A,#N/A,FALSE,"UNIT";#N/A,#N/A,FALSE,"계정"}</definedName>
    <definedName name="시장동향" localSheetId="4" hidden="1">{#N/A,#N/A,TRUE,"Y생산";#N/A,#N/A,TRUE,"Y판매";#N/A,#N/A,TRUE,"Y총물량";#N/A,#N/A,TRUE,"Y능력";#N/A,#N/A,TRUE,"YKD"}</definedName>
    <definedName name="시장동향" hidden="1">{#N/A,#N/A,TRUE,"Y생산";#N/A,#N/A,TRUE,"Y판매";#N/A,#N/A,TRUE,"Y총물량";#N/A,#N/A,TRUE,"Y능력";#N/A,#N/A,TRUE,"YKD"}</definedName>
    <definedName name="시험일정p2" localSheetId="4" hidden="1">{#N/A,#N/A,FALSE,"단축1";#N/A,#N/A,FALSE,"단축2";#N/A,#N/A,FALSE,"단축3";#N/A,#N/A,FALSE,"장축";#N/A,#N/A,FALSE,"4WD"}</definedName>
    <definedName name="시험일정p2" hidden="1">{#N/A,#N/A,FALSE,"단축1";#N/A,#N/A,FALSE,"단축2";#N/A,#N/A,FALSE,"단축3";#N/A,#N/A,FALSE,"장축";#N/A,#N/A,FALSE,"4WD"}</definedName>
    <definedName name="신AT종합" localSheetId="4" hidden="1">{#N/A,#N/A,FALSE,"단축1";#N/A,#N/A,FALSE,"단축2";#N/A,#N/A,FALSE,"단축3";#N/A,#N/A,FALSE,"장축";#N/A,#N/A,FALSE,"4WD"}</definedName>
    <definedName name="신AT종합" hidden="1">{#N/A,#N/A,FALSE,"단축1";#N/A,#N/A,FALSE,"단축2";#N/A,#N/A,FALSE,"단축3";#N/A,#N/A,FALSE,"장축";#N/A,#N/A,FALSE,"4WD"}</definedName>
    <definedName name="신규" localSheetId="4" hidden="1">{#N/A,#N/A,FALSE,"신규dep";#N/A,#N/A,FALSE,"신규dep-금형상각후";#N/A,#N/A,FALSE,"신규dep-연구비상각후";#N/A,#N/A,FALSE,"신규dep-기계,공구상각후"}</definedName>
    <definedName name="신규" hidden="1">{#N/A,#N/A,FALSE,"신규dep";#N/A,#N/A,FALSE,"신규dep-금형상각후";#N/A,#N/A,FALSE,"신규dep-연구비상각후";#N/A,#N/A,FALSE,"신규dep-기계,공구상각후"}</definedName>
    <definedName name="신세대종합" localSheetId="4" hidden="1">{#N/A,#N/A,FALSE,"단축1";#N/A,#N/A,FALSE,"단축2";#N/A,#N/A,FALSE,"단축3";#N/A,#N/A,FALSE,"장축";#N/A,#N/A,FALSE,"4WD"}</definedName>
    <definedName name="신세대종합" hidden="1">{#N/A,#N/A,FALSE,"단축1";#N/A,#N/A,FALSE,"단축2";#N/A,#N/A,FALSE,"단축3";#N/A,#N/A,FALSE,"장축";#N/A,#N/A,FALSE,"4WD"}</definedName>
    <definedName name="신용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추진사업" localSheetId="4" hidden="1">{#N/A,#N/A,TRUE,"Y생산";#N/A,#N/A,TRUE,"Y판매";#N/A,#N/A,TRUE,"Y총물량";#N/A,#N/A,TRUE,"Y능력";#N/A,#N/A,TRUE,"YKD"}</definedName>
    <definedName name="신추진사업" hidden="1">{#N/A,#N/A,TRUE,"Y생산";#N/A,#N/A,TRUE,"Y판매";#N/A,#N/A,TRUE,"Y총물량";#N/A,#N/A,TRUE,"Y능력";#N/A,#N/A,TRUE,"YKD"}</definedName>
    <definedName name="실시" localSheetId="4" hidden="1">{#N/A,#N/A,FALSE,"단축1";#N/A,#N/A,FALSE,"단축2";#N/A,#N/A,FALSE,"단축3";#N/A,#N/A,FALSE,"장축";#N/A,#N/A,FALSE,"4WD"}</definedName>
    <definedName name="실시" hidden="1">{#N/A,#N/A,FALSE,"단축1";#N/A,#N/A,FALSE,"단축2";#N/A,#N/A,FALSE,"단축3";#N/A,#N/A,FALSE,"장축";#N/A,#N/A,FALSE,"4WD"}</definedName>
    <definedName name="실적4월" localSheetId="4" hidden="1">{#N/A,#N/A,FALSE,"UNIT";#N/A,#N/A,FALSE,"UNIT";#N/A,#N/A,FALSE,"계정"}</definedName>
    <definedName name="실적4월" hidden="1">{#N/A,#N/A,FALSE,"UNIT";#N/A,#N/A,FALSE,"UNIT";#N/A,#N/A,FALSE,"계정"}</definedName>
    <definedName name="실적6월" localSheetId="4" hidden="1">{#N/A,#N/A,FALSE,"UNIT";#N/A,#N/A,FALSE,"UNIT";#N/A,#N/A,FALSE,"계정"}</definedName>
    <definedName name="실적6월" hidden="1">{#N/A,#N/A,FALSE,"UNIT";#N/A,#N/A,FALSE,"UNIT";#N/A,#N/A,FALSE,"계정"}</definedName>
    <definedName name="실적원" localSheetId="4" hidden="1">{#N/A,#N/A,TRUE,"Y생산";#N/A,#N/A,TRUE,"Y판매";#N/A,#N/A,TRUE,"Y총물량";#N/A,#N/A,TRUE,"Y능력";#N/A,#N/A,TRUE,"YKD"}</definedName>
    <definedName name="실적원" hidden="1">{#N/A,#N/A,TRUE,"Y생산";#N/A,#N/A,TRUE,"Y판매";#N/A,#N/A,TRUE,"Y총물량";#N/A,#N/A,TRUE,"Y능력";#N/A,#N/A,TRUE,"YKD"}</definedName>
    <definedName name="심상묵" localSheetId="4" hidden="1">{#N/A,#N/A,TRUE,"Y생산";#N/A,#N/A,TRUE,"Y판매";#N/A,#N/A,TRUE,"Y총물량";#N/A,#N/A,TRUE,"Y능력";#N/A,#N/A,TRUE,"YKD"}</definedName>
    <definedName name="심상묵" hidden="1">{#N/A,#N/A,TRUE,"Y생산";#N/A,#N/A,TRUE,"Y판매";#N/A,#N/A,TRUE,"Y총물량";#N/A,#N/A,TRUE,"Y능력";#N/A,#N/A,TRUE,"YKD"}</definedName>
    <definedName name="ㅇ" localSheetId="4" hidden="1">{#N/A,#N/A,FALSE,"주요여수신";#N/A,#N/A,FALSE,"수신금리";#N/A,#N/A,FALSE,"대출금리";#N/A,#N/A,FALSE,"신규대출";#N/A,#N/A,FALSE,"총액대출"}</definedName>
    <definedName name="ㅇ" hidden="1">{#N/A,#N/A,FALSE,"주요여수신";#N/A,#N/A,FALSE,"수신금리";#N/A,#N/A,FALSE,"대출금리";#N/A,#N/A,FALSE,"신규대출";#N/A,#N/A,FALSE,"총액대출"}</definedName>
    <definedName name="ㅇGFGFH" localSheetId="4" hidden="1">{#N/A,#N/A,FALSE,"96 3월물량표";#N/A,#N/A,FALSE,"96 4월물량표";#N/A,#N/A,FALSE,"96 5월물량표"}</definedName>
    <definedName name="ㅇGFGFH" hidden="1">{#N/A,#N/A,FALSE,"96 3월물량표";#N/A,#N/A,FALSE,"96 4월물량표";#N/A,#N/A,FALSE,"96 5월물량표"}</definedName>
    <definedName name="ㅇㄴㅇㅇ" localSheetId="4" hidden="1">{#N/A,#N/A,FALSE,"UNIT";#N/A,#N/A,FALSE,"UNIT";#N/A,#N/A,FALSE,"계정"}</definedName>
    <definedName name="ㅇㄴㅇㅇ" hidden="1">{#N/A,#N/A,FALSE,"UNIT";#N/A,#N/A,FALSE,"UNIT";#N/A,#N/A,FALSE,"계정"}</definedName>
    <definedName name="ㅇㄷㄷ" localSheetId="4" hidden="1">{#N/A,#N/A,TRUE,"Y생산";#N/A,#N/A,TRUE,"Y판매";#N/A,#N/A,TRUE,"Y총물량";#N/A,#N/A,TRUE,"Y능력";#N/A,#N/A,TRUE,"YKD"}</definedName>
    <definedName name="ㅇㄷㄷ" hidden="1">{#N/A,#N/A,TRUE,"Y생산";#N/A,#N/A,TRUE,"Y판매";#N/A,#N/A,TRUE,"Y총물량";#N/A,#N/A,TRUE,"Y능력";#N/A,#N/A,TRUE,"YKD"}</definedName>
    <definedName name="ㅇㄹ" localSheetId="4" hidden="1">{#N/A,#N/A,FALSE,"주요여수신";#N/A,#N/A,FALSE,"수신금리";#N/A,#N/A,FALSE,"대출금리";#N/A,#N/A,FALSE,"신규대출";#N/A,#N/A,FALSE,"총액대출"}</definedName>
    <definedName name="ㅇㄹ" hidden="1">{#N/A,#N/A,FALSE,"주요여수신";#N/A,#N/A,FALSE,"수신금리";#N/A,#N/A,FALSE,"대출금리";#N/A,#N/A,FALSE,"신규대출";#N/A,#N/A,FALSE,"총액대출"}</definedName>
    <definedName name="ㅇㄹㅇㄴㄹㄴㅇ" localSheetId="4" hidden="1">#REF!</definedName>
    <definedName name="ㅇㄹㅇㄴㄹㄴㅇ" hidden="1">#REF!</definedName>
    <definedName name="ㅇㄻㄴㅇ" localSheetId="4" hidden="1">{#N/A,#N/A,FALSE,"단축1";#N/A,#N/A,FALSE,"단축2";#N/A,#N/A,FALSE,"단축3";#N/A,#N/A,FALSE,"장축";#N/A,#N/A,FALSE,"4WD"}</definedName>
    <definedName name="ㅇㄻㄴㅇ" hidden="1">{#N/A,#N/A,FALSE,"단축1";#N/A,#N/A,FALSE,"단축2";#N/A,#N/A,FALSE,"단축3";#N/A,#N/A,FALSE,"장축";#N/A,#N/A,FALSE,"4WD"}</definedName>
    <definedName name="ㅇㅇ" localSheetId="4" hidden="1">{#N/A,#N/A,FALSE,"주요여수신";#N/A,#N/A,FALSE,"수신금리";#N/A,#N/A,FALSE,"대출금리";#N/A,#N/A,FALSE,"신규대출";#N/A,#N/A,FALSE,"총액대출"}</definedName>
    <definedName name="ㅇㅇ" hidden="1">{#N/A,#N/A,FALSE,"주요여수신";#N/A,#N/A,FALSE,"수신금리";#N/A,#N/A,FALSE,"대출금리";#N/A,#N/A,FALSE,"신규대출";#N/A,#N/A,FALSE,"총액대출"}</definedName>
    <definedName name="ㅇㅇㄹㄹ" localSheetId="4" hidden="1">{#N/A,#N/A,FALSE,"표지";#N/A,#N/A,FALSE,"전제";#N/A,#N/A,FALSE,"손익-자 (2)";#N/A,#N/A,FALSE,"손익-자";#N/A,#N/A,FALSE,"손익-마 (2)";#N/A,#N/A,FALSE,"손익-마";#N/A,#N/A,FALSE,"총손최종"}</definedName>
    <definedName name="ㅇㅇㄹㄹ" hidden="1">{#N/A,#N/A,FALSE,"표지";#N/A,#N/A,FALSE,"전제";#N/A,#N/A,FALSE,"손익-자 (2)";#N/A,#N/A,FALSE,"손익-자";#N/A,#N/A,FALSE,"손익-마 (2)";#N/A,#N/A,FALSE,"손익-마";#N/A,#N/A,FALSE,"총손최종"}</definedName>
    <definedName name="ㅇ아아ㅏ앙" localSheetId="4" hidden="1">{#N/A,#N/A,TRUE,"Y생산";#N/A,#N/A,TRUE,"Y판매";#N/A,#N/A,TRUE,"Y총물량";#N/A,#N/A,TRUE,"Y능력";#N/A,#N/A,TRUE,"YKD"}</definedName>
    <definedName name="ㅇ아아ㅏ앙" hidden="1">{#N/A,#N/A,TRUE,"Y생산";#N/A,#N/A,TRUE,"Y판매";#N/A,#N/A,TRUE,"Y총물량";#N/A,#N/A,TRUE,"Y능력";#N/A,#N/A,TRUE,"YKD"}</definedName>
    <definedName name="ㅇㅎ" localSheetId="4" hidden="1">{#N/A,#N/A,FALSE,"단축1";#N/A,#N/A,FALSE,"단축2";#N/A,#N/A,FALSE,"단축3";#N/A,#N/A,FALSE,"장축";#N/A,#N/A,FALSE,"4WD"}</definedName>
    <definedName name="ㅇㅎ" hidden="1">{#N/A,#N/A,FALSE,"단축1";#N/A,#N/A,FALSE,"단축2";#N/A,#N/A,FALSE,"단축3";#N/A,#N/A,FALSE,"장축";#N/A,#N/A,FALSE,"4WD"}</definedName>
    <definedName name="ㅇㅎㄹ" localSheetId="4" hidden="1">{#N/A,#N/A,TRUE,"Y생산";#N/A,#N/A,TRUE,"Y판매";#N/A,#N/A,TRUE,"Y총물량";#N/A,#N/A,TRUE,"Y능력";#N/A,#N/A,TRUE,"YKD"}</definedName>
    <definedName name="ㅇㅎㄹ" hidden="1">{#N/A,#N/A,TRUE,"Y생산";#N/A,#N/A,TRUE,"Y판매";#N/A,#N/A,TRUE,"Y총물량";#N/A,#N/A,TRUE,"Y능력";#N/A,#N/A,TRUE,"YKD"}</definedName>
    <definedName name="아아아" localSheetId="4" hidden="1">{#N/A,#N/A,FALSE,"기술료 비교"}</definedName>
    <definedName name="아아아" hidden="1">{#N/A,#N/A,FALSE,"기술료 비교"}</definedName>
    <definedName name="아이다" localSheetId="4" hidden="1">{#N/A,#N/A,TRUE,"Y생산";#N/A,#N/A,TRUE,"Y판매";#N/A,#N/A,TRUE,"Y총물량";#N/A,#N/A,TRUE,"Y능력";#N/A,#N/A,TRUE,"YKD"}</definedName>
    <definedName name="아이다" hidden="1">{#N/A,#N/A,TRUE,"Y생산";#N/A,#N/A,TRUE,"Y판매";#N/A,#N/A,TRUE,"Y총물량";#N/A,#N/A,TRUE,"Y능력";#N/A,#N/A,TRUE,"YKD"}</definedName>
    <definedName name="아ㅓㅣ니" localSheetId="4" hidden="1">{#N/A,#N/A,TRUE,"Y생산";#N/A,#N/A,TRUE,"Y판매";#N/A,#N/A,TRUE,"Y총물량";#N/A,#N/A,TRUE,"Y능력";#N/A,#N/A,TRUE,"YKD"}</definedName>
    <definedName name="아ㅓㅣ니" hidden="1">{#N/A,#N/A,TRUE,"Y생산";#N/A,#N/A,TRUE,"Y판매";#N/A,#N/A,TRUE,"Y총물량";#N/A,#N/A,TRUE,"Y능력";#N/A,#N/A,TRUE,"YKD"}</definedName>
    <definedName name="야" localSheetId="4" hidden="1">{#N/A,#N/A,TRUE,"Y생산";#N/A,#N/A,TRUE,"Y판매";#N/A,#N/A,TRUE,"Y총물량";#N/A,#N/A,TRUE,"Y능력";#N/A,#N/A,TRUE,"YKD"}</definedName>
    <definedName name="야" hidden="1">{#N/A,#N/A,TRUE,"Y생산";#N/A,#N/A,TRUE,"Y판매";#N/A,#N/A,TRUE,"Y총물량";#N/A,#N/A,TRUE,"Y능력";#N/A,#N/A,TRUE,"YKD"}</definedName>
    <definedName name="양식4" localSheetId="4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양식4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에이" localSheetId="4" hidden="1">{#N/A,#N/A,TRUE,"Y생산";#N/A,#N/A,TRUE,"Y판매";#N/A,#N/A,TRUE,"Y총물량";#N/A,#N/A,TRUE,"Y능력";#N/A,#N/A,TRUE,"YKD"}</definedName>
    <definedName name="에이" hidden="1">{#N/A,#N/A,TRUE,"Y생산";#N/A,#N/A,TRUE,"Y판매";#N/A,#N/A,TRUE,"Y총물량";#N/A,#N/A,TRUE,"Y능력";#N/A,#N/A,TRUE,"YKD"}</definedName>
    <definedName name="엔진" localSheetId="4" hidden="1">{#N/A,#N/A,FALSE,"단축1";#N/A,#N/A,FALSE,"단축2";#N/A,#N/A,FALSE,"단축3";#N/A,#N/A,FALSE,"장축";#N/A,#N/A,FALSE,"4WD"}</definedName>
    <definedName name="엔진" hidden="1">{#N/A,#N/A,FALSE,"단축1";#N/A,#N/A,FALSE,"단축2";#N/A,#N/A,FALSE,"단축3";#N/A,#N/A,FALSE,"장축";#N/A,#N/A,FALSE,"4WD"}</definedName>
    <definedName name="여력" localSheetId="4" hidden="1">{#N/A,#N/A,TRUE,"Y생산";#N/A,#N/A,TRUE,"Y판매";#N/A,#N/A,TRUE,"Y총물량";#N/A,#N/A,TRUE,"Y능력";#N/A,#N/A,TRUE,"YKD"}</definedName>
    <definedName name="여력" hidden="1">{#N/A,#N/A,TRUE,"Y생산";#N/A,#N/A,TRUE,"Y판매";#N/A,#N/A,TRUE,"Y총물량";#N/A,#N/A,TRUE,"Y능력";#N/A,#N/A,TRUE,"YKD"}</definedName>
    <definedName name="여력인원" localSheetId="4" hidden="1">{#N/A,#N/A,FALSE,"96 3월물량표";#N/A,#N/A,FALSE,"96 4월물량표";#N/A,#N/A,FALSE,"96 5월물량표"}</definedName>
    <definedName name="여력인원" hidden="1">{#N/A,#N/A,FALSE,"96 3월물량표";#N/A,#N/A,FALSE,"96 4월물량표";#N/A,#N/A,FALSE,"96 5월물량표"}</definedName>
    <definedName name="연간예상" localSheetId="4" hidden="1">{#N/A,#N/A,FALSE,"UNIT";#N/A,#N/A,FALSE,"UNIT";#N/A,#N/A,FALSE,"계정"}</definedName>
    <definedName name="연간예상" hidden="1">{#N/A,#N/A,FALSE,"UNIT";#N/A,#N/A,FALSE,"UNIT";#N/A,#N/A,FALSE,"계정"}</definedName>
    <definedName name="연구개발비_금감원" localSheetId="4" hidden="1">{#N/A,#N/A,FALSE,"보험현황";#N/A,#N/A,FALSE,"보험현황"}</definedName>
    <definedName name="연구개발비_금감원" hidden="1">{#N/A,#N/A,FALSE,"보험현황";#N/A,#N/A,FALSE,"보험현황"}</definedName>
    <definedName name="연말손익" localSheetId="4" hidden="1">{#N/A,#N/A,FALSE,"UNIT";#N/A,#N/A,FALSE,"UNIT";#N/A,#N/A,FALSE,"계정"}</definedName>
    <definedName name="연말손익" hidden="1">{#N/A,#N/A,FALSE,"UNIT";#N/A,#N/A,FALSE,"UNIT";#N/A,#N/A,FALSE,"계정"}</definedName>
    <definedName name="열처리" localSheetId="4" hidden="1">{#N/A,#N/A,FALSE,"단축1";#N/A,#N/A,FALSE,"단축2";#N/A,#N/A,FALSE,"단축3";#N/A,#N/A,FALSE,"장축";#N/A,#N/A,FALSE,"4WD"}</definedName>
    <definedName name="열처리" hidden="1">{#N/A,#N/A,FALSE,"단축1";#N/A,#N/A,FALSE,"단축2";#N/A,#N/A,FALSE,"단축3";#N/A,#N/A,FALSE,"장축";#N/A,#N/A,FALSE,"4WD"}</definedName>
    <definedName name="영업" localSheetId="4" hidden="1">#REF!</definedName>
    <definedName name="영업" hidden="1">#REF!</definedName>
    <definedName name="예비분석적검토" localSheetId="4" hidden="1">{#N/A,#N/A,FALSE,"COL-HIS"}</definedName>
    <definedName name="예비분석적검토" hidden="1">{#N/A,#N/A,FALSE,"COL-HIS"}</definedName>
    <definedName name="예산" localSheetId="4" hidden="1">{#N/A,#N/A,FALSE,"단축1";#N/A,#N/A,FALSE,"단축2";#N/A,#N/A,FALSE,"단축3";#N/A,#N/A,FALSE,"장축";#N/A,#N/A,FALSE,"4WD"}</definedName>
    <definedName name="예산" hidden="1">{#N/A,#N/A,FALSE,"단축1";#N/A,#N/A,FALSE,"단축2";#N/A,#N/A,FALSE,"단축3";#N/A,#N/A,FALSE,"장축";#N/A,#N/A,FALSE,"4WD"}</definedName>
    <definedName name="예산4" localSheetId="4" hidden="1">{#N/A,#N/A,TRUE,"Y생산";#N/A,#N/A,TRUE,"Y판매";#N/A,#N/A,TRUE,"Y총물량";#N/A,#N/A,TRUE,"Y능력";#N/A,#N/A,TRUE,"YKD"}</definedName>
    <definedName name="예산4" hidden="1">{#N/A,#N/A,TRUE,"Y생산";#N/A,#N/A,TRUE,"Y판매";#N/A,#N/A,TRUE,"Y총물량";#N/A,#N/A,TRUE,"Y능력";#N/A,#N/A,TRUE,"YKD"}</definedName>
    <definedName name="예산수정" localSheetId="4" hidden="1">{#N/A,#N/A,TRUE,"Y생산";#N/A,#N/A,TRUE,"Y판매";#N/A,#N/A,TRUE,"Y총물량";#N/A,#N/A,TRUE,"Y능력";#N/A,#N/A,TRUE,"YKD"}</definedName>
    <definedName name="예산수정" hidden="1">{#N/A,#N/A,TRUE,"Y생산";#N/A,#N/A,TRUE,"Y판매";#N/A,#N/A,TRUE,"Y총물량";#N/A,#N/A,TRUE,"Y능력";#N/A,#N/A,TRUE,"YKD"}</definedName>
    <definedName name="예상" localSheetId="4" hidden="1">{#N/A,#N/A,FALSE,"단축1";#N/A,#N/A,FALSE,"단축2";#N/A,#N/A,FALSE,"단축3";#N/A,#N/A,FALSE,"장축";#N/A,#N/A,FALSE,"4WD"}</definedName>
    <definedName name="예상" hidden="1">{#N/A,#N/A,FALSE,"단축1";#N/A,#N/A,FALSE,"단축2";#N/A,#N/A,FALSE,"단축3";#N/A,#N/A,FALSE,"장축";#N/A,#N/A,FALSE,"4WD"}</definedName>
    <definedName name="예상매출" localSheetId="4" hidden="1">{#N/A,#N/A,TRUE,"Y생산";#N/A,#N/A,TRUE,"Y판매";#N/A,#N/A,TRUE,"Y총물량";#N/A,#N/A,TRUE,"Y능력";#N/A,#N/A,TRUE,"YKD"}</definedName>
    <definedName name="예상매출" hidden="1">{#N/A,#N/A,TRUE,"Y생산";#N/A,#N/A,TRUE,"Y판매";#N/A,#N/A,TRUE,"Y총물량";#N/A,#N/A,TRUE,"Y능력";#N/A,#N/A,TRUE,"YKD"}</definedName>
    <definedName name="오" localSheetId="4" hidden="1">{#N/A,#N/A,FALSE,"UNIT";#N/A,#N/A,FALSE,"UNIT";#N/A,#N/A,FALSE,"계정"}</definedName>
    <definedName name="오" hidden="1">{#N/A,#N/A,FALSE,"UNIT";#N/A,#N/A,FALSE,"UNIT";#N/A,#N/A,FALSE,"계정"}</definedName>
    <definedName name="오." localSheetId="4" hidden="1">{#N/A,#N/A,FALSE,"UNIT";#N/A,#N/A,FALSE,"UNIT";#N/A,#N/A,FALSE,"계정"}</definedName>
    <definedName name="오." hidden="1">{#N/A,#N/A,FALSE,"UNIT";#N/A,#N/A,FALSE,"UNIT";#N/A,#N/A,FALSE,"계정"}</definedName>
    <definedName name="오.." localSheetId="4" hidden="1">{#N/A,#N/A,FALSE,"UNIT";#N/A,#N/A,FALSE,"UNIT";#N/A,#N/A,FALSE,"계정"}</definedName>
    <definedName name="오.." hidden="1">{#N/A,#N/A,FALSE,"UNIT";#N/A,#N/A,FALSE,"UNIT";#N/A,#N/A,FALSE,"계정"}</definedName>
    <definedName name="오늘" localSheetId="4" hidden="1">{#N/A,#N/A,TRUE,"Y생산";#N/A,#N/A,TRUE,"Y판매";#N/A,#N/A,TRUE,"Y총물량";#N/A,#N/A,TRUE,"Y능력";#N/A,#N/A,TRUE,"YKD"}</definedName>
    <definedName name="오늘" hidden="1">{#N/A,#N/A,TRUE,"Y생산";#N/A,#N/A,TRUE,"Y판매";#N/A,#N/A,TRUE,"Y총물량";#N/A,#N/A,TRUE,"Y능력";#N/A,#N/A,TRUE,"YKD"}</definedName>
    <definedName name="오성협" localSheetId="4" hidden="1">{#N/A,#N/A,TRUE,"Y생산";#N/A,#N/A,TRUE,"Y판매";#N/A,#N/A,TRUE,"Y총물량";#N/A,#N/A,TRUE,"Y능력";#N/A,#N/A,TRUE,"YKD"}</definedName>
    <definedName name="오성협" hidden="1">{#N/A,#N/A,TRUE,"Y생산";#N/A,#N/A,TRUE,"Y판매";#N/A,#N/A,TRUE,"Y총물량";#N/A,#N/A,TRUE,"Y능력";#N/A,#N/A,TRUE,"YKD"}</definedName>
    <definedName name="오익환" localSheetId="4" hidden="1">{#N/A,#N/A,FALSE,"단축1";#N/A,#N/A,FALSE,"단축2";#N/A,#N/A,FALSE,"단축3";#N/A,#N/A,FALSE,"장축";#N/A,#N/A,FALSE,"4WD"}</definedName>
    <definedName name="오익환" hidden="1">{#N/A,#N/A,FALSE,"단축1";#N/A,#N/A,FALSE,"단축2";#N/A,#N/A,FALSE,"단축3";#N/A,#N/A,FALSE,"장축";#N/A,#N/A,FALSE,"4WD"}</definedName>
    <definedName name="오정진" localSheetId="4" hidden="1">{#N/A,#N/A,FALSE,"96 3월물량표";#N/A,#N/A,FALSE,"96 4월물량표";#N/A,#N/A,FALSE,"96 5월물량표"}</definedName>
    <definedName name="오정진" hidden="1">{#N/A,#N/A,FALSE,"96 3월물량표";#N/A,#N/A,FALSE,"96 4월물량표";#N/A,#N/A,FALSE,"96 5월물량표"}</definedName>
    <definedName name="외상매입1" localSheetId="4" hidden="1">{#N/A,#N/A,FALSE,"BS";#N/A,#N/A,FALSE,"PL";#N/A,#N/A,FALSE,"처분";#N/A,#N/A,FALSE,"현금";#N/A,#N/A,FALSE,"매출";#N/A,#N/A,FALSE,"원가";#N/A,#N/A,FALSE,"경영"}</definedName>
    <definedName name="외상매입1" hidden="1">{#N/A,#N/A,FALSE,"BS";#N/A,#N/A,FALSE,"PL";#N/A,#N/A,FALSE,"처분";#N/A,#N/A,FALSE,"현금";#N/A,#N/A,FALSE,"매출";#N/A,#N/A,FALSE,"원가";#N/A,#N/A,FALSE,"경영"}</definedName>
    <definedName name="외주계획" localSheetId="4" hidden="1">{#N/A,#N/A,TRUE,"Y생산";#N/A,#N/A,TRUE,"Y판매";#N/A,#N/A,TRUE,"Y총물량";#N/A,#N/A,TRUE,"Y능력";#N/A,#N/A,TRUE,"YKD"}</definedName>
    <definedName name="외주계획" hidden="1">{#N/A,#N/A,TRUE,"Y생산";#N/A,#N/A,TRUE,"Y판매";#N/A,#N/A,TRUE,"Y총물량";#N/A,#N/A,TRUE,"Y능력";#N/A,#N/A,TRUE,"YKD"}</definedName>
    <definedName name="요약" localSheetId="4" hidden="1">#REF!</definedName>
    <definedName name="요약" hidden="1">#REF!</definedName>
    <definedName name="용도차" localSheetId="4" hidden="1">{#N/A,#N/A,FALSE,"단축1";#N/A,#N/A,FALSE,"단축2";#N/A,#N/A,FALSE,"단축3";#N/A,#N/A,FALSE,"장축";#N/A,#N/A,FALSE,"4WD"}</definedName>
    <definedName name="용도차" hidden="1">{#N/A,#N/A,FALSE,"단축1";#N/A,#N/A,FALSE,"단축2";#N/A,#N/A,FALSE,"단축3";#N/A,#N/A,FALSE,"장축";#N/A,#N/A,FALSE,"4WD"}</definedName>
    <definedName name="용역" localSheetId="4" hidden="1">{#N/A,#N/A,TRUE,"Y생산";#N/A,#N/A,TRUE,"Y판매";#N/A,#N/A,TRUE,"Y총물량";#N/A,#N/A,TRUE,"Y능력";#N/A,#N/A,TRUE,"YKD"}</definedName>
    <definedName name="용역" hidden="1">{#N/A,#N/A,TRUE,"Y생산";#N/A,#N/A,TRUE,"Y판매";#N/A,#N/A,TRUE,"Y총물량";#N/A,#N/A,TRUE,"Y능력";#N/A,#N/A,TRUE,"YKD"}</definedName>
    <definedName name="우리" localSheetId="4" hidden="1">{#N/A,#N/A,FALSE,"표지";#N/A,#N/A,FALSE,"전제";#N/A,#N/A,FALSE,"손익-자 (2)";#N/A,#N/A,FALSE,"손익-자";#N/A,#N/A,FALSE,"손익-마 (2)";#N/A,#N/A,FALSE,"손익-마";#N/A,#N/A,FALSE,"총손최종"}</definedName>
    <definedName name="우리" hidden="1">{#N/A,#N/A,FALSE,"표지";#N/A,#N/A,FALSE,"전제";#N/A,#N/A,FALSE,"손익-자 (2)";#N/A,#N/A,FALSE,"손익-자";#N/A,#N/A,FALSE,"손익-마 (2)";#N/A,#N/A,FALSE,"손익-마";#N/A,#N/A,FALSE,"총손최종"}</definedName>
    <definedName name="우리가" localSheetId="4" hidden="1">{#N/A,#N/A,TRUE,"Y생산";#N/A,#N/A,TRUE,"Y판매";#N/A,#N/A,TRUE,"Y총물량";#N/A,#N/A,TRUE,"Y능력";#N/A,#N/A,TRUE,"YKD"}</definedName>
    <definedName name="우리가" hidden="1">{#N/A,#N/A,TRUE,"Y생산";#N/A,#N/A,TRUE,"Y판매";#N/A,#N/A,TRUE,"Y총물량";#N/A,#N/A,TRUE,"Y능력";#N/A,#N/A,TRUE,"YKD"}</definedName>
    <definedName name="우리나라" localSheetId="4" hidden="1">{#N/A,#N/A,TRUE,"Y생산";#N/A,#N/A,TRUE,"Y판매";#N/A,#N/A,TRUE,"Y총물량";#N/A,#N/A,TRUE,"Y능력";#N/A,#N/A,TRUE,"YKD"}</definedName>
    <definedName name="우리나라" hidden="1">{#N/A,#N/A,TRUE,"Y생산";#N/A,#N/A,TRUE,"Y판매";#N/A,#N/A,TRUE,"Y총물량";#N/A,#N/A,TRUE,"Y능력";#N/A,#N/A,TRUE,"YKD"}</definedName>
    <definedName name="우리사주대여금" localSheetId="4" hidden="1">#REF!</definedName>
    <definedName name="우리사주대여금" hidden="1">#REF!</definedName>
    <definedName name="운영1" localSheetId="4" hidden="1">{#N/A,#N/A,FALSE,"단축1";#N/A,#N/A,FALSE,"단축2";#N/A,#N/A,FALSE,"단축3";#N/A,#N/A,FALSE,"장축";#N/A,#N/A,FALSE,"4WD"}</definedName>
    <definedName name="운영1" hidden="1">{#N/A,#N/A,FALSE,"단축1";#N/A,#N/A,FALSE,"단축2";#N/A,#N/A,FALSE,"단축3";#N/A,#N/A,FALSE,"장축";#N/A,#N/A,FALSE,"4WD"}</definedName>
    <definedName name="원" localSheetId="4" hidden="1">{#N/A,#N/A,TRUE,"Y생산";#N/A,#N/A,TRUE,"Y판매";#N/A,#N/A,TRUE,"Y총물량";#N/A,#N/A,TRUE,"Y능력";#N/A,#N/A,TRUE,"YKD"}</definedName>
    <definedName name="원" hidden="1">{#N/A,#N/A,TRUE,"Y생산";#N/A,#N/A,TRUE,"Y판매";#N/A,#N/A,TRUE,"Y총물량";#N/A,#N/A,TRUE,"Y능력";#N/A,#N/A,TRUE,"YKD"}</definedName>
    <definedName name="원가테이블" localSheetId="4" hidden="1">{#N/A,#N/A,TRUE,"Y생산";#N/A,#N/A,TRUE,"Y판매";#N/A,#N/A,TRUE,"Y총물량";#N/A,#N/A,TRUE,"Y능력";#N/A,#N/A,TRUE,"YKD"}</definedName>
    <definedName name="원가테이블" hidden="1">{#N/A,#N/A,TRUE,"Y생산";#N/A,#N/A,TRUE,"Y판매";#N/A,#N/A,TRUE,"Y총물량";#N/A,#N/A,TRUE,"Y능력";#N/A,#N/A,TRUE,"YKD"}</definedName>
    <definedName name="원가화" localSheetId="4" hidden="1">{#N/A,#N/A,TRUE,"Y생산";#N/A,#N/A,TRUE,"Y판매";#N/A,#N/A,TRUE,"Y총물량";#N/A,#N/A,TRUE,"Y능력";#N/A,#N/A,TRUE,"YKD"}</definedName>
    <definedName name="원가화" hidden="1">{#N/A,#N/A,TRUE,"Y생산";#N/A,#N/A,TRUE,"Y판매";#N/A,#N/A,TRUE,"Y총물량";#N/A,#N/A,TRUE,"Y능력";#N/A,#N/A,TRUE,"YKD"}</definedName>
    <definedName name="원단" localSheetId="4" hidden="1">{#N/A,#N/A,TRUE,"Y생산";#N/A,#N/A,TRUE,"Y판매";#N/A,#N/A,TRUE,"Y총물량";#N/A,#N/A,TRUE,"Y능력";#N/A,#N/A,TRUE,"YKD"}</definedName>
    <definedName name="원단" hidden="1">{#N/A,#N/A,TRUE,"Y생산";#N/A,#N/A,TRUE,"Y판매";#N/A,#N/A,TRUE,"Y총물량";#N/A,#N/A,TRUE,"Y능력";#N/A,#N/A,TRUE,"YKD"}</definedName>
    <definedName name="원재료수율3" localSheetId="4" hidden="1">{#N/A,#N/A,FALSE,"96 3월물량표";#N/A,#N/A,FALSE,"96 4월물량표";#N/A,#N/A,FALSE,"96 5월물량표"}</definedName>
    <definedName name="원재료수율3" hidden="1">{#N/A,#N/A,FALSE,"96 3월물량표";#N/A,#N/A,FALSE,"96 4월물량표";#N/A,#N/A,FALSE,"96 5월물량표"}</definedName>
    <definedName name="월별일정" localSheetId="4" hidden="1">{#N/A,#N/A,FALSE,"단축1";#N/A,#N/A,FALSE,"단축2";#N/A,#N/A,FALSE,"단축3";#N/A,#N/A,FALSE,"장축";#N/A,#N/A,FALSE,"4WD"}</definedName>
    <definedName name="월별일정" hidden="1">{#N/A,#N/A,FALSE,"단축1";#N/A,#N/A,FALSE,"단축2";#N/A,#N/A,FALSE,"단축3";#N/A,#N/A,FALSE,"장축";#N/A,#N/A,FALSE,"4WD"}</definedName>
    <definedName name="유가증권" localSheetId="4" hidden="1">{#N/A,#N/A,FALSE,"Aging Summary";#N/A,#N/A,FALSE,"Ratio Analysis";#N/A,#N/A,FALSE,"Test 120 Day Accts";#N/A,#N/A,FALSE,"Tickmarks"}</definedName>
    <definedName name="유가증권" hidden="1">{#N/A,#N/A,FALSE,"Aging Summary";#N/A,#N/A,FALSE,"Ratio Analysis";#N/A,#N/A,FALSE,"Test 120 Day Accts";#N/A,#N/A,FALSE,"Tickmarks"}</definedName>
    <definedName name="유가증권_금감원" localSheetId="4" hidden="1">{#N/A,#N/A,FALSE,"보험현황";#N/A,#N/A,FALSE,"보험현황"}</definedName>
    <definedName name="유가증권_금감원" hidden="1">{#N/A,#N/A,FALSE,"보험현황";#N/A,#N/A,FALSE,"보험현황"}</definedName>
    <definedName name="유럽" localSheetId="4" hidden="1">{#N/A,#N/A,FALSE,"단축1";#N/A,#N/A,FALSE,"단축2";#N/A,#N/A,FALSE,"단축3";#N/A,#N/A,FALSE,"장축";#N/A,#N/A,FALSE,"4WD"}</definedName>
    <definedName name="유럽" hidden="1">{#N/A,#N/A,FALSE,"단축1";#N/A,#N/A,FALSE,"단축2";#N/A,#N/A,FALSE,"단축3";#N/A,#N/A,FALSE,"장축";#N/A,#N/A,FALSE,"4WD"}</definedName>
    <definedName name="유첨.투자비2" localSheetId="4" hidden="1">{#N/A,#N/A,FALSE,"단축1";#N/A,#N/A,FALSE,"단축2";#N/A,#N/A,FALSE,"단축3";#N/A,#N/A,FALSE,"장축";#N/A,#N/A,FALSE,"4WD"}</definedName>
    <definedName name="유첨.투자비2" hidden="1">{#N/A,#N/A,FALSE,"단축1";#N/A,#N/A,FALSE,"단축2";#N/A,#N/A,FALSE,"단축3";#N/A,#N/A,FALSE,"장축";#N/A,#N/A,FALSE,"4WD"}</definedName>
    <definedName name="유형자산명세_금감원" localSheetId="4" hidden="1">{#N/A,#N/A,FALSE,"보험현황";#N/A,#N/A,FALSE,"보험현황"}</definedName>
    <definedName name="유형자산명세_금감원" hidden="1">{#N/A,#N/A,FALSE,"보험현황";#N/A,#N/A,FALSE,"보험현황"}</definedName>
    <definedName name="유효" localSheetId="4" hidden="1">{#N/A,#N/A,FALSE,"주요여수신";#N/A,#N/A,FALSE,"수신금리";#N/A,#N/A,FALSE,"대출금리";#N/A,#N/A,FALSE,"신규대출";#N/A,#N/A,FALSE,"총액대출"}</definedName>
    <definedName name="유효" hidden="1">{#N/A,#N/A,FALSE,"주요여수신";#N/A,#N/A,FALSE,"수신금리";#N/A,#N/A,FALSE,"대출금리";#N/A,#N/A,FALSE,"신규대출";#N/A,#N/A,FALSE,"총액대출"}</definedName>
    <definedName name="이" localSheetId="4" hidden="1">{#N/A,#N/A,FALSE,"96 3월물량표";#N/A,#N/A,FALSE,"96 4월물량표";#N/A,#N/A,FALSE,"96 5월물량표"}</definedName>
    <definedName name="이" hidden="1">{#N/A,#N/A,FALSE,"96 3월물량표";#N/A,#N/A,FALSE,"96 4월물량표";#N/A,#N/A,FALSE,"96 5월물량표"}</definedName>
    <definedName name="이근한" localSheetId="4" hidden="1">{#N/A,#N/A,FALSE,"단축1";#N/A,#N/A,FALSE,"단축2";#N/A,#N/A,FALSE,"단축3";#N/A,#N/A,FALSE,"장축";#N/A,#N/A,FALSE,"4WD"}</definedName>
    <definedName name="이근한" hidden="1">{#N/A,#N/A,FALSE,"단축1";#N/A,#N/A,FALSE,"단축2";#N/A,#N/A,FALSE,"단축3";#N/A,#N/A,FALSE,"장축";#N/A,#N/A,FALSE,"4WD"}</definedName>
    <definedName name="이를충돌" localSheetId="4" hidden="1">{#N/A,#N/A,TRUE,"Y생산";#N/A,#N/A,TRUE,"Y판매";#N/A,#N/A,TRUE,"Y총물량";#N/A,#N/A,TRUE,"Y능력";#N/A,#N/A,TRUE,"YKD"}</definedName>
    <definedName name="이를충돌" hidden="1">{#N/A,#N/A,TRUE,"Y생산";#N/A,#N/A,TRUE,"Y판매";#N/A,#N/A,TRUE,"Y총물량";#N/A,#N/A,TRUE,"Y능력";#N/A,#N/A,TRUE,"YKD"}</definedName>
    <definedName name="이름충돌\" localSheetId="4" hidden="1">{#N/A,#N/A,TRUE,"Y생산";#N/A,#N/A,TRUE,"Y판매";#N/A,#N/A,TRUE,"Y총물량";#N/A,#N/A,TRUE,"Y능력";#N/A,#N/A,TRUE,"YKD"}</definedName>
    <definedName name="이름충돌\" hidden="1">{#N/A,#N/A,TRUE,"Y생산";#N/A,#N/A,TRUE,"Y판매";#N/A,#N/A,TRUE,"Y총물량";#N/A,#N/A,TRUE,"Y능력";#N/A,#N/A,TRUE,"YKD"}</definedName>
    <definedName name="이연법인세2002" localSheetId="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이연법인세200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인감신고서" localSheetId="4" hidden="1">#REF!</definedName>
    <definedName name="인감신고서" hidden="1">#REF!</definedName>
    <definedName name="인계" localSheetId="4" hidden="1">{#N/A,#N/A,TRUE,"Y생산";#N/A,#N/A,TRUE,"Y판매";#N/A,#N/A,TRUE,"Y총물량";#N/A,#N/A,TRUE,"Y능력";#N/A,#N/A,TRUE,"YKD"}</definedName>
    <definedName name="인계" hidden="1">{#N/A,#N/A,TRUE,"Y생산";#N/A,#N/A,TRUE,"Y판매";#N/A,#N/A,TRUE,"Y총물량";#N/A,#N/A,TRUE,"Y능력";#N/A,#N/A,TRUE,"YKD"}</definedName>
    <definedName name="인계획" localSheetId="4" hidden="1">{#N/A,#N/A,TRUE,"Y생산";#N/A,#N/A,TRUE,"Y판매";#N/A,#N/A,TRUE,"Y총물량";#N/A,#N/A,TRUE,"Y능력";#N/A,#N/A,TRUE,"YKD"}</definedName>
    <definedName name="인계획" hidden="1">{#N/A,#N/A,TRUE,"Y생산";#N/A,#N/A,TRUE,"Y판매";#N/A,#N/A,TRUE,"Y총물량";#N/A,#N/A,TRUE,"Y능력";#N/A,#N/A,TRUE,"YKD"}</definedName>
    <definedName name="인동초" localSheetId="4" hidden="1">{#N/A,#N/A,TRUE,"Y생산";#N/A,#N/A,TRUE,"Y판매";#N/A,#N/A,TRUE,"Y총물량";#N/A,#N/A,TRUE,"Y능력";#N/A,#N/A,TRUE,"YKD"}</definedName>
    <definedName name="인동초" hidden="1">{#N/A,#N/A,TRUE,"Y생산";#N/A,#N/A,TRUE,"Y판매";#N/A,#N/A,TRUE,"Y총물량";#N/A,#N/A,TRUE,"Y능력";#N/A,#N/A,TRUE,"YKD"}</definedName>
    <definedName name="인원세부" localSheetId="4" hidden="1">{#N/A,#N/A,TRUE,"Y생산";#N/A,#N/A,TRUE,"Y판매";#N/A,#N/A,TRUE,"Y총물량";#N/A,#N/A,TRUE,"Y능력";#N/A,#N/A,TRUE,"YKD"}</definedName>
    <definedName name="인원세부" hidden="1">{#N/A,#N/A,TRUE,"Y생산";#N/A,#N/A,TRUE,"Y판매";#N/A,#N/A,TRUE,"Y총물량";#N/A,#N/A,TRUE,"Y능력";#N/A,#N/A,TRUE,"YKD"}</definedName>
    <definedName name="인원충원사유" localSheetId="4" hidden="1">{#N/A,#N/A,FALSE,"계약직(여)"}</definedName>
    <definedName name="인원충원사유" hidden="1">{#N/A,#N/A,FALSE,"계약직(여)"}</definedName>
    <definedName name="일동" localSheetId="4" hidden="1">{#N/A,#N/A,TRUE,"Y생산";#N/A,#N/A,TRUE,"Y판매";#N/A,#N/A,TRUE,"Y총물량";#N/A,#N/A,TRUE,"Y능력";#N/A,#N/A,TRUE,"YKD"}</definedName>
    <definedName name="일동" hidden="1">{#N/A,#N/A,TRUE,"Y생산";#N/A,#N/A,TRUE,"Y판매";#N/A,#N/A,TRUE,"Y총물량";#N/A,#N/A,TRUE,"Y능력";#N/A,#N/A,TRUE,"YKD"}</definedName>
    <definedName name="일동성" localSheetId="4" hidden="1">{#N/A,#N/A,TRUE,"Y생산";#N/A,#N/A,TRUE,"Y판매";#N/A,#N/A,TRUE,"Y총물량";#N/A,#N/A,TRUE,"Y능력";#N/A,#N/A,TRUE,"YKD"}</definedName>
    <definedName name="일동성" hidden="1">{#N/A,#N/A,TRUE,"Y생산";#N/A,#N/A,TRUE,"Y판매";#N/A,#N/A,TRUE,"Y총물량";#N/A,#N/A,TRUE,"Y능력";#N/A,#N/A,TRUE,"YKD"}</definedName>
    <definedName name="일면" localSheetId="4" hidden="1">{#N/A,#N/A,FALSE,"96 3월물량표";#N/A,#N/A,FALSE,"96 4월물량표";#N/A,#N/A,FALSE,"96 5월물량표"}</definedName>
    <definedName name="일면" hidden="1">{#N/A,#N/A,FALSE,"96 3월물량표";#N/A,#N/A,FALSE,"96 4월물량표";#N/A,#N/A,FALSE,"96 5월물량표"}</definedName>
    <definedName name="일이ㅏㄹ" localSheetId="4" hidden="1">{#N/A,#N/A,FALSE,"단축1";#N/A,#N/A,FALSE,"단축2";#N/A,#N/A,FALSE,"단축3";#N/A,#N/A,FALSE,"장축";#N/A,#N/A,FALSE,"4WD"}</definedName>
    <definedName name="일이ㅏㄹ" hidden="1">{#N/A,#N/A,FALSE,"단축1";#N/A,#N/A,FALSE,"단축2";#N/A,#N/A,FALSE,"단축3";#N/A,#N/A,FALSE,"장축";#N/A,#N/A,FALSE,"4WD"}</definedName>
    <definedName name="일자별" localSheetId="4" hidden="1">{#N/A,#N/A,TRUE,"Y생산";#N/A,#N/A,TRUE,"Y판매";#N/A,#N/A,TRUE,"Y총물량";#N/A,#N/A,TRUE,"Y능력";#N/A,#N/A,TRUE,"YKD"}</definedName>
    <definedName name="일자별" hidden="1">{#N/A,#N/A,TRUE,"Y생산";#N/A,#N/A,TRUE,"Y판매";#N/A,#N/A,TRUE,"Y총물량";#N/A,#N/A,TRUE,"Y능력";#N/A,#N/A,TRUE,"YKD"}</definedName>
    <definedName name="일전" localSheetId="4" hidden="1">{#N/A,#N/A,TRUE,"Y생산";#N/A,#N/A,TRUE,"Y판매";#N/A,#N/A,TRUE,"Y총물량";#N/A,#N/A,TRUE,"Y능력";#N/A,#N/A,TRUE,"YKD"}</definedName>
    <definedName name="일전" hidden="1">{#N/A,#N/A,TRUE,"Y생산";#N/A,#N/A,TRUE,"Y판매";#N/A,#N/A,TRUE,"Y총물량";#N/A,#N/A,TRUE,"Y능력";#N/A,#N/A,TRUE,"YKD"}</definedName>
    <definedName name="일정" localSheetId="4" hidden="1">{#N/A,#N/A,TRUE,"Y생산";#N/A,#N/A,TRUE,"Y판매";#N/A,#N/A,TRUE,"Y총물량";#N/A,#N/A,TRUE,"Y능력";#N/A,#N/A,TRUE,"YKD"}</definedName>
    <definedName name="일정" hidden="1">{#N/A,#N/A,TRUE,"Y생산";#N/A,#N/A,TRUE,"Y판매";#N/A,#N/A,TRUE,"Y총물량";#N/A,#N/A,TRUE,"Y능력";#N/A,#N/A,TRUE,"YKD"}</definedName>
    <definedName name="일총" localSheetId="4" hidden="1">{#N/A,#N/A,TRUE,"Y생산";#N/A,#N/A,TRUE,"Y판매";#N/A,#N/A,TRUE,"Y총물량";#N/A,#N/A,TRUE,"Y능력";#N/A,#N/A,TRUE,"YKD"}</definedName>
    <definedName name="일총" hidden="1">{#N/A,#N/A,TRUE,"Y생산";#N/A,#N/A,TRUE,"Y판매";#N/A,#N/A,TRUE,"Y총물량";#N/A,#N/A,TRUE,"Y능력";#N/A,#N/A,TRUE,"YKD"}</definedName>
    <definedName name="ㅈ" localSheetId="4" hidden="1">{#N/A,#N/A,FALSE,"주요여수신";#N/A,#N/A,FALSE,"수신금리";#N/A,#N/A,FALSE,"대출금리";#N/A,#N/A,FALSE,"신규대출";#N/A,#N/A,FALSE,"총액대출"}</definedName>
    <definedName name="ㅈ" hidden="1">{#N/A,#N/A,FALSE,"주요여수신";#N/A,#N/A,FALSE,"수신금리";#N/A,#N/A,FALSE,"대출금리";#N/A,#N/A,FALSE,"신규대출";#N/A,#N/A,FALSE,"총액대출"}</definedName>
    <definedName name="ㅈWIIWIW" localSheetId="4" hidden="1">{#N/A,#N/A,FALSE,"96 3월물량표";#N/A,#N/A,FALSE,"96 4월물량표";#N/A,#N/A,FALSE,"96 5월물량표"}</definedName>
    <definedName name="ㅈWIIWIW" hidden="1">{#N/A,#N/A,FALSE,"96 3월물량표";#N/A,#N/A,FALSE,"96 4월물량표";#N/A,#N/A,FALSE,"96 5월물량표"}</definedName>
    <definedName name="ㅈㄷ" localSheetId="4" hidden="1">{#N/A,#N/A,TRUE,"Y생산";#N/A,#N/A,TRUE,"Y판매";#N/A,#N/A,TRUE,"Y총물량";#N/A,#N/A,TRUE,"Y능력";#N/A,#N/A,TRUE,"YKD"}</definedName>
    <definedName name="ㅈㄷ" hidden="1">{#N/A,#N/A,TRUE,"Y생산";#N/A,#N/A,TRUE,"Y판매";#N/A,#N/A,TRUE,"Y총물량";#N/A,#N/A,TRUE,"Y능력";#N/A,#N/A,TRUE,"YKD"}</definedName>
    <definedName name="ㅈㄷㄳ" localSheetId="4" hidden="1">{#N/A,#N/A,FALSE,"신규dep";#N/A,#N/A,FALSE,"신규dep-금형상각후";#N/A,#N/A,FALSE,"신규dep-연구비상각후";#N/A,#N/A,FALSE,"신규dep-기계,공구상각후"}</definedName>
    <definedName name="ㅈㄷㄳ" hidden="1">{#N/A,#N/A,FALSE,"신규dep";#N/A,#N/A,FALSE,"신규dep-금형상각후";#N/A,#N/A,FALSE,"신규dep-연구비상각후";#N/A,#N/A,FALSE,"신규dep-기계,공구상각후"}</definedName>
    <definedName name="ㅈㅇㄷㅇㄴㅁㅇㄴ" localSheetId="4" hidden="1">#REF!</definedName>
    <definedName name="ㅈㅇㄷㅇㄴㅁㅇㄴ" hidden="1">#REF!</definedName>
    <definedName name="ㅈㅈ" localSheetId="4" hidden="1">{#N/A,#N/A,FALSE,"96 3월물량표";#N/A,#N/A,FALSE,"96 4월물량표";#N/A,#N/A,FALSE,"96 5월물량표"}</definedName>
    <definedName name="ㅈㅈ" hidden="1">{#N/A,#N/A,FALSE,"96 3월물량표";#N/A,#N/A,FALSE,"96 4월물량표";#N/A,#N/A,FALSE,"96 5월물량표"}</definedName>
    <definedName name="ㅈㅈㅈㅈ" localSheetId="4" hidden="1">{#N/A,#N/A,TRUE,"Y생산";#N/A,#N/A,TRUE,"Y판매";#N/A,#N/A,TRUE,"Y총물량";#N/A,#N/A,TRUE,"Y능력";#N/A,#N/A,TRUE,"YKD"}</definedName>
    <definedName name="ㅈㅈㅈㅈ" hidden="1">{#N/A,#N/A,TRUE,"Y생산";#N/A,#N/A,TRUE,"Y판매";#N/A,#N/A,TRUE,"Y총물량";#N/A,#N/A,TRUE,"Y능력";#N/A,#N/A,TRUE,"YKD"}</definedName>
    <definedName name="자." localSheetId="4" hidden="1">{#N/A,#N/A,FALSE,"UNIT";#N/A,#N/A,FALSE,"UNIT";#N/A,#N/A,FALSE,"계정"}</definedName>
    <definedName name="자." hidden="1">{#N/A,#N/A,FALSE,"UNIT";#N/A,#N/A,FALSE,"UNIT";#N/A,#N/A,FALSE,"계정"}</definedName>
    <definedName name="자.." localSheetId="4" hidden="1">{#N/A,#N/A,FALSE,"UNIT";#N/A,#N/A,FALSE,"UNIT";#N/A,#N/A,FALSE,"계정"}</definedName>
    <definedName name="자.." hidden="1">{#N/A,#N/A,FALSE,"UNIT";#N/A,#N/A,FALSE,"UNIT";#N/A,#N/A,FALSE,"계정"}</definedName>
    <definedName name="자재기준" localSheetId="4" hidden="1">{#N/A,#N/A,TRUE,"Y생산";#N/A,#N/A,TRUE,"Y판매";#N/A,#N/A,TRUE,"Y총물량";#N/A,#N/A,TRUE,"Y능력";#N/A,#N/A,TRUE,"YKD"}</definedName>
    <definedName name="자재기준" hidden="1">{#N/A,#N/A,TRUE,"Y생산";#N/A,#N/A,TRUE,"Y판매";#N/A,#N/A,TRUE,"Y총물량";#N/A,#N/A,TRUE,"Y능력";#N/A,#N/A,TRUE,"YKD"}</definedName>
    <definedName name="잠정보고" localSheetId="4" hidden="1">{#N/A,#N/A,FALSE,"주요여수신";#N/A,#N/A,FALSE,"수신금리";#N/A,#N/A,FALSE,"대출금리";#N/A,#N/A,FALSE,"신규대출";#N/A,#N/A,FALSE,"총액대출"}</definedName>
    <definedName name="잠정보고" hidden="1">{#N/A,#N/A,FALSE,"주요여수신";#N/A,#N/A,FALSE,"수신금리";#N/A,#N/A,FALSE,"대출금리";#N/A,#N/A,FALSE,"신규대출";#N/A,#N/A,FALSE,"총액대출"}</definedName>
    <definedName name="재" localSheetId="4" hidden="1">{#N/A,#N/A,FALSE,"UNIT";#N/A,#N/A,FALSE,"UNIT";#N/A,#N/A,FALSE,"계정"}</definedName>
    <definedName name="재" hidden="1">{#N/A,#N/A,FALSE,"UNIT";#N/A,#N/A,FALSE,"UNIT";#N/A,#N/A,FALSE,"계정"}</definedName>
    <definedName name="재고조정" localSheetId="4" hidden="1">#REF!</definedName>
    <definedName name="재고조정" hidden="1">#REF!</definedName>
    <definedName name="재산세444" localSheetId="4" hidden="1">#REF!</definedName>
    <definedName name="재산세444" hidden="1">#REF!</definedName>
    <definedName name="저저" localSheetId="4" hidden="1">{#N/A,#N/A,FALSE,"UNIT";#N/A,#N/A,FALSE,"UNIT";#N/A,#N/A,FALSE,"계정"}</definedName>
    <definedName name="저저" hidden="1">{#N/A,#N/A,FALSE,"UNIT";#N/A,#N/A,FALSE,"UNIT";#N/A,#N/A,FALSE,"계정"}</definedName>
    <definedName name="전" localSheetId="4" hidden="1">{#N/A,#N/A,FALSE,"신규dep";#N/A,#N/A,FALSE,"신규dep-금형상각후";#N/A,#N/A,FALSE,"신규dep-연구비상각후";#N/A,#N/A,FALSE,"신규dep-기계,공구상각후"}</definedName>
    <definedName name="전" hidden="1">{#N/A,#N/A,FALSE,"신규dep";#N/A,#N/A,FALSE,"신규dep-금형상각후";#N/A,#N/A,FALSE,"신규dep-연구비상각후";#N/A,#N/A,FALSE,"신규dep-기계,공구상각후"}</definedName>
    <definedName name="전개계획" localSheetId="4" hidden="1">{#N/A,#N/A,FALSE,"단축1";#N/A,#N/A,FALSE,"단축2";#N/A,#N/A,FALSE,"단축3";#N/A,#N/A,FALSE,"장축";#N/A,#N/A,FALSE,"4WD"}</definedName>
    <definedName name="전개계획" hidden="1">{#N/A,#N/A,FALSE,"단축1";#N/A,#N/A,FALSE,"단축2";#N/A,#N/A,FALSE,"단축3";#N/A,#N/A,FALSE,"장축";#N/A,#N/A,FALSE,"4WD"}</definedName>
    <definedName name="전개방안2" localSheetId="4" hidden="1">{#N/A,#N/A,FALSE,"단축1";#N/A,#N/A,FALSE,"단축2";#N/A,#N/A,FALSE,"단축3";#N/A,#N/A,FALSE,"장축";#N/A,#N/A,FALSE,"4WD"}</definedName>
    <definedName name="전개방안2" hidden="1">{#N/A,#N/A,FALSE,"단축1";#N/A,#N/A,FALSE,"단축2";#N/A,#N/A,FALSE,"단축3";#N/A,#N/A,FALSE,"장축";#N/A,#N/A,FALSE,"4WD"}</definedName>
    <definedName name="전개방안3" localSheetId="4" hidden="1">{#N/A,#N/A,FALSE,"단축1";#N/A,#N/A,FALSE,"단축2";#N/A,#N/A,FALSE,"단축3";#N/A,#N/A,FALSE,"장축";#N/A,#N/A,FALSE,"4WD"}</definedName>
    <definedName name="전개방안3" hidden="1">{#N/A,#N/A,FALSE,"단축1";#N/A,#N/A,FALSE,"단축2";#N/A,#N/A,FALSE,"단축3";#N/A,#N/A,FALSE,"장축";#N/A,#N/A,FALSE,"4WD"}</definedName>
    <definedName name="전개방안4" localSheetId="4" hidden="1">{#N/A,#N/A,FALSE,"단축1";#N/A,#N/A,FALSE,"단축2";#N/A,#N/A,FALSE,"단축3";#N/A,#N/A,FALSE,"장축";#N/A,#N/A,FALSE,"4WD"}</definedName>
    <definedName name="전개방안4" hidden="1">{#N/A,#N/A,FALSE,"단축1";#N/A,#N/A,FALSE,"단축2";#N/A,#N/A,FALSE,"단축3";#N/A,#N/A,FALSE,"장축";#N/A,#N/A,FALSE,"4WD"}</definedName>
    <definedName name="전공장간접" localSheetId="4" hidden="1">{#N/A,#N/A,TRUE,"Y생산";#N/A,#N/A,TRUE,"Y판매";#N/A,#N/A,TRUE,"Y총물량";#N/A,#N/A,TRUE,"Y능력";#N/A,#N/A,TRUE,"YKD"}</definedName>
    <definedName name="전공장간접" hidden="1">{#N/A,#N/A,TRUE,"Y생산";#N/A,#N/A,TRUE,"Y판매";#N/A,#N/A,TRUE,"Y총물량";#N/A,#N/A,TRUE,"Y능력";#N/A,#N/A,TRUE,"YKD"}</definedName>
    <definedName name="전기tb" localSheetId="4" hidden="1">{#N/A,#N/A,FALSE,"COL-HIS"}</definedName>
    <definedName name="전기tb" hidden="1">{#N/A,#N/A,FALSE,"COL-HIS"}</definedName>
    <definedName name="전차종" localSheetId="4" hidden="1">{#N/A,#N/A,FALSE,"표지";#N/A,#N/A,FALSE,"전제";#N/A,#N/A,FALSE,"대당";#N/A,#N/A,FALSE,"가공비";#N/A,#N/A,FALSE,"재료비";#N/A,#N/A,FALSE,"손익"}</definedName>
    <definedName name="전차종" hidden="1">{#N/A,#N/A,FALSE,"표지";#N/A,#N/A,FALSE,"전제";#N/A,#N/A,FALSE,"대당";#N/A,#N/A,FALSE,"가공비";#N/A,#N/A,FALSE,"재료비";#N/A,#N/A,FALSE,"손익"}</definedName>
    <definedName name="전체종합2" localSheetId="4" hidden="1">{#N/A,#N/A,FALSE,"단축1";#N/A,#N/A,FALSE,"단축2";#N/A,#N/A,FALSE,"단축3";#N/A,#N/A,FALSE,"장축";#N/A,#N/A,FALSE,"4WD"}</definedName>
    <definedName name="전체종합2" hidden="1">{#N/A,#N/A,FALSE,"단축1";#N/A,#N/A,FALSE,"단축2";#N/A,#N/A,FALSE,"단축3";#N/A,#N/A,FALSE,"장축";#N/A,#N/A,FALSE,"4WD"}</definedName>
    <definedName name="절대일정" localSheetId="4" hidden="1">{#N/A,#N/A,FALSE,"신규dep";#N/A,#N/A,FALSE,"신규dep-금형상각후";#N/A,#N/A,FALSE,"신규dep-연구비상각후";#N/A,#N/A,FALSE,"신규dep-기계,공구상각후"}</definedName>
    <definedName name="절대일정" hidden="1">{#N/A,#N/A,FALSE,"신규dep";#N/A,#N/A,FALSE,"신규dep-금형상각후";#N/A,#N/A,FALSE,"신규dep-연구비상각후";#N/A,#N/A,FALSE,"신규dep-기계,공구상각후"}</definedName>
    <definedName name="절대일정3" localSheetId="4" hidden="1">{#N/A,#N/A,FALSE,"신규dep";#N/A,#N/A,FALSE,"신규dep-금형상각후";#N/A,#N/A,FALSE,"신규dep-연구비상각후";#N/A,#N/A,FALSE,"신규dep-기계,공구상각후"}</definedName>
    <definedName name="절대일정3" hidden="1">{#N/A,#N/A,FALSE,"신규dep";#N/A,#N/A,FALSE,"신규dep-금형상각후";#N/A,#N/A,FALSE,"신규dep-연구비상각후";#N/A,#N/A,FALSE,"신규dep-기계,공구상각후"}</definedName>
    <definedName name="점호" localSheetId="4" hidden="1">{#N/A,#N/A,FALSE,"단축1";#N/A,#N/A,FALSE,"단축2";#N/A,#N/A,FALSE,"단축3";#N/A,#N/A,FALSE,"장축";#N/A,#N/A,FALSE,"4WD"}</definedName>
    <definedName name="점호" hidden="1">{#N/A,#N/A,FALSE,"단축1";#N/A,#N/A,FALSE,"단축2";#N/A,#N/A,FALSE,"단축3";#N/A,#N/A,FALSE,"장축";#N/A,#N/A,FALSE,"4WD"}</definedName>
    <definedName name="정" localSheetId="4" hidden="1">{#N/A,#N/A,FALSE,"UNIT";#N/A,#N/A,FALSE,"UNIT";#N/A,#N/A,FALSE,"계정"}</definedName>
    <definedName name="정" hidden="1">{#N/A,#N/A,FALSE,"UNIT";#N/A,#N/A,FALSE,"UNIT";#N/A,#N/A,FALSE,"계정"}</definedName>
    <definedName name="정문" localSheetId="4" hidden="1">{#N/A,#N/A,FALSE,"UNIT";#N/A,#N/A,FALSE,"UNIT";#N/A,#N/A,FALSE,"계정"}</definedName>
    <definedName name="정문" hidden="1">{#N/A,#N/A,FALSE,"UNIT";#N/A,#N/A,FALSE,"UNIT";#N/A,#N/A,FALSE,"계정"}</definedName>
    <definedName name="정문식" localSheetId="4" hidden="1">{#N/A,#N/A,FALSE,"UNIT";#N/A,#N/A,FALSE,"UNIT";#N/A,#N/A,FALSE,"계정"}</definedName>
    <definedName name="정문식" hidden="1">{#N/A,#N/A,FALSE,"UNIT";#N/A,#N/A,FALSE,"UNIT";#N/A,#N/A,FALSE,"계정"}</definedName>
    <definedName name="정민수" localSheetId="4" hidden="1">{#N/A,#N/A,TRUE,"Y생산";#N/A,#N/A,TRUE,"Y판매";#N/A,#N/A,TRUE,"Y총물량";#N/A,#N/A,TRUE,"Y능력";#N/A,#N/A,TRUE,"YKD"}</definedName>
    <definedName name="정민수" hidden="1">{#N/A,#N/A,TRUE,"Y생산";#N/A,#N/A,TRUE,"Y판매";#N/A,#N/A,TRUE,"Y총물량";#N/A,#N/A,TRUE,"Y능력";#N/A,#N/A,TRUE,"YKD"}</definedName>
    <definedName name="정비대수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수용" localSheetId="4" hidden="1">{#N/A,#N/A,TRUE,"Y생산";#N/A,#N/A,TRUE,"Y판매";#N/A,#N/A,TRUE,"Y총물량";#N/A,#N/A,TRUE,"Y능력";#N/A,#N/A,TRUE,"YKD"}</definedName>
    <definedName name="정수용" hidden="1">{#N/A,#N/A,TRUE,"Y생산";#N/A,#N/A,TRUE,"Y판매";#N/A,#N/A,TRUE,"Y총물량";#N/A,#N/A,TRUE,"Y능력";#N/A,#N/A,TRUE,"YKD"}</definedName>
    <definedName name="정왕자" localSheetId="4" hidden="1">{#N/A,#N/A,TRUE,"Y생산";#N/A,#N/A,TRUE,"Y판매";#N/A,#N/A,TRUE,"Y총물량";#N/A,#N/A,TRUE,"Y능력";#N/A,#N/A,TRUE,"YKD"}</definedName>
    <definedName name="정왕자" hidden="1">{#N/A,#N/A,TRUE,"Y생산";#N/A,#N/A,TRUE,"Y판매";#N/A,#N/A,TRUE,"Y총물량";#N/A,#N/A,TRUE,"Y능력";#N/A,#N/A,TRUE,"YKD"}</definedName>
    <definedName name="정지훈" localSheetId="4" hidden="1">{#N/A,#N/A,TRUE,"Y생산";#N/A,#N/A,TRUE,"Y판매";#N/A,#N/A,TRUE,"Y총물량";#N/A,#N/A,TRUE,"Y능력";#N/A,#N/A,TRUE,"YKD"}</definedName>
    <definedName name="정지훈" hidden="1">{#N/A,#N/A,TRUE,"Y생산";#N/A,#N/A,TRUE,"Y판매";#N/A,#N/A,TRUE,"Y총물량";#N/A,#N/A,TRUE,"Y능력";#N/A,#N/A,TRUE,"YKD"}</definedName>
    <definedName name="정징" localSheetId="4" hidden="1">{#N/A,#N/A,TRUE,"Y생산";#N/A,#N/A,TRUE,"Y판매";#N/A,#N/A,TRUE,"Y총물량";#N/A,#N/A,TRUE,"Y능력";#N/A,#N/A,TRUE,"YKD"}</definedName>
    <definedName name="정징" hidden="1">{#N/A,#N/A,TRUE,"Y생산";#N/A,#N/A,TRUE,"Y판매";#N/A,#N/A,TRUE,"Y총물량";#N/A,#N/A,TRUE,"Y능력";#N/A,#N/A,TRUE,"YKD"}</definedName>
    <definedName name="젖" localSheetId="4" hidden="1">{#N/A,#N/A,FALSE,"단축1";#N/A,#N/A,FALSE,"단축2";#N/A,#N/A,FALSE,"단축3";#N/A,#N/A,FALSE,"장축";#N/A,#N/A,FALSE,"4WD"}</definedName>
    <definedName name="젖" hidden="1">{#N/A,#N/A,FALSE,"단축1";#N/A,#N/A,FALSE,"단축2";#N/A,#N/A,FALSE,"단축3";#N/A,#N/A,FALSE,"장축";#N/A,#N/A,FALSE,"4WD"}</definedName>
    <definedName name="제2석굴암" localSheetId="4" hidden="1">{#N/A,#N/A,FALSE,"품의서";#N/A,#N/A,FALSE,"전제";#N/A,#N/A,FALSE,"총손";#N/A,#N/A,FALSE,"손익"}</definedName>
    <definedName name="제2석굴암" hidden="1">{#N/A,#N/A,FALSE,"품의서";#N/A,#N/A,FALSE,"전제";#N/A,#N/A,FALSE,"총손";#N/A,#N/A,FALSE,"손익"}</definedName>
    <definedName name="제조" localSheetId="4" hidden="1">#REF!</definedName>
    <definedName name="제조" hidden="1">#REF!</definedName>
    <definedName name="제품별사업전략" localSheetId="4" hidden="1">{#N/A,#N/A,FALSE,"UNIT";#N/A,#N/A,FALSE,"UNIT";#N/A,#N/A,FALSE,"계정"}</definedName>
    <definedName name="제품별사업전략" hidden="1">{#N/A,#N/A,FALSE,"UNIT";#N/A,#N/A,FALSE,"UNIT";#N/A,#N/A,FALSE,"계정"}</definedName>
    <definedName name="조립" localSheetId="4" hidden="1">{#N/A,#N/A,FALSE,"단축1";#N/A,#N/A,FALSE,"단축2";#N/A,#N/A,FALSE,"단축3";#N/A,#N/A,FALSE,"장축";#N/A,#N/A,FALSE,"4WD"}</definedName>
    <definedName name="조립" hidden="1">{#N/A,#N/A,FALSE,"단축1";#N/A,#N/A,FALSE,"단축2";#N/A,#N/A,FALSE,"단축3";#N/A,#N/A,FALSE,"장축";#N/A,#N/A,FALSE,"4WD"}</definedName>
    <definedName name="조립공수" localSheetId="4" hidden="1">{#N/A,#N/A,TRUE,"Y생산";#N/A,#N/A,TRUE,"Y판매";#N/A,#N/A,TRUE,"Y총물량";#N/A,#N/A,TRUE,"Y능력";#N/A,#N/A,TRUE,"YKD"}</definedName>
    <definedName name="조립공수" hidden="1">{#N/A,#N/A,TRUE,"Y생산";#N/A,#N/A,TRUE,"Y판매";#N/A,#N/A,TRUE,"Y총물량";#N/A,#N/A,TRUE,"Y능력";#N/A,#N/A,TRUE,"YKD"}</definedName>
    <definedName name="조수익2" localSheetId="4" hidden="1">{#N/A,#N/A,FALSE,"단축1";#N/A,#N/A,FALSE,"단축2";#N/A,#N/A,FALSE,"단축3";#N/A,#N/A,FALSE,"장축";#N/A,#N/A,FALSE,"4WD"}</definedName>
    <definedName name="조수익2" hidden="1">{#N/A,#N/A,FALSE,"단축1";#N/A,#N/A,FALSE,"단축2";#N/A,#N/A,FALSE,"단축3";#N/A,#N/A,FALSE,"장축";#N/A,#N/A,FALSE,"4WD"}</definedName>
    <definedName name="조업변경" localSheetId="4" hidden="1">{#N/A,#N/A,TRUE,"Y생산";#N/A,#N/A,TRUE,"Y판매";#N/A,#N/A,TRUE,"Y총물량";#N/A,#N/A,TRUE,"Y능력";#N/A,#N/A,TRUE,"YKD"}</definedName>
    <definedName name="조업변경" hidden="1">{#N/A,#N/A,TRUE,"Y생산";#N/A,#N/A,TRUE,"Y판매";#N/A,#N/A,TRUE,"Y총물량";#N/A,#N/A,TRUE,"Y능력";#N/A,#N/A,TRUE,"YKD"}</definedName>
    <definedName name="조치" localSheetId="4" hidden="1">{#N/A,#N/A,FALSE,"단축1";#N/A,#N/A,FALSE,"단축2";#N/A,#N/A,FALSE,"단축3";#N/A,#N/A,FALSE,"장축";#N/A,#N/A,FALSE,"4WD"}</definedName>
    <definedName name="조치" hidden="1">{#N/A,#N/A,FALSE,"단축1";#N/A,#N/A,FALSE,"단축2";#N/A,#N/A,FALSE,"단축3";#N/A,#N/A,FALSE,"장축";#N/A,#N/A,FALSE,"4WD"}</definedName>
    <definedName name="종합" localSheetId="4" hidden="1">{#N/A,#N/A,TRUE,"Y생산";#N/A,#N/A,TRUE,"Y판매";#N/A,#N/A,TRUE,"Y총물량";#N/A,#N/A,TRUE,"Y능력";#N/A,#N/A,TRUE,"YKD"}</definedName>
    <definedName name="종합" hidden="1">{#N/A,#N/A,TRUE,"Y생산";#N/A,#N/A,TRUE,"Y판매";#N/A,#N/A,TRUE,"Y총물량";#N/A,#N/A,TRUE,"Y능력";#N/A,#N/A,TRUE,"YKD"}</definedName>
    <definedName name="종합그래프" localSheetId="4" hidden="1">{#N/A,#N/A,FALSE,"단축1";#N/A,#N/A,FALSE,"단축2";#N/A,#N/A,FALSE,"단축3";#N/A,#N/A,FALSE,"장축";#N/A,#N/A,FALSE,"4WD"}</definedName>
    <definedName name="종합그래프" hidden="1">{#N/A,#N/A,FALSE,"단축1";#N/A,#N/A,FALSE,"단축2";#N/A,#N/A,FALSE,"단축3";#N/A,#N/A,FALSE,"장축";#N/A,#N/A,FALSE,"4WD"}</definedName>
    <definedName name="종합그래프1" localSheetId="4" hidden="1">{#N/A,#N/A,FALSE,"단축1";#N/A,#N/A,FALSE,"단축2";#N/A,#N/A,FALSE,"단축3";#N/A,#N/A,FALSE,"장축";#N/A,#N/A,FALSE,"4WD"}</definedName>
    <definedName name="종합그래프1" hidden="1">{#N/A,#N/A,FALSE,"단축1";#N/A,#N/A,FALSE,"단축2";#N/A,#N/A,FALSE,"단축3";#N/A,#N/A,FALSE,"장축";#N/A,#N/A,FALSE,"4WD"}</definedName>
    <definedName name="주" localSheetId="4" hidden="1">{#N/A,#N/A,FALSE,"UNIT";#N/A,#N/A,FALSE,"UNIT";#N/A,#N/A,FALSE,"계정"}</definedName>
    <definedName name="주" hidden="1">{#N/A,#N/A,FALSE,"UNIT";#N/A,#N/A,FALSE,"UNIT";#N/A,#N/A,FALSE,"계정"}</definedName>
    <definedName name="주민호" localSheetId="4" hidden="1">{#N/A,#N/A,TRUE,"Y생산";#N/A,#N/A,TRUE,"Y판매";#N/A,#N/A,TRUE,"Y총물량";#N/A,#N/A,TRUE,"Y능력";#N/A,#N/A,TRUE,"YKD"}</definedName>
    <definedName name="주민호" hidden="1">{#N/A,#N/A,TRUE,"Y생산";#N/A,#N/A,TRUE,"Y판매";#N/A,#N/A,TRUE,"Y총물량";#N/A,#N/A,TRUE,"Y능력";#N/A,#N/A,TRUE,"YKD"}</definedName>
    <definedName name="주요" localSheetId="4" hidden="1">{#N/A,#N/A,TRUE,"Y생산";#N/A,#N/A,TRUE,"Y판매";#N/A,#N/A,TRUE,"Y총물량";#N/A,#N/A,TRUE,"Y능력";#N/A,#N/A,TRUE,"YKD"}</definedName>
    <definedName name="주요" hidden="1">{#N/A,#N/A,TRUE,"Y생산";#N/A,#N/A,TRUE,"Y판매";#N/A,#N/A,TRUE,"Y총물량";#N/A,#N/A,TRUE,"Y능력";#N/A,#N/A,TRUE,"YKD"}</definedName>
    <definedName name="주요업무" localSheetId="4" hidden="1">{#N/A,#N/A,TRUE,"Y생산";#N/A,#N/A,TRUE,"Y판매";#N/A,#N/A,TRUE,"Y총물량";#N/A,#N/A,TRUE,"Y능력";#N/A,#N/A,TRUE,"YKD"}</definedName>
    <definedName name="주요업무" hidden="1">{#N/A,#N/A,TRUE,"Y생산";#N/A,#N/A,TRUE,"Y판매";#N/A,#N/A,TRUE,"Y총물량";#N/A,#N/A,TRUE,"Y능력";#N/A,#N/A,TRUE,"YKD"}</definedName>
    <definedName name="주요업무2" localSheetId="4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localSheetId="4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제원" localSheetId="4" hidden="1">{#N/A,#N/A,FALSE,"단축1";#N/A,#N/A,FALSE,"단축2";#N/A,#N/A,FALSE,"단축3";#N/A,#N/A,FALSE,"장축";#N/A,#N/A,FALSE,"4WD"}</definedName>
    <definedName name="주요제원" hidden="1">{#N/A,#N/A,FALSE,"단축1";#N/A,#N/A,FALSE,"단축2";#N/A,#N/A,FALSE,"단축3";#N/A,#N/A,FALSE,"장축";#N/A,#N/A,FALSE,"4WD"}</definedName>
    <definedName name="주차계획" localSheetId="4" hidden="1">{#N/A,#N/A,FALSE,"UNIT";#N/A,#N/A,FALSE,"UNIT";#N/A,#N/A,FALSE,"계정"}</definedName>
    <definedName name="주차계획" hidden="1">{#N/A,#N/A,FALSE,"UNIT";#N/A,#N/A,FALSE,"UNIT";#N/A,#N/A,FALSE,"계정"}</definedName>
    <definedName name="중앙" localSheetId="4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지" localSheetId="4" hidden="1">{#N/A,#N/A,TRUE,"Y생산";#N/A,#N/A,TRUE,"Y판매";#N/A,#N/A,TRUE,"Y총물량";#N/A,#N/A,TRUE,"Y능력";#N/A,#N/A,TRUE,"YKD"}</definedName>
    <definedName name="지" hidden="1">{#N/A,#N/A,TRUE,"Y생산";#N/A,#N/A,TRUE,"Y판매";#N/A,#N/A,TRUE,"Y총물량";#N/A,#N/A,TRUE,"Y능력";#N/A,#N/A,TRUE,"YKD"}</definedName>
    <definedName name="지나" localSheetId="4" hidden="1">#REF!</definedName>
    <definedName name="지나" hidden="1">#REF!</definedName>
    <definedName name="지태면" localSheetId="4" hidden="1">{#N/A,#N/A,TRUE,"Y생산";#N/A,#N/A,TRUE,"Y판매";#N/A,#N/A,TRUE,"Y총물량";#N/A,#N/A,TRUE,"Y능력";#N/A,#N/A,TRUE,"YKD"}</definedName>
    <definedName name="지태면" hidden="1">{#N/A,#N/A,TRUE,"Y생산";#N/A,#N/A,TRUE,"Y판매";#N/A,#N/A,TRUE,"Y총물량";#N/A,#N/A,TRUE,"Y능력";#N/A,#N/A,TRUE,"YKD"}</definedName>
    <definedName name="진" localSheetId="4" hidden="1">{#N/A,#N/A,FALSE,"UNIT";#N/A,#N/A,FALSE,"UNIT";#N/A,#N/A,FALSE,"계정"}</definedName>
    <definedName name="진" hidden="1">{#N/A,#N/A,FALSE,"UNIT";#N/A,#N/A,FALSE,"UNIT";#N/A,#N/A,FALSE,"계정"}</definedName>
    <definedName name="진부화" localSheetId="4" hidden="1">{#N/A,#N/A,FALSE,"COL-HIS"}</definedName>
    <definedName name="진부화" hidden="1">{#N/A,#N/A,FALSE,"COL-HIS"}</definedName>
    <definedName name="ㅉ" localSheetId="4" hidden="1">{#N/A,#N/A,TRUE,"Y생산";#N/A,#N/A,TRUE,"Y판매";#N/A,#N/A,TRUE,"Y총물량";#N/A,#N/A,TRUE,"Y능력";#N/A,#N/A,TRUE,"YKD"}</definedName>
    <definedName name="ㅉ" hidden="1">{#N/A,#N/A,TRUE,"Y생산";#N/A,#N/A,TRUE,"Y판매";#N/A,#N/A,TRUE,"Y총물량";#N/A,#N/A,TRUE,"Y능력";#N/A,#N/A,TRUE,"YKD"}</definedName>
    <definedName name="쪼당" localSheetId="4" hidden="1">{#N/A,#N/A,TRUE,"Y생산";#N/A,#N/A,TRUE,"Y판매";#N/A,#N/A,TRUE,"Y총물량";#N/A,#N/A,TRUE,"Y능력";#N/A,#N/A,TRUE,"YKD"}</definedName>
    <definedName name="쪼당" hidden="1">{#N/A,#N/A,TRUE,"Y생산";#N/A,#N/A,TRUE,"Y판매";#N/A,#N/A,TRUE,"Y총물량";#N/A,#N/A,TRUE,"Y능력";#N/A,#N/A,TRUE,"YKD"}</definedName>
    <definedName name="ㅊ" localSheetId="4" hidden="1">#REF!</definedName>
    <definedName name="ㅊ" hidden="1">#REF!</definedName>
    <definedName name="ㅊㅇㅇㄴ" localSheetId="4" hidden="1">#REF!</definedName>
    <definedName name="ㅊㅇㅇㄴ" hidden="1">#REF!</definedName>
    <definedName name="차." localSheetId="4" hidden="1">{#N/A,#N/A,FALSE,"UNIT";#N/A,#N/A,FALSE,"UNIT";#N/A,#N/A,FALSE,"계정"}</definedName>
    <definedName name="차." hidden="1">{#N/A,#N/A,FALSE,"UNIT";#N/A,#N/A,FALSE,"UNIT";#N/A,#N/A,FALSE,"계정"}</definedName>
    <definedName name="차량SVC" localSheetId="4" hidden="1">{#N/A,#N/A,FALSE,"UNIT";#N/A,#N/A,FALSE,"UNIT";#N/A,#N/A,FALSE,"계정"}</definedName>
    <definedName name="차량SVC" hidden="1">{#N/A,#N/A,FALSE,"UNIT";#N/A,#N/A,FALSE,"UNIT";#N/A,#N/A,FALSE,"계정"}</definedName>
    <definedName name="차병률" localSheetId="4" hidden="1">{#N/A,#N/A,TRUE,"Y생산";#N/A,#N/A,TRUE,"Y판매";#N/A,#N/A,TRUE,"Y총물량";#N/A,#N/A,TRUE,"Y능력";#N/A,#N/A,TRUE,"YKD"}</definedName>
    <definedName name="차병률" hidden="1">{#N/A,#N/A,TRUE,"Y생산";#N/A,#N/A,TRUE,"Y판매";#N/A,#N/A,TRUE,"Y총물량";#N/A,#N/A,TRUE,"Y능력";#N/A,#N/A,TRUE,"YKD"}</definedName>
    <definedName name="차종별" localSheetId="4" hidden="1">{#N/A,#N/A,TRUE,"Y생산";#N/A,#N/A,TRUE,"Y판매";#N/A,#N/A,TRUE,"Y총물량";#N/A,#N/A,TRUE,"Y능력";#N/A,#N/A,TRUE,"YKD"}</definedName>
    <definedName name="차종별" hidden="1">{#N/A,#N/A,TRUE,"Y생산";#N/A,#N/A,TRUE,"Y판매";#N/A,#N/A,TRUE,"Y총물량";#N/A,#N/A,TRUE,"Y능력";#N/A,#N/A,TRUE,"YKD"}</definedName>
    <definedName name="차체1" localSheetId="4" hidden="1">{#N/A,#N/A,FALSE,"단축1";#N/A,#N/A,FALSE,"단축2";#N/A,#N/A,FALSE,"단축3";#N/A,#N/A,FALSE,"장축";#N/A,#N/A,FALSE,"4WD"}</definedName>
    <definedName name="차체1" hidden="1">{#N/A,#N/A,FALSE,"단축1";#N/A,#N/A,FALSE,"단축2";#N/A,#N/A,FALSE,"단축3";#N/A,#N/A,FALSE,"장축";#N/A,#N/A,FALSE,"4WD"}</definedName>
    <definedName name="초임금비교" localSheetId="4" hidden="1">{#N/A,#N/A,FALSE,"계약직(여)"}</definedName>
    <definedName name="초임금비교" hidden="1">{#N/A,#N/A,FALSE,"계약직(여)"}</definedName>
    <definedName name="초임급" localSheetId="4" hidden="1">{#N/A,#N/A,FALSE,"계약직(여)"}</definedName>
    <definedName name="초임급" hidden="1">{#N/A,#N/A,FALSE,"계약직(여)"}</definedName>
    <definedName name="총무3" localSheetId="4" hidden="1">{#N/A,#N/A,FALSE,"단축1";#N/A,#N/A,FALSE,"단축2";#N/A,#N/A,FALSE,"단축3";#N/A,#N/A,FALSE,"장축";#N/A,#N/A,FALSE,"4WD"}</definedName>
    <definedName name="총무3" hidden="1">{#N/A,#N/A,FALSE,"단축1";#N/A,#N/A,FALSE,"단축2";#N/A,#N/A,FALSE,"단축3";#N/A,#N/A,FALSE,"장축";#N/A,#N/A,FALSE,"4WD"}</definedName>
    <definedName name="총무팀총무팀" localSheetId="4" hidden="1">{#N/A,#N/A,TRUE,"Y생산";#N/A,#N/A,TRUE,"Y판매";#N/A,#N/A,TRUE,"Y총물량";#N/A,#N/A,TRUE,"Y능력";#N/A,#N/A,TRUE,"YKD"}</definedName>
    <definedName name="총무팀총무팀" hidden="1">{#N/A,#N/A,TRUE,"Y생산";#N/A,#N/A,TRUE,"Y판매";#N/A,#N/A,TRUE,"Y총물량";#N/A,#N/A,TRUE,"Y능력";#N/A,#N/A,TRUE,"YKD"}</definedName>
    <definedName name="최영" localSheetId="4" hidden="1">{#N/A,#N/A,FALSE,"정공"}</definedName>
    <definedName name="최영" hidden="1">{#N/A,#N/A,FALSE,"정공"}</definedName>
    <definedName name="추" localSheetId="4" hidden="1">{#N/A,#N/A,FALSE,"단축1";#N/A,#N/A,FALSE,"단축2";#N/A,#N/A,FALSE,"단축3";#N/A,#N/A,FALSE,"장축";#N/A,#N/A,FALSE,"4WD"}</definedName>
    <definedName name="추" hidden="1">{#N/A,#N/A,FALSE,"단축1";#N/A,#N/A,FALSE,"단축2";#N/A,#N/A,FALSE,"단축3";#N/A,#N/A,FALSE,"장축";#N/A,#N/A,FALSE,"4WD"}</definedName>
    <definedName name="추정Royalty" localSheetId="4" hidden="1">#REF!</definedName>
    <definedName name="추정Royalty" hidden="1">#REF!</definedName>
    <definedName name="추진일정1" localSheetId="4" hidden="1">{#N/A,#N/A,FALSE,"신규dep";#N/A,#N/A,FALSE,"신규dep-금형상각후";#N/A,#N/A,FALSE,"신규dep-연구비상각후";#N/A,#N/A,FALSE,"신규dep-기계,공구상각후"}</definedName>
    <definedName name="추진일정1" hidden="1">{#N/A,#N/A,FALSE,"신규dep";#N/A,#N/A,FALSE,"신규dep-금형상각후";#N/A,#N/A,FALSE,"신규dep-연구비상각후";#N/A,#N/A,FALSE,"신규dep-기계,공구상각후"}</definedName>
    <definedName name="출하" localSheetId="4" hidden="1">{#N/A,#N/A,FALSE,"96 3월물량표";#N/A,#N/A,FALSE,"96 4월물량표";#N/A,#N/A,FALSE,"96 5월물량표"}</definedName>
    <definedName name="출하" hidden="1">{#N/A,#N/A,FALSE,"96 3월물량표";#N/A,#N/A,FALSE,"96 4월물량표";#N/A,#N/A,FALSE,"96 5월물량표"}</definedName>
    <definedName name="충당금결과200404" localSheetId="4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충당금결과200404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충돌" localSheetId="4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충돌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ㅋㅋ" localSheetId="4" hidden="1">{#N/A,#N/A,FALSE,"단축1";#N/A,#N/A,FALSE,"단축2";#N/A,#N/A,FALSE,"단축3";#N/A,#N/A,FALSE,"장축";#N/A,#N/A,FALSE,"4WD"}</definedName>
    <definedName name="ㅋㅋ" hidden="1">{#N/A,#N/A,FALSE,"단축1";#N/A,#N/A,FALSE,"단축2";#N/A,#N/A,FALSE,"단축3";#N/A,#N/A,FALSE,"장축";#N/A,#N/A,FALSE,"4WD"}</definedName>
    <definedName name="ㅋㅋㅋㅋ" localSheetId="4" hidden="1">{#N/A,#N/A,FALSE,"단축1";#N/A,#N/A,FALSE,"단축2";#N/A,#N/A,FALSE,"단축3";#N/A,#N/A,FALSE,"장축";#N/A,#N/A,FALSE,"4WD"}</definedName>
    <definedName name="ㅋㅋㅋㅋ" hidden="1">{#N/A,#N/A,FALSE,"단축1";#N/A,#N/A,FALSE,"단축2";#N/A,#N/A,FALSE,"단축3";#N/A,#N/A,FALSE,"장축";#N/A,#N/A,FALSE,"4WD"}</definedName>
    <definedName name="ㅋㅋㅋㅋㅋ" localSheetId="4" hidden="1">{#N/A,#N/A,FALSE,"단축1";#N/A,#N/A,FALSE,"단축2";#N/A,#N/A,FALSE,"단축3";#N/A,#N/A,FALSE,"장축";#N/A,#N/A,FALSE,"4WD"}</definedName>
    <definedName name="ㅋㅋㅋㅋㅋ" hidden="1">{#N/A,#N/A,FALSE,"단축1";#N/A,#N/A,FALSE,"단축2";#N/A,#N/A,FALSE,"단축3";#N/A,#N/A,FALSE,"장축";#N/A,#N/A,FALSE,"4WD"}</definedName>
    <definedName name="카렌" localSheetId="4" hidden="1">{#N/A,#N/A,TRUE,"Y생산";#N/A,#N/A,TRUE,"Y판매";#N/A,#N/A,TRUE,"Y총물량";#N/A,#N/A,TRUE,"Y능력";#N/A,#N/A,TRUE,"YKD"}</definedName>
    <definedName name="카렌" hidden="1">{#N/A,#N/A,TRUE,"Y생산";#N/A,#N/A,TRUE,"Y판매";#N/A,#N/A,TRUE,"Y총물량";#N/A,#N/A,TRUE,"Y능력";#N/A,#N/A,TRUE,"YKD"}</definedName>
    <definedName name="카메라" localSheetId="4" hidden="1">{#N/A,#N/A,FALSE,"단축1";#N/A,#N/A,FALSE,"단축2";#N/A,#N/A,FALSE,"단축3";#N/A,#N/A,FALSE,"장축";#N/A,#N/A,FALSE,"4WD"}</definedName>
    <definedName name="카메라" hidden="1">{#N/A,#N/A,FALSE,"단축1";#N/A,#N/A,FALSE,"단축2";#N/A,#N/A,FALSE,"단축3";#N/A,#N/A,FALSE,"장축";#N/A,#N/A,FALSE,"4WD"}</definedName>
    <definedName name="카제기" localSheetId="4" hidden="1">{#N/A,#N/A,FALSE,"단축1";#N/A,#N/A,FALSE,"단축2";#N/A,#N/A,FALSE,"단축3";#N/A,#N/A,FALSE,"장축";#N/A,#N/A,FALSE,"4WD"}</definedName>
    <definedName name="카제기" hidden="1">{#N/A,#N/A,FALSE,"단축1";#N/A,#N/A,FALSE,"단축2";#N/A,#N/A,FALSE,"단축3";#N/A,#N/A,FALSE,"장축";#N/A,#N/A,FALSE,"4WD"}</definedName>
    <definedName name="킨사이다" localSheetId="4" hidden="1">{#N/A,#N/A,FALSE,"품의서";#N/A,#N/A,FALSE,"전제";#N/A,#N/A,FALSE,"총손";#N/A,#N/A,FALSE,"손익"}</definedName>
    <definedName name="킨사이다" hidden="1">{#N/A,#N/A,FALSE,"품의서";#N/A,#N/A,FALSE,"전제";#N/A,#N/A,FALSE,"총손";#N/A,#N/A,FALSE,"손익"}</definedName>
    <definedName name="ㅌ" localSheetId="4" hidden="1">{#N/A,#N/A,FALSE,"단축1";#N/A,#N/A,FALSE,"단축2";#N/A,#N/A,FALSE,"단축3";#N/A,#N/A,FALSE,"장축";#N/A,#N/A,FALSE,"4WD"}</definedName>
    <definedName name="ㅌ" hidden="1">{#N/A,#N/A,FALSE,"단축1";#N/A,#N/A,FALSE,"단축2";#N/A,#N/A,FALSE,"단축3";#N/A,#N/A,FALSE,"장축";#N/A,#N/A,FALSE,"4WD"}</definedName>
    <definedName name="ㅌㄴㅇ" localSheetId="4" hidden="1">{#N/A,#N/A,FALSE,"단축1";#N/A,#N/A,FALSE,"단축2";#N/A,#N/A,FALSE,"단축3";#N/A,#N/A,FALSE,"장축";#N/A,#N/A,FALSE,"4WD"}</definedName>
    <definedName name="ㅌㄴㅇ" hidden="1">{#N/A,#N/A,FALSE,"단축1";#N/A,#N/A,FALSE,"단축2";#N/A,#N/A,FALSE,"단축3";#N/A,#N/A,FALSE,"장축";#N/A,#N/A,FALSE,"4WD"}</definedName>
    <definedName name="ㅌㅌ" localSheetId="4" hidden="1">{#N/A,#N/A,FALSE,"단축1";#N/A,#N/A,FALSE,"단축2";#N/A,#N/A,FALSE,"단축3";#N/A,#N/A,FALSE,"장축";#N/A,#N/A,FALSE,"4WD"}</definedName>
    <definedName name="ㅌㅌ" hidden="1">{#N/A,#N/A,FALSE,"단축1";#N/A,#N/A,FALSE,"단축2";#N/A,#N/A,FALSE,"단축3";#N/A,#N/A,FALSE,"장축";#N/A,#N/A,FALSE,"4WD"}</definedName>
    <definedName name="ㅌㅌㅌㅌ" localSheetId="4" hidden="1">{#N/A,#N/A,FALSE,"단축1";#N/A,#N/A,FALSE,"단축2";#N/A,#N/A,FALSE,"단축3";#N/A,#N/A,FALSE,"장축";#N/A,#N/A,FALSE,"4WD"}</definedName>
    <definedName name="ㅌㅌㅌㅌ" hidden="1">{#N/A,#N/A,FALSE,"단축1";#N/A,#N/A,FALSE,"단축2";#N/A,#N/A,FALSE,"단축3";#N/A,#N/A,FALSE,"장축";#N/A,#N/A,FALSE,"4WD"}</definedName>
    <definedName name="통일전세" localSheetId="4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통일전세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투자" localSheetId="4" hidden="1">#REF!</definedName>
    <definedName name="투자" hidden="1">#REF!</definedName>
    <definedName name="투자CONC.182억" localSheetId="4" hidden="1">{#N/A,#N/A,FALSE,"단축1";#N/A,#N/A,FALSE,"단축2";#N/A,#N/A,FALSE,"단축3";#N/A,#N/A,FALSE,"장축";#N/A,#N/A,FALSE,"4WD"}</definedName>
    <definedName name="투자CONC.182억" hidden="1">{#N/A,#N/A,FALSE,"단축1";#N/A,#N/A,FALSE,"단축2";#N/A,#N/A,FALSE,"단축3";#N/A,#N/A,FALSE,"장축";#N/A,#N/A,FALSE,"4WD"}</definedName>
    <definedName name="투자감소분" localSheetId="4" hidden="1">{#N/A,#N/A,FALSE,"단축1";#N/A,#N/A,FALSE,"단축2";#N/A,#N/A,FALSE,"단축3";#N/A,#N/A,FALSE,"장축";#N/A,#N/A,FALSE,"4WD"}</definedName>
    <definedName name="투자감소분" hidden="1">{#N/A,#N/A,FALSE,"단축1";#N/A,#N/A,FALSE,"단축2";#N/A,#N/A,FALSE,"단축3";#N/A,#N/A,FALSE,"장축";#N/A,#N/A,FALSE,"4WD"}</definedName>
    <definedName name="투자계획" localSheetId="4" hidden="1">{#N/A,#N/A,FALSE,"UNIT";#N/A,#N/A,FALSE,"UNIT";#N/A,#N/A,FALSE,"계정"}</definedName>
    <definedName name="투자계획" hidden="1">{#N/A,#N/A,FALSE,"UNIT";#N/A,#N/A,FALSE,"UNIT";#N/A,#N/A,FALSE,"계정"}</definedName>
    <definedName name="투자금액1" localSheetId="4" hidden="1">{#N/A,#N/A,FALSE,"단축1";#N/A,#N/A,FALSE,"단축2";#N/A,#N/A,FALSE,"단축3";#N/A,#N/A,FALSE,"장축";#N/A,#N/A,FALSE,"4WD"}</definedName>
    <definedName name="투자금액1" hidden="1">{#N/A,#N/A,FALSE,"단축1";#N/A,#N/A,FALSE,"단축2";#N/A,#N/A,FALSE,"단축3";#N/A,#N/A,FALSE,"장축";#N/A,#N/A,FALSE,"4WD"}</definedName>
    <definedName name="투자비.현재" localSheetId="4" hidden="1">{#N/A,#N/A,FALSE,"단축1";#N/A,#N/A,FALSE,"단축2";#N/A,#N/A,FALSE,"단축3";#N/A,#N/A,FALSE,"장축";#N/A,#N/A,FALSE,"4WD"}</definedName>
    <definedName name="투자비.현재" hidden="1">{#N/A,#N/A,FALSE,"단축1";#N/A,#N/A,FALSE,"단축2";#N/A,#N/A,FALSE,"단축3";#N/A,#N/A,FALSE,"장축";#N/A,#N/A,FALSE,"4WD"}</definedName>
    <definedName name="투자비000" localSheetId="4" hidden="1">{#N/A,#N/A,FALSE,"단축1";#N/A,#N/A,FALSE,"단축2";#N/A,#N/A,FALSE,"단축3";#N/A,#N/A,FALSE,"장축";#N/A,#N/A,FALSE,"4WD"}</definedName>
    <definedName name="투자비000" hidden="1">{#N/A,#N/A,FALSE,"단축1";#N/A,#N/A,FALSE,"단축2";#N/A,#N/A,FALSE,"단축3";#N/A,#N/A,FALSE,"장축";#N/A,#N/A,FALSE,"4WD"}</definedName>
    <definedName name="투자비비교" localSheetId="4" hidden="1">{#N/A,#N/A,FALSE,"단축1";#N/A,#N/A,FALSE,"단축2";#N/A,#N/A,FALSE,"단축3";#N/A,#N/A,FALSE,"장축";#N/A,#N/A,FALSE,"4WD"}</definedName>
    <definedName name="투자비비교" hidden="1">{#N/A,#N/A,FALSE,"단축1";#N/A,#N/A,FALSE,"단축2";#N/A,#N/A,FALSE,"단축3";#N/A,#N/A,FALSE,"장축";#N/A,#N/A,FALSE,"4WD"}</definedName>
    <definedName name="투자비종합" localSheetId="4" hidden="1">{#N/A,#N/A,FALSE,"단축1";#N/A,#N/A,FALSE,"단축2";#N/A,#N/A,FALSE,"단축3";#N/A,#N/A,FALSE,"장축";#N/A,#N/A,FALSE,"4WD"}</definedName>
    <definedName name="투자비종합" hidden="1">{#N/A,#N/A,FALSE,"단축1";#N/A,#N/A,FALSE,"단축2";#N/A,#N/A,FALSE,"단축3";#N/A,#N/A,FALSE,"장축";#N/A,#N/A,FALSE,"4WD"}</definedName>
    <definedName name="트럭차체부" localSheetId="4" hidden="1">{#N/A,#N/A,TRUE,"Y생산";#N/A,#N/A,TRUE,"Y판매";#N/A,#N/A,TRUE,"Y총물량";#N/A,#N/A,TRUE,"Y능력";#N/A,#N/A,TRUE,"YKD"}</definedName>
    <definedName name="트럭차체부" hidden="1">{#N/A,#N/A,TRUE,"Y생산";#N/A,#N/A,TRUE,"Y판매";#N/A,#N/A,TRUE,"Y총물량";#N/A,#N/A,TRUE,"Y능력";#N/A,#N/A,TRUE,"YKD"}</definedName>
    <definedName name="트럭차체부1" localSheetId="4" hidden="1">{#N/A,#N/A,TRUE,"Y생산";#N/A,#N/A,TRUE,"Y판매";#N/A,#N/A,TRUE,"Y총물량";#N/A,#N/A,TRUE,"Y능력";#N/A,#N/A,TRUE,"YKD"}</definedName>
    <definedName name="트럭차체부1" hidden="1">{#N/A,#N/A,TRUE,"Y생산";#N/A,#N/A,TRUE,"Y판매";#N/A,#N/A,TRUE,"Y총물량";#N/A,#N/A,TRUE,"Y능력";#N/A,#N/A,TRUE,"YKD"}</definedName>
    <definedName name="팀별계획" localSheetId="4" hidden="1">{#N/A,#N/A,FALSE,"UNIT";#N/A,#N/A,FALSE,"UNIT";#N/A,#N/A,FALSE,"계정"}</definedName>
    <definedName name="팀별계획" hidden="1">{#N/A,#N/A,FALSE,"UNIT";#N/A,#N/A,FALSE,"UNIT";#N/A,#N/A,FALSE,"계정"}</definedName>
    <definedName name="ㅍㅍ" localSheetId="4" hidden="1">{#N/A,#N/A,FALSE,"단축1";#N/A,#N/A,FALSE,"단축2";#N/A,#N/A,FALSE,"단축3";#N/A,#N/A,FALSE,"장축";#N/A,#N/A,FALSE,"4WD"}</definedName>
    <definedName name="ㅍㅍ" hidden="1">{#N/A,#N/A,FALSE,"단축1";#N/A,#N/A,FALSE,"단축2";#N/A,#N/A,FALSE,"단축3";#N/A,#N/A,FALSE,"장축";#N/A,#N/A,FALSE,"4WD"}</definedName>
    <definedName name="판관비" localSheetId="4" hidden="1">{#N/A,#N/A,FALSE,"보험현황";#N/A,#N/A,FALSE,"보험현황"}</definedName>
    <definedName name="판관비" hidden="1">{#N/A,#N/A,FALSE,"보험현황";#N/A,#N/A,FALSE,"보험현황"}</definedName>
    <definedName name="판매1" localSheetId="4" hidden="1">{#N/A,#N/A,TRUE,"Y생산";#N/A,#N/A,TRUE,"Y판매";#N/A,#N/A,TRUE,"Y총물량";#N/A,#N/A,TRUE,"Y능력";#N/A,#N/A,TRUE,"YKD"}</definedName>
    <definedName name="판매1" hidden="1">{#N/A,#N/A,TRUE,"Y생산";#N/A,#N/A,TRUE,"Y판매";#N/A,#N/A,TRUE,"Y총물량";#N/A,#N/A,TRUE,"Y능력";#N/A,#N/A,TRUE,"YKD"}</definedName>
    <definedName name="판매목표2" localSheetId="4" hidden="1">{#N/A,#N/A,FALSE,"단축1";#N/A,#N/A,FALSE,"단축2";#N/A,#N/A,FALSE,"단축3";#N/A,#N/A,FALSE,"장축";#N/A,#N/A,FALSE,"4WD"}</definedName>
    <definedName name="판매목표2" hidden="1">{#N/A,#N/A,FALSE,"단축1";#N/A,#N/A,FALSE,"단축2";#N/A,#N/A,FALSE,"단축3";#N/A,#N/A,FALSE,"장축";#N/A,#N/A,FALSE,"4WD"}</definedName>
    <definedName name="판매보증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포" localSheetId="4" hidden="1">{#N/A,#N/A,FALSE,"UNIT";#N/A,#N/A,FALSE,"UNIT";#N/A,#N/A,FALSE,"계정"}</definedName>
    <definedName name="포" hidden="1">{#N/A,#N/A,FALSE,"UNIT";#N/A,#N/A,FALSE,"UNIT";#N/A,#N/A,FALSE,"계정"}</definedName>
    <definedName name="표지1" localSheetId="4" hidden="1">{#N/A,#N/A,FALSE,"단축1";#N/A,#N/A,FALSE,"단축2";#N/A,#N/A,FALSE,"단축3";#N/A,#N/A,FALSE,"장축";#N/A,#N/A,FALSE,"4WD"}</definedName>
    <definedName name="표지1" hidden="1">{#N/A,#N/A,FALSE,"단축1";#N/A,#N/A,FALSE,"단축2";#N/A,#N/A,FALSE,"단축3";#N/A,#N/A,FALSE,"장축";#N/A,#N/A,FALSE,"4WD"}</definedName>
    <definedName name="품" localSheetId="4" hidden="1">{#N/A,#N/A,TRUE,"Y생산";#N/A,#N/A,TRUE,"Y판매";#N/A,#N/A,TRUE,"Y총물량";#N/A,#N/A,TRUE,"Y능력";#N/A,#N/A,TRUE,"YKD"}</definedName>
    <definedName name="품" hidden="1">{#N/A,#N/A,TRUE,"Y생산";#N/A,#N/A,TRUE,"Y판매";#N/A,#N/A,TRUE,"Y총물량";#N/A,#N/A,TRUE,"Y능력";#N/A,#N/A,TRUE,"YKD"}</definedName>
    <definedName name="품질목표2000" localSheetId="4" hidden="1">{#N/A,#N/A,TRUE,"Y생산";#N/A,#N/A,TRUE,"Y판매";#N/A,#N/A,TRUE,"Y총물량";#N/A,#N/A,TRUE,"Y능력";#N/A,#N/A,TRUE,"YKD"}</definedName>
    <definedName name="품질목표2000" hidden="1">{#N/A,#N/A,TRUE,"Y생산";#N/A,#N/A,TRUE,"Y판매";#N/A,#N/A,TRUE,"Y총물량";#N/A,#N/A,TRUE,"Y능력";#N/A,#N/A,TRUE,"YKD"}</definedName>
    <definedName name="품질생산합격" localSheetId="4" hidden="1">{#N/A,#N/A,TRUE,"Y생산";#N/A,#N/A,TRUE,"Y판매";#N/A,#N/A,TRUE,"Y총물량";#N/A,#N/A,TRUE,"Y능력";#N/A,#N/A,TRUE,"YKD"}</definedName>
    <definedName name="품질생산합격" hidden="1">{#N/A,#N/A,TRUE,"Y생산";#N/A,#N/A,TRUE,"Y판매";#N/A,#N/A,TRUE,"Y총물량";#N/A,#N/A,TRUE,"Y능력";#N/A,#N/A,TRUE,"YKD"}</definedName>
    <definedName name="프레스" localSheetId="4" hidden="1">{#N/A,#N/A,FALSE,"단축1";#N/A,#N/A,FALSE,"단축2";#N/A,#N/A,FALSE,"단축3";#N/A,#N/A,FALSE,"장축";#N/A,#N/A,FALSE,"4WD"}</definedName>
    <definedName name="프레스" hidden="1">{#N/A,#N/A,FALSE,"단축1";#N/A,#N/A,FALSE,"단축2";#N/A,#N/A,FALSE,"단축3";#N/A,#N/A,FALSE,"장축";#N/A,#N/A,FALSE,"4WD"}</definedName>
    <definedName name="프레지오" localSheetId="4" hidden="1">{#N/A,#N/A,FALSE,"단축1";#N/A,#N/A,FALSE,"단축2";#N/A,#N/A,FALSE,"단축3";#N/A,#N/A,FALSE,"장축";#N/A,#N/A,FALSE,"4WD"}</definedName>
    <definedName name="프레지오" hidden="1">{#N/A,#N/A,FALSE,"단축1";#N/A,#N/A,FALSE,"단축2";#N/A,#N/A,FALSE,"단축3";#N/A,#N/A,FALSE,"장축";#N/A,#N/A,FALSE,"4WD"}</definedName>
    <definedName name="ㅎ" localSheetId="4" hidden="1">{#N/A,#N/A,FALSE,"단축1";#N/A,#N/A,FALSE,"단축2";#N/A,#N/A,FALSE,"단축3";#N/A,#N/A,FALSE,"장축";#N/A,#N/A,FALSE,"4WD"}</definedName>
    <definedName name="ㅎ" hidden="1">{#N/A,#N/A,FALSE,"단축1";#N/A,#N/A,FALSE,"단축2";#N/A,#N/A,FALSE,"단축3";#N/A,#N/A,FALSE,"장축";#N/A,#N/A,FALSE,"4WD"}</definedName>
    <definedName name="ㅎ라" localSheetId="4" hidden="1">{#N/A,#N/A,TRUE,"Y생산";#N/A,#N/A,TRUE,"Y판매";#N/A,#N/A,TRUE,"Y총물량";#N/A,#N/A,TRUE,"Y능력";#N/A,#N/A,TRUE,"YKD"}</definedName>
    <definedName name="ㅎ라" hidden="1">{#N/A,#N/A,TRUE,"Y생산";#N/A,#N/A,TRUE,"Y판매";#N/A,#N/A,TRUE,"Y총물량";#N/A,#N/A,TRUE,"Y능력";#N/A,#N/A,TRUE,"YKD"}</definedName>
    <definedName name="ㅎ룰후ㅎㅎ" localSheetId="4" hidden="1">{#N/A,#N/A,FALSE,"단축1";#N/A,#N/A,FALSE,"단축2";#N/A,#N/A,FALSE,"단축3";#N/A,#N/A,FALSE,"장축";#N/A,#N/A,FALSE,"4WD"}</definedName>
    <definedName name="ㅎ룰후ㅎㅎ" hidden="1">{#N/A,#N/A,FALSE,"단축1";#N/A,#N/A,FALSE,"단축2";#N/A,#N/A,FALSE,"단축3";#N/A,#N/A,FALSE,"장축";#N/A,#N/A,FALSE,"4WD"}</definedName>
    <definedName name="ㅎㅎㅎ" localSheetId="4" hidden="1">#REF!</definedName>
    <definedName name="ㅎㅎㅎ" hidden="1">#REF!</definedName>
    <definedName name="ㅎㅎㅎㅎ" localSheetId="4" hidden="1">{#N/A,#N/A,FALSE,"단축1";#N/A,#N/A,FALSE,"단축2";#N/A,#N/A,FALSE,"단축3";#N/A,#N/A,FALSE,"장축";#N/A,#N/A,FALSE,"4WD"}</definedName>
    <definedName name="ㅎㅎㅎㅎ" hidden="1">{#N/A,#N/A,FALSE,"단축1";#N/A,#N/A,FALSE,"단축2";#N/A,#N/A,FALSE,"단축3";#N/A,#N/A,FALSE,"장축";#N/A,#N/A,FALSE,"4WD"}</definedName>
    <definedName name="하도사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수량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수량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반기투ST" localSheetId="4" hidden="1">{#N/A,#N/A,TRUE,"Y생산";#N/A,#N/A,TRUE,"Y판매";#N/A,#N/A,TRUE,"Y총물량";#N/A,#N/A,TRUE,"Y능력";#N/A,#N/A,TRUE,"YKD"}</definedName>
    <definedName name="하반기투ST" hidden="1">{#N/A,#N/A,TRUE,"Y생산";#N/A,#N/A,TRUE,"Y판매";#N/A,#N/A,TRUE,"Y총물량";#N/A,#N/A,TRUE,"Y능력";#N/A,#N/A,TRUE,"YKD"}</definedName>
    <definedName name="하핳" localSheetId="4" hidden="1">{#N/A,#N/A,TRUE,"Y생산";#N/A,#N/A,TRUE,"Y판매";#N/A,#N/A,TRUE,"Y총물량";#N/A,#N/A,TRUE,"Y능력";#N/A,#N/A,TRUE,"YKD"}</definedName>
    <definedName name="하핳" hidden="1">{#N/A,#N/A,TRUE,"Y생산";#N/A,#N/A,TRUE,"Y판매";#N/A,#N/A,TRUE,"Y총물량";#N/A,#N/A,TRUE,"Y능력";#N/A,#N/A,TRUE,"YKD"}</definedName>
    <definedName name="한영" localSheetId="4" hidden="1">{#N/A,#N/A,FALSE,"계약직(여)"}</definedName>
    <definedName name="한영" hidden="1">{#N/A,#N/A,FALSE,"계약직(여)"}</definedName>
    <definedName name="한영사전" localSheetId="4" hidden="1">{#N/A,#N/A,TRUE,"Y생산";#N/A,#N/A,TRUE,"Y판매";#N/A,#N/A,TRUE,"Y총물량";#N/A,#N/A,TRUE,"Y능력";#N/A,#N/A,TRUE,"YKD"}</definedName>
    <definedName name="한영사전" hidden="1">{#N/A,#N/A,TRUE,"Y생산";#N/A,#N/A,TRUE,"Y판매";#N/A,#N/A,TRUE,"Y총물량";#N/A,#N/A,TRUE,"Y능력";#N/A,#N/A,TRUE,"YKD"}</definedName>
    <definedName name="향후계획1" localSheetId="4" hidden="1">{#N/A,#N/A,FALSE,"단축1";#N/A,#N/A,FALSE,"단축2";#N/A,#N/A,FALSE,"단축3";#N/A,#N/A,FALSE,"장축";#N/A,#N/A,FALSE,"4WD"}</definedName>
    <definedName name="향후계획1" hidden="1">{#N/A,#N/A,FALSE,"단축1";#N/A,#N/A,FALSE,"단축2";#N/A,#N/A,FALSE,"단축3";#N/A,#N/A,FALSE,"장축";#N/A,#N/A,FALSE,"4WD"}</definedName>
    <definedName name="허정훤" localSheetId="4" hidden="1">{#N/A,#N/A,TRUE,"Y생산";#N/A,#N/A,TRUE,"Y판매";#N/A,#N/A,TRUE,"Y총물량";#N/A,#N/A,TRUE,"Y능력";#N/A,#N/A,TRUE,"YKD"}</definedName>
    <definedName name="허정훤" hidden="1">{#N/A,#N/A,TRUE,"Y생산";#N/A,#N/A,TRUE,"Y판매";#N/A,#N/A,TRUE,"Y총물량";#N/A,#N/A,TRUE,"Y능력";#N/A,#N/A,TRUE,"YKD"}</definedName>
    <definedName name="허허" localSheetId="4" hidden="1">{#N/A,#N/A,TRUE,"Y생산";#N/A,#N/A,TRUE,"Y판매";#N/A,#N/A,TRUE,"Y총물량";#N/A,#N/A,TRUE,"Y능력";#N/A,#N/A,TRUE,"YKD"}</definedName>
    <definedName name="허허" hidden="1">{#N/A,#N/A,TRUE,"Y생산";#N/A,#N/A,TRUE,"Y판매";#N/A,#N/A,TRUE,"Y총물량";#N/A,#N/A,TRUE,"Y능력";#N/A,#N/A,TRUE,"YKD"}</definedName>
    <definedName name="허ㅓ" localSheetId="4" hidden="1">{#N/A,#N/A,FALSE,"단축1";#N/A,#N/A,FALSE,"단축2";#N/A,#N/A,FALSE,"단축3";#N/A,#N/A,FALSE,"장축";#N/A,#N/A,FALSE,"4WD"}</definedName>
    <definedName name="허ㅓ" hidden="1">{#N/A,#N/A,FALSE,"단축1";#N/A,#N/A,FALSE,"단축2";#N/A,#N/A,FALSE,"단축3";#N/A,#N/A,FALSE,"장축";#N/A,#N/A,FALSE,"4WD"}</definedName>
    <definedName name="현금등가물" localSheetId="4" hidden="1">{#N/A,#N/A,FALSE,"Aging Summary";#N/A,#N/A,FALSE,"Ratio Analysis";#N/A,#N/A,FALSE,"Test 120 Day Accts";#N/A,#N/A,FALSE,"Tickmarks"}</definedName>
    <definedName name="현금등가물" hidden="1">{#N/A,#N/A,FALSE,"Aging Summary";#N/A,#N/A,FALSE,"Ratio Analysis";#N/A,#N/A,FALSE,"Test 120 Day Accts";#N/A,#N/A,FALSE,"Tickmarks"}</definedName>
    <definedName name="현금흐름" localSheetId="4" hidden="1">{#N/A,#N/A,FALSE,"Aging Summary";#N/A,#N/A,FALSE,"Ratio Analysis";#N/A,#N/A,FALSE,"Test 120 Day Accts";#N/A,#N/A,FALSE,"Tickmarks"}</definedName>
    <definedName name="현금흐름" hidden="1">{#N/A,#N/A,FALSE,"Aging Summary";#N/A,#N/A,FALSE,"Ratio Analysis";#N/A,#N/A,FALSE,"Test 120 Day Accts";#N/A,#N/A,FALSE,"Tickmarks"}</definedName>
    <definedName name="현대" localSheetId="4" hidden="1">{#N/A,#N/A,FALSE,"정공"}</definedName>
    <definedName name="현대" hidden="1">{#N/A,#N/A,FALSE,"정공"}</definedName>
    <definedName name="호" localSheetId="4" hidden="1">{#N/A,#N/A,FALSE,"UNIT";#N/A,#N/A,FALSE,"UNIT";#N/A,#N/A,FALSE,"계정"}</definedName>
    <definedName name="호" hidden="1">{#N/A,#N/A,FALSE,"UNIT";#N/A,#N/A,FALSE,"UNIT";#N/A,#N/A,FALSE,"계정"}</definedName>
    <definedName name="호하ㅣHJHH" localSheetId="4" hidden="1">{#N/A,#N/A,TRUE,"Y생산";#N/A,#N/A,TRUE,"Y판매";#N/A,#N/A,TRUE,"Y총물량";#N/A,#N/A,TRUE,"Y능력";#N/A,#N/A,TRUE,"YKD"}</definedName>
    <definedName name="호하ㅣHJHH" hidden="1">{#N/A,#N/A,TRUE,"Y생산";#N/A,#N/A,TRUE,"Y판매";#N/A,#N/A,TRUE,"Y총물량";#N/A,#N/A,TRUE,"Y능력";#N/A,#N/A,TRUE,"YKD"}</definedName>
    <definedName name="호ㅓㅏ" localSheetId="4" hidden="1">{#N/A,#N/A,FALSE,"96 3월물량표";#N/A,#N/A,FALSE,"96 4월물량표";#N/A,#N/A,FALSE,"96 5월물량표"}</definedName>
    <definedName name="호ㅓㅏ" hidden="1">{#N/A,#N/A,FALSE,"96 3월물량표";#N/A,#N/A,FALSE,"96 4월물량표";#N/A,#N/A,FALSE,"96 5월물량표"}</definedName>
    <definedName name="홍" localSheetId="4" hidden="1">{#N/A,#N/A,FALSE,"96 3월물량표";#N/A,#N/A,FALSE,"96 4월물량표";#N/A,#N/A,FALSE,"96 5월물량표"}</definedName>
    <definedName name="홍" hidden="1">{#N/A,#N/A,FALSE,"96 3월물량표";#N/A,#N/A,FALSE,"96 4월물량표";#N/A,#N/A,FALSE,"96 5월물량표"}</definedName>
    <definedName name="환경" localSheetId="4" hidden="1">{#N/A,#N/A,FALSE,"UNIT";#N/A,#N/A,FALSE,"UNIT";#N/A,#N/A,FALSE,"계정"}</definedName>
    <definedName name="환경" hidden="1">{#N/A,#N/A,FALSE,"UNIT";#N/A,#N/A,FALSE,"UNIT";#N/A,#N/A,FALSE,"계정"}</definedName>
    <definedName name="회신현황" localSheetId="4" hidden="1">{#N/A,#N/A,TRUE,"Y생산";#N/A,#N/A,TRUE,"Y판매";#N/A,#N/A,TRUE,"Y총물량";#N/A,#N/A,TRUE,"Y능력";#N/A,#N/A,TRUE,"YKD"}</definedName>
    <definedName name="회신현황" hidden="1">{#N/A,#N/A,TRUE,"Y생산";#N/A,#N/A,TRUE,"Y판매";#N/A,#N/A,TRUE,"Y총물량";#N/A,#N/A,TRUE,"Y능력";#N/A,#N/A,TRUE,"YKD"}</definedName>
    <definedName name="ㅏㅏ" localSheetId="4" hidden="1">{#N/A,#N/A,FALSE,"Aging Summary";#N/A,#N/A,FALSE,"Ratio Analysis";#N/A,#N/A,FALSE,"Test 120 Day Accts";#N/A,#N/A,FALSE,"Tickmarks"}</definedName>
    <definedName name="ㅏㅏ" hidden="1">{#N/A,#N/A,FALSE,"Aging Summary";#N/A,#N/A,FALSE,"Ratio Analysis";#N/A,#N/A,FALSE,"Test 120 Day Accts";#N/A,#N/A,FALSE,"Tickmarks"}</definedName>
    <definedName name="ㅏㅏㅏ" localSheetId="4" hidden="1">{#N/A,#N/A,FALSE,"기술료 비교"}</definedName>
    <definedName name="ㅏㅏㅏ" hidden="1">{#N/A,#N/A,FALSE,"기술료 비교"}</definedName>
    <definedName name="ㅏㅑㅡ" localSheetId="4" hidden="1">{#N/A,#N/A,FALSE,"단축1";#N/A,#N/A,FALSE,"단축2";#N/A,#N/A,FALSE,"단축3";#N/A,#N/A,FALSE,"장축";#N/A,#N/A,FALSE,"4WD"}</definedName>
    <definedName name="ㅏㅑㅡ" hidden="1">{#N/A,#N/A,FALSE,"단축1";#N/A,#N/A,FALSE,"단축2";#N/A,#N/A,FALSE,"단축3";#N/A,#N/A,FALSE,"장축";#N/A,#N/A,FALSE,"4WD"}</definedName>
    <definedName name="ㅏㅓ" localSheetId="4" hidden="1">{#N/A,#N/A,FALSE,"단축1";#N/A,#N/A,FALSE,"단축2";#N/A,#N/A,FALSE,"단축3";#N/A,#N/A,FALSE,"장축";#N/A,#N/A,FALSE,"4WD"}</definedName>
    <definedName name="ㅏㅓ" hidden="1">{#N/A,#N/A,FALSE,"단축1";#N/A,#N/A,FALSE,"단축2";#N/A,#N/A,FALSE,"단축3";#N/A,#N/A,FALSE,"장축";#N/A,#N/A,FALSE,"4WD"}</definedName>
    <definedName name="ㅏㅣ" localSheetId="4" hidden="1">{#N/A,#N/A,FALSE,"96 3월물량표";#N/A,#N/A,FALSE,"96 4월물량표";#N/A,#N/A,FALSE,"96 5월물량표"}</definedName>
    <definedName name="ㅏㅣ" hidden="1">{#N/A,#N/A,FALSE,"96 3월물량표";#N/A,#N/A,FALSE,"96 4월물량표";#N/A,#N/A,FALSE,"96 5월물량표"}</definedName>
    <definedName name="ㅓ" localSheetId="4" hidden="1">{#N/A,#N/A,TRUE,"Y생산";#N/A,#N/A,TRUE,"Y판매";#N/A,#N/A,TRUE,"Y총물량";#N/A,#N/A,TRUE,"Y능력";#N/A,#N/A,TRUE,"YKD"}</definedName>
    <definedName name="ㅓ" hidden="1">{#N/A,#N/A,TRUE,"Y생산";#N/A,#N/A,TRUE,"Y판매";#N/A,#N/A,TRUE,"Y총물량";#N/A,#N/A,TRUE,"Y능력";#N/A,#N/A,TRUE,"YKD"}</definedName>
    <definedName name="ㅔㅔㅔ" localSheetId="4" hidden="1">{#N/A,#N/A,FALSE,"을지 (4)";#N/A,#N/A,FALSE,"을지 (5)";#N/A,#N/A,FALSE,"을지 (6)"}</definedName>
    <definedName name="ㅔㅔㅔ" hidden="1">{#N/A,#N/A,FALSE,"을지 (4)";#N/A,#N/A,FALSE,"을지 (5)";#N/A,#N/A,FALSE,"을지 (6)"}</definedName>
    <definedName name="ㅕㅣㅎ" localSheetId="4" hidden="1">{#N/A,#N/A,FALSE,"단축1";#N/A,#N/A,FALSE,"단축2";#N/A,#N/A,FALSE,"단축3";#N/A,#N/A,FALSE,"장축";#N/A,#N/A,FALSE,"4WD"}</definedName>
    <definedName name="ㅕㅣㅎ" hidden="1">{#N/A,#N/A,FALSE,"단축1";#N/A,#N/A,FALSE,"단축2";#N/A,#N/A,FALSE,"단축3";#N/A,#N/A,FALSE,"장축";#N/A,#N/A,FALSE,"4WD"}</definedName>
    <definedName name="ㅗ" localSheetId="4" hidden="1">{#N/A,#N/A,FALSE,"단축1";#N/A,#N/A,FALSE,"단축2";#N/A,#N/A,FALSE,"단축3";#N/A,#N/A,FALSE,"장축";#N/A,#N/A,FALSE,"4WD"}</definedName>
    <definedName name="ㅗ" hidden="1">{#N/A,#N/A,FALSE,"단축1";#N/A,#N/A,FALSE,"단축2";#N/A,#N/A,FALSE,"단축3";#N/A,#N/A,FALSE,"장축";#N/A,#N/A,FALSE,"4WD"}</definedName>
    <definedName name="ㅗㅎ" localSheetId="4" hidden="1">{#N/A,#N/A,TRUE,"Y생산";#N/A,#N/A,TRUE,"Y판매";#N/A,#N/A,TRUE,"Y총물량";#N/A,#N/A,TRUE,"Y능력";#N/A,#N/A,TRUE,"YKD"}</definedName>
    <definedName name="ㅗㅎ" hidden="1">{#N/A,#N/A,TRUE,"Y생산";#N/A,#N/A,TRUE,"Y판매";#N/A,#N/A,TRUE,"Y총물량";#N/A,#N/A,TRUE,"Y능력";#N/A,#N/A,TRUE,"YKD"}</definedName>
    <definedName name="ㅗㅓㅏ" localSheetId="4" hidden="1">#REF!</definedName>
    <definedName name="ㅗㅓㅏ" hidden="1">#REF!</definedName>
    <definedName name="ㅗㅓㅐㅓㅐ" localSheetId="4" hidden="1">#REF!</definedName>
    <definedName name="ㅗㅓㅐㅓㅐ" hidden="1">#REF!</definedName>
    <definedName name="ㅗㅗ" localSheetId="4" hidden="1">{#N/A,#N/A,FALSE,"단축1";#N/A,#N/A,FALSE,"단축2";#N/A,#N/A,FALSE,"단축3";#N/A,#N/A,FALSE,"장축";#N/A,#N/A,FALSE,"4WD"}</definedName>
    <definedName name="ㅗㅗ" hidden="1">{#N/A,#N/A,FALSE,"단축1";#N/A,#N/A,FALSE,"단축2";#N/A,#N/A,FALSE,"단축3";#N/A,#N/A,FALSE,"장축";#N/A,#N/A,FALSE,"4WD"}</definedName>
    <definedName name="ㅛ" localSheetId="4" hidden="1">{#N/A,#N/A,FALSE,"단축1";#N/A,#N/A,FALSE,"단축2";#N/A,#N/A,FALSE,"단축3";#N/A,#N/A,FALSE,"장축";#N/A,#N/A,FALSE,"4WD"}</definedName>
    <definedName name="ㅛ" hidden="1">{#N/A,#N/A,FALSE,"단축1";#N/A,#N/A,FALSE,"단축2";#N/A,#N/A,FALSE,"단축3";#N/A,#N/A,FALSE,"장축";#N/A,#N/A,FALSE,"4WD"}</definedName>
    <definedName name="ㅜ" localSheetId="4" hidden="1">{#N/A,#N/A,FALSE,"단축1";#N/A,#N/A,FALSE,"단축2";#N/A,#N/A,FALSE,"단축3";#N/A,#N/A,FALSE,"장축";#N/A,#N/A,FALSE,"4WD"}</definedName>
    <definedName name="ㅜ" hidden="1">{#N/A,#N/A,FALSE,"단축1";#N/A,#N/A,FALSE,"단축2";#N/A,#N/A,FALSE,"단축3";#N/A,#N/A,FALSE,"장축";#N/A,#N/A,FALSE,"4WD"}</definedName>
    <definedName name="ㅜ리" localSheetId="4" hidden="1">{#N/A,#N/A,TRUE,"Y생산";#N/A,#N/A,TRUE,"Y판매";#N/A,#N/A,TRUE,"Y총물량";#N/A,#N/A,TRUE,"Y능력";#N/A,#N/A,TRUE,"YKD"}</definedName>
    <definedName name="ㅜ리" hidden="1">{#N/A,#N/A,TRUE,"Y생산";#N/A,#N/A,TRUE,"Y판매";#N/A,#N/A,TRUE,"Y총물량";#N/A,#N/A,TRUE,"Y능력";#N/A,#N/A,TRUE,"YKD"}</definedName>
    <definedName name="ㅡㅡㅡ" localSheetId="4" hidden="1">#REF!</definedName>
    <definedName name="ㅡㅡㅡ" hidden="1">#REF!</definedName>
    <definedName name="ㅣㅏ" localSheetId="4" hidden="1">{#N/A,#N/A,FALSE,"단축1";#N/A,#N/A,FALSE,"단축2";#N/A,#N/A,FALSE,"단축3";#N/A,#N/A,FALSE,"장축";#N/A,#N/A,FALSE,"4WD"}</definedName>
    <definedName name="ㅣㅏ" hidden="1">{#N/A,#N/A,FALSE,"단축1";#N/A,#N/A,FALSE,"단축2";#N/A,#N/A,FALSE,"단축3";#N/A,#N/A,FALSE,"장축";#N/A,#N/A,FALSE,"4WD"}</definedName>
    <definedName name="ㅣㅑㅓㅔ" localSheetId="4" hidden="1">#REF!</definedName>
    <definedName name="ㅣㅑㅓㅔ" hidden="1">#REF!</definedName>
    <definedName name="ㅣㅣ" localSheetId="4" hidden="1">{#N/A,#N/A,TRUE,"Y생산";#N/A,#N/A,TRUE,"Y판매";#N/A,#N/A,TRUE,"Y총물량";#N/A,#N/A,TRUE,"Y능력";#N/A,#N/A,TRUE,"YKD"}</definedName>
    <definedName name="ㅣㅣ" hidden="1">{#N/A,#N/A,TRUE,"Y생산";#N/A,#N/A,TRUE,"Y판매";#N/A,#N/A,TRUE,"Y총물량";#N/A,#N/A,TRUE,"Y능력";#N/A,#N/A,TRUE,"YKD"}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7" i="50" l="1"/>
  <c r="U142" i="50" l="1"/>
  <c r="U141" i="50"/>
  <c r="U140" i="50"/>
  <c r="U4" i="50"/>
  <c r="U5" i="50"/>
  <c r="U6" i="50"/>
  <c r="U7" i="50"/>
  <c r="U8" i="50"/>
  <c r="U9" i="50"/>
  <c r="U10" i="50"/>
  <c r="U11" i="50"/>
  <c r="U12" i="50"/>
  <c r="U13" i="50"/>
  <c r="U14" i="50"/>
  <c r="U15" i="50"/>
  <c r="U16" i="50"/>
  <c r="U17" i="50"/>
  <c r="U18" i="50"/>
  <c r="U19" i="50"/>
  <c r="U20" i="50"/>
  <c r="U21" i="50"/>
  <c r="U22" i="50"/>
  <c r="U23" i="50"/>
  <c r="U24" i="50"/>
  <c r="U25" i="50"/>
  <c r="U26" i="50"/>
  <c r="U27" i="50"/>
  <c r="U28" i="50"/>
  <c r="U29" i="50"/>
  <c r="U30" i="50"/>
  <c r="U31" i="50"/>
  <c r="U32" i="50"/>
  <c r="U33" i="50"/>
  <c r="U34" i="50"/>
  <c r="U35" i="50"/>
  <c r="U36" i="50"/>
  <c r="U37" i="50"/>
  <c r="U38" i="50"/>
  <c r="U39" i="50"/>
  <c r="U40" i="50"/>
  <c r="U41" i="50"/>
  <c r="U42" i="50"/>
  <c r="U43" i="50"/>
  <c r="U44" i="50"/>
  <c r="U45" i="50"/>
  <c r="U46" i="50"/>
  <c r="U47" i="50"/>
  <c r="U48" i="50"/>
  <c r="U49" i="50"/>
  <c r="U50" i="50"/>
  <c r="U51" i="50"/>
  <c r="U52" i="50"/>
  <c r="U53" i="50"/>
  <c r="U54" i="50"/>
  <c r="U55" i="50"/>
  <c r="U56" i="50"/>
  <c r="U57" i="50"/>
  <c r="U58" i="50"/>
  <c r="U59" i="50"/>
  <c r="U60" i="50"/>
  <c r="U61" i="50"/>
  <c r="U62" i="50"/>
  <c r="U63" i="50"/>
  <c r="U64" i="50"/>
  <c r="U65" i="50"/>
  <c r="U66" i="50"/>
  <c r="U67" i="50"/>
  <c r="U68" i="50"/>
  <c r="U69" i="50"/>
  <c r="U70" i="50"/>
  <c r="U71" i="50"/>
  <c r="U72" i="50"/>
  <c r="U73" i="50"/>
  <c r="U74" i="50"/>
  <c r="U75" i="50"/>
  <c r="U76" i="50"/>
  <c r="U77" i="50"/>
  <c r="U78" i="50"/>
  <c r="U79" i="50"/>
  <c r="U80" i="50"/>
  <c r="U81" i="50"/>
  <c r="U82" i="50"/>
  <c r="U83" i="50"/>
  <c r="U84" i="50"/>
  <c r="U85" i="50"/>
  <c r="U86" i="50"/>
  <c r="U87" i="50"/>
  <c r="U88" i="50"/>
  <c r="U89" i="50"/>
  <c r="U90" i="50"/>
  <c r="U91" i="50"/>
  <c r="U92" i="50"/>
  <c r="U93" i="50"/>
  <c r="U94" i="50"/>
  <c r="U95" i="50"/>
  <c r="U96" i="50"/>
  <c r="U97" i="50"/>
  <c r="U98" i="50"/>
  <c r="U99" i="50"/>
  <c r="U100" i="50"/>
  <c r="U101" i="50"/>
  <c r="U102" i="50"/>
  <c r="U103" i="50"/>
  <c r="U104" i="50"/>
  <c r="U105" i="50"/>
  <c r="U106" i="50"/>
  <c r="U107" i="50"/>
  <c r="U108" i="50"/>
  <c r="U109" i="50"/>
  <c r="U110" i="50"/>
  <c r="U111" i="50"/>
  <c r="U112" i="50"/>
  <c r="U113" i="50"/>
  <c r="U114" i="50"/>
  <c r="U115" i="50"/>
  <c r="U116" i="50"/>
  <c r="U117" i="50"/>
  <c r="U118" i="50"/>
  <c r="U119" i="50"/>
  <c r="U120" i="50"/>
  <c r="U121" i="50"/>
  <c r="U122" i="50"/>
  <c r="U123" i="50"/>
  <c r="U124" i="50"/>
  <c r="U125" i="50"/>
  <c r="U126" i="50"/>
  <c r="U127" i="50"/>
  <c r="U128" i="50"/>
  <c r="U129" i="50"/>
  <c r="U130" i="50"/>
  <c r="U131" i="50"/>
  <c r="U132" i="50"/>
  <c r="U133" i="50"/>
  <c r="U134" i="50"/>
  <c r="U135" i="50"/>
  <c r="U136" i="50"/>
  <c r="U137" i="50"/>
  <c r="U138" i="50"/>
  <c r="U139" i="50"/>
  <c r="U3" i="50"/>
  <c r="G35" i="47" l="1"/>
  <c r="G36" i="47"/>
  <c r="G37" i="47"/>
  <c r="G38" i="47"/>
  <c r="G39" i="47"/>
  <c r="G40" i="47"/>
  <c r="G41" i="47"/>
  <c r="G42" i="47"/>
  <c r="G43" i="47"/>
  <c r="G44" i="47"/>
  <c r="G45" i="47"/>
  <c r="G46" i="47"/>
  <c r="G47" i="47"/>
  <c r="G48" i="47"/>
  <c r="G49" i="47"/>
  <c r="G50" i="47"/>
  <c r="G51" i="47"/>
  <c r="G52" i="47"/>
  <c r="G53" i="47"/>
  <c r="G54" i="47"/>
  <c r="G55" i="47"/>
  <c r="G56" i="47"/>
  <c r="G57" i="47"/>
  <c r="G58" i="47"/>
  <c r="G59" i="47"/>
  <c r="G60" i="47"/>
  <c r="G61" i="47"/>
  <c r="G62" i="47"/>
  <c r="G63" i="47"/>
  <c r="G64" i="47"/>
  <c r="G65" i="47"/>
  <c r="G66" i="47"/>
  <c r="G67" i="47"/>
  <c r="G68" i="47"/>
  <c r="G69" i="47"/>
  <c r="G70" i="47"/>
  <c r="G71" i="47"/>
  <c r="G72" i="47"/>
  <c r="G73" i="47"/>
  <c r="G74" i="47"/>
  <c r="G75" i="47"/>
  <c r="G76" i="47"/>
  <c r="G77" i="47"/>
  <c r="G78" i="47"/>
  <c r="G79" i="47"/>
  <c r="G80" i="47"/>
  <c r="G81" i="47"/>
  <c r="G82" i="47"/>
  <c r="G83" i="47"/>
  <c r="G84" i="47"/>
  <c r="G85" i="47"/>
  <c r="G86" i="47"/>
  <c r="G87" i="47"/>
  <c r="G88" i="47"/>
  <c r="G89" i="47"/>
  <c r="G90" i="47"/>
  <c r="G91" i="47"/>
  <c r="G92" i="47"/>
  <c r="G93" i="47"/>
  <c r="G94" i="47"/>
  <c r="G95" i="47"/>
  <c r="G96" i="47"/>
  <c r="G97" i="47"/>
  <c r="G98" i="47"/>
  <c r="G99" i="47"/>
  <c r="G100" i="47"/>
  <c r="G101" i="47"/>
  <c r="G102" i="47"/>
  <c r="G103" i="47"/>
  <c r="G104" i="47"/>
  <c r="G105" i="47"/>
  <c r="G106" i="47"/>
  <c r="G107" i="47"/>
  <c r="G108" i="47"/>
  <c r="G109" i="47"/>
  <c r="G110" i="47"/>
  <c r="G111" i="47"/>
  <c r="G112" i="47"/>
  <c r="G113" i="47"/>
  <c r="G114" i="47"/>
  <c r="G115" i="47"/>
  <c r="G116" i="47"/>
  <c r="G117" i="47"/>
  <c r="G118" i="47"/>
  <c r="G119" i="47"/>
  <c r="G120" i="47"/>
  <c r="G121" i="47"/>
  <c r="G122" i="47"/>
  <c r="G123" i="47"/>
  <c r="G124" i="47"/>
  <c r="G125" i="47"/>
  <c r="G126" i="47"/>
  <c r="G127" i="47"/>
  <c r="G128" i="47"/>
  <c r="G129" i="47"/>
  <c r="G130" i="47"/>
  <c r="G131" i="47"/>
  <c r="G132" i="47"/>
  <c r="G133" i="47"/>
  <c r="G134" i="47"/>
  <c r="G135" i="47"/>
  <c r="G136" i="47"/>
  <c r="G137" i="47"/>
  <c r="G138" i="47"/>
  <c r="G139" i="47"/>
  <c r="G140" i="47"/>
  <c r="G141" i="47"/>
  <c r="G142" i="47"/>
  <c r="G143" i="47"/>
  <c r="G144" i="47"/>
  <c r="G145" i="47"/>
  <c r="G146" i="47"/>
  <c r="G147" i="47"/>
  <c r="G148" i="47"/>
  <c r="G149" i="47"/>
  <c r="G150" i="47"/>
  <c r="G151" i="47"/>
  <c r="G152" i="47"/>
  <c r="G153" i="47"/>
  <c r="G154" i="47"/>
  <c r="G155" i="47"/>
  <c r="G156" i="47"/>
  <c r="G157" i="47"/>
  <c r="G158" i="47"/>
  <c r="G159" i="47"/>
  <c r="G160" i="47"/>
  <c r="G161" i="47"/>
  <c r="G162" i="47"/>
  <c r="G163" i="47"/>
  <c r="G164" i="47"/>
  <c r="G165" i="47"/>
  <c r="G166" i="47"/>
  <c r="G167" i="47"/>
  <c r="G168" i="47"/>
  <c r="G169" i="47"/>
  <c r="G170" i="47"/>
  <c r="G171" i="47"/>
  <c r="G172" i="47"/>
  <c r="G173" i="47"/>
  <c r="G174" i="47"/>
  <c r="G175" i="47"/>
  <c r="G176" i="47"/>
  <c r="G177" i="47"/>
  <c r="G178" i="47"/>
  <c r="G179" i="47"/>
  <c r="G180" i="47"/>
  <c r="G181" i="47"/>
  <c r="G182" i="47"/>
  <c r="G183" i="47"/>
  <c r="G184" i="47"/>
  <c r="G185" i="47"/>
  <c r="G186" i="47"/>
  <c r="G187" i="47"/>
  <c r="G188" i="47"/>
  <c r="G189" i="47"/>
  <c r="G190" i="47"/>
  <c r="G191" i="47"/>
  <c r="G192" i="47"/>
  <c r="G193" i="47"/>
  <c r="G194" i="47"/>
  <c r="G195" i="47"/>
  <c r="G196" i="47"/>
  <c r="G197" i="47"/>
  <c r="G198" i="47"/>
  <c r="G199" i="47"/>
  <c r="G200" i="47"/>
  <c r="G201" i="47"/>
  <c r="G202" i="47"/>
  <c r="G203" i="47"/>
  <c r="G204" i="47"/>
  <c r="G205" i="47"/>
  <c r="G206" i="47"/>
  <c r="G207" i="47"/>
  <c r="G208" i="47"/>
  <c r="G209" i="47"/>
  <c r="G210" i="47"/>
  <c r="G211" i="47"/>
  <c r="G212" i="47"/>
  <c r="G213" i="47"/>
  <c r="G214" i="47"/>
  <c r="G215" i="47"/>
  <c r="G216" i="47"/>
  <c r="G217" i="47"/>
  <c r="G218" i="47"/>
  <c r="G219" i="47"/>
  <c r="G220" i="47"/>
  <c r="G221" i="47"/>
  <c r="G222" i="47"/>
  <c r="G223" i="47"/>
  <c r="G224" i="47"/>
  <c r="G225" i="47"/>
  <c r="G226" i="47"/>
  <c r="G227" i="47"/>
  <c r="G228" i="47"/>
  <c r="G229" i="47"/>
  <c r="G230" i="47"/>
  <c r="G231" i="47"/>
  <c r="G232" i="47"/>
  <c r="G233" i="47"/>
  <c r="G234" i="47"/>
  <c r="G235" i="47"/>
  <c r="G236" i="47"/>
  <c r="G237" i="47"/>
  <c r="G238" i="47"/>
  <c r="G239" i="47"/>
  <c r="G240" i="47"/>
  <c r="G241" i="47"/>
  <c r="G242" i="47"/>
  <c r="G243" i="47"/>
  <c r="G244" i="47"/>
  <c r="G245" i="47"/>
  <c r="G246" i="47"/>
  <c r="G247" i="47"/>
  <c r="G248" i="47"/>
  <c r="G249" i="47"/>
  <c r="G250" i="47"/>
  <c r="G251" i="47"/>
  <c r="G252" i="47"/>
  <c r="G253" i="47"/>
  <c r="G254" i="47"/>
  <c r="G255" i="47"/>
  <c r="G256" i="47"/>
  <c r="G257" i="47"/>
  <c r="G258" i="47"/>
  <c r="G259" i="47"/>
  <c r="G260" i="47"/>
  <c r="G261" i="47"/>
  <c r="G262" i="47"/>
  <c r="G263" i="47"/>
  <c r="G264" i="47"/>
  <c r="G265" i="47"/>
  <c r="G266" i="47"/>
  <c r="G267" i="47"/>
  <c r="G268" i="47"/>
  <c r="G269" i="47"/>
  <c r="G270" i="47"/>
  <c r="G271" i="47"/>
  <c r="G272" i="47"/>
  <c r="G273" i="47"/>
  <c r="G274" i="47"/>
  <c r="G275" i="47"/>
  <c r="G276" i="47"/>
  <c r="G277" i="47"/>
  <c r="G278" i="47"/>
  <c r="G279" i="47"/>
  <c r="G280" i="47"/>
  <c r="G281" i="47"/>
  <c r="G282" i="47"/>
  <c r="G283" i="47"/>
  <c r="G284" i="47"/>
  <c r="G285" i="47"/>
  <c r="G286" i="47"/>
  <c r="G287" i="47"/>
  <c r="G288" i="47"/>
  <c r="G289" i="47"/>
  <c r="G290" i="47"/>
  <c r="G291" i="47"/>
  <c r="G292" i="47"/>
  <c r="G293" i="47"/>
  <c r="G294" i="47"/>
  <c r="G295" i="47"/>
  <c r="G296" i="47"/>
  <c r="G297" i="47"/>
  <c r="G298" i="47"/>
  <c r="G299" i="47"/>
  <c r="G300" i="47"/>
  <c r="G301" i="47"/>
  <c r="G302" i="47"/>
  <c r="G303" i="47"/>
  <c r="G304" i="47"/>
  <c r="G305" i="47"/>
  <c r="G306" i="47"/>
  <c r="G307" i="47"/>
  <c r="G308" i="47"/>
  <c r="G309" i="47"/>
  <c r="G310" i="47"/>
  <c r="G311" i="47"/>
  <c r="G312" i="47"/>
  <c r="G313" i="47"/>
  <c r="G314" i="47"/>
  <c r="G315" i="47"/>
  <c r="G316" i="47"/>
  <c r="G317" i="47"/>
  <c r="G318" i="47"/>
  <c r="G319" i="47"/>
  <c r="G320" i="47"/>
  <c r="G321" i="47"/>
  <c r="G322" i="47"/>
  <c r="G323" i="47"/>
  <c r="G324" i="47"/>
  <c r="G325" i="47"/>
  <c r="G326" i="47"/>
  <c r="G327" i="47"/>
  <c r="G328" i="47"/>
  <c r="G329" i="47"/>
  <c r="G330" i="47"/>
  <c r="G331" i="47"/>
  <c r="G332" i="47"/>
  <c r="G333" i="47"/>
  <c r="G334" i="47"/>
  <c r="G335" i="47"/>
  <c r="G336" i="47"/>
  <c r="G337" i="47"/>
  <c r="G338" i="47"/>
  <c r="G339" i="47"/>
  <c r="G340" i="47"/>
  <c r="G341" i="47"/>
  <c r="G342" i="47"/>
  <c r="G343" i="47"/>
  <c r="G344" i="47"/>
  <c r="G345" i="47"/>
  <c r="G346" i="47"/>
  <c r="G347" i="47"/>
  <c r="G348" i="47"/>
  <c r="G349" i="47"/>
  <c r="G350" i="47"/>
  <c r="G351" i="47"/>
  <c r="G352" i="47"/>
  <c r="G353" i="47"/>
  <c r="G354" i="47"/>
  <c r="G355" i="47"/>
  <c r="G356" i="47"/>
  <c r="G357" i="47"/>
  <c r="G358" i="47"/>
  <c r="G359" i="47"/>
  <c r="G360" i="47"/>
  <c r="G361" i="47"/>
  <c r="G362" i="47"/>
  <c r="G363" i="47"/>
  <c r="G364" i="47"/>
  <c r="G365" i="47"/>
  <c r="G366" i="47"/>
  <c r="G367" i="47"/>
  <c r="G368" i="47"/>
  <c r="G369" i="47"/>
  <c r="G370" i="47"/>
  <c r="G371" i="47"/>
  <c r="G372" i="47"/>
  <c r="G373" i="47"/>
  <c r="G374" i="47"/>
  <c r="G375" i="47"/>
  <c r="G376" i="47"/>
  <c r="G377" i="47"/>
  <c r="G378" i="47"/>
  <c r="G379" i="47"/>
  <c r="G380" i="47"/>
  <c r="G381" i="47"/>
  <c r="G382" i="47"/>
  <c r="G383" i="47"/>
  <c r="G384" i="47"/>
  <c r="G385" i="47"/>
  <c r="G386" i="47"/>
  <c r="G387" i="47"/>
  <c r="G388" i="47"/>
  <c r="G389" i="47"/>
  <c r="G390" i="47"/>
  <c r="G391" i="47"/>
  <c r="G392" i="47"/>
  <c r="G393" i="47"/>
  <c r="G394" i="47"/>
  <c r="G395" i="47"/>
  <c r="G396" i="47"/>
  <c r="G397" i="47"/>
  <c r="G398" i="47"/>
  <c r="G399" i="47"/>
  <c r="G400" i="47"/>
  <c r="G401" i="47"/>
  <c r="G402" i="47"/>
  <c r="G403" i="47"/>
  <c r="G404" i="47"/>
  <c r="G405" i="47"/>
  <c r="G406" i="47"/>
  <c r="G407" i="47"/>
  <c r="G408" i="47"/>
  <c r="G409" i="47"/>
  <c r="G410" i="47"/>
  <c r="G411" i="47"/>
  <c r="G412" i="47"/>
  <c r="G413" i="47"/>
  <c r="G414" i="47"/>
  <c r="G415" i="47"/>
  <c r="G416" i="47"/>
  <c r="G417" i="47"/>
  <c r="G418" i="47"/>
  <c r="G419" i="47"/>
  <c r="G420" i="47"/>
  <c r="G421" i="47"/>
  <c r="G422" i="47"/>
  <c r="G423" i="47"/>
  <c r="G424" i="47"/>
  <c r="G425" i="47"/>
  <c r="G426" i="47"/>
  <c r="G427" i="47"/>
  <c r="G428" i="47"/>
  <c r="G429" i="47"/>
  <c r="G430" i="47"/>
  <c r="G431" i="47"/>
  <c r="G432" i="47"/>
  <c r="G433" i="47"/>
  <c r="G434" i="47"/>
  <c r="G435" i="47"/>
  <c r="G436" i="47"/>
  <c r="G437" i="47"/>
  <c r="G438" i="47"/>
  <c r="G439" i="47"/>
  <c r="G440" i="47"/>
  <c r="G441" i="47"/>
  <c r="G442" i="47"/>
  <c r="G443" i="47"/>
  <c r="G444" i="47"/>
  <c r="G445" i="47"/>
  <c r="G446" i="47"/>
  <c r="G447" i="47"/>
  <c r="G448" i="47"/>
  <c r="G449" i="47"/>
  <c r="G450" i="47"/>
  <c r="G451" i="47"/>
  <c r="G452" i="47"/>
  <c r="G453" i="47"/>
  <c r="G454" i="47"/>
  <c r="G455" i="47"/>
  <c r="G456" i="47"/>
  <c r="G457" i="47"/>
  <c r="G458" i="47"/>
  <c r="G459" i="47"/>
  <c r="G460" i="47"/>
  <c r="G461" i="47"/>
  <c r="G462" i="47"/>
  <c r="G463" i="47"/>
  <c r="G464" i="47"/>
  <c r="G465" i="47"/>
  <c r="G466" i="47"/>
  <c r="G467" i="47"/>
  <c r="G468" i="47"/>
  <c r="G469" i="47"/>
  <c r="G470" i="47"/>
  <c r="G471" i="47"/>
  <c r="G472" i="47"/>
  <c r="G473" i="47"/>
  <c r="G474" i="47"/>
  <c r="G475" i="47"/>
  <c r="G476" i="47"/>
  <c r="G477" i="47"/>
  <c r="G478" i="47"/>
  <c r="G479" i="47"/>
  <c r="G480" i="47"/>
  <c r="G481" i="47"/>
  <c r="G482" i="47"/>
  <c r="G483" i="47"/>
  <c r="G484" i="47"/>
  <c r="G485" i="47"/>
  <c r="G486" i="47"/>
  <c r="G487" i="47"/>
  <c r="G488" i="47"/>
  <c r="G489" i="47"/>
  <c r="G490" i="47"/>
  <c r="G491" i="47"/>
  <c r="G492" i="47"/>
  <c r="G493" i="47"/>
  <c r="G494" i="47"/>
  <c r="G495" i="47"/>
  <c r="G496" i="47"/>
  <c r="G497" i="47"/>
  <c r="G498" i="47"/>
  <c r="G499" i="47"/>
  <c r="G500" i="47"/>
  <c r="G501" i="47"/>
  <c r="G502" i="47"/>
  <c r="G503" i="47"/>
  <c r="G504" i="47"/>
  <c r="G505" i="47"/>
  <c r="G506" i="47"/>
  <c r="G507" i="47"/>
  <c r="G508" i="47"/>
  <c r="G509" i="47"/>
  <c r="G510" i="47"/>
  <c r="G511" i="47"/>
  <c r="G512" i="47"/>
  <c r="G513" i="47"/>
  <c r="G514" i="47"/>
  <c r="G515" i="47"/>
  <c r="G516" i="47"/>
  <c r="G517" i="47"/>
  <c r="G518" i="47"/>
  <c r="G519" i="47"/>
  <c r="G520" i="47"/>
  <c r="G521" i="47"/>
  <c r="G522" i="47"/>
  <c r="G523" i="47"/>
  <c r="G524" i="47"/>
  <c r="G525" i="47"/>
  <c r="G526" i="47"/>
  <c r="G527" i="47"/>
  <c r="G528" i="47"/>
  <c r="G529" i="47"/>
  <c r="G530" i="47"/>
  <c r="G531" i="47"/>
  <c r="G532" i="47"/>
  <c r="G533" i="47"/>
  <c r="G534" i="47"/>
  <c r="G535" i="47"/>
  <c r="G536" i="47"/>
  <c r="G537" i="47"/>
  <c r="G538" i="47"/>
  <c r="G539" i="47"/>
  <c r="G540" i="47"/>
  <c r="G541" i="47"/>
  <c r="G542" i="47"/>
  <c r="G543" i="47"/>
  <c r="G544" i="47"/>
  <c r="G545" i="47"/>
  <c r="G546" i="47"/>
  <c r="G547" i="47"/>
  <c r="G548" i="47"/>
  <c r="G549" i="47"/>
  <c r="G550" i="47"/>
  <c r="G551" i="47"/>
  <c r="G552" i="47"/>
  <c r="G553" i="47"/>
  <c r="G554" i="47"/>
  <c r="G555" i="47"/>
  <c r="G556" i="47"/>
  <c r="G557" i="47"/>
  <c r="G558" i="47"/>
  <c r="G559" i="47"/>
  <c r="G560" i="47"/>
  <c r="G561" i="47"/>
  <c r="G562" i="47"/>
  <c r="G563" i="47"/>
  <c r="G564" i="47"/>
  <c r="G565" i="47"/>
  <c r="G566" i="47"/>
  <c r="G567" i="47"/>
  <c r="G568" i="47"/>
  <c r="G569" i="47"/>
  <c r="G570" i="47"/>
  <c r="G571" i="47"/>
  <c r="G572" i="47"/>
  <c r="G573" i="47"/>
  <c r="G574" i="47"/>
  <c r="G575" i="47"/>
  <c r="G576" i="47"/>
  <c r="G577" i="47"/>
  <c r="G578" i="47"/>
  <c r="G579" i="47"/>
  <c r="G580" i="47"/>
  <c r="G581" i="47"/>
  <c r="G582" i="47"/>
  <c r="G583" i="47"/>
  <c r="G584" i="47"/>
  <c r="G585" i="47"/>
  <c r="G586" i="47"/>
  <c r="G587" i="47"/>
  <c r="G588" i="47"/>
  <c r="G589" i="47"/>
  <c r="G590" i="47"/>
  <c r="G591" i="47"/>
  <c r="G592" i="47"/>
  <c r="G593" i="47"/>
  <c r="G594" i="47"/>
  <c r="G595" i="47"/>
  <c r="G596" i="47"/>
  <c r="G597" i="47"/>
  <c r="G598" i="47"/>
  <c r="G599" i="47"/>
  <c r="G600" i="47"/>
  <c r="G601" i="47"/>
  <c r="G602" i="47"/>
  <c r="G603" i="47"/>
  <c r="G604" i="47"/>
  <c r="G605" i="47"/>
  <c r="G606" i="47"/>
  <c r="G607" i="47"/>
  <c r="G608" i="47"/>
  <c r="G609" i="47"/>
  <c r="G610" i="47"/>
  <c r="G611" i="47"/>
  <c r="G612" i="47"/>
  <c r="G613" i="47"/>
  <c r="G614" i="47"/>
  <c r="G615" i="47"/>
  <c r="G616" i="47"/>
  <c r="G617" i="47"/>
  <c r="G618" i="47"/>
  <c r="G619" i="47"/>
  <c r="G620" i="47"/>
  <c r="G621" i="47"/>
  <c r="G622" i="47"/>
  <c r="G623" i="47"/>
  <c r="G624" i="47"/>
  <c r="G625" i="47"/>
  <c r="G626" i="47"/>
  <c r="G627" i="47"/>
  <c r="G628" i="47"/>
  <c r="G629" i="47"/>
  <c r="G630" i="47"/>
  <c r="G631" i="47"/>
  <c r="G632" i="47"/>
  <c r="G633" i="47"/>
  <c r="G634" i="47"/>
  <c r="G635" i="47"/>
  <c r="G636" i="47"/>
  <c r="G637" i="47"/>
  <c r="G638" i="47"/>
  <c r="G639" i="47"/>
  <c r="G640" i="47"/>
  <c r="G641" i="47"/>
  <c r="G642" i="47"/>
  <c r="G643" i="47"/>
  <c r="G644" i="47"/>
  <c r="G645" i="47"/>
  <c r="G646" i="47"/>
  <c r="G647" i="47"/>
  <c r="G648" i="47"/>
  <c r="G649" i="47"/>
  <c r="G650" i="47"/>
  <c r="G651" i="47"/>
  <c r="G652" i="47"/>
  <c r="G653" i="47"/>
  <c r="G654" i="47"/>
  <c r="G655" i="47"/>
  <c r="G656" i="47"/>
  <c r="G657" i="47"/>
  <c r="G658" i="47"/>
  <c r="G659" i="47"/>
  <c r="G660" i="47"/>
  <c r="G661" i="47"/>
  <c r="G662" i="47"/>
  <c r="G663" i="47"/>
  <c r="G664" i="47"/>
  <c r="G665" i="47"/>
  <c r="G666" i="47"/>
  <c r="G667" i="47"/>
  <c r="G668" i="47"/>
  <c r="G669" i="47"/>
  <c r="G670" i="47"/>
  <c r="G671" i="47"/>
  <c r="G672" i="47"/>
  <c r="G673" i="47"/>
  <c r="G674" i="47"/>
  <c r="G675" i="47"/>
  <c r="G676" i="47"/>
  <c r="G677" i="47"/>
  <c r="G678" i="47"/>
  <c r="G679" i="47"/>
  <c r="G680" i="47"/>
  <c r="G681" i="47"/>
  <c r="G682" i="47"/>
  <c r="G683" i="47"/>
  <c r="G684" i="47"/>
  <c r="G685" i="47"/>
  <c r="G686" i="47"/>
  <c r="G687" i="47"/>
  <c r="G688" i="47"/>
  <c r="G689" i="47"/>
  <c r="G690" i="47"/>
  <c r="G691" i="47"/>
  <c r="G692" i="47"/>
  <c r="G693" i="47"/>
  <c r="G694" i="47"/>
  <c r="G695" i="47"/>
  <c r="G696" i="47"/>
  <c r="G697" i="47"/>
  <c r="G698" i="47"/>
  <c r="G699" i="47"/>
  <c r="G700" i="47"/>
  <c r="G701" i="47"/>
  <c r="G702" i="47"/>
  <c r="G703" i="47"/>
  <c r="G704" i="47"/>
  <c r="G705" i="47"/>
  <c r="G706" i="47"/>
  <c r="G707" i="47"/>
  <c r="G708" i="47"/>
  <c r="G709" i="47"/>
  <c r="G710" i="47"/>
  <c r="G711" i="47"/>
  <c r="G712" i="47"/>
  <c r="G713" i="47"/>
  <c r="G714" i="47"/>
  <c r="G715" i="47"/>
  <c r="G716" i="47"/>
  <c r="G717" i="47"/>
  <c r="G718" i="47"/>
  <c r="G719" i="47"/>
  <c r="G720" i="47"/>
  <c r="G721" i="47"/>
  <c r="G722" i="47"/>
  <c r="G723" i="47"/>
  <c r="G724" i="47"/>
  <c r="G725" i="47"/>
  <c r="G726" i="47"/>
  <c r="G727" i="47"/>
  <c r="G728" i="47"/>
  <c r="G729" i="47"/>
  <c r="G730" i="47"/>
  <c r="G731" i="47"/>
  <c r="G732" i="47"/>
  <c r="G733" i="47"/>
  <c r="G734" i="47"/>
  <c r="G735" i="47"/>
  <c r="G736" i="47"/>
  <c r="G737" i="47"/>
  <c r="G738" i="47"/>
  <c r="G739" i="47"/>
  <c r="G740" i="47"/>
  <c r="G741" i="47"/>
  <c r="G742" i="47"/>
  <c r="G743" i="47"/>
  <c r="G744" i="47"/>
  <c r="G745" i="47"/>
  <c r="G746" i="47"/>
  <c r="G747" i="47"/>
  <c r="G748" i="47"/>
  <c r="G749" i="47"/>
  <c r="G750" i="47"/>
  <c r="G751" i="47"/>
  <c r="G752" i="47"/>
  <c r="G753" i="47"/>
  <c r="G754" i="47"/>
  <c r="G755" i="47"/>
  <c r="G756" i="47"/>
  <c r="G757" i="47"/>
  <c r="G758" i="47"/>
  <c r="G759" i="47"/>
  <c r="G760" i="47"/>
  <c r="G761" i="47"/>
  <c r="G762" i="47"/>
  <c r="G763" i="47"/>
  <c r="G764" i="47"/>
  <c r="G765" i="47"/>
  <c r="G766" i="47"/>
  <c r="G767" i="47"/>
  <c r="G768" i="47"/>
  <c r="G769" i="47"/>
  <c r="G770" i="47"/>
  <c r="G771" i="47"/>
  <c r="G772" i="47"/>
  <c r="G773" i="47"/>
  <c r="G774" i="47"/>
  <c r="G775" i="47"/>
  <c r="G776" i="47"/>
  <c r="G777" i="47"/>
  <c r="G778" i="47"/>
  <c r="G779" i="47"/>
  <c r="G780" i="47"/>
  <c r="G781" i="47"/>
  <c r="G782" i="47"/>
  <c r="G783" i="47"/>
  <c r="G784" i="47"/>
  <c r="G785" i="47"/>
  <c r="G786" i="47"/>
  <c r="G787" i="47"/>
  <c r="G788" i="47"/>
  <c r="G789" i="47"/>
  <c r="G790" i="47"/>
  <c r="G791" i="47"/>
  <c r="G792" i="47"/>
  <c r="G793" i="47"/>
  <c r="G794" i="47"/>
  <c r="G795" i="47"/>
  <c r="G796" i="47"/>
  <c r="G797" i="47"/>
  <c r="G798" i="47"/>
  <c r="G799" i="47"/>
  <c r="G800" i="47"/>
  <c r="G801" i="47"/>
  <c r="G802" i="47"/>
  <c r="G803" i="47"/>
  <c r="G804" i="47"/>
  <c r="G805" i="47"/>
  <c r="G806" i="47"/>
  <c r="G807" i="47"/>
  <c r="G808" i="47"/>
  <c r="G809" i="47"/>
  <c r="G810" i="47"/>
  <c r="G811" i="47"/>
  <c r="G812" i="47"/>
  <c r="G813" i="47"/>
  <c r="G814" i="47"/>
  <c r="G815" i="47"/>
  <c r="G816" i="47"/>
  <c r="G817" i="47"/>
  <c r="G818" i="47"/>
  <c r="G819" i="47"/>
  <c r="G820" i="47"/>
  <c r="G821" i="47"/>
  <c r="G822" i="47"/>
  <c r="G823" i="47"/>
  <c r="G824" i="47"/>
  <c r="G825" i="47"/>
  <c r="G826" i="47"/>
  <c r="G827" i="47"/>
  <c r="G828" i="47"/>
  <c r="G829" i="47"/>
  <c r="G830" i="47"/>
  <c r="G831" i="47"/>
  <c r="G832" i="47"/>
  <c r="G833" i="47"/>
  <c r="G834" i="47"/>
  <c r="G835" i="47"/>
  <c r="G836" i="47"/>
  <c r="G837" i="47"/>
  <c r="G838" i="47"/>
  <c r="G839" i="47"/>
  <c r="G840" i="47"/>
  <c r="G841" i="47"/>
  <c r="G842" i="47"/>
  <c r="G843" i="47"/>
  <c r="G844" i="47"/>
  <c r="G845" i="47"/>
  <c r="G846" i="47"/>
  <c r="G847" i="47"/>
  <c r="G848" i="47"/>
  <c r="G849" i="47"/>
  <c r="G850" i="47"/>
  <c r="G851" i="47"/>
  <c r="G852" i="47"/>
  <c r="G853" i="47"/>
  <c r="G854" i="47"/>
  <c r="G855" i="47"/>
  <c r="G856" i="47"/>
  <c r="G857" i="47"/>
  <c r="G858" i="47"/>
  <c r="G859" i="47"/>
  <c r="G860" i="47"/>
  <c r="G861" i="47"/>
  <c r="G862" i="47"/>
  <c r="G863" i="47"/>
  <c r="G864" i="47"/>
  <c r="G865" i="47"/>
  <c r="G866" i="47"/>
  <c r="G867" i="47"/>
  <c r="G868" i="47"/>
  <c r="G869" i="47"/>
  <c r="G870" i="47"/>
  <c r="G871" i="47"/>
  <c r="G872" i="47"/>
  <c r="G873" i="47"/>
  <c r="G874" i="47"/>
  <c r="G875" i="47"/>
  <c r="G876" i="47"/>
  <c r="G877" i="47"/>
  <c r="G878" i="47"/>
  <c r="G879" i="47"/>
  <c r="G880" i="47"/>
  <c r="G881" i="47"/>
  <c r="G882" i="47"/>
  <c r="G883" i="47"/>
  <c r="G884" i="47"/>
  <c r="G885" i="47"/>
  <c r="G886" i="47"/>
  <c r="G887" i="47"/>
  <c r="G888" i="47"/>
  <c r="G889" i="47"/>
  <c r="G890" i="47"/>
  <c r="G891" i="47"/>
  <c r="G892" i="47"/>
  <c r="G893" i="47"/>
  <c r="G894" i="47"/>
  <c r="G895" i="47"/>
  <c r="G896" i="47"/>
  <c r="G897" i="47"/>
  <c r="G898" i="47"/>
  <c r="G899" i="47"/>
  <c r="G900" i="47"/>
  <c r="G901" i="47"/>
  <c r="G902" i="47"/>
  <c r="G903" i="47"/>
  <c r="G904" i="47"/>
  <c r="G905" i="47"/>
  <c r="G906" i="47"/>
  <c r="G907" i="47"/>
  <c r="G908" i="47"/>
  <c r="G909" i="47"/>
  <c r="G910" i="47"/>
  <c r="G911" i="47"/>
  <c r="G912" i="47"/>
  <c r="G913" i="47"/>
  <c r="G914" i="47"/>
  <c r="G915" i="47"/>
  <c r="G916" i="47"/>
  <c r="G917" i="47"/>
  <c r="G918" i="47"/>
  <c r="G919" i="47"/>
  <c r="G920" i="47"/>
  <c r="G921" i="47"/>
  <c r="G922" i="47"/>
  <c r="G923" i="47"/>
  <c r="G924" i="47"/>
  <c r="G925" i="47"/>
  <c r="G926" i="47"/>
  <c r="G927" i="47"/>
  <c r="G928" i="47"/>
  <c r="G929" i="47"/>
  <c r="G930" i="47"/>
  <c r="G931" i="47"/>
  <c r="G932" i="47"/>
  <c r="G933" i="47"/>
  <c r="G934" i="47"/>
  <c r="G935" i="47"/>
  <c r="G936" i="47"/>
  <c r="G937" i="47"/>
  <c r="G938" i="47"/>
  <c r="G939" i="47"/>
  <c r="G940" i="47"/>
  <c r="G941" i="47"/>
  <c r="G942" i="47"/>
  <c r="G943" i="47"/>
  <c r="G944" i="47"/>
  <c r="G945" i="47"/>
  <c r="G946" i="47"/>
  <c r="G947" i="47"/>
  <c r="G948" i="47"/>
  <c r="G949" i="47"/>
  <c r="G950" i="47"/>
  <c r="G951" i="47"/>
  <c r="G952" i="47"/>
  <c r="G953" i="47"/>
  <c r="G954" i="47"/>
  <c r="G955" i="47"/>
  <c r="G956" i="47"/>
  <c r="G957" i="47"/>
  <c r="G958" i="47"/>
  <c r="G959" i="47"/>
  <c r="G960" i="47"/>
  <c r="G961" i="47"/>
  <c r="G962" i="47"/>
  <c r="G963" i="47"/>
  <c r="G964" i="47"/>
  <c r="G965" i="47"/>
  <c r="G966" i="47"/>
  <c r="G967" i="47"/>
  <c r="G968" i="47"/>
  <c r="G969" i="47"/>
  <c r="G970" i="47"/>
  <c r="G971" i="47"/>
  <c r="G972" i="47"/>
  <c r="G973" i="47"/>
  <c r="G974" i="47"/>
  <c r="G975" i="47"/>
  <c r="G976" i="47"/>
  <c r="G977" i="47"/>
  <c r="G978" i="47"/>
  <c r="G979" i="47"/>
  <c r="G980" i="47"/>
  <c r="G981" i="47"/>
  <c r="G982" i="47"/>
  <c r="G983" i="47"/>
  <c r="G984" i="47"/>
  <c r="G985" i="47"/>
  <c r="G986" i="47"/>
  <c r="G987" i="47"/>
  <c r="G988" i="47"/>
  <c r="G989" i="47"/>
  <c r="G990" i="47"/>
  <c r="G991" i="47"/>
  <c r="G992" i="47"/>
  <c r="G993" i="47"/>
  <c r="G994" i="47"/>
  <c r="G995" i="47"/>
  <c r="G996" i="47"/>
  <c r="G997" i="47"/>
  <c r="G998" i="47"/>
  <c r="G999" i="47"/>
  <c r="G1000" i="47"/>
  <c r="G1001" i="47"/>
  <c r="G1002" i="47"/>
  <c r="G1003" i="47"/>
  <c r="G1004" i="47"/>
  <c r="G1005" i="47"/>
  <c r="G1006" i="47"/>
  <c r="G1007" i="47"/>
  <c r="G1008" i="47"/>
  <c r="G1009" i="47"/>
  <c r="G1010" i="47"/>
  <c r="G1011" i="47"/>
  <c r="G1012" i="47"/>
  <c r="G1013" i="47"/>
  <c r="G1014" i="47"/>
  <c r="G1015" i="47"/>
  <c r="G1016" i="47"/>
  <c r="G1017" i="47"/>
  <c r="G1018" i="47"/>
  <c r="G1019" i="47"/>
  <c r="G1020" i="47"/>
  <c r="G1021" i="47"/>
  <c r="G1022" i="47"/>
  <c r="G1023" i="47"/>
  <c r="G1024" i="47"/>
  <c r="G1025" i="47"/>
  <c r="G1026" i="47"/>
  <c r="G1027" i="47"/>
  <c r="G1028" i="47"/>
  <c r="G1029" i="47"/>
  <c r="G1030" i="47"/>
  <c r="G1031" i="47"/>
  <c r="G1032" i="47"/>
  <c r="G1033" i="47"/>
  <c r="G1034" i="47"/>
  <c r="G1035" i="47"/>
  <c r="G1036" i="47"/>
  <c r="G1037" i="47"/>
  <c r="G1038" i="47"/>
  <c r="G1039" i="47"/>
  <c r="G1040" i="47"/>
  <c r="G1041" i="47"/>
  <c r="G1042" i="47"/>
  <c r="G1043" i="47"/>
  <c r="G1044" i="47"/>
  <c r="G1045" i="47"/>
  <c r="G1046" i="47"/>
  <c r="G1047" i="47"/>
  <c r="G1048" i="47"/>
  <c r="G1049" i="47"/>
  <c r="G1050" i="47"/>
  <c r="G1051" i="47"/>
  <c r="G1052" i="47"/>
  <c r="G1053" i="47"/>
  <c r="G1054" i="47"/>
  <c r="G1055" i="47"/>
  <c r="G1056" i="47"/>
  <c r="G1057" i="47"/>
  <c r="G1058" i="47"/>
  <c r="G1059" i="47"/>
  <c r="G1060" i="47"/>
  <c r="G1061" i="47"/>
  <c r="G1062" i="47"/>
  <c r="G1063" i="47"/>
  <c r="G1064" i="47"/>
  <c r="G1065" i="47"/>
  <c r="G1066" i="47"/>
  <c r="G1067" i="47"/>
  <c r="G1068" i="47"/>
  <c r="G1069" i="47"/>
  <c r="G1070" i="47"/>
  <c r="G1071" i="47"/>
  <c r="G1072" i="47"/>
  <c r="G1073" i="47"/>
  <c r="G1074" i="47"/>
  <c r="G1075" i="47"/>
  <c r="G1076" i="47"/>
  <c r="G12" i="11" l="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G301" i="11"/>
  <c r="G302" i="11"/>
  <c r="G303" i="11"/>
  <c r="G304" i="11"/>
  <c r="G305" i="11"/>
  <c r="G306" i="11"/>
  <c r="G307" i="11"/>
  <c r="G308" i="11"/>
  <c r="G309" i="11"/>
  <c r="G310" i="11"/>
  <c r="G311" i="11"/>
  <c r="G312" i="11"/>
  <c r="G313" i="11"/>
  <c r="G314" i="11"/>
  <c r="G315" i="11"/>
  <c r="G316" i="11"/>
  <c r="G317" i="11"/>
  <c r="G318" i="11"/>
  <c r="G319" i="11"/>
  <c r="G320" i="11"/>
  <c r="G321" i="11"/>
  <c r="G322" i="11"/>
  <c r="G323" i="11"/>
  <c r="G324" i="11"/>
  <c r="G325" i="11"/>
  <c r="G326" i="11"/>
  <c r="G327" i="11"/>
  <c r="G328" i="11"/>
  <c r="G329" i="11"/>
  <c r="G330" i="11"/>
  <c r="G331" i="11"/>
  <c r="G332" i="11"/>
  <c r="G333" i="11"/>
  <c r="G334" i="11"/>
  <c r="G335" i="11"/>
  <c r="G336" i="11"/>
  <c r="G337" i="11"/>
  <c r="G338" i="11"/>
  <c r="G339" i="11"/>
  <c r="G340" i="11"/>
  <c r="G341" i="11"/>
  <c r="G342" i="11"/>
  <c r="G343" i="11"/>
  <c r="G344" i="11"/>
  <c r="G345" i="11"/>
  <c r="G346" i="11"/>
  <c r="G347" i="11"/>
  <c r="G348" i="11"/>
  <c r="G349" i="11"/>
  <c r="G350" i="11"/>
  <c r="G351" i="11"/>
  <c r="G352" i="11"/>
  <c r="G353" i="11"/>
  <c r="G354" i="11"/>
  <c r="G355" i="11"/>
  <c r="G356" i="11"/>
  <c r="G357" i="11"/>
  <c r="G358" i="11"/>
  <c r="G359" i="11"/>
  <c r="G360" i="11"/>
  <c r="G361" i="11"/>
  <c r="G362" i="11"/>
  <c r="G363" i="11"/>
  <c r="G364" i="11"/>
  <c r="G365" i="11"/>
  <c r="G366" i="11"/>
  <c r="G367" i="11"/>
  <c r="G368" i="11"/>
  <c r="G369" i="11"/>
  <c r="G370" i="11"/>
  <c r="G371" i="11"/>
  <c r="G372" i="11"/>
  <c r="G373" i="11"/>
  <c r="G374" i="11"/>
  <c r="G375" i="11"/>
  <c r="G376" i="11"/>
  <c r="G377" i="11"/>
  <c r="G378" i="11"/>
  <c r="G379" i="11"/>
  <c r="G380" i="11"/>
  <c r="G381" i="11"/>
  <c r="G382" i="11"/>
  <c r="G383" i="11"/>
  <c r="G384" i="11"/>
  <c r="G385" i="11"/>
  <c r="G386" i="11"/>
  <c r="G387" i="11"/>
  <c r="G388" i="11"/>
  <c r="G389" i="11"/>
  <c r="G390" i="11"/>
  <c r="G391" i="11"/>
  <c r="G392" i="11"/>
  <c r="G393" i="11"/>
  <c r="G394" i="11"/>
  <c r="G395" i="11"/>
  <c r="G396" i="11"/>
  <c r="G397" i="11"/>
  <c r="G398" i="11"/>
  <c r="G399" i="11"/>
  <c r="G400" i="11"/>
  <c r="G401" i="11"/>
  <c r="G402" i="11"/>
  <c r="G403" i="11"/>
  <c r="G404" i="11"/>
  <c r="G405" i="11"/>
  <c r="G406" i="11"/>
  <c r="G407" i="11"/>
  <c r="G408" i="11"/>
  <c r="G409" i="11"/>
  <c r="G410" i="11"/>
  <c r="G411" i="11"/>
  <c r="G412" i="11"/>
  <c r="G413" i="11"/>
  <c r="G414" i="11"/>
  <c r="G415" i="11"/>
  <c r="G416" i="11"/>
  <c r="G417" i="11"/>
  <c r="G418" i="11"/>
  <c r="G419" i="11"/>
  <c r="G420" i="11"/>
  <c r="G421" i="11"/>
  <c r="G422" i="11"/>
  <c r="G423" i="11"/>
  <c r="G424" i="11"/>
  <c r="G425" i="11"/>
  <c r="G426" i="11"/>
  <c r="G427" i="11"/>
  <c r="G428" i="11"/>
  <c r="G429" i="11"/>
  <c r="G430" i="11"/>
  <c r="G431" i="11"/>
  <c r="G432" i="11"/>
  <c r="G433" i="11"/>
  <c r="G434" i="11"/>
  <c r="G435" i="11"/>
  <c r="G436" i="11"/>
  <c r="G437" i="11"/>
  <c r="G438" i="11"/>
  <c r="G439" i="11"/>
  <c r="G440" i="11"/>
  <c r="G441" i="11"/>
  <c r="G442" i="11"/>
  <c r="G443" i="11"/>
  <c r="G444" i="11"/>
  <c r="G445" i="11"/>
  <c r="G446" i="11"/>
  <c r="G447" i="11"/>
  <c r="G448" i="11"/>
  <c r="G449" i="11"/>
  <c r="G450" i="11"/>
  <c r="G451" i="11"/>
  <c r="G452" i="11"/>
  <c r="G453" i="11"/>
  <c r="G454" i="11"/>
  <c r="G455" i="11"/>
  <c r="G456" i="11"/>
  <c r="G457" i="11"/>
  <c r="G458" i="11"/>
  <c r="G459" i="11"/>
  <c r="G460" i="11"/>
  <c r="G461" i="11"/>
  <c r="G462" i="11"/>
  <c r="G463" i="11"/>
  <c r="G464" i="11"/>
  <c r="G465" i="11"/>
  <c r="G466" i="11"/>
  <c r="G467" i="11"/>
  <c r="G468" i="11"/>
  <c r="G469" i="11"/>
  <c r="G470" i="11"/>
  <c r="G471" i="11"/>
  <c r="G472" i="11"/>
  <c r="G473" i="11"/>
  <c r="G474" i="11"/>
  <c r="G475" i="11"/>
  <c r="G476" i="11"/>
  <c r="G477" i="11"/>
  <c r="G478" i="11"/>
  <c r="G479" i="11"/>
  <c r="G480" i="11"/>
  <c r="G481" i="11"/>
  <c r="G482" i="11"/>
  <c r="G483" i="11"/>
  <c r="G484" i="11"/>
  <c r="G485" i="11"/>
  <c r="G486" i="11"/>
  <c r="G487" i="11"/>
  <c r="G488" i="11"/>
  <c r="G489" i="11"/>
  <c r="G490" i="11"/>
  <c r="G491" i="11"/>
  <c r="G492" i="11"/>
  <c r="G493" i="11"/>
  <c r="G494" i="11"/>
  <c r="G495" i="11"/>
  <c r="G496" i="11"/>
  <c r="G497" i="11"/>
  <c r="G498" i="11"/>
  <c r="G499" i="11"/>
  <c r="G500" i="11"/>
  <c r="G501" i="11"/>
  <c r="G502" i="11"/>
  <c r="G503" i="11"/>
  <c r="G504" i="11"/>
  <c r="G505" i="11"/>
  <c r="G506" i="11"/>
  <c r="G507" i="11"/>
  <c r="G508" i="11"/>
  <c r="G509" i="11"/>
  <c r="G510" i="11"/>
  <c r="G511" i="11"/>
  <c r="G512" i="11"/>
  <c r="G513" i="11"/>
  <c r="G514" i="11"/>
  <c r="G515" i="11"/>
  <c r="G516" i="11"/>
  <c r="G517" i="11"/>
  <c r="G518" i="11"/>
  <c r="G519" i="11"/>
  <c r="G520" i="11"/>
  <c r="G521" i="11"/>
  <c r="G522" i="11"/>
  <c r="G523" i="11"/>
  <c r="G524" i="11"/>
  <c r="G525" i="11"/>
  <c r="G526" i="11"/>
  <c r="G527" i="11"/>
  <c r="G528" i="11"/>
  <c r="G529" i="11"/>
  <c r="G530" i="11"/>
  <c r="G531" i="11"/>
  <c r="G532" i="11"/>
  <c r="G533" i="11"/>
  <c r="G534" i="11"/>
  <c r="G535" i="11"/>
  <c r="G536" i="11"/>
  <c r="G537" i="11"/>
  <c r="G538" i="11"/>
  <c r="G539" i="11"/>
  <c r="G540" i="11"/>
  <c r="G541" i="11"/>
  <c r="G542" i="11"/>
  <c r="G543" i="11"/>
  <c r="G544" i="11"/>
  <c r="G545" i="11"/>
  <c r="G546" i="11"/>
  <c r="G547" i="11"/>
  <c r="G548" i="11"/>
  <c r="G549" i="11"/>
  <c r="G550" i="11"/>
  <c r="G551" i="11"/>
  <c r="G552" i="11"/>
  <c r="G553" i="11"/>
  <c r="G554" i="11"/>
  <c r="G555" i="11"/>
  <c r="G556" i="11"/>
  <c r="G557" i="11"/>
  <c r="G558" i="11"/>
  <c r="G559" i="11"/>
  <c r="G560" i="11"/>
  <c r="G561" i="11"/>
  <c r="G562" i="11"/>
  <c r="G563" i="11"/>
  <c r="G564" i="11"/>
  <c r="G565" i="11"/>
  <c r="G566" i="11"/>
  <c r="G567" i="11"/>
  <c r="G568" i="11"/>
  <c r="G569" i="11"/>
  <c r="G570" i="11"/>
  <c r="G571" i="11"/>
  <c r="G572" i="11"/>
  <c r="G573" i="11"/>
  <c r="G574" i="11"/>
  <c r="G575" i="11"/>
  <c r="G576" i="11"/>
  <c r="G577" i="11"/>
  <c r="G578" i="11"/>
  <c r="G579" i="11"/>
  <c r="G580" i="11"/>
  <c r="G581" i="11"/>
  <c r="G582" i="11"/>
  <c r="G583" i="11"/>
  <c r="G584" i="11"/>
  <c r="G585" i="11"/>
  <c r="G586" i="11"/>
  <c r="G587" i="11"/>
  <c r="G11" i="11"/>
  <c r="G12" i="48"/>
  <c r="G13" i="48"/>
  <c r="G14" i="48"/>
  <c r="G15" i="48"/>
  <c r="G16" i="48"/>
  <c r="G17" i="48"/>
  <c r="G18" i="48"/>
  <c r="G19" i="48"/>
  <c r="G20" i="48"/>
  <c r="G21" i="48"/>
  <c r="G22" i="48"/>
  <c r="G23" i="48"/>
  <c r="G24" i="48"/>
  <c r="G25" i="48"/>
  <c r="G26" i="48"/>
  <c r="G27" i="48"/>
  <c r="G28" i="48"/>
  <c r="G29" i="48"/>
  <c r="G30" i="48"/>
  <c r="G31" i="48"/>
  <c r="G32" i="48"/>
  <c r="G33" i="48"/>
  <c r="G34" i="48"/>
  <c r="G35" i="48"/>
  <c r="G36" i="48"/>
  <c r="G37" i="48"/>
  <c r="G38" i="48"/>
  <c r="G39" i="48"/>
  <c r="G40" i="48"/>
  <c r="G41" i="48"/>
  <c r="G42" i="48"/>
  <c r="G43" i="48"/>
  <c r="G44" i="48"/>
  <c r="G45" i="48"/>
  <c r="G46" i="48"/>
  <c r="G47" i="48"/>
  <c r="G48" i="48"/>
  <c r="G49" i="48"/>
  <c r="G50" i="48"/>
  <c r="G51" i="48"/>
  <c r="G52" i="48"/>
  <c r="G53" i="48"/>
  <c r="G54" i="48"/>
  <c r="G55" i="48"/>
  <c r="G56" i="48"/>
  <c r="G57" i="48"/>
  <c r="G58" i="48"/>
  <c r="G59" i="48"/>
  <c r="G60" i="48"/>
  <c r="G61" i="48"/>
  <c r="G62" i="48"/>
  <c r="G63" i="48"/>
  <c r="G64" i="48"/>
  <c r="G65" i="48"/>
  <c r="G66" i="48"/>
  <c r="G67" i="48"/>
  <c r="G68" i="48"/>
  <c r="G69" i="48"/>
  <c r="G70" i="48"/>
  <c r="G71" i="48"/>
  <c r="G72" i="48"/>
  <c r="G73" i="48"/>
  <c r="G74" i="48"/>
  <c r="G75" i="48"/>
  <c r="G76" i="48"/>
  <c r="G77" i="48"/>
  <c r="G78" i="48"/>
  <c r="G79" i="48"/>
  <c r="G80" i="48"/>
  <c r="G81" i="48"/>
  <c r="G82" i="48"/>
  <c r="G83" i="48"/>
  <c r="G84" i="48"/>
  <c r="G85" i="48"/>
  <c r="G86" i="48"/>
  <c r="G87" i="48"/>
  <c r="G88" i="48"/>
  <c r="G89" i="48"/>
  <c r="G90" i="48"/>
  <c r="G91" i="48"/>
  <c r="G92" i="48"/>
  <c r="G93" i="48"/>
  <c r="G94" i="48"/>
  <c r="G95" i="48"/>
  <c r="G96" i="48"/>
  <c r="G97" i="48"/>
  <c r="G98" i="48"/>
  <c r="G99" i="48"/>
  <c r="G100" i="48"/>
  <c r="G101" i="48"/>
  <c r="G102" i="48"/>
  <c r="G103" i="48"/>
  <c r="G104" i="48"/>
  <c r="G105" i="48"/>
  <c r="G106" i="48"/>
  <c r="G107" i="48"/>
  <c r="G108" i="48"/>
  <c r="G109" i="48"/>
  <c r="G110" i="48"/>
  <c r="G111" i="48"/>
  <c r="G112" i="48"/>
  <c r="G113" i="48"/>
  <c r="G114" i="48"/>
  <c r="G115" i="48"/>
  <c r="G116" i="48"/>
  <c r="G117" i="48"/>
  <c r="G118" i="48"/>
  <c r="G119" i="48"/>
  <c r="G120" i="48"/>
  <c r="G121" i="48"/>
  <c r="G122" i="48"/>
  <c r="G123" i="48"/>
  <c r="G124" i="48"/>
  <c r="G125" i="48"/>
  <c r="G126" i="48"/>
  <c r="G127" i="48"/>
  <c r="G128" i="48"/>
  <c r="G129" i="48"/>
  <c r="G130" i="48"/>
  <c r="G131" i="48"/>
  <c r="G132" i="48"/>
  <c r="G133" i="48"/>
  <c r="G134" i="48"/>
  <c r="G135" i="48"/>
  <c r="G136" i="48"/>
  <c r="G137" i="48"/>
  <c r="G138" i="48"/>
  <c r="G139" i="48"/>
  <c r="G140" i="48"/>
  <c r="G141" i="48"/>
  <c r="G142" i="48"/>
  <c r="G143" i="48"/>
  <c r="G144" i="48"/>
  <c r="G145" i="48"/>
  <c r="G146" i="48"/>
  <c r="G147" i="48"/>
  <c r="G148" i="48"/>
  <c r="G149" i="48"/>
  <c r="G150" i="48"/>
  <c r="G151" i="48"/>
  <c r="G152" i="48"/>
  <c r="G153" i="48"/>
  <c r="G154" i="48"/>
  <c r="G155" i="48"/>
  <c r="G156" i="48"/>
  <c r="G157" i="48"/>
  <c r="G158" i="48"/>
  <c r="G159" i="48"/>
  <c r="G160" i="48"/>
  <c r="G161" i="48"/>
  <c r="G162" i="48"/>
  <c r="G163" i="48"/>
  <c r="G164" i="48"/>
  <c r="G165" i="48"/>
  <c r="G166" i="48"/>
  <c r="G167" i="48"/>
  <c r="G168" i="48"/>
  <c r="G169" i="48"/>
  <c r="G170" i="48"/>
  <c r="G171" i="48"/>
  <c r="G172" i="48"/>
  <c r="G173" i="48"/>
  <c r="G174" i="48"/>
  <c r="G175" i="48"/>
  <c r="G176" i="48"/>
  <c r="G177" i="48"/>
  <c r="G178" i="48"/>
  <c r="G179" i="48"/>
  <c r="G180" i="48"/>
  <c r="G181" i="48"/>
  <c r="G182" i="48"/>
  <c r="G183" i="48"/>
  <c r="G184" i="48"/>
  <c r="G185" i="48"/>
  <c r="G186" i="48"/>
  <c r="G187" i="48"/>
  <c r="G188" i="48"/>
  <c r="G189" i="48"/>
  <c r="G190" i="48"/>
  <c r="G191" i="48"/>
  <c r="G192" i="48"/>
  <c r="G193" i="48"/>
  <c r="G194" i="48"/>
  <c r="G195" i="48"/>
  <c r="G196" i="48"/>
  <c r="G197" i="48"/>
  <c r="G198" i="48"/>
  <c r="G199" i="48"/>
  <c r="G200" i="48"/>
  <c r="G201" i="48"/>
  <c r="G202" i="48"/>
  <c r="G203" i="48"/>
  <c r="G204" i="48"/>
  <c r="G205" i="48"/>
  <c r="G206" i="48"/>
  <c r="G207" i="48"/>
  <c r="G208" i="48"/>
  <c r="G209" i="48"/>
  <c r="G210" i="48"/>
  <c r="G211" i="48"/>
  <c r="G212" i="48"/>
  <c r="G213" i="48"/>
  <c r="G214" i="48"/>
  <c r="G215" i="48"/>
  <c r="G216" i="48"/>
  <c r="G217" i="48"/>
  <c r="G218" i="48"/>
  <c r="G219" i="48"/>
  <c r="G220" i="48"/>
  <c r="G221" i="48"/>
  <c r="G222" i="48"/>
  <c r="G223" i="48"/>
  <c r="G224" i="48"/>
  <c r="G225" i="48"/>
  <c r="G226" i="48"/>
  <c r="G227" i="48"/>
  <c r="G228" i="48"/>
  <c r="G229" i="48"/>
  <c r="G230" i="48"/>
  <c r="G231" i="48"/>
  <c r="G232" i="48"/>
  <c r="G233" i="48"/>
  <c r="G234" i="48"/>
  <c r="G235" i="48"/>
  <c r="G236" i="48"/>
  <c r="G237" i="48"/>
  <c r="G238" i="48"/>
  <c r="G239" i="48"/>
  <c r="G240" i="48"/>
  <c r="G241" i="48"/>
  <c r="G242" i="48"/>
  <c r="G243" i="48"/>
  <c r="G244" i="48"/>
  <c r="G245" i="48"/>
  <c r="G246" i="48"/>
  <c r="G247" i="48"/>
  <c r="G248" i="48"/>
  <c r="G249" i="48"/>
  <c r="G250" i="48"/>
  <c r="G251" i="48"/>
  <c r="G252" i="48"/>
  <c r="G253" i="48"/>
  <c r="G254" i="48"/>
  <c r="G255" i="48"/>
  <c r="G256" i="48"/>
  <c r="G257" i="48"/>
  <c r="G258" i="48"/>
  <c r="G259" i="48"/>
  <c r="G260" i="48"/>
  <c r="G261" i="48"/>
  <c r="G262" i="48"/>
  <c r="G263" i="48"/>
  <c r="G264" i="48"/>
  <c r="G265" i="48"/>
  <c r="G266" i="48"/>
  <c r="G267" i="48"/>
  <c r="G268" i="48"/>
  <c r="G269" i="48"/>
  <c r="G270" i="48"/>
  <c r="G271" i="48"/>
  <c r="G272" i="48"/>
  <c r="G273" i="48"/>
  <c r="G274" i="48"/>
  <c r="G275" i="48"/>
  <c r="G276" i="48"/>
  <c r="G277" i="48"/>
  <c r="G278" i="48"/>
  <c r="G279" i="48"/>
  <c r="G280" i="48"/>
  <c r="G281" i="48"/>
  <c r="G282" i="48"/>
  <c r="G283" i="48"/>
  <c r="G284" i="48"/>
  <c r="G285" i="48"/>
  <c r="G286" i="48"/>
  <c r="G287" i="48"/>
  <c r="G288" i="48"/>
  <c r="G289" i="48"/>
  <c r="G290" i="48"/>
  <c r="G291" i="48"/>
  <c r="G292" i="48"/>
  <c r="G293" i="48"/>
  <c r="G294" i="48"/>
  <c r="G295" i="48"/>
  <c r="G296" i="48"/>
  <c r="G297" i="48"/>
  <c r="G298" i="48"/>
  <c r="G299" i="48"/>
  <c r="G300" i="48"/>
  <c r="G301" i="48"/>
  <c r="G302" i="48"/>
  <c r="G303" i="48"/>
  <c r="G304" i="48"/>
  <c r="G305" i="48"/>
  <c r="G306" i="48"/>
  <c r="G307" i="48"/>
  <c r="G308" i="48"/>
  <c r="G309" i="48"/>
  <c r="G310" i="48"/>
  <c r="G311" i="48"/>
  <c r="G312" i="48"/>
  <c r="G313" i="48"/>
  <c r="G314" i="48"/>
  <c r="G315" i="48"/>
  <c r="G316" i="48"/>
  <c r="G317" i="48"/>
  <c r="G318" i="48"/>
  <c r="G319" i="48"/>
  <c r="G320" i="48"/>
  <c r="G321" i="48"/>
  <c r="G322" i="48"/>
  <c r="G323" i="48"/>
  <c r="G324" i="48"/>
  <c r="G325" i="48"/>
  <c r="G326" i="48"/>
  <c r="G327" i="48"/>
  <c r="G328" i="48"/>
  <c r="G329" i="48"/>
  <c r="G330" i="48"/>
  <c r="G331" i="48"/>
  <c r="G332" i="48"/>
  <c r="G333" i="48"/>
  <c r="G334" i="48"/>
  <c r="G335" i="48"/>
  <c r="G336" i="48"/>
  <c r="G337" i="48"/>
  <c r="G338" i="48"/>
  <c r="G339" i="48"/>
  <c r="G340" i="48"/>
  <c r="G341" i="48"/>
  <c r="G342" i="48"/>
  <c r="G343" i="48"/>
  <c r="G344" i="48"/>
  <c r="G345" i="48"/>
  <c r="G346" i="48"/>
  <c r="G347" i="48"/>
  <c r="G348" i="48"/>
  <c r="G349" i="48"/>
  <c r="G350" i="48"/>
  <c r="G351" i="48"/>
  <c r="G352" i="48"/>
  <c r="G353" i="48"/>
  <c r="G354" i="48"/>
  <c r="G355" i="48"/>
  <c r="G356" i="48"/>
  <c r="G357" i="48"/>
  <c r="G358" i="48"/>
  <c r="G359" i="48"/>
  <c r="G360" i="48"/>
  <c r="G361" i="48"/>
  <c r="G362" i="48"/>
  <c r="G363" i="48"/>
  <c r="G364" i="48"/>
  <c r="G365" i="48"/>
  <c r="G366" i="48"/>
  <c r="G367" i="48"/>
  <c r="G368" i="48"/>
  <c r="G369" i="48"/>
  <c r="G370" i="48"/>
  <c r="G371" i="48"/>
  <c r="G372" i="48"/>
  <c r="G373" i="48"/>
  <c r="G374" i="48"/>
  <c r="G375" i="48"/>
  <c r="G376" i="48"/>
  <c r="G377" i="48"/>
  <c r="G378" i="48"/>
  <c r="G379" i="48"/>
  <c r="G380" i="48"/>
  <c r="G381" i="48"/>
  <c r="G382" i="48"/>
  <c r="G383" i="48"/>
  <c r="G384" i="48"/>
  <c r="G385" i="48"/>
  <c r="G386" i="48"/>
  <c r="G387" i="48"/>
  <c r="G388" i="48"/>
  <c r="G389" i="48"/>
  <c r="G390" i="48"/>
  <c r="G391" i="48"/>
  <c r="G392" i="48"/>
  <c r="G393" i="48"/>
  <c r="G394" i="48"/>
  <c r="G395" i="48"/>
  <c r="G396" i="48"/>
  <c r="G397" i="48"/>
  <c r="G398" i="48"/>
  <c r="G399" i="48"/>
  <c r="G400" i="48"/>
  <c r="G401" i="48"/>
  <c r="G402" i="48"/>
  <c r="G403" i="48"/>
  <c r="G404" i="48"/>
  <c r="G405" i="48"/>
  <c r="G406" i="48"/>
  <c r="G407" i="48"/>
  <c r="G408" i="48"/>
  <c r="G409" i="48"/>
  <c r="G410" i="48"/>
  <c r="G411" i="48"/>
  <c r="G412" i="48"/>
  <c r="G413" i="48"/>
  <c r="G414" i="48"/>
  <c r="G415" i="48"/>
  <c r="G416" i="48"/>
  <c r="G417" i="48"/>
  <c r="G418" i="48"/>
  <c r="G419" i="48"/>
  <c r="G420" i="48"/>
  <c r="G421" i="48"/>
  <c r="G422" i="48"/>
  <c r="G423" i="48"/>
  <c r="G424" i="48"/>
  <c r="G425" i="48"/>
  <c r="G426" i="48"/>
  <c r="G427" i="48"/>
  <c r="G428" i="48"/>
  <c r="G429" i="48"/>
  <c r="G430" i="48"/>
  <c r="G431" i="48"/>
  <c r="G432" i="48"/>
  <c r="G433" i="48"/>
  <c r="G434" i="48"/>
  <c r="G435" i="48"/>
  <c r="G436" i="48"/>
  <c r="G437" i="48"/>
  <c r="G438" i="48"/>
  <c r="G439" i="48"/>
  <c r="G440" i="48"/>
  <c r="G441" i="48"/>
  <c r="G442" i="48"/>
  <c r="G443" i="48"/>
  <c r="G444" i="48"/>
  <c r="G445" i="48"/>
  <c r="G446" i="48"/>
  <c r="G447" i="48"/>
  <c r="G448" i="48"/>
  <c r="G449" i="48"/>
  <c r="G450" i="48"/>
  <c r="G451" i="48"/>
  <c r="G452" i="48"/>
  <c r="G453" i="48"/>
  <c r="G454" i="48"/>
  <c r="G455" i="48"/>
  <c r="G456" i="48"/>
  <c r="G457" i="48"/>
  <c r="G458" i="48"/>
  <c r="G459" i="48"/>
  <c r="G460" i="48"/>
  <c r="G461" i="48"/>
  <c r="G462" i="48"/>
  <c r="G463" i="48"/>
  <c r="G464" i="48"/>
  <c r="G465" i="48"/>
  <c r="G466" i="48"/>
  <c r="G467" i="48"/>
  <c r="G468" i="48"/>
  <c r="G469" i="48"/>
  <c r="G470" i="48"/>
  <c r="G471" i="48"/>
  <c r="G472" i="48"/>
  <c r="G473" i="48"/>
  <c r="G474" i="48"/>
  <c r="G475" i="48"/>
  <c r="G476" i="48"/>
  <c r="G477" i="48"/>
  <c r="G478" i="48"/>
  <c r="G479" i="48"/>
  <c r="G480" i="48"/>
  <c r="G481" i="48"/>
  <c r="G482" i="48"/>
  <c r="G483" i="48"/>
  <c r="G484" i="48"/>
  <c r="G485" i="48"/>
  <c r="G486" i="48"/>
  <c r="G487" i="48"/>
  <c r="G488" i="48"/>
  <c r="G489" i="48"/>
  <c r="G490" i="48"/>
  <c r="G491" i="48"/>
  <c r="G492" i="48"/>
  <c r="G493" i="48"/>
  <c r="G494" i="48"/>
  <c r="G495" i="48"/>
  <c r="G496" i="48"/>
  <c r="G497" i="48"/>
  <c r="G498" i="48"/>
  <c r="G499" i="48"/>
  <c r="G500" i="48"/>
  <c r="G501" i="48"/>
  <c r="G502" i="48"/>
  <c r="G503" i="48"/>
  <c r="G504" i="48"/>
  <c r="G505" i="48"/>
  <c r="G506" i="48"/>
  <c r="G507" i="48"/>
  <c r="G508" i="48"/>
  <c r="G509" i="48"/>
  <c r="G510" i="48"/>
  <c r="G511" i="48"/>
  <c r="G512" i="48"/>
  <c r="G513" i="48"/>
  <c r="G514" i="48"/>
  <c r="G515" i="48"/>
  <c r="G516" i="48"/>
  <c r="G517" i="48"/>
  <c r="G518" i="48"/>
  <c r="G519" i="48"/>
  <c r="G520" i="48"/>
  <c r="G521" i="48"/>
  <c r="G522" i="48"/>
  <c r="G523" i="48"/>
  <c r="G524" i="48"/>
  <c r="G525" i="48"/>
  <c r="G526" i="48"/>
  <c r="G527" i="48"/>
  <c r="G528" i="48"/>
  <c r="G529" i="48"/>
  <c r="G530" i="48"/>
  <c r="G531" i="48"/>
  <c r="G532" i="48"/>
  <c r="G533" i="48"/>
  <c r="G534" i="48"/>
  <c r="G535" i="48"/>
  <c r="G536" i="48"/>
  <c r="G537" i="48"/>
  <c r="G538" i="48"/>
  <c r="G539" i="48"/>
  <c r="G540" i="48"/>
  <c r="G541" i="48"/>
  <c r="G542" i="48"/>
  <c r="G543" i="48"/>
  <c r="G544" i="48"/>
  <c r="G545" i="48"/>
  <c r="G546" i="48"/>
  <c r="G547" i="48"/>
  <c r="G548" i="48"/>
  <c r="G549" i="48"/>
  <c r="G550" i="48"/>
  <c r="G551" i="48"/>
  <c r="G552" i="48"/>
  <c r="G553" i="48"/>
  <c r="G554" i="48"/>
  <c r="G555" i="48"/>
  <c r="G556" i="48"/>
  <c r="G557" i="48"/>
  <c r="G558" i="48"/>
  <c r="G559" i="48"/>
  <c r="G560" i="48"/>
  <c r="G561" i="48"/>
  <c r="G562" i="48"/>
  <c r="G563" i="48"/>
  <c r="G564" i="48"/>
  <c r="G565" i="48"/>
  <c r="G566" i="48"/>
  <c r="G567" i="48"/>
  <c r="G568" i="48"/>
  <c r="G569" i="48"/>
  <c r="G570" i="48"/>
  <c r="G571" i="48"/>
  <c r="G572" i="48"/>
  <c r="G573" i="48"/>
  <c r="G574" i="48"/>
  <c r="G575" i="48"/>
  <c r="G576" i="48"/>
  <c r="G577" i="48"/>
  <c r="G578" i="48"/>
  <c r="G579" i="48"/>
  <c r="G580" i="48"/>
  <c r="G581" i="48"/>
  <c r="G582" i="48"/>
  <c r="G583" i="48"/>
  <c r="G584" i="48"/>
  <c r="G585" i="48"/>
  <c r="G586" i="48"/>
  <c r="G587" i="48"/>
  <c r="G11" i="48"/>
  <c r="G12" i="47"/>
  <c r="G13" i="47"/>
  <c r="G14" i="47"/>
  <c r="G15" i="47"/>
  <c r="G16" i="47"/>
  <c r="G17" i="47"/>
  <c r="G18" i="47"/>
  <c r="G19" i="47"/>
  <c r="G20" i="47"/>
  <c r="G21" i="47"/>
  <c r="G22" i="47"/>
  <c r="G23" i="47"/>
  <c r="G24" i="47"/>
  <c r="G25" i="47"/>
  <c r="G26" i="47"/>
  <c r="G27" i="47"/>
  <c r="G28" i="47"/>
  <c r="G29" i="47"/>
  <c r="G30" i="47"/>
  <c r="G31" i="47"/>
  <c r="G32" i="47"/>
  <c r="G33" i="47"/>
  <c r="G34" i="47"/>
  <c r="G11" i="47"/>
  <c r="G12" i="46"/>
  <c r="G13" i="46"/>
  <c r="G14" i="46"/>
  <c r="G15" i="46"/>
  <c r="G16" i="46"/>
  <c r="G17" i="46"/>
  <c r="G18" i="46"/>
  <c r="G19" i="46"/>
  <c r="G20" i="46"/>
  <c r="G21" i="46"/>
  <c r="G22" i="46"/>
  <c r="G23" i="46"/>
  <c r="G24" i="46"/>
  <c r="G25" i="46"/>
  <c r="G26" i="46"/>
  <c r="G27" i="46"/>
  <c r="G28" i="46"/>
  <c r="G29" i="46"/>
  <c r="G30" i="46"/>
  <c r="G31" i="46"/>
  <c r="G32" i="46"/>
  <c r="G33" i="46"/>
  <c r="G34" i="46"/>
  <c r="G35" i="46"/>
  <c r="G36" i="46"/>
  <c r="G37" i="46"/>
  <c r="G38" i="46"/>
  <c r="G39" i="46"/>
  <c r="G40" i="46"/>
  <c r="G41" i="46"/>
  <c r="G42" i="46"/>
  <c r="G43" i="46"/>
  <c r="G44" i="46"/>
  <c r="G45" i="46"/>
  <c r="G46" i="46"/>
  <c r="G47" i="46"/>
  <c r="G48" i="46"/>
  <c r="G49" i="46"/>
  <c r="G50" i="46"/>
  <c r="G51" i="46"/>
  <c r="G52" i="46"/>
  <c r="G53" i="46"/>
  <c r="G54" i="46"/>
  <c r="G55" i="46"/>
  <c r="G56" i="46"/>
  <c r="G57" i="46"/>
  <c r="G58" i="46"/>
  <c r="G59" i="46"/>
  <c r="G60" i="46"/>
  <c r="G61" i="46"/>
  <c r="G62" i="46"/>
  <c r="G63" i="46"/>
  <c r="G64" i="46"/>
  <c r="G65" i="46"/>
  <c r="G66" i="46"/>
  <c r="G67" i="46"/>
  <c r="G68" i="46"/>
  <c r="G69" i="46"/>
  <c r="G70" i="46"/>
  <c r="G71" i="46"/>
  <c r="G72" i="46"/>
  <c r="G73" i="46"/>
  <c r="G74" i="46"/>
  <c r="G75" i="46"/>
  <c r="G76" i="46"/>
  <c r="G77" i="46"/>
  <c r="G78" i="46"/>
  <c r="G79" i="46"/>
  <c r="G80" i="46"/>
  <c r="G81" i="46"/>
  <c r="G82" i="46"/>
  <c r="G83" i="46"/>
  <c r="G84" i="46"/>
  <c r="G85" i="46"/>
  <c r="G86" i="46"/>
  <c r="G87" i="46"/>
  <c r="G88" i="46"/>
  <c r="G89" i="46"/>
  <c r="G90" i="46"/>
  <c r="G91" i="46"/>
  <c r="G92" i="46"/>
  <c r="G93" i="46"/>
  <c r="G94" i="46"/>
  <c r="G95" i="46"/>
  <c r="G96" i="46"/>
  <c r="G97" i="46"/>
  <c r="G98" i="46"/>
  <c r="G99" i="46"/>
  <c r="G100" i="46"/>
  <c r="G101" i="46"/>
  <c r="G102" i="46"/>
  <c r="G103" i="46"/>
  <c r="G104" i="46"/>
  <c r="G105" i="46"/>
  <c r="G106" i="46"/>
  <c r="G107" i="46"/>
  <c r="G108" i="46"/>
  <c r="G109" i="46"/>
  <c r="G110" i="46"/>
  <c r="G111" i="46"/>
  <c r="G112" i="46"/>
  <c r="G113" i="46"/>
  <c r="G114" i="46"/>
  <c r="G115" i="46"/>
  <c r="G116" i="46"/>
  <c r="G117" i="46"/>
  <c r="G118" i="46"/>
  <c r="G119" i="46"/>
  <c r="G120" i="46"/>
  <c r="G121" i="46"/>
  <c r="G122" i="46"/>
  <c r="G123" i="46"/>
  <c r="G124" i="46"/>
  <c r="G125" i="46"/>
  <c r="G126" i="46"/>
  <c r="G127" i="46"/>
  <c r="G128" i="46"/>
  <c r="G129" i="46"/>
  <c r="G130" i="46"/>
  <c r="G131" i="46"/>
  <c r="G132" i="46"/>
  <c r="G133" i="46"/>
  <c r="G134" i="46"/>
  <c r="G135" i="46"/>
  <c r="G136" i="46"/>
  <c r="G137" i="46"/>
  <c r="G138" i="46"/>
  <c r="G139" i="46"/>
  <c r="G140" i="46"/>
  <c r="G141" i="46"/>
  <c r="G142" i="46"/>
  <c r="G143" i="46"/>
  <c r="G144" i="46"/>
  <c r="G145" i="46"/>
  <c r="G146" i="46"/>
  <c r="G147" i="46"/>
  <c r="G148" i="46"/>
  <c r="G149" i="46"/>
  <c r="G150" i="46"/>
  <c r="G151" i="46"/>
  <c r="G152" i="46"/>
  <c r="G153" i="46"/>
  <c r="G154" i="46"/>
  <c r="G155" i="46"/>
  <c r="G156" i="46"/>
  <c r="G157" i="46"/>
  <c r="G158" i="46"/>
  <c r="G159" i="46"/>
  <c r="G160" i="46"/>
  <c r="G161" i="46"/>
  <c r="G162" i="46"/>
  <c r="G163" i="46"/>
  <c r="G164" i="46"/>
  <c r="G165" i="46"/>
  <c r="G166" i="46"/>
  <c r="G167" i="46"/>
  <c r="G168" i="46"/>
  <c r="G169" i="46"/>
  <c r="G170" i="46"/>
  <c r="G171" i="46"/>
  <c r="G172" i="46"/>
  <c r="G173" i="46"/>
  <c r="G174" i="46"/>
  <c r="G175" i="46"/>
  <c r="G176" i="46"/>
  <c r="G177" i="46"/>
  <c r="G178" i="46"/>
  <c r="G179" i="46"/>
  <c r="G180" i="46"/>
  <c r="G181" i="46"/>
  <c r="G182" i="46"/>
  <c r="G183" i="46"/>
  <c r="G184" i="46"/>
  <c r="G185" i="46"/>
  <c r="G186" i="46"/>
  <c r="G187" i="46"/>
  <c r="G188" i="46"/>
  <c r="G189" i="46"/>
  <c r="G190" i="46"/>
  <c r="G191" i="46"/>
  <c r="G192" i="46"/>
  <c r="G193" i="46"/>
  <c r="G194" i="46"/>
  <c r="G195" i="46"/>
  <c r="G196" i="46"/>
  <c r="G197" i="46"/>
  <c r="G198" i="46"/>
  <c r="G199" i="46"/>
  <c r="G200" i="46"/>
  <c r="G201" i="46"/>
  <c r="G202" i="46"/>
  <c r="G203" i="46"/>
  <c r="G204" i="46"/>
  <c r="G205" i="46"/>
  <c r="G206" i="46"/>
  <c r="G207" i="46"/>
  <c r="G208" i="46"/>
  <c r="G209" i="46"/>
  <c r="G210" i="46"/>
  <c r="G211" i="46"/>
  <c r="G212" i="46"/>
  <c r="G213" i="46"/>
  <c r="G214" i="46"/>
  <c r="G215" i="46"/>
  <c r="G216" i="46"/>
  <c r="G217" i="46"/>
  <c r="G218" i="46"/>
  <c r="G219" i="46"/>
  <c r="G220" i="46"/>
  <c r="G221" i="46"/>
  <c r="G222" i="46"/>
  <c r="G223" i="46"/>
  <c r="G224" i="46"/>
  <c r="G225" i="46"/>
  <c r="G226" i="46"/>
  <c r="G227" i="46"/>
  <c r="G228" i="46"/>
  <c r="G229" i="46"/>
  <c r="G230" i="46"/>
  <c r="G231" i="46"/>
  <c r="G232" i="46"/>
  <c r="G233" i="46"/>
  <c r="G234" i="46"/>
  <c r="G235" i="46"/>
  <c r="G236" i="46"/>
  <c r="G237" i="46"/>
  <c r="G238" i="46"/>
  <c r="G239" i="46"/>
  <c r="G240" i="46"/>
  <c r="G241" i="46"/>
  <c r="G242" i="46"/>
  <c r="G243" i="46"/>
  <c r="G244" i="46"/>
  <c r="G245" i="46"/>
  <c r="G246" i="46"/>
  <c r="G247" i="46"/>
  <c r="G248" i="46"/>
  <c r="G249" i="46"/>
  <c r="G250" i="46"/>
  <c r="G251" i="46"/>
  <c r="G252" i="46"/>
  <c r="G253" i="46"/>
  <c r="G254" i="46"/>
  <c r="G255" i="46"/>
  <c r="G256" i="46"/>
  <c r="G257" i="46"/>
  <c r="G258" i="46"/>
  <c r="G259" i="46"/>
  <c r="G260" i="46"/>
  <c r="G261" i="46"/>
  <c r="G262" i="46"/>
  <c r="G263" i="46"/>
  <c r="G264" i="46"/>
  <c r="G265" i="46"/>
  <c r="G266" i="46"/>
  <c r="G267" i="46"/>
  <c r="G268" i="46"/>
  <c r="G269" i="46"/>
  <c r="G270" i="46"/>
  <c r="G271" i="46"/>
  <c r="G272" i="46"/>
  <c r="G273" i="46"/>
  <c r="G274" i="46"/>
  <c r="G275" i="46"/>
  <c r="G276" i="46"/>
  <c r="G277" i="46"/>
  <c r="G278" i="46"/>
  <c r="G279" i="46"/>
  <c r="G280" i="46"/>
  <c r="G281" i="46"/>
  <c r="G282" i="46"/>
  <c r="G283" i="46"/>
  <c r="G284" i="46"/>
  <c r="G285" i="46"/>
  <c r="G286" i="46"/>
  <c r="G287" i="46"/>
  <c r="G288" i="46"/>
  <c r="G289" i="46"/>
  <c r="G290" i="46"/>
  <c r="G291" i="46"/>
  <c r="G292" i="46"/>
  <c r="G293" i="46"/>
  <c r="G294" i="46"/>
  <c r="G295" i="46"/>
  <c r="G296" i="46"/>
  <c r="G297" i="46"/>
  <c r="G298" i="46"/>
  <c r="G299" i="46"/>
  <c r="G300" i="46"/>
  <c r="G301" i="46"/>
  <c r="G302" i="46"/>
  <c r="G303" i="46"/>
  <c r="G304" i="46"/>
  <c r="G305" i="46"/>
  <c r="G306" i="46"/>
  <c r="G307" i="46"/>
  <c r="G308" i="46"/>
  <c r="G309" i="46"/>
  <c r="G310" i="46"/>
  <c r="G311" i="46"/>
  <c r="G312" i="46"/>
  <c r="G313" i="46"/>
  <c r="G314" i="46"/>
  <c r="G315" i="46"/>
  <c r="G316" i="46"/>
  <c r="G317" i="46"/>
  <c r="G318" i="46"/>
  <c r="G319" i="46"/>
  <c r="G320" i="46"/>
  <c r="G321" i="46"/>
  <c r="G322" i="46"/>
  <c r="G323" i="46"/>
  <c r="G324" i="46"/>
  <c r="G325" i="46"/>
  <c r="G326" i="46"/>
  <c r="G327" i="46"/>
  <c r="G328" i="46"/>
  <c r="G329" i="46"/>
  <c r="G330" i="46"/>
  <c r="G331" i="46"/>
  <c r="G332" i="46"/>
  <c r="G333" i="46"/>
  <c r="G334" i="46"/>
  <c r="G335" i="46"/>
  <c r="G336" i="46"/>
  <c r="G337" i="46"/>
  <c r="G338" i="46"/>
  <c r="G339" i="46"/>
  <c r="G340" i="46"/>
  <c r="G341" i="46"/>
  <c r="G342" i="46"/>
  <c r="G343" i="46"/>
  <c r="G344" i="46"/>
  <c r="G345" i="46"/>
  <c r="G346" i="46"/>
  <c r="G347" i="46"/>
  <c r="G348" i="46"/>
  <c r="G349" i="46"/>
  <c r="G350" i="46"/>
  <c r="G351" i="46"/>
  <c r="G352" i="46"/>
  <c r="G353" i="46"/>
  <c r="G354" i="46"/>
  <c r="G355" i="46"/>
  <c r="G356" i="46"/>
  <c r="G357" i="46"/>
  <c r="G358" i="46"/>
  <c r="G359" i="46"/>
  <c r="G360" i="46"/>
  <c r="G361" i="46"/>
  <c r="G362" i="46"/>
  <c r="G363" i="46"/>
  <c r="G364" i="46"/>
  <c r="G365" i="46"/>
  <c r="G366" i="46"/>
  <c r="G367" i="46"/>
  <c r="G368" i="46"/>
  <c r="G369" i="46"/>
  <c r="G370" i="46"/>
  <c r="G371" i="46"/>
  <c r="G372" i="46"/>
  <c r="G373" i="46"/>
  <c r="G374" i="46"/>
  <c r="G375" i="46"/>
  <c r="G376" i="46"/>
  <c r="G377" i="46"/>
  <c r="G378" i="46"/>
  <c r="G379" i="46"/>
  <c r="G380" i="46"/>
  <c r="G381" i="46"/>
  <c r="G382" i="46"/>
  <c r="G383" i="46"/>
  <c r="G384" i="46"/>
  <c r="G385" i="46"/>
  <c r="G386" i="46"/>
  <c r="G387" i="46"/>
  <c r="G388" i="46"/>
  <c r="G389" i="46"/>
  <c r="G390" i="46"/>
  <c r="G391" i="46"/>
  <c r="G392" i="46"/>
  <c r="G393" i="46"/>
  <c r="G394" i="46"/>
  <c r="G395" i="46"/>
  <c r="G396" i="46"/>
  <c r="G397" i="46"/>
  <c r="G398" i="46"/>
  <c r="G399" i="46"/>
  <c r="G400" i="46"/>
  <c r="G401" i="46"/>
  <c r="G402" i="46"/>
  <c r="G403" i="46"/>
  <c r="G404" i="46"/>
  <c r="G405" i="46"/>
  <c r="G406" i="46"/>
  <c r="G407" i="46"/>
  <c r="G408" i="46"/>
  <c r="G409" i="46"/>
  <c r="G410" i="46"/>
  <c r="G411" i="46"/>
  <c r="G412" i="46"/>
  <c r="G413" i="46"/>
  <c r="G414" i="46"/>
  <c r="G415" i="46"/>
  <c r="G416" i="46"/>
  <c r="G417" i="46"/>
  <c r="G418" i="46"/>
  <c r="G419" i="46"/>
  <c r="G420" i="46"/>
  <c r="G421" i="46"/>
  <c r="G422" i="46"/>
  <c r="G423" i="46"/>
  <c r="G424" i="46"/>
  <c r="G425" i="46"/>
  <c r="G426" i="46"/>
  <c r="G427" i="46"/>
  <c r="G428" i="46"/>
  <c r="G429" i="46"/>
  <c r="G430" i="46"/>
  <c r="G431" i="46"/>
  <c r="G432" i="46"/>
  <c r="G433" i="46"/>
  <c r="G434" i="46"/>
  <c r="G435" i="46"/>
  <c r="G436" i="46"/>
  <c r="G437" i="46"/>
  <c r="G438" i="46"/>
  <c r="G439" i="46"/>
  <c r="G440" i="46"/>
  <c r="G441" i="46"/>
  <c r="G442" i="46"/>
  <c r="G443" i="46"/>
  <c r="G444" i="46"/>
  <c r="G445" i="46"/>
  <c r="G446" i="46"/>
  <c r="G447" i="46"/>
  <c r="G448" i="46"/>
  <c r="G449" i="46"/>
  <c r="G450" i="46"/>
  <c r="G451" i="46"/>
  <c r="G452" i="46"/>
  <c r="G453" i="46"/>
  <c r="G454" i="46"/>
  <c r="G455" i="46"/>
  <c r="G456" i="46"/>
  <c r="G457" i="46"/>
  <c r="G458" i="46"/>
  <c r="G459" i="46"/>
  <c r="G460" i="46"/>
  <c r="G461" i="46"/>
  <c r="G462" i="46"/>
  <c r="G463" i="46"/>
  <c r="G464" i="46"/>
  <c r="G465" i="46"/>
  <c r="G466" i="46"/>
  <c r="G467" i="46"/>
  <c r="G468" i="46"/>
  <c r="G469" i="46"/>
  <c r="G470" i="46"/>
  <c r="G471" i="46"/>
  <c r="G472" i="46"/>
  <c r="G473" i="46"/>
  <c r="G474" i="46"/>
  <c r="G475" i="46"/>
  <c r="G476" i="46"/>
  <c r="G477" i="46"/>
  <c r="G478" i="46"/>
  <c r="G479" i="46"/>
  <c r="G480" i="46"/>
  <c r="G481" i="46"/>
  <c r="G482" i="46"/>
  <c r="G483" i="46"/>
  <c r="G484" i="46"/>
  <c r="G485" i="46"/>
  <c r="G486" i="46"/>
  <c r="G487" i="46"/>
  <c r="G488" i="46"/>
  <c r="G489" i="46"/>
  <c r="G490" i="46"/>
  <c r="G491" i="46"/>
  <c r="G492" i="46"/>
  <c r="G493" i="46"/>
  <c r="G494" i="46"/>
  <c r="G495" i="46"/>
  <c r="G496" i="46"/>
  <c r="G497" i="46"/>
  <c r="G498" i="46"/>
  <c r="G499" i="46"/>
  <c r="G500" i="46"/>
  <c r="G501" i="46"/>
  <c r="G502" i="46"/>
  <c r="G503" i="46"/>
  <c r="G504" i="46"/>
  <c r="G505" i="46"/>
  <c r="G506" i="46"/>
  <c r="G507" i="46"/>
  <c r="G508" i="46"/>
  <c r="G509" i="46"/>
  <c r="G510" i="46"/>
  <c r="G511" i="46"/>
  <c r="G512" i="46"/>
  <c r="G513" i="46"/>
  <c r="G514" i="46"/>
  <c r="G515" i="46"/>
  <c r="G516" i="46"/>
  <c r="G517" i="46"/>
  <c r="G518" i="46"/>
  <c r="G519" i="46"/>
  <c r="G520" i="46"/>
  <c r="G521" i="46"/>
  <c r="G522" i="46"/>
  <c r="G523" i="46"/>
  <c r="G524" i="46"/>
  <c r="G525" i="46"/>
  <c r="G526" i="46"/>
  <c r="G527" i="46"/>
  <c r="G528" i="46"/>
  <c r="G529" i="46"/>
  <c r="G530" i="46"/>
  <c r="G531" i="46"/>
  <c r="G532" i="46"/>
  <c r="G533" i="46"/>
  <c r="G534" i="46"/>
  <c r="G535" i="46"/>
  <c r="G536" i="46"/>
  <c r="G537" i="46"/>
  <c r="G538" i="46"/>
  <c r="G539" i="46"/>
  <c r="G540" i="46"/>
  <c r="G541" i="46"/>
  <c r="G542" i="46"/>
  <c r="G543" i="46"/>
  <c r="G544" i="46"/>
  <c r="G545" i="46"/>
  <c r="G546" i="46"/>
  <c r="G547" i="46"/>
  <c r="G548" i="46"/>
  <c r="G549" i="46"/>
  <c r="G550" i="46"/>
  <c r="G551" i="46"/>
  <c r="G552" i="46"/>
  <c r="G553" i="46"/>
  <c r="G554" i="46"/>
  <c r="G555" i="46"/>
  <c r="G556" i="46"/>
  <c r="G557" i="46"/>
  <c r="G558" i="46"/>
  <c r="G559" i="46"/>
  <c r="G560" i="46"/>
  <c r="G561" i="46"/>
  <c r="G562" i="46"/>
  <c r="G563" i="46"/>
  <c r="G564" i="46"/>
  <c r="G565" i="46"/>
  <c r="G566" i="46"/>
  <c r="G567" i="46"/>
  <c r="G568" i="46"/>
  <c r="G569" i="46"/>
  <c r="G570" i="46"/>
  <c r="G571" i="46"/>
  <c r="G572" i="46"/>
  <c r="G573" i="46"/>
  <c r="G574" i="46"/>
  <c r="G575" i="46"/>
  <c r="G576" i="46"/>
  <c r="G577" i="46"/>
  <c r="G578" i="46"/>
  <c r="G579" i="46"/>
  <c r="G580" i="46"/>
  <c r="G581" i="46"/>
  <c r="G582" i="46"/>
  <c r="G583" i="46"/>
  <c r="G584" i="46"/>
  <c r="G585" i="46"/>
  <c r="G586" i="46"/>
  <c r="G587" i="46"/>
  <c r="G11" i="46"/>
  <c r="G12" i="32"/>
  <c r="G13" i="32"/>
  <c r="G14" i="32"/>
  <c r="G15" i="32"/>
  <c r="G16" i="32"/>
  <c r="G17" i="32"/>
  <c r="G18" i="32"/>
  <c r="G19" i="32"/>
  <c r="G20" i="32"/>
  <c r="G21" i="32"/>
  <c r="G22" i="32"/>
  <c r="G23" i="32"/>
  <c r="G24" i="32"/>
  <c r="G25" i="32"/>
  <c r="G26" i="32"/>
  <c r="G27" i="32"/>
  <c r="G28" i="32"/>
  <c r="G29" i="32"/>
  <c r="G30" i="32"/>
  <c r="G31" i="32"/>
  <c r="G32" i="32"/>
  <c r="G33" i="32"/>
  <c r="G34" i="32"/>
  <c r="G35" i="32"/>
  <c r="G36" i="32"/>
  <c r="G37" i="32"/>
  <c r="G38" i="32"/>
  <c r="G39" i="32"/>
  <c r="G40" i="32"/>
  <c r="G41" i="32"/>
  <c r="G42" i="32"/>
  <c r="G43" i="32"/>
  <c r="G44" i="32"/>
  <c r="G45" i="32"/>
  <c r="G46" i="32"/>
  <c r="G47" i="32"/>
  <c r="G48" i="32"/>
  <c r="G49" i="32"/>
  <c r="G50" i="32"/>
  <c r="G51" i="32"/>
  <c r="G52" i="32"/>
  <c r="G53" i="32"/>
  <c r="G54" i="32"/>
  <c r="G55" i="32"/>
  <c r="G56" i="32"/>
  <c r="G57" i="32"/>
  <c r="G58" i="32"/>
  <c r="G59" i="32"/>
  <c r="G60" i="32"/>
  <c r="G61" i="32"/>
  <c r="G62" i="32"/>
  <c r="G63" i="32"/>
  <c r="G64" i="32"/>
  <c r="G65" i="32"/>
  <c r="G66" i="32"/>
  <c r="G67" i="32"/>
  <c r="G68" i="32"/>
  <c r="G69" i="32"/>
  <c r="G70" i="32"/>
  <c r="G71" i="32"/>
  <c r="G72" i="32"/>
  <c r="G73" i="32"/>
  <c r="G74" i="32"/>
  <c r="G75" i="32"/>
  <c r="G76" i="32"/>
  <c r="G77" i="32"/>
  <c r="G78" i="32"/>
  <c r="G79" i="32"/>
  <c r="G80" i="32"/>
  <c r="G81" i="32"/>
  <c r="G82" i="32"/>
  <c r="G83" i="32"/>
  <c r="G84" i="32"/>
  <c r="G85" i="32"/>
  <c r="G86" i="32"/>
  <c r="G87" i="32"/>
  <c r="G88" i="32"/>
  <c r="G89" i="32"/>
  <c r="G90" i="32"/>
  <c r="G91" i="32"/>
  <c r="G92" i="32"/>
  <c r="G93" i="32"/>
  <c r="G94" i="32"/>
  <c r="G95" i="32"/>
  <c r="G96" i="32"/>
  <c r="G97" i="32"/>
  <c r="G98" i="32"/>
  <c r="G99" i="32"/>
  <c r="G100" i="32"/>
  <c r="G101" i="32"/>
  <c r="G102" i="32"/>
  <c r="G103" i="32"/>
  <c r="G104" i="32"/>
  <c r="G105" i="32"/>
  <c r="G106" i="32"/>
  <c r="G107" i="32"/>
  <c r="G108" i="32"/>
  <c r="G109" i="32"/>
  <c r="G110" i="32"/>
  <c r="G111" i="32"/>
  <c r="G112" i="32"/>
  <c r="G113" i="32"/>
  <c r="G114" i="32"/>
  <c r="G115" i="32"/>
  <c r="G116" i="32"/>
  <c r="G117" i="32"/>
  <c r="G118" i="32"/>
  <c r="G119" i="32"/>
  <c r="G120" i="32"/>
  <c r="G121" i="32"/>
  <c r="G122" i="32"/>
  <c r="G123" i="32"/>
  <c r="G124" i="32"/>
  <c r="G125" i="32"/>
  <c r="G126" i="32"/>
  <c r="G127" i="32"/>
  <c r="G128" i="32"/>
  <c r="G129" i="32"/>
  <c r="G130" i="32"/>
  <c r="G131" i="32"/>
  <c r="G132" i="32"/>
  <c r="G133" i="32"/>
  <c r="G134" i="32"/>
  <c r="G135" i="32"/>
  <c r="G136" i="32"/>
  <c r="G137" i="32"/>
  <c r="G138" i="32"/>
  <c r="G139" i="32"/>
  <c r="G140" i="32"/>
  <c r="G141" i="32"/>
  <c r="G142" i="32"/>
  <c r="G143" i="32"/>
  <c r="G144" i="32"/>
  <c r="G145" i="32"/>
  <c r="G146" i="32"/>
  <c r="G147" i="32"/>
  <c r="G148" i="32"/>
  <c r="G149" i="32"/>
  <c r="G150" i="32"/>
  <c r="G151" i="32"/>
  <c r="G152" i="32"/>
  <c r="G153" i="32"/>
  <c r="G154" i="32"/>
  <c r="G155" i="32"/>
  <c r="G156" i="32"/>
  <c r="G157" i="32"/>
  <c r="G158" i="32"/>
  <c r="G159" i="32"/>
  <c r="G160" i="32"/>
  <c r="G161" i="32"/>
  <c r="G162" i="32"/>
  <c r="G163" i="32"/>
  <c r="G164" i="32"/>
  <c r="G165" i="32"/>
  <c r="G166" i="32"/>
  <c r="G167" i="32"/>
  <c r="G168" i="32"/>
  <c r="G169" i="32"/>
  <c r="G170" i="32"/>
  <c r="G171" i="32"/>
  <c r="G172" i="32"/>
  <c r="G173" i="32"/>
  <c r="G174" i="32"/>
  <c r="G175" i="32"/>
  <c r="G176" i="32"/>
  <c r="G177" i="32"/>
  <c r="G178" i="32"/>
  <c r="G179" i="32"/>
  <c r="G180" i="32"/>
  <c r="G181" i="32"/>
  <c r="G182" i="32"/>
  <c r="G183" i="32"/>
  <c r="G184" i="32"/>
  <c r="G185" i="32"/>
  <c r="G186" i="32"/>
  <c r="G187" i="32"/>
  <c r="G188" i="32"/>
  <c r="G189" i="32"/>
  <c r="G190" i="32"/>
  <c r="G191" i="32"/>
  <c r="G192" i="32"/>
  <c r="G193" i="32"/>
  <c r="G194" i="32"/>
  <c r="G195" i="32"/>
  <c r="G196" i="32"/>
  <c r="G197" i="32"/>
  <c r="G198" i="32"/>
  <c r="G199" i="32"/>
  <c r="G200" i="32"/>
  <c r="G201" i="32"/>
  <c r="G202" i="32"/>
  <c r="G203" i="32"/>
  <c r="G204" i="32"/>
  <c r="G205" i="32"/>
  <c r="G206" i="32"/>
  <c r="G207" i="32"/>
  <c r="G208" i="32"/>
  <c r="G209" i="32"/>
  <c r="G210" i="32"/>
  <c r="G211" i="32"/>
  <c r="G212" i="32"/>
  <c r="G213" i="32"/>
  <c r="G214" i="32"/>
  <c r="G215" i="32"/>
  <c r="G216" i="32"/>
  <c r="G217" i="32"/>
  <c r="G218" i="32"/>
  <c r="G219" i="32"/>
  <c r="G220" i="32"/>
  <c r="G221" i="32"/>
  <c r="G222" i="32"/>
  <c r="G223" i="32"/>
  <c r="G224" i="32"/>
  <c r="G225" i="32"/>
  <c r="G226" i="32"/>
  <c r="G227" i="32"/>
  <c r="G228" i="32"/>
  <c r="G229" i="32"/>
  <c r="G230" i="32"/>
  <c r="G231" i="32"/>
  <c r="G232" i="32"/>
  <c r="G233" i="32"/>
  <c r="G234" i="32"/>
  <c r="G235" i="32"/>
  <c r="G236" i="32"/>
  <c r="G237" i="32"/>
  <c r="G238" i="32"/>
  <c r="G239" i="32"/>
  <c r="G240" i="32"/>
  <c r="G241" i="32"/>
  <c r="G242" i="32"/>
  <c r="G243" i="32"/>
  <c r="G244" i="32"/>
  <c r="G245" i="32"/>
  <c r="G246" i="32"/>
  <c r="G247" i="32"/>
  <c r="G248" i="32"/>
  <c r="G249" i="32"/>
  <c r="G250" i="32"/>
  <c r="G251" i="32"/>
  <c r="G252" i="32"/>
  <c r="G253" i="32"/>
  <c r="G254" i="32"/>
  <c r="G255" i="32"/>
  <c r="G256" i="32"/>
  <c r="G257" i="32"/>
  <c r="G258" i="32"/>
  <c r="G259" i="32"/>
  <c r="G260" i="32"/>
  <c r="G261" i="32"/>
  <c r="G262" i="32"/>
  <c r="G263" i="32"/>
  <c r="G264" i="32"/>
  <c r="G265" i="32"/>
  <c r="G266" i="32"/>
  <c r="G267" i="32"/>
  <c r="G268" i="32"/>
  <c r="G269" i="32"/>
  <c r="G270" i="32"/>
  <c r="G271" i="32"/>
  <c r="G272" i="32"/>
  <c r="G273" i="32"/>
  <c r="G274" i="32"/>
  <c r="G275" i="32"/>
  <c r="G276" i="32"/>
  <c r="G277" i="32"/>
  <c r="G278" i="32"/>
  <c r="G279" i="32"/>
  <c r="G280" i="32"/>
  <c r="G281" i="32"/>
  <c r="G282" i="32"/>
  <c r="G283" i="32"/>
  <c r="G284" i="32"/>
  <c r="G285" i="32"/>
  <c r="G286" i="32"/>
  <c r="G287" i="32"/>
  <c r="G288" i="32"/>
  <c r="G289" i="32"/>
  <c r="G290" i="32"/>
  <c r="G291" i="32"/>
  <c r="G292" i="32"/>
  <c r="G293" i="32"/>
  <c r="G294" i="32"/>
  <c r="G295" i="32"/>
  <c r="G296" i="32"/>
  <c r="G297" i="32"/>
  <c r="G298" i="32"/>
  <c r="G299" i="32"/>
  <c r="G300" i="32"/>
  <c r="G301" i="32"/>
  <c r="G302" i="32"/>
  <c r="G303" i="32"/>
  <c r="G304" i="32"/>
  <c r="G305" i="32"/>
  <c r="G306" i="32"/>
  <c r="G307" i="32"/>
  <c r="G308" i="32"/>
  <c r="G309" i="32"/>
  <c r="G310" i="32"/>
  <c r="G311" i="32"/>
  <c r="G312" i="32"/>
  <c r="G313" i="32"/>
  <c r="G314" i="32"/>
  <c r="G315" i="32"/>
  <c r="G316" i="32"/>
  <c r="G317" i="32"/>
  <c r="G318" i="32"/>
  <c r="G319" i="32"/>
  <c r="G320" i="32"/>
  <c r="G321" i="32"/>
  <c r="G322" i="32"/>
  <c r="G323" i="32"/>
  <c r="G324" i="32"/>
  <c r="G325" i="32"/>
  <c r="G326" i="32"/>
  <c r="G327" i="32"/>
  <c r="G328" i="32"/>
  <c r="G329" i="32"/>
  <c r="G330" i="32"/>
  <c r="G331" i="32"/>
  <c r="G332" i="32"/>
  <c r="G333" i="32"/>
  <c r="G334" i="32"/>
  <c r="G335" i="32"/>
  <c r="G336" i="32"/>
  <c r="G337" i="32"/>
  <c r="G338" i="32"/>
  <c r="G339" i="32"/>
  <c r="G340" i="32"/>
  <c r="G341" i="32"/>
  <c r="G342" i="32"/>
  <c r="G343" i="32"/>
  <c r="G344" i="32"/>
  <c r="G345" i="32"/>
  <c r="G346" i="32"/>
  <c r="G347" i="32"/>
  <c r="G348" i="32"/>
  <c r="G349" i="32"/>
  <c r="G350" i="32"/>
  <c r="G351" i="32"/>
  <c r="G352" i="32"/>
  <c r="G353" i="32"/>
  <c r="G354" i="32"/>
  <c r="G355" i="32"/>
  <c r="G356" i="32"/>
  <c r="G357" i="32"/>
  <c r="G358" i="32"/>
  <c r="G359" i="32"/>
  <c r="G360" i="32"/>
  <c r="G361" i="32"/>
  <c r="G362" i="32"/>
  <c r="G363" i="32"/>
  <c r="G364" i="32"/>
  <c r="G365" i="32"/>
  <c r="G366" i="32"/>
  <c r="G367" i="32"/>
  <c r="G368" i="32"/>
  <c r="G369" i="32"/>
  <c r="G370" i="32"/>
  <c r="G371" i="32"/>
  <c r="G372" i="32"/>
  <c r="G373" i="32"/>
  <c r="G374" i="32"/>
  <c r="G375" i="32"/>
  <c r="G376" i="32"/>
  <c r="G377" i="32"/>
  <c r="G378" i="32"/>
  <c r="G379" i="32"/>
  <c r="G380" i="32"/>
  <c r="G381" i="32"/>
  <c r="G382" i="32"/>
  <c r="G383" i="32"/>
  <c r="G384" i="32"/>
  <c r="G385" i="32"/>
  <c r="G386" i="32"/>
  <c r="G387" i="32"/>
  <c r="G388" i="32"/>
  <c r="G389" i="32"/>
  <c r="G390" i="32"/>
  <c r="G391" i="32"/>
  <c r="G392" i="32"/>
  <c r="G393" i="32"/>
  <c r="G394" i="32"/>
  <c r="G395" i="32"/>
  <c r="G396" i="32"/>
  <c r="G397" i="32"/>
  <c r="G398" i="32"/>
  <c r="G399" i="32"/>
  <c r="G400" i="32"/>
  <c r="G401" i="32"/>
  <c r="G402" i="32"/>
  <c r="G403" i="32"/>
  <c r="G404" i="32"/>
  <c r="G405" i="32"/>
  <c r="G406" i="32"/>
  <c r="G407" i="32"/>
  <c r="G408" i="32"/>
  <c r="G409" i="32"/>
  <c r="G410" i="32"/>
  <c r="G411" i="32"/>
  <c r="G412" i="32"/>
  <c r="G413" i="32"/>
  <c r="G414" i="32"/>
  <c r="G415" i="32"/>
  <c r="G416" i="32"/>
  <c r="G417" i="32"/>
  <c r="G418" i="32"/>
  <c r="G419" i="32"/>
  <c r="G420" i="32"/>
  <c r="G421" i="32"/>
  <c r="G422" i="32"/>
  <c r="G423" i="32"/>
  <c r="G424" i="32"/>
  <c r="G425" i="32"/>
  <c r="G426" i="32"/>
  <c r="G427" i="32"/>
  <c r="G428" i="32"/>
  <c r="G429" i="32"/>
  <c r="G430" i="32"/>
  <c r="G431" i="32"/>
  <c r="G432" i="32"/>
  <c r="G433" i="32"/>
  <c r="G434" i="32"/>
  <c r="G435" i="32"/>
  <c r="G436" i="32"/>
  <c r="G437" i="32"/>
  <c r="G438" i="32"/>
  <c r="G439" i="32"/>
  <c r="G440" i="32"/>
  <c r="G441" i="32"/>
  <c r="G442" i="32"/>
  <c r="G443" i="32"/>
  <c r="G444" i="32"/>
  <c r="G445" i="32"/>
  <c r="G446" i="32"/>
  <c r="G447" i="32"/>
  <c r="G448" i="32"/>
  <c r="G449" i="32"/>
  <c r="G450" i="32"/>
  <c r="G451" i="32"/>
  <c r="G452" i="32"/>
  <c r="G453" i="32"/>
  <c r="G454" i="32"/>
  <c r="G455" i="32"/>
  <c r="G456" i="32"/>
  <c r="G457" i="32"/>
  <c r="G458" i="32"/>
  <c r="G459" i="32"/>
  <c r="G460" i="32"/>
  <c r="G461" i="32"/>
  <c r="G462" i="32"/>
  <c r="G463" i="32"/>
  <c r="G464" i="32"/>
  <c r="G465" i="32"/>
  <c r="G466" i="32"/>
  <c r="G467" i="32"/>
  <c r="G468" i="32"/>
  <c r="G469" i="32"/>
  <c r="G470" i="32"/>
  <c r="G471" i="32"/>
  <c r="G472" i="32"/>
  <c r="G473" i="32"/>
  <c r="G474" i="32"/>
  <c r="G475" i="32"/>
  <c r="G476" i="32"/>
  <c r="G477" i="32"/>
  <c r="G478" i="32"/>
  <c r="G479" i="32"/>
  <c r="G480" i="32"/>
  <c r="G481" i="32"/>
  <c r="G482" i="32"/>
  <c r="G483" i="32"/>
  <c r="G484" i="32"/>
  <c r="G485" i="32"/>
  <c r="G486" i="32"/>
  <c r="G487" i="32"/>
  <c r="G488" i="32"/>
  <c r="G489" i="32"/>
  <c r="G490" i="32"/>
  <c r="G491" i="32"/>
  <c r="G492" i="32"/>
  <c r="G493" i="32"/>
  <c r="G494" i="32"/>
  <c r="G495" i="32"/>
  <c r="G496" i="32"/>
  <c r="G497" i="32"/>
  <c r="G498" i="32"/>
  <c r="G499" i="32"/>
  <c r="G500" i="32"/>
  <c r="G501" i="32"/>
  <c r="G502" i="32"/>
  <c r="G503" i="32"/>
  <c r="G504" i="32"/>
  <c r="G505" i="32"/>
  <c r="G506" i="32"/>
  <c r="G507" i="32"/>
  <c r="G508" i="32"/>
  <c r="G509" i="32"/>
  <c r="G510" i="32"/>
  <c r="G511" i="32"/>
  <c r="G512" i="32"/>
  <c r="G513" i="32"/>
  <c r="G514" i="32"/>
  <c r="G515" i="32"/>
  <c r="G516" i="32"/>
  <c r="G517" i="32"/>
  <c r="G518" i="32"/>
  <c r="G519" i="32"/>
  <c r="G520" i="32"/>
  <c r="G521" i="32"/>
  <c r="G522" i="32"/>
  <c r="G523" i="32"/>
  <c r="G524" i="32"/>
  <c r="G525" i="32"/>
  <c r="G526" i="32"/>
  <c r="G527" i="32"/>
  <c r="G528" i="32"/>
  <c r="G529" i="32"/>
  <c r="G530" i="32"/>
  <c r="G531" i="32"/>
  <c r="G532" i="32"/>
  <c r="G533" i="32"/>
  <c r="G534" i="32"/>
  <c r="G535" i="32"/>
  <c r="G536" i="32"/>
  <c r="G537" i="32"/>
  <c r="G538" i="32"/>
  <c r="G539" i="32"/>
  <c r="G540" i="32"/>
  <c r="G541" i="32"/>
  <c r="G542" i="32"/>
  <c r="G543" i="32"/>
  <c r="G544" i="32"/>
  <c r="G545" i="32"/>
  <c r="G546" i="32"/>
  <c r="G547" i="32"/>
  <c r="G548" i="32"/>
  <c r="G549" i="32"/>
  <c r="G550" i="32"/>
  <c r="G551" i="32"/>
  <c r="G552" i="32"/>
  <c r="G553" i="32"/>
  <c r="G554" i="32"/>
  <c r="G555" i="32"/>
  <c r="G556" i="32"/>
  <c r="G557" i="32"/>
  <c r="G558" i="32"/>
  <c r="G559" i="32"/>
  <c r="G560" i="32"/>
  <c r="G561" i="32"/>
  <c r="G562" i="32"/>
  <c r="G563" i="32"/>
  <c r="G564" i="32"/>
  <c r="G565" i="32"/>
  <c r="G566" i="32"/>
  <c r="G567" i="32"/>
  <c r="G568" i="32"/>
  <c r="G569" i="32"/>
  <c r="G570" i="32"/>
  <c r="G571" i="32"/>
  <c r="G572" i="32"/>
  <c r="G573" i="32"/>
  <c r="G574" i="32"/>
  <c r="G575" i="32"/>
  <c r="G576" i="32"/>
  <c r="G577" i="32"/>
  <c r="G578" i="32"/>
  <c r="G579" i="32"/>
  <c r="G580" i="32"/>
  <c r="G581" i="32"/>
  <c r="G582" i="32"/>
  <c r="G583" i="32"/>
  <c r="G584" i="32"/>
  <c r="G585" i="32"/>
  <c r="G586" i="32"/>
  <c r="G587" i="32"/>
  <c r="G588" i="32"/>
  <c r="G589" i="32"/>
  <c r="G590" i="32"/>
  <c r="G591" i="32"/>
  <c r="G592" i="32"/>
  <c r="G593" i="32"/>
  <c r="G594" i="32"/>
  <c r="G595" i="32"/>
  <c r="G596" i="32"/>
  <c r="G597" i="32"/>
  <c r="G598" i="32"/>
  <c r="G599" i="32"/>
  <c r="G600" i="32"/>
  <c r="G601" i="32"/>
  <c r="G602" i="32"/>
  <c r="G603" i="32"/>
  <c r="G604" i="32"/>
  <c r="G605" i="32"/>
  <c r="G606" i="32"/>
  <c r="G607" i="32"/>
  <c r="G608" i="32"/>
  <c r="G609" i="32"/>
  <c r="G610" i="32"/>
  <c r="G611" i="32"/>
  <c r="G612" i="32"/>
  <c r="G613" i="32"/>
  <c r="G614" i="32"/>
  <c r="G615" i="32"/>
  <c r="G616" i="32"/>
  <c r="G617" i="32"/>
  <c r="G618" i="32"/>
  <c r="G619" i="32"/>
  <c r="G620" i="32"/>
  <c r="G621" i="32"/>
  <c r="G622" i="32"/>
  <c r="G623" i="32"/>
  <c r="G624" i="32"/>
  <c r="G625" i="32"/>
  <c r="G626" i="32"/>
  <c r="G627" i="32"/>
  <c r="G628" i="32"/>
  <c r="G629" i="32"/>
  <c r="G630" i="32"/>
  <c r="G631" i="32"/>
  <c r="G632" i="32"/>
  <c r="G633" i="32"/>
  <c r="G634" i="32"/>
  <c r="G635" i="32"/>
  <c r="G636" i="32"/>
  <c r="G637" i="32"/>
  <c r="G638" i="32"/>
  <c r="G639" i="32"/>
  <c r="G640" i="32"/>
  <c r="G641" i="32"/>
  <c r="G642" i="32"/>
  <c r="G643" i="32"/>
  <c r="G644" i="32"/>
  <c r="G645" i="32"/>
  <c r="G646" i="32"/>
  <c r="G647" i="32"/>
  <c r="G648" i="32"/>
  <c r="G649" i="32"/>
  <c r="G650" i="32"/>
  <c r="G651" i="32"/>
  <c r="G652" i="32"/>
  <c r="G653" i="32"/>
  <c r="G654" i="32"/>
  <c r="G655" i="32"/>
  <c r="G656" i="32"/>
  <c r="G657" i="32"/>
  <c r="G658" i="32"/>
  <c r="G659" i="32"/>
  <c r="G660" i="32"/>
  <c r="G661" i="32"/>
  <c r="G662" i="32"/>
  <c r="G663" i="32"/>
  <c r="G664" i="32"/>
  <c r="G665" i="32"/>
  <c r="G666" i="32"/>
  <c r="G667" i="32"/>
  <c r="G668" i="32"/>
  <c r="G669" i="32"/>
  <c r="G670" i="32"/>
  <c r="G671" i="32"/>
  <c r="G672" i="32"/>
  <c r="G673" i="32"/>
  <c r="G674" i="32"/>
  <c r="G675" i="32"/>
  <c r="G676" i="32"/>
  <c r="G677" i="32"/>
  <c r="G678" i="32"/>
  <c r="G679" i="32"/>
  <c r="G680" i="32"/>
  <c r="G681" i="32"/>
  <c r="G682" i="32"/>
  <c r="G683" i="32"/>
  <c r="G684" i="32"/>
  <c r="G685" i="32"/>
  <c r="G686" i="32"/>
  <c r="G687" i="32"/>
  <c r="G688" i="32"/>
  <c r="G689" i="32"/>
  <c r="G690" i="32"/>
  <c r="G691" i="32"/>
  <c r="G692" i="32"/>
  <c r="G693" i="32"/>
  <c r="G694" i="32"/>
  <c r="G695" i="32"/>
  <c r="G696" i="32"/>
  <c r="G697" i="32"/>
  <c r="G698" i="32"/>
  <c r="G699" i="32"/>
  <c r="G700" i="32"/>
  <c r="G701" i="32"/>
  <c r="G702" i="32"/>
  <c r="G703" i="32"/>
  <c r="G704" i="32"/>
  <c r="G705" i="32"/>
  <c r="G706" i="32"/>
  <c r="G707" i="32"/>
  <c r="G708" i="32"/>
  <c r="G709" i="32"/>
  <c r="G710" i="32"/>
  <c r="G711" i="32"/>
  <c r="G712" i="32"/>
  <c r="G713" i="32"/>
  <c r="G714" i="32"/>
  <c r="G715" i="32"/>
  <c r="G716" i="32"/>
  <c r="G717" i="32"/>
  <c r="G718" i="32"/>
  <c r="G719" i="32"/>
  <c r="G720" i="32"/>
  <c r="G721" i="32"/>
  <c r="G722" i="32"/>
  <c r="G723" i="32"/>
  <c r="G724" i="32"/>
  <c r="G725" i="32"/>
  <c r="G726" i="32"/>
  <c r="G727" i="32"/>
  <c r="G728" i="32"/>
  <c r="G729" i="32"/>
  <c r="G730" i="32"/>
  <c r="G731" i="32"/>
  <c r="G732" i="32"/>
  <c r="G733" i="32"/>
  <c r="G734" i="32"/>
  <c r="G735" i="32"/>
  <c r="G736" i="32"/>
  <c r="G737" i="32"/>
  <c r="G738" i="32"/>
  <c r="G739" i="32"/>
  <c r="G740" i="32"/>
  <c r="G741" i="32"/>
  <c r="G742" i="32"/>
  <c r="G743" i="32"/>
  <c r="G744" i="32"/>
  <c r="G745" i="32"/>
  <c r="G746" i="32"/>
  <c r="G747" i="32"/>
  <c r="G748" i="32"/>
  <c r="G749" i="32"/>
  <c r="G750" i="32"/>
  <c r="G751" i="32"/>
  <c r="G752" i="32"/>
  <c r="G753" i="32"/>
  <c r="G754" i="32"/>
  <c r="G755" i="32"/>
  <c r="G756" i="32"/>
  <c r="G757" i="32"/>
  <c r="G758" i="32"/>
  <c r="G759" i="32"/>
  <c r="G760" i="32"/>
  <c r="G761" i="32"/>
  <c r="G762" i="32"/>
  <c r="G763" i="32"/>
  <c r="G764" i="32"/>
  <c r="G765" i="32"/>
  <c r="G766" i="32"/>
  <c r="G767" i="32"/>
  <c r="G768" i="32"/>
  <c r="G769" i="32"/>
  <c r="G770" i="32"/>
  <c r="G771" i="32"/>
  <c r="G772" i="32"/>
  <c r="G773" i="32"/>
  <c r="G774" i="32"/>
  <c r="G775" i="32"/>
  <c r="G776" i="32"/>
  <c r="G777" i="32"/>
  <c r="G778" i="32"/>
  <c r="G779" i="32"/>
  <c r="G780" i="32"/>
  <c r="G781" i="32"/>
  <c r="G782" i="32"/>
  <c r="G783" i="32"/>
  <c r="G784" i="32"/>
  <c r="G785" i="32"/>
  <c r="G786" i="32"/>
  <c r="G787" i="32"/>
  <c r="G788" i="32"/>
  <c r="G789" i="32"/>
  <c r="G790" i="32"/>
  <c r="G791" i="32"/>
  <c r="G792" i="32"/>
  <c r="G793" i="32"/>
  <c r="G794" i="32"/>
  <c r="G795" i="32"/>
  <c r="G796" i="32"/>
  <c r="G797" i="32"/>
  <c r="G798" i="32"/>
  <c r="G799" i="32"/>
  <c r="G800" i="32"/>
  <c r="G801" i="32"/>
  <c r="G802" i="32"/>
  <c r="G803" i="32"/>
  <c r="G804" i="32"/>
  <c r="G805" i="32"/>
  <c r="G806" i="32"/>
  <c r="G807" i="32"/>
  <c r="G808" i="32"/>
  <c r="G809" i="32"/>
  <c r="G810" i="32"/>
  <c r="G811" i="32"/>
  <c r="G812" i="32"/>
  <c r="G813" i="32"/>
  <c r="G814" i="32"/>
  <c r="G815" i="32"/>
  <c r="G816" i="32"/>
  <c r="G817" i="32"/>
  <c r="G818" i="32"/>
  <c r="G819" i="32"/>
  <c r="G820" i="32"/>
  <c r="G821" i="32"/>
  <c r="G822" i="32"/>
  <c r="G823" i="32"/>
  <c r="G824" i="32"/>
  <c r="G825" i="32"/>
  <c r="G826" i="32"/>
  <c r="G827" i="32"/>
  <c r="G828" i="32"/>
  <c r="G829" i="32"/>
  <c r="G830" i="32"/>
  <c r="G831" i="32"/>
  <c r="G832" i="32"/>
  <c r="G833" i="32"/>
  <c r="G834" i="32"/>
  <c r="G835" i="32"/>
  <c r="G836" i="32"/>
  <c r="G837" i="32"/>
  <c r="G838" i="32"/>
  <c r="G839" i="32"/>
  <c r="G840" i="32"/>
  <c r="G841" i="32"/>
  <c r="G842" i="32"/>
  <c r="G843" i="32"/>
  <c r="G844" i="32"/>
  <c r="G845" i="32"/>
  <c r="G846" i="32"/>
  <c r="G847" i="32"/>
  <c r="G848" i="32"/>
  <c r="G849" i="32"/>
  <c r="G850" i="32"/>
  <c r="G851" i="32"/>
  <c r="G852" i="32"/>
  <c r="G853" i="32"/>
  <c r="G854" i="32"/>
  <c r="G855" i="32"/>
  <c r="G856" i="32"/>
  <c r="G857" i="32"/>
  <c r="G858" i="32"/>
  <c r="G859" i="32"/>
  <c r="G860" i="32"/>
  <c r="G861" i="32"/>
  <c r="G862" i="32"/>
  <c r="G863" i="32"/>
  <c r="G864" i="32"/>
  <c r="G865" i="32"/>
  <c r="G866" i="32"/>
  <c r="G867" i="32"/>
  <c r="G868" i="32"/>
  <c r="G869" i="32"/>
  <c r="G870" i="32"/>
  <c r="G871" i="32"/>
  <c r="G872" i="32"/>
  <c r="G873" i="32"/>
  <c r="G874" i="32"/>
  <c r="G875" i="32"/>
  <c r="G876" i="32"/>
  <c r="G877" i="32"/>
  <c r="G878" i="32"/>
  <c r="G879" i="32"/>
  <c r="G880" i="32"/>
  <c r="G881" i="32"/>
  <c r="G882" i="32"/>
  <c r="G883" i="32"/>
  <c r="G884" i="32"/>
  <c r="G885" i="32"/>
  <c r="G886" i="32"/>
  <c r="G887" i="32"/>
  <c r="G888" i="32"/>
  <c r="G889" i="32"/>
  <c r="G890" i="32"/>
  <c r="G891" i="32"/>
  <c r="G892" i="32"/>
  <c r="G893" i="32"/>
  <c r="G894" i="32"/>
  <c r="G895" i="32"/>
  <c r="G896" i="32"/>
  <c r="G897" i="32"/>
  <c r="G898" i="32"/>
  <c r="G899" i="32"/>
  <c r="G900" i="32"/>
  <c r="G901" i="32"/>
  <c r="G902" i="32"/>
  <c r="G903" i="32"/>
  <c r="G904" i="32"/>
  <c r="G905" i="32"/>
  <c r="G906" i="32"/>
  <c r="G907" i="32"/>
  <c r="G908" i="32"/>
  <c r="G909" i="32"/>
  <c r="G910" i="32"/>
  <c r="G911" i="32"/>
  <c r="G912" i="32"/>
  <c r="G913" i="32"/>
  <c r="G914" i="32"/>
  <c r="G915" i="32"/>
  <c r="G916" i="32"/>
  <c r="G917" i="32"/>
  <c r="G918" i="32"/>
  <c r="G919" i="32"/>
  <c r="G920" i="32"/>
  <c r="G921" i="32"/>
  <c r="G922" i="32"/>
  <c r="G923" i="32"/>
  <c r="G924" i="32"/>
  <c r="G925" i="32"/>
  <c r="G926" i="32"/>
  <c r="G927" i="32"/>
  <c r="G928" i="32"/>
  <c r="G929" i="32"/>
  <c r="G930" i="32"/>
  <c r="G931" i="32"/>
  <c r="G932" i="32"/>
  <c r="G933" i="32"/>
  <c r="G934" i="32"/>
  <c r="G11" i="32"/>
  <c r="C143" i="49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11" i="2"/>
  <c r="F1" i="49"/>
  <c r="G1" i="49" s="1"/>
  <c r="H1" i="49" s="1"/>
  <c r="I1" i="49" s="1"/>
  <c r="J1" i="49" s="1"/>
  <c r="E1" i="49"/>
  <c r="D1" i="49"/>
  <c r="M465" i="32" l="1"/>
  <c r="B580" i="48" l="1"/>
  <c r="B692" i="47" l="1"/>
  <c r="BD325" i="46" l="1"/>
  <c r="BD324" i="46"/>
  <c r="BD85" i="46"/>
  <c r="BD64" i="46"/>
  <c r="BD369" i="46"/>
  <c r="BD368" i="46"/>
  <c r="BD342" i="46"/>
  <c r="BD322" i="46"/>
  <c r="BD323" i="46"/>
  <c r="BD352" i="46"/>
  <c r="BD108" i="46"/>
  <c r="BD145" i="46"/>
  <c r="BD345" i="46"/>
  <c r="BD344" i="46"/>
  <c r="BD343" i="46"/>
  <c r="BD294" i="46"/>
  <c r="BD329" i="46"/>
  <c r="BD328" i="46"/>
  <c r="BD327" i="46"/>
  <c r="BD14" i="46"/>
  <c r="BD13" i="46"/>
  <c r="BD33" i="46"/>
  <c r="BD32" i="46"/>
  <c r="BD429" i="46"/>
  <c r="BD17" i="46"/>
  <c r="BD662" i="46"/>
  <c r="BD390" i="46"/>
  <c r="BD62" i="46"/>
  <c r="BD138" i="46"/>
  <c r="BD16" i="46"/>
  <c r="BD326" i="46"/>
  <c r="BD90" i="46"/>
  <c r="BD15" i="46"/>
  <c r="BD594" i="46"/>
  <c r="BD350" i="46"/>
  <c r="BD349" i="46"/>
  <c r="BD378" i="46"/>
  <c r="BD339" i="46"/>
  <c r="BD53" i="46"/>
  <c r="BD92" i="46"/>
  <c r="BD72" i="46"/>
  <c r="BD47" i="46"/>
  <c r="BD374" i="46"/>
  <c r="BD439" i="46"/>
  <c r="BD119" i="46"/>
  <c r="BD321" i="46"/>
  <c r="BD435" i="46"/>
  <c r="BD27" i="46"/>
  <c r="BD453" i="46"/>
  <c r="BD452" i="46"/>
  <c r="BD196" i="46"/>
  <c r="BD88" i="46"/>
  <c r="BD121" i="46"/>
  <c r="BD214" i="46"/>
  <c r="BD593" i="46"/>
  <c r="BD370" i="46"/>
  <c r="BD655" i="46"/>
  <c r="BD654" i="46"/>
  <c r="BD663" i="46"/>
  <c r="BD274" i="46"/>
  <c r="BD221" i="46"/>
  <c r="BD123" i="46"/>
  <c r="BD414" i="46"/>
  <c r="BD600" i="46"/>
  <c r="BD19" i="46"/>
  <c r="BD18" i="46"/>
  <c r="BD331" i="46"/>
  <c r="BD81" i="46"/>
  <c r="BD419" i="46"/>
  <c r="BD393" i="46"/>
  <c r="BD176" i="46"/>
  <c r="BD399" i="46"/>
  <c r="BD69" i="46"/>
  <c r="BD178" i="46"/>
  <c r="BD340" i="46"/>
  <c r="BD568" i="46"/>
  <c r="BD567" i="46"/>
  <c r="BD566" i="46"/>
  <c r="BD192" i="46"/>
  <c r="BD661" i="46"/>
  <c r="BD504" i="46"/>
  <c r="BD170" i="46"/>
  <c r="BD21" i="46"/>
  <c r="BD20" i="46"/>
  <c r="BD180" i="46"/>
  <c r="BD391" i="46"/>
  <c r="BD387" i="46"/>
  <c r="BD118" i="46"/>
  <c r="BD117" i="46"/>
  <c r="BD456" i="46"/>
  <c r="BD455" i="46"/>
  <c r="BD120" i="46"/>
  <c r="BD372" i="46"/>
  <c r="BD351" i="46"/>
  <c r="BD377" i="46"/>
  <c r="BD376" i="46"/>
  <c r="BD375" i="46"/>
  <c r="BD355" i="46"/>
  <c r="BD354" i="46"/>
  <c r="BD193" i="46"/>
  <c r="BD361" i="46"/>
  <c r="BD360" i="46"/>
  <c r="BD515" i="46"/>
  <c r="BD253" i="46"/>
  <c r="BD129" i="46"/>
  <c r="BD113" i="46"/>
  <c r="BD310" i="46"/>
  <c r="BD112" i="46"/>
  <c r="BD142" i="46"/>
  <c r="BD316" i="46"/>
  <c r="BD315" i="46"/>
  <c r="BD71" i="46"/>
  <c r="BD295" i="46"/>
  <c r="BD48" i="46"/>
  <c r="BD463" i="46"/>
  <c r="BD462" i="46"/>
  <c r="BD230" i="46"/>
  <c r="BD380" i="46"/>
  <c r="BD509" i="46"/>
  <c r="BD589" i="46"/>
  <c r="BD388" i="46"/>
  <c r="BD332" i="46"/>
  <c r="BD472" i="46"/>
  <c r="BD498" i="46"/>
  <c r="BD299" i="46"/>
  <c r="BD82" i="46"/>
  <c r="BD144" i="46"/>
  <c r="BD406" i="46"/>
  <c r="BD548" i="46"/>
  <c r="BD206" i="46"/>
  <c r="BD546" i="46"/>
  <c r="BD584" i="46"/>
  <c r="BD338" i="46"/>
  <c r="BD337" i="46"/>
  <c r="BD535" i="46"/>
  <c r="BD73" i="46"/>
  <c r="BD134" i="46"/>
  <c r="BD133" i="46"/>
  <c r="BD132" i="46"/>
  <c r="BD631" i="46"/>
  <c r="BD398" i="46"/>
  <c r="BD397" i="46"/>
  <c r="BD37" i="46"/>
  <c r="BD359" i="46"/>
  <c r="BD358" i="46"/>
  <c r="BD357" i="46"/>
  <c r="BD471" i="46"/>
  <c r="BD543" i="46"/>
  <c r="BD58" i="46"/>
  <c r="BD57" i="46"/>
  <c r="BD39" i="46"/>
  <c r="BD38" i="46"/>
  <c r="BD319" i="46"/>
  <c r="BD318" i="46"/>
  <c r="BD317" i="46"/>
  <c r="BD276" i="46"/>
  <c r="BD288" i="46"/>
  <c r="BD418" i="46"/>
  <c r="BD542" i="46"/>
  <c r="BD248" i="46"/>
  <c r="BD425" i="46"/>
  <c r="BD367" i="46"/>
  <c r="BD366" i="46"/>
  <c r="BD629" i="46"/>
  <c r="BD519" i="46"/>
  <c r="BD427" i="46"/>
  <c r="BD417" i="46"/>
  <c r="BD469" i="46"/>
  <c r="BD588" i="46"/>
  <c r="BD625" i="46"/>
  <c r="BD312" i="46"/>
  <c r="BD31" i="46"/>
  <c r="BD30" i="46"/>
  <c r="BD29" i="46"/>
  <c r="BD28" i="46"/>
  <c r="BD258" i="46"/>
  <c r="BD223" i="46"/>
  <c r="BD306" i="46"/>
  <c r="BD217" i="46"/>
  <c r="BD577" i="46"/>
  <c r="BD364" i="46"/>
  <c r="BD569" i="46"/>
  <c r="BD314" i="46"/>
  <c r="BD313" i="46"/>
  <c r="BD61" i="46"/>
  <c r="BD188" i="46"/>
  <c r="BD35" i="46"/>
  <c r="BD279" i="46"/>
  <c r="BD460" i="46"/>
  <c r="BD459" i="46"/>
  <c r="BD79" i="46"/>
  <c r="BD651" i="46"/>
  <c r="BD249" i="46"/>
  <c r="BD305" i="46"/>
  <c r="BD303" i="46"/>
  <c r="BD659" i="46"/>
  <c r="BD658" i="46"/>
  <c r="BD573" i="46"/>
  <c r="BD622" i="46"/>
  <c r="BD236" i="46"/>
  <c r="BD237" i="46"/>
  <c r="BD579" i="46"/>
  <c r="BD24" i="46"/>
  <c r="BD22" i="46"/>
  <c r="BD280" i="46"/>
  <c r="BD499" i="46"/>
  <c r="BD500" i="46"/>
  <c r="BD74" i="46"/>
  <c r="BD151" i="46"/>
  <c r="BD557" i="46"/>
  <c r="BD264" i="46"/>
  <c r="BD36" i="46"/>
  <c r="BD619" i="46"/>
  <c r="BD198" i="46"/>
  <c r="BD270" i="46"/>
  <c r="BD602" i="46"/>
  <c r="BD190" i="46"/>
  <c r="BD544" i="46"/>
  <c r="BD660" i="46"/>
  <c r="BD541" i="46"/>
  <c r="BD421" i="46"/>
  <c r="BD649" i="46"/>
  <c r="BD540" i="46"/>
  <c r="BD254" i="46"/>
  <c r="BD640" i="46"/>
  <c r="BD639" i="46"/>
  <c r="BD232" i="46"/>
  <c r="BD445" i="46"/>
  <c r="BD11" i="46"/>
  <c r="BD229" i="46"/>
  <c r="BD549" i="46"/>
  <c r="BD224" i="46"/>
  <c r="BD215" i="46"/>
  <c r="BD430" i="46"/>
  <c r="BD516" i="46"/>
  <c r="BD126" i="46"/>
  <c r="BD207" i="46"/>
  <c r="BD52" i="46"/>
  <c r="BD51" i="46"/>
  <c r="BD523" i="46"/>
  <c r="BD115" i="46"/>
  <c r="BD259" i="46"/>
  <c r="BD162" i="46"/>
  <c r="BD219" i="46"/>
  <c r="BD597" i="46"/>
  <c r="BD586" i="46"/>
  <c r="BD585" i="46"/>
  <c r="BD530" i="46"/>
  <c r="BD411" i="46"/>
  <c r="BD110" i="46"/>
  <c r="BD86" i="46"/>
  <c r="BD336" i="46"/>
  <c r="BD213" i="46"/>
  <c r="BD341" i="46"/>
  <c r="BD75" i="46"/>
  <c r="BD512" i="46"/>
  <c r="BD559" i="46"/>
  <c r="BD100" i="46"/>
  <c r="AV325" i="46"/>
  <c r="AV324" i="46"/>
  <c r="S465" i="32"/>
  <c r="U465" i="32" s="1"/>
  <c r="S464" i="32"/>
  <c r="U464" i="32" s="1"/>
  <c r="S463" i="32"/>
  <c r="U463" i="32" s="1"/>
  <c r="S462" i="32"/>
  <c r="U462" i="32" s="1"/>
  <c r="S461" i="32"/>
  <c r="U461" i="32" s="1"/>
  <c r="S460" i="32"/>
  <c r="U460" i="32" s="1"/>
  <c r="S459" i="32"/>
  <c r="U459" i="32" s="1"/>
  <c r="S458" i="32"/>
  <c r="U458" i="32" s="1"/>
  <c r="S457" i="32"/>
  <c r="U457" i="32" s="1"/>
  <c r="S456" i="32"/>
  <c r="U456" i="32" s="1"/>
  <c r="S455" i="32"/>
  <c r="U455" i="32" s="1"/>
  <c r="S454" i="32"/>
  <c r="U454" i="32" s="1"/>
  <c r="S453" i="32"/>
  <c r="U453" i="32" s="1"/>
  <c r="S452" i="32"/>
  <c r="U452" i="32" s="1"/>
  <c r="S451" i="32"/>
  <c r="U451" i="32" s="1"/>
  <c r="S450" i="32"/>
  <c r="U450" i="32" s="1"/>
  <c r="S449" i="32"/>
  <c r="U449" i="32" s="1"/>
  <c r="S448" i="32"/>
  <c r="U448" i="32" s="1"/>
  <c r="S823" i="32"/>
  <c r="U823" i="32" s="1"/>
  <c r="S24" i="32"/>
  <c r="U24" i="32" s="1"/>
  <c r="S606" i="32"/>
  <c r="U606" i="32" s="1"/>
  <c r="S523" i="32"/>
  <c r="U523" i="32" s="1"/>
  <c r="S121" i="32"/>
  <c r="U121" i="32" s="1"/>
  <c r="S120" i="32"/>
  <c r="U120" i="32" s="1"/>
  <c r="S163" i="32"/>
  <c r="U163" i="32" s="1"/>
  <c r="S228" i="32"/>
  <c r="U228" i="32" s="1"/>
  <c r="S23" i="32"/>
  <c r="U23" i="32" s="1"/>
  <c r="S22" i="32"/>
  <c r="U22" i="32" s="1"/>
  <c r="S21" i="32"/>
  <c r="U21" i="32" s="1"/>
  <c r="S467" i="32"/>
  <c r="U467" i="32" s="1"/>
  <c r="S466" i="32"/>
  <c r="U466" i="32" s="1"/>
  <c r="S170" i="32"/>
  <c r="U170" i="32" s="1"/>
  <c r="S169" i="32"/>
  <c r="U169" i="32" s="1"/>
  <c r="S20" i="32"/>
  <c r="U20" i="32" s="1"/>
  <c r="S19" i="32"/>
  <c r="U19" i="32" s="1"/>
  <c r="S18" i="32"/>
  <c r="U18" i="32" s="1"/>
  <c r="S841" i="32"/>
  <c r="U841" i="32" s="1"/>
  <c r="S519" i="32"/>
  <c r="U519" i="32" s="1"/>
  <c r="S518" i="32"/>
  <c r="U518" i="32" s="1"/>
  <c r="S569" i="32"/>
  <c r="U569" i="32" s="1"/>
  <c r="S501" i="32"/>
  <c r="U501" i="32" s="1"/>
  <c r="S500" i="32"/>
  <c r="U500" i="32" s="1"/>
  <c r="S107" i="32"/>
  <c r="U107" i="32" s="1"/>
  <c r="S174" i="32"/>
  <c r="U174" i="32" s="1"/>
  <c r="S173" i="32"/>
  <c r="U173" i="32" s="1"/>
  <c r="S138" i="32"/>
  <c r="U138" i="32" s="1"/>
  <c r="S137" i="32"/>
  <c r="U137" i="32" s="1"/>
  <c r="S99" i="32"/>
  <c r="U99" i="32" s="1"/>
  <c r="S98" i="32"/>
  <c r="U98" i="32" s="1"/>
  <c r="S565" i="32"/>
  <c r="U565" i="32" s="1"/>
  <c r="S564" i="32"/>
  <c r="U564" i="32" s="1"/>
  <c r="S563" i="32"/>
  <c r="U563" i="32" s="1"/>
  <c r="S671" i="32"/>
  <c r="U671" i="32" s="1"/>
  <c r="S206" i="32"/>
  <c r="U206" i="32" s="1"/>
  <c r="S445" i="32"/>
  <c r="U445" i="32" s="1"/>
  <c r="S667" i="32"/>
  <c r="U667" i="32" s="1"/>
  <c r="S52" i="32"/>
  <c r="U52" i="32" s="1"/>
  <c r="S51" i="32"/>
  <c r="U51" i="32" s="1"/>
  <c r="S685" i="32"/>
  <c r="U685" i="32" s="1"/>
  <c r="S684" i="32"/>
  <c r="U684" i="32" s="1"/>
  <c r="S297" i="32"/>
  <c r="U297" i="32" s="1"/>
  <c r="S167" i="32"/>
  <c r="U167" i="32" s="1"/>
  <c r="S208" i="32"/>
  <c r="U208" i="32" s="1"/>
  <c r="S321" i="32"/>
  <c r="U321" i="32" s="1"/>
  <c r="S840" i="32"/>
  <c r="U840" i="32" s="1"/>
  <c r="S556" i="32"/>
  <c r="U556" i="32" s="1"/>
  <c r="S915" i="32"/>
  <c r="U915" i="32" s="1"/>
  <c r="S914" i="32"/>
  <c r="U914" i="32" s="1"/>
  <c r="S913" i="32"/>
  <c r="U913" i="32" s="1"/>
  <c r="S912" i="32"/>
  <c r="U912" i="32" s="1"/>
  <c r="S123" i="32"/>
  <c r="U123" i="32" s="1"/>
  <c r="S934" i="32"/>
  <c r="U934" i="32" s="1"/>
  <c r="S933" i="32"/>
  <c r="U933" i="32" s="1"/>
  <c r="S932" i="32"/>
  <c r="U932" i="32" s="1"/>
  <c r="S383" i="32"/>
  <c r="U383" i="32" s="1"/>
  <c r="S328" i="32"/>
  <c r="U328" i="32" s="1"/>
  <c r="S210" i="32"/>
  <c r="U210" i="32" s="1"/>
  <c r="S640" i="32"/>
  <c r="U640" i="32" s="1"/>
  <c r="S847" i="32"/>
  <c r="U847" i="32" s="1"/>
  <c r="S28" i="32"/>
  <c r="U28" i="32" s="1"/>
  <c r="S27" i="32"/>
  <c r="U27" i="32" s="1"/>
  <c r="S26" i="32"/>
  <c r="U26" i="32" s="1"/>
  <c r="S25" i="32"/>
  <c r="U25" i="32" s="1"/>
  <c r="S474" i="32"/>
  <c r="U474" i="32" s="1"/>
  <c r="S473" i="32"/>
  <c r="U473" i="32" s="1"/>
  <c r="S472" i="32"/>
  <c r="U472" i="32" s="1"/>
  <c r="S158" i="32"/>
  <c r="U158" i="32" s="1"/>
  <c r="S157" i="32"/>
  <c r="U157" i="32" s="1"/>
  <c r="S156" i="32"/>
  <c r="U156" i="32" s="1"/>
  <c r="S155" i="32"/>
  <c r="U155" i="32" s="1"/>
  <c r="S154" i="32"/>
  <c r="U154" i="32" s="1"/>
  <c r="S153" i="32"/>
  <c r="U153" i="32" s="1"/>
  <c r="S152" i="32"/>
  <c r="U152" i="32" s="1"/>
  <c r="S648" i="32"/>
  <c r="U648" i="32" s="1"/>
  <c r="S610" i="32"/>
  <c r="U610" i="32" s="1"/>
  <c r="S277" i="32"/>
  <c r="U277" i="32" s="1"/>
  <c r="S620" i="32"/>
  <c r="U620" i="32" s="1"/>
  <c r="S132" i="32"/>
  <c r="U132" i="32" s="1"/>
  <c r="S279" i="32"/>
  <c r="U279" i="32" s="1"/>
  <c r="S503" i="32"/>
  <c r="U503" i="32" s="1"/>
  <c r="S502" i="32"/>
  <c r="U502" i="32" s="1"/>
  <c r="S813" i="32"/>
  <c r="U813" i="32" s="1"/>
  <c r="S293" i="32"/>
  <c r="U293" i="32" s="1"/>
  <c r="S930" i="32"/>
  <c r="U930" i="32" s="1"/>
  <c r="S744" i="32"/>
  <c r="U744" i="32" s="1"/>
  <c r="S271" i="32"/>
  <c r="U271" i="32" s="1"/>
  <c r="S270" i="32"/>
  <c r="U270" i="32" s="1"/>
  <c r="S32" i="32"/>
  <c r="U32" i="32" s="1"/>
  <c r="S31" i="32"/>
  <c r="U31" i="32" s="1"/>
  <c r="S30" i="32"/>
  <c r="U30" i="32" s="1"/>
  <c r="S29" i="32"/>
  <c r="U29" i="32" s="1"/>
  <c r="S281" i="32"/>
  <c r="U281" i="32" s="1"/>
  <c r="S607" i="32"/>
  <c r="U607" i="32" s="1"/>
  <c r="S601" i="32"/>
  <c r="U601" i="32" s="1"/>
  <c r="S205" i="32"/>
  <c r="U205" i="32" s="1"/>
  <c r="S196" i="32"/>
  <c r="U196" i="32" s="1"/>
  <c r="S687" i="32"/>
  <c r="U687" i="32" s="1"/>
  <c r="S207" i="32"/>
  <c r="U207" i="32" s="1"/>
  <c r="AV429" i="46"/>
  <c r="AV17" i="46"/>
  <c r="AV662" i="46"/>
  <c r="AV390" i="46"/>
  <c r="AV62" i="46"/>
  <c r="AV138" i="46"/>
  <c r="AV16" i="46"/>
  <c r="AV326" i="46"/>
  <c r="AV90" i="46"/>
  <c r="AV15" i="46"/>
  <c r="AV594" i="46"/>
  <c r="AV350" i="46"/>
  <c r="AV349" i="46"/>
  <c r="AV378" i="46"/>
  <c r="AV339" i="46"/>
  <c r="AV53" i="46"/>
  <c r="AV92" i="46"/>
  <c r="AV72" i="46"/>
  <c r="AV47" i="46"/>
  <c r="AV374" i="46"/>
  <c r="AV439" i="46"/>
  <c r="AV119" i="46"/>
  <c r="AV321" i="46"/>
  <c r="AV435" i="46"/>
  <c r="AV27" i="46"/>
  <c r="AV453" i="46"/>
  <c r="AV452" i="46"/>
  <c r="AV196" i="46"/>
  <c r="AV88" i="46"/>
  <c r="AV121" i="46"/>
  <c r="AV214" i="46"/>
  <c r="AV593" i="46"/>
  <c r="AV370" i="46"/>
  <c r="AV655" i="46"/>
  <c r="AV654" i="46"/>
  <c r="AV663" i="46"/>
  <c r="AV274" i="46"/>
  <c r="AV221" i="46"/>
  <c r="AV123" i="46"/>
  <c r="AV414" i="46"/>
  <c r="AV600" i="46"/>
  <c r="AV19" i="46"/>
  <c r="AV18" i="46"/>
  <c r="AV331" i="46"/>
  <c r="AV81" i="46"/>
  <c r="AV419" i="46"/>
  <c r="AV393" i="46"/>
  <c r="AV176" i="46"/>
  <c r="AV399" i="46"/>
  <c r="AV69" i="46"/>
  <c r="AV178" i="46"/>
  <c r="AV340" i="46"/>
  <c r="AV568" i="46"/>
  <c r="AV567" i="46"/>
  <c r="AV566" i="46"/>
  <c r="AV192" i="46"/>
  <c r="AV661" i="46"/>
  <c r="AV504" i="46"/>
  <c r="AV170" i="46"/>
  <c r="AV21" i="46"/>
  <c r="AV20" i="46"/>
  <c r="AV180" i="46"/>
  <c r="AV391" i="46"/>
  <c r="AV387" i="46"/>
  <c r="AV118" i="46"/>
  <c r="AV117" i="46"/>
  <c r="AV456" i="46"/>
  <c r="AV455" i="46"/>
  <c r="AV120" i="46"/>
  <c r="AV372" i="46"/>
  <c r="AV351" i="46"/>
  <c r="AV377" i="46"/>
  <c r="AV376" i="46"/>
  <c r="AV375" i="46"/>
  <c r="AV355" i="46"/>
  <c r="AV354" i="46"/>
  <c r="AV193" i="46"/>
  <c r="AV361" i="46"/>
  <c r="AV360" i="46"/>
  <c r="AV515" i="46"/>
  <c r="AV253" i="46"/>
  <c r="AV129" i="46"/>
  <c r="AV113" i="46"/>
  <c r="AV310" i="46"/>
  <c r="AV112" i="46"/>
  <c r="AV142" i="46"/>
  <c r="AV316" i="46"/>
  <c r="AV315" i="46"/>
  <c r="AV71" i="46"/>
  <c r="AV295" i="46"/>
  <c r="AV48" i="46"/>
  <c r="AV463" i="46"/>
  <c r="AV462" i="46"/>
  <c r="AV230" i="46"/>
  <c r="AV380" i="46"/>
  <c r="AV509" i="46"/>
  <c r="AV589" i="46"/>
  <c r="AV388" i="46"/>
  <c r="AV332" i="46"/>
  <c r="AV472" i="46"/>
  <c r="AV498" i="46"/>
  <c r="AV299" i="46"/>
  <c r="AV82" i="46"/>
  <c r="AV144" i="46"/>
  <c r="AV406" i="46"/>
  <c r="AV548" i="46"/>
  <c r="AV206" i="46"/>
  <c r="AV546" i="46"/>
  <c r="AV584" i="46"/>
  <c r="AV338" i="46"/>
  <c r="AV337" i="46"/>
  <c r="AV535" i="46"/>
  <c r="AV73" i="46"/>
  <c r="AV134" i="46"/>
  <c r="AV133" i="46"/>
  <c r="AV132" i="46"/>
  <c r="AV631" i="46"/>
  <c r="AV398" i="46"/>
  <c r="AV397" i="46"/>
  <c r="AV37" i="46"/>
  <c r="AV359" i="46"/>
  <c r="AV358" i="46"/>
  <c r="AV357" i="46"/>
  <c r="AV471" i="46"/>
  <c r="AV543" i="46"/>
  <c r="AV58" i="46"/>
  <c r="AV57" i="46"/>
  <c r="AV39" i="46"/>
  <c r="AV38" i="46"/>
  <c r="AV319" i="46"/>
  <c r="AV318" i="46"/>
  <c r="AV317" i="46"/>
  <c r="AV276" i="46"/>
  <c r="AV288" i="46"/>
  <c r="AV418" i="46"/>
  <c r="AV542" i="46"/>
  <c r="AV248" i="46"/>
  <c r="AV425" i="46"/>
  <c r="AV367" i="46"/>
  <c r="AV366" i="46"/>
  <c r="AV629" i="46"/>
  <c r="AV519" i="46"/>
  <c r="AV427" i="46"/>
  <c r="AV417" i="46"/>
  <c r="AV469" i="46"/>
  <c r="AV588" i="46"/>
  <c r="AV625" i="46"/>
  <c r="AV312" i="46"/>
  <c r="AV31" i="46"/>
  <c r="AV30" i="46"/>
  <c r="AV29" i="46"/>
  <c r="AV28" i="46"/>
  <c r="AV258" i="46"/>
  <c r="AV223" i="46"/>
  <c r="AV306" i="46"/>
  <c r="AV217" i="46"/>
  <c r="AV577" i="46"/>
  <c r="AV364" i="46"/>
  <c r="AV569" i="46"/>
  <c r="AV314" i="46"/>
  <c r="AV313" i="46"/>
  <c r="AV61" i="46"/>
  <c r="AV188" i="46"/>
  <c r="AV35" i="46"/>
  <c r="AV279" i="46"/>
  <c r="AV460" i="46"/>
  <c r="AV459" i="46"/>
  <c r="AV79" i="46"/>
  <c r="AV651" i="46"/>
  <c r="AV249" i="46"/>
  <c r="AV305" i="46"/>
  <c r="AV303" i="46"/>
  <c r="AV659" i="46"/>
  <c r="AV658" i="46"/>
  <c r="AV573" i="46"/>
  <c r="AV622" i="46"/>
  <c r="AV236" i="46"/>
  <c r="AV237" i="46"/>
  <c r="AV579" i="46"/>
  <c r="AV24" i="46"/>
  <c r="AV22" i="46"/>
  <c r="AV280" i="46"/>
  <c r="AV499" i="46"/>
  <c r="AV500" i="46"/>
  <c r="AV74" i="46"/>
  <c r="AV151" i="46"/>
  <c r="AV557" i="46"/>
  <c r="AV264" i="46"/>
  <c r="AV36" i="46"/>
  <c r="AV619" i="46"/>
  <c r="AV198" i="46"/>
  <c r="AV270" i="46"/>
  <c r="AV602" i="46"/>
  <c r="AV190" i="46"/>
  <c r="AV544" i="46"/>
  <c r="AV660" i="46"/>
  <c r="AV541" i="46"/>
  <c r="AV421" i="46"/>
  <c r="AV649" i="46"/>
  <c r="AV540" i="46"/>
  <c r="AV254" i="46"/>
  <c r="AV640" i="46"/>
  <c r="AV639" i="46"/>
  <c r="AV232" i="46"/>
  <c r="AV445" i="46"/>
  <c r="AV11" i="46"/>
  <c r="AV229" i="46"/>
  <c r="AV549" i="46"/>
  <c r="AV224" i="46"/>
  <c r="AV215" i="46"/>
  <c r="AV430" i="46"/>
  <c r="AV516" i="46"/>
  <c r="AV126" i="46"/>
  <c r="AV207" i="46"/>
  <c r="AV52" i="46"/>
  <c r="AV51" i="46"/>
  <c r="AV523" i="46"/>
  <c r="AV115" i="46"/>
  <c r="AV259" i="46"/>
  <c r="AV162" i="46"/>
  <c r="AV219" i="46"/>
  <c r="AV597" i="46"/>
  <c r="AV586" i="46"/>
  <c r="AV585" i="46"/>
  <c r="AV530" i="46"/>
  <c r="AV411" i="46"/>
  <c r="AV110" i="46"/>
  <c r="AV86" i="46"/>
  <c r="AV336" i="46"/>
  <c r="AV213" i="46"/>
  <c r="AV341" i="46"/>
  <c r="AV75" i="46"/>
  <c r="AV512" i="46"/>
  <c r="AV559" i="46"/>
  <c r="AV100" i="46"/>
  <c r="AV99" i="46"/>
  <c r="AV550" i="46"/>
  <c r="AV481" i="46"/>
  <c r="AV601" i="46"/>
  <c r="AV220" i="46"/>
  <c r="AV154" i="46"/>
  <c r="AV283" i="46"/>
  <c r="AV153" i="46"/>
  <c r="AV268" i="46"/>
  <c r="AV407" i="46"/>
  <c r="AV502" i="46"/>
  <c r="AV606" i="46"/>
  <c r="AV554" i="46"/>
  <c r="AV128" i="46"/>
  <c r="AV263" i="46"/>
  <c r="AV167" i="46"/>
  <c r="AV623" i="46"/>
  <c r="AV621" i="46"/>
  <c r="AV80" i="46"/>
  <c r="AV478" i="46"/>
  <c r="AV353" i="46"/>
  <c r="AV131" i="46"/>
  <c r="AV127" i="46"/>
  <c r="AV501" i="46"/>
  <c r="AV536" i="46"/>
  <c r="AV405" i="46"/>
  <c r="AV404" i="46"/>
  <c r="AV403" i="46"/>
  <c r="AV402" i="46"/>
  <c r="AV401" i="46"/>
  <c r="AV225" i="46"/>
  <c r="AV238" i="46"/>
  <c r="AV590" i="46"/>
  <c r="AV448" i="46"/>
  <c r="AV646" i="46"/>
  <c r="AV645" i="46"/>
  <c r="AV644" i="46"/>
  <c r="AV643" i="46"/>
  <c r="AV642" i="46"/>
  <c r="AV641" i="46"/>
  <c r="AV160" i="46"/>
  <c r="AV431" i="46"/>
  <c r="AV298" i="46"/>
  <c r="AV653" i="46"/>
  <c r="AV492" i="46"/>
  <c r="AV87" i="46"/>
  <c r="AV83" i="46"/>
  <c r="AV603" i="46"/>
  <c r="AV494" i="46"/>
  <c r="AV415" i="46"/>
  <c r="AV432" i="46"/>
  <c r="AV109" i="46"/>
  <c r="AV636" i="46"/>
  <c r="AV556" i="46"/>
  <c r="AV106" i="46"/>
  <c r="AV197" i="46"/>
  <c r="AV84" i="46"/>
  <c r="AV41" i="46"/>
  <c r="AV396" i="46"/>
  <c r="AV216" i="46"/>
  <c r="AV614" i="46"/>
  <c r="AV272" i="46"/>
  <c r="AV59" i="46"/>
  <c r="AV595" i="46"/>
  <c r="AV503" i="46"/>
  <c r="AV617" i="46"/>
  <c r="AV356" i="46"/>
  <c r="AV228" i="46"/>
  <c r="AV158" i="46"/>
  <c r="AV77" i="46"/>
  <c r="AV420" i="46"/>
  <c r="AV495" i="46"/>
  <c r="AV202" i="46"/>
  <c r="AV657" i="46"/>
  <c r="AV656" i="46"/>
  <c r="AV521" i="46"/>
  <c r="AV45" i="46"/>
  <c r="AV596" i="46"/>
  <c r="AV394" i="46"/>
  <c r="AV184" i="46"/>
  <c r="AV381" i="46"/>
  <c r="AV172" i="46"/>
  <c r="AV598" i="46"/>
  <c r="AV135" i="46"/>
  <c r="AV155" i="46"/>
  <c r="AV582" i="46"/>
  <c r="AV564" i="46"/>
  <c r="AV440" i="46"/>
  <c r="AV125" i="46"/>
  <c r="AV227" i="46"/>
  <c r="AV226" i="46"/>
  <c r="AV175" i="46"/>
  <c r="AV114" i="46"/>
  <c r="AV620" i="46"/>
  <c r="AV473" i="46"/>
  <c r="AV240" i="46"/>
  <c r="AV389" i="46"/>
  <c r="AV281" i="46"/>
  <c r="AV652" i="46"/>
  <c r="AV648" i="46"/>
  <c r="AV647" i="46"/>
  <c r="AV461" i="46"/>
  <c r="AV458" i="46"/>
  <c r="AV457" i="46"/>
  <c r="AV247" i="46"/>
  <c r="AV174" i="46"/>
  <c r="AV146" i="46"/>
  <c r="AV124" i="46"/>
  <c r="AV231" i="46"/>
  <c r="AV235" i="46"/>
  <c r="AV488" i="46"/>
  <c r="AV183" i="46"/>
  <c r="AV157" i="46"/>
  <c r="AV284" i="46"/>
  <c r="AV545" i="46"/>
  <c r="AV511" i="46"/>
  <c r="AV210" i="46"/>
  <c r="AV486" i="46"/>
  <c r="AV277" i="46"/>
  <c r="AV269" i="46"/>
  <c r="AV520" i="46"/>
  <c r="AV159" i="46"/>
  <c r="AV563" i="46"/>
  <c r="AV98" i="46"/>
  <c r="AV97" i="46"/>
  <c r="AV565" i="46"/>
  <c r="AV524" i="46"/>
  <c r="AV34" i="46"/>
  <c r="AV179" i="46"/>
  <c r="AV285" i="46"/>
  <c r="AV539" i="46"/>
  <c r="AV571" i="46"/>
  <c r="AV255" i="46"/>
  <c r="AV330" i="46"/>
  <c r="AV257" i="46"/>
  <c r="AV309" i="46"/>
  <c r="AV116" i="46"/>
  <c r="AV514" i="46"/>
  <c r="AV271" i="46"/>
  <c r="AV578" i="46"/>
  <c r="AV508" i="46"/>
  <c r="AV137" i="46"/>
  <c r="AV308" i="46"/>
  <c r="AV212" i="46"/>
  <c r="AV94" i="46"/>
  <c r="AV426" i="46"/>
  <c r="AV218" i="46"/>
  <c r="AV383" i="46"/>
  <c r="AV241" i="46"/>
  <c r="AV233" i="46"/>
  <c r="AV46" i="46"/>
  <c r="AV476" i="46"/>
  <c r="AV266" i="46"/>
  <c r="AV534" i="46"/>
  <c r="AV591" i="46"/>
  <c r="AV433" i="46"/>
  <c r="AV529" i="46"/>
  <c r="AV177" i="46"/>
  <c r="AV490" i="46"/>
  <c r="AV438" i="46"/>
  <c r="B547" i="48"/>
  <c r="B546" i="48"/>
  <c r="B641" i="47"/>
  <c r="B640" i="47"/>
  <c r="B359" i="46"/>
  <c r="B358" i="46"/>
  <c r="B377" i="46"/>
  <c r="P935" i="32" l="1"/>
  <c r="B170" i="32" l="1"/>
  <c r="B169" i="32"/>
  <c r="B20" i="32"/>
  <c r="B19" i="32"/>
  <c r="B18" i="32"/>
  <c r="B841" i="32"/>
  <c r="B519" i="32"/>
  <c r="B518" i="32"/>
  <c r="B569" i="32"/>
  <c r="B501" i="32"/>
  <c r="B500" i="32"/>
  <c r="B107" i="32"/>
  <c r="B174" i="32"/>
  <c r="B173" i="32"/>
  <c r="B138" i="32"/>
  <c r="B137" i="32"/>
  <c r="B99" i="32"/>
  <c r="B98" i="32"/>
  <c r="B565" i="32"/>
  <c r="B564" i="32"/>
  <c r="B563" i="32"/>
  <c r="B671" i="32"/>
  <c r="B206" i="32"/>
  <c r="B445" i="32"/>
  <c r="B667" i="32"/>
  <c r="B52" i="32"/>
  <c r="B51" i="32"/>
  <c r="B685" i="32"/>
  <c r="B684" i="32"/>
  <c r="B297" i="32"/>
  <c r="B167" i="32"/>
  <c r="B208" i="32"/>
  <c r="B321" i="32"/>
  <c r="B840" i="32"/>
  <c r="B556" i="32"/>
  <c r="B915" i="32"/>
  <c r="B914" i="32"/>
  <c r="B913" i="32"/>
  <c r="B912" i="32"/>
  <c r="B123" i="32"/>
  <c r="B934" i="32"/>
  <c r="B933" i="32"/>
  <c r="B932" i="32"/>
  <c r="B383" i="32"/>
  <c r="B328" i="32"/>
  <c r="B210" i="32"/>
  <c r="B640" i="32"/>
  <c r="B847" i="32"/>
  <c r="B28" i="32"/>
  <c r="B27" i="32"/>
  <c r="B26" i="32"/>
  <c r="B25" i="32"/>
  <c r="B474" i="32"/>
  <c r="B473" i="32"/>
  <c r="B472" i="32"/>
  <c r="B158" i="32"/>
  <c r="B157" i="32"/>
  <c r="B156" i="32"/>
  <c r="B155" i="32"/>
  <c r="B154" i="32"/>
  <c r="B153" i="32"/>
  <c r="B152" i="32"/>
  <c r="B648" i="32"/>
  <c r="B610" i="32"/>
  <c r="B277" i="32"/>
  <c r="B620" i="32"/>
  <c r="B132" i="32"/>
  <c r="B279" i="32"/>
  <c r="B503" i="32"/>
  <c r="B502" i="32"/>
  <c r="B813" i="32"/>
  <c r="B293" i="32"/>
  <c r="B465" i="32"/>
  <c r="B464" i="32"/>
  <c r="B463" i="32"/>
  <c r="B462" i="32"/>
  <c r="B461" i="32"/>
  <c r="B460" i="32"/>
  <c r="B459" i="32"/>
  <c r="B458" i="32"/>
  <c r="B457" i="32"/>
  <c r="B456" i="32"/>
  <c r="B455" i="32"/>
  <c r="B454" i="32"/>
  <c r="B453" i="32"/>
  <c r="B452" i="32"/>
  <c r="B451" i="32"/>
  <c r="B450" i="32"/>
  <c r="B449" i="32"/>
  <c r="B448" i="32"/>
  <c r="B823" i="32"/>
  <c r="B24" i="32"/>
  <c r="B606" i="32"/>
  <c r="B523" i="32"/>
  <c r="B121" i="32"/>
  <c r="B120" i="32"/>
  <c r="B163" i="32"/>
  <c r="B228" i="32"/>
  <c r="B23" i="32"/>
  <c r="B22" i="32"/>
  <c r="B21" i="32"/>
  <c r="B467" i="32"/>
  <c r="B466" i="32"/>
  <c r="B930" i="32"/>
  <c r="B744" i="32"/>
  <c r="B271" i="32"/>
  <c r="B270" i="32"/>
  <c r="B32" i="32"/>
  <c r="B31" i="32"/>
  <c r="B30" i="32"/>
  <c r="B29" i="32"/>
  <c r="B281" i="32"/>
  <c r="B607" i="32"/>
  <c r="B601" i="32"/>
  <c r="B205" i="32"/>
  <c r="B196" i="32"/>
  <c r="B687" i="32"/>
  <c r="B207" i="32"/>
  <c r="B179" i="48" l="1"/>
  <c r="B226" i="47"/>
  <c r="B100" i="46"/>
  <c r="B610" i="48" l="1"/>
  <c r="B737" i="47"/>
  <c r="B398" i="46"/>
  <c r="B902" i="48"/>
  <c r="B901" i="48"/>
  <c r="B491" i="48"/>
  <c r="B490" i="48"/>
  <c r="B489" i="48"/>
  <c r="B488" i="48"/>
  <c r="B158" i="48"/>
  <c r="B492" i="47" l="1"/>
  <c r="B491" i="47"/>
  <c r="B325" i="46"/>
  <c r="B324" i="46"/>
  <c r="B21" i="11" l="1"/>
  <c r="B35" i="11"/>
  <c r="B34" i="11"/>
  <c r="B33" i="11"/>
  <c r="B32" i="11"/>
  <c r="B31" i="11"/>
  <c r="B294" i="2" l="1"/>
  <c r="O54" i="46" l="1"/>
  <c r="B30" i="11" l="1"/>
  <c r="B29" i="11"/>
  <c r="B28" i="11"/>
  <c r="B27" i="11"/>
  <c r="B17" i="11"/>
  <c r="B26" i="11"/>
  <c r="B16" i="11"/>
  <c r="B25" i="11"/>
  <c r="B15" i="11"/>
  <c r="BD99" i="46" l="1"/>
  <c r="BD550" i="46"/>
  <c r="BD481" i="46"/>
  <c r="BD601" i="46"/>
  <c r="BD220" i="46"/>
  <c r="BD154" i="46"/>
  <c r="BD283" i="46"/>
  <c r="BD153" i="46"/>
  <c r="BD268" i="46"/>
  <c r="BD407" i="46"/>
  <c r="BD502" i="46"/>
  <c r="BD606" i="46"/>
  <c r="BD554" i="46"/>
  <c r="BD128" i="46"/>
  <c r="BD263" i="46"/>
  <c r="BD167" i="46"/>
  <c r="BD623" i="46"/>
  <c r="BD621" i="46"/>
  <c r="BD80" i="46"/>
  <c r="BD478" i="46"/>
  <c r="BD353" i="46"/>
  <c r="BD131" i="46"/>
  <c r="BD127" i="46"/>
  <c r="BD501" i="46"/>
  <c r="BD536" i="46"/>
  <c r="BD405" i="46"/>
  <c r="BD404" i="46"/>
  <c r="BD403" i="46"/>
  <c r="BD402" i="46"/>
  <c r="BD401" i="46"/>
  <c r="BD225" i="46"/>
  <c r="BD238" i="46"/>
  <c r="BD590" i="46"/>
  <c r="BD448" i="46"/>
  <c r="BD646" i="46"/>
  <c r="BD645" i="46"/>
  <c r="BD644" i="46"/>
  <c r="BD643" i="46"/>
  <c r="BD642" i="46"/>
  <c r="BD641" i="46"/>
  <c r="BD160" i="46"/>
  <c r="BD431" i="46"/>
  <c r="BD298" i="46"/>
  <c r="BD653" i="46"/>
  <c r="BD492" i="46"/>
  <c r="BD87" i="46"/>
  <c r="BD83" i="46"/>
  <c r="BD603" i="46"/>
  <c r="BD494" i="46"/>
  <c r="BD415" i="46"/>
  <c r="BD432" i="46"/>
  <c r="BD109" i="46"/>
  <c r="BD636" i="46"/>
  <c r="BD556" i="46"/>
  <c r="BD106" i="46"/>
  <c r="BD197" i="46"/>
  <c r="BD84" i="46"/>
  <c r="BD41" i="46"/>
  <c r="BD396" i="46"/>
  <c r="BD216" i="46"/>
  <c r="BD614" i="46"/>
  <c r="BD272" i="46"/>
  <c r="BD59" i="46"/>
  <c r="BD595" i="46"/>
  <c r="BD503" i="46"/>
  <c r="BD617" i="46"/>
  <c r="BD356" i="46"/>
  <c r="BD228" i="46"/>
  <c r="BD158" i="46"/>
  <c r="BD77" i="46"/>
  <c r="BD420" i="46"/>
  <c r="BD495" i="46"/>
  <c r="BD202" i="46"/>
  <c r="BD657" i="46"/>
  <c r="BD656" i="46"/>
  <c r="BD521" i="46"/>
  <c r="BD45" i="46"/>
  <c r="BD596" i="46"/>
  <c r="BD394" i="46"/>
  <c r="BD184" i="46"/>
  <c r="BD381" i="46"/>
  <c r="BD172" i="46"/>
  <c r="BD598" i="46"/>
  <c r="BD135" i="46"/>
  <c r="BD155" i="46"/>
  <c r="BD582" i="46"/>
  <c r="BD564" i="46"/>
  <c r="BD440" i="46"/>
  <c r="BD125" i="46"/>
  <c r="BD227" i="46"/>
  <c r="BD226" i="46"/>
  <c r="BD175" i="46"/>
  <c r="BD114" i="46"/>
  <c r="BD620" i="46"/>
  <c r="BD473" i="46"/>
  <c r="BD240" i="46"/>
  <c r="BD389" i="46"/>
  <c r="BD281" i="46"/>
  <c r="BD652" i="46"/>
  <c r="BD648" i="46"/>
  <c r="BD647" i="46"/>
  <c r="BD461" i="46"/>
  <c r="BD458" i="46"/>
  <c r="BD457" i="46"/>
  <c r="BD247" i="46"/>
  <c r="BD174" i="46"/>
  <c r="BD146" i="46"/>
  <c r="BD124" i="46"/>
  <c r="BD231" i="46"/>
  <c r="BD235" i="46"/>
  <c r="BD488" i="46"/>
  <c r="BD183" i="46"/>
  <c r="BD157" i="46"/>
  <c r="BD284" i="46"/>
  <c r="BD545" i="46"/>
  <c r="BD511" i="46"/>
  <c r="BD210" i="46"/>
  <c r="BD486" i="46"/>
  <c r="BD277" i="46"/>
  <c r="BD269" i="46"/>
  <c r="BD520" i="46"/>
  <c r="BD159" i="46"/>
  <c r="BD563" i="46"/>
  <c r="BD98" i="46"/>
  <c r="BD97" i="46"/>
  <c r="BD565" i="46"/>
  <c r="BD524" i="46"/>
  <c r="BD34" i="46"/>
  <c r="BD179" i="46"/>
  <c r="BD285" i="46"/>
  <c r="BD539" i="46"/>
  <c r="BD571" i="46"/>
  <c r="BD255" i="46"/>
  <c r="BD330" i="46"/>
  <c r="BD257" i="46"/>
  <c r="BD309" i="46"/>
  <c r="BD116" i="46"/>
  <c r="BD514" i="46"/>
  <c r="BD271" i="46"/>
  <c r="BD578" i="46"/>
  <c r="BD508" i="46"/>
  <c r="BD137" i="46"/>
  <c r="BD308" i="46"/>
  <c r="BD212" i="46"/>
  <c r="BD94" i="46"/>
  <c r="BD426" i="46"/>
  <c r="BD218" i="46"/>
  <c r="BD383" i="46"/>
  <c r="BD241" i="46"/>
  <c r="BD233" i="46"/>
  <c r="BD46" i="46"/>
  <c r="BD476" i="46"/>
  <c r="BD266" i="46"/>
  <c r="BD534" i="46"/>
  <c r="BD591" i="46"/>
  <c r="BD433" i="46"/>
  <c r="BD529" i="46"/>
  <c r="BD177" i="46"/>
  <c r="BD490" i="46"/>
  <c r="BD438" i="46"/>
  <c r="BD480" i="46"/>
  <c r="BD292" i="46"/>
  <c r="BD538" i="46"/>
  <c r="BD105" i="46"/>
  <c r="BD89" i="46"/>
  <c r="BD260" i="46"/>
  <c r="BD63" i="46"/>
  <c r="BD189" i="46"/>
  <c r="BD102" i="46"/>
  <c r="BD101" i="46"/>
  <c r="BD592" i="46"/>
  <c r="BD444" i="46"/>
  <c r="BD107" i="46"/>
  <c r="BD211" i="46"/>
  <c r="BD491" i="46"/>
  <c r="BD437" i="46"/>
  <c r="BD265" i="46"/>
  <c r="BD261" i="46"/>
  <c r="BD449" i="46"/>
  <c r="BD581" i="46"/>
  <c r="BD413" i="46"/>
  <c r="BD610" i="46"/>
  <c r="BD422" i="46"/>
  <c r="BD96" i="46"/>
  <c r="BD200" i="46"/>
  <c r="BD199" i="46"/>
  <c r="BD484" i="46"/>
  <c r="BD526" i="46"/>
  <c r="BD300" i="46"/>
  <c r="BD365" i="46"/>
  <c r="BD191" i="46"/>
  <c r="BD510" i="46"/>
  <c r="BD222" i="46"/>
  <c r="BD626" i="46"/>
  <c r="BD379" i="46"/>
  <c r="BD40" i="46"/>
  <c r="BD208" i="46"/>
  <c r="BD139" i="46"/>
  <c r="BD443" i="46"/>
  <c r="BD424" i="46"/>
  <c r="BD638" i="46"/>
  <c r="BD385" i="46"/>
  <c r="BD384" i="46"/>
  <c r="BD209" i="46"/>
  <c r="BD278" i="46"/>
  <c r="BD311" i="46"/>
  <c r="BD611" i="46"/>
  <c r="BD60" i="46"/>
  <c r="BD483" i="46"/>
  <c r="BD482" i="46"/>
  <c r="BD560" i="46"/>
  <c r="BD44" i="46"/>
  <c r="BD43" i="46"/>
  <c r="BD287" i="46"/>
  <c r="BD532" i="46"/>
  <c r="BD533" i="46"/>
  <c r="BD434" i="46"/>
  <c r="BD561" i="46"/>
  <c r="BD624" i="46"/>
  <c r="BD161" i="46"/>
  <c r="BD447" i="46"/>
  <c r="BD68" i="46"/>
  <c r="BD386" i="46"/>
  <c r="BD633" i="46"/>
  <c r="BD493" i="46"/>
  <c r="BD528" i="46"/>
  <c r="BD136" i="46"/>
  <c r="BD244" i="46"/>
  <c r="BD148" i="46"/>
  <c r="BD147" i="46"/>
  <c r="BD487" i="46"/>
  <c r="BD400" i="46"/>
  <c r="BD201" i="46"/>
  <c r="BD252" i="46"/>
  <c r="BD496" i="46"/>
  <c r="BD505" i="46"/>
  <c r="BD547" i="46"/>
  <c r="BD531" i="46"/>
  <c r="BD382" i="46"/>
  <c r="BD615" i="46"/>
  <c r="BD446" i="46"/>
  <c r="BD187" i="46"/>
  <c r="BD111" i="46"/>
  <c r="BD635" i="46"/>
  <c r="BD168" i="46"/>
  <c r="BD442" i="46"/>
  <c r="BD477" i="46"/>
  <c r="BD291" i="46"/>
  <c r="BD181" i="46"/>
  <c r="BD373" i="46"/>
  <c r="BD436" i="46"/>
  <c r="BD507" i="46"/>
  <c r="BD104" i="46"/>
  <c r="BD103" i="46"/>
  <c r="BD245" i="46"/>
  <c r="BD256" i="46"/>
  <c r="BD371" i="46"/>
  <c r="BD194" i="46"/>
  <c r="BD612" i="46"/>
  <c r="BD489" i="46"/>
  <c r="BD122" i="46"/>
  <c r="BD616" i="46"/>
  <c r="BD307" i="46"/>
  <c r="BD479" i="46"/>
  <c r="BD290" i="46"/>
  <c r="BD412" i="46"/>
  <c r="BD262" i="46"/>
  <c r="BD609" i="46"/>
  <c r="BD163" i="46"/>
  <c r="BD562" i="46"/>
  <c r="BD143" i="46"/>
  <c r="BD156" i="46"/>
  <c r="BD67" i="46"/>
  <c r="BD552" i="46"/>
  <c r="BD267" i="46"/>
  <c r="BD583" i="46"/>
  <c r="BD243" i="46"/>
  <c r="BD242" i="46"/>
  <c r="BD555" i="46"/>
  <c r="BD204" i="46"/>
  <c r="BD185" i="46"/>
  <c r="BD363" i="46"/>
  <c r="BD362" i="46"/>
  <c r="BD604" i="46"/>
  <c r="BD203" i="46"/>
  <c r="BD408" i="46"/>
  <c r="BD286" i="46"/>
  <c r="BD416" i="46"/>
  <c r="BD289" i="46"/>
  <c r="BD558" i="46"/>
  <c r="BD497" i="46"/>
  <c r="BD91" i="46"/>
  <c r="BD454" i="46"/>
  <c r="BD395" i="46"/>
  <c r="BD171" i="46"/>
  <c r="BD130" i="46"/>
  <c r="BD632" i="46"/>
  <c r="BD93" i="46"/>
  <c r="BD627" i="46"/>
  <c r="BD485" i="46"/>
  <c r="BD466" i="46"/>
  <c r="BD12" i="46"/>
  <c r="BD574" i="46"/>
  <c r="BD580" i="46"/>
  <c r="BD570" i="46"/>
  <c r="BD182" i="46"/>
  <c r="BD195" i="46"/>
  <c r="BD50" i="46"/>
  <c r="BD49" i="46"/>
  <c r="BD95" i="46"/>
  <c r="BD607" i="46"/>
  <c r="BD234" i="46"/>
  <c r="BD250" i="46"/>
  <c r="BD186" i="46"/>
  <c r="BD304" i="46"/>
  <c r="BD634" i="46"/>
  <c r="BD475" i="46"/>
  <c r="BD273" i="46"/>
  <c r="BD320" i="46"/>
  <c r="BD575" i="46"/>
  <c r="BD297" i="46"/>
  <c r="BD553" i="46"/>
  <c r="BD525" i="46"/>
  <c r="BD576" i="46"/>
  <c r="BD474" i="46"/>
  <c r="BD599" i="46"/>
  <c r="BD246" i="46"/>
  <c r="BD618" i="46"/>
  <c r="BD506" i="46"/>
  <c r="BD410" i="46"/>
  <c r="BD409" i="46"/>
  <c r="BD149" i="46"/>
  <c r="BD152" i="46"/>
  <c r="BD605" i="46"/>
  <c r="BD66" i="46"/>
  <c r="BD65" i="46"/>
  <c r="BD522" i="46"/>
  <c r="BD165" i="46"/>
  <c r="BD465" i="46"/>
  <c r="BD464" i="46"/>
  <c r="BD150" i="46"/>
  <c r="BD169" i="46"/>
  <c r="BD275" i="46"/>
  <c r="BD76" i="46"/>
  <c r="BD537" i="46"/>
  <c r="BD470" i="46"/>
  <c r="BD551" i="46"/>
  <c r="BD173" i="46"/>
  <c r="BD141" i="46"/>
  <c r="BD239" i="46"/>
  <c r="BD518" i="46"/>
  <c r="BD468" i="46"/>
  <c r="BD628" i="46"/>
  <c r="BD513" i="46"/>
  <c r="BD450" i="46"/>
  <c r="BD140" i="46"/>
  <c r="BD637" i="46"/>
  <c r="BD23" i="46"/>
  <c r="BD55" i="46"/>
  <c r="BD54" i="46"/>
  <c r="BD293" i="46"/>
  <c r="BD348" i="46"/>
  <c r="BD347" i="46"/>
  <c r="BD346" i="46"/>
  <c r="BD251" i="46"/>
  <c r="BD451" i="46"/>
  <c r="BD335" i="46"/>
  <c r="BD334" i="46"/>
  <c r="BD333" i="46"/>
  <c r="BD587" i="46"/>
  <c r="BD296" i="46"/>
  <c r="BD26" i="46"/>
  <c r="BD25" i="46"/>
  <c r="BD78" i="46"/>
  <c r="BD428" i="46"/>
  <c r="BD282" i="46"/>
  <c r="BD630" i="46"/>
  <c r="BD392" i="46"/>
  <c r="BD572" i="46"/>
  <c r="BD302" i="46"/>
  <c r="BD613" i="46"/>
  <c r="BD608" i="46"/>
  <c r="BD467" i="46"/>
  <c r="BD301" i="46"/>
  <c r="BD166" i="46"/>
  <c r="BD527" i="46"/>
  <c r="B429" i="46" l="1"/>
  <c r="B17" i="46"/>
  <c r="B662" i="46"/>
  <c r="B390" i="46"/>
  <c r="B62" i="46"/>
  <c r="B138" i="46"/>
  <c r="B16" i="46"/>
  <c r="B326" i="46"/>
  <c r="B90" i="46"/>
  <c r="B15" i="46"/>
  <c r="B594" i="46"/>
  <c r="B350" i="46"/>
  <c r="B349" i="46"/>
  <c r="B378" i="46"/>
  <c r="B339" i="46"/>
  <c r="B53" i="46"/>
  <c r="B92" i="46"/>
  <c r="B72" i="46"/>
  <c r="B47" i="46"/>
  <c r="B374" i="46"/>
  <c r="B439" i="46"/>
  <c r="B119" i="46"/>
  <c r="B321" i="46"/>
  <c r="B435" i="46"/>
  <c r="B27" i="46"/>
  <c r="B453" i="46"/>
  <c r="B452" i="46"/>
  <c r="B196" i="46"/>
  <c r="B88" i="46"/>
  <c r="B121" i="46"/>
  <c r="B214" i="46"/>
  <c r="B593" i="46"/>
  <c r="B370" i="46"/>
  <c r="B655" i="46"/>
  <c r="B654" i="46"/>
  <c r="B663" i="46"/>
  <c r="B274" i="46"/>
  <c r="B221" i="46"/>
  <c r="B123" i="46"/>
  <c r="B414" i="46"/>
  <c r="B600" i="46"/>
  <c r="B19" i="46"/>
  <c r="B18" i="46"/>
  <c r="B331" i="46"/>
  <c r="B81" i="46"/>
  <c r="B419" i="46"/>
  <c r="B393" i="46"/>
  <c r="B176" i="46"/>
  <c r="B399" i="46"/>
  <c r="B69" i="46"/>
  <c r="B178" i="46"/>
  <c r="B340" i="46"/>
  <c r="B568" i="46"/>
  <c r="B567" i="46"/>
  <c r="B566" i="46"/>
  <c r="B192" i="46"/>
  <c r="B661" i="46"/>
  <c r="B504" i="46"/>
  <c r="B170" i="46"/>
  <c r="B21" i="46"/>
  <c r="B20" i="46"/>
  <c r="B180" i="46"/>
  <c r="B391" i="46"/>
  <c r="B387" i="46"/>
  <c r="B118" i="46"/>
  <c r="B117" i="46"/>
  <c r="B456" i="46"/>
  <c r="B455" i="46"/>
  <c r="B120" i="46"/>
  <c r="B372" i="46"/>
  <c r="B351" i="46"/>
  <c r="B376" i="46"/>
  <c r="B375" i="46"/>
  <c r="B355" i="46"/>
  <c r="B354" i="46"/>
  <c r="B193" i="46"/>
  <c r="B361" i="46"/>
  <c r="B360" i="46"/>
  <c r="B515" i="46"/>
  <c r="B253" i="46"/>
  <c r="B129" i="46"/>
  <c r="B113" i="46"/>
  <c r="B310" i="46"/>
  <c r="B112" i="46"/>
  <c r="B142" i="46"/>
  <c r="B316" i="46"/>
  <c r="B315" i="46"/>
  <c r="B71" i="46"/>
  <c r="B295" i="46"/>
  <c r="B48" i="46"/>
  <c r="B463" i="46"/>
  <c r="B462" i="46"/>
  <c r="B230" i="46"/>
  <c r="B380" i="46"/>
  <c r="B509" i="46"/>
  <c r="B589" i="46"/>
  <c r="B388" i="46"/>
  <c r="B332" i="46"/>
  <c r="B472" i="46"/>
  <c r="B498" i="46"/>
  <c r="B299" i="46"/>
  <c r="B82" i="46"/>
  <c r="B144" i="46"/>
  <c r="B406" i="46"/>
  <c r="B548" i="46"/>
  <c r="B206" i="46"/>
  <c r="B546" i="46"/>
  <c r="B584" i="46"/>
  <c r="B338" i="46"/>
  <c r="B337" i="46"/>
  <c r="B535" i="46"/>
  <c r="B73" i="46"/>
  <c r="B134" i="46"/>
  <c r="B133" i="46"/>
  <c r="B132" i="46"/>
  <c r="B631" i="46"/>
  <c r="B397" i="46"/>
  <c r="B37" i="46"/>
  <c r="B357" i="46"/>
  <c r="B471" i="46"/>
  <c r="B543" i="46"/>
  <c r="B58" i="46"/>
  <c r="B57" i="46"/>
  <c r="B39" i="46"/>
  <c r="B38" i="46"/>
  <c r="B319" i="46"/>
  <c r="B318" i="46"/>
  <c r="B317" i="46"/>
  <c r="B276" i="46"/>
  <c r="B288" i="46"/>
  <c r="B418" i="46"/>
  <c r="B542" i="46"/>
  <c r="B248" i="46"/>
  <c r="B425" i="46"/>
  <c r="B367" i="46"/>
  <c r="B366" i="46"/>
  <c r="B629" i="46"/>
  <c r="B519" i="46"/>
  <c r="B427" i="46"/>
  <c r="B417" i="46"/>
  <c r="B469" i="46"/>
  <c r="B588" i="46"/>
  <c r="B625" i="46"/>
  <c r="B312" i="46"/>
  <c r="B31" i="46"/>
  <c r="B30" i="46"/>
  <c r="B29" i="46"/>
  <c r="B28" i="46"/>
  <c r="B258" i="46"/>
  <c r="B223" i="46"/>
  <c r="B306" i="46"/>
  <c r="B217" i="46"/>
  <c r="B577" i="46"/>
  <c r="B364" i="46"/>
  <c r="B569" i="46"/>
  <c r="B314" i="46"/>
  <c r="B313" i="46"/>
  <c r="B61" i="46"/>
  <c r="B188" i="46"/>
  <c r="B35" i="46"/>
  <c r="B279" i="46"/>
  <c r="B460" i="46"/>
  <c r="B459" i="46"/>
  <c r="B79" i="46"/>
  <c r="B651" i="46"/>
  <c r="B249" i="46"/>
  <c r="B305" i="46"/>
  <c r="B303" i="46"/>
  <c r="B659" i="46"/>
  <c r="B658" i="46"/>
  <c r="B573" i="46"/>
  <c r="B622" i="46"/>
  <c r="B236" i="46"/>
  <c r="B237" i="46"/>
  <c r="B579" i="46"/>
  <c r="B24" i="46"/>
  <c r="B22" i="46"/>
  <c r="B280" i="46"/>
  <c r="B499" i="46"/>
  <c r="B500" i="46"/>
  <c r="B74" i="46"/>
  <c r="B151" i="46"/>
  <c r="B557" i="46"/>
  <c r="B264" i="46"/>
  <c r="B36" i="46"/>
  <c r="B619" i="46"/>
  <c r="B198" i="46"/>
  <c r="B270" i="46"/>
  <c r="B602" i="46"/>
  <c r="B190" i="46"/>
  <c r="B544" i="46"/>
  <c r="B660" i="46"/>
  <c r="B541" i="46"/>
  <c r="B421" i="46"/>
  <c r="B649" i="46"/>
  <c r="B540" i="46"/>
  <c r="B254" i="46"/>
  <c r="B640" i="46"/>
  <c r="B639" i="46"/>
  <c r="B232" i="46"/>
  <c r="B445" i="46"/>
  <c r="B11" i="46"/>
  <c r="B229" i="46"/>
  <c r="B549" i="46"/>
  <c r="B224" i="46"/>
  <c r="B215" i="46"/>
  <c r="B430" i="46"/>
  <c r="B516" i="46"/>
  <c r="B126" i="46"/>
  <c r="B207" i="46"/>
  <c r="B52" i="46"/>
  <c r="B51" i="46"/>
  <c r="B523" i="46"/>
  <c r="B115" i="46"/>
  <c r="B259" i="46"/>
  <c r="B162" i="46"/>
  <c r="B219" i="46"/>
  <c r="B597" i="46"/>
  <c r="B586" i="46"/>
  <c r="B585" i="46"/>
  <c r="B530" i="46"/>
  <c r="B411" i="46"/>
  <c r="B110" i="46"/>
  <c r="B86" i="46"/>
  <c r="B336" i="46"/>
  <c r="B213" i="46"/>
  <c r="B341" i="46"/>
  <c r="B75" i="46"/>
  <c r="B512" i="46"/>
  <c r="B559" i="46"/>
  <c r="B99" i="46"/>
  <c r="B550" i="46"/>
  <c r="B481" i="46"/>
  <c r="B601" i="46"/>
  <c r="B220" i="46"/>
  <c r="B154" i="46"/>
  <c r="B283" i="46"/>
  <c r="B153" i="46"/>
  <c r="B268" i="46"/>
  <c r="B407" i="46"/>
  <c r="B502" i="46"/>
  <c r="B606" i="46"/>
  <c r="B554" i="46"/>
  <c r="B128" i="46"/>
  <c r="B263" i="46"/>
  <c r="B167" i="46"/>
  <c r="B623" i="46"/>
  <c r="B621" i="46"/>
  <c r="B80" i="46"/>
  <c r="B478" i="46"/>
  <c r="B353" i="46"/>
  <c r="B131" i="46"/>
  <c r="B127" i="46"/>
  <c r="B501" i="46"/>
  <c r="B536" i="46"/>
  <c r="B405" i="46"/>
  <c r="B404" i="46"/>
  <c r="B403" i="46"/>
  <c r="B402" i="46"/>
  <c r="B401" i="46"/>
  <c r="B225" i="46"/>
  <c r="B238" i="46"/>
  <c r="B590" i="46"/>
  <c r="B448" i="46"/>
  <c r="B646" i="46"/>
  <c r="B645" i="46"/>
  <c r="B644" i="46"/>
  <c r="B643" i="46"/>
  <c r="B642" i="46"/>
  <c r="B641" i="46"/>
  <c r="B160" i="46"/>
  <c r="B431" i="46"/>
  <c r="B298" i="46"/>
  <c r="B653" i="46"/>
  <c r="B492" i="46"/>
  <c r="B87" i="46"/>
  <c r="B83" i="46"/>
  <c r="B603" i="46"/>
  <c r="B494" i="46"/>
  <c r="B415" i="46"/>
  <c r="B432" i="46"/>
  <c r="B109" i="46"/>
  <c r="B636" i="46"/>
  <c r="B556" i="46"/>
  <c r="B106" i="46"/>
  <c r="B197" i="46"/>
  <c r="B84" i="46"/>
  <c r="B41" i="46"/>
  <c r="B396" i="46"/>
  <c r="B216" i="46"/>
  <c r="B614" i="46"/>
  <c r="B272" i="46"/>
  <c r="B59" i="46"/>
  <c r="B595" i="46"/>
  <c r="B503" i="46"/>
  <c r="B617" i="46"/>
  <c r="B356" i="46"/>
  <c r="B228" i="46"/>
  <c r="B158" i="46"/>
  <c r="B77" i="46"/>
  <c r="B420" i="46"/>
  <c r="B495" i="46"/>
  <c r="B202" i="46"/>
  <c r="B657" i="46"/>
  <c r="B656" i="46"/>
  <c r="B521" i="46"/>
  <c r="B45" i="46"/>
  <c r="B596" i="46"/>
  <c r="B394" i="46"/>
  <c r="B184" i="46"/>
  <c r="B381" i="46"/>
  <c r="B172" i="46"/>
  <c r="B598" i="46"/>
  <c r="B135" i="46"/>
  <c r="B155" i="46"/>
  <c r="B582" i="46"/>
  <c r="B564" i="46"/>
  <c r="B440" i="46"/>
  <c r="B125" i="46"/>
  <c r="B227" i="46"/>
  <c r="B226" i="46"/>
  <c r="B175" i="46"/>
  <c r="B114" i="46"/>
  <c r="B620" i="46"/>
  <c r="B473" i="46"/>
  <c r="B240" i="46"/>
  <c r="B389" i="46"/>
  <c r="B281" i="46"/>
  <c r="B652" i="46"/>
  <c r="B648" i="46"/>
  <c r="B647" i="46"/>
  <c r="B461" i="46"/>
  <c r="B458" i="46"/>
  <c r="B457" i="46"/>
  <c r="B247" i="46"/>
  <c r="B174" i="46"/>
  <c r="B146" i="46"/>
  <c r="B124" i="46"/>
  <c r="B231" i="46"/>
  <c r="B235" i="46"/>
  <c r="B488" i="46"/>
  <c r="B183" i="46"/>
  <c r="B157" i="46"/>
  <c r="B284" i="46"/>
  <c r="B545" i="46"/>
  <c r="B511" i="46"/>
  <c r="B210" i="46"/>
  <c r="B486" i="46"/>
  <c r="B277" i="46"/>
  <c r="B269" i="46"/>
  <c r="B520" i="46"/>
  <c r="B159" i="46"/>
  <c r="B563" i="46"/>
  <c r="B98" i="46"/>
  <c r="B97" i="46"/>
  <c r="B565" i="46"/>
  <c r="B524" i="46"/>
  <c r="B34" i="46"/>
  <c r="B179" i="46"/>
  <c r="B285" i="46"/>
  <c r="B539" i="46"/>
  <c r="B571" i="46"/>
  <c r="B255" i="46"/>
  <c r="B330" i="46"/>
  <c r="B257" i="46"/>
  <c r="B309" i="46"/>
  <c r="B116" i="46"/>
  <c r="B514" i="46"/>
  <c r="B271" i="46"/>
  <c r="B578" i="46"/>
  <c r="B508" i="46"/>
  <c r="B137" i="46"/>
  <c r="B308" i="46"/>
  <c r="B212" i="46"/>
  <c r="B94" i="46"/>
  <c r="B426" i="46"/>
  <c r="B218" i="46"/>
  <c r="B383" i="46"/>
  <c r="B241" i="46"/>
  <c r="B233" i="46"/>
  <c r="B46" i="46"/>
  <c r="B476" i="46"/>
  <c r="B266" i="46"/>
  <c r="B534" i="46"/>
  <c r="B591" i="46"/>
  <c r="B433" i="46"/>
  <c r="B529" i="46"/>
  <c r="B177" i="46"/>
  <c r="B490" i="46"/>
  <c r="B208" i="47"/>
  <c r="B236" i="47"/>
  <c r="B753" i="47"/>
  <c r="B883" i="47"/>
  <c r="B938" i="47"/>
  <c r="B939" i="47"/>
  <c r="B950" i="47"/>
  <c r="B363" i="47"/>
  <c r="B301" i="47"/>
  <c r="B409" i="47"/>
  <c r="B243" i="47"/>
  <c r="B876" i="47"/>
  <c r="B143" i="47"/>
  <c r="B144" i="47"/>
  <c r="B351" i="47"/>
  <c r="B263" i="47"/>
  <c r="B869" i="47"/>
  <c r="B777" i="47"/>
  <c r="B359" i="47"/>
  <c r="B368" i="47"/>
  <c r="B902" i="47"/>
  <c r="B376" i="47"/>
  <c r="B11" i="47"/>
  <c r="B12" i="47"/>
  <c r="B793" i="47"/>
  <c r="B379" i="47"/>
  <c r="B995" i="47"/>
  <c r="B996" i="47"/>
  <c r="B403" i="47"/>
  <c r="B893" i="47"/>
  <c r="B1048" i="47"/>
  <c r="B1049" i="47"/>
  <c r="B1050" i="47"/>
  <c r="B766" i="47"/>
  <c r="B894" i="47"/>
  <c r="B1064" i="47"/>
  <c r="B897" i="47"/>
  <c r="B334" i="47"/>
  <c r="B955" i="47"/>
  <c r="B420" i="47"/>
  <c r="B342" i="47"/>
  <c r="B972" i="47"/>
  <c r="B109" i="47"/>
  <c r="B110" i="47"/>
  <c r="B414" i="47"/>
  <c r="B910" i="47"/>
  <c r="B289" i="47"/>
  <c r="B194" i="47"/>
  <c r="B853" i="47"/>
  <c r="B852" i="47"/>
  <c r="B431" i="47"/>
  <c r="B56" i="47"/>
  <c r="B57" i="47"/>
  <c r="B58" i="47"/>
  <c r="B64" i="47"/>
  <c r="B65" i="47"/>
  <c r="B66" i="47"/>
  <c r="B67" i="47"/>
  <c r="B68" i="47"/>
  <c r="B69" i="47"/>
  <c r="B70" i="47"/>
  <c r="B71" i="47"/>
  <c r="B932" i="47"/>
  <c r="B385" i="47"/>
  <c r="B384" i="47"/>
  <c r="B975" i="47"/>
  <c r="B926" i="47"/>
  <c r="B1062" i="47"/>
  <c r="B1063" i="47"/>
  <c r="B454" i="47"/>
  <c r="B456" i="47"/>
  <c r="B398" i="47"/>
  <c r="B1052" i="47"/>
  <c r="B1053" i="47"/>
  <c r="B200" i="47"/>
  <c r="B808" i="47"/>
  <c r="B809" i="47"/>
  <c r="B430" i="47"/>
  <c r="B108" i="47"/>
  <c r="B332" i="47"/>
  <c r="B180" i="47"/>
  <c r="B477" i="47"/>
  <c r="B478" i="47"/>
  <c r="B479" i="47"/>
  <c r="B922" i="47"/>
  <c r="B650" i="47"/>
  <c r="B651" i="47"/>
  <c r="B652" i="47"/>
  <c r="B653" i="47"/>
  <c r="B654" i="47"/>
  <c r="B930" i="47"/>
  <c r="B361" i="47"/>
  <c r="B457" i="47"/>
  <c r="B367" i="47"/>
  <c r="B408" i="47"/>
  <c r="B88" i="47"/>
  <c r="B89" i="47"/>
  <c r="B90" i="47"/>
  <c r="B91" i="47"/>
  <c r="B92" i="47"/>
  <c r="B93" i="47"/>
  <c r="B94" i="47"/>
  <c r="B95" i="47"/>
  <c r="B96" i="47"/>
  <c r="B97" i="47"/>
  <c r="B98" i="47"/>
  <c r="B99" i="47"/>
  <c r="B100" i="47"/>
  <c r="B101" i="47"/>
  <c r="B475" i="47"/>
  <c r="B476" i="47"/>
  <c r="B978" i="47"/>
  <c r="B979" i="47"/>
  <c r="B941" i="47"/>
  <c r="B818" i="47"/>
  <c r="B761" i="47"/>
  <c r="B774" i="47"/>
  <c r="B872" i="47"/>
  <c r="B983" i="47"/>
  <c r="B656" i="47"/>
  <c r="B657" i="47"/>
  <c r="B771" i="47"/>
  <c r="B772" i="47"/>
  <c r="B397" i="47"/>
  <c r="B895" i="47"/>
  <c r="B762" i="47"/>
  <c r="B763" i="47"/>
  <c r="B439" i="47"/>
  <c r="B426" i="47"/>
  <c r="B484" i="47"/>
  <c r="B485" i="47"/>
  <c r="B486" i="47"/>
  <c r="B112" i="47"/>
  <c r="B113" i="47"/>
  <c r="B114" i="47"/>
  <c r="B155" i="47"/>
  <c r="B156" i="47"/>
  <c r="B896" i="47"/>
  <c r="B820" i="47"/>
  <c r="B635" i="47"/>
  <c r="B636" i="47"/>
  <c r="B637" i="47"/>
  <c r="B638" i="47"/>
  <c r="B639" i="47"/>
  <c r="B111" i="47"/>
  <c r="B736" i="47"/>
  <c r="B985" i="47"/>
  <c r="B986" i="47"/>
  <c r="B270" i="47"/>
  <c r="B271" i="47"/>
  <c r="B272" i="47"/>
  <c r="B193" i="47"/>
  <c r="B888" i="47"/>
  <c r="B558" i="47"/>
  <c r="B559" i="47"/>
  <c r="B560" i="47"/>
  <c r="B561" i="47"/>
  <c r="B562" i="47"/>
  <c r="B563" i="47"/>
  <c r="B564" i="47"/>
  <c r="B565" i="47"/>
  <c r="B566" i="47"/>
  <c r="B567" i="47"/>
  <c r="B568" i="47"/>
  <c r="B569" i="47"/>
  <c r="B570" i="47"/>
  <c r="B571" i="47"/>
  <c r="B572" i="47"/>
  <c r="B573" i="47"/>
  <c r="B574" i="47"/>
  <c r="B575" i="47"/>
  <c r="B576" i="47"/>
  <c r="B577" i="47"/>
  <c r="B578" i="47"/>
  <c r="B579" i="47"/>
  <c r="B580" i="47"/>
  <c r="B581" i="47"/>
  <c r="B582" i="47"/>
  <c r="B937" i="47"/>
  <c r="B899" i="47"/>
  <c r="B350" i="47"/>
  <c r="B901" i="47"/>
  <c r="B746" i="47"/>
  <c r="B747" i="47"/>
  <c r="B282" i="47"/>
  <c r="B203" i="47"/>
  <c r="B450" i="47"/>
  <c r="B851" i="47"/>
  <c r="B821" i="47"/>
  <c r="B547" i="47"/>
  <c r="B548" i="47"/>
  <c r="B549" i="47"/>
  <c r="B724" i="47"/>
  <c r="B725" i="47"/>
  <c r="B942" i="47"/>
  <c r="B862" i="47"/>
  <c r="B695" i="47"/>
  <c r="B696" i="47"/>
  <c r="B697" i="47"/>
  <c r="B698" i="47"/>
  <c r="B699" i="47"/>
  <c r="B700" i="47"/>
  <c r="B701" i="47"/>
  <c r="B702" i="47"/>
  <c r="B703" i="47"/>
  <c r="B704" i="47"/>
  <c r="B705" i="47"/>
  <c r="B706" i="47"/>
  <c r="B707" i="47"/>
  <c r="B708" i="47"/>
  <c r="B709" i="47"/>
  <c r="B710" i="47"/>
  <c r="B711" i="47"/>
  <c r="B712" i="47"/>
  <c r="B713" i="47"/>
  <c r="B714" i="47"/>
  <c r="B377" i="47"/>
  <c r="B811" i="47"/>
  <c r="B812" i="47"/>
  <c r="B137" i="47"/>
  <c r="B138" i="47"/>
  <c r="B139" i="47"/>
  <c r="B140" i="47"/>
  <c r="B446" i="47"/>
  <c r="B190" i="47"/>
  <c r="B191" i="47"/>
  <c r="B480" i="47"/>
  <c r="B481" i="47"/>
  <c r="B482" i="47"/>
  <c r="B483" i="47"/>
  <c r="B280" i="47"/>
  <c r="B240" i="47"/>
  <c r="B462" i="47"/>
  <c r="B463" i="47"/>
  <c r="B464" i="47"/>
  <c r="B465" i="47"/>
  <c r="B466" i="47"/>
  <c r="B467" i="47"/>
  <c r="B468" i="47"/>
  <c r="B469" i="47"/>
  <c r="B470" i="47"/>
  <c r="B471" i="47"/>
  <c r="B472" i="47"/>
  <c r="B473" i="47"/>
  <c r="B241" i="47"/>
  <c r="B266" i="47"/>
  <c r="B402" i="47"/>
  <c r="B868" i="47"/>
  <c r="B642" i="47"/>
  <c r="B643" i="47"/>
  <c r="B644" i="47"/>
  <c r="B645" i="47"/>
  <c r="B646" i="47"/>
  <c r="B337" i="47"/>
  <c r="B624" i="47"/>
  <c r="B625" i="47"/>
  <c r="B626" i="47"/>
  <c r="B627" i="47"/>
  <c r="B628" i="47"/>
  <c r="B629" i="47"/>
  <c r="B630" i="47"/>
  <c r="B631" i="47"/>
  <c r="B632" i="47"/>
  <c r="B690" i="47"/>
  <c r="B691" i="47"/>
  <c r="B611" i="47"/>
  <c r="B612" i="47"/>
  <c r="B613" i="47"/>
  <c r="B614" i="47"/>
  <c r="B615" i="47"/>
  <c r="B616" i="47"/>
  <c r="B617" i="47"/>
  <c r="B678" i="47"/>
  <c r="B679" i="47"/>
  <c r="B680" i="47"/>
  <c r="B681" i="47"/>
  <c r="B682" i="47"/>
  <c r="B683" i="47"/>
  <c r="B684" i="47"/>
  <c r="B685" i="47"/>
  <c r="B686" i="47"/>
  <c r="B248" i="47"/>
  <c r="B804" i="47"/>
  <c r="B805" i="47"/>
  <c r="B245" i="47"/>
  <c r="B246" i="47"/>
  <c r="B722" i="47"/>
  <c r="B723" i="47"/>
  <c r="B729" i="47"/>
  <c r="B730" i="47"/>
  <c r="B323" i="47"/>
  <c r="B52" i="47"/>
  <c r="B53" i="47"/>
  <c r="B54" i="47"/>
  <c r="B55" i="47"/>
  <c r="B309" i="47"/>
  <c r="B857" i="47"/>
  <c r="B1065" i="47"/>
  <c r="B1066" i="47"/>
  <c r="B336" i="47"/>
  <c r="B919" i="47"/>
  <c r="B920" i="47"/>
  <c r="B921" i="47"/>
  <c r="B591" i="47"/>
  <c r="B592" i="47"/>
  <c r="B593" i="47"/>
  <c r="B321" i="47"/>
  <c r="B188" i="47"/>
  <c r="B738" i="47"/>
  <c r="B319" i="47"/>
  <c r="B732" i="47"/>
  <c r="B764" i="47"/>
  <c r="B202" i="47"/>
  <c r="B543" i="47"/>
  <c r="B544" i="47"/>
  <c r="B545" i="47"/>
  <c r="B546" i="47"/>
  <c r="B48" i="47"/>
  <c r="B49" i="47"/>
  <c r="B50" i="47"/>
  <c r="B51" i="47"/>
  <c r="B953" i="47"/>
  <c r="B756" i="47"/>
  <c r="B757" i="47"/>
  <c r="B253" i="47"/>
  <c r="B254" i="47"/>
  <c r="B255" i="47"/>
  <c r="B256" i="47"/>
  <c r="B257" i="47"/>
  <c r="B258" i="47"/>
  <c r="B259" i="47"/>
  <c r="B260" i="47"/>
  <c r="B365" i="47"/>
  <c r="B424" i="47"/>
  <c r="B1069" i="47"/>
  <c r="B1070" i="47"/>
  <c r="B1071" i="47"/>
  <c r="B1072" i="47"/>
  <c r="B1073" i="47"/>
  <c r="B1074" i="47"/>
  <c r="B1075" i="47"/>
  <c r="B1076" i="47"/>
  <c r="B1057" i="47"/>
  <c r="B1058" i="47"/>
  <c r="B1059" i="47"/>
  <c r="B671" i="47"/>
  <c r="B672" i="47"/>
  <c r="B673" i="47"/>
  <c r="B674" i="47"/>
  <c r="B675" i="47"/>
  <c r="B676" i="47"/>
  <c r="B946" i="47"/>
  <c r="B358" i="47"/>
  <c r="B249" i="47"/>
  <c r="B250" i="47"/>
  <c r="B251" i="47"/>
  <c r="B211" i="47"/>
  <c r="B340" i="47"/>
  <c r="B801" i="47"/>
  <c r="B802" i="47"/>
  <c r="B75" i="47"/>
  <c r="B76" i="47"/>
  <c r="B77" i="47"/>
  <c r="B78" i="47"/>
  <c r="B79" i="47"/>
  <c r="B80" i="47"/>
  <c r="B81" i="47"/>
  <c r="B82" i="47"/>
  <c r="B83" i="47"/>
  <c r="B84" i="47"/>
  <c r="B85" i="47"/>
  <c r="B86" i="47"/>
  <c r="B87" i="47"/>
  <c r="B782" i="47"/>
  <c r="B488" i="47"/>
  <c r="B247" i="47"/>
  <c r="B787" i="47"/>
  <c r="B688" i="47"/>
  <c r="B689" i="47"/>
  <c r="B136" i="47"/>
  <c r="B192" i="47"/>
  <c r="B215" i="47"/>
  <c r="B216" i="47"/>
  <c r="B145" i="47"/>
  <c r="B583" i="47"/>
  <c r="B584" i="47"/>
  <c r="B585" i="47"/>
  <c r="B586" i="47"/>
  <c r="B587" i="47"/>
  <c r="B588" i="47"/>
  <c r="B589" i="47"/>
  <c r="B590" i="47"/>
  <c r="B693" i="47"/>
  <c r="B608" i="47"/>
  <c r="B609" i="47"/>
  <c r="B610" i="47"/>
  <c r="B947" i="47"/>
  <c r="B36" i="47"/>
  <c r="B37" i="47"/>
  <c r="B38" i="47"/>
  <c r="B213" i="47"/>
  <c r="B493" i="47"/>
  <c r="B494" i="47"/>
  <c r="B495" i="47"/>
  <c r="B496" i="47"/>
  <c r="B497" i="47"/>
  <c r="B498" i="47"/>
  <c r="B39" i="47"/>
  <c r="B40" i="47"/>
  <c r="B41" i="47"/>
  <c r="B42" i="47"/>
  <c r="B43" i="47"/>
  <c r="B44" i="47"/>
  <c r="B45" i="47"/>
  <c r="B276" i="47"/>
  <c r="B181" i="47"/>
  <c r="B728" i="47"/>
  <c r="B1067" i="47"/>
  <c r="B1068" i="47"/>
  <c r="B46" i="47"/>
  <c r="B47" i="47"/>
  <c r="B776" i="47"/>
  <c r="B102" i="47"/>
  <c r="B103" i="47"/>
  <c r="B15" i="47"/>
  <c r="B16" i="47"/>
  <c r="B17" i="47"/>
  <c r="B18" i="47"/>
  <c r="B19" i="47"/>
  <c r="B20" i="47"/>
  <c r="B21" i="47"/>
  <c r="B22" i="47"/>
  <c r="B23" i="47"/>
  <c r="B24" i="47"/>
  <c r="B25" i="47"/>
  <c r="B26" i="47"/>
  <c r="B27" i="47"/>
  <c r="B28" i="47"/>
  <c r="B29" i="47"/>
  <c r="B30" i="47"/>
  <c r="B31" i="47"/>
  <c r="B32" i="47"/>
  <c r="B33" i="47"/>
  <c r="B34" i="47"/>
  <c r="B35" i="47"/>
  <c r="B499" i="47"/>
  <c r="B500" i="47"/>
  <c r="B501" i="47"/>
  <c r="B502" i="47"/>
  <c r="B503" i="47"/>
  <c r="B504" i="47"/>
  <c r="B505" i="47"/>
  <c r="B506" i="47"/>
  <c r="B507" i="47"/>
  <c r="B508" i="47"/>
  <c r="B509" i="47"/>
  <c r="B510" i="47"/>
  <c r="B511" i="47"/>
  <c r="B512" i="47"/>
  <c r="B513" i="47"/>
  <c r="B514" i="47"/>
  <c r="B515" i="47"/>
  <c r="B516" i="47"/>
  <c r="B517" i="47"/>
  <c r="B518" i="47"/>
  <c r="B519" i="47"/>
  <c r="B520" i="47"/>
  <c r="B521" i="47"/>
  <c r="B522" i="47"/>
  <c r="B523" i="47"/>
  <c r="B524" i="47"/>
  <c r="B525" i="47"/>
  <c r="B526" i="47"/>
  <c r="B527" i="47"/>
  <c r="B528" i="47"/>
  <c r="B529" i="47"/>
  <c r="B530" i="47"/>
  <c r="B531" i="47"/>
  <c r="B532" i="47"/>
  <c r="B533" i="47"/>
  <c r="B534" i="47"/>
  <c r="B535" i="47"/>
  <c r="B536" i="47"/>
  <c r="B537" i="47"/>
  <c r="B538" i="47"/>
  <c r="B539" i="47"/>
  <c r="B540" i="47"/>
  <c r="B541" i="47"/>
  <c r="B445" i="47"/>
  <c r="B598" i="47"/>
  <c r="B599" i="47"/>
  <c r="B600" i="47"/>
  <c r="B283" i="47"/>
  <c r="B234" i="47"/>
  <c r="B618" i="47"/>
  <c r="B619" i="47"/>
  <c r="B620" i="47"/>
  <c r="B621" i="47"/>
  <c r="B490" i="47"/>
  <c r="B489" i="47"/>
  <c r="B596" i="47"/>
  <c r="B597" i="47"/>
  <c r="B658" i="47"/>
  <c r="B659" i="47"/>
  <c r="B660" i="47"/>
  <c r="B661" i="47"/>
  <c r="B662" i="47"/>
  <c r="B663" i="47"/>
  <c r="B664" i="47"/>
  <c r="B665" i="47"/>
  <c r="B666" i="47"/>
  <c r="B667" i="47"/>
  <c r="B668" i="47"/>
  <c r="B669" i="47"/>
  <c r="B670" i="47"/>
  <c r="B183" i="47"/>
  <c r="B206" i="47"/>
  <c r="B207" i="47"/>
  <c r="R206" i="47"/>
  <c r="R666" i="47"/>
  <c r="R596" i="47"/>
  <c r="T489" i="47"/>
  <c r="T490" i="47"/>
  <c r="T621" i="47"/>
  <c r="T620" i="47"/>
  <c r="T619" i="47"/>
  <c r="T618" i="47"/>
  <c r="T234" i="47"/>
  <c r="T283" i="47"/>
  <c r="T600" i="47"/>
  <c r="T599" i="47"/>
  <c r="T598" i="47"/>
  <c r="T445" i="47"/>
  <c r="R540" i="47"/>
  <c r="R539" i="47"/>
  <c r="R538" i="47"/>
  <c r="R537" i="47"/>
  <c r="Q536" i="47"/>
  <c r="Q535" i="47"/>
  <c r="Q534" i="47"/>
  <c r="Q533" i="47"/>
  <c r="Q532" i="47"/>
  <c r="Q531" i="47"/>
  <c r="Q530" i="47"/>
  <c r="Q529" i="47"/>
  <c r="Q528" i="47"/>
  <c r="Q527" i="47"/>
  <c r="Q526" i="47"/>
  <c r="Q525" i="47"/>
  <c r="Q524" i="47"/>
  <c r="Q523" i="47"/>
  <c r="T522" i="47"/>
  <c r="Q522" i="47"/>
  <c r="T521" i="47"/>
  <c r="Q521" i="47"/>
  <c r="T520" i="47"/>
  <c r="Q520" i="47"/>
  <c r="T519" i="47"/>
  <c r="Q519" i="47"/>
  <c r="T518" i="47"/>
  <c r="Q518" i="47"/>
  <c r="T517" i="47"/>
  <c r="Q517" i="47"/>
  <c r="T516" i="47"/>
  <c r="Q516" i="47"/>
  <c r="T515" i="47"/>
  <c r="Q515" i="47"/>
  <c r="T514" i="47"/>
  <c r="Q514" i="47"/>
  <c r="T513" i="47"/>
  <c r="Q513" i="47"/>
  <c r="T512" i="47"/>
  <c r="Q512" i="47"/>
  <c r="T511" i="47"/>
  <c r="Q511" i="47"/>
  <c r="T510" i="47"/>
  <c r="Q510" i="47"/>
  <c r="T509" i="47"/>
  <c r="Q509" i="47"/>
  <c r="T508" i="47"/>
  <c r="Q508" i="47"/>
  <c r="T507" i="47"/>
  <c r="Q507" i="47"/>
  <c r="T506" i="47"/>
  <c r="Q506" i="47"/>
  <c r="T505" i="47"/>
  <c r="Q505" i="47"/>
  <c r="T504" i="47"/>
  <c r="Q504" i="47"/>
  <c r="T503" i="47"/>
  <c r="Q503" i="47"/>
  <c r="T502" i="47"/>
  <c r="Q502" i="47"/>
  <c r="T501" i="47"/>
  <c r="Q501" i="47"/>
  <c r="T500" i="47"/>
  <c r="Q500" i="47"/>
  <c r="T499" i="47"/>
  <c r="Q499" i="47"/>
  <c r="T35" i="47"/>
  <c r="T34" i="47"/>
  <c r="T33" i="47"/>
  <c r="T32" i="47"/>
  <c r="T31" i="47"/>
  <c r="T30" i="47"/>
  <c r="T29" i="47"/>
  <c r="T28" i="47"/>
  <c r="T27" i="47"/>
  <c r="T26" i="47"/>
  <c r="T25" i="47"/>
  <c r="T24" i="47"/>
  <c r="T23" i="47"/>
  <c r="T22" i="47"/>
  <c r="T21" i="47"/>
  <c r="T20" i="47"/>
  <c r="T19" i="47"/>
  <c r="T18" i="47"/>
  <c r="T17" i="47"/>
  <c r="T16" i="47"/>
  <c r="T15" i="47"/>
  <c r="T103" i="47"/>
  <c r="T102" i="47"/>
  <c r="T776" i="47"/>
  <c r="T47" i="47"/>
  <c r="T46" i="47"/>
  <c r="R1067" i="47"/>
  <c r="T181" i="47"/>
  <c r="T276" i="47"/>
  <c r="R493" i="47"/>
  <c r="T213" i="47"/>
  <c r="R37" i="47"/>
  <c r="T947" i="47"/>
  <c r="T610" i="47"/>
  <c r="T609" i="47"/>
  <c r="T608" i="47"/>
  <c r="T693" i="47"/>
  <c r="U590" i="47"/>
  <c r="U589" i="47"/>
  <c r="U588" i="47"/>
  <c r="U586" i="47"/>
  <c r="U585" i="47"/>
  <c r="R583" i="47"/>
  <c r="T145" i="47"/>
  <c r="R215" i="47"/>
  <c r="T192" i="47"/>
  <c r="R192" i="47"/>
  <c r="T136" i="47"/>
  <c r="R136" i="47"/>
  <c r="R688" i="47"/>
  <c r="T787" i="47"/>
  <c r="T247" i="47"/>
  <c r="T488" i="47"/>
  <c r="R78" i="47"/>
  <c r="R75" i="47"/>
  <c r="T802" i="47"/>
  <c r="T801" i="47"/>
  <c r="T340" i="47"/>
  <c r="T211" i="47"/>
  <c r="T251" i="47"/>
  <c r="T250" i="47"/>
  <c r="T249" i="47"/>
  <c r="T358" i="47"/>
  <c r="R358" i="47"/>
  <c r="T946" i="47"/>
  <c r="T676" i="47"/>
  <c r="T675" i="47"/>
  <c r="T674" i="47"/>
  <c r="T673" i="47"/>
  <c r="T672" i="47"/>
  <c r="T671" i="47"/>
  <c r="T1059" i="47"/>
  <c r="R1057" i="47"/>
  <c r="T1076" i="47"/>
  <c r="Q1076" i="47"/>
  <c r="T1075" i="47"/>
  <c r="Q1075" i="47"/>
  <c r="T1074" i="47"/>
  <c r="Q1074" i="47"/>
  <c r="T1073" i="47"/>
  <c r="Q1073" i="47"/>
  <c r="T1072" i="47"/>
  <c r="Q1072" i="47"/>
  <c r="T1071" i="47"/>
  <c r="Q1071" i="47"/>
  <c r="T1070" i="47"/>
  <c r="Q1070" i="47"/>
  <c r="T1069" i="47"/>
  <c r="Q1069" i="47"/>
  <c r="T424" i="47"/>
  <c r="T365" i="47"/>
  <c r="T757" i="47"/>
  <c r="T756" i="47"/>
  <c r="T953" i="47"/>
  <c r="T51" i="47"/>
  <c r="R48" i="47"/>
  <c r="R543" i="47"/>
  <c r="T202" i="47"/>
  <c r="T764" i="47"/>
  <c r="T732" i="47"/>
  <c r="T319" i="47"/>
  <c r="T188" i="47"/>
  <c r="T321" i="47"/>
  <c r="T921" i="47"/>
  <c r="T920" i="47"/>
  <c r="T919" i="47"/>
  <c r="T336" i="47"/>
  <c r="R1065" i="47"/>
  <c r="T857" i="47"/>
  <c r="T309" i="47"/>
  <c r="R52" i="47"/>
  <c r="T323" i="47"/>
  <c r="R323" i="47"/>
  <c r="R729" i="47"/>
  <c r="T723" i="47"/>
  <c r="T722" i="47"/>
  <c r="T246" i="47"/>
  <c r="Q246" i="47"/>
  <c r="T245" i="47"/>
  <c r="T805" i="47"/>
  <c r="Q805" i="47"/>
  <c r="T804" i="47"/>
  <c r="T248" i="47"/>
  <c r="U683" i="47"/>
  <c r="U682" i="47"/>
  <c r="U681" i="47"/>
  <c r="R678" i="47"/>
  <c r="U616" i="47"/>
  <c r="R614" i="47"/>
  <c r="T691" i="47"/>
  <c r="T690" i="47"/>
  <c r="T632" i="47"/>
  <c r="T631" i="47"/>
  <c r="T630" i="47"/>
  <c r="T629" i="47"/>
  <c r="T628" i="47"/>
  <c r="T627" i="47"/>
  <c r="T626" i="47"/>
  <c r="T625" i="47"/>
  <c r="T624" i="47"/>
  <c r="T337" i="47"/>
  <c r="T646" i="47"/>
  <c r="R642" i="47"/>
  <c r="T868" i="47"/>
  <c r="T402" i="47"/>
  <c r="T266" i="47"/>
  <c r="T241" i="47"/>
  <c r="R468" i="47"/>
  <c r="R466" i="47"/>
  <c r="R464" i="47"/>
  <c r="R462" i="47"/>
  <c r="T240" i="47"/>
  <c r="T280" i="47"/>
  <c r="Q280" i="47"/>
  <c r="R480" i="47"/>
  <c r="R190" i="47"/>
  <c r="T446" i="47"/>
  <c r="Q446" i="47"/>
  <c r="R139" i="47"/>
  <c r="T812" i="47"/>
  <c r="T811" i="47"/>
  <c r="T377" i="47"/>
  <c r="T714" i="47"/>
  <c r="T713" i="47"/>
  <c r="T712" i="47"/>
  <c r="T711" i="47"/>
  <c r="T710" i="47"/>
  <c r="T709" i="47"/>
  <c r="T708" i="47"/>
  <c r="T707" i="47"/>
  <c r="T706" i="47"/>
  <c r="T705" i="47"/>
  <c r="T704" i="47"/>
  <c r="T703" i="47"/>
  <c r="T702" i="47"/>
  <c r="T701" i="47"/>
  <c r="T700" i="47"/>
  <c r="T699" i="47"/>
  <c r="T698" i="47"/>
  <c r="T697" i="47"/>
  <c r="T696" i="47"/>
  <c r="T695" i="47"/>
  <c r="T862" i="47"/>
  <c r="T725" i="47"/>
  <c r="T724" i="47"/>
  <c r="R547" i="47"/>
  <c r="T821" i="47"/>
  <c r="T851" i="47"/>
  <c r="Q851" i="47"/>
  <c r="T450" i="47"/>
  <c r="T203" i="47"/>
  <c r="T282" i="47"/>
  <c r="T747" i="47"/>
  <c r="T746" i="47"/>
  <c r="T901" i="47"/>
  <c r="T350" i="47"/>
  <c r="Q350" i="47"/>
  <c r="T899" i="47"/>
  <c r="T937" i="47"/>
  <c r="Q937" i="47"/>
  <c r="T582" i="47"/>
  <c r="T581" i="47"/>
  <c r="T580" i="47"/>
  <c r="T579" i="47"/>
  <c r="T578" i="47"/>
  <c r="T577" i="47"/>
  <c r="T576" i="47"/>
  <c r="T575" i="47"/>
  <c r="T574" i="47"/>
  <c r="T573" i="47"/>
  <c r="T572" i="47"/>
  <c r="T571" i="47"/>
  <c r="T570" i="47"/>
  <c r="T569" i="47"/>
  <c r="T568" i="47"/>
  <c r="T567" i="47"/>
  <c r="T566" i="47"/>
  <c r="T565" i="47"/>
  <c r="T564" i="47"/>
  <c r="T563" i="47"/>
  <c r="T562" i="47"/>
  <c r="T561" i="47"/>
  <c r="T560" i="47"/>
  <c r="T559" i="47"/>
  <c r="T558" i="47"/>
  <c r="T888" i="47"/>
  <c r="Q888" i="47"/>
  <c r="T193" i="47"/>
  <c r="Q193" i="47"/>
  <c r="T272" i="47"/>
  <c r="T271" i="47"/>
  <c r="T270" i="47"/>
  <c r="T986" i="47"/>
  <c r="T985" i="47"/>
  <c r="T736" i="47"/>
  <c r="T111" i="47"/>
  <c r="R636" i="47"/>
  <c r="T820" i="47"/>
  <c r="T896" i="47"/>
  <c r="T156" i="47"/>
  <c r="Q156" i="47"/>
  <c r="T155" i="47"/>
  <c r="T112" i="47"/>
  <c r="T486" i="47"/>
  <c r="T485" i="47"/>
  <c r="T484" i="47"/>
  <c r="T426" i="47"/>
  <c r="T439" i="47"/>
  <c r="R762" i="47"/>
  <c r="T895" i="47"/>
  <c r="T397" i="47"/>
  <c r="R771" i="47"/>
  <c r="T657" i="47"/>
  <c r="Q657" i="47"/>
  <c r="T656" i="47"/>
  <c r="T983" i="47"/>
  <c r="T872" i="47"/>
  <c r="T774" i="47"/>
  <c r="T761" i="47"/>
  <c r="T818" i="47"/>
  <c r="T941" i="47"/>
  <c r="Q941" i="47"/>
  <c r="R978" i="47"/>
  <c r="R475" i="47"/>
  <c r="U98" i="47"/>
  <c r="U97" i="47"/>
  <c r="R89" i="47"/>
  <c r="R88" i="47"/>
  <c r="T408" i="47"/>
  <c r="T367" i="47"/>
  <c r="Q367" i="47"/>
  <c r="T457" i="47"/>
  <c r="Q457" i="47"/>
  <c r="T361" i="47"/>
  <c r="T930" i="47"/>
  <c r="T654" i="47"/>
  <c r="T653" i="47"/>
  <c r="T652" i="47"/>
  <c r="T651" i="47"/>
  <c r="T650" i="47"/>
  <c r="T922" i="47"/>
  <c r="T479" i="47"/>
  <c r="R479" i="47"/>
  <c r="R477" i="47"/>
  <c r="T180" i="47"/>
  <c r="T332" i="47"/>
  <c r="Q332" i="47"/>
  <c r="T430" i="47"/>
  <c r="T809" i="47"/>
  <c r="T808" i="47"/>
  <c r="T200" i="47"/>
  <c r="R1052" i="47"/>
  <c r="T398" i="47"/>
  <c r="T456" i="47"/>
  <c r="T454" i="47"/>
  <c r="T1063" i="47"/>
  <c r="T1062" i="47"/>
  <c r="T926" i="47"/>
  <c r="T975" i="47"/>
  <c r="T384" i="47"/>
  <c r="T385" i="47"/>
  <c r="T932" i="47"/>
  <c r="R66" i="47"/>
  <c r="R64" i="47"/>
  <c r="U58" i="47"/>
  <c r="R56" i="47"/>
  <c r="T431" i="47"/>
  <c r="T852" i="47"/>
  <c r="Q852" i="47"/>
  <c r="T853" i="47"/>
  <c r="T194" i="47"/>
  <c r="T289" i="47"/>
  <c r="T910" i="47"/>
  <c r="T414" i="47"/>
  <c r="R109" i="47"/>
  <c r="T972" i="47"/>
  <c r="T342" i="47"/>
  <c r="T420" i="47"/>
  <c r="T955" i="47"/>
  <c r="T334" i="47"/>
  <c r="T897" i="47"/>
  <c r="T1064" i="47"/>
  <c r="T894" i="47"/>
  <c r="T766" i="47"/>
  <c r="R1048" i="47"/>
  <c r="T893" i="47"/>
  <c r="T403" i="47"/>
  <c r="T996" i="47"/>
  <c r="T995" i="47"/>
  <c r="T379" i="47"/>
  <c r="T793" i="47"/>
  <c r="T376" i="47"/>
  <c r="T902" i="47"/>
  <c r="T368" i="47"/>
  <c r="T359" i="47"/>
  <c r="T777" i="47"/>
  <c r="T869" i="47"/>
  <c r="Q869" i="47"/>
  <c r="T263" i="47"/>
  <c r="T351" i="47"/>
  <c r="T144" i="47"/>
  <c r="T143" i="47"/>
  <c r="T876" i="47"/>
  <c r="Q876" i="47"/>
  <c r="T243" i="47"/>
  <c r="T409" i="47"/>
  <c r="Q409" i="47"/>
  <c r="T301" i="47"/>
  <c r="T363" i="47"/>
  <c r="T950" i="47"/>
  <c r="T939" i="47"/>
  <c r="T938" i="47"/>
  <c r="T883" i="47"/>
  <c r="T753" i="47"/>
  <c r="T236" i="47"/>
  <c r="T208" i="47"/>
  <c r="Q208" i="47"/>
  <c r="T557" i="47"/>
  <c r="T556" i="47"/>
  <c r="T357" i="47"/>
  <c r="R594" i="47"/>
  <c r="T195" i="47"/>
  <c r="T865" i="47"/>
  <c r="T912" i="47"/>
  <c r="T225" i="47"/>
  <c r="T903" i="47"/>
  <c r="Q903" i="47"/>
  <c r="T830" i="47"/>
  <c r="T954" i="47"/>
  <c r="T364" i="47"/>
  <c r="T292" i="47"/>
  <c r="T434" i="47"/>
  <c r="T291" i="47"/>
  <c r="T418" i="47"/>
  <c r="T748" i="47"/>
  <c r="T855" i="47"/>
  <c r="T959" i="47"/>
  <c r="Q959" i="47"/>
  <c r="T907" i="47"/>
  <c r="T265" i="47"/>
  <c r="Q265" i="47"/>
  <c r="T413" i="47"/>
  <c r="Q413" i="47"/>
  <c r="T306" i="47"/>
  <c r="T976" i="47"/>
  <c r="R976" i="47"/>
  <c r="T974" i="47"/>
  <c r="T201" i="47"/>
  <c r="T827" i="47"/>
  <c r="U623" i="47"/>
  <c r="T623" i="47"/>
  <c r="Q623" i="47"/>
  <c r="T622" i="47"/>
  <c r="Q622" i="47"/>
  <c r="T264" i="47"/>
  <c r="T854" i="47"/>
  <c r="Q854" i="47"/>
  <c r="T889" i="47"/>
  <c r="T745" i="47"/>
  <c r="T744" i="47"/>
  <c r="T743" i="47"/>
  <c r="T742" i="47"/>
  <c r="T741" i="47"/>
  <c r="U372" i="47"/>
  <c r="R369" i="47"/>
  <c r="T386" i="47"/>
  <c r="T943" i="47"/>
  <c r="T796" i="47"/>
  <c r="Q796" i="47"/>
  <c r="R1034" i="47"/>
  <c r="R1007" i="47"/>
  <c r="R1003" i="47"/>
  <c r="R1001" i="47"/>
  <c r="T998" i="47"/>
  <c r="T997" i="47"/>
  <c r="T299" i="47"/>
  <c r="T778" i="47"/>
  <c r="T449" i="47"/>
  <c r="R1055" i="47"/>
  <c r="T845" i="47"/>
  <c r="R209" i="47"/>
  <c r="T204" i="47"/>
  <c r="T956" i="47"/>
  <c r="Q956" i="47"/>
  <c r="T847" i="47"/>
  <c r="T779" i="47"/>
  <c r="Q779" i="47"/>
  <c r="T991" i="47"/>
  <c r="Q991" i="47"/>
  <c r="T909" i="47"/>
  <c r="T232" i="47"/>
  <c r="T341" i="47"/>
  <c r="T205" i="47"/>
  <c r="T126" i="47"/>
  <c r="T360" i="47"/>
  <c r="T967" i="47"/>
  <c r="T422" i="47"/>
  <c r="T174" i="47"/>
  <c r="T173" i="47"/>
  <c r="T172" i="47"/>
  <c r="T171" i="47"/>
  <c r="T170" i="47"/>
  <c r="T169" i="47"/>
  <c r="T168" i="47"/>
  <c r="T167" i="47"/>
  <c r="T166" i="47"/>
  <c r="T165" i="47"/>
  <c r="T164" i="47"/>
  <c r="T163" i="47"/>
  <c r="T162" i="47"/>
  <c r="T161" i="47"/>
  <c r="T160" i="47"/>
  <c r="T159" i="47"/>
  <c r="T158" i="47"/>
  <c r="T157" i="47"/>
  <c r="T948" i="47"/>
  <c r="T856" i="47"/>
  <c r="Q856" i="47"/>
  <c r="T970" i="47"/>
  <c r="Q970" i="47"/>
  <c r="R633" i="47"/>
  <c r="T375" i="47"/>
  <c r="T297" i="47"/>
  <c r="R197" i="47"/>
  <c r="T765" i="47"/>
  <c r="T848" i="47"/>
  <c r="T346" i="47"/>
  <c r="T1061" i="47"/>
  <c r="T1060" i="47"/>
  <c r="Q1060" i="47"/>
  <c r="T874" i="47"/>
  <c r="T132" i="47"/>
  <c r="Q132" i="47"/>
  <c r="T949" i="47"/>
  <c r="Q949" i="47"/>
  <c r="R715" i="47"/>
  <c r="T312" i="47"/>
  <c r="T311" i="47"/>
  <c r="T951" i="47"/>
  <c r="T273" i="47"/>
  <c r="Q273" i="47"/>
  <c r="T293" i="47"/>
  <c r="T935" i="47"/>
  <c r="T917" i="47"/>
  <c r="T788" i="47"/>
  <c r="T262" i="47"/>
  <c r="T374" i="47"/>
  <c r="T373" i="47"/>
  <c r="T318" i="47"/>
  <c r="Q318" i="47"/>
  <c r="T242" i="47"/>
  <c r="T973" i="47"/>
  <c r="Q973" i="47"/>
  <c r="T822" i="47"/>
  <c r="T432" i="47"/>
  <c r="Q432" i="47"/>
  <c r="T1047" i="47"/>
  <c r="U1046" i="47"/>
  <c r="U1045" i="47"/>
  <c r="U1044" i="47"/>
  <c r="U1043" i="47"/>
  <c r="U1042" i="47"/>
  <c r="U1041" i="47"/>
  <c r="U1040" i="47"/>
  <c r="T810" i="47"/>
  <c r="Q810" i="47"/>
  <c r="T807" i="47"/>
  <c r="T806" i="47"/>
  <c r="T396" i="47"/>
  <c r="T317" i="47"/>
  <c r="Q317" i="47"/>
  <c r="T284" i="47"/>
  <c r="T261" i="47"/>
  <c r="T378" i="47"/>
  <c r="T383" i="47"/>
  <c r="T841" i="47"/>
  <c r="T326" i="47"/>
  <c r="T296" i="47"/>
  <c r="T435" i="47"/>
  <c r="Q435" i="47"/>
  <c r="Q898" i="47"/>
  <c r="T864" i="47"/>
  <c r="T354" i="47"/>
  <c r="Q354" i="47"/>
  <c r="U839" i="47"/>
  <c r="U838" i="47"/>
  <c r="U837" i="47"/>
  <c r="R835" i="47"/>
  <c r="T419" i="47"/>
  <c r="T873" i="47"/>
  <c r="Q873" i="47"/>
  <c r="T298" i="47"/>
  <c r="T916" i="47"/>
  <c r="T224" i="47"/>
  <c r="T223" i="47"/>
  <c r="T222" i="47"/>
  <c r="T918" i="47"/>
  <c r="T877" i="47"/>
  <c r="Q877" i="47"/>
  <c r="R104" i="47"/>
  <c r="T322" i="47"/>
  <c r="T436" i="47"/>
  <c r="T892" i="47"/>
  <c r="T924" i="47"/>
  <c r="T404" i="47"/>
  <c r="T542" i="47"/>
  <c r="R406" i="47"/>
  <c r="R460" i="47"/>
  <c r="T244" i="47"/>
  <c r="T867" i="47"/>
  <c r="T421" i="47"/>
  <c r="Q421" i="47"/>
  <c r="T931" i="47"/>
  <c r="T861" i="47"/>
  <c r="T275" i="47"/>
  <c r="T459" i="47"/>
  <c r="T356" i="47"/>
  <c r="R218" i="47"/>
  <c r="T773" i="47"/>
  <c r="T718" i="47"/>
  <c r="T390" i="47"/>
  <c r="T380" i="47"/>
  <c r="R133" i="47"/>
  <c r="T825" i="47"/>
  <c r="T416" i="47"/>
  <c r="T887" i="47"/>
  <c r="T944" i="47"/>
  <c r="T780" i="47"/>
  <c r="T882" i="47"/>
  <c r="T320" i="47"/>
  <c r="Q320" i="47"/>
  <c r="T843" i="47"/>
  <c r="U786" i="47"/>
  <c r="T829" i="47"/>
  <c r="Q829" i="47"/>
  <c r="T443" i="47"/>
  <c r="T891" i="47"/>
  <c r="Q891" i="47"/>
  <c r="T231" i="47"/>
  <c r="Q231" i="47"/>
  <c r="T410" i="47"/>
  <c r="T182" i="47"/>
  <c r="T333" i="47"/>
  <c r="T228" i="47"/>
  <c r="Q228" i="47"/>
  <c r="T227" i="47"/>
  <c r="Q227" i="47"/>
  <c r="T945" i="47"/>
  <c r="T792" i="47"/>
  <c r="R792" i="47"/>
  <c r="Q792" i="47"/>
  <c r="T233" i="47"/>
  <c r="T355" i="47"/>
  <c r="T844" i="47"/>
  <c r="T784" i="47"/>
  <c r="Q784" i="47"/>
  <c r="T415" i="47"/>
  <c r="T411" i="47"/>
  <c r="Q411" i="47"/>
  <c r="T934" i="47"/>
  <c r="T755" i="47"/>
  <c r="T963" i="47"/>
  <c r="T767" i="47"/>
  <c r="T221" i="47"/>
  <c r="T344" i="47"/>
  <c r="T343" i="47"/>
  <c r="T833" i="47"/>
  <c r="Q833" i="47"/>
  <c r="T879" i="47"/>
  <c r="T451" i="47"/>
  <c r="T655" i="47"/>
  <c r="T335" i="47"/>
  <c r="Q335" i="47"/>
  <c r="T863" i="47"/>
  <c r="T366" i="47"/>
  <c r="T980" i="47"/>
  <c r="T694" i="47"/>
  <c r="T125" i="47"/>
  <c r="T124" i="47"/>
  <c r="T123" i="47"/>
  <c r="T122" i="47"/>
  <c r="T121" i="47"/>
  <c r="T120" i="47"/>
  <c r="T119" i="47"/>
  <c r="T118" i="47"/>
  <c r="T117" i="47"/>
  <c r="T116" i="47"/>
  <c r="T115" i="47"/>
  <c r="T352" i="47"/>
  <c r="T791" i="47"/>
  <c r="Q791" i="47"/>
  <c r="R769" i="47"/>
  <c r="R993" i="47"/>
  <c r="T720" i="47"/>
  <c r="Q720" i="47"/>
  <c r="T719" i="47"/>
  <c r="Q719" i="47"/>
  <c r="T353" i="47"/>
  <c r="T429" i="47"/>
  <c r="Q429" i="47"/>
  <c r="T474" i="47"/>
  <c r="T964" i="47"/>
  <c r="Q964" i="47"/>
  <c r="U179" i="47"/>
  <c r="T832" i="47"/>
  <c r="T831" i="47"/>
  <c r="T913" i="47"/>
  <c r="T131" i="47"/>
  <c r="T130" i="47"/>
  <c r="T438" i="47"/>
  <c r="T885" i="47"/>
  <c r="T886" i="47"/>
  <c r="T781" i="47"/>
  <c r="T914" i="47"/>
  <c r="Q914" i="47"/>
  <c r="T977" i="47"/>
  <c r="T300" i="47"/>
  <c r="T795" i="47"/>
  <c r="T187" i="47"/>
  <c r="Q187" i="47"/>
  <c r="T721" i="47"/>
  <c r="T988" i="47"/>
  <c r="T846" i="47"/>
  <c r="Q846" i="47"/>
  <c r="T881" i="47"/>
  <c r="Q881" i="47"/>
  <c r="T274" i="47"/>
  <c r="T393" i="47"/>
  <c r="T286" i="47"/>
  <c r="T285" i="47"/>
  <c r="T840" i="47"/>
  <c r="R739" i="47"/>
  <c r="T401" i="47"/>
  <c r="T849" i="47"/>
  <c r="T858" i="47"/>
  <c r="T900" i="47"/>
  <c r="T884" i="47"/>
  <c r="Q884" i="47"/>
  <c r="T717" i="47"/>
  <c r="Q717" i="47"/>
  <c r="T968" i="47"/>
  <c r="T794" i="47"/>
  <c r="Q794" i="47"/>
  <c r="T331" i="47"/>
  <c r="T239" i="47"/>
  <c r="T238" i="47"/>
  <c r="T237" i="47"/>
  <c r="T990" i="47"/>
  <c r="Q990" i="47"/>
  <c r="T307" i="47"/>
  <c r="T790" i="47"/>
  <c r="T826" i="47"/>
  <c r="T442" i="47"/>
  <c r="T324" i="47"/>
  <c r="T687" i="47"/>
  <c r="T783" i="47"/>
  <c r="Q783" i="47"/>
  <c r="T860" i="47"/>
  <c r="T230" i="47"/>
  <c r="T229" i="47"/>
  <c r="T394" i="47"/>
  <c r="Q394" i="47"/>
  <c r="T405" i="47"/>
  <c r="T338" i="47"/>
  <c r="T965" i="47"/>
  <c r="T842" i="47"/>
  <c r="Q842" i="47"/>
  <c r="T252" i="47"/>
  <c r="T969" i="47"/>
  <c r="T458" i="47"/>
  <c r="T828" i="47"/>
  <c r="T441" i="47"/>
  <c r="T754" i="47"/>
  <c r="T412" i="47"/>
  <c r="T962" i="47"/>
  <c r="T302" i="47"/>
  <c r="T915" i="47"/>
  <c r="T281" i="47"/>
  <c r="T186" i="47"/>
  <c r="Q186" i="47"/>
  <c r="T905" i="47"/>
  <c r="T417" i="47"/>
  <c r="T936" i="47"/>
  <c r="T392" i="47"/>
  <c r="T391" i="47"/>
  <c r="T908" i="47"/>
  <c r="T348" i="47"/>
  <c r="R328" i="47"/>
  <c r="T649" i="47"/>
  <c r="R647" i="47"/>
  <c r="T957" i="47"/>
  <c r="T347" i="47"/>
  <c r="Q347" i="47"/>
  <c r="T749" i="47"/>
  <c r="T437" i="47"/>
  <c r="Q437" i="47"/>
  <c r="T760" i="47"/>
  <c r="T440" i="47"/>
  <c r="T911" i="47"/>
  <c r="T850" i="47"/>
  <c r="T214" i="47"/>
  <c r="Q214" i="47"/>
  <c r="T803" i="47"/>
  <c r="T734" i="47"/>
  <c r="T310" i="47"/>
  <c r="T267" i="47"/>
  <c r="R267" i="47"/>
  <c r="Q267" i="47"/>
  <c r="T987" i="47"/>
  <c r="Q987" i="47"/>
  <c r="T217" i="47"/>
  <c r="Q217" i="47"/>
  <c r="T981" i="47"/>
  <c r="Q981" i="47"/>
  <c r="T834" i="47"/>
  <c r="T815" i="47"/>
  <c r="R13" i="47"/>
  <c r="T927" i="47"/>
  <c r="T933" i="47"/>
  <c r="T923" i="47"/>
  <c r="T325" i="47"/>
  <c r="T339" i="47"/>
  <c r="Q339" i="47"/>
  <c r="T142" i="47"/>
  <c r="T141" i="47"/>
  <c r="Q141" i="47"/>
  <c r="T220" i="47"/>
  <c r="T960" i="47"/>
  <c r="R960" i="47"/>
  <c r="R381" i="47"/>
  <c r="T399" i="47"/>
  <c r="T330" i="47"/>
  <c r="T455" i="47"/>
  <c r="T989" i="47"/>
  <c r="T824" i="47"/>
  <c r="T423" i="47"/>
  <c r="T487" i="47"/>
  <c r="T928" i="47"/>
  <c r="T448" i="47"/>
  <c r="T906" i="47"/>
  <c r="Q906" i="47"/>
  <c r="T878" i="47"/>
  <c r="T929" i="47"/>
  <c r="T823" i="47"/>
  <c r="T952" i="47"/>
  <c r="T395" i="47"/>
  <c r="T971" i="47"/>
  <c r="Q971" i="47"/>
  <c r="T859" i="47"/>
  <c r="T752" i="47"/>
  <c r="Q752" i="47"/>
  <c r="R750" i="47"/>
  <c r="T287" i="47"/>
  <c r="T290" i="47"/>
  <c r="T958" i="47"/>
  <c r="T185" i="47"/>
  <c r="T184" i="47"/>
  <c r="T875" i="47"/>
  <c r="Q875" i="47"/>
  <c r="T304" i="47"/>
  <c r="T814" i="47"/>
  <c r="T813" i="47"/>
  <c r="T288" i="47"/>
  <c r="T308" i="47"/>
  <c r="Q308" i="47"/>
  <c r="T425" i="47"/>
  <c r="T196" i="47"/>
  <c r="T890" i="47"/>
  <c r="T819" i="47"/>
  <c r="T904" i="47"/>
  <c r="T316" i="47"/>
  <c r="T315" i="47"/>
  <c r="T314" i="47"/>
  <c r="T313" i="47"/>
  <c r="T279" i="47"/>
  <c r="T387" i="47"/>
  <c r="T871" i="47"/>
  <c r="T817" i="47"/>
  <c r="T982" i="47"/>
  <c r="T866" i="47"/>
  <c r="R798" i="47"/>
  <c r="T278" i="47"/>
  <c r="T992" i="47"/>
  <c r="T63" i="47"/>
  <c r="T62" i="47"/>
  <c r="T61" i="47"/>
  <c r="T60" i="47"/>
  <c r="T59" i="47"/>
  <c r="T152" i="47"/>
  <c r="R148" i="47"/>
  <c r="R146" i="47"/>
  <c r="T444" i="47"/>
  <c r="R606" i="47"/>
  <c r="T400" i="47"/>
  <c r="T800" i="47"/>
  <c r="R553" i="47"/>
  <c r="R551" i="47"/>
  <c r="R550" i="47"/>
  <c r="T940" i="47"/>
  <c r="T447" i="47"/>
  <c r="T74" i="47"/>
  <c r="R72" i="47"/>
  <c r="T199" i="47"/>
  <c r="Q199" i="47"/>
  <c r="T775" i="47"/>
  <c r="T433" i="47"/>
  <c r="T984" i="47"/>
  <c r="T731" i="47"/>
  <c r="T925" i="47"/>
  <c r="T453" i="47"/>
  <c r="T966" i="47"/>
  <c r="T961" i="47"/>
  <c r="Q961" i="47"/>
  <c r="T816" i="47"/>
  <c r="T452" i="47"/>
  <c r="T305" i="47"/>
  <c r="T880" i="47"/>
  <c r="T789" i="47"/>
  <c r="T349" i="47"/>
  <c r="T303" i="47"/>
  <c r="T189" i="47"/>
  <c r="Q189" i="47"/>
  <c r="T1051" i="47"/>
  <c r="U129" i="47"/>
  <c r="U128" i="47"/>
  <c r="T870" i="47"/>
  <c r="T768" i="47"/>
  <c r="R153" i="47"/>
  <c r="B112" i="48"/>
  <c r="B569" i="48"/>
  <c r="B568" i="48"/>
  <c r="B567" i="48"/>
  <c r="B566" i="48"/>
  <c r="B525" i="48"/>
  <c r="B486" i="48"/>
  <c r="B487" i="48"/>
  <c r="B537" i="48"/>
  <c r="B188" i="48"/>
  <c r="B232" i="48"/>
  <c r="B231" i="48"/>
  <c r="B230" i="48"/>
  <c r="B529" i="48"/>
  <c r="B528" i="48"/>
  <c r="B527" i="48"/>
  <c r="B526" i="48"/>
  <c r="B436" i="48"/>
  <c r="B435" i="48"/>
  <c r="B499" i="48"/>
  <c r="B498" i="48"/>
  <c r="B497" i="48"/>
  <c r="B496" i="48"/>
  <c r="B130" i="48"/>
  <c r="B129" i="48"/>
  <c r="B128" i="48"/>
  <c r="B83" i="48"/>
  <c r="B82" i="48"/>
  <c r="B575" i="48"/>
  <c r="B664" i="48"/>
  <c r="B201" i="48"/>
  <c r="B485" i="48"/>
  <c r="B660" i="48"/>
  <c r="B39" i="48"/>
  <c r="B678" i="48"/>
  <c r="B677" i="48"/>
  <c r="B297" i="48"/>
  <c r="B162" i="48"/>
  <c r="B203" i="48"/>
  <c r="B326" i="48"/>
  <c r="B325" i="48"/>
  <c r="B324" i="48"/>
  <c r="B323" i="48"/>
  <c r="B847" i="48"/>
  <c r="B570" i="48"/>
  <c r="B952" i="48"/>
  <c r="B951" i="48"/>
  <c r="B950" i="48"/>
  <c r="B949" i="48"/>
  <c r="B948" i="48"/>
  <c r="B968" i="48"/>
  <c r="B967" i="48"/>
  <c r="B411" i="48"/>
  <c r="B410" i="48"/>
  <c r="B338" i="48"/>
  <c r="B337" i="48"/>
  <c r="B336" i="48"/>
  <c r="B335" i="48"/>
  <c r="B334" i="48"/>
  <c r="B333" i="48"/>
  <c r="B205" i="48"/>
  <c r="B631" i="48"/>
  <c r="B857" i="48"/>
  <c r="B28" i="48"/>
  <c r="B27" i="48"/>
  <c r="B26" i="48"/>
  <c r="B25" i="48"/>
  <c r="B24" i="48"/>
  <c r="B23" i="48"/>
  <c r="B503" i="48"/>
  <c r="B502" i="48"/>
  <c r="B501" i="48"/>
  <c r="B153" i="48"/>
  <c r="B152" i="48"/>
  <c r="B151" i="48"/>
  <c r="B150" i="48"/>
  <c r="B149" i="48"/>
  <c r="B148" i="48"/>
  <c r="B147" i="48"/>
  <c r="B146" i="48"/>
  <c r="B145" i="48"/>
  <c r="B640" i="48"/>
  <c r="B604" i="48"/>
  <c r="B603" i="48"/>
  <c r="B275" i="48"/>
  <c r="B611" i="48"/>
  <c r="B120" i="48"/>
  <c r="B277" i="48"/>
  <c r="B521" i="48"/>
  <c r="B520" i="48"/>
  <c r="B812" i="48"/>
  <c r="B811" i="48"/>
  <c r="B810" i="48"/>
  <c r="B293" i="48"/>
  <c r="B292" i="48"/>
  <c r="B965" i="48"/>
  <c r="B964" i="48"/>
  <c r="B739" i="48"/>
  <c r="B267" i="48"/>
  <c r="B266" i="48"/>
  <c r="B32" i="48"/>
  <c r="B31" i="48"/>
  <c r="B30" i="48"/>
  <c r="B29" i="48"/>
  <c r="B280" i="48"/>
  <c r="B279" i="48"/>
  <c r="B601" i="48"/>
  <c r="B600" i="48"/>
  <c r="B599" i="48"/>
  <c r="B595" i="48"/>
  <c r="B200" i="48"/>
  <c r="B199" i="48"/>
  <c r="B198" i="48"/>
  <c r="B197" i="48"/>
  <c r="B681" i="48"/>
  <c r="B680" i="48"/>
  <c r="B202" i="48"/>
  <c r="B573" i="48"/>
  <c r="B572" i="48"/>
  <c r="B536" i="48"/>
  <c r="B535" i="48"/>
  <c r="B579" i="48"/>
  <c r="B578" i="48"/>
  <c r="B577" i="48"/>
  <c r="B576" i="48"/>
  <c r="B541" i="48"/>
  <c r="B540" i="48"/>
  <c r="B539" i="48"/>
  <c r="B294" i="48"/>
  <c r="B550" i="48"/>
  <c r="B549" i="48"/>
  <c r="B548" i="48"/>
  <c r="B751" i="48"/>
  <c r="B383" i="48"/>
  <c r="B212" i="48"/>
  <c r="B193" i="48"/>
  <c r="B458" i="48"/>
  <c r="B457" i="48"/>
  <c r="B192" i="48"/>
  <c r="B227" i="48"/>
  <c r="B471" i="48"/>
  <c r="B470" i="48"/>
  <c r="B127" i="48"/>
  <c r="B126" i="48"/>
  <c r="B125" i="48"/>
  <c r="B124" i="48"/>
  <c r="B123" i="48"/>
  <c r="B438" i="48"/>
  <c r="B437" i="48"/>
  <c r="B84" i="48"/>
  <c r="B688" i="48"/>
  <c r="B687" i="48"/>
  <c r="B347" i="48"/>
  <c r="B585" i="48"/>
  <c r="B745" i="48"/>
  <c r="B596" i="48"/>
  <c r="B507" i="48"/>
  <c r="B506" i="48"/>
  <c r="B505" i="48"/>
  <c r="B504" i="48"/>
  <c r="B698" i="48"/>
  <c r="B732" i="48"/>
  <c r="B445" i="48"/>
  <c r="B154" i="48"/>
  <c r="B229" i="48"/>
  <c r="B620" i="48"/>
  <c r="B790" i="48"/>
  <c r="B310" i="48"/>
  <c r="B788" i="48"/>
  <c r="B832" i="48"/>
  <c r="B517" i="48"/>
  <c r="B516" i="48"/>
  <c r="B773" i="48"/>
  <c r="B133" i="48"/>
  <c r="B217" i="48"/>
  <c r="B216" i="48"/>
  <c r="B215" i="48"/>
  <c r="B893" i="48"/>
  <c r="B609" i="48"/>
  <c r="B608" i="48"/>
  <c r="B59" i="48"/>
  <c r="B545" i="48"/>
  <c r="B697" i="48"/>
  <c r="B784" i="48"/>
  <c r="B104" i="48"/>
  <c r="B103" i="48"/>
  <c r="B102" i="48"/>
  <c r="B101" i="48"/>
  <c r="B100" i="48"/>
  <c r="B64" i="48"/>
  <c r="B63" i="48"/>
  <c r="B62" i="48"/>
  <c r="B61" i="48"/>
  <c r="B60" i="48"/>
  <c r="B482" i="48"/>
  <c r="B481" i="48"/>
  <c r="B480" i="48"/>
  <c r="B479" i="48"/>
  <c r="B478" i="48"/>
  <c r="B477" i="48"/>
  <c r="B476" i="48"/>
  <c r="B475" i="48"/>
  <c r="B474" i="48"/>
  <c r="B473" i="48"/>
  <c r="B472" i="48"/>
  <c r="B413" i="48"/>
  <c r="B429" i="48"/>
  <c r="B639" i="48"/>
  <c r="B783" i="48"/>
  <c r="B375" i="48"/>
  <c r="B135" i="48"/>
  <c r="B748" i="48"/>
  <c r="B802" i="48"/>
  <c r="B178" i="48"/>
  <c r="B792" i="48"/>
  <c r="B708" i="48"/>
  <c r="B860" i="48"/>
  <c r="B859" i="48"/>
  <c r="B858" i="48"/>
  <c r="B332" i="48"/>
  <c r="B248" i="48"/>
  <c r="B423" i="48"/>
  <c r="B247" i="48"/>
  <c r="B401" i="48"/>
  <c r="B621" i="48"/>
  <c r="B737" i="48"/>
  <c r="B865" i="48"/>
  <c r="B797" i="48"/>
  <c r="B211" i="48"/>
  <c r="B395" i="48"/>
  <c r="B263" i="48"/>
  <c r="B884" i="48"/>
  <c r="B882" i="48"/>
  <c r="B144" i="48"/>
  <c r="B705" i="48"/>
  <c r="B538" i="48"/>
  <c r="B214" i="48"/>
  <c r="B210" i="48"/>
  <c r="B736" i="48"/>
  <c r="B735" i="48"/>
  <c r="B774" i="48"/>
  <c r="B619" i="48"/>
  <c r="B618" i="48"/>
  <c r="B617" i="48"/>
  <c r="B616" i="48"/>
  <c r="B615" i="48"/>
  <c r="B342" i="48"/>
  <c r="B360" i="48"/>
  <c r="B843" i="48"/>
  <c r="B673" i="48"/>
  <c r="B936" i="48"/>
  <c r="B935" i="48"/>
  <c r="B934" i="48"/>
  <c r="B933" i="48"/>
  <c r="B932" i="48"/>
  <c r="B931" i="48"/>
  <c r="B930" i="48"/>
  <c r="B929" i="48"/>
  <c r="B928" i="48"/>
  <c r="B927" i="48"/>
  <c r="B926" i="48"/>
  <c r="B925" i="48"/>
  <c r="B924" i="48"/>
  <c r="B923" i="48"/>
  <c r="B922" i="48"/>
  <c r="B921" i="48"/>
  <c r="B920" i="48"/>
  <c r="B919" i="48"/>
  <c r="B918" i="48"/>
  <c r="B917" i="48"/>
  <c r="B916" i="48"/>
  <c r="B915" i="48"/>
  <c r="B914" i="48"/>
  <c r="B913" i="48"/>
  <c r="B912" i="48"/>
  <c r="B911" i="48"/>
  <c r="B910" i="48"/>
  <c r="B909" i="48"/>
  <c r="B908" i="48"/>
  <c r="B255" i="48"/>
  <c r="B655" i="48"/>
  <c r="B444" i="48"/>
  <c r="B443" i="48"/>
  <c r="B442" i="48"/>
  <c r="B947" i="48"/>
  <c r="B725" i="48"/>
  <c r="B161" i="48"/>
  <c r="B160" i="48"/>
  <c r="B156" i="48"/>
  <c r="B155" i="48"/>
  <c r="B862" i="48"/>
  <c r="B727" i="48"/>
  <c r="B634" i="48"/>
  <c r="B633" i="48"/>
  <c r="B632" i="48"/>
  <c r="B657" i="48"/>
  <c r="B656" i="48"/>
  <c r="B189" i="48"/>
  <c r="B900" i="48"/>
  <c r="B799" i="48"/>
  <c r="B186" i="48"/>
  <c r="B298" i="48"/>
  <c r="B157" i="48"/>
  <c r="B66" i="48"/>
  <c r="B607" i="48"/>
  <c r="B328" i="48"/>
  <c r="B875" i="48"/>
  <c r="B407" i="48"/>
  <c r="B105" i="48"/>
  <c r="B849" i="48"/>
  <c r="B738" i="48"/>
  <c r="B878" i="48"/>
  <c r="B544" i="48"/>
  <c r="B543" i="48"/>
  <c r="B542" i="48"/>
  <c r="B345" i="48"/>
  <c r="B252" i="48"/>
  <c r="B137" i="48"/>
  <c r="B641" i="48"/>
  <c r="B728" i="48"/>
  <c r="B305" i="48"/>
  <c r="B956" i="48"/>
  <c r="B955" i="48"/>
  <c r="B954" i="48"/>
  <c r="B953" i="48"/>
  <c r="B758" i="48"/>
  <c r="B79" i="48"/>
  <c r="B850" i="48"/>
  <c r="B605" i="48"/>
  <c r="B284" i="48"/>
  <c r="B586" i="48"/>
  <c r="B269" i="48"/>
  <c r="B854" i="48"/>
  <c r="B853" i="48"/>
  <c r="B218" i="48"/>
  <c r="B249" i="48"/>
  <c r="B829" i="48"/>
  <c r="B808" i="48"/>
  <c r="B665" i="48"/>
  <c r="B208" i="48"/>
  <c r="B207" i="48"/>
  <c r="B344" i="48"/>
  <c r="B343" i="48"/>
  <c r="B274" i="48"/>
  <c r="B273" i="48"/>
  <c r="B194" i="48"/>
  <c r="B881" i="48"/>
  <c r="B699" i="48"/>
  <c r="B363" i="48"/>
  <c r="B597" i="48"/>
  <c r="B421" i="48"/>
  <c r="B946" i="48"/>
  <c r="B939" i="48"/>
  <c r="B938" i="48"/>
  <c r="B937" i="48"/>
  <c r="B686" i="48"/>
  <c r="B683" i="48"/>
  <c r="B682" i="48"/>
  <c r="B374" i="48"/>
  <c r="B272" i="48"/>
  <c r="B233" i="48"/>
  <c r="B206" i="48"/>
  <c r="B350" i="48"/>
  <c r="B349" i="48"/>
  <c r="B348" i="48"/>
  <c r="B355" i="48"/>
  <c r="B718" i="48"/>
  <c r="B283" i="48"/>
  <c r="B251" i="48"/>
  <c r="B425" i="48"/>
  <c r="B424" i="48"/>
  <c r="B787" i="48"/>
  <c r="B747" i="48"/>
  <c r="B314" i="48"/>
  <c r="B715" i="48"/>
  <c r="B417" i="48"/>
  <c r="B416" i="48"/>
  <c r="B415" i="48"/>
  <c r="B414" i="48"/>
  <c r="B404" i="48"/>
  <c r="B403" i="48"/>
  <c r="B402" i="48"/>
  <c r="B757" i="48"/>
  <c r="B756" i="48"/>
  <c r="B254" i="48"/>
  <c r="B253" i="48"/>
  <c r="B807" i="48"/>
  <c r="B177" i="48"/>
  <c r="B176" i="48"/>
  <c r="B175" i="48"/>
  <c r="B174" i="48"/>
  <c r="B809" i="48"/>
  <c r="B761" i="48"/>
  <c r="B55" i="48"/>
  <c r="B278" i="48"/>
  <c r="B426" i="48"/>
  <c r="B777" i="48"/>
  <c r="B816" i="48"/>
  <c r="B385" i="48"/>
  <c r="B500" i="48"/>
  <c r="B388" i="48"/>
  <c r="B387" i="48"/>
  <c r="B456" i="48"/>
  <c r="B196" i="48"/>
  <c r="B750" i="48"/>
  <c r="B406" i="48"/>
  <c r="B823" i="48"/>
  <c r="B744" i="48"/>
  <c r="B222" i="48"/>
  <c r="B221" i="48"/>
  <c r="B220" i="48"/>
  <c r="B455" i="48"/>
  <c r="B320" i="48"/>
  <c r="B319" i="48"/>
  <c r="B318" i="48"/>
  <c r="B171" i="48"/>
  <c r="B170" i="48"/>
  <c r="B169" i="48"/>
  <c r="B168" i="48"/>
  <c r="B650" i="48"/>
  <c r="B330" i="48"/>
  <c r="B589" i="48"/>
  <c r="B588" i="48"/>
  <c r="B364" i="48"/>
  <c r="B353" i="48"/>
  <c r="B81" i="48"/>
  <c r="B80" i="48"/>
  <c r="B703" i="48"/>
  <c r="B398" i="48"/>
  <c r="B772" i="48"/>
  <c r="B771" i="48"/>
  <c r="B844" i="48"/>
  <c r="B658" i="48"/>
  <c r="B766" i="48"/>
  <c r="B276" i="48"/>
  <c r="B722" i="48"/>
  <c r="B721" i="48"/>
  <c r="B720" i="48"/>
  <c r="B663" i="48"/>
  <c r="B707" i="48"/>
  <c r="B433" i="48"/>
  <c r="B776" i="48"/>
  <c r="B185" i="48"/>
  <c r="B184" i="48"/>
  <c r="B163" i="48"/>
  <c r="B392" i="48"/>
  <c r="B391" i="48"/>
  <c r="B111" i="48"/>
  <c r="B289" i="48"/>
  <c r="B181" i="48"/>
  <c r="B180" i="48"/>
  <c r="B846" i="48"/>
  <c r="B845" i="48"/>
  <c r="B669" i="48"/>
  <c r="B187" i="48"/>
  <c r="B317" i="48"/>
  <c r="B316" i="48"/>
  <c r="B315" i="48"/>
  <c r="B724" i="48"/>
  <c r="B723" i="48"/>
  <c r="B662" i="48"/>
  <c r="B397" i="48"/>
  <c r="B393" i="48"/>
  <c r="B674" i="48"/>
  <c r="B828" i="48"/>
  <c r="B630" i="48"/>
  <c r="B869" i="48"/>
  <c r="B645" i="48"/>
  <c r="B644" i="48"/>
  <c r="B643" i="48"/>
  <c r="B173" i="48"/>
  <c r="B303" i="48"/>
  <c r="B302" i="48"/>
  <c r="B301" i="48"/>
  <c r="B300" i="48"/>
  <c r="B713" i="48"/>
  <c r="B763" i="48"/>
  <c r="B446" i="48"/>
  <c r="B559" i="48"/>
  <c r="B558" i="48"/>
  <c r="B557" i="48"/>
  <c r="B556" i="48"/>
  <c r="B291" i="48"/>
  <c r="B746" i="48"/>
  <c r="B339" i="48"/>
  <c r="B888" i="48"/>
  <c r="B887" i="48"/>
  <c r="B584" i="48"/>
  <c r="B583" i="48"/>
  <c r="B582" i="48"/>
  <c r="B65" i="48"/>
  <c r="B312" i="48"/>
  <c r="B224" i="48"/>
  <c r="B668" i="48"/>
  <c r="B647" i="48"/>
  <c r="B904" i="48"/>
  <c r="B593" i="48"/>
  <c r="B592" i="48"/>
  <c r="B591" i="48"/>
  <c r="B590" i="48"/>
  <c r="B313" i="48"/>
  <c r="B418" i="48"/>
  <c r="B459" i="48"/>
  <c r="B870" i="48"/>
  <c r="B108" i="48"/>
  <c r="B107" i="48"/>
  <c r="B106" i="48"/>
  <c r="B712" i="48"/>
  <c r="B711" i="48"/>
  <c r="B710" i="48"/>
  <c r="B709" i="48"/>
  <c r="B803" i="48"/>
  <c r="B78" i="48"/>
  <c r="B77" i="48"/>
  <c r="B76" i="48"/>
  <c r="B75" i="48"/>
  <c r="B74" i="48"/>
  <c r="B73" i="48"/>
  <c r="B72" i="48"/>
  <c r="B428" i="48"/>
  <c r="B769" i="48"/>
  <c r="B770" i="48"/>
  <c r="B659" i="48"/>
  <c r="B804" i="48"/>
  <c r="B885" i="48"/>
  <c r="B256" i="48"/>
  <c r="B672" i="48"/>
  <c r="B119" i="48"/>
  <c r="B594" i="48"/>
  <c r="B897" i="48"/>
  <c r="B726" i="48"/>
  <c r="B765" i="48"/>
  <c r="B219" i="48"/>
  <c r="B369" i="48"/>
  <c r="B235" i="48"/>
  <c r="B234" i="48"/>
  <c r="B717" i="48"/>
  <c r="B716" i="48"/>
  <c r="B614" i="48"/>
  <c r="B613" i="48"/>
  <c r="B612" i="48"/>
  <c r="B304" i="48"/>
  <c r="B382" i="48"/>
  <c r="B729" i="48"/>
  <c r="B740" i="48"/>
  <c r="B789" i="48"/>
  <c r="B768" i="48"/>
  <c r="B587" i="48"/>
  <c r="B876" i="48"/>
  <c r="B671" i="48"/>
  <c r="B287" i="48"/>
  <c r="B191" i="48"/>
  <c r="B899" i="48"/>
  <c r="B264" i="48"/>
  <c r="S692" i="32" l="1"/>
  <c r="S689" i="32"/>
  <c r="S688" i="32"/>
  <c r="S355" i="32"/>
  <c r="S275" i="32"/>
  <c r="S240" i="32"/>
  <c r="S211" i="32"/>
  <c r="S338" i="32"/>
  <c r="S337" i="32"/>
  <c r="S342" i="32"/>
  <c r="S724" i="32"/>
  <c r="S284" i="32"/>
  <c r="S254" i="32"/>
  <c r="S393" i="32"/>
  <c r="S791" i="32"/>
  <c r="S752" i="32"/>
  <c r="S317" i="32"/>
  <c r="S722" i="32"/>
  <c r="S386" i="32"/>
  <c r="S378" i="32"/>
  <c r="S377" i="32"/>
  <c r="S764" i="32"/>
  <c r="S763" i="32"/>
  <c r="S258" i="32"/>
  <c r="S257" i="32"/>
  <c r="S256" i="32"/>
  <c r="S810" i="32"/>
  <c r="S184" i="32"/>
  <c r="S812" i="32"/>
  <c r="S768" i="32"/>
  <c r="S61" i="32"/>
  <c r="S280" i="32"/>
  <c r="S394" i="32"/>
  <c r="S783" i="32"/>
  <c r="S816" i="32"/>
  <c r="S363" i="32"/>
  <c r="S471" i="32"/>
  <c r="S470" i="32"/>
  <c r="S365" i="32"/>
  <c r="S418" i="32"/>
  <c r="S204" i="32"/>
  <c r="S755" i="32"/>
  <c r="S380" i="32"/>
  <c r="S749" i="32"/>
  <c r="S227" i="32"/>
  <c r="S226" i="32"/>
  <c r="S417" i="32"/>
  <c r="S319" i="32"/>
  <c r="S181" i="32"/>
  <c r="S180" i="32"/>
  <c r="S179" i="32"/>
  <c r="S178" i="32"/>
  <c r="S177" i="32"/>
  <c r="S176" i="32"/>
  <c r="S657" i="32"/>
  <c r="S325" i="32"/>
  <c r="S596" i="32"/>
  <c r="S595" i="32"/>
  <c r="S594" i="32"/>
  <c r="S350" i="32"/>
  <c r="S340" i="32"/>
  <c r="S97" i="32"/>
  <c r="S96" i="32"/>
  <c r="S95" i="32"/>
  <c r="S710" i="32"/>
  <c r="S374" i="32"/>
  <c r="S778" i="32"/>
  <c r="S838" i="32"/>
  <c r="S665" i="32"/>
  <c r="S773" i="32"/>
  <c r="S278" i="32"/>
  <c r="S727" i="32"/>
  <c r="S726" i="32"/>
  <c r="S670" i="32"/>
  <c r="S714" i="32"/>
  <c r="S401" i="32"/>
  <c r="S782" i="32"/>
  <c r="S193" i="32"/>
  <c r="S192" i="32"/>
  <c r="S168" i="32"/>
  <c r="S368" i="32"/>
  <c r="S122" i="32"/>
  <c r="S290" i="32"/>
  <c r="S188" i="32"/>
  <c r="S839" i="32"/>
  <c r="S676" i="32"/>
  <c r="S195" i="32"/>
  <c r="S318" i="32"/>
  <c r="S729" i="32"/>
  <c r="S728" i="32"/>
  <c r="S669" i="32"/>
  <c r="S373" i="32"/>
  <c r="S369" i="32"/>
  <c r="S681" i="32"/>
  <c r="S826" i="32"/>
  <c r="S639" i="32"/>
  <c r="S857" i="32"/>
  <c r="S653" i="32"/>
  <c r="S652" i="32"/>
  <c r="S651" i="32"/>
  <c r="S183" i="32"/>
  <c r="S302" i="32"/>
  <c r="S301" i="32"/>
  <c r="S300" i="32"/>
  <c r="S469" i="32"/>
  <c r="S468" i="32"/>
  <c r="S720" i="32"/>
  <c r="S770" i="32"/>
  <c r="S409" i="32"/>
  <c r="S545" i="32"/>
  <c r="S544" i="32"/>
  <c r="S543" i="32"/>
  <c r="S542" i="32"/>
  <c r="S541" i="32"/>
  <c r="S292" i="32"/>
  <c r="S751" i="32"/>
  <c r="S329" i="32"/>
  <c r="S873" i="32"/>
  <c r="S587" i="32"/>
  <c r="S586" i="32"/>
  <c r="S585" i="32"/>
  <c r="S584" i="32"/>
  <c r="S583" i="32"/>
  <c r="S582" i="32"/>
  <c r="S581" i="32"/>
  <c r="S580" i="32"/>
  <c r="S579" i="32"/>
  <c r="S578" i="32"/>
  <c r="S577" i="32"/>
  <c r="S576" i="32"/>
  <c r="S575" i="32"/>
  <c r="S574" i="32"/>
  <c r="S573" i="32"/>
  <c r="S572" i="32"/>
  <c r="S571" i="32"/>
  <c r="S570" i="32"/>
  <c r="S75" i="32"/>
  <c r="S74" i="32"/>
  <c r="S315" i="32"/>
  <c r="S229" i="32"/>
  <c r="S675" i="32"/>
  <c r="S655" i="32"/>
  <c r="S886" i="32"/>
  <c r="S885" i="32"/>
  <c r="S599" i="32"/>
  <c r="S598" i="32"/>
  <c r="S597" i="32"/>
  <c r="S316" i="32"/>
  <c r="S387" i="32"/>
  <c r="S425" i="32"/>
  <c r="S424" i="32"/>
  <c r="S423" i="32"/>
  <c r="S422" i="32"/>
  <c r="S421" i="32"/>
  <c r="S420" i="32"/>
  <c r="S858" i="32"/>
  <c r="S118" i="32"/>
  <c r="S117" i="32"/>
  <c r="S116" i="32"/>
  <c r="S115" i="32"/>
  <c r="S114" i="32"/>
  <c r="S719" i="32"/>
  <c r="S718" i="32"/>
  <c r="S717" i="32"/>
  <c r="S716" i="32"/>
  <c r="S807" i="32"/>
  <c r="S93" i="32"/>
  <c r="S92" i="32"/>
  <c r="S91" i="32"/>
  <c r="S90" i="32"/>
  <c r="S89" i="32"/>
  <c r="S88" i="32"/>
  <c r="S87" i="32"/>
  <c r="S86" i="32"/>
  <c r="S85" i="32"/>
  <c r="S84" i="32"/>
  <c r="S396" i="32"/>
  <c r="S776" i="32"/>
  <c r="S777" i="32"/>
  <c r="S666" i="32"/>
  <c r="S808" i="32"/>
  <c r="S871" i="32"/>
  <c r="S260" i="32"/>
  <c r="S679" i="32"/>
  <c r="S131" i="32"/>
  <c r="S130" i="32"/>
  <c r="S600" i="32"/>
  <c r="S880" i="32"/>
  <c r="S731" i="32"/>
  <c r="S772" i="32"/>
  <c r="S225" i="32"/>
  <c r="S352" i="32"/>
  <c r="S242" i="32"/>
  <c r="S241" i="32"/>
  <c r="S723" i="32"/>
  <c r="S623" i="32"/>
  <c r="S622" i="32"/>
  <c r="S621" i="32"/>
  <c r="S308" i="32"/>
  <c r="S307" i="32"/>
  <c r="S306" i="32"/>
  <c r="S305" i="32"/>
  <c r="S304" i="32"/>
  <c r="S303" i="32"/>
  <c r="S360" i="32"/>
  <c r="S734" i="32"/>
  <c r="S745" i="32"/>
  <c r="S793" i="32"/>
  <c r="S775" i="32"/>
  <c r="S593" i="32"/>
  <c r="S862" i="32"/>
  <c r="S678" i="32"/>
  <c r="S288" i="32"/>
  <c r="S199" i="32"/>
  <c r="S882" i="32"/>
  <c r="S268" i="32"/>
  <c r="S674" i="32"/>
  <c r="S711" i="32"/>
  <c r="S400" i="32"/>
  <c r="S282" i="32"/>
  <c r="S562" i="32"/>
  <c r="S668" i="32"/>
  <c r="S748" i="32"/>
  <c r="S747" i="32"/>
  <c r="S191" i="32"/>
  <c r="S190" i="32"/>
  <c r="S189" i="32"/>
  <c r="S447" i="32"/>
  <c r="S353" i="32"/>
  <c r="S364" i="32"/>
  <c r="S557" i="32"/>
  <c r="S295" i="32"/>
  <c r="S859" i="32"/>
  <c r="S660" i="32"/>
  <c r="S725" i="32"/>
  <c r="S209" i="32"/>
  <c r="S863" i="32"/>
  <c r="S416" i="32"/>
  <c r="S713" i="32"/>
  <c r="S399" i="32"/>
  <c r="S638" i="32"/>
  <c r="S637" i="32"/>
  <c r="S636" i="32"/>
  <c r="S370" i="32"/>
  <c r="S856" i="32"/>
  <c r="S263" i="32"/>
  <c r="S809" i="32"/>
  <c r="S236" i="32"/>
  <c r="S235" i="32"/>
  <c r="S253" i="32"/>
  <c r="S129" i="32"/>
  <c r="S128" i="32"/>
  <c r="S127" i="32"/>
  <c r="S798" i="32"/>
  <c r="S375" i="32"/>
  <c r="S829" i="32"/>
  <c r="S828" i="32"/>
  <c r="S351" i="32"/>
  <c r="S801" i="32"/>
  <c r="S311" i="32"/>
  <c r="S286" i="32"/>
  <c r="S539" i="32"/>
  <c r="S538" i="32"/>
  <c r="S537" i="32"/>
  <c r="S851" i="32"/>
  <c r="S310" i="32"/>
  <c r="S633" i="32"/>
  <c r="S632" i="32"/>
  <c r="S395" i="32"/>
  <c r="S645" i="32"/>
  <c r="S644" i="32"/>
  <c r="S398" i="32"/>
  <c r="S804" i="32"/>
  <c r="S736" i="32"/>
  <c r="S735" i="32"/>
  <c r="S172" i="32"/>
  <c r="S171" i="32"/>
  <c r="S686" i="32"/>
  <c r="S612" i="32"/>
  <c r="S272" i="32"/>
  <c r="S220" i="32"/>
  <c r="S879" i="32"/>
  <c r="S175" i="32"/>
  <c r="S874" i="32"/>
  <c r="S721" i="32"/>
  <c r="S697" i="32"/>
  <c r="S16" i="32"/>
  <c r="S15" i="32"/>
  <c r="S14" i="32"/>
  <c r="S13" i="32"/>
  <c r="S12" i="32"/>
  <c r="S819" i="32"/>
  <c r="S825" i="32"/>
  <c r="S815" i="32"/>
  <c r="S283" i="32"/>
  <c r="S296" i="32"/>
  <c r="S102" i="32"/>
  <c r="S182" i="32"/>
  <c r="S854" i="32"/>
  <c r="S341" i="32"/>
  <c r="S358" i="32"/>
  <c r="S287" i="32"/>
  <c r="S413" i="32"/>
  <c r="S881" i="32"/>
  <c r="S709" i="32"/>
  <c r="S382" i="32"/>
  <c r="S444" i="32"/>
  <c r="S443" i="32"/>
  <c r="S820" i="32"/>
  <c r="S406" i="32"/>
  <c r="S799" i="32"/>
  <c r="S769" i="32"/>
  <c r="S821" i="32"/>
  <c r="S708" i="32"/>
  <c r="S707" i="32"/>
  <c r="S706" i="32"/>
  <c r="S846" i="32"/>
  <c r="S354" i="32"/>
  <c r="S865" i="32"/>
  <c r="S746" i="32"/>
  <c r="S634" i="32"/>
  <c r="S243" i="32"/>
  <c r="S249" i="32"/>
  <c r="S852" i="32"/>
  <c r="S126" i="32"/>
  <c r="S125" i="32"/>
  <c r="S124" i="32"/>
  <c r="S766" i="32"/>
  <c r="S265" i="32"/>
  <c r="S696" i="32"/>
  <c r="S695" i="32"/>
  <c r="S247" i="32"/>
  <c r="S246" i="32"/>
  <c r="S245" i="32"/>
  <c r="S244" i="32"/>
  <c r="S17" i="32"/>
  <c r="S269" i="32"/>
  <c r="S384" i="32"/>
  <c r="S143" i="32"/>
  <c r="S781" i="32"/>
  <c r="S702" i="32"/>
  <c r="S701" i="32"/>
  <c r="S797" i="32"/>
  <c r="S274" i="32"/>
  <c r="S233" i="32"/>
  <c r="S347" i="32"/>
  <c r="S761" i="32"/>
  <c r="S760" i="32"/>
  <c r="S759" i="32"/>
  <c r="S699" i="32"/>
  <c r="S875" i="32"/>
  <c r="S754" i="32"/>
  <c r="S682" i="32"/>
  <c r="S232" i="32"/>
  <c r="S231" i="32"/>
  <c r="S230" i="32"/>
  <c r="S884" i="32"/>
  <c r="S39" i="32"/>
  <c r="S38" i="32"/>
  <c r="S109" i="32"/>
  <c r="S108" i="32"/>
  <c r="S402" i="32"/>
  <c r="S517" i="32"/>
  <c r="S516" i="32"/>
  <c r="S359" i="32"/>
  <c r="S683" i="32"/>
  <c r="S490" i="32"/>
  <c r="S489" i="32"/>
  <c r="S488" i="32"/>
  <c r="S487" i="32"/>
  <c r="S486" i="32"/>
  <c r="S485" i="32"/>
  <c r="S484" i="32"/>
  <c r="S832" i="32"/>
  <c r="S405" i="32"/>
  <c r="S50" i="32"/>
  <c r="S49" i="32"/>
  <c r="S48" i="32"/>
  <c r="S47" i="32"/>
  <c r="S46" i="32"/>
  <c r="S45" i="32"/>
  <c r="S149" i="32"/>
  <c r="S148" i="32"/>
  <c r="S147" i="32"/>
  <c r="S146" i="32"/>
  <c r="S145" i="32"/>
  <c r="S659" i="32"/>
  <c r="S391" i="32"/>
  <c r="S877" i="32"/>
  <c r="S609" i="32"/>
  <c r="S608" i="32"/>
  <c r="S817" i="32"/>
  <c r="S411" i="32"/>
  <c r="S860" i="32"/>
  <c r="S855" i="32"/>
  <c r="S698" i="32"/>
  <c r="S410" i="32"/>
  <c r="S266" i="32"/>
  <c r="S771" i="32"/>
  <c r="S673" i="32"/>
  <c r="S312" i="32"/>
  <c r="S264" i="32"/>
  <c r="S134" i="32"/>
  <c r="S133" i="32"/>
  <c r="S907" i="32"/>
  <c r="S906" i="32"/>
  <c r="S905" i="32"/>
  <c r="S904" i="32"/>
  <c r="S83" i="32"/>
  <c r="S82" i="32"/>
  <c r="S81" i="32"/>
  <c r="B689" i="32"/>
  <c r="B688" i="32"/>
  <c r="B355" i="32"/>
  <c r="B275" i="32"/>
  <c r="B240" i="32"/>
  <c r="B211" i="32"/>
  <c r="B338" i="32"/>
  <c r="B337" i="32"/>
  <c r="B342" i="32"/>
  <c r="B724" i="32"/>
  <c r="B284" i="32"/>
  <c r="B254" i="32"/>
  <c r="B393" i="32"/>
  <c r="B791" i="32"/>
  <c r="B752" i="32"/>
  <c r="B317" i="32"/>
  <c r="B722" i="32"/>
  <c r="B386" i="32"/>
  <c r="B378" i="32"/>
  <c r="B377" i="32"/>
  <c r="B764" i="32"/>
  <c r="B763" i="32"/>
  <c r="B258" i="32"/>
  <c r="B257" i="32"/>
  <c r="B256" i="32"/>
  <c r="B810" i="32"/>
  <c r="B184" i="32"/>
  <c r="B812" i="32"/>
  <c r="B768" i="32"/>
  <c r="B61" i="32"/>
  <c r="B280" i="32"/>
  <c r="B394" i="32"/>
  <c r="B783" i="32"/>
  <c r="B816" i="32"/>
  <c r="B363" i="32"/>
  <c r="B471" i="32"/>
  <c r="B470" i="32"/>
  <c r="B365" i="32"/>
  <c r="B418" i="32"/>
  <c r="B204" i="32"/>
  <c r="B755" i="32"/>
  <c r="B380" i="32"/>
  <c r="B749" i="32"/>
  <c r="B227" i="32"/>
  <c r="B226" i="32"/>
  <c r="B417" i="32"/>
  <c r="B319" i="32"/>
  <c r="B181" i="32"/>
  <c r="B180" i="32"/>
  <c r="B179" i="32"/>
  <c r="B178" i="32"/>
  <c r="B177" i="32"/>
  <c r="B176" i="32"/>
  <c r="B657" i="32"/>
  <c r="B325" i="32"/>
  <c r="B596" i="32"/>
  <c r="B595" i="32"/>
  <c r="B594" i="32"/>
  <c r="B350" i="32"/>
  <c r="B340" i="32"/>
  <c r="B97" i="32"/>
  <c r="B96" i="32"/>
  <c r="B95" i="32"/>
  <c r="B710" i="32"/>
  <c r="B374" i="32"/>
  <c r="B778" i="32"/>
  <c r="B838" i="32"/>
  <c r="B665" i="32"/>
  <c r="B773" i="32"/>
  <c r="B278" i="32"/>
  <c r="B727" i="32"/>
  <c r="B726" i="32"/>
  <c r="B670" i="32"/>
  <c r="B714" i="32"/>
  <c r="B401" i="32"/>
  <c r="B782" i="32"/>
  <c r="B193" i="32"/>
  <c r="B192" i="32"/>
  <c r="B168" i="32"/>
  <c r="B368" i="32"/>
  <c r="B122" i="32"/>
  <c r="B290" i="32"/>
  <c r="B188" i="32"/>
  <c r="B839" i="32"/>
  <c r="B676" i="32"/>
  <c r="B195" i="32"/>
  <c r="B318" i="32"/>
  <c r="B729" i="32"/>
  <c r="B728" i="32"/>
  <c r="B669" i="32"/>
  <c r="B373" i="32"/>
  <c r="B369" i="32"/>
  <c r="B681" i="32"/>
  <c r="B826" i="32"/>
  <c r="B639" i="32"/>
  <c r="B857" i="32"/>
  <c r="B653" i="32"/>
  <c r="B652" i="32"/>
  <c r="B651" i="32"/>
  <c r="B183" i="32"/>
  <c r="B302" i="32"/>
  <c r="B301" i="32"/>
  <c r="B300" i="32"/>
  <c r="B469" i="32"/>
  <c r="B468" i="32"/>
  <c r="B720" i="32"/>
  <c r="B770" i="32"/>
  <c r="B409" i="32"/>
  <c r="B545" i="32"/>
  <c r="B544" i="32"/>
  <c r="B543" i="32"/>
  <c r="B542" i="32"/>
  <c r="B541" i="32"/>
  <c r="B292" i="32"/>
  <c r="B751" i="32"/>
  <c r="B329" i="32"/>
  <c r="B873" i="32"/>
  <c r="B587" i="32"/>
  <c r="B586" i="32"/>
  <c r="B585" i="32"/>
  <c r="B584" i="32"/>
  <c r="B583" i="32"/>
  <c r="B582" i="32"/>
  <c r="B581" i="32"/>
  <c r="B580" i="32"/>
  <c r="B579" i="32"/>
  <c r="B578" i="32"/>
  <c r="B577" i="32"/>
  <c r="B576" i="32"/>
  <c r="B575" i="32"/>
  <c r="B574" i="32"/>
  <c r="B573" i="32"/>
  <c r="B572" i="32"/>
  <c r="B571" i="32"/>
  <c r="B570" i="32"/>
  <c r="B75" i="32"/>
  <c r="B74" i="32"/>
  <c r="B315" i="32"/>
  <c r="B229" i="32"/>
  <c r="B675" i="32"/>
  <c r="B655" i="32"/>
  <c r="B886" i="32"/>
  <c r="B885" i="32"/>
  <c r="B599" i="32"/>
  <c r="B598" i="32"/>
  <c r="B597" i="32"/>
  <c r="B316" i="32"/>
  <c r="B387" i="32"/>
  <c r="B425" i="32"/>
  <c r="B424" i="32"/>
  <c r="B423" i="32"/>
  <c r="B422" i="32"/>
  <c r="B421" i="32"/>
  <c r="B420" i="32"/>
  <c r="B858" i="32"/>
  <c r="B118" i="32"/>
  <c r="B117" i="32"/>
  <c r="B116" i="32"/>
  <c r="B115" i="32"/>
  <c r="B114" i="32"/>
  <c r="B719" i="32"/>
  <c r="B718" i="32"/>
  <c r="B717" i="32"/>
  <c r="B716" i="32"/>
  <c r="B807" i="32"/>
  <c r="B93" i="32"/>
  <c r="B92" i="32"/>
  <c r="B91" i="32"/>
  <c r="B90" i="32"/>
  <c r="B89" i="32"/>
  <c r="B88" i="32"/>
  <c r="B87" i="32"/>
  <c r="B86" i="32"/>
  <c r="B85" i="32"/>
  <c r="B84" i="32"/>
  <c r="B396" i="32"/>
  <c r="B776" i="32"/>
  <c r="B777" i="32"/>
  <c r="B666" i="32"/>
  <c r="B808" i="32"/>
  <c r="B871" i="32"/>
  <c r="B260" i="32"/>
  <c r="B679" i="32"/>
  <c r="B131" i="32"/>
  <c r="B130" i="32"/>
  <c r="B600" i="32"/>
  <c r="B880" i="32"/>
  <c r="B731" i="32"/>
  <c r="B772" i="32"/>
  <c r="B225" i="32"/>
  <c r="B352" i="32"/>
  <c r="B242" i="32"/>
  <c r="B241" i="32"/>
  <c r="B723" i="32"/>
  <c r="B623" i="32"/>
  <c r="B622" i="32"/>
  <c r="B621" i="32"/>
  <c r="B308" i="32"/>
  <c r="B307" i="32"/>
  <c r="B306" i="32"/>
  <c r="B305" i="32"/>
  <c r="B304" i="32"/>
  <c r="B303" i="32"/>
  <c r="B360" i="32"/>
  <c r="B734" i="32"/>
  <c r="B745" i="32"/>
  <c r="B793" i="32"/>
  <c r="B775" i="32"/>
  <c r="B593" i="32"/>
  <c r="B862" i="32"/>
  <c r="B678" i="32"/>
  <c r="B288" i="32"/>
  <c r="B199" i="32"/>
  <c r="B882" i="32"/>
  <c r="B268" i="32"/>
  <c r="B674" i="32"/>
  <c r="B711" i="32"/>
  <c r="B400" i="32"/>
  <c r="B282" i="32"/>
  <c r="B562" i="32"/>
  <c r="B668" i="32"/>
  <c r="B748" i="32"/>
  <c r="B747" i="32"/>
  <c r="B191" i="32"/>
  <c r="B190" i="32"/>
  <c r="B189" i="32"/>
  <c r="B447" i="32"/>
  <c r="B353" i="32"/>
  <c r="B364" i="32"/>
  <c r="B557" i="32"/>
  <c r="B295" i="32"/>
  <c r="B859" i="32"/>
  <c r="B660" i="32"/>
  <c r="B725" i="32"/>
  <c r="B209" i="32"/>
  <c r="B863" i="32"/>
  <c r="B416" i="32"/>
  <c r="B713" i="32"/>
  <c r="B399" i="32"/>
  <c r="B638" i="32"/>
  <c r="B637" i="32"/>
  <c r="B636" i="32"/>
  <c r="B370" i="32"/>
  <c r="B856" i="32"/>
  <c r="B263" i="32"/>
  <c r="B809" i="32"/>
  <c r="B236" i="32"/>
  <c r="B235" i="32"/>
  <c r="B253" i="32"/>
  <c r="B129" i="32"/>
  <c r="B128" i="32"/>
  <c r="B127" i="32"/>
  <c r="B798" i="32"/>
  <c r="B375" i="32"/>
  <c r="B829" i="32"/>
  <c r="B828" i="32"/>
  <c r="B351" i="32"/>
  <c r="B801" i="32"/>
  <c r="B311" i="32"/>
  <c r="B286" i="32"/>
  <c r="B539" i="32"/>
  <c r="B538" i="32"/>
  <c r="B537" i="32"/>
  <c r="B851" i="32"/>
  <c r="B310" i="32"/>
  <c r="B633" i="32"/>
  <c r="B632" i="32"/>
  <c r="B395" i="32"/>
  <c r="B645" i="32"/>
  <c r="B644" i="32"/>
  <c r="B398" i="32"/>
  <c r="B804" i="32"/>
  <c r="B736" i="32"/>
  <c r="B735" i="32"/>
  <c r="B172" i="32"/>
  <c r="B171" i="32"/>
  <c r="B686" i="32"/>
  <c r="B612" i="32"/>
  <c r="B272" i="32"/>
  <c r="B220" i="32"/>
  <c r="B879" i="32"/>
  <c r="B175" i="32"/>
  <c r="B874" i="32"/>
  <c r="B721" i="32"/>
  <c r="B697" i="32"/>
  <c r="B16" i="32"/>
  <c r="B15" i="32"/>
  <c r="B14" i="32"/>
  <c r="B13" i="32"/>
  <c r="B12" i="32"/>
  <c r="B819" i="32"/>
  <c r="B825" i="32"/>
  <c r="B815" i="32"/>
  <c r="B283" i="32"/>
  <c r="B296" i="32"/>
  <c r="B102" i="32"/>
  <c r="B182" i="32"/>
  <c r="B854" i="32"/>
  <c r="B341" i="32"/>
  <c r="B358" i="32"/>
  <c r="B287" i="32"/>
  <c r="B413" i="32"/>
  <c r="B881" i="32"/>
  <c r="B709" i="32"/>
  <c r="B382" i="32"/>
  <c r="B444" i="32"/>
  <c r="B443" i="32"/>
  <c r="B820" i="32"/>
  <c r="B406" i="32"/>
  <c r="B799" i="32"/>
  <c r="B769" i="32"/>
  <c r="B821" i="32"/>
  <c r="B708" i="32"/>
  <c r="B707" i="32"/>
  <c r="B706" i="32"/>
  <c r="B846" i="32"/>
  <c r="B354" i="32"/>
  <c r="B865" i="32"/>
  <c r="B746" i="32"/>
  <c r="B634" i="32"/>
  <c r="B243" i="32"/>
  <c r="B249" i="32"/>
  <c r="B852" i="32"/>
  <c r="B126" i="32"/>
  <c r="B125" i="32"/>
  <c r="B124" i="32"/>
  <c r="B766" i="32"/>
  <c r="B265" i="32"/>
  <c r="B696" i="32"/>
  <c r="B695" i="32"/>
  <c r="B247" i="32"/>
  <c r="B246" i="32"/>
  <c r="B245" i="32"/>
  <c r="B244" i="32"/>
  <c r="B17" i="32"/>
  <c r="B269" i="32"/>
  <c r="B384" i="32"/>
  <c r="B143" i="32"/>
  <c r="B781" i="32"/>
  <c r="B702" i="32"/>
  <c r="B701" i="32"/>
  <c r="B797" i="32"/>
  <c r="B274" i="32"/>
  <c r="B233" i="32"/>
  <c r="B347" i="32"/>
  <c r="B761" i="32"/>
  <c r="B760" i="32"/>
  <c r="B759" i="32"/>
  <c r="B699" i="32"/>
  <c r="B875" i="32"/>
  <c r="B754" i="32"/>
  <c r="B682" i="32"/>
  <c r="B232" i="32"/>
  <c r="B231" i="32"/>
  <c r="B230" i="32"/>
  <c r="B884" i="32"/>
  <c r="B39" i="32"/>
  <c r="B38" i="32"/>
  <c r="B109" i="32"/>
  <c r="B108" i="32"/>
  <c r="B402" i="32"/>
  <c r="B517" i="32"/>
  <c r="B516" i="32"/>
  <c r="B359" i="32"/>
  <c r="B683" i="32"/>
  <c r="B490" i="32"/>
  <c r="B489" i="32"/>
  <c r="B488" i="32"/>
  <c r="B487" i="32"/>
  <c r="B486" i="32"/>
  <c r="B485" i="32"/>
  <c r="B484" i="32"/>
  <c r="B832" i="32"/>
  <c r="B405" i="32"/>
  <c r="B50" i="32"/>
  <c r="B49" i="32"/>
  <c r="B48" i="32"/>
  <c r="B47" i="32"/>
  <c r="B46" i="32"/>
  <c r="B45" i="32"/>
  <c r="B149" i="32"/>
  <c r="B148" i="32"/>
  <c r="B147" i="32"/>
  <c r="B146" i="32"/>
  <c r="B145" i="32"/>
  <c r="B659" i="32"/>
  <c r="B391" i="32"/>
  <c r="B877" i="32"/>
  <c r="B609" i="32"/>
  <c r="B608" i="32"/>
  <c r="B817" i="32"/>
  <c r="B411" i="32"/>
  <c r="B860" i="32"/>
  <c r="B855" i="32"/>
  <c r="B698" i="32"/>
  <c r="B410" i="32"/>
  <c r="B266" i="32"/>
  <c r="B771" i="32"/>
  <c r="B673" i="32"/>
  <c r="B312" i="32"/>
  <c r="B264" i="32"/>
  <c r="B134" i="32"/>
  <c r="B133" i="32"/>
  <c r="B907" i="32"/>
  <c r="B906" i="32"/>
  <c r="B905" i="32"/>
  <c r="B904" i="32"/>
  <c r="B83" i="32"/>
  <c r="B82" i="32"/>
  <c r="B81" i="32"/>
  <c r="B80" i="32"/>
  <c r="B565" i="2"/>
  <c r="B564" i="2"/>
  <c r="B563" i="2"/>
  <c r="B562" i="2"/>
  <c r="B561" i="2"/>
  <c r="B560" i="2"/>
  <c r="B559" i="2"/>
  <c r="B558" i="2"/>
  <c r="B557" i="2"/>
  <c r="B556" i="2"/>
  <c r="B555" i="2"/>
  <c r="B554" i="2"/>
  <c r="B553" i="2"/>
  <c r="B552" i="2"/>
  <c r="B551" i="2"/>
  <c r="B550" i="2"/>
  <c r="B549" i="2"/>
  <c r="B548" i="2"/>
  <c r="B547" i="2"/>
  <c r="B546" i="2"/>
  <c r="B545" i="2"/>
  <c r="B544" i="2"/>
  <c r="B543" i="2"/>
  <c r="B542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584" i="2"/>
  <c r="B343" i="2"/>
  <c r="B342" i="2"/>
  <c r="B341" i="2"/>
  <c r="B340" i="2"/>
  <c r="B339" i="2"/>
  <c r="B338" i="2"/>
  <c r="B337" i="2"/>
  <c r="B583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582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581" i="2"/>
  <c r="B304" i="2"/>
  <c r="B303" i="2"/>
  <c r="B302" i="2"/>
  <c r="B301" i="2"/>
  <c r="B300" i="2"/>
  <c r="B299" i="2"/>
  <c r="B298" i="2"/>
  <c r="B297" i="2"/>
  <c r="B296" i="2"/>
  <c r="B580" i="2"/>
  <c r="B295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U244" i="32" l="1"/>
  <c r="U720" i="32"/>
  <c r="U305" i="32"/>
  <c r="U82" i="32"/>
  <c r="U266" i="32"/>
  <c r="U145" i="32"/>
  <c r="U832" i="32"/>
  <c r="U402" i="32"/>
  <c r="U699" i="32"/>
  <c r="U384" i="32"/>
  <c r="U125" i="32"/>
  <c r="U708" i="32"/>
  <c r="U287" i="32"/>
  <c r="U13" i="32"/>
  <c r="U686" i="32"/>
  <c r="U310" i="32"/>
  <c r="U798" i="32"/>
  <c r="U637" i="32"/>
  <c r="U364" i="32"/>
  <c r="U711" i="32"/>
  <c r="U734" i="32"/>
  <c r="U241" i="32"/>
  <c r="U871" i="32"/>
  <c r="U90" i="32"/>
  <c r="U117" i="32"/>
  <c r="U598" i="32"/>
  <c r="U572" i="32"/>
  <c r="U584" i="32"/>
  <c r="U653" i="32"/>
  <c r="U676" i="32"/>
  <c r="U670" i="32"/>
  <c r="U97" i="32"/>
  <c r="U180" i="32"/>
  <c r="U470" i="32"/>
  <c r="U256" i="32"/>
  <c r="U393" i="32"/>
  <c r="U689" i="32"/>
  <c r="U905" i="32"/>
  <c r="U304" i="32"/>
  <c r="U149" i="32"/>
  <c r="U873" i="32"/>
  <c r="U545" i="32"/>
  <c r="U83" i="32"/>
  <c r="U410" i="32"/>
  <c r="U146" i="32"/>
  <c r="U484" i="32"/>
  <c r="U108" i="32"/>
  <c r="U759" i="32"/>
  <c r="U269" i="32"/>
  <c r="U126" i="32"/>
  <c r="U821" i="32"/>
  <c r="U358" i="32"/>
  <c r="U14" i="32"/>
  <c r="U171" i="32"/>
  <c r="U851" i="32"/>
  <c r="U127" i="32"/>
  <c r="U638" i="32"/>
  <c r="U353" i="32"/>
  <c r="U674" i="32"/>
  <c r="U360" i="32"/>
  <c r="U242" i="32"/>
  <c r="U808" i="32"/>
  <c r="U91" i="32"/>
  <c r="U118" i="32"/>
  <c r="U599" i="32"/>
  <c r="U573" i="32"/>
  <c r="U585" i="32"/>
  <c r="U409" i="32"/>
  <c r="U857" i="32"/>
  <c r="U839" i="32"/>
  <c r="U726" i="32"/>
  <c r="U340" i="32"/>
  <c r="U181" i="32"/>
  <c r="U471" i="32"/>
  <c r="U257" i="32"/>
  <c r="U254" i="32"/>
  <c r="U692" i="32"/>
  <c r="U713" i="32"/>
  <c r="U487" i="32"/>
  <c r="U421" i="32"/>
  <c r="U904" i="32"/>
  <c r="U698" i="32"/>
  <c r="U147" i="32"/>
  <c r="U485" i="32"/>
  <c r="U109" i="32"/>
  <c r="U760" i="32"/>
  <c r="U17" i="32"/>
  <c r="U852" i="32"/>
  <c r="U769" i="32"/>
  <c r="U341" i="32"/>
  <c r="U15" i="32"/>
  <c r="U172" i="32"/>
  <c r="U537" i="32"/>
  <c r="U128" i="32"/>
  <c r="U399" i="32"/>
  <c r="U447" i="32"/>
  <c r="U268" i="32"/>
  <c r="U303" i="32"/>
  <c r="U352" i="32"/>
  <c r="U666" i="32"/>
  <c r="U92" i="32"/>
  <c r="U858" i="32"/>
  <c r="U885" i="32"/>
  <c r="U574" i="32"/>
  <c r="U586" i="32"/>
  <c r="U770" i="32"/>
  <c r="U639" i="32"/>
  <c r="U188" i="32"/>
  <c r="U727" i="32"/>
  <c r="U350" i="32"/>
  <c r="U319" i="32"/>
  <c r="U363" i="32"/>
  <c r="U258" i="32"/>
  <c r="U284" i="32"/>
  <c r="U16" i="32"/>
  <c r="U420" i="32"/>
  <c r="U816" i="32"/>
  <c r="U736" i="32"/>
  <c r="U122" i="32"/>
  <c r="U907" i="32"/>
  <c r="U884" i="32"/>
  <c r="U820" i="32"/>
  <c r="U286" i="32"/>
  <c r="U288" i="32"/>
  <c r="U716" i="32"/>
  <c r="U469" i="32"/>
  <c r="U596" i="32"/>
  <c r="U337" i="32"/>
  <c r="U486" i="32"/>
  <c r="U854" i="32"/>
  <c r="U189" i="32"/>
  <c r="U777" i="32"/>
  <c r="U587" i="32"/>
  <c r="U278" i="32"/>
  <c r="U417" i="32"/>
  <c r="U724" i="32"/>
  <c r="U347" i="32"/>
  <c r="U182" i="32"/>
  <c r="U539" i="32"/>
  <c r="U190" i="32"/>
  <c r="U776" i="32"/>
  <c r="U681" i="32"/>
  <c r="U595" i="32"/>
  <c r="U342" i="32"/>
  <c r="U411" i="32"/>
  <c r="U488" i="32"/>
  <c r="U233" i="32"/>
  <c r="U634" i="32"/>
  <c r="U102" i="32"/>
  <c r="U804" i="32"/>
  <c r="U863" i="32"/>
  <c r="U731" i="32"/>
  <c r="U422" i="32"/>
  <c r="U577" i="32"/>
  <c r="U369" i="32"/>
  <c r="U665" i="32"/>
  <c r="U227" i="32"/>
  <c r="U377" i="32"/>
  <c r="U133" i="32"/>
  <c r="U817" i="32"/>
  <c r="U46" i="32"/>
  <c r="U489" i="32"/>
  <c r="U230" i="32"/>
  <c r="U274" i="32"/>
  <c r="U247" i="32"/>
  <c r="U746" i="32"/>
  <c r="U443" i="32"/>
  <c r="U296" i="32"/>
  <c r="U874" i="32"/>
  <c r="U236" i="32"/>
  <c r="U209" i="32"/>
  <c r="U747" i="32"/>
  <c r="U678" i="32"/>
  <c r="U307" i="32"/>
  <c r="U880" i="32"/>
  <c r="U84" i="32"/>
  <c r="U717" i="32"/>
  <c r="U423" i="32"/>
  <c r="U229" i="32"/>
  <c r="U578" i="32"/>
  <c r="U751" i="32"/>
  <c r="U300" i="32"/>
  <c r="U373" i="32"/>
  <c r="U168" i="32"/>
  <c r="U838" i="32"/>
  <c r="U325" i="32"/>
  <c r="U749" i="32"/>
  <c r="U280" i="32"/>
  <c r="U378" i="32"/>
  <c r="U338" i="32"/>
  <c r="U855" i="32"/>
  <c r="U799" i="32"/>
  <c r="U882" i="32"/>
  <c r="U826" i="32"/>
  <c r="U243" i="32"/>
  <c r="U807" i="32"/>
  <c r="U398" i="32"/>
  <c r="U134" i="32"/>
  <c r="U608" i="32"/>
  <c r="U47" i="32"/>
  <c r="U490" i="32"/>
  <c r="U231" i="32"/>
  <c r="U797" i="32"/>
  <c r="U695" i="32"/>
  <c r="U865" i="32"/>
  <c r="U444" i="32"/>
  <c r="U283" i="32"/>
  <c r="U175" i="32"/>
  <c r="U644" i="32"/>
  <c r="U801" i="32"/>
  <c r="U809" i="32"/>
  <c r="U725" i="32"/>
  <c r="U748" i="32"/>
  <c r="U862" i="32"/>
  <c r="U308" i="32"/>
  <c r="U600" i="32"/>
  <c r="U85" i="32"/>
  <c r="U718" i="32"/>
  <c r="U424" i="32"/>
  <c r="U315" i="32"/>
  <c r="U579" i="32"/>
  <c r="U292" i="32"/>
  <c r="U301" i="32"/>
  <c r="U669" i="32"/>
  <c r="U192" i="32"/>
  <c r="U778" i="32"/>
  <c r="U657" i="32"/>
  <c r="U380" i="32"/>
  <c r="U61" i="32"/>
  <c r="U386" i="32"/>
  <c r="U211" i="32"/>
  <c r="U761" i="32"/>
  <c r="U735" i="32"/>
  <c r="U93" i="32"/>
  <c r="U594" i="32"/>
  <c r="U406" i="32"/>
  <c r="U468" i="32"/>
  <c r="U45" i="32"/>
  <c r="U246" i="32"/>
  <c r="U721" i="32"/>
  <c r="U235" i="32"/>
  <c r="U191" i="32"/>
  <c r="U306" i="32"/>
  <c r="U396" i="32"/>
  <c r="U675" i="32"/>
  <c r="U329" i="32"/>
  <c r="U368" i="32"/>
  <c r="U394" i="32"/>
  <c r="U311" i="32"/>
  <c r="U264" i="32"/>
  <c r="U609" i="32"/>
  <c r="U48" i="32"/>
  <c r="U683" i="32"/>
  <c r="U232" i="32"/>
  <c r="U701" i="32"/>
  <c r="U696" i="32"/>
  <c r="U354" i="32"/>
  <c r="U382" i="32"/>
  <c r="U815" i="32"/>
  <c r="U879" i="32"/>
  <c r="U645" i="32"/>
  <c r="U351" i="32"/>
  <c r="U263" i="32"/>
  <c r="U660" i="32"/>
  <c r="U668" i="32"/>
  <c r="U593" i="32"/>
  <c r="U621" i="32"/>
  <c r="U130" i="32"/>
  <c r="U86" i="32"/>
  <c r="U719" i="32"/>
  <c r="U425" i="32"/>
  <c r="U74" i="32"/>
  <c r="U580" i="32"/>
  <c r="U541" i="32"/>
  <c r="U302" i="32"/>
  <c r="U728" i="32"/>
  <c r="U193" i="32"/>
  <c r="U374" i="32"/>
  <c r="U176" i="32"/>
  <c r="U755" i="32"/>
  <c r="U768" i="32"/>
  <c r="U722" i="32"/>
  <c r="U240" i="32"/>
  <c r="U538" i="32"/>
  <c r="U575" i="32"/>
  <c r="U763" i="32"/>
  <c r="U39" i="32"/>
  <c r="U416" i="32"/>
  <c r="U576" i="32"/>
  <c r="U783" i="32"/>
  <c r="U312" i="32"/>
  <c r="U877" i="32"/>
  <c r="U49" i="32"/>
  <c r="U359" i="32"/>
  <c r="U682" i="32"/>
  <c r="U702" i="32"/>
  <c r="U265" i="32"/>
  <c r="U846" i="32"/>
  <c r="U709" i="32"/>
  <c r="U825" i="32"/>
  <c r="U220" i="32"/>
  <c r="U395" i="32"/>
  <c r="U828" i="32"/>
  <c r="U856" i="32"/>
  <c r="U859" i="32"/>
  <c r="U562" i="32"/>
  <c r="U775" i="32"/>
  <c r="U131" i="32"/>
  <c r="U87" i="32"/>
  <c r="U114" i="32"/>
  <c r="U387" i="32"/>
  <c r="U75" i="32"/>
  <c r="U581" i="32"/>
  <c r="U542" i="32"/>
  <c r="U183" i="32"/>
  <c r="U729" i="32"/>
  <c r="U710" i="32"/>
  <c r="U177" i="32"/>
  <c r="U204" i="32"/>
  <c r="U812" i="32"/>
  <c r="U317" i="32"/>
  <c r="U275" i="32"/>
  <c r="U38" i="32"/>
  <c r="U886" i="32"/>
  <c r="U860" i="32"/>
  <c r="U772" i="32"/>
  <c r="U622" i="32"/>
  <c r="U50" i="32"/>
  <c r="U781" i="32"/>
  <c r="U881" i="32"/>
  <c r="U632" i="32"/>
  <c r="U295" i="32"/>
  <c r="U623" i="32"/>
  <c r="U115" i="32"/>
  <c r="U570" i="32"/>
  <c r="U543" i="32"/>
  <c r="U318" i="32"/>
  <c r="U95" i="32"/>
  <c r="U418" i="32"/>
  <c r="U752" i="32"/>
  <c r="U355" i="32"/>
  <c r="U148" i="32"/>
  <c r="U249" i="32"/>
  <c r="U129" i="32"/>
  <c r="U225" i="32"/>
  <c r="U290" i="32"/>
  <c r="U906" i="32"/>
  <c r="U245" i="32"/>
  <c r="U697" i="32"/>
  <c r="U253" i="32"/>
  <c r="U199" i="32"/>
  <c r="U655" i="32"/>
  <c r="U773" i="32"/>
  <c r="U226" i="32"/>
  <c r="U764" i="32"/>
  <c r="U782" i="32"/>
  <c r="U673" i="32"/>
  <c r="U391" i="32"/>
  <c r="U516" i="32"/>
  <c r="U754" i="32"/>
  <c r="U766" i="32"/>
  <c r="U706" i="32"/>
  <c r="U819" i="32"/>
  <c r="U272" i="32"/>
  <c r="U829" i="32"/>
  <c r="U370" i="32"/>
  <c r="U282" i="32"/>
  <c r="U793" i="32"/>
  <c r="U679" i="32"/>
  <c r="U88" i="32"/>
  <c r="U316" i="32"/>
  <c r="U582" i="32"/>
  <c r="U651" i="32"/>
  <c r="U401" i="32"/>
  <c r="U178" i="32"/>
  <c r="U184" i="32"/>
  <c r="U81" i="32"/>
  <c r="U771" i="32"/>
  <c r="U659" i="32"/>
  <c r="U405" i="32"/>
  <c r="U517" i="32"/>
  <c r="U875" i="32"/>
  <c r="U143" i="32"/>
  <c r="U124" i="32"/>
  <c r="U707" i="32"/>
  <c r="U413" i="32"/>
  <c r="U12" i="32"/>
  <c r="U612" i="32"/>
  <c r="U633" i="32"/>
  <c r="U375" i="32"/>
  <c r="U636" i="32"/>
  <c r="U557" i="32"/>
  <c r="U400" i="32"/>
  <c r="U745" i="32"/>
  <c r="U723" i="32"/>
  <c r="U260" i="32"/>
  <c r="U89" i="32"/>
  <c r="U116" i="32"/>
  <c r="U597" i="32"/>
  <c r="U571" i="32"/>
  <c r="U583" i="32"/>
  <c r="U544" i="32"/>
  <c r="U652" i="32"/>
  <c r="U195" i="32"/>
  <c r="U714" i="32"/>
  <c r="U96" i="32"/>
  <c r="U179" i="32"/>
  <c r="U365" i="32"/>
  <c r="U810" i="32"/>
  <c r="U791" i="32"/>
  <c r="U688" i="32"/>
  <c r="S335" i="32" l="1"/>
  <c r="U335" i="32" l="1"/>
  <c r="B910" i="32" l="1"/>
  <c r="S910" i="32"/>
  <c r="B911" i="32"/>
  <c r="S911" i="32"/>
  <c r="B407" i="32"/>
  <c r="S407" i="32"/>
  <c r="U407" i="32" l="1"/>
  <c r="U911" i="32"/>
  <c r="U910" i="32"/>
  <c r="AV412" i="46" l="1"/>
  <c r="AV85" i="46" l="1"/>
  <c r="AV64" i="46"/>
  <c r="AV369" i="46"/>
  <c r="AV368" i="46"/>
  <c r="AV342" i="46"/>
  <c r="AV322" i="46"/>
  <c r="AV323" i="46"/>
  <c r="AV352" i="46"/>
  <c r="AV108" i="46"/>
  <c r="AV145" i="46"/>
  <c r="AV345" i="46"/>
  <c r="AV344" i="46"/>
  <c r="AV343" i="46"/>
  <c r="AV294" i="46"/>
  <c r="AV329" i="46"/>
  <c r="AV328" i="46"/>
  <c r="AV327" i="46"/>
  <c r="AV14" i="46"/>
  <c r="AV13" i="46"/>
  <c r="AV33" i="46"/>
  <c r="AV32" i="46"/>
  <c r="AV480" i="46"/>
  <c r="AV292" i="46"/>
  <c r="AV538" i="46"/>
  <c r="AV105" i="46"/>
  <c r="AV89" i="46"/>
  <c r="AV260" i="46"/>
  <c r="AV63" i="46"/>
  <c r="AV189" i="46"/>
  <c r="AV102" i="46"/>
  <c r="AV101" i="46"/>
  <c r="AV592" i="46"/>
  <c r="AV444" i="46"/>
  <c r="AV107" i="46"/>
  <c r="AV211" i="46"/>
  <c r="AV491" i="46"/>
  <c r="AV437" i="46"/>
  <c r="AV265" i="46"/>
  <c r="AV261" i="46"/>
  <c r="AV449" i="46"/>
  <c r="AV581" i="46"/>
  <c r="AV413" i="46"/>
  <c r="AV610" i="46"/>
  <c r="AV422" i="46"/>
  <c r="AV96" i="46"/>
  <c r="AV200" i="46"/>
  <c r="AV199" i="46"/>
  <c r="AV484" i="46"/>
  <c r="AV526" i="46"/>
  <c r="AV300" i="46"/>
  <c r="AV365" i="46"/>
  <c r="AV191" i="46"/>
  <c r="AV510" i="46"/>
  <c r="AV222" i="46"/>
  <c r="AV626" i="46"/>
  <c r="AV379" i="46"/>
  <c r="AV40" i="46"/>
  <c r="AV208" i="46"/>
  <c r="AV139" i="46"/>
  <c r="AV443" i="46"/>
  <c r="AV424" i="46"/>
  <c r="AV638" i="46"/>
  <c r="AV385" i="46"/>
  <c r="AV384" i="46"/>
  <c r="AV209" i="46"/>
  <c r="AV278" i="46"/>
  <c r="AV311" i="46"/>
  <c r="AV611" i="46"/>
  <c r="AV60" i="46"/>
  <c r="AV483" i="46"/>
  <c r="AV482" i="46"/>
  <c r="AV560" i="46"/>
  <c r="AV44" i="46"/>
  <c r="AV43" i="46"/>
  <c r="AV287" i="46"/>
  <c r="AV532" i="46"/>
  <c r="AV533" i="46"/>
  <c r="AV434" i="46"/>
  <c r="AV561" i="46"/>
  <c r="AV624" i="46"/>
  <c r="AV161" i="46"/>
  <c r="AV447" i="46"/>
  <c r="AV68" i="46"/>
  <c r="AV386" i="46"/>
  <c r="AV633" i="46"/>
  <c r="AV493" i="46"/>
  <c r="AV528" i="46"/>
  <c r="AV136" i="46"/>
  <c r="AV244" i="46"/>
  <c r="AV148" i="46"/>
  <c r="AV147" i="46"/>
  <c r="AV487" i="46"/>
  <c r="AV400" i="46"/>
  <c r="AV201" i="46"/>
  <c r="AV252" i="46"/>
  <c r="AV496" i="46"/>
  <c r="AV505" i="46"/>
  <c r="AV547" i="46"/>
  <c r="AV531" i="46"/>
  <c r="AV382" i="46"/>
  <c r="AV615" i="46"/>
  <c r="AV446" i="46"/>
  <c r="AV187" i="46"/>
  <c r="AV111" i="46"/>
  <c r="AV635" i="46"/>
  <c r="AV168" i="46"/>
  <c r="AV442" i="46"/>
  <c r="AV477" i="46"/>
  <c r="AV291" i="46"/>
  <c r="AV181" i="46"/>
  <c r="AV373" i="46"/>
  <c r="AV436" i="46"/>
  <c r="AV507" i="46"/>
  <c r="AV104" i="46"/>
  <c r="AV103" i="46"/>
  <c r="AV245" i="46"/>
  <c r="AV256" i="46"/>
  <c r="AV371" i="46"/>
  <c r="AV194" i="46"/>
  <c r="AV612" i="46"/>
  <c r="AV489" i="46"/>
  <c r="AV122" i="46"/>
  <c r="AV616" i="46"/>
  <c r="AV307" i="46"/>
  <c r="AV479" i="46"/>
  <c r="AV290" i="46"/>
  <c r="AV262" i="46"/>
  <c r="AV609" i="46"/>
  <c r="AV163" i="46"/>
  <c r="AV562" i="46"/>
  <c r="AV143" i="46"/>
  <c r="AV156" i="46"/>
  <c r="AV67" i="46"/>
  <c r="AV552" i="46"/>
  <c r="AV267" i="46"/>
  <c r="AV583" i="46"/>
  <c r="AV243" i="46"/>
  <c r="AV242" i="46"/>
  <c r="AV555" i="46"/>
  <c r="AV204" i="46"/>
  <c r="AV185" i="46"/>
  <c r="AV363" i="46"/>
  <c r="AV362" i="46"/>
  <c r="AV604" i="46"/>
  <c r="AV203" i="46"/>
  <c r="AV408" i="46"/>
  <c r="AV286" i="46"/>
  <c r="AV416" i="46"/>
  <c r="AV289" i="46"/>
  <c r="AV558" i="46"/>
  <c r="AV497" i="46"/>
  <c r="AV91" i="46"/>
  <c r="AV454" i="46"/>
  <c r="AV395" i="46"/>
  <c r="AV171" i="46"/>
  <c r="AV130" i="46"/>
  <c r="AV632" i="46"/>
  <c r="AV93" i="46"/>
  <c r="AV627" i="46"/>
  <c r="AV485" i="46"/>
  <c r="AV466" i="46"/>
  <c r="AV12" i="46"/>
  <c r="AV574" i="46"/>
  <c r="AV580" i="46"/>
  <c r="AV570" i="46"/>
  <c r="AV182" i="46"/>
  <c r="AV195" i="46"/>
  <c r="AV50" i="46"/>
  <c r="AV49" i="46"/>
  <c r="AV95" i="46"/>
  <c r="AV607" i="46"/>
  <c r="AV234" i="46"/>
  <c r="AV250" i="46"/>
  <c r="AV186" i="46"/>
  <c r="AV304" i="46"/>
  <c r="AV634" i="46"/>
  <c r="AV475" i="46"/>
  <c r="AV273" i="46"/>
  <c r="AV320" i="46"/>
  <c r="AV575" i="46"/>
  <c r="AV297" i="46"/>
  <c r="AV553" i="46"/>
  <c r="AV525" i="46"/>
  <c r="AV576" i="46"/>
  <c r="AV474" i="46"/>
  <c r="AV599" i="46"/>
  <c r="AV246" i="46"/>
  <c r="AV618" i="46"/>
  <c r="AV506" i="46"/>
  <c r="AV410" i="46"/>
  <c r="AV409" i="46"/>
  <c r="AV149" i="46"/>
  <c r="AV152" i="46"/>
  <c r="AV605" i="46"/>
  <c r="AV66" i="46"/>
  <c r="AV65" i="46"/>
  <c r="AV522" i="46"/>
  <c r="AV165" i="46"/>
  <c r="AV465" i="46"/>
  <c r="AV464" i="46"/>
  <c r="AV150" i="46"/>
  <c r="AV169" i="46"/>
  <c r="AV275" i="46"/>
  <c r="AV76" i="46"/>
  <c r="AV537" i="46"/>
  <c r="AV470" i="46"/>
  <c r="AV551" i="46"/>
  <c r="AV173" i="46"/>
  <c r="AV141" i="46"/>
  <c r="AV239" i="46"/>
  <c r="AV518" i="46"/>
  <c r="AV468" i="46"/>
  <c r="AV628" i="46"/>
  <c r="AV513" i="46"/>
  <c r="AV450" i="46"/>
  <c r="AV140" i="46"/>
  <c r="AV637" i="46"/>
  <c r="AV23" i="46"/>
  <c r="AV55" i="46"/>
  <c r="AV54" i="46"/>
  <c r="AV293" i="46"/>
  <c r="AV348" i="46"/>
  <c r="AV347" i="46"/>
  <c r="AV346" i="46"/>
  <c r="AV251" i="46"/>
  <c r="AV451" i="46"/>
  <c r="AV335" i="46"/>
  <c r="AV334" i="46"/>
  <c r="AV333" i="46"/>
  <c r="AV587" i="46"/>
  <c r="AV296" i="46"/>
  <c r="AV26" i="46"/>
  <c r="AV25" i="46"/>
  <c r="AV78" i="46"/>
  <c r="AV428" i="46"/>
  <c r="AV282" i="46"/>
  <c r="AV630" i="46"/>
  <c r="AV392" i="46"/>
  <c r="AV572" i="46"/>
  <c r="AV302" i="46"/>
  <c r="AV613" i="46"/>
  <c r="AV608" i="46"/>
  <c r="AV467" i="46"/>
  <c r="AV301" i="46"/>
  <c r="AV166" i="46"/>
  <c r="AV527" i="46"/>
  <c r="AV441" i="46"/>
  <c r="AV205" i="46"/>
  <c r="AV164" i="46"/>
  <c r="AV70" i="46"/>
  <c r="AV650" i="46"/>
  <c r="AV42" i="46"/>
  <c r="AV517" i="46"/>
  <c r="AV423" i="46"/>
  <c r="AV56" i="46"/>
  <c r="AU664" i="46"/>
  <c r="AT664" i="46"/>
  <c r="AS664" i="46"/>
  <c r="AR664" i="46"/>
  <c r="AQ664" i="46"/>
  <c r="AP664" i="46"/>
  <c r="BC664" i="46"/>
  <c r="BB664" i="46"/>
  <c r="BA664" i="46"/>
  <c r="AZ664" i="46"/>
  <c r="AV664" i="46" l="1"/>
  <c r="BD441" i="46" l="1"/>
  <c r="BD205" i="46"/>
  <c r="BD164" i="46"/>
  <c r="BD70" i="46"/>
  <c r="BD650" i="46"/>
  <c r="BD42" i="46"/>
  <c r="BD517" i="46"/>
  <c r="BD423" i="46"/>
  <c r="BD56" i="46"/>
  <c r="BD664" i="46" l="1"/>
  <c r="B587" i="2" l="1"/>
  <c r="B586" i="2"/>
  <c r="S323" i="32" l="1"/>
  <c r="S419" i="32"/>
  <c r="S442" i="32"/>
  <c r="S437" i="32"/>
  <c r="S361" i="32"/>
  <c r="S919" i="32"/>
  <c r="S64" i="32"/>
  <c r="S619" i="32"/>
  <c r="S217" i="32"/>
  <c r="S255" i="32"/>
  <c r="S589" i="32"/>
  <c r="S535" i="32"/>
  <c r="S927" i="32"/>
  <c r="S592" i="32"/>
  <c r="S741" i="32"/>
  <c r="S837" i="32"/>
  <c r="S57" i="32"/>
  <c r="S327" i="32"/>
  <c r="S427" i="32"/>
  <c r="S261" i="32"/>
  <c r="S343" i="32"/>
  <c r="S331" i="32"/>
  <c r="S802" i="32"/>
  <c r="S866" i="32"/>
  <c r="S58" i="32"/>
  <c r="S834" i="32"/>
  <c r="S332" i="32"/>
  <c r="S753" i="32"/>
  <c r="S111" i="32"/>
  <c r="S835" i="32"/>
  <c r="S159" i="32"/>
  <c r="S547" i="32"/>
  <c r="S36" i="32"/>
  <c r="S650" i="32"/>
  <c r="S658" i="32"/>
  <c r="S615" i="32"/>
  <c r="S794" i="32"/>
  <c r="S429" i="32"/>
  <c r="S54" i="32"/>
  <c r="S552" i="32"/>
  <c r="S475" i="32"/>
  <c r="S902" i="32"/>
  <c r="S845" i="32"/>
  <c r="S774" i="32"/>
  <c r="S614" i="32"/>
  <c r="S504" i="32"/>
  <c r="S922" i="32"/>
  <c r="S441" i="32"/>
  <c r="S70" i="32"/>
  <c r="S362" i="32"/>
  <c r="S641" i="32"/>
  <c r="S521" i="32"/>
  <c r="S792" i="32"/>
  <c r="S888" i="32"/>
  <c r="S532" i="32"/>
  <c r="S322" i="32"/>
  <c r="S646" i="32"/>
  <c r="S403" i="32"/>
  <c r="S926" i="32"/>
  <c r="S334" i="32"/>
  <c r="S43" i="32"/>
  <c r="S356" i="32"/>
  <c r="S694" i="32"/>
  <c r="S482" i="32"/>
  <c r="S795" i="32"/>
  <c r="S478" i="32"/>
  <c r="S605" i="32"/>
  <c r="S625" i="32"/>
  <c r="S566" i="32"/>
  <c r="S700" i="32"/>
  <c r="S161" i="32"/>
  <c r="S803" i="32"/>
  <c r="S738" i="32"/>
  <c r="S806" i="32"/>
  <c r="S551" i="32"/>
  <c r="S44" i="32"/>
  <c r="S844" i="32"/>
  <c r="S561" i="32"/>
  <c r="S139" i="32"/>
  <c r="S549" i="32"/>
  <c r="S285" i="32"/>
  <c r="S385" i="32"/>
  <c r="S853" i="32"/>
  <c r="S833" i="32"/>
  <c r="S59" i="32"/>
  <c r="S73" i="32"/>
  <c r="S663" i="32"/>
  <c r="S104" i="32"/>
  <c r="S506" i="32"/>
  <c r="S642" i="32"/>
  <c r="S654" i="32"/>
  <c r="S567" i="32"/>
  <c r="S705" i="32"/>
  <c r="S509" i="32"/>
  <c r="S507" i="32"/>
  <c r="S656" i="32"/>
  <c r="S762" i="32"/>
  <c r="S65" i="32"/>
  <c r="S643" i="32"/>
  <c r="S508" i="32"/>
  <c r="S326" i="32"/>
  <c r="S344" i="32"/>
  <c r="S533" i="32"/>
  <c r="S408" i="32"/>
  <c r="S737" i="32"/>
  <c r="S534" i="32"/>
  <c r="S872" i="32"/>
  <c r="S135" i="32"/>
  <c r="S234" i="32"/>
  <c r="S787" i="32"/>
  <c r="S289" i="32"/>
  <c r="S239" i="32"/>
  <c r="S197" i="32"/>
  <c r="S144" i="32"/>
  <c r="S40" i="32"/>
  <c r="S66" i="32"/>
  <c r="S436" i="32"/>
  <c r="S150" i="32"/>
  <c r="S830" i="32"/>
  <c r="S918" i="32"/>
  <c r="S624" i="32"/>
  <c r="S349" i="32"/>
  <c r="S525" i="32"/>
  <c r="S883" i="32"/>
  <c r="S618" i="32"/>
  <c r="S276" i="32"/>
  <c r="S492" i="32"/>
  <c r="S493" i="32"/>
  <c r="S505" i="32"/>
  <c r="S661" i="32"/>
  <c r="S60" i="32"/>
  <c r="S588" i="32"/>
  <c r="S151" i="32"/>
  <c r="S715" i="32"/>
  <c r="S908" i="32"/>
  <c r="S41" i="32"/>
  <c r="S765" i="32"/>
  <c r="S868" i="32"/>
  <c r="S164" i="32"/>
  <c r="S314" i="32"/>
  <c r="S259" i="32"/>
  <c r="S103" i="32"/>
  <c r="S477" i="32"/>
  <c r="S822" i="32"/>
  <c r="S528" i="32"/>
  <c r="S357" i="32"/>
  <c r="S613" i="32"/>
  <c r="S166" i="32"/>
  <c r="S805" i="32"/>
  <c r="S366" i="32"/>
  <c r="S899" i="32"/>
  <c r="S237" i="32"/>
  <c r="S869" i="32"/>
  <c r="S630" i="32"/>
  <c r="S42" i="32"/>
  <c r="S548" i="32"/>
  <c r="S626" i="32"/>
  <c r="S560" i="32"/>
  <c r="S555" i="32"/>
  <c r="S223" i="32"/>
  <c r="S703" i="32"/>
  <c r="S313" i="32"/>
  <c r="S140" i="32"/>
  <c r="S438" i="32"/>
  <c r="S476" i="32"/>
  <c r="S238" i="32"/>
  <c r="S336" i="32"/>
  <c r="S891" i="32"/>
  <c r="S33" i="32"/>
  <c r="S498" i="32"/>
  <c r="S113" i="32"/>
  <c r="S35" i="32"/>
  <c r="S742" i="32"/>
  <c r="S213" i="32"/>
  <c r="S80" i="32"/>
  <c r="S850" i="32"/>
  <c r="S861" i="32"/>
  <c r="S53" i="32"/>
  <c r="S480" i="32"/>
  <c r="S590" i="32"/>
  <c r="S481" i="32"/>
  <c r="S611" i="32"/>
  <c r="S527" i="32"/>
  <c r="S917" i="32"/>
  <c r="S628" i="32"/>
  <c r="S559" i="32"/>
  <c r="S739" i="32"/>
  <c r="S251" i="32"/>
  <c r="S142" i="32"/>
  <c r="S379" i="32"/>
  <c r="S789" i="32"/>
  <c r="S499" i="32"/>
  <c r="S529" i="32"/>
  <c r="S758" i="32"/>
  <c r="S903" i="32"/>
  <c r="S78" i="32"/>
  <c r="S248" i="32"/>
  <c r="S842" i="32"/>
  <c r="S397" i="32"/>
  <c r="S524" i="32"/>
  <c r="S800" i="32"/>
  <c r="S531" i="32"/>
  <c r="S56" i="32"/>
  <c r="S252" i="32"/>
  <c r="S558" i="32"/>
  <c r="S779" i="32"/>
  <c r="S712" i="32"/>
  <c r="S388" i="32"/>
  <c r="S604" i="32"/>
  <c r="S320" i="32"/>
  <c r="S591" i="32"/>
  <c r="S94" i="32"/>
  <c r="S69" i="32"/>
  <c r="S496" i="32"/>
  <c r="S649" i="32"/>
  <c r="S72" i="32"/>
  <c r="S34" i="32"/>
  <c r="S757" i="32"/>
  <c r="S750" i="32"/>
  <c r="S212" i="32"/>
  <c r="S62" i="32"/>
  <c r="S849" i="32"/>
  <c r="S785" i="32"/>
  <c r="S294" i="32"/>
  <c r="S262" i="32"/>
  <c r="S848" i="32"/>
  <c r="S110" i="32"/>
  <c r="S434" i="32"/>
  <c r="S309" i="32"/>
  <c r="S796" i="32"/>
  <c r="S77" i="32"/>
  <c r="S603" i="32"/>
  <c r="S540" i="32"/>
  <c r="S219" i="32"/>
  <c r="S740" i="32"/>
  <c r="S222" i="32"/>
  <c r="S511" i="32"/>
  <c r="S756" i="32"/>
  <c r="S704" i="32"/>
  <c r="S430" i="32"/>
  <c r="S916" i="32"/>
  <c r="S890" i="32"/>
  <c r="S200" i="32"/>
  <c r="S631" i="32"/>
  <c r="S662" i="32"/>
  <c r="S299" i="32"/>
  <c r="S818" i="32"/>
  <c r="S929" i="32"/>
  <c r="S672" i="32"/>
  <c r="S119" i="32"/>
  <c r="S218" i="32"/>
  <c r="S112" i="32"/>
  <c r="S483" i="32"/>
  <c r="S324" i="32"/>
  <c r="S198" i="32"/>
  <c r="S691" i="32"/>
  <c r="S203" i="32"/>
  <c r="S76" i="32"/>
  <c r="S629" i="32"/>
  <c r="S553" i="32"/>
  <c r="S554" i="32"/>
  <c r="S550" i="32"/>
  <c r="S215" i="32"/>
  <c r="S346" i="32"/>
  <c r="S784" i="32"/>
  <c r="S426" i="32"/>
  <c r="S732" i="32"/>
  <c r="S931" i="32"/>
  <c r="S568" i="32"/>
  <c r="S497" i="32"/>
  <c r="S339" i="32"/>
  <c r="S730" i="32"/>
  <c r="S372" i="32"/>
  <c r="S901" i="32"/>
  <c r="S412" i="32"/>
  <c r="S224" i="32"/>
  <c r="S526" i="32"/>
  <c r="S627" i="32"/>
  <c r="S136" i="32"/>
  <c r="S298" i="32"/>
  <c r="S878" i="32"/>
  <c r="S414" i="32"/>
  <c r="S664" i="32"/>
  <c r="S494" i="32"/>
  <c r="S392" i="32"/>
  <c r="S439" i="32"/>
  <c r="S512" i="32"/>
  <c r="S367" i="32"/>
  <c r="S165" i="32"/>
  <c r="S790" i="32"/>
  <c r="S404" i="32"/>
  <c r="S371" i="32"/>
  <c r="S71" i="32"/>
  <c r="S870" i="32"/>
  <c r="S185" i="32"/>
  <c r="S895" i="32"/>
  <c r="S733" i="32"/>
  <c r="S897" i="32"/>
  <c r="S923" i="32"/>
  <c r="S376" i="32"/>
  <c r="S105" i="32"/>
  <c r="S141" i="32"/>
  <c r="S864" i="32"/>
  <c r="S67" i="32"/>
  <c r="S510" i="32"/>
  <c r="S162" i="32"/>
  <c r="S677" i="32"/>
  <c r="S201" i="32"/>
  <c r="S811" i="32"/>
  <c r="S536" i="32"/>
  <c r="S431" i="32"/>
  <c r="S514" i="32"/>
  <c r="S788" i="32"/>
  <c r="S920" i="32"/>
  <c r="S602" i="32"/>
  <c r="S435" i="32"/>
  <c r="S415" i="32"/>
  <c r="S690" i="32"/>
  <c r="S909" i="32"/>
  <c r="S616" i="32"/>
  <c r="S647" i="32"/>
  <c r="S55" i="32"/>
  <c r="S786" i="32"/>
  <c r="S513" i="32"/>
  <c r="S924" i="32"/>
  <c r="S186" i="32"/>
  <c r="S446" i="32"/>
  <c r="S900" i="32"/>
  <c r="S635" i="32"/>
  <c r="S428" i="32"/>
  <c r="S432" i="32"/>
  <c r="S893" i="32"/>
  <c r="S194" i="32"/>
  <c r="S106" i="32"/>
  <c r="S250" i="32"/>
  <c r="S333" i="32"/>
  <c r="S827" i="32"/>
  <c r="S291" i="32"/>
  <c r="S867" i="32"/>
  <c r="S216" i="32"/>
  <c r="S37" i="32"/>
  <c r="S921" i="32"/>
  <c r="S925" i="32"/>
  <c r="S267" i="32"/>
  <c r="S896" i="32"/>
  <c r="S898" i="32"/>
  <c r="S814" i="32"/>
  <c r="S390" i="32"/>
  <c r="S79" i="32"/>
  <c r="S680" i="32"/>
  <c r="S491" i="32"/>
  <c r="S887" i="32"/>
  <c r="S693" i="32"/>
  <c r="S836" i="32"/>
  <c r="S348" i="32"/>
  <c r="S100" i="32"/>
  <c r="S381" i="32"/>
  <c r="S389" i="32"/>
  <c r="S743" i="32"/>
  <c r="S221" i="32"/>
  <c r="S530" i="32"/>
  <c r="S546" i="32"/>
  <c r="S160" i="32"/>
  <c r="S894" i="32"/>
  <c r="S479" i="32"/>
  <c r="S831" i="32"/>
  <c r="S214" i="32"/>
  <c r="S11" i="32"/>
  <c r="S273" i="32"/>
  <c r="S843" i="32"/>
  <c r="S780" i="32"/>
  <c r="S495" i="32"/>
  <c r="S202" i="32"/>
  <c r="S892" i="32"/>
  <c r="S928" i="32"/>
  <c r="S522" i="32"/>
  <c r="S876" i="32"/>
  <c r="S767" i="32"/>
  <c r="S68" i="32"/>
  <c r="S63" i="32"/>
  <c r="S520" i="32"/>
  <c r="S617" i="32"/>
  <c r="S515" i="32"/>
  <c r="S889" i="32"/>
  <c r="S345" i="32"/>
  <c r="S440" i="32"/>
  <c r="S187" i="32"/>
  <c r="S330" i="32"/>
  <c r="S824" i="32"/>
  <c r="S433" i="32"/>
  <c r="U520" i="32" l="1"/>
  <c r="U848" i="32"/>
  <c r="U238" i="32"/>
  <c r="U661" i="32"/>
  <c r="U255" i="32"/>
  <c r="U63" i="32"/>
  <c r="U11" i="32"/>
  <c r="U100" i="32"/>
  <c r="U267" i="32"/>
  <c r="U893" i="32"/>
  <c r="U616" i="32"/>
  <c r="U201" i="32"/>
  <c r="U895" i="32"/>
  <c r="U494" i="32"/>
  <c r="U730" i="32"/>
  <c r="U553" i="32"/>
  <c r="U929" i="32"/>
  <c r="U222" i="32"/>
  <c r="U262" i="32"/>
  <c r="U69" i="32"/>
  <c r="U800" i="32"/>
  <c r="U142" i="32"/>
  <c r="U861" i="32"/>
  <c r="U476" i="32"/>
  <c r="U869" i="32"/>
  <c r="U259" i="32"/>
  <c r="U505" i="32"/>
  <c r="U436" i="32"/>
  <c r="U737" i="32"/>
  <c r="U705" i="32"/>
  <c r="U285" i="32"/>
  <c r="U566" i="32"/>
  <c r="U646" i="32"/>
  <c r="U614" i="32"/>
  <c r="U36" i="32"/>
  <c r="U343" i="32"/>
  <c r="U217" i="32"/>
  <c r="U273" i="32"/>
  <c r="U630" i="32"/>
  <c r="U432" i="32"/>
  <c r="U94" i="32"/>
  <c r="U237" i="32"/>
  <c r="U314" i="32"/>
  <c r="U66" i="32"/>
  <c r="U549" i="32"/>
  <c r="U619" i="32"/>
  <c r="U896" i="32"/>
  <c r="U496" i="32"/>
  <c r="U650" i="32"/>
  <c r="U348" i="32"/>
  <c r="U294" i="32"/>
  <c r="U774" i="32"/>
  <c r="U433" i="32"/>
  <c r="U767" i="32"/>
  <c r="U831" i="32"/>
  <c r="U836" i="32"/>
  <c r="U921" i="32"/>
  <c r="U428" i="32"/>
  <c r="U690" i="32"/>
  <c r="U162" i="32"/>
  <c r="U870" i="32"/>
  <c r="U414" i="32"/>
  <c r="U497" i="32"/>
  <c r="U76" i="32"/>
  <c r="U299" i="32"/>
  <c r="U219" i="32"/>
  <c r="U785" i="32"/>
  <c r="U591" i="32"/>
  <c r="U397" i="32"/>
  <c r="U739" i="32"/>
  <c r="U80" i="32"/>
  <c r="U140" i="32"/>
  <c r="U899" i="32"/>
  <c r="U164" i="32"/>
  <c r="U492" i="32"/>
  <c r="U40" i="32"/>
  <c r="U533" i="32"/>
  <c r="U654" i="32"/>
  <c r="U139" i="32"/>
  <c r="U605" i="32"/>
  <c r="U532" i="32"/>
  <c r="U845" i="32"/>
  <c r="U159" i="32"/>
  <c r="U427" i="32"/>
  <c r="U64" i="32"/>
  <c r="U511" i="32"/>
  <c r="U150" i="32"/>
  <c r="U339" i="32"/>
  <c r="U322" i="32"/>
  <c r="U824" i="32"/>
  <c r="U876" i="32"/>
  <c r="U479" i="32"/>
  <c r="U693" i="32"/>
  <c r="U37" i="32"/>
  <c r="U635" i="32"/>
  <c r="U415" i="32"/>
  <c r="U510" i="32"/>
  <c r="U71" i="32"/>
  <c r="U878" i="32"/>
  <c r="U568" i="32"/>
  <c r="U203" i="32"/>
  <c r="U662" i="32"/>
  <c r="U540" i="32"/>
  <c r="U849" i="32"/>
  <c r="U320" i="32"/>
  <c r="U842" i="32"/>
  <c r="U559" i="32"/>
  <c r="U213" i="32"/>
  <c r="U313" i="32"/>
  <c r="U366" i="32"/>
  <c r="U868" i="32"/>
  <c r="U276" i="32"/>
  <c r="U144" i="32"/>
  <c r="U344" i="32"/>
  <c r="U642" i="32"/>
  <c r="U561" i="32"/>
  <c r="U478" i="32"/>
  <c r="U888" i="32"/>
  <c r="U902" i="32"/>
  <c r="U835" i="32"/>
  <c r="U327" i="32"/>
  <c r="U919" i="32"/>
  <c r="U194" i="32"/>
  <c r="U531" i="32"/>
  <c r="U504" i="32"/>
  <c r="U68" i="32"/>
  <c r="U629" i="32"/>
  <c r="U547" i="32"/>
  <c r="U330" i="32"/>
  <c r="U522" i="32"/>
  <c r="U894" i="32"/>
  <c r="U887" i="32"/>
  <c r="U216" i="32"/>
  <c r="U900" i="32"/>
  <c r="U435" i="32"/>
  <c r="U67" i="32"/>
  <c r="U371" i="32"/>
  <c r="U298" i="32"/>
  <c r="U931" i="32"/>
  <c r="U691" i="32"/>
  <c r="U631" i="32"/>
  <c r="U603" i="32"/>
  <c r="U62" i="32"/>
  <c r="U604" i="32"/>
  <c r="U248" i="32"/>
  <c r="U628" i="32"/>
  <c r="U742" i="32"/>
  <c r="U703" i="32"/>
  <c r="U805" i="32"/>
  <c r="U765" i="32"/>
  <c r="U618" i="32"/>
  <c r="U197" i="32"/>
  <c r="U326" i="32"/>
  <c r="U506" i="32"/>
  <c r="U844" i="32"/>
  <c r="U795" i="32"/>
  <c r="U792" i="32"/>
  <c r="U475" i="32"/>
  <c r="U111" i="32"/>
  <c r="U57" i="32"/>
  <c r="U361" i="32"/>
  <c r="U381" i="32"/>
  <c r="U554" i="32"/>
  <c r="U53" i="32"/>
  <c r="U700" i="32"/>
  <c r="U664" i="32"/>
  <c r="U261" i="32"/>
  <c r="U187" i="32"/>
  <c r="U928" i="32"/>
  <c r="U160" i="32"/>
  <c r="U491" i="32"/>
  <c r="U867" i="32"/>
  <c r="U446" i="32"/>
  <c r="U602" i="32"/>
  <c r="U864" i="32"/>
  <c r="U404" i="32"/>
  <c r="U136" i="32"/>
  <c r="U732" i="32"/>
  <c r="U198" i="32"/>
  <c r="U200" i="32"/>
  <c r="U212" i="32"/>
  <c r="U388" i="32"/>
  <c r="U78" i="32"/>
  <c r="U917" i="32"/>
  <c r="U35" i="32"/>
  <c r="U223" i="32"/>
  <c r="U166" i="32"/>
  <c r="U41" i="32"/>
  <c r="U883" i="32"/>
  <c r="U239" i="32"/>
  <c r="U508" i="32"/>
  <c r="U104" i="32"/>
  <c r="U44" i="32"/>
  <c r="U482" i="32"/>
  <c r="U521" i="32"/>
  <c r="U552" i="32"/>
  <c r="U753" i="32"/>
  <c r="U837" i="32"/>
  <c r="U437" i="32"/>
  <c r="U392" i="32"/>
  <c r="U534" i="32"/>
  <c r="U214" i="32"/>
  <c r="U818" i="32"/>
  <c r="U625" i="32"/>
  <c r="U440" i="32"/>
  <c r="U892" i="32"/>
  <c r="U546" i="32"/>
  <c r="U680" i="32"/>
  <c r="U291" i="32"/>
  <c r="U186" i="32"/>
  <c r="U920" i="32"/>
  <c r="U141" i="32"/>
  <c r="U790" i="32"/>
  <c r="U627" i="32"/>
  <c r="U426" i="32"/>
  <c r="U324" i="32"/>
  <c r="U890" i="32"/>
  <c r="U77" i="32"/>
  <c r="U750" i="32"/>
  <c r="U712" i="32"/>
  <c r="U903" i="32"/>
  <c r="U527" i="32"/>
  <c r="U113" i="32"/>
  <c r="U555" i="32"/>
  <c r="U613" i="32"/>
  <c r="U908" i="32"/>
  <c r="U525" i="32"/>
  <c r="U289" i="32"/>
  <c r="U643" i="32"/>
  <c r="U663" i="32"/>
  <c r="U551" i="32"/>
  <c r="U694" i="32"/>
  <c r="U641" i="32"/>
  <c r="U54" i="32"/>
  <c r="U332" i="32"/>
  <c r="U741" i="32"/>
  <c r="U442" i="32"/>
  <c r="U733" i="32"/>
  <c r="U403" i="32"/>
  <c r="U185" i="32"/>
  <c r="U251" i="32"/>
  <c r="U567" i="32"/>
  <c r="U345" i="32"/>
  <c r="U202" i="32"/>
  <c r="U530" i="32"/>
  <c r="U79" i="32"/>
  <c r="U827" i="32"/>
  <c r="U924" i="32"/>
  <c r="U788" i="32"/>
  <c r="U105" i="32"/>
  <c r="U165" i="32"/>
  <c r="U526" i="32"/>
  <c r="U784" i="32"/>
  <c r="U483" i="32"/>
  <c r="U916" i="32"/>
  <c r="U796" i="32"/>
  <c r="U757" i="32"/>
  <c r="U779" i="32"/>
  <c r="U758" i="32"/>
  <c r="U611" i="32"/>
  <c r="U498" i="32"/>
  <c r="U560" i="32"/>
  <c r="U357" i="32"/>
  <c r="U715" i="32"/>
  <c r="U349" i="32"/>
  <c r="U787" i="32"/>
  <c r="U65" i="32"/>
  <c r="U73" i="32"/>
  <c r="U806" i="32"/>
  <c r="U356" i="32"/>
  <c r="U362" i="32"/>
  <c r="U429" i="32"/>
  <c r="U834" i="32"/>
  <c r="U592" i="32"/>
  <c r="U419" i="32"/>
  <c r="U372" i="32"/>
  <c r="U385" i="32"/>
  <c r="U909" i="32"/>
  <c r="U524" i="32"/>
  <c r="U408" i="32"/>
  <c r="U889" i="32"/>
  <c r="U495" i="32"/>
  <c r="U221" i="32"/>
  <c r="U390" i="32"/>
  <c r="U333" i="32"/>
  <c r="U513" i="32"/>
  <c r="U514" i="32"/>
  <c r="U376" i="32"/>
  <c r="U367" i="32"/>
  <c r="U224" i="32"/>
  <c r="U346" i="32"/>
  <c r="U112" i="32"/>
  <c r="U430" i="32"/>
  <c r="U309" i="32"/>
  <c r="U34" i="32"/>
  <c r="U558" i="32"/>
  <c r="U529" i="32"/>
  <c r="U481" i="32"/>
  <c r="U33" i="32"/>
  <c r="U626" i="32"/>
  <c r="U528" i="32"/>
  <c r="U151" i="32"/>
  <c r="U624" i="32"/>
  <c r="U234" i="32"/>
  <c r="U762" i="32"/>
  <c r="U59" i="32"/>
  <c r="U738" i="32"/>
  <c r="U43" i="32"/>
  <c r="U70" i="32"/>
  <c r="U794" i="32"/>
  <c r="U58" i="32"/>
  <c r="U927" i="32"/>
  <c r="U323" i="32"/>
  <c r="U811" i="32"/>
  <c r="U509" i="32"/>
  <c r="U438" i="32"/>
  <c r="U515" i="32"/>
  <c r="U814" i="32"/>
  <c r="U786" i="32"/>
  <c r="U431" i="32"/>
  <c r="U512" i="32"/>
  <c r="U412" i="32"/>
  <c r="U215" i="32"/>
  <c r="U218" i="32"/>
  <c r="U704" i="32"/>
  <c r="U434" i="32"/>
  <c r="U72" i="32"/>
  <c r="U252" i="32"/>
  <c r="U499" i="32"/>
  <c r="U590" i="32"/>
  <c r="U891" i="32"/>
  <c r="U548" i="32"/>
  <c r="U822" i="32"/>
  <c r="U588" i="32"/>
  <c r="U918" i="32"/>
  <c r="U135" i="32"/>
  <c r="U656" i="32"/>
  <c r="U833" i="32"/>
  <c r="U803" i="32"/>
  <c r="U334" i="32"/>
  <c r="U441" i="32"/>
  <c r="U615" i="32"/>
  <c r="U866" i="32"/>
  <c r="U535" i="32"/>
  <c r="U647" i="32"/>
  <c r="U672" i="32"/>
  <c r="U379" i="32"/>
  <c r="U103" i="32"/>
  <c r="U331" i="32"/>
  <c r="U925" i="32"/>
  <c r="U677" i="32"/>
  <c r="U740" i="32"/>
  <c r="U850" i="32"/>
  <c r="U493" i="32"/>
  <c r="U780" i="32"/>
  <c r="U743" i="32"/>
  <c r="U250" i="32"/>
  <c r="U923" i="32"/>
  <c r="U617" i="32"/>
  <c r="U843" i="32"/>
  <c r="U389" i="32"/>
  <c r="U898" i="32"/>
  <c r="U106" i="32"/>
  <c r="U55" i="32"/>
  <c r="U536" i="32"/>
  <c r="U897" i="32"/>
  <c r="U439" i="32"/>
  <c r="U901" i="32"/>
  <c r="U550" i="32"/>
  <c r="U119" i="32"/>
  <c r="U756" i="32"/>
  <c r="U110" i="32"/>
  <c r="U649" i="32"/>
  <c r="U56" i="32"/>
  <c r="U789" i="32"/>
  <c r="U480" i="32"/>
  <c r="U336" i="32"/>
  <c r="U42" i="32"/>
  <c r="U477" i="32"/>
  <c r="U60" i="32"/>
  <c r="U830" i="32"/>
  <c r="U872" i="32"/>
  <c r="U507" i="32"/>
  <c r="U853" i="32"/>
  <c r="U161" i="32"/>
  <c r="U926" i="32"/>
  <c r="U922" i="32"/>
  <c r="U658" i="32"/>
  <c r="U802" i="32"/>
  <c r="U589" i="32"/>
  <c r="B531" i="46" l="1"/>
  <c r="B547" i="46"/>
  <c r="B505" i="46"/>
  <c r="B496" i="46"/>
  <c r="B12" i="11" l="1"/>
  <c r="B23" i="11"/>
  <c r="B13" i="11"/>
  <c r="B14" i="11"/>
  <c r="T935" i="32" l="1"/>
  <c r="R935" i="32"/>
  <c r="B168" i="47" l="1"/>
  <c r="B166" i="47" l="1"/>
  <c r="B167" i="47"/>
  <c r="B834" i="48" l="1"/>
  <c r="B833" i="48"/>
  <c r="B767" i="48"/>
  <c r="B627" i="48"/>
  <c r="B190" i="48"/>
  <c r="B159" i="48"/>
  <c r="B515" i="48"/>
  <c r="B16" i="48"/>
  <c r="B15" i="48"/>
  <c r="B14" i="48"/>
  <c r="B54" i="48"/>
  <c r="B53" i="48"/>
  <c r="B653" i="48"/>
  <c r="B22" i="48"/>
  <c r="B966" i="48"/>
  <c r="B598" i="48"/>
  <c r="B110" i="48"/>
  <c r="B223" i="48"/>
  <c r="B21" i="48"/>
  <c r="B20" i="48"/>
  <c r="B19" i="48"/>
  <c r="B495" i="48"/>
  <c r="B494" i="48"/>
  <c r="B493" i="48"/>
  <c r="B492" i="48"/>
  <c r="B164" i="48"/>
  <c r="B18" i="48"/>
  <c r="B17" i="48"/>
  <c r="B848" i="48"/>
  <c r="B534" i="48"/>
  <c r="B533" i="48"/>
  <c r="B581" i="48"/>
  <c r="B519" i="48"/>
  <c r="B518" i="48"/>
  <c r="B94" i="48"/>
  <c r="B166" i="48"/>
  <c r="B132" i="48"/>
  <c r="B131" i="48"/>
  <c r="B649" i="48"/>
  <c r="B648" i="48"/>
  <c r="B565" i="48"/>
  <c r="B564" i="48"/>
  <c r="B563" i="48"/>
  <c r="B562" i="48"/>
  <c r="B561" i="48"/>
  <c r="B560" i="48"/>
  <c r="B891" i="48"/>
  <c r="B755" i="48"/>
  <c r="B651" i="48"/>
  <c r="B638" i="48"/>
  <c r="B694" i="48"/>
  <c r="B842" i="48"/>
  <c r="B886" i="48"/>
  <c r="B461" i="48"/>
  <c r="B460" i="48"/>
  <c r="B52" i="48"/>
  <c r="B51" i="48"/>
  <c r="B50" i="48"/>
  <c r="B49" i="48"/>
  <c r="B48" i="48"/>
  <c r="B47" i="48"/>
  <c r="B46" i="48"/>
  <c r="B45" i="48"/>
  <c r="B44" i="48"/>
  <c r="B43" i="48"/>
  <c r="B42" i="48"/>
  <c r="B41" i="48"/>
  <c r="B40" i="48"/>
  <c r="B389" i="48"/>
  <c r="B340" i="48"/>
  <c r="B453" i="48"/>
  <c r="B329" i="48"/>
  <c r="B822" i="48"/>
  <c r="B555" i="48"/>
  <c r="B813" i="48"/>
  <c r="B469" i="48"/>
  <c r="B468" i="48"/>
  <c r="B467" i="48"/>
  <c r="B466" i="48"/>
  <c r="B465" i="48"/>
  <c r="B464" i="48"/>
  <c r="B463" i="48"/>
  <c r="B462" i="48"/>
  <c r="B109" i="48"/>
  <c r="B288" i="48"/>
  <c r="B56" i="48"/>
  <c r="B419" i="48"/>
  <c r="B685" i="48"/>
  <c r="B684" i="48"/>
  <c r="B143" i="48"/>
  <c r="B945" i="48"/>
  <c r="B376" i="48"/>
  <c r="B452" i="48"/>
  <c r="B450" i="48"/>
  <c r="B960" i="48"/>
  <c r="B959" i="48"/>
  <c r="B958" i="48"/>
  <c r="B957" i="48"/>
  <c r="B818" i="48"/>
  <c r="B883" i="48"/>
  <c r="B356" i="48"/>
  <c r="B359" i="48"/>
  <c r="B358" i="48"/>
  <c r="B357" i="48"/>
  <c r="B826" i="48"/>
  <c r="B825" i="48"/>
  <c r="B824" i="48"/>
  <c r="B36" i="48"/>
  <c r="B34" i="48"/>
  <c r="B33" i="48"/>
  <c r="B420" i="48"/>
  <c r="B733" i="48"/>
  <c r="B734" i="48"/>
  <c r="B134" i="48"/>
  <c r="B245" i="48"/>
  <c r="B800" i="48"/>
  <c r="B396" i="48"/>
  <c r="B58" i="48"/>
  <c r="B57" i="48"/>
  <c r="B880" i="48"/>
  <c r="B299" i="48"/>
  <c r="B405" i="48"/>
  <c r="B861" i="48"/>
  <c r="B290" i="48"/>
  <c r="B786" i="48"/>
  <c r="B785" i="48"/>
  <c r="B963" i="48"/>
  <c r="B962" i="48"/>
  <c r="B961" i="48"/>
  <c r="B782" i="48"/>
  <c r="B781" i="48"/>
  <c r="B780" i="48"/>
  <c r="B642" i="48"/>
  <c r="B941" i="48"/>
  <c r="B940" i="48"/>
  <c r="B779" i="48"/>
  <c r="B778" i="48"/>
  <c r="B384" i="48"/>
  <c r="B907" i="48"/>
  <c r="B906" i="48"/>
  <c r="B905" i="48"/>
  <c r="B352" i="48"/>
  <c r="B351" i="48"/>
  <c r="B670" i="48"/>
  <c r="B12" i="48"/>
  <c r="B11" i="48"/>
  <c r="B346" i="48"/>
  <c r="B791" i="48"/>
  <c r="B341" i="48"/>
  <c r="B327" i="48"/>
  <c r="B654" i="48"/>
  <c r="B752" i="48"/>
  <c r="B209" i="48"/>
  <c r="B311" i="48"/>
  <c r="B93" i="48"/>
  <c r="B92" i="48"/>
  <c r="B91" i="48"/>
  <c r="B90" i="48"/>
  <c r="B89" i="48"/>
  <c r="B88" i="48"/>
  <c r="B87" i="48"/>
  <c r="B760" i="48"/>
  <c r="B195" i="48"/>
  <c r="B390" i="48"/>
  <c r="B258" i="48"/>
  <c r="B257" i="48"/>
  <c r="B331" i="48"/>
  <c r="B852" i="48"/>
  <c r="B851" i="48"/>
  <c r="B840" i="48"/>
  <c r="B839" i="48"/>
  <c r="B838" i="48"/>
  <c r="B837" i="48"/>
  <c r="B836" i="48"/>
  <c r="B835" i="48"/>
  <c r="B322" i="48"/>
  <c r="B321" i="48"/>
  <c r="B524" i="48"/>
  <c r="B523" i="48"/>
  <c r="B522" i="48"/>
  <c r="B667" i="48"/>
  <c r="B704" i="48"/>
  <c r="B432" i="48"/>
  <c r="B281" i="48"/>
  <c r="B574" i="48"/>
  <c r="B661" i="48"/>
  <c r="B743" i="48"/>
  <c r="B742" i="48"/>
  <c r="B183" i="48"/>
  <c r="B182" i="48"/>
  <c r="B372" i="48"/>
  <c r="B371" i="48"/>
  <c r="B370" i="48"/>
  <c r="B386" i="48"/>
  <c r="B571" i="48"/>
  <c r="B295" i="48"/>
  <c r="B873" i="48"/>
  <c r="B872" i="48"/>
  <c r="B871" i="48"/>
  <c r="B719" i="48"/>
  <c r="B204" i="48"/>
  <c r="B877" i="48"/>
  <c r="B454" i="48"/>
  <c r="B706" i="48"/>
  <c r="B431" i="48"/>
  <c r="B629" i="48"/>
  <c r="B628" i="48"/>
  <c r="B394" i="48"/>
  <c r="B868" i="48"/>
  <c r="B259" i="48"/>
  <c r="B806" i="48"/>
  <c r="B805" i="48"/>
  <c r="B228" i="48"/>
  <c r="B250" i="48"/>
  <c r="B118" i="48"/>
  <c r="B117" i="48"/>
  <c r="B116" i="48"/>
  <c r="B795" i="48"/>
  <c r="B794" i="48"/>
  <c r="B400" i="48"/>
  <c r="B399" i="48"/>
  <c r="B831" i="48"/>
  <c r="B830" i="48"/>
  <c r="B368" i="48"/>
  <c r="B367" i="48"/>
  <c r="B366" i="48"/>
  <c r="B365" i="48"/>
  <c r="B798" i="48"/>
  <c r="B308" i="48"/>
  <c r="B285" i="48"/>
  <c r="B554" i="48"/>
  <c r="B553" i="48"/>
  <c r="B552" i="48"/>
  <c r="B551" i="48"/>
  <c r="B863" i="48"/>
  <c r="B307" i="48"/>
  <c r="B306" i="48"/>
  <c r="B623" i="48"/>
  <c r="B622" i="48"/>
  <c r="B427" i="48"/>
  <c r="B637" i="48"/>
  <c r="B636" i="48"/>
  <c r="B635" i="48"/>
  <c r="B430" i="48"/>
  <c r="B801" i="48"/>
  <c r="B731" i="48"/>
  <c r="B730" i="48"/>
  <c r="B165" i="48"/>
  <c r="B679" i="48"/>
  <c r="B606" i="48"/>
  <c r="B268" i="48"/>
  <c r="B213" i="48"/>
  <c r="B896" i="48"/>
  <c r="B895" i="48"/>
  <c r="B894" i="48"/>
  <c r="B167" i="48"/>
  <c r="B889" i="48"/>
  <c r="B714" i="48"/>
  <c r="B691" i="48"/>
  <c r="B13" i="48"/>
  <c r="B819" i="48"/>
  <c r="B827" i="48"/>
  <c r="B815" i="48"/>
  <c r="B814" i="48"/>
  <c r="B282" i="48"/>
  <c r="B296" i="48"/>
  <c r="B86" i="48"/>
  <c r="B85" i="48"/>
  <c r="B172" i="48"/>
  <c r="B866" i="48"/>
  <c r="B354" i="48"/>
  <c r="B377" i="48"/>
  <c r="B286" i="48"/>
  <c r="B451" i="48"/>
  <c r="B898" i="48"/>
  <c r="B702" i="48"/>
  <c r="B409" i="48"/>
  <c r="B408" i="48"/>
  <c r="B484" i="48"/>
  <c r="B483" i="48"/>
  <c r="B820" i="48"/>
  <c r="B441" i="48"/>
  <c r="B796" i="48"/>
  <c r="B762" i="48"/>
  <c r="B821" i="48"/>
  <c r="B701" i="48"/>
  <c r="B700" i="48"/>
  <c r="B856" i="48"/>
  <c r="B855" i="48"/>
  <c r="B373" i="48"/>
  <c r="B879" i="48"/>
  <c r="B741" i="48"/>
  <c r="B626" i="48"/>
  <c r="B625" i="48"/>
  <c r="B624" i="48"/>
  <c r="B236" i="48"/>
  <c r="B246" i="48"/>
  <c r="B864" i="48"/>
  <c r="B115" i="48"/>
  <c r="B114" i="48"/>
  <c r="B113" i="48"/>
  <c r="B759" i="48"/>
  <c r="B261" i="48"/>
  <c r="B690" i="48"/>
  <c r="B689" i="48"/>
  <c r="B244" i="48"/>
  <c r="B243" i="48"/>
  <c r="B242" i="48"/>
  <c r="B241" i="48"/>
  <c r="B240" i="48"/>
  <c r="B239" i="48"/>
  <c r="B238" i="48"/>
  <c r="B237" i="48"/>
  <c r="B265" i="48"/>
  <c r="B412" i="48"/>
  <c r="B136" i="48"/>
  <c r="B775" i="48"/>
  <c r="B696" i="48"/>
  <c r="B695" i="48"/>
  <c r="B793" i="48"/>
  <c r="B271" i="48"/>
  <c r="B270" i="48"/>
  <c r="B226" i="48"/>
  <c r="B362" i="48"/>
  <c r="B361" i="48"/>
  <c r="B754" i="48"/>
  <c r="B693" i="48"/>
  <c r="B890" i="48"/>
  <c r="B749" i="48"/>
  <c r="B675" i="48"/>
  <c r="B225" i="48"/>
  <c r="B903" i="48"/>
  <c r="B35" i="48"/>
  <c r="B97" i="48"/>
  <c r="B96" i="48"/>
  <c r="B95" i="48"/>
  <c r="B434" i="48"/>
  <c r="B532" i="48"/>
  <c r="B531" i="48"/>
  <c r="B530" i="48"/>
  <c r="B381" i="48"/>
  <c r="B380" i="48"/>
  <c r="B379" i="48"/>
  <c r="B378" i="48"/>
  <c r="B676" i="48"/>
  <c r="B514" i="48"/>
  <c r="B513" i="48"/>
  <c r="B512" i="48"/>
  <c r="B511" i="48"/>
  <c r="B510" i="48"/>
  <c r="B509" i="48"/>
  <c r="B508" i="48"/>
  <c r="B841" i="48"/>
  <c r="B440" i="48"/>
  <c r="B439" i="48"/>
  <c r="B38" i="48"/>
  <c r="B37" i="48"/>
  <c r="B142" i="48"/>
  <c r="B141" i="48"/>
  <c r="B140" i="48"/>
  <c r="B139" i="48"/>
  <c r="B138" i="48"/>
  <c r="B652" i="48"/>
  <c r="B422" i="48"/>
  <c r="B892" i="48"/>
  <c r="B602" i="48"/>
  <c r="B817" i="48"/>
  <c r="B449" i="48"/>
  <c r="B448" i="48"/>
  <c r="B874" i="48"/>
  <c r="B867" i="48"/>
  <c r="B692" i="48"/>
  <c r="B447" i="48"/>
  <c r="B262" i="48"/>
  <c r="B764" i="48"/>
  <c r="B666" i="48"/>
  <c r="B309" i="48"/>
  <c r="B260" i="48"/>
  <c r="B122" i="48"/>
  <c r="B121" i="48"/>
  <c r="B944" i="48"/>
  <c r="B943" i="48"/>
  <c r="B942" i="48"/>
  <c r="B71" i="48"/>
  <c r="B70" i="48"/>
  <c r="B69" i="48"/>
  <c r="B68" i="48"/>
  <c r="B67" i="48"/>
  <c r="B753" i="48"/>
  <c r="B646" i="48"/>
  <c r="B99" i="48"/>
  <c r="B98" i="48"/>
  <c r="D9" i="48"/>
  <c r="C9" i="48"/>
  <c r="B9" i="48"/>
  <c r="A2" i="48"/>
  <c r="B418" i="47"/>
  <c r="B748" i="47"/>
  <c r="B855" i="47"/>
  <c r="B959" i="47"/>
  <c r="B907" i="47"/>
  <c r="B265" i="47"/>
  <c r="B413" i="47"/>
  <c r="B306" i="47"/>
  <c r="B976" i="47"/>
  <c r="B974" i="47"/>
  <c r="B201" i="47"/>
  <c r="B827" i="47"/>
  <c r="B623" i="47"/>
  <c r="B622" i="47"/>
  <c r="B269" i="47"/>
  <c r="B268" i="47"/>
  <c r="B945" i="47"/>
  <c r="B792" i="47"/>
  <c r="B233" i="47"/>
  <c r="B355" i="47"/>
  <c r="B844" i="47"/>
  <c r="B784" i="47"/>
  <c r="B415" i="47"/>
  <c r="B411" i="47"/>
  <c r="B797" i="47"/>
  <c r="B934" i="47"/>
  <c r="B755" i="47"/>
  <c r="B963" i="47"/>
  <c r="B767" i="47"/>
  <c r="B221" i="47"/>
  <c r="B344" i="47"/>
  <c r="B343" i="47"/>
  <c r="B833" i="47"/>
  <c r="B879" i="47"/>
  <c r="B451" i="47"/>
  <c r="B655" i="47"/>
  <c r="B335" i="47"/>
  <c r="B863" i="47"/>
  <c r="B366" i="47"/>
  <c r="B980" i="47"/>
  <c r="B694" i="47"/>
  <c r="B125" i="47"/>
  <c r="B124" i="47"/>
  <c r="B123" i="47"/>
  <c r="B122" i="47"/>
  <c r="B121" i="47"/>
  <c r="B120" i="47"/>
  <c r="B119" i="47"/>
  <c r="B118" i="47"/>
  <c r="B117" i="47"/>
  <c r="B116" i="47"/>
  <c r="B115" i="47"/>
  <c r="B352" i="47"/>
  <c r="B277" i="47"/>
  <c r="B791" i="47"/>
  <c r="B770" i="47"/>
  <c r="B769" i="47"/>
  <c r="B994" i="47"/>
  <c r="B993" i="47"/>
  <c r="B720" i="47"/>
  <c r="B719" i="47"/>
  <c r="B557" i="47"/>
  <c r="B556" i="47"/>
  <c r="B357" i="47"/>
  <c r="B595" i="47"/>
  <c r="B594" i="47"/>
  <c r="B195" i="47"/>
  <c r="B865" i="47"/>
  <c r="B912" i="47"/>
  <c r="B225" i="47"/>
  <c r="B903" i="47"/>
  <c r="B830" i="47"/>
  <c r="B954" i="47"/>
  <c r="B364" i="47"/>
  <c r="B292" i="47"/>
  <c r="B434" i="47"/>
  <c r="B291" i="47"/>
  <c r="B264" i="47"/>
  <c r="B854" i="47"/>
  <c r="B889" i="47"/>
  <c r="B745" i="47"/>
  <c r="B744" i="47"/>
  <c r="B743" i="47"/>
  <c r="B742" i="47"/>
  <c r="B741" i="47"/>
  <c r="B372" i="47"/>
  <c r="B371" i="47"/>
  <c r="B370" i="47"/>
  <c r="B369" i="47"/>
  <c r="B386" i="47"/>
  <c r="B943" i="47"/>
  <c r="B796" i="47"/>
  <c r="B1035" i="47"/>
  <c r="B1034" i="47"/>
  <c r="B1033" i="47"/>
  <c r="B1032" i="47"/>
  <c r="B1031" i="47"/>
  <c r="B1030" i="47"/>
  <c r="B1029" i="47"/>
  <c r="B1028" i="47"/>
  <c r="B1027" i="47"/>
  <c r="B1026" i="47"/>
  <c r="B1025" i="47"/>
  <c r="B1024" i="47"/>
  <c r="B1023" i="47"/>
  <c r="B1022" i="47"/>
  <c r="B1021" i="47"/>
  <c r="B1020" i="47"/>
  <c r="B1019" i="47"/>
  <c r="B1018" i="47"/>
  <c r="B1017" i="47"/>
  <c r="B1016" i="47"/>
  <c r="B1015" i="47"/>
  <c r="B1014" i="47"/>
  <c r="B1013" i="47"/>
  <c r="B1012" i="47"/>
  <c r="B1011" i="47"/>
  <c r="B1010" i="47"/>
  <c r="B1009" i="47"/>
  <c r="B1008" i="47"/>
  <c r="B1007" i="47"/>
  <c r="B1006" i="47"/>
  <c r="B1005" i="47"/>
  <c r="B1004" i="47"/>
  <c r="B1003" i="47"/>
  <c r="B1002" i="47"/>
  <c r="B1001" i="47"/>
  <c r="B1000" i="47"/>
  <c r="B999" i="47"/>
  <c r="B998" i="47"/>
  <c r="B997" i="47"/>
  <c r="B299" i="47"/>
  <c r="B778" i="47"/>
  <c r="B449" i="47"/>
  <c r="B1056" i="47"/>
  <c r="B1055" i="47"/>
  <c r="B845" i="47"/>
  <c r="B210" i="47"/>
  <c r="B209" i="47"/>
  <c r="B204" i="47"/>
  <c r="B956" i="47"/>
  <c r="B847" i="47"/>
  <c r="B759" i="47"/>
  <c r="B758" i="47"/>
  <c r="B779" i="47"/>
  <c r="B235" i="47"/>
  <c r="B991" i="47"/>
  <c r="B909" i="47"/>
  <c r="B232" i="47"/>
  <c r="B341" i="47"/>
  <c r="B205" i="47"/>
  <c r="B126" i="47"/>
  <c r="B735" i="47"/>
  <c r="B360" i="47"/>
  <c r="B967" i="47"/>
  <c r="B422" i="47"/>
  <c r="B174" i="47"/>
  <c r="B173" i="47"/>
  <c r="B172" i="47"/>
  <c r="B171" i="47"/>
  <c r="B170" i="47"/>
  <c r="B169" i="47"/>
  <c r="B165" i="47"/>
  <c r="B164" i="47"/>
  <c r="B163" i="47"/>
  <c r="B162" i="47"/>
  <c r="B161" i="47"/>
  <c r="B160" i="47"/>
  <c r="B159" i="47"/>
  <c r="B158" i="47"/>
  <c r="B157" i="47"/>
  <c r="B948" i="47"/>
  <c r="B856" i="47"/>
  <c r="B970" i="47"/>
  <c r="B634" i="47"/>
  <c r="B633" i="47"/>
  <c r="B375" i="47"/>
  <c r="B297" i="47"/>
  <c r="B198" i="47"/>
  <c r="B197" i="47"/>
  <c r="B765" i="47"/>
  <c r="B848" i="47"/>
  <c r="B346" i="47"/>
  <c r="B1061" i="47"/>
  <c r="B1060" i="47"/>
  <c r="B874" i="47"/>
  <c r="B132" i="47"/>
  <c r="B949" i="47"/>
  <c r="B733" i="47"/>
  <c r="B327" i="47"/>
  <c r="B716" i="47"/>
  <c r="B715" i="47"/>
  <c r="B312" i="47"/>
  <c r="B311" i="47"/>
  <c r="B951" i="47"/>
  <c r="B273" i="47"/>
  <c r="B293" i="47"/>
  <c r="B935" i="47"/>
  <c r="B917" i="47"/>
  <c r="B788" i="47"/>
  <c r="B262" i="47"/>
  <c r="B374" i="47"/>
  <c r="B373" i="47"/>
  <c r="B318" i="47"/>
  <c r="B242" i="47"/>
  <c r="B973" i="47"/>
  <c r="B822" i="47"/>
  <c r="B389" i="47"/>
  <c r="B388" i="47"/>
  <c r="B727" i="47"/>
  <c r="B726" i="47"/>
  <c r="B432" i="47"/>
  <c r="B1054" i="47"/>
  <c r="B1047" i="47"/>
  <c r="B1046" i="47"/>
  <c r="B1045" i="47"/>
  <c r="B1044" i="47"/>
  <c r="B1043" i="47"/>
  <c r="B1042" i="47"/>
  <c r="B1041" i="47"/>
  <c r="B1040" i="47"/>
  <c r="B1039" i="47"/>
  <c r="B1038" i="47"/>
  <c r="B1037" i="47"/>
  <c r="B1036" i="47"/>
  <c r="B810" i="47"/>
  <c r="B807" i="47"/>
  <c r="B806" i="47"/>
  <c r="B396" i="47"/>
  <c r="B317" i="47"/>
  <c r="B284" i="47"/>
  <c r="B261" i="47"/>
  <c r="B378" i="47"/>
  <c r="B383" i="47"/>
  <c r="B841" i="47"/>
  <c r="B326" i="47"/>
  <c r="B296" i="47"/>
  <c r="B435" i="47"/>
  <c r="B898" i="47"/>
  <c r="B864" i="47"/>
  <c r="B354" i="47"/>
  <c r="B839" i="47"/>
  <c r="B838" i="47"/>
  <c r="B837" i="47"/>
  <c r="B836" i="47"/>
  <c r="B835" i="47"/>
  <c r="B428" i="47"/>
  <c r="B427" i="47"/>
  <c r="B419" i="47"/>
  <c r="B873" i="47"/>
  <c r="B298" i="47"/>
  <c r="B916" i="47"/>
  <c r="B224" i="47"/>
  <c r="B223" i="47"/>
  <c r="B222" i="47"/>
  <c r="B918" i="47"/>
  <c r="B877" i="47"/>
  <c r="B107" i="47"/>
  <c r="B106" i="47"/>
  <c r="B105" i="47"/>
  <c r="B104" i="47"/>
  <c r="B322" i="47"/>
  <c r="B436" i="47"/>
  <c r="B892" i="47"/>
  <c r="B924" i="47"/>
  <c r="B404" i="47"/>
  <c r="B542" i="47"/>
  <c r="B407" i="47"/>
  <c r="B406" i="47"/>
  <c r="B461" i="47"/>
  <c r="B460" i="47"/>
  <c r="B244" i="47"/>
  <c r="B867" i="47"/>
  <c r="B421" i="47"/>
  <c r="B931" i="47"/>
  <c r="B861" i="47"/>
  <c r="B275" i="47"/>
  <c r="B459" i="47"/>
  <c r="B356" i="47"/>
  <c r="B219" i="47"/>
  <c r="B218" i="47"/>
  <c r="B773" i="47"/>
  <c r="B362" i="47"/>
  <c r="B718" i="47"/>
  <c r="B390" i="47"/>
  <c r="B380" i="47"/>
  <c r="B135" i="47"/>
  <c r="B134" i="47"/>
  <c r="B133" i="47"/>
  <c r="B825" i="47"/>
  <c r="B416" i="47"/>
  <c r="B887" i="47"/>
  <c r="B944" i="47"/>
  <c r="B780" i="47"/>
  <c r="B882" i="47"/>
  <c r="B320" i="47"/>
  <c r="B843" i="47"/>
  <c r="B786" i="47"/>
  <c r="B785" i="47"/>
  <c r="B829" i="47"/>
  <c r="B443" i="47"/>
  <c r="B891" i="47"/>
  <c r="B231" i="47"/>
  <c r="B212" i="47"/>
  <c r="B410" i="47"/>
  <c r="B182" i="47"/>
  <c r="B333" i="47"/>
  <c r="B228" i="47"/>
  <c r="B227" i="47"/>
  <c r="B353" i="47"/>
  <c r="B429" i="47"/>
  <c r="B474" i="47"/>
  <c r="B964" i="47"/>
  <c r="B179" i="47"/>
  <c r="B178" i="47"/>
  <c r="B177" i="47"/>
  <c r="B176" i="47"/>
  <c r="B175" i="47"/>
  <c r="B832" i="47"/>
  <c r="B831" i="47"/>
  <c r="B913" i="47"/>
  <c r="B131" i="47"/>
  <c r="B130" i="47"/>
  <c r="B438" i="47"/>
  <c r="B885" i="47"/>
  <c r="B886" i="47"/>
  <c r="B781" i="47"/>
  <c r="B914" i="47"/>
  <c r="B977" i="47"/>
  <c r="B300" i="47"/>
  <c r="B795" i="47"/>
  <c r="B187" i="47"/>
  <c r="B721" i="47"/>
  <c r="B988" i="47"/>
  <c r="B846" i="47"/>
  <c r="B881" i="47"/>
  <c r="B274" i="47"/>
  <c r="B393" i="47"/>
  <c r="B286" i="47"/>
  <c r="B285" i="47"/>
  <c r="B840" i="47"/>
  <c r="B740" i="47"/>
  <c r="B739" i="47"/>
  <c r="B345" i="47"/>
  <c r="B401" i="47"/>
  <c r="B849" i="47"/>
  <c r="B858" i="47"/>
  <c r="B900" i="47"/>
  <c r="B884" i="47"/>
  <c r="B717" i="47"/>
  <c r="B968" i="47"/>
  <c r="B794" i="47"/>
  <c r="B331" i="47"/>
  <c r="B239" i="47"/>
  <c r="B238" i="47"/>
  <c r="B237" i="47"/>
  <c r="B990" i="47"/>
  <c r="B307" i="47"/>
  <c r="B790" i="47"/>
  <c r="B826" i="47"/>
  <c r="B442" i="47"/>
  <c r="B324" i="47"/>
  <c r="B687" i="47"/>
  <c r="B783" i="47"/>
  <c r="B860" i="47"/>
  <c r="B230" i="47"/>
  <c r="B229" i="47"/>
  <c r="B394" i="47"/>
  <c r="B405" i="47"/>
  <c r="B677" i="47"/>
  <c r="B338" i="47"/>
  <c r="B965" i="47"/>
  <c r="B842" i="47"/>
  <c r="B252" i="47"/>
  <c r="B969" i="47"/>
  <c r="B458" i="47"/>
  <c r="B828" i="47"/>
  <c r="B441" i="47"/>
  <c r="B754" i="47"/>
  <c r="B412" i="47"/>
  <c r="B962" i="47"/>
  <c r="B302" i="47"/>
  <c r="B915" i="47"/>
  <c r="B281" i="47"/>
  <c r="B295" i="47"/>
  <c r="B294" i="47"/>
  <c r="B186" i="47"/>
  <c r="B905" i="47"/>
  <c r="B417" i="47"/>
  <c r="B936" i="47"/>
  <c r="B392" i="47"/>
  <c r="B391" i="47"/>
  <c r="B908" i="47"/>
  <c r="B348" i="47"/>
  <c r="B329" i="47"/>
  <c r="B328" i="47"/>
  <c r="B649" i="47"/>
  <c r="B648" i="47"/>
  <c r="B647" i="47"/>
  <c r="B957" i="47"/>
  <c r="B347" i="47"/>
  <c r="B749" i="47"/>
  <c r="B437" i="47"/>
  <c r="B760" i="47"/>
  <c r="B440" i="47"/>
  <c r="B911" i="47"/>
  <c r="B850" i="47"/>
  <c r="B214" i="47"/>
  <c r="B803" i="47"/>
  <c r="B734" i="47"/>
  <c r="B310" i="47"/>
  <c r="B267" i="47"/>
  <c r="B987" i="47"/>
  <c r="B217" i="47"/>
  <c r="B981" i="47"/>
  <c r="B834" i="47"/>
  <c r="B815" i="47"/>
  <c r="B14" i="47"/>
  <c r="B13" i="47"/>
  <c r="B927" i="47"/>
  <c r="B933" i="47"/>
  <c r="B923" i="47"/>
  <c r="B325" i="47"/>
  <c r="B339" i="47"/>
  <c r="B142" i="47"/>
  <c r="B141" i="47"/>
  <c r="B220" i="47"/>
  <c r="B960" i="47"/>
  <c r="B382" i="47"/>
  <c r="B381" i="47"/>
  <c r="B399" i="47"/>
  <c r="B330" i="47"/>
  <c r="B455" i="47"/>
  <c r="B989" i="47"/>
  <c r="B824" i="47"/>
  <c r="B423" i="47"/>
  <c r="B487" i="47"/>
  <c r="B928" i="47"/>
  <c r="B448" i="47"/>
  <c r="B906" i="47"/>
  <c r="B878" i="47"/>
  <c r="B929" i="47"/>
  <c r="B823" i="47"/>
  <c r="B952" i="47"/>
  <c r="B395" i="47"/>
  <c r="B971" i="47"/>
  <c r="B859" i="47"/>
  <c r="B752" i="47"/>
  <c r="B751" i="47"/>
  <c r="B750" i="47"/>
  <c r="B287" i="47"/>
  <c r="B290" i="47"/>
  <c r="B958" i="47"/>
  <c r="B185" i="47"/>
  <c r="B184" i="47"/>
  <c r="B875" i="47"/>
  <c r="B304" i="47"/>
  <c r="B814" i="47"/>
  <c r="B813" i="47"/>
  <c r="B288" i="47"/>
  <c r="B308" i="47"/>
  <c r="B425" i="47"/>
  <c r="B196" i="47"/>
  <c r="B890" i="47"/>
  <c r="B819" i="47"/>
  <c r="B904" i="47"/>
  <c r="B316" i="47"/>
  <c r="B315" i="47"/>
  <c r="B314" i="47"/>
  <c r="B313" i="47"/>
  <c r="B279" i="47"/>
  <c r="B387" i="47"/>
  <c r="B871" i="47"/>
  <c r="B817" i="47"/>
  <c r="B982" i="47"/>
  <c r="B866" i="47"/>
  <c r="B799" i="47"/>
  <c r="B798" i="47"/>
  <c r="B278" i="47"/>
  <c r="B992" i="47"/>
  <c r="B63" i="47"/>
  <c r="B62" i="47"/>
  <c r="B61" i="47"/>
  <c r="B60" i="47"/>
  <c r="B59" i="47"/>
  <c r="B152" i="47"/>
  <c r="B151" i="47"/>
  <c r="B150" i="47"/>
  <c r="B149" i="47"/>
  <c r="B148" i="47"/>
  <c r="B147" i="47"/>
  <c r="B146" i="47"/>
  <c r="B444" i="47"/>
  <c r="B607" i="47"/>
  <c r="B606" i="47"/>
  <c r="B605" i="47"/>
  <c r="B604" i="47"/>
  <c r="B603" i="47"/>
  <c r="B602" i="47"/>
  <c r="B601" i="47"/>
  <c r="B400" i="47"/>
  <c r="B800" i="47"/>
  <c r="B555" i="47"/>
  <c r="B554" i="47"/>
  <c r="B553" i="47"/>
  <c r="B552" i="47"/>
  <c r="B551" i="47"/>
  <c r="B550" i="47"/>
  <c r="B940" i="47"/>
  <c r="B447" i="47"/>
  <c r="B74" i="47"/>
  <c r="B73" i="47"/>
  <c r="B72" i="47"/>
  <c r="B199" i="47"/>
  <c r="B775" i="47"/>
  <c r="B433" i="47"/>
  <c r="B984" i="47"/>
  <c r="B731" i="47"/>
  <c r="B925" i="47"/>
  <c r="B453" i="47"/>
  <c r="B966" i="47"/>
  <c r="B961" i="47"/>
  <c r="B816" i="47"/>
  <c r="B452" i="47"/>
  <c r="B305" i="47"/>
  <c r="B880" i="47"/>
  <c r="B789" i="47"/>
  <c r="B349" i="47"/>
  <c r="B303" i="47"/>
  <c r="B189" i="47"/>
  <c r="B1051" i="47"/>
  <c r="B129" i="47"/>
  <c r="B128" i="47"/>
  <c r="B127" i="47"/>
  <c r="B870" i="47"/>
  <c r="B768" i="47"/>
  <c r="B154" i="47"/>
  <c r="B153" i="47"/>
  <c r="D9" i="47"/>
  <c r="C9" i="47"/>
  <c r="B9" i="47"/>
  <c r="A2" i="47"/>
  <c r="B85" i="46"/>
  <c r="B64" i="46"/>
  <c r="B369" i="46"/>
  <c r="B368" i="46"/>
  <c r="B342" i="46"/>
  <c r="B322" i="46"/>
  <c r="B323" i="46"/>
  <c r="B352" i="46"/>
  <c r="B108" i="46"/>
  <c r="B145" i="46"/>
  <c r="B345" i="46"/>
  <c r="B344" i="46"/>
  <c r="B343" i="46"/>
  <c r="B294" i="46"/>
  <c r="B329" i="46"/>
  <c r="B328" i="46"/>
  <c r="B327" i="46"/>
  <c r="B14" i="46"/>
  <c r="B13" i="46"/>
  <c r="B33" i="46"/>
  <c r="B32" i="46"/>
  <c r="B438" i="46"/>
  <c r="B480" i="46"/>
  <c r="B292" i="46"/>
  <c r="B538" i="46"/>
  <c r="B105" i="46"/>
  <c r="B89" i="46"/>
  <c r="B260" i="46"/>
  <c r="B63" i="46"/>
  <c r="B189" i="46"/>
  <c r="B102" i="46"/>
  <c r="B101" i="46"/>
  <c r="B592" i="46"/>
  <c r="B444" i="46"/>
  <c r="B107" i="46"/>
  <c r="B211" i="46"/>
  <c r="B491" i="46"/>
  <c r="B437" i="46"/>
  <c r="B265" i="46"/>
  <c r="B261" i="46"/>
  <c r="B449" i="46"/>
  <c r="B581" i="46"/>
  <c r="B413" i="46"/>
  <c r="B610" i="46"/>
  <c r="B422" i="46"/>
  <c r="B96" i="46"/>
  <c r="B200" i="46"/>
  <c r="B199" i="46"/>
  <c r="B484" i="46"/>
  <c r="B526" i="46"/>
  <c r="B300" i="46"/>
  <c r="B365" i="46"/>
  <c r="B191" i="46"/>
  <c r="B510" i="46"/>
  <c r="B222" i="46"/>
  <c r="B626" i="46"/>
  <c r="B379" i="46"/>
  <c r="B40" i="46"/>
  <c r="B208" i="46"/>
  <c r="B139" i="46"/>
  <c r="B443" i="46"/>
  <c r="B424" i="46"/>
  <c r="B638" i="46"/>
  <c r="B385" i="46"/>
  <c r="B384" i="46"/>
  <c r="B209" i="46"/>
  <c r="B278" i="46"/>
  <c r="B311" i="46"/>
  <c r="B611" i="46"/>
  <c r="B60" i="46"/>
  <c r="B483" i="46"/>
  <c r="B482" i="46"/>
  <c r="B560" i="46"/>
  <c r="B44" i="46"/>
  <c r="B43" i="46"/>
  <c r="B287" i="46"/>
  <c r="B532" i="46"/>
  <c r="B533" i="46"/>
  <c r="B434" i="46"/>
  <c r="B561" i="46"/>
  <c r="B624" i="46"/>
  <c r="B161" i="46"/>
  <c r="B447" i="46"/>
  <c r="B68" i="46"/>
  <c r="B386" i="46"/>
  <c r="B633" i="46"/>
  <c r="B493" i="46"/>
  <c r="B528" i="46"/>
  <c r="B136" i="46"/>
  <c r="B244" i="46"/>
  <c r="B148" i="46"/>
  <c r="B147" i="46"/>
  <c r="B487" i="46"/>
  <c r="B400" i="46"/>
  <c r="B201" i="46"/>
  <c r="B252" i="46"/>
  <c r="B382" i="46"/>
  <c r="B615" i="46"/>
  <c r="B446" i="46"/>
  <c r="B187" i="46"/>
  <c r="B111" i="46"/>
  <c r="B635" i="46"/>
  <c r="B168" i="46"/>
  <c r="B442" i="46"/>
  <c r="B477" i="46"/>
  <c r="B291" i="46"/>
  <c r="B181" i="46"/>
  <c r="B373" i="46"/>
  <c r="B436" i="46"/>
  <c r="B507" i="46"/>
  <c r="B104" i="46"/>
  <c r="B103" i="46"/>
  <c r="B245" i="46"/>
  <c r="B256" i="46"/>
  <c r="B371" i="46"/>
  <c r="B194" i="46"/>
  <c r="B612" i="46"/>
  <c r="B489" i="46"/>
  <c r="B122" i="46"/>
  <c r="B616" i="46"/>
  <c r="B307" i="46"/>
  <c r="B479" i="46"/>
  <c r="B290" i="46"/>
  <c r="B412" i="46"/>
  <c r="B262" i="46"/>
  <c r="B609" i="46"/>
  <c r="B163" i="46"/>
  <c r="B562" i="46"/>
  <c r="B143" i="46"/>
  <c r="B156" i="46"/>
  <c r="B67" i="46"/>
  <c r="B552" i="46"/>
  <c r="B267" i="46"/>
  <c r="B583" i="46"/>
  <c r="B243" i="46"/>
  <c r="B242" i="46"/>
  <c r="B555" i="46"/>
  <c r="B204" i="46"/>
  <c r="B185" i="46"/>
  <c r="B363" i="46"/>
  <c r="B362" i="46"/>
  <c r="B604" i="46"/>
  <c r="B203" i="46"/>
  <c r="B408" i="46"/>
  <c r="B286" i="46"/>
  <c r="B416" i="46"/>
  <c r="B289" i="46"/>
  <c r="B558" i="46"/>
  <c r="B497" i="46"/>
  <c r="B91" i="46"/>
  <c r="B454" i="46"/>
  <c r="B395" i="46"/>
  <c r="B171" i="46"/>
  <c r="B130" i="46"/>
  <c r="B632" i="46"/>
  <c r="B93" i="46"/>
  <c r="B627" i="46"/>
  <c r="B485" i="46"/>
  <c r="B466" i="46"/>
  <c r="B12" i="46"/>
  <c r="B574" i="46"/>
  <c r="B580" i="46"/>
  <c r="B570" i="46"/>
  <c r="B182" i="46"/>
  <c r="B195" i="46"/>
  <c r="B50" i="46"/>
  <c r="B49" i="46"/>
  <c r="B95" i="46"/>
  <c r="B607" i="46"/>
  <c r="B234" i="46"/>
  <c r="B250" i="46"/>
  <c r="B186" i="46"/>
  <c r="B304" i="46"/>
  <c r="B634" i="46"/>
  <c r="B475" i="46"/>
  <c r="B273" i="46"/>
  <c r="B320" i="46"/>
  <c r="B575" i="46"/>
  <c r="B297" i="46"/>
  <c r="B553" i="46"/>
  <c r="B525" i="46"/>
  <c r="B576" i="46"/>
  <c r="B474" i="46"/>
  <c r="B599" i="46"/>
  <c r="B246" i="46"/>
  <c r="B618" i="46"/>
  <c r="B506" i="46"/>
  <c r="B410" i="46"/>
  <c r="B409" i="46"/>
  <c r="B149" i="46"/>
  <c r="B152" i="46"/>
  <c r="B605" i="46"/>
  <c r="B66" i="46"/>
  <c r="B65" i="46"/>
  <c r="B522" i="46"/>
  <c r="B165" i="46"/>
  <c r="B465" i="46"/>
  <c r="B464" i="46"/>
  <c r="B150" i="46"/>
  <c r="B169" i="46"/>
  <c r="B275" i="46"/>
  <c r="B76" i="46"/>
  <c r="B537" i="46"/>
  <c r="B470" i="46"/>
  <c r="B551" i="46"/>
  <c r="B173" i="46"/>
  <c r="B141" i="46"/>
  <c r="B239" i="46"/>
  <c r="B518" i="46"/>
  <c r="B468" i="46"/>
  <c r="B628" i="46"/>
  <c r="B513" i="46"/>
  <c r="B450" i="46"/>
  <c r="B140" i="46"/>
  <c r="B637" i="46"/>
  <c r="B23" i="46"/>
  <c r="B55" i="46"/>
  <c r="B54" i="46"/>
  <c r="B293" i="46"/>
  <c r="B348" i="46"/>
  <c r="B347" i="46"/>
  <c r="B346" i="46"/>
  <c r="B251" i="46"/>
  <c r="B451" i="46"/>
  <c r="B335" i="46"/>
  <c r="B334" i="46"/>
  <c r="B333" i="46"/>
  <c r="B587" i="46"/>
  <c r="B296" i="46"/>
  <c r="B26" i="46"/>
  <c r="B25" i="46"/>
  <c r="B78" i="46"/>
  <c r="B428" i="46"/>
  <c r="B282" i="46"/>
  <c r="B630" i="46"/>
  <c r="B392" i="46"/>
  <c r="B572" i="46"/>
  <c r="B302" i="46"/>
  <c r="B613" i="46"/>
  <c r="B608" i="46"/>
  <c r="B467" i="46"/>
  <c r="B301" i="46"/>
  <c r="B166" i="46"/>
  <c r="B527" i="46"/>
  <c r="B441" i="46"/>
  <c r="B205" i="46"/>
  <c r="B164" i="46"/>
  <c r="B70" i="46"/>
  <c r="B650" i="46"/>
  <c r="B42" i="46"/>
  <c r="B517" i="46"/>
  <c r="B423" i="46"/>
  <c r="B56" i="46"/>
  <c r="D9" i="46"/>
  <c r="C9" i="46"/>
  <c r="B9" i="46"/>
  <c r="A2" i="46"/>
  <c r="E9" i="48" l="1"/>
  <c r="E9" i="46"/>
  <c r="E9" i="47"/>
  <c r="F9" i="47" s="1"/>
  <c r="F9" i="48" l="1"/>
  <c r="F9" i="46"/>
  <c r="H9" i="47"/>
  <c r="H9" i="48" l="1"/>
  <c r="H9" i="46"/>
  <c r="I9" i="47"/>
  <c r="I9" i="48" l="1"/>
  <c r="I9" i="46"/>
  <c r="J9" i="47"/>
  <c r="K9" i="47" s="1"/>
  <c r="L9" i="47" s="1"/>
  <c r="J9" i="48" l="1"/>
  <c r="K9" i="48" s="1"/>
  <c r="J9" i="46"/>
  <c r="K9" i="46" s="1"/>
  <c r="L9" i="46" s="1"/>
  <c r="M9" i="47"/>
  <c r="N9" i="47" s="1"/>
  <c r="B585" i="2"/>
  <c r="B579" i="2"/>
  <c r="B578" i="2"/>
  <c r="B577" i="2"/>
  <c r="B576" i="2"/>
  <c r="B575" i="2"/>
  <c r="B574" i="2"/>
  <c r="B573" i="2"/>
  <c r="B572" i="2"/>
  <c r="B571" i="2"/>
  <c r="B570" i="2"/>
  <c r="B569" i="2"/>
  <c r="B568" i="2"/>
  <c r="B567" i="2"/>
  <c r="B566" i="2"/>
  <c r="B541" i="2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B527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265" i="2"/>
  <c r="B264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L9" i="48" l="1"/>
  <c r="M9" i="48" s="1"/>
  <c r="N9" i="48" s="1"/>
  <c r="O9" i="48" s="1"/>
  <c r="P9" i="48" s="1"/>
  <c r="Q9" i="48" s="1"/>
  <c r="R9" i="48" s="1"/>
  <c r="S9" i="48" s="1"/>
  <c r="T9" i="48" s="1"/>
  <c r="U9" i="48" s="1"/>
  <c r="V9" i="48" s="1"/>
  <c r="M9" i="46"/>
  <c r="O9" i="47"/>
  <c r="P9" i="47" s="1"/>
  <c r="Q9" i="47" s="1"/>
  <c r="R9" i="47" s="1"/>
  <c r="S9" i="47" s="1"/>
  <c r="T9" i="47" s="1"/>
  <c r="U9" i="47" s="1"/>
  <c r="V9" i="47" s="1"/>
  <c r="W9" i="47" s="1"/>
  <c r="X9" i="47" s="1"/>
  <c r="Y9" i="47" s="1"/>
  <c r="Z9" i="47" s="1"/>
  <c r="AA9" i="47" s="1"/>
  <c r="AB9" i="47" s="1"/>
  <c r="AC9" i="47" s="1"/>
  <c r="AD9" i="47" s="1"/>
  <c r="AE9" i="47" s="1"/>
  <c r="AF9" i="47" s="1"/>
  <c r="AG9" i="47" s="1"/>
  <c r="AH9" i="47" s="1"/>
  <c r="AI9" i="47" s="1"/>
  <c r="N9" i="46" l="1"/>
  <c r="O9" i="46" l="1"/>
  <c r="P9" i="46" s="1"/>
  <c r="Q9" i="46" s="1"/>
  <c r="R9" i="46" s="1"/>
  <c r="S9" i="46" s="1"/>
  <c r="T9" i="46" s="1"/>
  <c r="U9" i="46" l="1"/>
  <c r="V9" i="46" s="1"/>
  <c r="W9" i="46" s="1"/>
  <c r="X9" i="46" s="1"/>
  <c r="Y9" i="46" s="1"/>
  <c r="Z9" i="46" s="1"/>
  <c r="AA9" i="46" s="1"/>
  <c r="AB9" i="46" s="1"/>
  <c r="AC9" i="46" s="1"/>
  <c r="AD9" i="46" s="1"/>
  <c r="AE9" i="46" s="1"/>
  <c r="AF9" i="46" s="1"/>
  <c r="AG9" i="46" s="1"/>
  <c r="AH9" i="46" s="1"/>
  <c r="AI9" i="46" s="1"/>
  <c r="AJ9" i="46" s="1"/>
  <c r="Q935" i="32"/>
  <c r="AK9" i="46" l="1"/>
  <c r="AM9" i="46" s="1"/>
  <c r="AL9" i="46"/>
  <c r="S101" i="32"/>
  <c r="U101" i="32" l="1"/>
  <c r="AN9" i="46"/>
  <c r="AO9" i="46" s="1"/>
  <c r="AP9" i="46" s="1"/>
  <c r="AQ9" i="46" s="1"/>
  <c r="AR9" i="46" s="1"/>
  <c r="AS9" i="46" s="1"/>
  <c r="AT9" i="46" s="1"/>
  <c r="AU9" i="46" s="1"/>
  <c r="AV9" i="46" s="1"/>
  <c r="AW9" i="46" s="1"/>
  <c r="AX9" i="46" s="1"/>
  <c r="AY9" i="46" s="1"/>
  <c r="AZ9" i="46" s="1"/>
  <c r="BA9" i="46" s="1"/>
  <c r="BB9" i="46" s="1"/>
  <c r="BC9" i="46" s="1"/>
  <c r="BD9" i="46" s="1"/>
  <c r="BE9" i="46" s="1"/>
  <c r="BF9" i="46" s="1"/>
  <c r="BG9" i="46" s="1"/>
  <c r="BH9" i="46" s="1"/>
  <c r="BI9" i="46" s="1"/>
  <c r="BJ9" i="46" s="1"/>
  <c r="BK9" i="46" s="1"/>
  <c r="BL9" i="46" s="1"/>
  <c r="BM9" i="46" s="1"/>
  <c r="BN9" i="46" s="1"/>
  <c r="BO9" i="46" s="1"/>
  <c r="BP9" i="46" s="1"/>
  <c r="BQ9" i="46" s="1"/>
  <c r="BR9" i="46" s="1"/>
  <c r="BS9" i="46" s="1"/>
  <c r="BT9" i="46" s="1"/>
  <c r="BU9" i="46" s="1"/>
  <c r="BV9" i="46" s="1"/>
  <c r="BW9" i="46" s="1"/>
  <c r="BX9" i="46" s="1"/>
  <c r="BY9" i="46" s="1"/>
  <c r="S935" i="32"/>
  <c r="U935" i="32"/>
  <c r="BZ9" i="46" l="1"/>
  <c r="B864" i="32"/>
  <c r="B903" i="32"/>
  <c r="B672" i="32"/>
  <c r="B213" i="32"/>
  <c r="B135" i="32"/>
  <c r="B166" i="32"/>
  <c r="B140" i="32"/>
  <c r="B927" i="32"/>
  <c r="B604" i="32"/>
  <c r="B680" i="32"/>
  <c r="B11" i="32"/>
  <c r="B335" i="32"/>
  <c r="B366" i="32"/>
  <c r="B356" i="32"/>
  <c r="B512" i="32"/>
  <c r="B787" i="32"/>
  <c r="B493" i="32"/>
  <c r="B928" i="32"/>
  <c r="B494" i="32"/>
  <c r="B441" i="32"/>
  <c r="B529" i="32"/>
  <c r="B294" i="32"/>
  <c r="B845" i="32"/>
  <c r="B627" i="32"/>
  <c r="B626" i="32"/>
  <c r="B252" i="32"/>
  <c r="B119" i="32"/>
  <c r="B514" i="32"/>
  <c r="B515" i="32"/>
  <c r="B897" i="32"/>
  <c r="B65" i="32"/>
  <c r="B64" i="32"/>
  <c r="B219" i="32"/>
  <c r="B67" i="32"/>
  <c r="B216" i="32"/>
  <c r="B743" i="32"/>
  <c r="B603" i="32"/>
  <c r="B901" i="32"/>
  <c r="B499" i="32"/>
  <c r="B492" i="32"/>
  <c r="B739" i="32"/>
  <c r="B835" i="32"/>
  <c r="B40" i="32"/>
  <c r="B703" i="32"/>
  <c r="B894" i="32"/>
  <c r="B861" i="32"/>
  <c r="B555" i="32"/>
  <c r="B511" i="32"/>
  <c r="B618" i="32"/>
  <c r="B197" i="32"/>
  <c r="B372" i="32"/>
  <c r="B508" i="32"/>
  <c r="B202" i="32"/>
  <c r="B276" i="32"/>
  <c r="B872" i="32"/>
  <c r="B549" i="32"/>
  <c r="B824" i="32"/>
  <c r="B248" i="32"/>
  <c r="B77" i="32"/>
  <c r="B780" i="32"/>
  <c r="B628" i="32"/>
  <c r="B558" i="32"/>
  <c r="B853" i="32"/>
  <c r="B631" i="32"/>
  <c r="B774" i="32"/>
  <c r="B70" i="32"/>
  <c r="B924" i="32"/>
  <c r="B786" i="32"/>
  <c r="B663" i="32"/>
  <c r="B742" i="32"/>
  <c r="B738" i="32"/>
  <c r="B224" i="32"/>
  <c r="B895" i="32"/>
  <c r="B320" i="32"/>
  <c r="B111" i="32"/>
  <c r="B376" i="32"/>
  <c r="B42" i="32"/>
  <c r="B43" i="32"/>
  <c r="B649" i="32"/>
  <c r="B381" i="32"/>
  <c r="B896" i="32"/>
  <c r="B520" i="32"/>
  <c r="B144" i="32"/>
  <c r="B78" i="32"/>
  <c r="B218" i="32"/>
  <c r="B442" i="32"/>
  <c r="B496" i="32"/>
  <c r="B495" i="32"/>
  <c r="B412" i="32"/>
  <c r="B53" i="32"/>
  <c r="B54" i="32"/>
  <c r="B568" i="32"/>
  <c r="B567" i="32"/>
  <c r="B389" i="32"/>
  <c r="B900" i="32"/>
  <c r="B524" i="32"/>
  <c r="B704" i="32"/>
  <c r="B437" i="32"/>
  <c r="B239" i="32"/>
  <c r="B345" i="32"/>
  <c r="B434" i="32"/>
  <c r="B336" i="32"/>
  <c r="B530" i="32"/>
  <c r="B531" i="32"/>
  <c r="B332" i="32"/>
  <c r="B62" i="32"/>
  <c r="B35" i="32"/>
  <c r="B267" i="32"/>
  <c r="B870" i="32"/>
  <c r="B334" i="32"/>
  <c r="B527" i="32"/>
  <c r="B255" i="32"/>
  <c r="B526" i="32"/>
  <c r="B151" i="32"/>
  <c r="B925" i="32"/>
  <c r="B712" i="32"/>
  <c r="B647" i="32"/>
  <c r="B385" i="32"/>
  <c r="B397" i="32"/>
  <c r="B753" i="32"/>
  <c r="B428" i="32"/>
  <c r="B693" i="32"/>
  <c r="B811" i="32"/>
  <c r="B44" i="32"/>
  <c r="B479" i="32"/>
  <c r="B367" i="32"/>
  <c r="B259" i="32"/>
  <c r="B103" i="32"/>
  <c r="B737" i="32"/>
  <c r="B646" i="32"/>
  <c r="B548" i="32"/>
  <c r="B475" i="32"/>
  <c r="B522" i="32"/>
  <c r="B141" i="32"/>
  <c r="B767" i="32"/>
  <c r="B750" i="32"/>
  <c r="B215" i="32"/>
  <c r="B33" i="32"/>
  <c r="B741" i="32"/>
  <c r="B715" i="32"/>
  <c r="B796" i="32"/>
  <c r="B415" i="32"/>
  <c r="B700" i="32"/>
  <c r="B69" i="32"/>
  <c r="B836" i="32"/>
  <c r="B827" i="32"/>
  <c r="B221" i="32"/>
  <c r="B194" i="32"/>
  <c r="B794" i="32"/>
  <c r="B419" i="32"/>
  <c r="B433" i="32"/>
  <c r="B432" i="32"/>
  <c r="B161" i="32"/>
  <c r="B165" i="32"/>
  <c r="B55" i="32"/>
  <c r="B200" i="32"/>
  <c r="B534" i="32"/>
  <c r="B547" i="32"/>
  <c r="B349" i="32"/>
  <c r="B348" i="32"/>
  <c r="B705" i="32"/>
  <c r="B553" i="32"/>
  <c r="B552" i="32"/>
  <c r="B214" i="32"/>
  <c r="B150" i="32"/>
  <c r="B730" i="32"/>
  <c r="B498" i="32"/>
  <c r="B58" i="32"/>
  <c r="B876" i="32"/>
  <c r="B57" i="32"/>
  <c r="B56" i="32"/>
  <c r="B162" i="32"/>
  <c r="B24" i="11" l="1"/>
  <c r="A2" i="32" l="1"/>
  <c r="B139" i="32" l="1"/>
  <c r="B477" i="32"/>
  <c r="B414" i="32"/>
  <c r="B223" i="32"/>
  <c r="B222" i="32"/>
  <c r="B613" i="32"/>
  <c r="B76" i="32"/>
  <c r="B101" i="32"/>
  <c r="B327" i="32"/>
  <c r="B908" i="32"/>
  <c r="B357" i="32"/>
  <c r="B658" i="32"/>
  <c r="B784" i="32"/>
  <c r="B650" i="32"/>
  <c r="B848" i="32"/>
  <c r="B142" i="32"/>
  <c r="B504" i="32"/>
  <c r="B931" i="32"/>
  <c r="B426" i="32"/>
  <c r="B427" i="32"/>
  <c r="B641" i="32"/>
  <c r="B765" i="32"/>
  <c r="B408" i="32"/>
  <c r="B322" i="32"/>
  <c r="B159" i="32"/>
  <c r="B160" i="32"/>
  <c r="B642" i="32"/>
  <c r="B850" i="32"/>
  <c r="B732" i="32"/>
  <c r="B643" i="32"/>
  <c r="B429" i="32"/>
  <c r="B261" i="32"/>
  <c r="B326" i="32"/>
  <c r="B313" i="32"/>
  <c r="B66" i="32"/>
  <c r="B654" i="32"/>
  <c r="B509" i="32"/>
  <c r="B323" i="32"/>
  <c r="B893" i="32"/>
  <c r="B891" i="32"/>
  <c r="B806" i="32"/>
  <c r="B919" i="32"/>
  <c r="B625" i="32"/>
  <c r="B624" i="32"/>
  <c r="B890" i="32"/>
  <c r="B869" i="32"/>
  <c r="B923" i="32"/>
  <c r="B822" i="32"/>
  <c r="B888" i="32"/>
  <c r="B866" i="32"/>
  <c r="B478" i="32"/>
  <c r="B480" i="32"/>
  <c r="B740" i="32"/>
  <c r="B926" i="32"/>
  <c r="B790" i="32"/>
  <c r="B291" i="32"/>
  <c r="B507" i="32"/>
  <c r="B902" i="32"/>
  <c r="B431" i="32"/>
  <c r="B34" i="32"/>
  <c r="B481" i="32"/>
  <c r="B491" i="32"/>
  <c r="B630" i="32"/>
  <c r="B483" i="32"/>
  <c r="B602" i="32"/>
  <c r="B482" i="32"/>
  <c r="B346" i="32"/>
  <c r="B617" i="32"/>
  <c r="B831" i="32"/>
  <c r="B559" i="32"/>
  <c r="B837" i="32"/>
  <c r="B105" i="32"/>
  <c r="B662" i="32"/>
  <c r="B922" i="32"/>
  <c r="B403" i="32"/>
  <c r="B436" i="32"/>
  <c r="B664" i="32"/>
  <c r="B72" i="32"/>
  <c r="B506" i="32"/>
  <c r="B692" i="32"/>
  <c r="B588" i="32"/>
  <c r="B79" i="32"/>
  <c r="B785" i="32"/>
  <c r="B802" i="32"/>
  <c r="B920" i="32"/>
  <c r="B362" i="32"/>
  <c r="B899" i="32"/>
  <c r="B106" i="32"/>
  <c r="B510" i="32"/>
  <c r="B800" i="32"/>
  <c r="B635" i="32"/>
  <c r="B590" i="32"/>
  <c r="B344" i="32"/>
  <c r="B792" i="32"/>
  <c r="B616" i="32"/>
  <c r="B535" i="32"/>
  <c r="B404" i="32"/>
  <c r="B324" i="32"/>
  <c r="B883" i="32"/>
  <c r="B554" i="32"/>
  <c r="B533" i="32"/>
  <c r="B59" i="32"/>
  <c r="B60" i="32"/>
  <c r="B198" i="32"/>
  <c r="B592" i="32"/>
  <c r="B331" i="32"/>
  <c r="B591" i="32"/>
  <c r="B273" i="32"/>
  <c r="B619" i="32"/>
  <c r="B439" i="32"/>
  <c r="B867" i="32"/>
  <c r="B849" i="32"/>
  <c r="B789" i="32"/>
  <c r="B298" i="32"/>
  <c r="B550" i="32"/>
  <c r="B203" i="32"/>
  <c r="B868" i="32"/>
  <c r="B289" i="32"/>
  <c r="B540" i="32"/>
  <c r="B110" i="32"/>
  <c r="B390" i="32"/>
  <c r="B909" i="32"/>
  <c r="B758" i="32"/>
  <c r="B525" i="32"/>
  <c r="B446" i="32"/>
  <c r="B918" i="32"/>
  <c r="B917" i="32"/>
  <c r="B916" i="32"/>
  <c r="B762" i="32"/>
  <c r="B361" i="32"/>
  <c r="B614" i="32"/>
  <c r="B104" i="32"/>
  <c r="B112" i="32"/>
  <c r="B892" i="32"/>
  <c r="B212" i="32"/>
  <c r="B333" i="32"/>
  <c r="B532" i="32"/>
  <c r="B694" i="32"/>
  <c r="B513" i="32"/>
  <c r="B589" i="32"/>
  <c r="B164" i="32"/>
  <c r="B795" i="32"/>
  <c r="B71" i="32"/>
  <c r="B629" i="32"/>
  <c r="B251" i="32"/>
  <c r="B690" i="32"/>
  <c r="B497" i="32"/>
  <c r="B844" i="32"/>
  <c r="B656" i="32"/>
  <c r="B438" i="32"/>
  <c r="B528" i="32"/>
  <c r="B834" i="32"/>
  <c r="B392" i="32"/>
  <c r="B430" i="32"/>
  <c r="B41" i="32"/>
  <c r="B887" i="32"/>
  <c r="B339" i="32"/>
  <c r="B262" i="32"/>
  <c r="B73" i="32"/>
  <c r="B299" i="32"/>
  <c r="B94" i="32"/>
  <c r="B611" i="32"/>
  <c r="B843" i="32"/>
  <c r="B285" i="32"/>
  <c r="B238" i="32"/>
  <c r="B561" i="32"/>
  <c r="B343" i="32"/>
  <c r="B536" i="32"/>
  <c r="B921" i="32"/>
  <c r="B309" i="32"/>
  <c r="B788" i="32"/>
  <c r="B330" i="32"/>
  <c r="B379" i="32"/>
  <c r="B560" i="32"/>
  <c r="B779" i="32"/>
  <c r="B898" i="32"/>
  <c r="B234" i="32"/>
  <c r="B551" i="32"/>
  <c r="B842" i="32"/>
  <c r="B37" i="32"/>
  <c r="B691" i="32"/>
  <c r="B757" i="32"/>
  <c r="B661" i="32"/>
  <c r="B68" i="32"/>
  <c r="B136" i="32"/>
  <c r="B566" i="32"/>
  <c r="B889" i="32"/>
  <c r="B314" i="32"/>
  <c r="B818" i="32"/>
  <c r="B113" i="32"/>
  <c r="B440" i="32"/>
  <c r="B878" i="32"/>
  <c r="B803" i="32"/>
  <c r="B435" i="32"/>
  <c r="B814" i="32"/>
  <c r="B929" i="32"/>
  <c r="B201" i="32"/>
  <c r="B63" i="32"/>
  <c r="B217" i="32"/>
  <c r="B388" i="32"/>
  <c r="B36" i="32"/>
  <c r="B100" i="32"/>
  <c r="B830" i="32"/>
  <c r="B677" i="32"/>
  <c r="B546" i="32"/>
  <c r="B605" i="32"/>
  <c r="B250" i="32"/>
  <c r="B186" i="32"/>
  <c r="B187" i="32"/>
  <c r="B185" i="32"/>
  <c r="B505" i="32"/>
  <c r="B805" i="32"/>
  <c r="B371" i="32"/>
  <c r="B733" i="32"/>
  <c r="B615" i="32"/>
  <c r="B521" i="32"/>
  <c r="B756" i="32"/>
  <c r="B237" i="32"/>
  <c r="B833" i="32"/>
  <c r="B476" i="32"/>
  <c r="B9" i="32"/>
  <c r="C9" i="32" l="1"/>
  <c r="D9" i="32" s="1"/>
  <c r="E9" i="32" l="1"/>
  <c r="F9" i="32" l="1"/>
  <c r="M332" i="2" l="1"/>
  <c r="M574" i="2"/>
  <c r="M500" i="2"/>
  <c r="M114" i="2"/>
  <c r="M209" i="2"/>
  <c r="M474" i="2"/>
  <c r="M391" i="2"/>
  <c r="M397" i="2"/>
  <c r="M273" i="2"/>
  <c r="M135" i="2"/>
  <c r="M151" i="2"/>
  <c r="M212" i="2"/>
  <c r="M298" i="2"/>
  <c r="M343" i="2"/>
  <c r="M361" i="2"/>
  <c r="M269" i="2"/>
  <c r="M150" i="2"/>
  <c r="M566" i="2"/>
  <c r="M520" i="2"/>
  <c r="M472" i="2"/>
  <c r="M424" i="2"/>
  <c r="M554" i="2"/>
  <c r="M304" i="2"/>
  <c r="M513" i="2"/>
  <c r="M559" i="2"/>
  <c r="M470" i="2"/>
  <c r="M492" i="2"/>
  <c r="M516" i="2"/>
  <c r="M460" i="2"/>
  <c r="M277" i="2"/>
  <c r="M508" i="2"/>
  <c r="M412" i="2"/>
  <c r="M365" i="2"/>
  <c r="M320" i="2"/>
  <c r="M487" i="2"/>
  <c r="M102" i="2"/>
  <c r="M468" i="2"/>
  <c r="M562" i="2"/>
  <c r="M425" i="2"/>
  <c r="M111" i="2"/>
  <c r="M420" i="2"/>
  <c r="M438" i="2"/>
  <c r="M237" i="2"/>
  <c r="M370" i="2"/>
  <c r="M248" i="2"/>
  <c r="M288" i="2"/>
  <c r="M416" i="2"/>
  <c r="M268" i="2"/>
  <c r="M465" i="2"/>
  <c r="M116" i="2"/>
  <c r="M405" i="2"/>
  <c r="M558" i="2"/>
  <c r="M512" i="2"/>
  <c r="M427" i="2"/>
  <c r="M510" i="2"/>
  <c r="M373" i="2"/>
  <c r="M284" i="2"/>
  <c r="M481" i="2"/>
  <c r="M528" i="2"/>
  <c r="M575" i="2"/>
  <c r="M185" i="2"/>
  <c r="M119" i="2"/>
  <c r="M175" i="2"/>
  <c r="M232" i="2"/>
  <c r="M392" i="2"/>
  <c r="M533" i="2"/>
  <c r="M118" i="2"/>
  <c r="M584" i="2"/>
  <c r="M573" i="2"/>
  <c r="M155" i="2"/>
  <c r="M141" i="2"/>
  <c r="M514" i="2"/>
  <c r="M147" i="2"/>
  <c r="M274" i="2"/>
  <c r="M494" i="2"/>
  <c r="M342" i="2"/>
  <c r="M454" i="2"/>
  <c r="M350" i="2"/>
  <c r="M549" i="2"/>
  <c r="M283" i="2"/>
  <c r="M435" i="2"/>
  <c r="M518" i="2"/>
  <c r="M323" i="2"/>
  <c r="M351" i="2"/>
  <c r="M568" i="2"/>
  <c r="M309" i="2"/>
  <c r="M322" i="2"/>
  <c r="M464" i="2"/>
  <c r="M280" i="2"/>
  <c r="M324" i="2"/>
  <c r="M369" i="2"/>
  <c r="M189" i="2"/>
  <c r="M466" i="2"/>
  <c r="M389" i="2"/>
  <c r="M578" i="2"/>
  <c r="M532" i="2"/>
  <c r="M208" i="2"/>
  <c r="M377" i="2"/>
  <c r="M374" i="2"/>
  <c r="M281" i="2"/>
  <c r="M522" i="2"/>
  <c r="M367" i="2"/>
  <c r="M315" i="2"/>
  <c r="M137" i="2"/>
  <c r="M580" i="2"/>
  <c r="M216" i="2"/>
  <c r="M312" i="2"/>
  <c r="M515" i="2"/>
  <c r="M202" i="2"/>
  <c r="M550" i="2"/>
  <c r="M469" i="2"/>
  <c r="M517" i="2"/>
  <c r="M563" i="2"/>
  <c r="M387" i="2"/>
  <c r="M253" i="2"/>
  <c r="M254" i="2"/>
  <c r="M436" i="2"/>
  <c r="M299" i="2"/>
  <c r="M131" i="2"/>
  <c r="M286" i="2"/>
  <c r="M275" i="2"/>
  <c r="M423" i="2"/>
  <c r="M503" i="2"/>
  <c r="M276" i="2"/>
  <c r="M238" i="2"/>
  <c r="M247" i="2"/>
  <c r="M134" i="2"/>
  <c r="M264" i="2"/>
  <c r="M138" i="2"/>
  <c r="M194" i="2"/>
  <c r="M143" i="2"/>
  <c r="M206" i="2"/>
  <c r="M380" i="2"/>
  <c r="M109" i="2"/>
  <c r="M156" i="2"/>
  <c r="M203" i="2"/>
  <c r="M250" i="2"/>
  <c r="M398" i="2"/>
  <c r="M327" i="2"/>
  <c r="M368" i="2"/>
  <c r="M498" i="2"/>
  <c r="M399" i="2"/>
  <c r="M328" i="2"/>
  <c r="M459" i="2"/>
  <c r="M527" i="2"/>
  <c r="M400" i="2"/>
  <c r="M326" i="2"/>
  <c r="M394" i="2"/>
  <c r="M433" i="2"/>
  <c r="M434" i="2"/>
  <c r="M337" i="2"/>
  <c r="M338" i="2"/>
  <c r="M187" i="2"/>
  <c r="M103" i="2"/>
  <c r="M139" i="2"/>
  <c r="M186" i="2"/>
  <c r="M193" i="2"/>
  <c r="M409" i="2"/>
  <c r="M561" i="2"/>
  <c r="M144" i="2"/>
  <c r="M191" i="2"/>
  <c r="M287" i="2"/>
  <c r="M442" i="2"/>
  <c r="M355" i="2"/>
  <c r="M557" i="2"/>
  <c r="M386" i="2"/>
  <c r="M443" i="2"/>
  <c r="M526" i="2"/>
  <c r="M316" i="2"/>
  <c r="M220" i="2"/>
  <c r="M497" i="2"/>
  <c r="M543" i="2"/>
  <c r="M432" i="2"/>
  <c r="M413" i="2"/>
  <c r="M182" i="2"/>
  <c r="M167" i="2"/>
  <c r="M530" i="2"/>
  <c r="M321" i="2"/>
  <c r="M305" i="2"/>
  <c r="M192" i="2"/>
  <c r="M123" i="2"/>
  <c r="M179" i="2"/>
  <c r="M222" i="2"/>
  <c r="M329" i="2"/>
  <c r="M278" i="2"/>
  <c r="M358" i="2"/>
  <c r="M482" i="2"/>
  <c r="M484" i="2"/>
  <c r="M449" i="2"/>
  <c r="M122" i="2"/>
  <c r="M301" i="2"/>
  <c r="M263" i="2"/>
  <c r="M410" i="2"/>
  <c r="M411" i="2"/>
  <c r="M429" i="2"/>
  <c r="M477" i="2"/>
  <c r="M525" i="2"/>
  <c r="M388" i="2"/>
  <c r="M126" i="2"/>
  <c r="M146" i="2"/>
  <c r="M195" i="2"/>
  <c r="M160" i="2"/>
  <c r="M207" i="2"/>
  <c r="M519" i="2"/>
  <c r="M495" i="2"/>
  <c r="M476" i="2"/>
  <c r="M128" i="2"/>
  <c r="M153" i="2"/>
  <c r="M221" i="2"/>
  <c r="M540" i="2"/>
  <c r="M200" i="2"/>
  <c r="M101" i="2"/>
  <c r="M290" i="2"/>
  <c r="M486" i="2"/>
  <c r="M507" i="2"/>
  <c r="M426" i="2"/>
  <c r="M467" i="2"/>
  <c r="M117" i="2"/>
  <c r="M307" i="2"/>
  <c r="M279" i="2"/>
  <c r="M511" i="2"/>
  <c r="M308" i="2"/>
  <c r="M478" i="2"/>
  <c r="M473" i="2"/>
  <c r="M521" i="2"/>
  <c r="M567" i="2"/>
  <c r="M125" i="2"/>
  <c r="M235" i="2"/>
  <c r="M480" i="2"/>
  <c r="M215" i="2"/>
  <c r="M339" i="2"/>
  <c r="M571" i="2"/>
  <c r="M104" i="2"/>
  <c r="M154" i="2"/>
  <c r="M170" i="2"/>
  <c r="M201" i="2"/>
  <c r="M204" i="2"/>
  <c r="M291" i="2"/>
  <c r="M385" i="2"/>
  <c r="M226" i="2"/>
  <c r="M499" i="2"/>
  <c r="M174" i="2"/>
  <c r="M352" i="2"/>
  <c r="M236" i="2"/>
  <c r="M165" i="2"/>
  <c r="M110" i="2"/>
  <c r="M166" i="2"/>
  <c r="M314" i="2"/>
  <c r="M560" i="2"/>
  <c r="M346" i="2"/>
  <c r="M437" i="2"/>
  <c r="M485" i="2"/>
  <c r="M531" i="2"/>
  <c r="M579" i="2"/>
  <c r="M197" i="2"/>
  <c r="M225" i="2"/>
  <c r="M453" i="2"/>
  <c r="M501" i="2"/>
  <c r="M547" i="2"/>
  <c r="M306" i="2"/>
  <c r="M344" i="2"/>
  <c r="M353" i="2"/>
  <c r="M243" i="2"/>
  <c r="M249" i="2"/>
  <c r="M318" i="2"/>
  <c r="O574" i="2"/>
  <c r="M148" i="2"/>
  <c r="M242" i="2"/>
  <c r="M271" i="2"/>
  <c r="M419" i="2"/>
  <c r="M496" i="2"/>
  <c r="M577" i="2"/>
  <c r="M311" i="2"/>
  <c r="M340" i="2"/>
  <c r="M272" i="2"/>
  <c r="M457" i="2"/>
  <c r="M505" i="2"/>
  <c r="M551" i="2"/>
  <c r="M379" i="2"/>
  <c r="M252" i="2"/>
  <c r="M127" i="2"/>
  <c r="M553" i="2"/>
  <c r="M169" i="2"/>
  <c r="M255" i="2"/>
  <c r="M214" i="2"/>
  <c r="M158" i="2"/>
  <c r="M341" i="2"/>
  <c r="M479" i="2"/>
  <c r="M348" i="2"/>
  <c r="M302" i="2"/>
  <c r="M546" i="2"/>
  <c r="M384" i="2"/>
  <c r="M105" i="2"/>
  <c r="M152" i="2"/>
  <c r="M199" i="2"/>
  <c r="M246" i="2"/>
  <c r="M455" i="2"/>
  <c r="M536" i="2"/>
  <c r="M372" i="2"/>
  <c r="M267" i="2"/>
  <c r="M415" i="2"/>
  <c r="M570" i="2"/>
  <c r="M297" i="2"/>
  <c r="M456" i="2"/>
  <c r="M537" i="2"/>
  <c r="M506" i="2"/>
  <c r="M461" i="2"/>
  <c r="M509" i="2"/>
  <c r="M555" i="2"/>
  <c r="M130" i="2"/>
  <c r="M335" i="2"/>
  <c r="M113" i="2"/>
  <c r="M282" i="2"/>
  <c r="M261" i="2"/>
  <c r="M196" i="2"/>
  <c r="M198" i="2"/>
  <c r="M383" i="2"/>
  <c r="M262" i="2"/>
  <c r="M418" i="2"/>
  <c r="M393" i="2"/>
  <c r="M168" i="2"/>
  <c r="M293" i="2"/>
  <c r="M447" i="2"/>
  <c r="M213" i="2"/>
  <c r="M218" i="2"/>
  <c r="M295" i="2"/>
  <c r="M452" i="2"/>
  <c r="M345" i="2"/>
  <c r="M572" i="2"/>
  <c r="M395" i="2"/>
  <c r="M257" i="2"/>
  <c r="M108" i="2"/>
  <c r="M178" i="2"/>
  <c r="M289" i="2"/>
  <c r="M378" i="2"/>
  <c r="M545" i="2"/>
  <c r="M107" i="2"/>
  <c r="M224" i="2"/>
  <c r="M330" i="2"/>
  <c r="M228" i="2"/>
  <c r="M375" i="2"/>
  <c r="M303" i="2"/>
  <c r="M402" i="2"/>
  <c r="M129" i="2"/>
  <c r="M176" i="2"/>
  <c r="M223" i="2"/>
  <c r="M319" i="2"/>
  <c r="M542" i="2"/>
  <c r="M292" i="2"/>
  <c r="M390" i="2"/>
  <c r="M450" i="2"/>
  <c r="M582" i="2"/>
  <c r="M347" i="2"/>
  <c r="M244" i="2"/>
  <c r="M159" i="2"/>
  <c r="M440" i="2"/>
  <c r="M422" i="2"/>
  <c r="M112" i="2"/>
  <c r="M256" i="2"/>
  <c r="M164" i="2"/>
  <c r="M333" i="2"/>
  <c r="M334" i="2"/>
  <c r="M534" i="2"/>
  <c r="M448" i="2"/>
  <c r="M381" i="2"/>
  <c r="M451" i="2"/>
  <c r="M362" i="2"/>
  <c r="M502" i="2"/>
  <c r="M162" i="2"/>
  <c r="M172" i="2"/>
  <c r="M363" i="2"/>
  <c r="M296" i="2"/>
  <c r="M364" i="2"/>
  <c r="M177" i="2"/>
  <c r="M404" i="2"/>
  <c r="M241" i="2"/>
  <c r="M210" i="2"/>
  <c r="M529" i="2"/>
  <c r="M149" i="2"/>
  <c r="M229" i="2"/>
  <c r="M181" i="2"/>
  <c r="M408" i="2"/>
  <c r="M357" i="2"/>
  <c r="M258" i="2"/>
  <c r="M354" i="2"/>
  <c r="M475" i="2"/>
  <c r="M556" i="2"/>
  <c r="M132" i="2"/>
  <c r="M180" i="2"/>
  <c r="M227" i="2"/>
  <c r="M504" i="2"/>
  <c r="M581" i="2"/>
  <c r="M471" i="2"/>
  <c r="M552" i="2"/>
  <c r="M441" i="2"/>
  <c r="M489" i="2"/>
  <c r="M535" i="2"/>
  <c r="M239" i="2"/>
  <c r="M211" i="2"/>
  <c r="M428" i="2"/>
  <c r="M583" i="2"/>
  <c r="M142" i="2"/>
  <c r="M439" i="2"/>
  <c r="M121" i="2"/>
  <c r="M106" i="2"/>
  <c r="M462" i="2"/>
  <c r="M219" i="2"/>
  <c r="M524" i="2"/>
  <c r="M421" i="2"/>
  <c r="M396" i="2"/>
  <c r="M161" i="2"/>
  <c r="M217" i="2"/>
  <c r="M313" i="2"/>
  <c r="M245" i="2"/>
  <c r="M115" i="2"/>
  <c r="M171" i="2"/>
  <c r="M120" i="2"/>
  <c r="M233" i="2"/>
  <c r="M231" i="2"/>
  <c r="M133" i="2"/>
  <c r="M317" i="2"/>
  <c r="M417" i="2"/>
  <c r="M366" i="2"/>
  <c r="M349" i="2"/>
  <c r="M310" i="2"/>
  <c r="M136" i="2"/>
  <c r="M184" i="2"/>
  <c r="M230" i="2"/>
  <c r="M376" i="2"/>
  <c r="M259" i="2"/>
  <c r="M406" i="2"/>
  <c r="M300" i="2"/>
  <c r="M463" i="2"/>
  <c r="M544" i="2"/>
  <c r="M430" i="2"/>
  <c r="M260" i="2"/>
  <c r="M407" i="2"/>
  <c r="M445" i="2"/>
  <c r="M493" i="2"/>
  <c r="M539" i="2"/>
  <c r="M294" i="2"/>
  <c r="M190" i="2"/>
  <c r="M523" i="2"/>
  <c r="M382" i="2"/>
  <c r="M163" i="2"/>
  <c r="M446" i="2"/>
  <c r="M270" i="2"/>
  <c r="M431" i="2"/>
  <c r="M576" i="2"/>
  <c r="M173" i="2"/>
  <c r="M538" i="2"/>
  <c r="M157" i="2"/>
  <c r="M251" i="2"/>
  <c r="M285" i="2"/>
  <c r="M490" i="2"/>
  <c r="M336" i="2"/>
  <c r="M491" i="2"/>
  <c r="M458" i="2"/>
  <c r="M265" i="2"/>
  <c r="M541" i="2"/>
  <c r="M444" i="2"/>
  <c r="M124" i="2"/>
  <c r="M183" i="2"/>
  <c r="M356" i="2"/>
  <c r="M205" i="2"/>
  <c r="M145" i="2"/>
  <c r="M371" i="2"/>
  <c r="M240" i="2"/>
  <c r="M325" i="2"/>
  <c r="M401" i="2"/>
  <c r="M548" i="2"/>
  <c r="M266" i="2"/>
  <c r="M414" i="2"/>
  <c r="M488" i="2"/>
  <c r="M569" i="2"/>
  <c r="M140" i="2"/>
  <c r="M188" i="2"/>
  <c r="M234" i="2"/>
  <c r="M331" i="2"/>
  <c r="M359" i="2"/>
  <c r="M483" i="2"/>
  <c r="M564" i="2"/>
  <c r="M403" i="2"/>
  <c r="M360" i="2"/>
  <c r="M565" i="2"/>
  <c r="H9" i="32"/>
  <c r="M82" i="2"/>
  <c r="M70" i="2"/>
  <c r="M58" i="2"/>
  <c r="M80" i="2"/>
  <c r="M63" i="2"/>
  <c r="M72" i="2"/>
  <c r="M18" i="2"/>
  <c r="M34" i="2"/>
  <c r="M76" i="2"/>
  <c r="M21" i="2"/>
  <c r="M53" i="2"/>
  <c r="M24" i="2"/>
  <c r="M88" i="2"/>
  <c r="M29" i="2"/>
  <c r="M40" i="2"/>
  <c r="M54" i="2"/>
  <c r="M19" i="2"/>
  <c r="M585" i="2"/>
  <c r="M90" i="2"/>
  <c r="M30" i="2"/>
  <c r="M98" i="2"/>
  <c r="M65" i="2"/>
  <c r="M99" i="2"/>
  <c r="M49" i="2"/>
  <c r="M96" i="2"/>
  <c r="M73" i="2"/>
  <c r="M28" i="2"/>
  <c r="M45" i="2"/>
  <c r="M586" i="2"/>
  <c r="M17" i="2"/>
  <c r="M86" i="2"/>
  <c r="M93" i="2"/>
  <c r="M56" i="2"/>
  <c r="M43" i="2"/>
  <c r="M44" i="2"/>
  <c r="M84" i="2"/>
  <c r="M83" i="2"/>
  <c r="M75" i="2"/>
  <c r="M41" i="2"/>
  <c r="M89" i="2"/>
  <c r="M16" i="2"/>
  <c r="M85" i="2"/>
  <c r="M79" i="2"/>
  <c r="M35" i="2"/>
  <c r="M20" i="2"/>
  <c r="M50" i="2"/>
  <c r="M25" i="2"/>
  <c r="M68" i="2"/>
  <c r="M31" i="2"/>
  <c r="M94" i="2"/>
  <c r="M60" i="2"/>
  <c r="M13" i="2"/>
  <c r="M69" i="2"/>
  <c r="M22" i="2"/>
  <c r="M46" i="2"/>
  <c r="M23" i="2"/>
  <c r="M87" i="2"/>
  <c r="M33" i="2"/>
  <c r="M67" i="2"/>
  <c r="M62" i="2"/>
  <c r="M64" i="2"/>
  <c r="M32" i="2"/>
  <c r="M66" i="2"/>
  <c r="M26" i="2"/>
  <c r="M92" i="2"/>
  <c r="M97" i="2"/>
  <c r="M91" i="2"/>
  <c r="M15" i="2"/>
  <c r="M77" i="2"/>
  <c r="M587" i="2"/>
  <c r="M27" i="2"/>
  <c r="M42" i="2"/>
  <c r="M57" i="2"/>
  <c r="M48" i="2"/>
  <c r="M14" i="2"/>
  <c r="M81" i="2"/>
  <c r="M38" i="2"/>
  <c r="M78" i="2"/>
  <c r="M36" i="2"/>
  <c r="M74" i="2"/>
  <c r="M52" i="2"/>
  <c r="M71" i="2"/>
  <c r="M55" i="2"/>
  <c r="M95" i="2"/>
  <c r="M61" i="2"/>
  <c r="M100" i="2"/>
  <c r="M51" i="2"/>
  <c r="M37" i="2"/>
  <c r="M47" i="2"/>
  <c r="M59" i="2"/>
  <c r="M39" i="2"/>
  <c r="M12" i="2"/>
  <c r="M11" i="2"/>
  <c r="O332" i="2" l="1"/>
  <c r="O209" i="2"/>
  <c r="O474" i="2"/>
  <c r="O500" i="2"/>
  <c r="O391" i="2"/>
  <c r="O212" i="2"/>
  <c r="O298" i="2"/>
  <c r="O151" i="2"/>
  <c r="O135" i="2"/>
  <c r="O397" i="2"/>
  <c r="O273" i="2"/>
  <c r="O269" i="2"/>
  <c r="O114" i="2"/>
  <c r="O361" i="2"/>
  <c r="O343" i="2"/>
  <c r="O150" i="2"/>
  <c r="O566" i="2"/>
  <c r="O424" i="2"/>
  <c r="O472" i="2"/>
  <c r="O520" i="2"/>
  <c r="O559" i="2"/>
  <c r="O554" i="2"/>
  <c r="O304" i="2"/>
  <c r="O192" i="2"/>
  <c r="O265" i="2"/>
  <c r="O406" i="2"/>
  <c r="O502" i="2"/>
  <c r="O402" i="2"/>
  <c r="O447" i="2"/>
  <c r="O113" i="2"/>
  <c r="O485" i="2"/>
  <c r="O235" i="2"/>
  <c r="O426" i="2"/>
  <c r="O519" i="2"/>
  <c r="O222" i="2"/>
  <c r="O543" i="2"/>
  <c r="O144" i="2"/>
  <c r="O250" i="2"/>
  <c r="O238" i="2"/>
  <c r="O254" i="2"/>
  <c r="O580" i="2"/>
  <c r="O389" i="2"/>
  <c r="O141" i="2"/>
  <c r="O528" i="2"/>
  <c r="O268" i="2"/>
  <c r="O102" i="2"/>
  <c r="O513" i="2"/>
  <c r="O565" i="2"/>
  <c r="O569" i="2"/>
  <c r="O538" i="2"/>
  <c r="O462" i="2"/>
  <c r="O535" i="2"/>
  <c r="O419" i="2"/>
  <c r="O437" i="2"/>
  <c r="O385" i="2"/>
  <c r="O125" i="2"/>
  <c r="O507" i="2"/>
  <c r="O207" i="2"/>
  <c r="O410" i="2"/>
  <c r="O561" i="2"/>
  <c r="O394" i="2"/>
  <c r="O203" i="2"/>
  <c r="O137" i="2"/>
  <c r="O466" i="2"/>
  <c r="O518" i="2"/>
  <c r="O155" i="2"/>
  <c r="O481" i="2"/>
  <c r="O487" i="2"/>
  <c r="O290" i="2"/>
  <c r="O541" i="2"/>
  <c r="O101" i="2"/>
  <c r="O526" i="2"/>
  <c r="O510" i="2"/>
  <c r="O294" i="2"/>
  <c r="O106" i="2"/>
  <c r="O451" i="2"/>
  <c r="O536" i="2"/>
  <c r="O365" i="2"/>
  <c r="O346" i="2"/>
  <c r="O291" i="2"/>
  <c r="O567" i="2"/>
  <c r="O486" i="2"/>
  <c r="O160" i="2"/>
  <c r="O263" i="2"/>
  <c r="O220" i="2"/>
  <c r="O409" i="2"/>
  <c r="O276" i="2"/>
  <c r="O387" i="2"/>
  <c r="O315" i="2"/>
  <c r="O189" i="2"/>
  <c r="O435" i="2"/>
  <c r="O455" i="2"/>
  <c r="O560" i="2"/>
  <c r="O301" i="2"/>
  <c r="O109" i="2"/>
  <c r="O549" i="2"/>
  <c r="O395" i="2"/>
  <c r="O461" i="2"/>
  <c r="O170" i="2"/>
  <c r="O478" i="2"/>
  <c r="O200" i="2"/>
  <c r="O126" i="2"/>
  <c r="O443" i="2"/>
  <c r="O186" i="2"/>
  <c r="O459" i="2"/>
  <c r="O206" i="2"/>
  <c r="O469" i="2"/>
  <c r="O281" i="2"/>
  <c r="O280" i="2"/>
  <c r="O350" i="2"/>
  <c r="O533" i="2"/>
  <c r="O427" i="2"/>
  <c r="O508" i="2"/>
  <c r="O401" i="2"/>
  <c r="O458" i="2"/>
  <c r="O446" i="2"/>
  <c r="O407" i="2"/>
  <c r="O408" i="2"/>
  <c r="O107" i="2"/>
  <c r="O572" i="2"/>
  <c r="O383" i="2"/>
  <c r="O506" i="2"/>
  <c r="O505" i="2"/>
  <c r="O453" i="2"/>
  <c r="O110" i="2"/>
  <c r="O308" i="2"/>
  <c r="O540" i="2"/>
  <c r="O388" i="2"/>
  <c r="O139" i="2"/>
  <c r="O328" i="2"/>
  <c r="O143" i="2"/>
  <c r="O275" i="2"/>
  <c r="O550" i="2"/>
  <c r="O374" i="2"/>
  <c r="O464" i="2"/>
  <c r="O454" i="2"/>
  <c r="O392" i="2"/>
  <c r="O438" i="2"/>
  <c r="O277" i="2"/>
  <c r="O441" i="2"/>
  <c r="O108" i="2"/>
  <c r="O584" i="2"/>
  <c r="O450" i="2"/>
  <c r="O509" i="2"/>
  <c r="O324" i="2"/>
  <c r="O504" i="2"/>
  <c r="O112" i="2"/>
  <c r="O537" i="2"/>
  <c r="O457" i="2"/>
  <c r="O225" i="2"/>
  <c r="O104" i="2"/>
  <c r="O511" i="2"/>
  <c r="O525" i="2"/>
  <c r="O557" i="2"/>
  <c r="O103" i="2"/>
  <c r="O399" i="2"/>
  <c r="O194" i="2"/>
  <c r="O322" i="2"/>
  <c r="O342" i="2"/>
  <c r="O232" i="2"/>
  <c r="O420" i="2"/>
  <c r="O460" i="2"/>
  <c r="O393" i="2"/>
  <c r="O283" i="2"/>
  <c r="O517" i="2"/>
  <c r="O445" i="2"/>
  <c r="O404" i="2"/>
  <c r="O456" i="2"/>
  <c r="O197" i="2"/>
  <c r="O571" i="2"/>
  <c r="O279" i="2"/>
  <c r="O153" i="2"/>
  <c r="O482" i="2"/>
  <c r="O167" i="2"/>
  <c r="O355" i="2"/>
  <c r="O187" i="2"/>
  <c r="O498" i="2"/>
  <c r="O138" i="2"/>
  <c r="O131" i="2"/>
  <c r="O202" i="2"/>
  <c r="O377" i="2"/>
  <c r="O494" i="2"/>
  <c r="O516" i="2"/>
  <c r="O576" i="2"/>
  <c r="O431" i="2"/>
  <c r="O314" i="2"/>
  <c r="O146" i="2"/>
  <c r="O193" i="2"/>
  <c r="O370" i="2"/>
  <c r="O430" i="2"/>
  <c r="O417" i="2"/>
  <c r="O396" i="2"/>
  <c r="O428" i="2"/>
  <c r="O105" i="2"/>
  <c r="O352" i="2"/>
  <c r="O339" i="2"/>
  <c r="O358" i="2"/>
  <c r="O182" i="2"/>
  <c r="O442" i="2"/>
  <c r="O338" i="2"/>
  <c r="O368" i="2"/>
  <c r="O264" i="2"/>
  <c r="O515" i="2"/>
  <c r="O208" i="2"/>
  <c r="O568" i="2"/>
  <c r="O274" i="2"/>
  <c r="O119" i="2"/>
  <c r="O405" i="2"/>
  <c r="O425" i="2"/>
  <c r="O492" i="2"/>
  <c r="O418" i="2"/>
  <c r="O527" i="2"/>
  <c r="O452" i="2"/>
  <c r="O421" i="2"/>
  <c r="O529" i="2"/>
  <c r="O448" i="2"/>
  <c r="O422" i="2"/>
  <c r="O570" i="2"/>
  <c r="O384" i="2"/>
  <c r="O579" i="2"/>
  <c r="O117" i="2"/>
  <c r="O476" i="2"/>
  <c r="O278" i="2"/>
  <c r="O413" i="2"/>
  <c r="O287" i="2"/>
  <c r="O337" i="2"/>
  <c r="O134" i="2"/>
  <c r="O312" i="2"/>
  <c r="O532" i="2"/>
  <c r="O147" i="2"/>
  <c r="O185" i="2"/>
  <c r="O116" i="2"/>
  <c r="O562" i="2"/>
  <c r="O470" i="2"/>
  <c r="O414" i="2"/>
  <c r="O444" i="2"/>
  <c r="O539" i="2"/>
  <c r="O521" i="2"/>
  <c r="O195" i="2"/>
  <c r="O316" i="2"/>
  <c r="O400" i="2"/>
  <c r="O563" i="2"/>
  <c r="O367" i="2"/>
  <c r="O373" i="2"/>
  <c r="O115" i="2"/>
  <c r="O439" i="2"/>
  <c r="O122" i="2"/>
  <c r="O305" i="2"/>
  <c r="O412" i="2"/>
  <c r="O403" i="2"/>
  <c r="O390" i="2"/>
  <c r="O523" i="2"/>
  <c r="O524" i="2"/>
  <c r="O534" i="2"/>
  <c r="O440" i="2"/>
  <c r="O415" i="2"/>
  <c r="O577" i="2"/>
  <c r="O531" i="2"/>
  <c r="O499" i="2"/>
  <c r="O467" i="2"/>
  <c r="O411" i="2"/>
  <c r="O329" i="2"/>
  <c r="O432" i="2"/>
  <c r="O434" i="2"/>
  <c r="O398" i="2"/>
  <c r="O247" i="2"/>
  <c r="O436" i="2"/>
  <c r="O578" i="2"/>
  <c r="O351" i="2"/>
  <c r="O514" i="2"/>
  <c r="O575" i="2"/>
  <c r="O468" i="2"/>
  <c r="O111" i="2"/>
  <c r="O320" i="2"/>
  <c r="O288" i="2"/>
  <c r="O237" i="2"/>
  <c r="O118" i="2"/>
  <c r="O558" i="2"/>
  <c r="O416" i="2"/>
  <c r="O284" i="2"/>
  <c r="O248" i="2"/>
  <c r="O465" i="2"/>
  <c r="O175" i="2"/>
  <c r="O309" i="2"/>
  <c r="O512" i="2"/>
  <c r="O573" i="2"/>
  <c r="O369" i="2"/>
  <c r="O323" i="2"/>
  <c r="O123" i="2"/>
  <c r="O326" i="2"/>
  <c r="O179" i="2"/>
  <c r="O522" i="2"/>
  <c r="O253" i="2"/>
  <c r="O216" i="2"/>
  <c r="O166" i="2"/>
  <c r="O497" i="2"/>
  <c r="O321" i="2"/>
  <c r="O286" i="2"/>
  <c r="O477" i="2"/>
  <c r="O327" i="2"/>
  <c r="O299" i="2"/>
  <c r="O191" i="2"/>
  <c r="O480" i="2"/>
  <c r="O215" i="2"/>
  <c r="O423" i="2"/>
  <c r="O156" i="2"/>
  <c r="O503" i="2"/>
  <c r="O473" i="2"/>
  <c r="O530" i="2"/>
  <c r="O484" i="2"/>
  <c r="O380" i="2"/>
  <c r="O386" i="2"/>
  <c r="O433" i="2"/>
  <c r="O204" i="2"/>
  <c r="O449" i="2"/>
  <c r="O221" i="2"/>
  <c r="O174" i="2"/>
  <c r="O154" i="2"/>
  <c r="O236" i="2"/>
  <c r="O495" i="2"/>
  <c r="O165" i="2"/>
  <c r="O429" i="2"/>
  <c r="O307" i="2"/>
  <c r="O201" i="2"/>
  <c r="O128" i="2"/>
  <c r="O226" i="2"/>
  <c r="O183" i="2"/>
  <c r="O260" i="2"/>
  <c r="O292" i="2"/>
  <c r="O257" i="2"/>
  <c r="O255" i="2"/>
  <c r="O344" i="2"/>
  <c r="O285" i="2"/>
  <c r="O310" i="2"/>
  <c r="O210" i="2"/>
  <c r="O169" i="2"/>
  <c r="O548" i="2"/>
  <c r="O488" i="2"/>
  <c r="O227" i="2"/>
  <c r="O266" i="2"/>
  <c r="O493" i="2"/>
  <c r="O120" i="2"/>
  <c r="O582" i="2"/>
  <c r="O295" i="2"/>
  <c r="O564" i="2"/>
  <c r="O205" i="2"/>
  <c r="O491" i="2"/>
  <c r="O230" i="2"/>
  <c r="O171" i="2"/>
  <c r="O142" i="2"/>
  <c r="O239" i="2"/>
  <c r="O556" i="2"/>
  <c r="O375" i="2"/>
  <c r="O378" i="2"/>
  <c r="O218" i="2"/>
  <c r="O335" i="2"/>
  <c r="O555" i="2"/>
  <c r="O372" i="2"/>
  <c r="O252" i="2"/>
  <c r="O178" i="2"/>
  <c r="O302" i="2"/>
  <c r="O583" i="2"/>
  <c r="O379" i="2"/>
  <c r="O306" i="2"/>
  <c r="O331" i="2"/>
  <c r="O251" i="2"/>
  <c r="O489" i="2"/>
  <c r="O240" i="2"/>
  <c r="O173" i="2"/>
  <c r="O162" i="2"/>
  <c r="O145" i="2"/>
  <c r="O376" i="2"/>
  <c r="O219" i="2"/>
  <c r="O132" i="2"/>
  <c r="O149" i="2"/>
  <c r="O362" i="2"/>
  <c r="O256" i="2"/>
  <c r="O303" i="2"/>
  <c r="O267" i="2"/>
  <c r="O311" i="2"/>
  <c r="O483" i="2"/>
  <c r="O356" i="2"/>
  <c r="O336" i="2"/>
  <c r="O382" i="2"/>
  <c r="O184" i="2"/>
  <c r="O475" i="2"/>
  <c r="O228" i="2"/>
  <c r="O289" i="2"/>
  <c r="O213" i="2"/>
  <c r="O262" i="2"/>
  <c r="O546" i="2"/>
  <c r="O214" i="2"/>
  <c r="O496" i="2"/>
  <c r="O318" i="2"/>
  <c r="O243" i="2"/>
  <c r="O490" i="2"/>
  <c r="O245" i="2"/>
  <c r="O124" i="2"/>
  <c r="O349" i="2"/>
  <c r="O334" i="2"/>
  <c r="O330" i="2"/>
  <c r="O553" i="2"/>
  <c r="O234" i="2"/>
  <c r="O270" i="2"/>
  <c r="O190" i="2"/>
  <c r="O313" i="2"/>
  <c r="O211" i="2"/>
  <c r="O364" i="2"/>
  <c r="O198" i="2"/>
  <c r="O246" i="2"/>
  <c r="O551" i="2"/>
  <c r="O479" i="2"/>
  <c r="O140" i="2"/>
  <c r="O163" i="2"/>
  <c r="O463" i="2"/>
  <c r="O317" i="2"/>
  <c r="O161" i="2"/>
  <c r="O471" i="2"/>
  <c r="O363" i="2"/>
  <c r="O223" i="2"/>
  <c r="O345" i="2"/>
  <c r="O130" i="2"/>
  <c r="O152" i="2"/>
  <c r="O341" i="2"/>
  <c r="O353" i="2"/>
  <c r="O547" i="2"/>
  <c r="O177" i="2"/>
  <c r="O261" i="2"/>
  <c r="O348" i="2"/>
  <c r="O271" i="2"/>
  <c r="O282" i="2"/>
  <c r="O157" i="2"/>
  <c r="O366" i="2"/>
  <c r="O333" i="2"/>
  <c r="O244" i="2"/>
  <c r="O224" i="2"/>
  <c r="O242" i="2"/>
  <c r="O188" i="2"/>
  <c r="O544" i="2"/>
  <c r="O217" i="2"/>
  <c r="O552" i="2"/>
  <c r="O357" i="2"/>
  <c r="O296" i="2"/>
  <c r="O319" i="2"/>
  <c r="O196" i="2"/>
  <c r="O199" i="2"/>
  <c r="O360" i="2"/>
  <c r="O325" i="2"/>
  <c r="O300" i="2"/>
  <c r="O133" i="2"/>
  <c r="O121" i="2"/>
  <c r="O581" i="2"/>
  <c r="O181" i="2"/>
  <c r="O172" i="2"/>
  <c r="O176" i="2"/>
  <c r="O297" i="2"/>
  <c r="O148" i="2"/>
  <c r="O501" i="2"/>
  <c r="O359" i="2"/>
  <c r="O136" i="2"/>
  <c r="O354" i="2"/>
  <c r="O258" i="2"/>
  <c r="O542" i="2"/>
  <c r="O231" i="2"/>
  <c r="O241" i="2"/>
  <c r="O381" i="2"/>
  <c r="O159" i="2"/>
  <c r="O129" i="2"/>
  <c r="O545" i="2"/>
  <c r="O293" i="2"/>
  <c r="O158" i="2"/>
  <c r="O127" i="2"/>
  <c r="O272" i="2"/>
  <c r="O371" i="2"/>
  <c r="O259" i="2"/>
  <c r="O233" i="2"/>
  <c r="O180" i="2"/>
  <c r="O229" i="2"/>
  <c r="O164" i="2"/>
  <c r="O347" i="2"/>
  <c r="O168" i="2"/>
  <c r="O340" i="2"/>
  <c r="O249" i="2"/>
  <c r="I9" i="32"/>
  <c r="J9" i="32" s="1"/>
  <c r="K9" i="32" s="1"/>
  <c r="L9" i="32" s="1"/>
  <c r="O71" i="2"/>
  <c r="O52" i="2"/>
  <c r="O17" i="2"/>
  <c r="O98" i="2"/>
  <c r="O62" i="2"/>
  <c r="O31" i="2"/>
  <c r="O586" i="2"/>
  <c r="O30" i="2"/>
  <c r="O76" i="2"/>
  <c r="O60" i="2"/>
  <c r="O85" i="2"/>
  <c r="O84" i="2"/>
  <c r="O58" i="2"/>
  <c r="O14" i="2"/>
  <c r="O33" i="2"/>
  <c r="O93" i="2"/>
  <c r="O37" i="2"/>
  <c r="O28" i="2"/>
  <c r="O90" i="2"/>
  <c r="O72" i="2"/>
  <c r="O82" i="2"/>
  <c r="O61" i="2"/>
  <c r="O86" i="2"/>
  <c r="O27" i="2"/>
  <c r="O42" i="2"/>
  <c r="O66" i="2"/>
  <c r="O89" i="2"/>
  <c r="O73" i="2"/>
  <c r="O99" i="2"/>
  <c r="O54" i="2"/>
  <c r="O67" i="2"/>
  <c r="O59" i="2"/>
  <c r="O51" i="2"/>
  <c r="O36" i="2"/>
  <c r="O63" i="2"/>
  <c r="O56" i="2"/>
  <c r="O77" i="2"/>
  <c r="O91" i="2"/>
  <c r="O75" i="2"/>
  <c r="O24" i="2"/>
  <c r="O53" i="2"/>
  <c r="O70" i="2"/>
  <c r="O80" i="2"/>
  <c r="O34" i="2"/>
  <c r="O21" i="2"/>
  <c r="O18" i="2"/>
  <c r="O19" i="2"/>
  <c r="O88" i="2"/>
  <c r="O40" i="2"/>
  <c r="O29" i="2"/>
  <c r="O585" i="2"/>
  <c r="O65" i="2"/>
  <c r="O49" i="2"/>
  <c r="O16" i="2"/>
  <c r="O96" i="2"/>
  <c r="O20" i="2"/>
  <c r="O45" i="2"/>
  <c r="O35" i="2"/>
  <c r="O50" i="2"/>
  <c r="O43" i="2"/>
  <c r="O22" i="2"/>
  <c r="O44" i="2"/>
  <c r="O41" i="2"/>
  <c r="O83" i="2"/>
  <c r="O79" i="2"/>
  <c r="O25" i="2"/>
  <c r="O74" i="2"/>
  <c r="O12" i="2"/>
  <c r="O68" i="2"/>
  <c r="O69" i="2"/>
  <c r="O64" i="2"/>
  <c r="O87" i="2"/>
  <c r="O13" i="2"/>
  <c r="O55" i="2"/>
  <c r="O23" i="2"/>
  <c r="O94" i="2"/>
  <c r="O92" i="2"/>
  <c r="O78" i="2"/>
  <c r="O15" i="2"/>
  <c r="O39" i="2"/>
  <c r="O100" i="2"/>
  <c r="O97" i="2"/>
  <c r="O47" i="2"/>
  <c r="O48" i="2"/>
  <c r="O46" i="2"/>
  <c r="O587" i="2"/>
  <c r="O32" i="2"/>
  <c r="O26" i="2"/>
  <c r="O95" i="2"/>
  <c r="O57" i="2"/>
  <c r="O38" i="2"/>
  <c r="O81" i="2"/>
  <c r="O11" i="2"/>
  <c r="M9" i="32" l="1"/>
  <c r="N9" i="32" l="1"/>
  <c r="O9" i="32" s="1"/>
  <c r="P9" i="32" s="1"/>
  <c r="Q9" i="32" l="1"/>
  <c r="R9" i="32" s="1"/>
  <c r="S9" i="32" s="1"/>
  <c r="T9" i="32" s="1"/>
  <c r="U9" i="32" s="1"/>
  <c r="B18" i="11"/>
  <c r="B19" i="11"/>
  <c r="V9" i="32" l="1"/>
  <c r="W9" i="32" s="1"/>
  <c r="X9" i="32" s="1"/>
  <c r="Y9" i="32" s="1"/>
  <c r="B20" i="11"/>
  <c r="B22" i="11"/>
  <c r="B13" i="2"/>
  <c r="B14" i="2"/>
  <c r="B12" i="2"/>
  <c r="B15" i="2"/>
  <c r="B11" i="2"/>
  <c r="Z9" i="32" l="1"/>
  <c r="B11" i="11"/>
  <c r="D9" i="11" l="1"/>
  <c r="C9" i="11"/>
  <c r="B9" i="11"/>
  <c r="A2" i="11"/>
  <c r="B9" i="2"/>
  <c r="A2" i="2"/>
  <c r="E9" i="11" l="1"/>
  <c r="C9" i="2"/>
  <c r="D9" i="2" l="1"/>
  <c r="E9" i="2" l="1"/>
  <c r="F9" i="2" l="1"/>
  <c r="H9" i="2" s="1"/>
  <c r="F9" i="11"/>
  <c r="I9" i="2" l="1"/>
  <c r="J9" i="2" s="1"/>
  <c r="H9" i="11"/>
  <c r="J9" i="11" s="1"/>
  <c r="K9" i="2" l="1"/>
  <c r="L9" i="2" s="1"/>
  <c r="M9" i="2" s="1"/>
  <c r="N9" i="2" s="1"/>
  <c r="O9" i="2" s="1"/>
  <c r="I9" i="11"/>
  <c r="L9" i="11" s="1"/>
  <c r="N588" i="2"/>
  <c r="L588" i="2"/>
  <c r="K588" i="2"/>
  <c r="S9" i="2" l="1"/>
  <c r="P9" i="2"/>
  <c r="Q9" i="2" s="1"/>
  <c r="R9" i="2" s="1"/>
  <c r="K9" i="11"/>
  <c r="M9" i="11" s="1"/>
  <c r="N9" i="11" s="1"/>
  <c r="O9" i="11" s="1"/>
  <c r="P9" i="11" l="1"/>
  <c r="Q9" i="11" l="1"/>
  <c r="R9" i="11" l="1"/>
  <c r="S9" i="11" l="1"/>
  <c r="T9" i="11" s="1"/>
  <c r="U9" i="11" s="1"/>
  <c r="M588" i="2"/>
  <c r="V9" i="11" l="1"/>
  <c r="O588" i="2"/>
  <c r="W9" i="11" l="1"/>
  <c r="X9" i="11" s="1"/>
  <c r="Y9" i="11" s="1"/>
  <c r="Z9" i="11" s="1"/>
  <c r="AA9" i="11" s="1"/>
  <c r="AB9" i="11" l="1"/>
  <c r="AD9" i="11" s="1"/>
  <c r="AC9" i="11"/>
  <c r="AE9" i="11" l="1"/>
  <c r="AF9" i="11" s="1"/>
  <c r="AG9" i="11" s="1"/>
  <c r="AH9" i="11" s="1"/>
  <c r="AI9" i="11" s="1"/>
  <c r="AJ9" i="11" s="1"/>
  <c r="AK9" i="11" s="1"/>
  <c r="AL9" i="11" s="1"/>
  <c r="AM9" i="11" s="1"/>
  <c r="AN9" i="11" s="1"/>
  <c r="AO9" i="11" s="1"/>
  <c r="AP9" i="11" s="1"/>
  <c r="AQ9" i="11" s="1"/>
  <c r="AR9" i="11" s="1"/>
  <c r="AS9" i="11" s="1"/>
  <c r="AT9" i="11" l="1"/>
</calcChain>
</file>

<file path=xl/sharedStrings.xml><?xml version="1.0" encoding="utf-8"?>
<sst xmlns="http://schemas.openxmlformats.org/spreadsheetml/2006/main" count="48016" uniqueCount="7527">
  <si>
    <t>계좌번호</t>
    <phoneticPr fontId="5" type="noConversion"/>
  </si>
  <si>
    <t>USD</t>
  </si>
  <si>
    <t>차주일련번호</t>
  </si>
  <si>
    <t>차주명</t>
  </si>
  <si>
    <t>Regular / Special Assets</t>
    <phoneticPr fontId="9" type="noConversion"/>
  </si>
  <si>
    <t>목차</t>
    <phoneticPr fontId="5" type="noConversion"/>
  </si>
  <si>
    <t>1.</t>
    <phoneticPr fontId="5" type="noConversion"/>
  </si>
  <si>
    <t>차주일반</t>
  </si>
  <si>
    <t>2.</t>
    <phoneticPr fontId="5" type="noConversion"/>
  </si>
  <si>
    <t>매각대상채권</t>
  </si>
  <si>
    <t>3.</t>
    <phoneticPr fontId="5" type="noConversion"/>
  </si>
  <si>
    <t>담보물건</t>
  </si>
  <si>
    <t>3-1.</t>
    <phoneticPr fontId="5" type="noConversion"/>
  </si>
  <si>
    <t>담보지번</t>
  </si>
  <si>
    <t>3-2.</t>
    <phoneticPr fontId="5" type="noConversion"/>
  </si>
  <si>
    <t>설정순위</t>
  </si>
  <si>
    <t>4.</t>
    <phoneticPr fontId="5" type="noConversion"/>
  </si>
  <si>
    <t>회생차주 추가정보</t>
  </si>
  <si>
    <t>5.</t>
    <phoneticPr fontId="5" type="noConversion"/>
  </si>
  <si>
    <t>6.</t>
    <phoneticPr fontId="5" type="noConversion"/>
  </si>
  <si>
    <t>주요 기일</t>
    <phoneticPr fontId="5" type="noConversion"/>
  </si>
  <si>
    <t>자산확정일</t>
    <phoneticPr fontId="5" type="noConversion"/>
  </si>
  <si>
    <t>적용 환율</t>
  </si>
  <si>
    <t>1. 차주일반정보 (Borrower Information)</t>
    <phoneticPr fontId="5" type="noConversion"/>
  </si>
  <si>
    <t>(단위 : 원)</t>
    <phoneticPr fontId="19" type="noConversion"/>
  </si>
  <si>
    <t>Borrower Identification Information</t>
    <phoneticPr fontId="9" type="noConversion"/>
  </si>
  <si>
    <t>Summary of Loan Information</t>
    <phoneticPr fontId="9" type="noConversion"/>
  </si>
  <si>
    <t>Description</t>
    <phoneticPr fontId="5" type="noConversion"/>
  </si>
  <si>
    <t>일련번호</t>
  </si>
  <si>
    <t>Pool</t>
    <phoneticPr fontId="5" type="noConversion"/>
  </si>
  <si>
    <t>채권구분</t>
    <phoneticPr fontId="5" type="noConversion"/>
  </si>
  <si>
    <t>차주명</t>
    <phoneticPr fontId="9" type="noConversion"/>
  </si>
  <si>
    <t>차주형태</t>
    <phoneticPr fontId="9" type="noConversion"/>
  </si>
  <si>
    <t>자산구분</t>
    <phoneticPr fontId="9" type="noConversion"/>
  </si>
  <si>
    <t>관련 차주</t>
    <phoneticPr fontId="9" type="noConversion"/>
  </si>
  <si>
    <t>합계-환산후대출잔액</t>
    <phoneticPr fontId="9" type="noConversion"/>
  </si>
  <si>
    <t>합계-가지급금</t>
    <phoneticPr fontId="9" type="noConversion"/>
  </si>
  <si>
    <t>합계-미수이자</t>
    <phoneticPr fontId="9" type="noConversion"/>
  </si>
  <si>
    <t>총채권액</t>
    <phoneticPr fontId="9" type="noConversion"/>
  </si>
  <si>
    <t>비고</t>
  </si>
  <si>
    <t>2. 매각대상채권 (Individual Loan Description)</t>
    <phoneticPr fontId="5" type="noConversion"/>
  </si>
  <si>
    <t>Loan Information</t>
    <phoneticPr fontId="5" type="noConversion"/>
  </si>
  <si>
    <t>계좌일련번호</t>
  </si>
  <si>
    <t>대출과목</t>
  </si>
  <si>
    <t>환산전 대출원금잔액</t>
    <phoneticPr fontId="16" type="noConversion"/>
  </si>
  <si>
    <t>미상환원금 잔액
(C=A+B)</t>
    <phoneticPr fontId="5" type="noConversion"/>
  </si>
  <si>
    <t>채권액 합계
(E=C+D)</t>
    <phoneticPr fontId="5" type="noConversion"/>
  </si>
  <si>
    <t>소멸시효 완성 여부</t>
    <phoneticPr fontId="16" type="noConversion"/>
  </si>
  <si>
    <t xml:space="preserve"> </t>
    <phoneticPr fontId="5" type="noConversion"/>
  </si>
  <si>
    <t>3. 담보물건 정보(Property Information)</t>
    <phoneticPr fontId="5" type="noConversion"/>
  </si>
  <si>
    <t>(단위 : 원)</t>
  </si>
  <si>
    <t>Senior Claims</t>
    <phoneticPr fontId="5" type="noConversion"/>
  </si>
  <si>
    <t>Appraisal Information</t>
  </si>
  <si>
    <t>Foreclosure Information</t>
    <phoneticPr fontId="5" type="noConversion"/>
  </si>
  <si>
    <t>Description</t>
  </si>
  <si>
    <t>Pool</t>
  </si>
  <si>
    <t>채권구분</t>
  </si>
  <si>
    <t>물건번호</t>
    <phoneticPr fontId="5" type="noConversion"/>
  </si>
  <si>
    <t>Property
일련번호</t>
    <phoneticPr fontId="5" type="noConversion"/>
  </si>
  <si>
    <t>담보소재지1
(특별,광역시/도)</t>
  </si>
  <si>
    <t>담보소재지2
(시/군/구)</t>
  </si>
  <si>
    <t>담보소재지4 (나머지상세지번/기타재산내역)</t>
  </si>
  <si>
    <t>Property-
대지면적</t>
  </si>
  <si>
    <t>Property-
건물면적</t>
  </si>
  <si>
    <t>Property-
기타(기계기구등)</t>
  </si>
  <si>
    <t>통화표시</t>
  </si>
  <si>
    <t>Property별
근저당권설정액</t>
  </si>
  <si>
    <t>환산후 Property별
근저당권설정액</t>
    <phoneticPr fontId="5" type="noConversion"/>
  </si>
  <si>
    <t>공담 Property</t>
    <phoneticPr fontId="5" type="noConversion"/>
  </si>
  <si>
    <t>공담 Property
설정 순위</t>
    <phoneticPr fontId="5" type="noConversion"/>
  </si>
  <si>
    <t>Property별 
선순위 설정순위</t>
  </si>
  <si>
    <t>Property별
선순위 설정액</t>
  </si>
  <si>
    <t>환산후 Property별
선순위근저당권 설정액</t>
    <phoneticPr fontId="5" type="noConversion"/>
  </si>
  <si>
    <t>선순위 공담 
Property 설정 순위</t>
    <phoneticPr fontId="5" type="noConversion"/>
  </si>
  <si>
    <t>선순위 공담순위</t>
  </si>
  <si>
    <t>선순위 공담 설정액</t>
  </si>
  <si>
    <t>통화표시</t>
    <phoneticPr fontId="36" type="noConversion"/>
  </si>
  <si>
    <t>근저당권
일부이전 금액</t>
  </si>
  <si>
    <t>근저당권
일부이전기관</t>
    <phoneticPr fontId="5" type="noConversion"/>
  </si>
  <si>
    <t>선순위
소액보증금</t>
    <phoneticPr fontId="5" type="noConversion"/>
  </si>
  <si>
    <t>선순위 
임차보증금</t>
    <phoneticPr fontId="5" type="noConversion"/>
  </si>
  <si>
    <t>선순위 
임금채권</t>
    <phoneticPr fontId="5" type="noConversion"/>
  </si>
  <si>
    <t>선순위 
당해세</t>
    <phoneticPr fontId="5" type="noConversion"/>
  </si>
  <si>
    <t>선순위 
조세채권</t>
    <phoneticPr fontId="5" type="noConversion"/>
  </si>
  <si>
    <t>기타 선순위</t>
    <phoneticPr fontId="5" type="noConversion"/>
  </si>
  <si>
    <t>합계</t>
  </si>
  <si>
    <t>감정평가구분</t>
    <phoneticPr fontId="5" type="noConversion"/>
  </si>
  <si>
    <t>감정평가일</t>
  </si>
  <si>
    <t>감정평가기관</t>
  </si>
  <si>
    <t>감정평가액
_대지</t>
  </si>
  <si>
    <t>감정평가액
_건물</t>
  </si>
  <si>
    <t>감정평가액
_기계기구</t>
  </si>
  <si>
    <t>감정평가액
_제시외 및 기타</t>
    <phoneticPr fontId="19" type="noConversion"/>
  </si>
  <si>
    <t>감정평가액
_합계</t>
  </si>
  <si>
    <t>경매 
개시여부</t>
    <phoneticPr fontId="5" type="noConversion"/>
  </si>
  <si>
    <t>경매 관할법원</t>
  </si>
  <si>
    <t>경매신청기관
(선행)</t>
  </si>
  <si>
    <t>경매개시일자
(선행)</t>
    <phoneticPr fontId="5" type="noConversion"/>
  </si>
  <si>
    <t>경매사건번호
(선행)</t>
    <phoneticPr fontId="5" type="noConversion"/>
  </si>
  <si>
    <t>배당요구종기일
(선행)</t>
    <phoneticPr fontId="5" type="noConversion"/>
  </si>
  <si>
    <t>청구금액
(선행)</t>
    <phoneticPr fontId="5" type="noConversion"/>
  </si>
  <si>
    <t>경매신청기관
(후행)</t>
  </si>
  <si>
    <t>경매개시일자
(후행)</t>
    <phoneticPr fontId="5" type="noConversion"/>
  </si>
  <si>
    <t>경매사건번호
(후행)</t>
    <phoneticPr fontId="5" type="noConversion"/>
  </si>
  <si>
    <t>배당요구종기일
(후행)</t>
    <phoneticPr fontId="5" type="noConversion"/>
  </si>
  <si>
    <t>청구금액
(후행)</t>
    <phoneticPr fontId="5" type="noConversion"/>
  </si>
  <si>
    <t>최초법사가</t>
  </si>
  <si>
    <t>최초경매기일</t>
  </si>
  <si>
    <t>최종경매회차</t>
  </si>
  <si>
    <t>최종경매결과</t>
  </si>
  <si>
    <t>최종경매기일</t>
  </si>
  <si>
    <t>차기경매기일</t>
  </si>
  <si>
    <t>매각금액</t>
    <phoneticPr fontId="5" type="noConversion"/>
  </si>
  <si>
    <t>최종경매일의 
최저입찰금액</t>
  </si>
  <si>
    <t>차후예정경매일의 
최저입찰금액</t>
  </si>
  <si>
    <t>3-1. 등기부등본 정보(Property Information)</t>
    <phoneticPr fontId="5" type="noConversion"/>
  </si>
  <si>
    <t>Borrower Identification Information</t>
    <phoneticPr fontId="5" type="noConversion"/>
  </si>
  <si>
    <t>Basic Property Information</t>
    <phoneticPr fontId="5" type="noConversion"/>
  </si>
  <si>
    <t>Mortgage Amount</t>
    <phoneticPr fontId="5" type="noConversion"/>
  </si>
  <si>
    <t>Description</t>
    <phoneticPr fontId="36" type="noConversion"/>
  </si>
  <si>
    <t>지번번호</t>
    <phoneticPr fontId="5" type="noConversion"/>
  </si>
  <si>
    <t>Property
일련번호</t>
  </si>
  <si>
    <t>등기부등본 일련번호</t>
  </si>
  <si>
    <t>등기부등본-담보물형태</t>
  </si>
  <si>
    <t>등기부등본-
대지면적</t>
  </si>
  <si>
    <t>등기부등본-
건물면적</t>
  </si>
  <si>
    <t>지상권설정
(Y/N)</t>
  </si>
  <si>
    <t>대지권비율</t>
  </si>
  <si>
    <t>근저당권설정액</t>
  </si>
  <si>
    <t>선순위
설정순위</t>
  </si>
  <si>
    <t>선순위설정액</t>
  </si>
  <si>
    <t>환산후 선순위
근저당권 설정액</t>
    <phoneticPr fontId="36" type="noConversion"/>
  </si>
  <si>
    <t>중순위 
설정순위</t>
    <phoneticPr fontId="5" type="noConversion"/>
  </si>
  <si>
    <t xml:space="preserve">중순위 설정액 </t>
  </si>
  <si>
    <t>환산후 중순위 
근저당권 설정액</t>
    <phoneticPr fontId="5" type="noConversion"/>
  </si>
  <si>
    <t>비 고</t>
  </si>
  <si>
    <t>3-2. 설정 순위</t>
    <phoneticPr fontId="5" type="noConversion"/>
  </si>
  <si>
    <t>Description</t>
    <phoneticPr fontId="9" type="noConversion"/>
  </si>
  <si>
    <t>Property
설정순위</t>
  </si>
  <si>
    <t>Property
근저당권자</t>
  </si>
  <si>
    <t>Property 설정일</t>
    <phoneticPr fontId="19" type="noConversion"/>
  </si>
  <si>
    <t>Property
근저당권설정액</t>
  </si>
  <si>
    <t>환산된 Property
근저당권설정액</t>
  </si>
  <si>
    <t>Property
공담번호</t>
  </si>
  <si>
    <t>비 고</t>
    <phoneticPr fontId="19" type="noConversion"/>
  </si>
  <si>
    <t>4. 회생차주 추가정보 (Special Borrower Additional Information)</t>
    <phoneticPr fontId="5" type="noConversion"/>
  </si>
  <si>
    <t>General Understanding of the Subject Company</t>
    <phoneticPr fontId="40" type="noConversion"/>
  </si>
  <si>
    <t>Date of Critical Events</t>
    <phoneticPr fontId="40" type="noConversion"/>
  </si>
  <si>
    <t>도산절차</t>
  </si>
  <si>
    <t>진행상황</t>
    <phoneticPr fontId="9" type="noConversion"/>
  </si>
  <si>
    <t>관할법원</t>
    <phoneticPr fontId="9" type="noConversion"/>
  </si>
  <si>
    <t>주소</t>
  </si>
  <si>
    <t>업종</t>
  </si>
  <si>
    <t>상장/비상장</t>
  </si>
  <si>
    <t>종업원 수</t>
  </si>
  <si>
    <t>재산보전처분일</t>
  </si>
  <si>
    <t>개시결정일</t>
  </si>
  <si>
    <t>채권신고일</t>
  </si>
  <si>
    <t>회생담보권
-원금</t>
  </si>
  <si>
    <t>회생담보권
-개시전이자</t>
  </si>
  <si>
    <t>회생채권
-원금</t>
  </si>
  <si>
    <t>회생채권
-개시전이자</t>
  </si>
  <si>
    <t>면제 및 출자전환
-원금</t>
  </si>
  <si>
    <t>면제 및 출자전환
-개시전이자</t>
  </si>
  <si>
    <t>상환금액
-원금</t>
  </si>
  <si>
    <t>상환금액
-개시전이자</t>
  </si>
  <si>
    <t>잔액
통화</t>
  </si>
  <si>
    <t>미수이자잔액
(D)</t>
    <phoneticPr fontId="5" type="noConversion"/>
  </si>
  <si>
    <t>자산확정일 기준 적용 환율</t>
    <phoneticPr fontId="16" type="noConversion"/>
  </si>
  <si>
    <t>Basic Property  Information</t>
  </si>
  <si>
    <t>Mortgage Amount</t>
  </si>
  <si>
    <t>최초대출일</t>
  </si>
  <si>
    <t>대출만기일</t>
  </si>
  <si>
    <t>최초 대출원금</t>
  </si>
  <si>
    <t>설정비율</t>
  </si>
  <si>
    <t>환산후 
근저당권 설정액</t>
  </si>
  <si>
    <t>Simple/
Complicated</t>
  </si>
  <si>
    <t>근저당
일부이전 기관</t>
  </si>
  <si>
    <t>근저당
일부이전일</t>
  </si>
  <si>
    <t>근저당권
일부이전금액</t>
  </si>
  <si>
    <t>관련차주</t>
  </si>
  <si>
    <t>Financial Information of the Subject Company</t>
  </si>
  <si>
    <t>재무제표일</t>
  </si>
  <si>
    <t>감사여부</t>
  </si>
  <si>
    <t>매출액
(단위 : 백만원)</t>
  </si>
  <si>
    <t>영업이익
(단위 : 백만원)</t>
  </si>
  <si>
    <t>당기순이익
(단위 : 백만원)</t>
  </si>
  <si>
    <t>자산총계
(단위 : 백만원)</t>
  </si>
  <si>
    <t>부채총계
(단위 : 백만원)</t>
  </si>
  <si>
    <t>기타
-개시후이자</t>
  </si>
  <si>
    <t>상환금액
-개시후이자</t>
  </si>
  <si>
    <t>변제대상
-원금</t>
  </si>
  <si>
    <t>변제대상
-개시전이자</t>
  </si>
  <si>
    <t>변제대상
-개시후이자</t>
  </si>
  <si>
    <t>개인</t>
  </si>
  <si>
    <t>차주명</t>
    <phoneticPr fontId="5" type="noConversion"/>
  </si>
  <si>
    <t>차주명</t>
    <phoneticPr fontId="5" type="noConversion"/>
  </si>
  <si>
    <t>회생사건번호</t>
    <phoneticPr fontId="9" type="noConversion"/>
  </si>
  <si>
    <t>대표이사</t>
    <phoneticPr fontId="5" type="noConversion"/>
  </si>
  <si>
    <t>주요주주</t>
  </si>
  <si>
    <t>인가일/
폐지(종결)일</t>
    <phoneticPr fontId="5" type="noConversion"/>
  </si>
  <si>
    <t>C</t>
  </si>
  <si>
    <t>B</t>
  </si>
  <si>
    <t/>
  </si>
  <si>
    <t>KRW</t>
  </si>
  <si>
    <t>법인</t>
  </si>
  <si>
    <t>A</t>
  </si>
  <si>
    <t>아파트</t>
  </si>
  <si>
    <t>경기도</t>
  </si>
  <si>
    <t>서울특별시</t>
  </si>
  <si>
    <t>대전광역시</t>
  </si>
  <si>
    <t>경상남도</t>
  </si>
  <si>
    <t>인천광역시</t>
  </si>
  <si>
    <t>부산광역시</t>
  </si>
  <si>
    <t>충청남도</t>
  </si>
  <si>
    <t>대구광역시</t>
  </si>
  <si>
    <t>울산광역시</t>
  </si>
  <si>
    <t>경상북도</t>
  </si>
  <si>
    <t>세종특별자치시</t>
  </si>
  <si>
    <t>강원특별자치도</t>
  </si>
  <si>
    <t>충청북도</t>
  </si>
  <si>
    <t>전라남도</t>
  </si>
  <si>
    <t>광주광역시</t>
  </si>
  <si>
    <t>전북특별자치도</t>
  </si>
  <si>
    <t>제주특별자치도</t>
  </si>
  <si>
    <t>R</t>
  </si>
  <si>
    <t>금천구</t>
  </si>
  <si>
    <t>가산동</t>
  </si>
  <si>
    <t>화성시</t>
  </si>
  <si>
    <t>1~2</t>
  </si>
  <si>
    <t>개인사업자</t>
  </si>
  <si>
    <t>강동구</t>
  </si>
  <si>
    <t>서구</t>
  </si>
  <si>
    <t>1~3</t>
  </si>
  <si>
    <t>남양주시</t>
  </si>
  <si>
    <t>다산동</t>
  </si>
  <si>
    <t>구리시</t>
  </si>
  <si>
    <t>고양시 덕양구</t>
  </si>
  <si>
    <t>원흥동</t>
  </si>
  <si>
    <t>수원시 영통구</t>
  </si>
  <si>
    <t>하동</t>
  </si>
  <si>
    <t>부평구</t>
  </si>
  <si>
    <t>고양시 일산동구</t>
  </si>
  <si>
    <t>식사동</t>
  </si>
  <si>
    <t>하남시</t>
  </si>
  <si>
    <t>임야</t>
  </si>
  <si>
    <t>노원구</t>
  </si>
  <si>
    <t>마포구</t>
  </si>
  <si>
    <t>송파구</t>
  </si>
  <si>
    <t>덕풍동</t>
  </si>
  <si>
    <t>평택시</t>
  </si>
  <si>
    <t>양산시</t>
  </si>
  <si>
    <t>유성구</t>
  </si>
  <si>
    <t>상계동</t>
  </si>
  <si>
    <t>수원시 장안구</t>
  </si>
  <si>
    <t>거제시</t>
  </si>
  <si>
    <t>해운대구</t>
  </si>
  <si>
    <t>중동</t>
  </si>
  <si>
    <t>시흥시</t>
  </si>
  <si>
    <t>의정부시</t>
  </si>
  <si>
    <t>민락동</t>
  </si>
  <si>
    <t>양주시</t>
  </si>
  <si>
    <t>옥정동</t>
  </si>
  <si>
    <t>가좌동</t>
  </si>
  <si>
    <t>고덕동</t>
  </si>
  <si>
    <t>미등기</t>
  </si>
  <si>
    <t>성남시 중원구</t>
  </si>
  <si>
    <t>인창동</t>
  </si>
  <si>
    <t>1~4</t>
  </si>
  <si>
    <t>안산시 단원구</t>
  </si>
  <si>
    <t>고잔동</t>
  </si>
  <si>
    <t>수원시 팔달구</t>
  </si>
  <si>
    <t>도봉구</t>
  </si>
  <si>
    <t>미분할</t>
  </si>
  <si>
    <t>동두천시</t>
  </si>
  <si>
    <t>연제구</t>
  </si>
  <si>
    <t>연산동</t>
  </si>
  <si>
    <t>북구</t>
  </si>
  <si>
    <t>망월동</t>
  </si>
  <si>
    <t>중산동</t>
  </si>
  <si>
    <t>김포시</t>
  </si>
  <si>
    <t>구래동</t>
  </si>
  <si>
    <t>동대문구</t>
  </si>
  <si>
    <t>답십리동</t>
  </si>
  <si>
    <t>달성군</t>
  </si>
  <si>
    <t>공장</t>
  </si>
  <si>
    <t>강남구</t>
  </si>
  <si>
    <t>관악구</t>
  </si>
  <si>
    <t>봉천동</t>
  </si>
  <si>
    <t>남구</t>
  </si>
  <si>
    <t>장기동</t>
  </si>
  <si>
    <t>구로구</t>
  </si>
  <si>
    <t>2~3</t>
  </si>
  <si>
    <t>오류동</t>
  </si>
  <si>
    <t>중구</t>
  </si>
  <si>
    <t>은평구</t>
  </si>
  <si>
    <t>근린주택</t>
  </si>
  <si>
    <t>용인시 기흥구</t>
  </si>
  <si>
    <t>사상구</t>
  </si>
  <si>
    <t>김해시</t>
  </si>
  <si>
    <t>계양구</t>
  </si>
  <si>
    <t>파주시</t>
  </si>
  <si>
    <t>목동동</t>
  </si>
  <si>
    <t>천안시 동남구</t>
  </si>
  <si>
    <t>남동구</t>
  </si>
  <si>
    <t>강북구</t>
  </si>
  <si>
    <t>미아동</t>
  </si>
  <si>
    <t>달서구</t>
  </si>
  <si>
    <t>월성동</t>
  </si>
  <si>
    <t>연수구</t>
  </si>
  <si>
    <t>통영시</t>
  </si>
  <si>
    <t>수성구</t>
  </si>
  <si>
    <t>울주군</t>
  </si>
  <si>
    <t>원주시</t>
  </si>
  <si>
    <t>논현동</t>
  </si>
  <si>
    <t>오산시</t>
  </si>
  <si>
    <t>광주시</t>
  </si>
  <si>
    <t>별내동</t>
  </si>
  <si>
    <t>부천시 원미구</t>
  </si>
  <si>
    <t>강서구</t>
  </si>
  <si>
    <t>동래구</t>
  </si>
  <si>
    <t>정왕동</t>
  </si>
  <si>
    <t>고양시 일산서구</t>
  </si>
  <si>
    <t>풍무동</t>
  </si>
  <si>
    <t>용인시 처인구</t>
  </si>
  <si>
    <t>용인시 수지구</t>
  </si>
  <si>
    <t>당진시</t>
  </si>
  <si>
    <t>배곧동</t>
  </si>
  <si>
    <t>송도동</t>
  </si>
  <si>
    <t>창원시 진해구</t>
  </si>
  <si>
    <t>반송동</t>
  </si>
  <si>
    <t>오금동</t>
  </si>
  <si>
    <t>동작구</t>
  </si>
  <si>
    <t>1~5</t>
  </si>
  <si>
    <t>서대문구</t>
  </si>
  <si>
    <t>Y</t>
  </si>
  <si>
    <t>구미시</t>
  </si>
  <si>
    <t>동구</t>
  </si>
  <si>
    <t>아산시</t>
  </si>
  <si>
    <t>금정구</t>
  </si>
  <si>
    <t>영천동</t>
  </si>
  <si>
    <t>서초구</t>
  </si>
  <si>
    <t>방배동</t>
  </si>
  <si>
    <t>목동</t>
  </si>
  <si>
    <t>경산시</t>
  </si>
  <si>
    <t>은행동</t>
  </si>
  <si>
    <t>칠곡군</t>
  </si>
  <si>
    <t>제천시</t>
  </si>
  <si>
    <t>나주시</t>
  </si>
  <si>
    <t>천안시 서북구</t>
  </si>
  <si>
    <t>답</t>
  </si>
  <si>
    <t>백석동</t>
  </si>
  <si>
    <t>전</t>
  </si>
  <si>
    <t>논산시</t>
  </si>
  <si>
    <t>영등포구</t>
  </si>
  <si>
    <t>N</t>
  </si>
  <si>
    <t>만수동</t>
  </si>
  <si>
    <t>아파트상가</t>
  </si>
  <si>
    <t>상현동</t>
  </si>
  <si>
    <t>S</t>
  </si>
  <si>
    <t>문정동</t>
  </si>
  <si>
    <t>계산동</t>
  </si>
  <si>
    <t>상가</t>
  </si>
  <si>
    <t>구로동</t>
  </si>
  <si>
    <t>양천구</t>
  </si>
  <si>
    <t>부천시 소사구</t>
  </si>
  <si>
    <t>송내동</t>
  </si>
  <si>
    <t>청라동</t>
  </si>
  <si>
    <t>부천시 오정구</t>
  </si>
  <si>
    <t>성남시 분당구</t>
  </si>
  <si>
    <t>광양시</t>
  </si>
  <si>
    <t>사하구</t>
  </si>
  <si>
    <t>안산시 상록구</t>
  </si>
  <si>
    <t>사동</t>
  </si>
  <si>
    <t>능동</t>
  </si>
  <si>
    <t>대덕구</t>
  </si>
  <si>
    <t>대화동</t>
  </si>
  <si>
    <t>광명시</t>
  </si>
  <si>
    <t>소하동</t>
  </si>
  <si>
    <t>용현동</t>
  </si>
  <si>
    <t>중랑구</t>
  </si>
  <si>
    <t>1,3</t>
  </si>
  <si>
    <t>교동</t>
  </si>
  <si>
    <t>양평군</t>
  </si>
  <si>
    <t>청주시 상당구</t>
  </si>
  <si>
    <t>수원시 권선구</t>
  </si>
  <si>
    <t>송파동</t>
  </si>
  <si>
    <t>호원동</t>
  </si>
  <si>
    <t>신림동</t>
  </si>
  <si>
    <t>미추홀구</t>
  </si>
  <si>
    <t>청주시 청원구</t>
  </si>
  <si>
    <t>안성시</t>
  </si>
  <si>
    <t>덕계동</t>
  </si>
  <si>
    <t>거모동</t>
  </si>
  <si>
    <t>안양시 동안구</t>
  </si>
  <si>
    <t>덕이동</t>
  </si>
  <si>
    <t>단독주택</t>
  </si>
  <si>
    <t>의왕시</t>
  </si>
  <si>
    <t>군포시</t>
  </si>
  <si>
    <t>산본동</t>
  </si>
  <si>
    <t>동패동</t>
  </si>
  <si>
    <t>상대동</t>
  </si>
  <si>
    <t>여주시</t>
  </si>
  <si>
    <t>창동</t>
  </si>
  <si>
    <t>상동</t>
  </si>
  <si>
    <t>순천시</t>
  </si>
  <si>
    <t>영천시</t>
  </si>
  <si>
    <t>좌동</t>
  </si>
  <si>
    <t>군산시</t>
  </si>
  <si>
    <t>독산동</t>
  </si>
  <si>
    <t>완주군</t>
  </si>
  <si>
    <t>화도읍 마석우리</t>
  </si>
  <si>
    <t>충주시</t>
  </si>
  <si>
    <t>포천시</t>
  </si>
  <si>
    <t>금곡동</t>
  </si>
  <si>
    <t>용산동</t>
  </si>
  <si>
    <t>부곡동</t>
  </si>
  <si>
    <t>신장동</t>
  </si>
  <si>
    <t>공동1순위</t>
  </si>
  <si>
    <t>통화표시</t>
    <phoneticPr fontId="5" type="noConversion"/>
  </si>
  <si>
    <t>한국주택금융공사</t>
  </si>
  <si>
    <t>중소기업은행</t>
  </si>
  <si>
    <t>인천지방법원 부천지원</t>
  </si>
  <si>
    <t>부산지방법원 동부지원</t>
  </si>
  <si>
    <t>수원지방법원</t>
  </si>
  <si>
    <t>주례동</t>
  </si>
  <si>
    <t>기장군</t>
  </si>
  <si>
    <t>비산동</t>
  </si>
  <si>
    <t>제주시</t>
  </si>
  <si>
    <t>가양동</t>
  </si>
  <si>
    <t>28층 공동주택(아파트)</t>
  </si>
  <si>
    <t>20층 아파트</t>
  </si>
  <si>
    <t>10층 공장(지식산업센터)</t>
  </si>
  <si>
    <t>29층 공동주택(아파트)</t>
  </si>
  <si>
    <t>15층 아파트</t>
  </si>
  <si>
    <t>18층 아파트</t>
  </si>
  <si>
    <t>19층 아파트</t>
  </si>
  <si>
    <t>15층 공동주택(아파트)</t>
  </si>
  <si>
    <t>22층 공동주택(아파트)</t>
  </si>
  <si>
    <t>23층 아파트</t>
  </si>
  <si>
    <t>5층 공동주택</t>
  </si>
  <si>
    <t>6층 공동주택</t>
  </si>
  <si>
    <t>5층 아파트</t>
  </si>
  <si>
    <t>22층 아파트</t>
  </si>
  <si>
    <t>27층 공동주택(아파트)</t>
  </si>
  <si>
    <t>21층 공동주택(아파트)</t>
  </si>
  <si>
    <t>창고용지</t>
  </si>
  <si>
    <t>공장용지</t>
  </si>
  <si>
    <t>29층 아파트</t>
  </si>
  <si>
    <t>20층 공동주택(아파트)</t>
  </si>
  <si>
    <t>대</t>
  </si>
  <si>
    <t>25층 공동주택(아파트)</t>
  </si>
  <si>
    <t>지하1층 지상15층 공동주택(아파트)</t>
  </si>
  <si>
    <t>27층 아파트</t>
  </si>
  <si>
    <t>19층 공동주택(아파트)</t>
  </si>
  <si>
    <t>25층 아파트</t>
  </si>
  <si>
    <t>도로</t>
  </si>
  <si>
    <t>15층 공동주택</t>
  </si>
  <si>
    <t>4층 다세대주택</t>
  </si>
  <si>
    <t>10층 아파트</t>
  </si>
  <si>
    <t>12층 아파트</t>
  </si>
  <si>
    <t>26층 공동주택(아파트)</t>
  </si>
  <si>
    <t>20층 공동주택</t>
  </si>
  <si>
    <t>24층 공동주택(아파트)</t>
  </si>
  <si>
    <t>40층 공동주택(아파트)</t>
  </si>
  <si>
    <t>13층 아파트</t>
  </si>
  <si>
    <t>단층 공장</t>
  </si>
  <si>
    <t>14층 아파트</t>
  </si>
  <si>
    <t>12층 공동주택(아파트)</t>
  </si>
  <si>
    <t>4층 근린생활시설</t>
  </si>
  <si>
    <t>2층 공장</t>
  </si>
  <si>
    <t>2층 근린생활시설</t>
  </si>
  <si>
    <t>10층 공동주택(아파트)</t>
  </si>
  <si>
    <t>15층 공장(지식산업센터).지식산업센터지원시설(제1종및2종근린생활시설.기숙사.어린이집)</t>
  </si>
  <si>
    <t>31층 공동주택(아파트)</t>
  </si>
  <si>
    <t>30층 공동주택(아파트)</t>
  </si>
  <si>
    <t>17층 공동주택(아파트)</t>
  </si>
  <si>
    <t>17층 아파트</t>
  </si>
  <si>
    <t>24층 아파트</t>
  </si>
  <si>
    <t>18층 공동주택(아파트)</t>
  </si>
  <si>
    <t>24층 공동주택</t>
  </si>
  <si>
    <t>종로구</t>
  </si>
  <si>
    <t>2층 단독주택</t>
  </si>
  <si>
    <t>대치동</t>
  </si>
  <si>
    <t>2층 제1종근린생활시설</t>
  </si>
  <si>
    <t>2층 주택</t>
  </si>
  <si>
    <t>신한은행</t>
  </si>
  <si>
    <t>하나은행</t>
  </si>
  <si>
    <t>국민은행</t>
  </si>
  <si>
    <t>우리은행</t>
  </si>
  <si>
    <t>농협은행</t>
  </si>
  <si>
    <t>공장저당법
목록번호</t>
  </si>
  <si>
    <t>부</t>
  </si>
  <si>
    <t>수원지방법원 평택지원</t>
  </si>
  <si>
    <t>광주지방법원</t>
  </si>
  <si>
    <t>서울남부지방법원</t>
  </si>
  <si>
    <t>인천지방법원</t>
  </si>
  <si>
    <t>서울서부지방법원</t>
  </si>
  <si>
    <t>수원지방법원 안산지원</t>
  </si>
  <si>
    <t>의정부지방법원</t>
  </si>
  <si>
    <t>대전지방법원 천안지원</t>
  </si>
  <si>
    <t>수원지방법원 성남지원</t>
  </si>
  <si>
    <t>의정부지방법원 고양지원</t>
  </si>
  <si>
    <t>대전지방법원</t>
  </si>
  <si>
    <t>의정부지방법원 남양주지원</t>
  </si>
  <si>
    <t>부산지방법원 서부지원</t>
  </si>
  <si>
    <t>수원지방법원 안양지원</t>
  </si>
  <si>
    <t>대전지방법원 서산지원</t>
  </si>
  <si>
    <t>대구지방법원 서부지원</t>
  </si>
  <si>
    <t>울산지방법원</t>
  </si>
  <si>
    <t>서울북부지방법원</t>
  </si>
  <si>
    <t>서울동부지방법원</t>
  </si>
  <si>
    <t>제주지방법원</t>
  </si>
  <si>
    <t>광주지방법원 순천지원</t>
  </si>
  <si>
    <t>전주지방법원</t>
  </si>
  <si>
    <t>대구지방법원</t>
  </si>
  <si>
    <t>창원지방법원 통영지원</t>
  </si>
  <si>
    <t>대전지방법원 논산지원</t>
  </si>
  <si>
    <t>대구지방법원 김천지원</t>
  </si>
  <si>
    <t>서울중앙지방법원</t>
  </si>
  <si>
    <t>전주지방법원 군산지원</t>
  </si>
  <si>
    <t>청주지방법원 충주지원</t>
  </si>
  <si>
    <t>광주지방법원 목포지원</t>
  </si>
  <si>
    <t>청주지방법원</t>
  </si>
  <si>
    <t>부산지방법원</t>
  </si>
  <si>
    <t>수원지방법원 여주지원</t>
  </si>
  <si>
    <t>춘천지방법원 원주지원</t>
  </si>
  <si>
    <t>창원지방법원</t>
  </si>
  <si>
    <t>청주지방법원 제천지원</t>
  </si>
  <si>
    <t>환산후 대출원금잔액
(A)</t>
    <phoneticPr fontId="5" type="noConversion"/>
  </si>
  <si>
    <t>가지급금 잔액
(B)</t>
    <phoneticPr fontId="5" type="noConversion"/>
  </si>
  <si>
    <t>오피스텔</t>
  </si>
  <si>
    <t>오피스텔(상가)</t>
  </si>
  <si>
    <t>문화집회시설</t>
  </si>
  <si>
    <t>C</t>
    <phoneticPr fontId="5" type="noConversion"/>
  </si>
  <si>
    <t>소유자명</t>
  </si>
  <si>
    <t>신용보증기금</t>
  </si>
  <si>
    <t>수협은행</t>
  </si>
  <si>
    <t>잡종지</t>
  </si>
  <si>
    <t>JPY</t>
  </si>
  <si>
    <t>JPY</t>
    <phoneticPr fontId="5" type="noConversion"/>
  </si>
  <si>
    <t>D</t>
  </si>
  <si>
    <t>호매실동</t>
  </si>
  <si>
    <t>동면 석산리</t>
  </si>
  <si>
    <t>지산동</t>
  </si>
  <si>
    <t>성주군</t>
  </si>
  <si>
    <t>아파트형공장</t>
  </si>
  <si>
    <t>원당동</t>
  </si>
  <si>
    <t>갈현동</t>
  </si>
  <si>
    <t>강화군</t>
  </si>
  <si>
    <t>강화읍 월곳리</t>
  </si>
  <si>
    <t>호평동</t>
  </si>
  <si>
    <t>삼정동</t>
  </si>
  <si>
    <t>봉명동</t>
  </si>
  <si>
    <t>와동</t>
  </si>
  <si>
    <t>산성동</t>
  </si>
  <si>
    <t>안양시 만안구</t>
  </si>
  <si>
    <t>안양동</t>
  </si>
  <si>
    <t>창전동</t>
  </si>
  <si>
    <t>주상복합(상가)</t>
  </si>
  <si>
    <t>불당동</t>
  </si>
  <si>
    <t>양촌읍 학운리</t>
  </si>
  <si>
    <t>연무동</t>
  </si>
  <si>
    <t>3~5</t>
  </si>
  <si>
    <t>청주시 흥덕구</t>
  </si>
  <si>
    <t>장락동</t>
  </si>
  <si>
    <t>금오동</t>
  </si>
  <si>
    <t>남산동</t>
  </si>
  <si>
    <t>비전동</t>
  </si>
  <si>
    <t>운남동</t>
  </si>
  <si>
    <t>만촌동</t>
  </si>
  <si>
    <t>4~5</t>
  </si>
  <si>
    <t>삼동</t>
  </si>
  <si>
    <t>양촌읍 양곡리</t>
  </si>
  <si>
    <t>율량동</t>
  </si>
  <si>
    <t>주식회사신한은행</t>
  </si>
  <si>
    <t>케이비부동산신탁주식회사</t>
  </si>
  <si>
    <t>1097 양산자동차시설-1동</t>
  </si>
  <si>
    <t>4층 자동차관련시설</t>
  </si>
  <si>
    <t>1097</t>
  </si>
  <si>
    <t>1097-5</t>
  </si>
  <si>
    <t>1097-2외 3필지 양산자동차시설사무동양산자동차시설-2동</t>
  </si>
  <si>
    <t>3층 제2종근린생활시설</t>
  </si>
  <si>
    <t>1097-2</t>
  </si>
  <si>
    <t>1097-3 양산자동차시설엔카동양산자동차시설-3동</t>
  </si>
  <si>
    <t>1097-3</t>
  </si>
  <si>
    <t>1108외 3필지 양산자동차시설-4동</t>
  </si>
  <si>
    <t>1108</t>
  </si>
  <si>
    <t>4층 공동주택</t>
  </si>
  <si>
    <t>지상15층 산업시설(공장) 지원시설(근린생활시설)</t>
  </si>
  <si>
    <t>5층 업무시설</t>
  </si>
  <si>
    <t>6층 도시형생활주택(단지형다세대주택)</t>
  </si>
  <si>
    <t>15층 업무시설</t>
  </si>
  <si>
    <t>단층공장</t>
  </si>
  <si>
    <t>5층 제1,2종근린생활시설</t>
  </si>
  <si>
    <t>창고</t>
  </si>
  <si>
    <t>180-1</t>
  </si>
  <si>
    <t>11층 공장(지식산업센터)</t>
  </si>
  <si>
    <t>16층 공동주택</t>
  </si>
  <si>
    <t>2층 다세대주택</t>
  </si>
  <si>
    <t>단층창고</t>
  </si>
  <si>
    <t>465-3</t>
  </si>
  <si>
    <t>단층 주택</t>
  </si>
  <si>
    <t>자동차시설</t>
  </si>
  <si>
    <t>골프연습장</t>
  </si>
  <si>
    <t>대지</t>
  </si>
  <si>
    <t>다세대</t>
  </si>
  <si>
    <t>2024타경118001</t>
  </si>
  <si>
    <t>상기일괄</t>
  </si>
  <si>
    <t>유찰</t>
  </si>
  <si>
    <t>2-1.</t>
    <phoneticPr fontId="5" type="noConversion"/>
  </si>
  <si>
    <t>김*</t>
  </si>
  <si>
    <t>3층 공동주택</t>
  </si>
  <si>
    <t>근저당</t>
  </si>
  <si>
    <t>1100-3</t>
  </si>
  <si>
    <t>1108-1</t>
  </si>
  <si>
    <t>단층 제조업소</t>
  </si>
  <si>
    <t>우선수익권</t>
  </si>
  <si>
    <t>연립</t>
  </si>
  <si>
    <t>페퍼저축은행</t>
  </si>
  <si>
    <t>근린시설</t>
  </si>
  <si>
    <t>신청일</t>
    <phoneticPr fontId="5" type="noConversion"/>
  </si>
  <si>
    <t>공담 Property 금액</t>
    <phoneticPr fontId="5" type="noConversion"/>
  </si>
  <si>
    <t>환산후 공담 Property 금액</t>
    <phoneticPr fontId="5" type="noConversion"/>
  </si>
  <si>
    <t>환산후 선순위 공담 설정액</t>
    <phoneticPr fontId="5" type="noConversion"/>
  </si>
  <si>
    <t>7.</t>
    <phoneticPr fontId="5" type="noConversion"/>
  </si>
  <si>
    <t>담보소재지3
(동/읍/면/리)</t>
    <phoneticPr fontId="5" type="noConversion"/>
  </si>
  <si>
    <t>담보소재지3
(동/읍/면/리)</t>
    <phoneticPr fontId="5" type="noConversion"/>
  </si>
  <si>
    <t>Property Type</t>
    <phoneticPr fontId="5" type="noConversion"/>
  </si>
  <si>
    <t>합계-OPB</t>
    <phoneticPr fontId="9" type="noConversion"/>
  </si>
  <si>
    <t>담보소재지1
(특별,광역시/도)</t>
    <phoneticPr fontId="5" type="noConversion"/>
  </si>
  <si>
    <t>담보소재지2
(시/군/구)</t>
    <phoneticPr fontId="5" type="noConversion"/>
  </si>
  <si>
    <t>담보소재지4 (나머지상세지번/기타재산내역)</t>
    <phoneticPr fontId="5" type="noConversion"/>
  </si>
  <si>
    <t>14일미경과</t>
  </si>
  <si>
    <t>8.</t>
    <phoneticPr fontId="5" type="noConversion"/>
  </si>
  <si>
    <t>E</t>
  </si>
  <si>
    <t>SHB 2025-8 Program</t>
    <phoneticPr fontId="5" type="noConversion"/>
  </si>
  <si>
    <t>2-2.</t>
    <phoneticPr fontId="5" type="noConversion"/>
  </si>
  <si>
    <t>소송 및 보전처분 (추후 제공)</t>
    <phoneticPr fontId="5" type="noConversion"/>
  </si>
  <si>
    <t>추가 가지급금 (추후 제공)</t>
    <phoneticPr fontId="5" type="noConversion"/>
  </si>
  <si>
    <t>회수 및 상계 (추후 제공)</t>
    <phoneticPr fontId="5" type="noConversion"/>
  </si>
  <si>
    <t>6조5항
공탁금</t>
    <phoneticPr fontId="5" type="noConversion"/>
  </si>
  <si>
    <t>Mortgage Amount</t>
    <phoneticPr fontId="9" type="noConversion"/>
  </si>
  <si>
    <t>차주별 
근저당권 설정액</t>
    <phoneticPr fontId="9" type="noConversion"/>
  </si>
  <si>
    <t>차주별 선순위 
근저당권 설정액</t>
    <phoneticPr fontId="9" type="noConversion"/>
  </si>
  <si>
    <t>R-0001</t>
  </si>
  <si>
    <t>R-0002</t>
  </si>
  <si>
    <t>R-0003</t>
  </si>
  <si>
    <t>R-0004</t>
  </si>
  <si>
    <t>R-0006</t>
  </si>
  <si>
    <t>R-0007</t>
  </si>
  <si>
    <t>R-0009</t>
  </si>
  <si>
    <t>R-0010</t>
  </si>
  <si>
    <t>R-0011</t>
  </si>
  <si>
    <t>R-0012</t>
  </si>
  <si>
    <t>R-0013</t>
  </si>
  <si>
    <t>R-0015</t>
  </si>
  <si>
    <t>R-0016</t>
  </si>
  <si>
    <t>R-0017</t>
  </si>
  <si>
    <t>R-0018</t>
  </si>
  <si>
    <t>R-0019</t>
  </si>
  <si>
    <t>R-0020</t>
  </si>
  <si>
    <t>R-0021</t>
  </si>
  <si>
    <t>R-0022</t>
  </si>
  <si>
    <t>R-0023</t>
  </si>
  <si>
    <t>R-0024</t>
  </si>
  <si>
    <t>R-0025</t>
  </si>
  <si>
    <t>R-0026</t>
  </si>
  <si>
    <t>R-0027</t>
  </si>
  <si>
    <t>R-0028</t>
  </si>
  <si>
    <t>R-0029</t>
  </si>
  <si>
    <t>R-0030</t>
  </si>
  <si>
    <t>R-0031</t>
  </si>
  <si>
    <t>R-0032</t>
  </si>
  <si>
    <t>R-0033</t>
  </si>
  <si>
    <t>R-0034</t>
  </si>
  <si>
    <t>R-0035</t>
  </si>
  <si>
    <t>R-0036</t>
  </si>
  <si>
    <t>R-0037</t>
  </si>
  <si>
    <t>R-0038</t>
  </si>
  <si>
    <t>R-0039</t>
  </si>
  <si>
    <t>R-0040</t>
  </si>
  <si>
    <t>R-0041</t>
  </si>
  <si>
    <t>R-0042</t>
  </si>
  <si>
    <t>R-0043</t>
  </si>
  <si>
    <t>R-0044</t>
  </si>
  <si>
    <t>R-0045</t>
  </si>
  <si>
    <t>R-0046</t>
  </si>
  <si>
    <t>R-0047</t>
  </si>
  <si>
    <t>R-0048</t>
  </si>
  <si>
    <t>R-0049</t>
  </si>
  <si>
    <t>R-0050</t>
  </si>
  <si>
    <t>R-0051</t>
  </si>
  <si>
    <t>R-0052</t>
  </si>
  <si>
    <t>R-0053</t>
  </si>
  <si>
    <t>R-0054</t>
  </si>
  <si>
    <t>R-0055</t>
  </si>
  <si>
    <t>R-0056</t>
  </si>
  <si>
    <t>R-0057</t>
  </si>
  <si>
    <t>R-0058</t>
  </si>
  <si>
    <t>R-0059</t>
  </si>
  <si>
    <t>R-0060</t>
  </si>
  <si>
    <t>R-0061</t>
  </si>
  <si>
    <t>R-0062</t>
  </si>
  <si>
    <t>R-0063</t>
  </si>
  <si>
    <t>R-0064</t>
  </si>
  <si>
    <t>R-0065</t>
  </si>
  <si>
    <t>R-0066</t>
  </si>
  <si>
    <t>R-0067</t>
  </si>
  <si>
    <t>R-0068</t>
  </si>
  <si>
    <t>R-0069</t>
  </si>
  <si>
    <t>R-0070</t>
  </si>
  <si>
    <t>R-0071</t>
  </si>
  <si>
    <t>R-0072</t>
  </si>
  <si>
    <t>R-0073</t>
  </si>
  <si>
    <t>R-0074</t>
  </si>
  <si>
    <t>R-0075</t>
  </si>
  <si>
    <t>R-0076</t>
  </si>
  <si>
    <t>R-0077</t>
  </si>
  <si>
    <t>R-0078</t>
  </si>
  <si>
    <t>R-0079</t>
  </si>
  <si>
    <t>R-0080</t>
  </si>
  <si>
    <t>R-0081</t>
  </si>
  <si>
    <t>R-0082</t>
  </si>
  <si>
    <t>R-0083</t>
  </si>
  <si>
    <t>R-0084</t>
  </si>
  <si>
    <t>R-0085</t>
  </si>
  <si>
    <t>R-0086</t>
  </si>
  <si>
    <t>R-0087</t>
  </si>
  <si>
    <t>R-0088</t>
  </si>
  <si>
    <t>R-0089</t>
  </si>
  <si>
    <t>R-0090</t>
  </si>
  <si>
    <t>R-0091</t>
  </si>
  <si>
    <t>R-0092</t>
  </si>
  <si>
    <t>R-0093</t>
  </si>
  <si>
    <t>R-0094</t>
  </si>
  <si>
    <t>R-0096</t>
  </si>
  <si>
    <t>R-0097</t>
  </si>
  <si>
    <t>R-0098</t>
  </si>
  <si>
    <t>R-0099</t>
  </si>
  <si>
    <t>R-0100</t>
  </si>
  <si>
    <t>R-0101</t>
  </si>
  <si>
    <t>R-0102</t>
  </si>
  <si>
    <t>R-0103</t>
  </si>
  <si>
    <t>R-0104</t>
  </si>
  <si>
    <t>R-0105</t>
  </si>
  <si>
    <t>R-0106</t>
  </si>
  <si>
    <t>R-0107</t>
  </si>
  <si>
    <t>R-0108</t>
  </si>
  <si>
    <t>R-0109</t>
  </si>
  <si>
    <t>R-0110</t>
  </si>
  <si>
    <t>R-0111</t>
  </si>
  <si>
    <t>R-0112</t>
  </si>
  <si>
    <t>R-0113</t>
  </si>
  <si>
    <t>R-0114</t>
  </si>
  <si>
    <t>R-0115</t>
  </si>
  <si>
    <t>R-0116</t>
  </si>
  <si>
    <t>R-0117</t>
  </si>
  <si>
    <t>R-0118</t>
  </si>
  <si>
    <t>R-0119</t>
  </si>
  <si>
    <t>R-0120</t>
  </si>
  <si>
    <t>R-0121</t>
  </si>
  <si>
    <t>R-0122</t>
  </si>
  <si>
    <t>R-0123</t>
  </si>
  <si>
    <t>R-0124</t>
  </si>
  <si>
    <t>R-0125</t>
  </si>
  <si>
    <t>R-0127</t>
  </si>
  <si>
    <t>R-0128</t>
  </si>
  <si>
    <t>R-0129</t>
  </si>
  <si>
    <t>R-0130</t>
  </si>
  <si>
    <t>R-0131</t>
  </si>
  <si>
    <t>R-0132</t>
  </si>
  <si>
    <t>R-0133</t>
  </si>
  <si>
    <t>R-0134</t>
  </si>
  <si>
    <t>R-0135</t>
  </si>
  <si>
    <t>R-0136</t>
  </si>
  <si>
    <t>R-0137</t>
  </si>
  <si>
    <t>R-0138</t>
  </si>
  <si>
    <t>R-0139</t>
  </si>
  <si>
    <t>R-0140</t>
  </si>
  <si>
    <t>R-0141</t>
  </si>
  <si>
    <t>R-0142</t>
  </si>
  <si>
    <t>R-0143</t>
  </si>
  <si>
    <t>R-0144</t>
  </si>
  <si>
    <t>R-0145</t>
  </si>
  <si>
    <t>R-0146</t>
  </si>
  <si>
    <t>R-0147</t>
  </si>
  <si>
    <t>R-0148</t>
  </si>
  <si>
    <t>R-0149</t>
  </si>
  <si>
    <t>R-0150</t>
  </si>
  <si>
    <t>R-0151</t>
  </si>
  <si>
    <t>R-0152</t>
  </si>
  <si>
    <t>R-0153</t>
  </si>
  <si>
    <t>R-0154</t>
  </si>
  <si>
    <t>R-0155</t>
  </si>
  <si>
    <t>R-0156</t>
  </si>
  <si>
    <t>R-0157</t>
  </si>
  <si>
    <t>R-0158</t>
  </si>
  <si>
    <t>R-0159</t>
  </si>
  <si>
    <t>R-0160</t>
  </si>
  <si>
    <t>R-0161</t>
  </si>
  <si>
    <t>R-0162</t>
  </si>
  <si>
    <t>R-0163</t>
  </si>
  <si>
    <t>R-0164</t>
  </si>
  <si>
    <t>R-0165</t>
  </si>
  <si>
    <t>R-0166</t>
  </si>
  <si>
    <t>R-0167</t>
  </si>
  <si>
    <t>R-0168</t>
  </si>
  <si>
    <t>R-0169</t>
  </si>
  <si>
    <t>R-0170</t>
  </si>
  <si>
    <t>R-0171</t>
  </si>
  <si>
    <t>R-0172</t>
  </si>
  <si>
    <t>R-0173</t>
  </si>
  <si>
    <t>R-0174</t>
  </si>
  <si>
    <t>R-0175</t>
  </si>
  <si>
    <t>R-0176</t>
  </si>
  <si>
    <t>R-0177</t>
  </si>
  <si>
    <t>R-0178</t>
  </si>
  <si>
    <t>R-0179</t>
  </si>
  <si>
    <t>R-0180</t>
  </si>
  <si>
    <t>R-0181</t>
  </si>
  <si>
    <t>R-0182</t>
  </si>
  <si>
    <t>R-0183</t>
  </si>
  <si>
    <t>R-0185</t>
  </si>
  <si>
    <t>R-0186</t>
  </si>
  <si>
    <t>R-0187</t>
  </si>
  <si>
    <t>R-0188</t>
  </si>
  <si>
    <t>R-0189</t>
  </si>
  <si>
    <t>R-0190</t>
  </si>
  <si>
    <t>R-0191</t>
  </si>
  <si>
    <t>R-0192</t>
  </si>
  <si>
    <t>R-0193</t>
  </si>
  <si>
    <t>R-0194</t>
  </si>
  <si>
    <t>R-0195</t>
  </si>
  <si>
    <t>R-0196</t>
  </si>
  <si>
    <t>R-0197</t>
  </si>
  <si>
    <t>R-0198</t>
  </si>
  <si>
    <t>R-0199</t>
  </si>
  <si>
    <t>R-0200</t>
  </si>
  <si>
    <t>R-0201</t>
  </si>
  <si>
    <t>R-0202</t>
  </si>
  <si>
    <t>R-0203</t>
  </si>
  <si>
    <t>R-0204</t>
  </si>
  <si>
    <t>R-0205</t>
  </si>
  <si>
    <t>R-0206</t>
  </si>
  <si>
    <t>R-0207</t>
  </si>
  <si>
    <t>R-0208</t>
  </si>
  <si>
    <t>R-0209</t>
  </si>
  <si>
    <t>R-0210</t>
  </si>
  <si>
    <t>R-0211</t>
  </si>
  <si>
    <t>R-0212</t>
  </si>
  <si>
    <t>R-0213</t>
  </si>
  <si>
    <t>R-0214</t>
  </si>
  <si>
    <t>R-0215</t>
  </si>
  <si>
    <t>R-0216</t>
  </si>
  <si>
    <t>R-0217</t>
  </si>
  <si>
    <t>R-0218</t>
  </si>
  <si>
    <t>R-0219</t>
  </si>
  <si>
    <t>R-0220</t>
  </si>
  <si>
    <t>R-0221</t>
  </si>
  <si>
    <t>R-0222</t>
  </si>
  <si>
    <t>R-0223</t>
  </si>
  <si>
    <t>R-0224</t>
  </si>
  <si>
    <t>R-0225</t>
  </si>
  <si>
    <t>R-0227</t>
  </si>
  <si>
    <t>R-0228</t>
  </si>
  <si>
    <t>R-0229</t>
  </si>
  <si>
    <t>R-0230</t>
  </si>
  <si>
    <t>R-0231</t>
  </si>
  <si>
    <t>R-0232</t>
  </si>
  <si>
    <t>R-0233</t>
  </si>
  <si>
    <t>R-0234</t>
  </si>
  <si>
    <t>R-0235</t>
  </si>
  <si>
    <t>R-0236</t>
  </si>
  <si>
    <t>R-0237</t>
  </si>
  <si>
    <t>R-0238</t>
  </si>
  <si>
    <t>R-0239</t>
  </si>
  <si>
    <t>R-0240</t>
  </si>
  <si>
    <t>R-0241</t>
  </si>
  <si>
    <t>R-0242</t>
  </si>
  <si>
    <t>R-0243</t>
  </si>
  <si>
    <t>R-0244</t>
  </si>
  <si>
    <t>R-0245</t>
  </si>
  <si>
    <t>R-0246</t>
  </si>
  <si>
    <t>R-0247</t>
  </si>
  <si>
    <t>R-0248</t>
  </si>
  <si>
    <t>R-0249</t>
  </si>
  <si>
    <t>R-0250</t>
  </si>
  <si>
    <t>R-0251</t>
  </si>
  <si>
    <t>R-0252</t>
  </si>
  <si>
    <t>R-0253</t>
  </si>
  <si>
    <t>R-0254</t>
  </si>
  <si>
    <t>R-0255</t>
  </si>
  <si>
    <t>R-0256</t>
  </si>
  <si>
    <t>R-0257</t>
  </si>
  <si>
    <t>R-0258</t>
  </si>
  <si>
    <t>R-0259</t>
  </si>
  <si>
    <t>R-0260</t>
  </si>
  <si>
    <t>R-0262</t>
  </si>
  <si>
    <t>R-0263</t>
  </si>
  <si>
    <t>R-0264</t>
  </si>
  <si>
    <t>R-0265</t>
  </si>
  <si>
    <t>R-0266</t>
  </si>
  <si>
    <t>R-0267</t>
  </si>
  <si>
    <t>R-0268</t>
  </si>
  <si>
    <t>R-0269</t>
  </si>
  <si>
    <t>R-0270</t>
  </si>
  <si>
    <t>R-0271</t>
  </si>
  <si>
    <t>R-0272</t>
  </si>
  <si>
    <t>R-0273</t>
  </si>
  <si>
    <t>R-0274</t>
  </si>
  <si>
    <t>R-0275</t>
  </si>
  <si>
    <t>R-0276</t>
  </si>
  <si>
    <t>R-0278</t>
  </si>
  <si>
    <t>R-0279</t>
  </si>
  <si>
    <t>R-0280</t>
  </si>
  <si>
    <t>R-0281</t>
  </si>
  <si>
    <t>R-0282</t>
  </si>
  <si>
    <t>S-0001</t>
  </si>
  <si>
    <t>S-0002</t>
  </si>
  <si>
    <t>S-0003</t>
  </si>
  <si>
    <t>S-0004</t>
  </si>
  <si>
    <t>S-0005</t>
  </si>
  <si>
    <t>S-0006</t>
  </si>
  <si>
    <t>S-0007</t>
  </si>
  <si>
    <t>S-0008</t>
  </si>
  <si>
    <t>S-0009</t>
  </si>
  <si>
    <t>S-0010</t>
  </si>
  <si>
    <t>R-1001</t>
  </si>
  <si>
    <t>R-1003</t>
  </si>
  <si>
    <t>R-1004</t>
  </si>
  <si>
    <t>R-1006</t>
  </si>
  <si>
    <t>R-1007</t>
  </si>
  <si>
    <t>R-1008</t>
  </si>
  <si>
    <t>R-1009</t>
  </si>
  <si>
    <t>R-1010</t>
  </si>
  <si>
    <t>R-1011</t>
  </si>
  <si>
    <t>R-1012</t>
  </si>
  <si>
    <t>R-1014</t>
  </si>
  <si>
    <t>R-1015</t>
  </si>
  <si>
    <t>R-1016</t>
  </si>
  <si>
    <t>R-1017</t>
  </si>
  <si>
    <t>R-1018</t>
  </si>
  <si>
    <t>R-1020</t>
  </si>
  <si>
    <t>R-1021</t>
  </si>
  <si>
    <t>R-1022</t>
  </si>
  <si>
    <t>R-1023</t>
  </si>
  <si>
    <t>R-1024</t>
  </si>
  <si>
    <t>R-1025</t>
  </si>
  <si>
    <t>R-1026</t>
  </si>
  <si>
    <t>R-1027</t>
  </si>
  <si>
    <t>R-1028</t>
  </si>
  <si>
    <t>R-1029</t>
  </si>
  <si>
    <t>R-1030</t>
  </si>
  <si>
    <t>R-1031</t>
  </si>
  <si>
    <t>R-1032</t>
  </si>
  <si>
    <t>R-1033</t>
  </si>
  <si>
    <t>R-1034</t>
  </si>
  <si>
    <t>R-1035</t>
  </si>
  <si>
    <t>R-1036</t>
  </si>
  <si>
    <t>R-1037</t>
  </si>
  <si>
    <t>R-1038</t>
  </si>
  <si>
    <t>R-1039</t>
  </si>
  <si>
    <t>R-1040</t>
  </si>
  <si>
    <t>R-1041</t>
  </si>
  <si>
    <t>R-1042</t>
  </si>
  <si>
    <t>R-1043</t>
  </si>
  <si>
    <t>R-1044</t>
  </si>
  <si>
    <t>R-1045</t>
  </si>
  <si>
    <t>R-1046</t>
  </si>
  <si>
    <t>R-1047</t>
  </si>
  <si>
    <t>R-1049</t>
  </si>
  <si>
    <t>R-1050</t>
  </si>
  <si>
    <t>R-1051</t>
  </si>
  <si>
    <t>R-1052</t>
  </si>
  <si>
    <t>R-1053</t>
  </si>
  <si>
    <t>R-1054</t>
  </si>
  <si>
    <t>R-1055</t>
  </si>
  <si>
    <t>R-1058</t>
  </si>
  <si>
    <t>R-1059</t>
  </si>
  <si>
    <t>R-1060</t>
  </si>
  <si>
    <t>R-1061</t>
  </si>
  <si>
    <t>R-1062</t>
  </si>
  <si>
    <t>R-1063</t>
  </si>
  <si>
    <t>R-1064</t>
  </si>
  <si>
    <t>R-1065</t>
  </si>
  <si>
    <t>R-1066</t>
  </si>
  <si>
    <t>R-1067</t>
  </si>
  <si>
    <t>R-1068</t>
  </si>
  <si>
    <t>R-1069</t>
  </si>
  <si>
    <t>R-1070</t>
  </si>
  <si>
    <t>R-1071</t>
  </si>
  <si>
    <t>R-1072</t>
  </si>
  <si>
    <t>R-1073</t>
  </si>
  <si>
    <t>R-1074</t>
  </si>
  <si>
    <t>R-1075</t>
  </si>
  <si>
    <t>R-1076</t>
  </si>
  <si>
    <t>R-1077</t>
  </si>
  <si>
    <t>R-1078</t>
  </si>
  <si>
    <t>R-1079</t>
  </si>
  <si>
    <t>R-1080</t>
  </si>
  <si>
    <t>R-1081</t>
  </si>
  <si>
    <t>R-1082</t>
  </si>
  <si>
    <t>R-1083</t>
  </si>
  <si>
    <t>R-1084</t>
  </si>
  <si>
    <t>R-1085</t>
  </si>
  <si>
    <t>R-1086</t>
  </si>
  <si>
    <t>R-1087</t>
  </si>
  <si>
    <t>R-1088</t>
  </si>
  <si>
    <t>R-1089</t>
  </si>
  <si>
    <t>R-1090</t>
  </si>
  <si>
    <t>R-1091</t>
  </si>
  <si>
    <t>R-1092</t>
  </si>
  <si>
    <t>R-1093</t>
  </si>
  <si>
    <t>R-1094</t>
  </si>
  <si>
    <t>R-1095</t>
  </si>
  <si>
    <t>R-1096</t>
  </si>
  <si>
    <t>R-1097</t>
  </si>
  <si>
    <t>R-1098</t>
  </si>
  <si>
    <t>R-1099</t>
  </si>
  <si>
    <t>R-1100</t>
  </si>
  <si>
    <t>R-1101</t>
  </si>
  <si>
    <t>R-1102</t>
  </si>
  <si>
    <t>R-1103</t>
  </si>
  <si>
    <t>R-1104</t>
  </si>
  <si>
    <t>R-1105</t>
  </si>
  <si>
    <t>R-1106</t>
  </si>
  <si>
    <t>R-1107</t>
  </si>
  <si>
    <t>R-1108</t>
  </si>
  <si>
    <t>R-1109</t>
  </si>
  <si>
    <t>R-1110</t>
  </si>
  <si>
    <t>R-1111</t>
  </si>
  <si>
    <t>R-1112</t>
  </si>
  <si>
    <t>R-1113</t>
  </si>
  <si>
    <t>R-1114</t>
  </si>
  <si>
    <t>R-1115</t>
  </si>
  <si>
    <t>R-1116</t>
  </si>
  <si>
    <t>R-1117</t>
  </si>
  <si>
    <t>R-1119</t>
  </si>
  <si>
    <t>R-1120</t>
  </si>
  <si>
    <t>R-1121</t>
  </si>
  <si>
    <t>R-1122</t>
  </si>
  <si>
    <t>R-1123</t>
  </si>
  <si>
    <t>R-1124</t>
  </si>
  <si>
    <t>R-1125</t>
  </si>
  <si>
    <t>R-1126</t>
  </si>
  <si>
    <t>R-1127</t>
  </si>
  <si>
    <t>R-1128</t>
  </si>
  <si>
    <t>R-1129</t>
  </si>
  <si>
    <t>R-1130</t>
  </si>
  <si>
    <t>R-1131</t>
  </si>
  <si>
    <t>R-1132</t>
  </si>
  <si>
    <t>R-1133</t>
  </si>
  <si>
    <t>R-1134</t>
  </si>
  <si>
    <t>R-1135</t>
  </si>
  <si>
    <t>R-1136</t>
  </si>
  <si>
    <t>R-1137</t>
  </si>
  <si>
    <t>R-1138</t>
  </si>
  <si>
    <t>R-1139</t>
  </si>
  <si>
    <t>R-1140</t>
  </si>
  <si>
    <t>R-1141</t>
  </si>
  <si>
    <t>R-1142</t>
  </si>
  <si>
    <t>R-1143</t>
  </si>
  <si>
    <t>R-1144</t>
  </si>
  <si>
    <t>R-1145</t>
  </si>
  <si>
    <t>R-1146</t>
  </si>
  <si>
    <t>R-1147</t>
  </si>
  <si>
    <t>R-1148</t>
  </si>
  <si>
    <t>R-1149</t>
  </si>
  <si>
    <t>R-1150</t>
  </si>
  <si>
    <t>R-1151</t>
  </si>
  <si>
    <t>R-1152</t>
  </si>
  <si>
    <t>R-1153</t>
  </si>
  <si>
    <t>R-1154</t>
  </si>
  <si>
    <t>R-1155</t>
  </si>
  <si>
    <t>R-1156</t>
  </si>
  <si>
    <t>R-1157</t>
  </si>
  <si>
    <t>R-1158</t>
  </si>
  <si>
    <t>R-1159</t>
  </si>
  <si>
    <t>R-1160</t>
  </si>
  <si>
    <t>R-1161</t>
  </si>
  <si>
    <t>R-1162</t>
  </si>
  <si>
    <t>R-1163</t>
  </si>
  <si>
    <t>R-1164</t>
  </si>
  <si>
    <t>R-1165</t>
  </si>
  <si>
    <t>R-1166</t>
  </si>
  <si>
    <t>R-1167</t>
  </si>
  <si>
    <t>R-1168</t>
  </si>
  <si>
    <t>R-1169</t>
  </si>
  <si>
    <t>R-1170</t>
  </si>
  <si>
    <t>R-1171</t>
  </si>
  <si>
    <t>R-1172</t>
  </si>
  <si>
    <t>R-1173</t>
  </si>
  <si>
    <t>R-1174</t>
  </si>
  <si>
    <t>R-1175</t>
  </si>
  <si>
    <t>R-1176</t>
  </si>
  <si>
    <t>R-1177</t>
  </si>
  <si>
    <t>R-1178</t>
  </si>
  <si>
    <t>R-1179</t>
  </si>
  <si>
    <t>R-1180</t>
  </si>
  <si>
    <t>R-1181</t>
  </si>
  <si>
    <t>R-1182</t>
  </si>
  <si>
    <t>R-1183</t>
  </si>
  <si>
    <t>R-1184</t>
  </si>
  <si>
    <t>R-1185</t>
  </si>
  <si>
    <t>R-1186</t>
  </si>
  <si>
    <t>R-1187</t>
  </si>
  <si>
    <t>R-1188</t>
  </si>
  <si>
    <t>R-1189</t>
  </si>
  <si>
    <t>R-1190</t>
  </si>
  <si>
    <t>R-1191</t>
  </si>
  <si>
    <t>R-1192</t>
  </si>
  <si>
    <t>R-1193</t>
  </si>
  <si>
    <t>R-1194</t>
  </si>
  <si>
    <t>R-1195</t>
  </si>
  <si>
    <t>R-1196</t>
  </si>
  <si>
    <t>R-1197</t>
  </si>
  <si>
    <t>R-1198</t>
  </si>
  <si>
    <t>R-1199</t>
  </si>
  <si>
    <t>R-1200</t>
  </si>
  <si>
    <t>R-1201</t>
  </si>
  <si>
    <t>R-1202</t>
  </si>
  <si>
    <t>R-1203</t>
  </si>
  <si>
    <t>R-1204</t>
  </si>
  <si>
    <t>R-1205</t>
  </si>
  <si>
    <t>R-1206</t>
  </si>
  <si>
    <t>R-1207</t>
  </si>
  <si>
    <t>R-1208</t>
  </si>
  <si>
    <t>R-1209</t>
  </si>
  <si>
    <t>R-1210</t>
  </si>
  <si>
    <t>R-1211</t>
  </si>
  <si>
    <t>R-1212</t>
  </si>
  <si>
    <t>R-1213</t>
  </si>
  <si>
    <t>R-1214</t>
  </si>
  <si>
    <t>R-1215</t>
  </si>
  <si>
    <t>R-1216</t>
  </si>
  <si>
    <t>R-1217</t>
  </si>
  <si>
    <t>R-1218</t>
  </si>
  <si>
    <t>R-1219</t>
  </si>
  <si>
    <t>R-1220</t>
  </si>
  <si>
    <t>R-1221</t>
  </si>
  <si>
    <t>R-1222</t>
  </si>
  <si>
    <t>R-1223</t>
  </si>
  <si>
    <t>R-1224</t>
  </si>
  <si>
    <t>R-1225</t>
  </si>
  <si>
    <t>R-1226</t>
  </si>
  <si>
    <t>R-1227</t>
  </si>
  <si>
    <t>R-1228</t>
  </si>
  <si>
    <t>R-1229</t>
  </si>
  <si>
    <t>R-1230</t>
  </si>
  <si>
    <t>R-1231</t>
  </si>
  <si>
    <t>R-1232</t>
  </si>
  <si>
    <t>R-1233</t>
  </si>
  <si>
    <t>R-1234</t>
  </si>
  <si>
    <t>R-1235</t>
  </si>
  <si>
    <t>R-1236</t>
  </si>
  <si>
    <t>R-1237</t>
  </si>
  <si>
    <t>R-1238</t>
  </si>
  <si>
    <t>R-1239</t>
  </si>
  <si>
    <t>R-1240</t>
  </si>
  <si>
    <t>R-1241</t>
  </si>
  <si>
    <t>R-1242</t>
  </si>
  <si>
    <t>R-1244</t>
  </si>
  <si>
    <t>R-1245</t>
  </si>
  <si>
    <t>R-1246</t>
  </si>
  <si>
    <t>R-1248</t>
  </si>
  <si>
    <t>R-1249</t>
  </si>
  <si>
    <t>R-1250</t>
  </si>
  <si>
    <t>R-1251</t>
  </si>
  <si>
    <t>R-1252</t>
  </si>
  <si>
    <t>R-1253</t>
  </si>
  <si>
    <t>R-1254</t>
  </si>
  <si>
    <t>R-1255</t>
  </si>
  <si>
    <t>R-1256</t>
  </si>
  <si>
    <t>R-1257</t>
  </si>
  <si>
    <t>R-1258</t>
  </si>
  <si>
    <t>R-1259</t>
  </si>
  <si>
    <t>R-1260</t>
  </si>
  <si>
    <t>R-1261</t>
  </si>
  <si>
    <t>R-1262</t>
  </si>
  <si>
    <t>R-1263</t>
  </si>
  <si>
    <t>R-1264</t>
  </si>
  <si>
    <t>R-1265</t>
  </si>
  <si>
    <t>R-1266</t>
  </si>
  <si>
    <t>R-1267</t>
  </si>
  <si>
    <t>R-1268</t>
  </si>
  <si>
    <t>R-1269</t>
  </si>
  <si>
    <t>R-1270</t>
  </si>
  <si>
    <t>R-1271</t>
  </si>
  <si>
    <t>R-1272</t>
  </si>
  <si>
    <t>R-1273</t>
  </si>
  <si>
    <t>R-1274</t>
  </si>
  <si>
    <t>R-1275</t>
  </si>
  <si>
    <t>R-1276</t>
  </si>
  <si>
    <t>R-1277</t>
  </si>
  <si>
    <t>R-1278</t>
  </si>
  <si>
    <t>R-1279</t>
  </si>
  <si>
    <t>R-1280</t>
  </si>
  <si>
    <t>R-1281</t>
  </si>
  <si>
    <t>R-1282</t>
  </si>
  <si>
    <t>R-1283</t>
  </si>
  <si>
    <t>R-1284</t>
  </si>
  <si>
    <t>R-1285</t>
  </si>
  <si>
    <t>R-1286</t>
  </si>
  <si>
    <t>R-1287</t>
  </si>
  <si>
    <t>R-1288</t>
  </si>
  <si>
    <t>S-1001</t>
  </si>
  <si>
    <t>S-1002</t>
  </si>
  <si>
    <t>S-1003</t>
  </si>
  <si>
    <t>S-1004</t>
  </si>
  <si>
    <t>S-1005</t>
  </si>
  <si>
    <t>S-1006</t>
  </si>
  <si>
    <t>S-1007</t>
  </si>
  <si>
    <t>S-1008</t>
  </si>
  <si>
    <t>R-2001</t>
  </si>
  <si>
    <t>R-3001</t>
  </si>
  <si>
    <t>R-4001</t>
  </si>
  <si>
    <t>박**</t>
  </si>
  <si>
    <t>윤**</t>
  </si>
  <si>
    <t>심**</t>
  </si>
  <si>
    <t>오**</t>
  </si>
  <si>
    <t>정**</t>
  </si>
  <si>
    <t>백**</t>
  </si>
  <si>
    <t>임**</t>
  </si>
  <si>
    <t>남**</t>
  </si>
  <si>
    <t>이**</t>
  </si>
  <si>
    <t>조**</t>
  </si>
  <si>
    <t>우**</t>
  </si>
  <si>
    <t>(주)올***</t>
  </si>
  <si>
    <t>김**</t>
  </si>
  <si>
    <t>(주)뮤***</t>
  </si>
  <si>
    <t>최**</t>
  </si>
  <si>
    <t>강**</t>
  </si>
  <si>
    <t>안**</t>
  </si>
  <si>
    <t>장**</t>
  </si>
  <si>
    <t>송**</t>
  </si>
  <si>
    <t>전**</t>
  </si>
  <si>
    <t>(주)동***</t>
  </si>
  <si>
    <t>한**</t>
  </si>
  <si>
    <t>서**</t>
  </si>
  <si>
    <t>(주)엠***</t>
  </si>
  <si>
    <t>민**</t>
  </si>
  <si>
    <t>최*</t>
  </si>
  <si>
    <t>(주)유**</t>
  </si>
  <si>
    <t>신**</t>
  </si>
  <si>
    <t>(주)일***</t>
  </si>
  <si>
    <t>박*</t>
  </si>
  <si>
    <t>고**</t>
  </si>
  <si>
    <t>홍**</t>
  </si>
  <si>
    <t>문**</t>
  </si>
  <si>
    <t>운**</t>
  </si>
  <si>
    <t>황**</t>
  </si>
  <si>
    <t>유**</t>
  </si>
  <si>
    <t>곽**</t>
  </si>
  <si>
    <t>석**</t>
  </si>
  <si>
    <t>구**</t>
  </si>
  <si>
    <t>진**</t>
  </si>
  <si>
    <t>양**</t>
  </si>
  <si>
    <t>(주)더**</t>
  </si>
  <si>
    <t>하**</t>
  </si>
  <si>
    <t>배**</t>
  </si>
  <si>
    <t>마**</t>
  </si>
  <si>
    <t>모**</t>
  </si>
  <si>
    <t>손**</t>
  </si>
  <si>
    <t>변**</t>
  </si>
  <si>
    <t>천**</t>
  </si>
  <si>
    <t>권**</t>
  </si>
  <si>
    <t>서*</t>
  </si>
  <si>
    <t>손***</t>
  </si>
  <si>
    <t>주**</t>
  </si>
  <si>
    <t>원**</t>
  </si>
  <si>
    <t>허**</t>
  </si>
  <si>
    <t>(주)서***</t>
  </si>
  <si>
    <t>(주)미*</t>
  </si>
  <si>
    <t>(주)에***</t>
  </si>
  <si>
    <t>(주)승***</t>
  </si>
  <si>
    <t>(주)타***</t>
  </si>
  <si>
    <t>(주)운*</t>
  </si>
  <si>
    <t>이*</t>
  </si>
  <si>
    <t>노**</t>
  </si>
  <si>
    <t>현**</t>
  </si>
  <si>
    <t>방**</t>
  </si>
  <si>
    <t>(주)아***</t>
  </si>
  <si>
    <t>민*</t>
  </si>
  <si>
    <t>나**</t>
  </si>
  <si>
    <t>차**</t>
  </si>
  <si>
    <t>소**</t>
  </si>
  <si>
    <t>편**</t>
  </si>
  <si>
    <t>여**</t>
  </si>
  <si>
    <t>성**</t>
  </si>
  <si>
    <t>주식회사파**</t>
  </si>
  <si>
    <t>(주)정***</t>
  </si>
  <si>
    <t>(주)오***</t>
  </si>
  <si>
    <t>(주)하***</t>
  </si>
  <si>
    <t>(주)초****</t>
  </si>
  <si>
    <t>(주)비****</t>
  </si>
  <si>
    <t>(주)진*****</t>
  </si>
  <si>
    <t>주식회사더***</t>
  </si>
  <si>
    <t>(주)미*****</t>
  </si>
  <si>
    <t>농업회사법인 권***** 주식회사</t>
  </si>
  <si>
    <t>자*******</t>
  </si>
  <si>
    <t>(주)에****</t>
  </si>
  <si>
    <t>(주)케*******</t>
  </si>
  <si>
    <t>주식회사 서*****</t>
  </si>
  <si>
    <t>(주)국*****</t>
  </si>
  <si>
    <t>주식회사퀴******</t>
  </si>
  <si>
    <t>주식회사 원****</t>
  </si>
  <si>
    <t>주식회사 티**(T**** INC.)</t>
  </si>
  <si>
    <t>(주)아*******</t>
  </si>
  <si>
    <t>Y* *******</t>
  </si>
  <si>
    <t>C**** S*** J** D****</t>
  </si>
  <si>
    <t>(주)아******</t>
  </si>
  <si>
    <t>(주)화******</t>
  </si>
  <si>
    <t>땅****농업회사법인(유)</t>
  </si>
  <si>
    <t>(주)누***</t>
  </si>
  <si>
    <t>더********(주)</t>
  </si>
  <si>
    <t>(주)주******</t>
  </si>
  <si>
    <t>(주)리***</t>
  </si>
  <si>
    <t>J** *******</t>
  </si>
  <si>
    <t>세***주식회사</t>
  </si>
  <si>
    <t>(주)부*****</t>
  </si>
  <si>
    <t>윤***(주)</t>
  </si>
  <si>
    <t>양*****(주)</t>
  </si>
  <si>
    <t>네*****(주)</t>
  </si>
  <si>
    <t>주식회사 다****</t>
  </si>
  <si>
    <t>(주)미****</t>
  </si>
  <si>
    <t>(주)세*******</t>
  </si>
  <si>
    <t>(주)디****</t>
  </si>
  <si>
    <t>유******(주)</t>
  </si>
  <si>
    <t>(주)명******</t>
  </si>
  <si>
    <t>이****(주)</t>
  </si>
  <si>
    <t>주식회사엘********</t>
  </si>
  <si>
    <t>(주)가****</t>
  </si>
  <si>
    <t>(주)와*******</t>
  </si>
  <si>
    <t>(주)펜****</t>
  </si>
  <si>
    <t>(주)에******</t>
  </si>
  <si>
    <t>(주)백****</t>
  </si>
  <si>
    <t>(주)신*****</t>
  </si>
  <si>
    <t>(주)아****</t>
  </si>
  <si>
    <t>(주)텔***</t>
  </si>
  <si>
    <t>주식회사 익****</t>
  </si>
  <si>
    <t>주식회사 케****(K** CO.LTD.)</t>
  </si>
  <si>
    <t>(주)뷰*****</t>
  </si>
  <si>
    <t>버****주식회사</t>
  </si>
  <si>
    <t>대****(주)</t>
  </si>
  <si>
    <t>(유)진*****</t>
  </si>
  <si>
    <t>비****** 주식회사 B* **********</t>
  </si>
  <si>
    <t>(주)더*****</t>
  </si>
  <si>
    <t>(주)더*******</t>
  </si>
  <si>
    <t>(주)삼*****</t>
  </si>
  <si>
    <t>(주)더*********</t>
  </si>
  <si>
    <t>(주)에*****</t>
  </si>
  <si>
    <t>주식회사모***</t>
  </si>
  <si>
    <t>농업회사법인우****(주)</t>
  </si>
  <si>
    <t>(주)엔*****</t>
  </si>
  <si>
    <t>(주)엠********</t>
  </si>
  <si>
    <t>엘*******주식회사</t>
  </si>
  <si>
    <t>(주)모****</t>
  </si>
  <si>
    <t>주식회사 유***</t>
  </si>
  <si>
    <t>(주)데*****</t>
  </si>
  <si>
    <t>(주)이******</t>
  </si>
  <si>
    <t>주식회사어***</t>
  </si>
  <si>
    <t>아***********</t>
  </si>
  <si>
    <t>주식회사 미**</t>
  </si>
  <si>
    <t>J** *********</t>
  </si>
  <si>
    <t>더***(주)</t>
  </si>
  <si>
    <t>지******(주)</t>
  </si>
  <si>
    <t>원리금연체기준일자</t>
    <phoneticPr fontId="5" type="noConversion"/>
  </si>
  <si>
    <t>약정이자율
(%)</t>
    <phoneticPr fontId="5" type="noConversion"/>
  </si>
  <si>
    <t>Cut off 적용이자율(%)</t>
    <phoneticPr fontId="5" type="noConversion"/>
  </si>
  <si>
    <t>이자계산조회표
제공양식</t>
    <phoneticPr fontId="16" type="noConversion"/>
  </si>
  <si>
    <t>Property
설정 순위</t>
    <phoneticPr fontId="5" type="noConversion"/>
  </si>
  <si>
    <t>권리유형</t>
    <phoneticPr fontId="5" type="noConversion"/>
  </si>
  <si>
    <t>SHB</t>
  </si>
  <si>
    <t>주식회사카카오뱅크</t>
  </si>
  <si>
    <t>한국스탠다드차타드은행</t>
  </si>
  <si>
    <t>소상공인자영업자새출발기금</t>
  </si>
  <si>
    <t>삼성생명보험</t>
  </si>
  <si>
    <t>화원새마을금고</t>
  </si>
  <si>
    <t>부산은행</t>
  </si>
  <si>
    <t>도봉새마을금고</t>
  </si>
  <si>
    <t>서초중앙새마을금고</t>
  </si>
  <si>
    <t>동수원신용협동조합</t>
  </si>
  <si>
    <t>대구은행</t>
  </si>
  <si>
    <t>광주은행</t>
  </si>
  <si>
    <t>양주축산업협동조합</t>
  </si>
  <si>
    <t>신한저축은행</t>
  </si>
  <si>
    <t>2,3</t>
  </si>
  <si>
    <t>1,2</t>
  </si>
  <si>
    <t>2,3,4,5,6</t>
  </si>
  <si>
    <t>2,3,4,5</t>
  </si>
  <si>
    <t>1,3,4,5,6</t>
  </si>
  <si>
    <t>1,3,4,5</t>
  </si>
  <si>
    <t>4,5</t>
  </si>
  <si>
    <t>1,2,4,5,6</t>
  </si>
  <si>
    <t>1,2,4,5</t>
  </si>
  <si>
    <t>3,5</t>
  </si>
  <si>
    <t>1,2,3,5,6</t>
  </si>
  <si>
    <t>1,2,3,5</t>
  </si>
  <si>
    <t>3,4</t>
  </si>
  <si>
    <t>1,2,3,4,6</t>
  </si>
  <si>
    <t>1,2,3,4</t>
  </si>
  <si>
    <t>1,2,3,4,5</t>
  </si>
  <si>
    <t>2,3,4</t>
  </si>
  <si>
    <t>1,3,4</t>
  </si>
  <si>
    <t>1,2,4</t>
  </si>
  <si>
    <t>1,2,3</t>
  </si>
  <si>
    <t>제6조 목록 제2021-192호</t>
  </si>
  <si>
    <t>제6조 목록 제2022-175호</t>
  </si>
  <si>
    <t>제6조 목록 제2023-106호</t>
  </si>
  <si>
    <t>제6조 목록 제2017-29호</t>
  </si>
  <si>
    <t>제6조 목록 제2023-116호</t>
  </si>
  <si>
    <t>제6조 목록 제2022-55호</t>
  </si>
  <si>
    <t>제6조 목록 제2021-281호</t>
  </si>
  <si>
    <t>제6조 목록 제2022-447호</t>
  </si>
  <si>
    <t>제6조 목록 제2022-478호</t>
  </si>
  <si>
    <t>제6조 목록 제2014-362호</t>
  </si>
  <si>
    <t>제6조 목록 제2015-3호</t>
  </si>
  <si>
    <t>제6조 목록 제2015-368호</t>
  </si>
  <si>
    <t>제6조 목록 제2019-330호</t>
  </si>
  <si>
    <t>제6조 목록 제2022-112호</t>
  </si>
  <si>
    <t>제6조 목록 제2021-191호</t>
  </si>
  <si>
    <t>제6조 목록 제2022-174호</t>
  </si>
  <si>
    <t>제6조 목록 제2022-173호</t>
  </si>
  <si>
    <t>제6조 목록 제2023-115호</t>
  </si>
  <si>
    <t>제6조 목록 제2018-181호</t>
  </si>
  <si>
    <t>제6조 목록 제2019-430호</t>
  </si>
  <si>
    <t>제6조 목록 제2020-1455호</t>
  </si>
  <si>
    <t>제6조 목록 제2021-161호</t>
  </si>
  <si>
    <t>제6조 목록 제2021-160호</t>
  </si>
  <si>
    <t>제6조 목록 제2023-22호</t>
  </si>
  <si>
    <t>제6조 목록 제2024-20호</t>
  </si>
  <si>
    <t>제6조 목록 제2022-176호</t>
  </si>
  <si>
    <t>제6조 목록 제2023-105호</t>
  </si>
  <si>
    <t>제6조 목록 제2024-204호/제6조 목록 제2024-207호</t>
  </si>
  <si>
    <t>제6조 목록 제2024-205호/제6조 목록 제2024-206호</t>
  </si>
  <si>
    <t>시흥동</t>
  </si>
  <si>
    <t>919-7 태을명가</t>
  </si>
  <si>
    <t>5층 단독주택,제2종근린생활시설</t>
  </si>
  <si>
    <t>919-7</t>
  </si>
  <si>
    <t>대곡동</t>
  </si>
  <si>
    <t>1101-1 에스엔피빌딩 제1층 제103호</t>
  </si>
  <si>
    <t>근린생활시설 4층</t>
  </si>
  <si>
    <t>단계동</t>
  </si>
  <si>
    <t>809 벽산아파트 제106동 제1층 제103호</t>
  </si>
  <si>
    <t>14층</t>
  </si>
  <si>
    <t>166 가락삼익맨숀 제209동 제6층 제605호</t>
  </si>
  <si>
    <t>166</t>
  </si>
  <si>
    <t>166-4</t>
  </si>
  <si>
    <t>120 월성푸르지오 제101동 제5층 제504호</t>
  </si>
  <si>
    <t>1240외 6필지 래미안하이어스 제128동 제11층 제1103호</t>
  </si>
  <si>
    <t>당동</t>
  </si>
  <si>
    <t>744-11 제4층 제401호</t>
  </si>
  <si>
    <t>5층 공동주택(다세대주택)</t>
  </si>
  <si>
    <t>공도읍 양기리</t>
  </si>
  <si>
    <t>615 안성공도서해그랑블아파트 제105동 제4층 제401호</t>
  </si>
  <si>
    <t>28층 아파트</t>
  </si>
  <si>
    <t>620 은계브리즈힐 제1001동 제8층 제804호</t>
  </si>
  <si>
    <t>서귀포시</t>
  </si>
  <si>
    <t>남원읍 남원리</t>
  </si>
  <si>
    <t>197-12 탐나빌 제3동 제3층 제301호</t>
  </si>
  <si>
    <t>매산동</t>
  </si>
  <si>
    <t>223-7 신호팰리스 제104동 제4층 제403호</t>
  </si>
  <si>
    <t>4층 공동주택(다세대주택)</t>
  </si>
  <si>
    <t>428-2 제비동 제1층 제102호</t>
  </si>
  <si>
    <t>남원읍 태흥리</t>
  </si>
  <si>
    <t>1765-1 우리가 제5층 제503호</t>
  </si>
  <si>
    <t>덕월동</t>
  </si>
  <si>
    <t>653-2외 1필지 우성아파트 제105동 제1층 제103호</t>
  </si>
  <si>
    <t>13층</t>
  </si>
  <si>
    <t>창원시 의창구</t>
  </si>
  <si>
    <t>도계동</t>
  </si>
  <si>
    <t>422-1 황제빌라 제4층 제404호</t>
  </si>
  <si>
    <t>7층 근린생활시설 및 아파트</t>
  </si>
  <si>
    <t>4432-2 다산 리버펠리체 제726동 제9층 제902호</t>
  </si>
  <si>
    <t>구갈동</t>
  </si>
  <si>
    <t>581-1 강남앤플러스 제8층 제814호</t>
  </si>
  <si>
    <t>지하3층, 지상9층 제1,2종근린생활시설,교육연구시설,업무시설,판매시설</t>
  </si>
  <si>
    <t>1134 골든타워 제1층 제104호</t>
  </si>
  <si>
    <t>5층 근린생활시설</t>
  </si>
  <si>
    <t>전동</t>
  </si>
  <si>
    <t>27-5 정성파크빌라드 제2층 제202호</t>
  </si>
  <si>
    <t>인계동</t>
  </si>
  <si>
    <t>1043 제6층 제608호</t>
  </si>
  <si>
    <t>9층 아파트(도시형생활주택-131세대)</t>
  </si>
  <si>
    <t>2732 호반써밋더프라임 제108동 제18층 제1804호</t>
  </si>
  <si>
    <t>아라일동</t>
  </si>
  <si>
    <t>6121 아라아이파크 제101동 제10층 제1004호</t>
  </si>
  <si>
    <t>성내동</t>
  </si>
  <si>
    <t>447-1</t>
  </si>
  <si>
    <t>2층 근린생활시설 및 단독주택(5가구)</t>
  </si>
  <si>
    <t>삼성동</t>
  </si>
  <si>
    <t>78-1 위레벤646 제6층 제604호</t>
  </si>
  <si>
    <t>19층 공동주택(아파트-도시형생활주택), 업무시설(오피스텔), 근린생활시설</t>
  </si>
  <si>
    <t>사우동</t>
  </si>
  <si>
    <t>1309-9 울루물루 타운하우스 제301동 제2층 제209호</t>
  </si>
  <si>
    <t>의정부동</t>
  </si>
  <si>
    <t>199-10 우미쁘띠린2차 제9층 제910호</t>
  </si>
  <si>
    <t>15층 아파트(도시형생활주택), 업무시설(오피스텔), 제1,2종근린생활시설</t>
  </si>
  <si>
    <t>창원시 마산회원구</t>
  </si>
  <si>
    <t>석전동</t>
  </si>
  <si>
    <t>224-4 공작예식장 1동</t>
  </si>
  <si>
    <t>7층 건 보이라실 및 기계실, 위락시설 근린생활시설,예식장,관람집회시설</t>
  </si>
  <si>
    <t>224-4 2동</t>
  </si>
  <si>
    <t>224-4</t>
  </si>
  <si>
    <t>224-4 지제이웨딩홀 제3동호</t>
  </si>
  <si>
    <t>합성동</t>
  </si>
  <si>
    <t>737-6</t>
  </si>
  <si>
    <t>737-7</t>
  </si>
  <si>
    <t>599-5 씨 제1층 제101호</t>
  </si>
  <si>
    <t>3층 다세대주택</t>
  </si>
  <si>
    <t>잠원동</t>
  </si>
  <si>
    <t>49-8 한강아파트 제1동 제3층 제307호</t>
  </si>
  <si>
    <t>염치읍 서원리</t>
  </si>
  <si>
    <t>70-4 제1동호</t>
  </si>
  <si>
    <t>단층 창고시설</t>
  </si>
  <si>
    <t>70-4 제2동호</t>
  </si>
  <si>
    <t>70-4 3동</t>
  </si>
  <si>
    <t>단층 운동시설</t>
  </si>
  <si>
    <t>70-4</t>
  </si>
  <si>
    <t>70-13</t>
  </si>
  <si>
    <t>연희동</t>
  </si>
  <si>
    <t>95-22 벗</t>
  </si>
  <si>
    <t>2층 단독주택(다가구주택(2가구))</t>
  </si>
  <si>
    <t>95-22</t>
  </si>
  <si>
    <t>용암동</t>
  </si>
  <si>
    <t>2076 태산그린아파트 제102동 제3층 제305호</t>
  </si>
  <si>
    <t>월곶면 포내리</t>
  </si>
  <si>
    <t>26-2</t>
  </si>
  <si>
    <t>26-6외 1필지</t>
  </si>
  <si>
    <t>1층 철골조 충전장(캐노피)단층 위험물저장 및 처리시설</t>
  </si>
  <si>
    <t>26-6</t>
  </si>
  <si>
    <t>주유소용지</t>
  </si>
  <si>
    <t>26-7</t>
  </si>
  <si>
    <t>26-10</t>
  </si>
  <si>
    <t>503 개포1차우성아파트 제2동 제5층 제505호</t>
  </si>
  <si>
    <t>오산동</t>
  </si>
  <si>
    <t>977-3 동탄역스타디움블루 제2층 제201호</t>
  </si>
  <si>
    <t>12층 업무시설</t>
  </si>
  <si>
    <t>977-3 동탄역스타디움블루 제2층 제202호</t>
  </si>
  <si>
    <t>977-3 동탄역스타디움블루 제2층 제203호</t>
  </si>
  <si>
    <t>977-3 동탄역스타디움블루 제2층 제204호</t>
  </si>
  <si>
    <t>977-3 동탄역스타디움블루 제2층 제205호</t>
  </si>
  <si>
    <t>청주시 서원구</t>
  </si>
  <si>
    <t>분평동</t>
  </si>
  <si>
    <t>1360 청주분평주공5단지 제502동 제5층 제503호</t>
  </si>
  <si>
    <t>성동구</t>
  </si>
  <si>
    <t>옥수동</t>
  </si>
  <si>
    <t>220-1 한남하이츠아파트 제1동 제3층 제302호</t>
  </si>
  <si>
    <t>12층 한남하이츠아파트</t>
  </si>
  <si>
    <t>472-11</t>
  </si>
  <si>
    <t>소사본동</t>
  </si>
  <si>
    <t>171-17 네이처빌리지 제102동 제3층 제301호</t>
  </si>
  <si>
    <t>5층 단지형다세대</t>
  </si>
  <si>
    <t>832-59 삼성캐슬 제105동 제3층 제301호</t>
  </si>
  <si>
    <t>고읍동</t>
  </si>
  <si>
    <t>451 산내들마을우미린아파트 제301동 제9층 제901호</t>
  </si>
  <si>
    <t>778 보네르빌리지아파트 제107동 제9층 제904호</t>
  </si>
  <si>
    <t>14층 공동주택(아파트)</t>
  </si>
  <si>
    <t>421 신도아파트 제403동 제1층 제103호</t>
  </si>
  <si>
    <t>3147 시티프라디움2단지 제206동 제2층 제203호</t>
  </si>
  <si>
    <t>본오동</t>
  </si>
  <si>
    <t>871-5 제지하1층 제101호</t>
  </si>
  <si>
    <t>근린생활시설 및 다세대주택</t>
  </si>
  <si>
    <t>871-5 제지하1층 제102호</t>
  </si>
  <si>
    <t>871-5 제지하1층 제103호</t>
  </si>
  <si>
    <t>871-5 제지하1층 제104호</t>
  </si>
  <si>
    <t>1708 책향기마을파주교하상록데시앙 제1503동 제13층 제1302호</t>
  </si>
  <si>
    <t>화도읍 차산리</t>
  </si>
  <si>
    <t>875 신창현풍림아이원1차 제101동 제12층 제1202호</t>
  </si>
  <si>
    <t>12층 공동주택</t>
  </si>
  <si>
    <t>743 트윈렉스1 제4층 제에이-406호</t>
  </si>
  <si>
    <t>8층 오피스텔 제1,2종근린생활시설</t>
  </si>
  <si>
    <t>1014 검단신도시예미지트리플에듀 제2712동 제2층 제203호</t>
  </si>
  <si>
    <t>38 주공아파트 제1701동 제7층 제702호</t>
  </si>
  <si>
    <t>388-7외 1필지 제2층 제202호</t>
  </si>
  <si>
    <t>9층 업무시설 및 공동주택</t>
  </si>
  <si>
    <t>1328 영남아파트 제106동 제13층 제1302호</t>
  </si>
  <si>
    <t>25층</t>
  </si>
  <si>
    <t>병천면 가전리</t>
  </si>
  <si>
    <t>709 부경타운하우스2단지 제202동 제2층 제201호</t>
  </si>
  <si>
    <t>709 부경타운하우스2단지 제202동 제2층 제202호</t>
  </si>
  <si>
    <t>청학동</t>
  </si>
  <si>
    <t>502-2 아이엠씨-9 제8층 제804호</t>
  </si>
  <si>
    <t>8층 문화 및 집회시설과 근린생활시설</t>
  </si>
  <si>
    <t>퇴촌면 관음리</t>
  </si>
  <si>
    <t>445-24외 1필지 브레시안빌 제디동 제3층 제301호</t>
  </si>
  <si>
    <t>운양동</t>
  </si>
  <si>
    <t>1249-1 풍경마을한강한라비발디 제112동 제14층 제1404호</t>
  </si>
  <si>
    <t>16층 공동주택(아파트)</t>
  </si>
  <si>
    <t>2026-1 라베니체마치에비뉴2 제1층 제122호</t>
  </si>
  <si>
    <t>2층 제1,2종근린생활시설</t>
  </si>
  <si>
    <t>오창읍 각리</t>
  </si>
  <si>
    <t>973-35 청명해오름 제에이동 제2층 제203호</t>
  </si>
  <si>
    <t>5층 단지형다세대주택</t>
  </si>
  <si>
    <t>진영읍 진영리</t>
  </si>
  <si>
    <t>1690 중흥에스-클래스에코시티 제112동 제12층 제1201호</t>
  </si>
  <si>
    <t>면목동</t>
  </si>
  <si>
    <t>383-38</t>
  </si>
  <si>
    <t>단층 근린생활시설</t>
  </si>
  <si>
    <t>성수동1가</t>
  </si>
  <si>
    <t>708외 1필지 성수동동아그린아파트 제102동 제3층 제309호</t>
  </si>
  <si>
    <t>둔촌동</t>
  </si>
  <si>
    <t>70-5 2차현대아파트 제101동 제5층 제503호</t>
  </si>
  <si>
    <t>황상동</t>
  </si>
  <si>
    <t>118외 1필지 한양금봉타운 제202동 제4층 제403호</t>
  </si>
  <si>
    <t>1054 천안백석하우스토리엔시티 제4층 제454호</t>
  </si>
  <si>
    <t>8층 업무시설(오피스텔) 및 제1.2종 근린생활시설</t>
  </si>
  <si>
    <t>진접읍 연평리</t>
  </si>
  <si>
    <t>846 원일궁의문아파트 제102동 제6층 제603호</t>
  </si>
  <si>
    <t>18층 공동주택</t>
  </si>
  <si>
    <t>444-1 푸른마을아파트 제13층 제1305호</t>
  </si>
  <si>
    <t>21층 아파트</t>
  </si>
  <si>
    <t>1483 불당아리스타팰리스 제9층 제921호</t>
  </si>
  <si>
    <t>15층 업무시설,근린생활시설</t>
  </si>
  <si>
    <t>통진읍 서암리</t>
  </si>
  <si>
    <t>886-9 온누리씨티 제101동 제1층 제101호</t>
  </si>
  <si>
    <t>4층 공동주택(도시형생활주택)</t>
  </si>
  <si>
    <t>강서동</t>
  </si>
  <si>
    <t>45-4외 4필지 청도아파트 제102동 제8층 제803호</t>
  </si>
  <si>
    <t>577 소래마을풍림아파트 제101동 제5층 제504호</t>
  </si>
  <si>
    <t>신월동</t>
  </si>
  <si>
    <t>3층 연립주택</t>
  </si>
  <si>
    <t>1483 불당아리스타팰리스 제3층 제320호</t>
  </si>
  <si>
    <t>범어동</t>
  </si>
  <si>
    <t>179 두산위브더제니스 제101동 제11층 제1102호</t>
  </si>
  <si>
    <t>724 호평파라곤 제105동 제3층 제303호</t>
  </si>
  <si>
    <t>용화동</t>
  </si>
  <si>
    <t>1395 아산용화엘크루 제106동 제6층 제602호</t>
  </si>
  <si>
    <t>도화동</t>
  </si>
  <si>
    <t>14-25 제3층 제301호</t>
  </si>
  <si>
    <t>1730-13 제지층 제비02호</t>
  </si>
  <si>
    <t>파장동</t>
  </si>
  <si>
    <t>580-2 건우까사미2차 제15층 제1503호</t>
  </si>
  <si>
    <t>15층 오피스텔.공동주택.제1종근린생활시설(소매점)</t>
  </si>
  <si>
    <t>선단동</t>
  </si>
  <si>
    <t>441-30 선단빌리지 제5동 제4층 제401호</t>
  </si>
  <si>
    <t>삼도일동</t>
  </si>
  <si>
    <t>542-23</t>
  </si>
  <si>
    <t>2층 주택 , 단층변소</t>
  </si>
  <si>
    <t>숭의동</t>
  </si>
  <si>
    <t>5-79 제5층 제502호</t>
  </si>
  <si>
    <t>공세동</t>
  </si>
  <si>
    <t>714 탑실마을대주피오레2단지 제209동 제24층 제2402호</t>
  </si>
  <si>
    <t>834외 1필지 미사강변스카이폴리스근린생활시설 제1층 제나166호</t>
  </si>
  <si>
    <t>10층 공장(지원시설, 근린생활시설)</t>
  </si>
  <si>
    <t>와부읍 도곡리</t>
  </si>
  <si>
    <t>1012 한강우성아파트 제116동 제17층 제1702호</t>
  </si>
  <si>
    <t>송정동</t>
  </si>
  <si>
    <t>407-144외 1필지 일오타운 제101동 제4층 제402호</t>
  </si>
  <si>
    <t>마북동</t>
  </si>
  <si>
    <t>526-3 연원마을엘지아파트 제106동 제9층 제908호</t>
  </si>
  <si>
    <t>합정동</t>
  </si>
  <si>
    <t>975-6 트윈캐슬2 제6층 제603호</t>
  </si>
  <si>
    <t>7층 공동주택(다세대주택) 및 업무시설(오피스텔)</t>
  </si>
  <si>
    <t>신곡동</t>
  </si>
  <si>
    <t>755-1 주공그린빌 제404동 제14층 제1404호</t>
  </si>
  <si>
    <t>17층 공동주택</t>
  </si>
  <si>
    <t>당리동</t>
  </si>
  <si>
    <t>39-18 당리형제아파트 제101동 제5층 제505호</t>
  </si>
  <si>
    <t>신사동</t>
  </si>
  <si>
    <t>510</t>
  </si>
  <si>
    <t>469-4 현대아이파크아파트 제103동 제4층 제403호</t>
  </si>
  <si>
    <t>748 당곡마을 제305동 제16층 제1603호</t>
  </si>
  <si>
    <t>16층 아파트</t>
  </si>
  <si>
    <t>강경읍 산양리</t>
  </si>
  <si>
    <t>255-3외 1필지 제1동 제3층 제309호</t>
  </si>
  <si>
    <t>옥길동</t>
  </si>
  <si>
    <t>793-2외 1필지 부천옥길서영아너시티2 제1층 제근생129호</t>
  </si>
  <si>
    <t>1163외 1필지 안양임곡휴먼시아 제203동 제3층 제301호</t>
  </si>
  <si>
    <t>화도읍 가곡리</t>
  </si>
  <si>
    <t>240-16외 3필지 꿈의마을 제102동 제1층 제103호</t>
  </si>
  <si>
    <t>2층 공동주택</t>
  </si>
  <si>
    <t>서산시</t>
  </si>
  <si>
    <t>동문동</t>
  </si>
  <si>
    <t>1274 서산동문꿈에그린아파트 제104동 제3층 제301호</t>
  </si>
  <si>
    <t>1099-1 힐스테이트미사역그랑파사쥬(11-1블럭) 제2층 제2018호</t>
  </si>
  <si>
    <t>지하5층 및 지상30층 판매시설</t>
  </si>
  <si>
    <t>산곡동</t>
  </si>
  <si>
    <t>710 고산더라피니엘 제606동 제15층 제1502호</t>
  </si>
  <si>
    <t>장항동</t>
  </si>
  <si>
    <t>751외 1필지 삼성라끄빌 제11층 제24호</t>
  </si>
  <si>
    <t>15층 업무시설 및 근린생활시설</t>
  </si>
  <si>
    <t>469-4 현대아이파크아파트 제106동 제9층 제902호</t>
  </si>
  <si>
    <t>귤현동</t>
  </si>
  <si>
    <t>491-10 리움팰리스 제2층 제204호</t>
  </si>
  <si>
    <t>신현동</t>
  </si>
  <si>
    <t>117-3 대원리드빌 제에이동 제2층 제202호</t>
  </si>
  <si>
    <t>243 한라비발디캠퍼스 제105동 제6층 제604호</t>
  </si>
  <si>
    <t>백석읍 방성리</t>
  </si>
  <si>
    <t>162-4외 1필지 백석2차세아아파트 제202동 제7층 제704호</t>
  </si>
  <si>
    <t>3163 청주동남파라곤아파트 제501동 제13층 제1302호</t>
  </si>
  <si>
    <t>1038 삼익아파트 제102동 제14층 제1402호</t>
  </si>
  <si>
    <t>16층 삼익아파트 제102동</t>
  </si>
  <si>
    <t>연수동</t>
  </si>
  <si>
    <t>578-2 연수주공3차아파트 제306동 제12층 제1208호</t>
  </si>
  <si>
    <t>선남면 취곡리</t>
  </si>
  <si>
    <t>239-6 주1동</t>
  </si>
  <si>
    <t>239-6</t>
  </si>
  <si>
    <t>진량읍 선화리</t>
  </si>
  <si>
    <t>2206 경산진량호반써밋더포레스트 제105동 제18층 제1802호</t>
  </si>
  <si>
    <t>금산군</t>
  </si>
  <si>
    <t>2층 제2종근린생활시설</t>
  </si>
  <si>
    <t>가평군</t>
  </si>
  <si>
    <t>상면 행현리</t>
  </si>
  <si>
    <t>770-9</t>
  </si>
  <si>
    <t>96-16 센트럴시티 제8층 제803호</t>
  </si>
  <si>
    <t>14층 업무시설(오피스텔)</t>
  </si>
  <si>
    <t>청안동</t>
  </si>
  <si>
    <t>473 부영아파트 제310동 제13층 제1304호</t>
  </si>
  <si>
    <t>삼계동</t>
  </si>
  <si>
    <t>1410-2 분성마을5단지푸르지오 제512동 제7층 제704호</t>
  </si>
  <si>
    <t>외동</t>
  </si>
  <si>
    <t>1251 김해내외대동한마음타운 제309동 제10층 제1010호</t>
  </si>
  <si>
    <t>상하동</t>
  </si>
  <si>
    <t>652 수원동마을쌍용스윗닷홈 제201동 제13층 제1304호</t>
  </si>
  <si>
    <t>871 신안아파트 제110동 제15층 제1502호</t>
  </si>
  <si>
    <t>권곡동</t>
  </si>
  <si>
    <t>620 아산더샾퍼스트타워아파트 제101동 제23층 제2302호</t>
  </si>
  <si>
    <t>구미동</t>
  </si>
  <si>
    <t>63외 1필지 까치마을 제403동 제7층 제704호</t>
  </si>
  <si>
    <t>대저2동</t>
  </si>
  <si>
    <t>1860-15</t>
  </si>
  <si>
    <t>단층 단독주택</t>
  </si>
  <si>
    <t>340 우성아파트 제8동 제11층 제1103호</t>
  </si>
  <si>
    <t>안녕동</t>
  </si>
  <si>
    <t>2외 1필지 병점역 성호 플레르빌 제107동 제8층 제807호</t>
  </si>
  <si>
    <t>무안군</t>
  </si>
  <si>
    <t>삼향읍 남악리</t>
  </si>
  <si>
    <t>2601 제일풍경채리버파크 제102동 제18층 제1802호</t>
  </si>
  <si>
    <t>공동주택(아파트)</t>
  </si>
  <si>
    <t>용곡동</t>
  </si>
  <si>
    <t>571 용곡1차세광엔리치타워아파트 제102동 제14층 제1404호</t>
  </si>
  <si>
    <t>1050 미사강변도시18단지 제1805동 제20층 제2002호</t>
  </si>
  <si>
    <t>459-3 제가동 제1층 제1호</t>
  </si>
  <si>
    <t>석림동</t>
  </si>
  <si>
    <t>783-2 제가동 제2층 제202호</t>
  </si>
  <si>
    <t>석남동</t>
  </si>
  <si>
    <t>515-12 해경블루문 제8층 제801호</t>
  </si>
  <si>
    <t>13층 업무시설(오피스텔)</t>
  </si>
  <si>
    <t>211-5 솔뫼아트빌 제4층 제402호</t>
  </si>
  <si>
    <t>5층 다세대주택 및 근린생활시설</t>
  </si>
  <si>
    <t>312-34 제2층 제201호</t>
  </si>
  <si>
    <t>야당동</t>
  </si>
  <si>
    <t>466-91 더시크릿루첸 제102동 제2층 제201호</t>
  </si>
  <si>
    <t>수택동</t>
  </si>
  <si>
    <t>381-20외 1필지 클래시아구리오피스텔 제20층 제2007호</t>
  </si>
  <si>
    <t>20층 업무시설 및 근린생활시설</t>
  </si>
  <si>
    <t>243 한라비발디캠퍼스 제102동 제38층 제3805호</t>
  </si>
  <si>
    <t>38층 공동주택(아파트)</t>
  </si>
  <si>
    <t>괴안동</t>
  </si>
  <si>
    <t>178-2 대영리움 제5층 제501호</t>
  </si>
  <si>
    <t>51</t>
  </si>
  <si>
    <t>치평동</t>
  </si>
  <si>
    <t>1208 골든빌오피스텔 제지하층 제비105호</t>
  </si>
  <si>
    <t>13층 업무시설 및 근린생활시설</t>
  </si>
  <si>
    <t>720 상계주공아파트 제606동 제7층 제706호</t>
  </si>
  <si>
    <t>호계동</t>
  </si>
  <si>
    <t>555-37 호계금정역에스케이브이1센터 제8층 제830호</t>
  </si>
  <si>
    <t>10층 공장(지식산업센터),지원시설(제1,2종근린생활시설)</t>
  </si>
  <si>
    <t>555-37 호계금정역에스케이브이1센터 제8층 제831호</t>
  </si>
  <si>
    <t>월곶동</t>
  </si>
  <si>
    <t>1010-1 월곶2차풍림아이원아파트 제213동 제1층 제101호</t>
  </si>
  <si>
    <t>성산동</t>
  </si>
  <si>
    <t>446외 1필지 성산시영아파트 제22동 제1층 제106호</t>
  </si>
  <si>
    <t>온천동</t>
  </si>
  <si>
    <t>1859 더샵온천헤리티지 제상가동 제1층 제125호</t>
  </si>
  <si>
    <t>5층 판매시설(상점)</t>
  </si>
  <si>
    <t>송강동</t>
  </si>
  <si>
    <t>199 송강그린아파트 제319동 제14층 제1402호</t>
  </si>
  <si>
    <t>851 부강타운 제103동 제1층 제102호</t>
  </si>
  <si>
    <t>4층 연립</t>
  </si>
  <si>
    <t>1887-2 고덕로자벨2 제7층 제705호</t>
  </si>
  <si>
    <t>8층 근린생활시설 업무시설</t>
  </si>
  <si>
    <t>상봉동</t>
  </si>
  <si>
    <t>용정동</t>
  </si>
  <si>
    <t>1116외 1필지 청주용정한라비발디 제208동 제6층 제604호</t>
  </si>
  <si>
    <t>1009-75 에이엔캐슬 제에이동 제6층 제604호</t>
  </si>
  <si>
    <t>7층 다세대주택</t>
  </si>
  <si>
    <t>성북구</t>
  </si>
  <si>
    <t>길음동</t>
  </si>
  <si>
    <t>1284외 3필지 길음뉴타운 제809동 제6층 제601호</t>
  </si>
  <si>
    <t>행주내동</t>
  </si>
  <si>
    <t>156-33 리찌힐 제102동 제201호</t>
  </si>
  <si>
    <t>3층 공동주택(다세대주택)</t>
  </si>
  <si>
    <t>156-18</t>
  </si>
  <si>
    <t>156-21</t>
  </si>
  <si>
    <t>방축동</t>
  </si>
  <si>
    <t>707 아산삼환나우빌아파트 제102동 제9층 제903호</t>
  </si>
  <si>
    <t>중계동</t>
  </si>
  <si>
    <t>588외 1필지 양지대림아파트 제201동 제5층 제501호</t>
  </si>
  <si>
    <t>11층 아파트</t>
  </si>
  <si>
    <t>829 제403동 제2층 제212호</t>
  </si>
  <si>
    <t>6143외 1필지 다산현대프리미어캠퍼스 제1층 제이씨01-004호</t>
  </si>
  <si>
    <t>지하4층 지상10층 지식산업센터, 근린생활시설, 운동시설, 문화 및 집회시설</t>
  </si>
  <si>
    <t>1109외 3필지 위브더스테이트 제5층 제302동504호</t>
  </si>
  <si>
    <t>33층 업무시설,판매시설,운동시설,근린생활시설</t>
  </si>
  <si>
    <t>753-7 강화인더스타운4 제4층 제405호</t>
  </si>
  <si>
    <t>탄현면 성동리</t>
  </si>
  <si>
    <t>84 제지2층 제비201-1호</t>
  </si>
  <si>
    <t>640-1 펠리스타운 제2층 제202호</t>
  </si>
  <si>
    <t>563-53 제1층 제2호</t>
  </si>
  <si>
    <t>장목면 장목리</t>
  </si>
  <si>
    <t>366-20</t>
  </si>
  <si>
    <t>행신동</t>
  </si>
  <si>
    <t>1109</t>
  </si>
  <si>
    <t>416-5 성서청구타운 제103동 제8층 제805호</t>
  </si>
  <si>
    <t>6871-58 스위트엠아크라시티1차 제6층 제617호</t>
  </si>
  <si>
    <t>10층 업무시설 및 제2종근린생활시설</t>
  </si>
  <si>
    <t>6871-58 스위트엠아크라시티1차 제2층 제222호</t>
  </si>
  <si>
    <t>448-6 제3층 제302호</t>
  </si>
  <si>
    <t>1771 아모리움 에듀파크 제609동 제3층 제303호</t>
  </si>
  <si>
    <t>옥련동</t>
  </si>
  <si>
    <t>639-1외 1필지 현대아파트 제507동 제3층 제304호</t>
  </si>
  <si>
    <t>언남동</t>
  </si>
  <si>
    <t>496외 1필지 하마비마을동일하이빌2차아파트 제208동 제1층 제103호</t>
  </si>
  <si>
    <t>634 가든파이브라이프 제9층 제와이-9086호</t>
  </si>
  <si>
    <t>지하5층 지상11층 문화 및 집회시설, 업무시설</t>
  </si>
  <si>
    <t>1001 광교 더 포레스트 제4011동 제23층 제2302호</t>
  </si>
  <si>
    <t>348-3외 6필지 영종국제재래시장 제2동 제3층 제나동-301호</t>
  </si>
  <si>
    <t>성포동</t>
  </si>
  <si>
    <t>592 선경아파트 제3동 제7층 제704호</t>
  </si>
  <si>
    <t>광사동</t>
  </si>
  <si>
    <t>712 해동마을한양수자인 제310동 제8층 제802호</t>
  </si>
  <si>
    <t>260-25 제지하층 제102호</t>
  </si>
  <si>
    <t>성연면 오사리</t>
  </si>
  <si>
    <t>1645외 1필지 이안큐브오피스텔 제17층 제에이-1708호</t>
  </si>
  <si>
    <t>18층 업무시설(오피스텔) 및 근린생활시설</t>
  </si>
  <si>
    <t>초월읍 쌍동리</t>
  </si>
  <si>
    <t>400 초월역한라비발디 제111동 제21층 제2101호</t>
  </si>
  <si>
    <t>회덕동</t>
  </si>
  <si>
    <t>118-17 더블유빌리지 제씨동 제2층 제202호</t>
  </si>
  <si>
    <t>수영구</t>
  </si>
  <si>
    <t>181-88 타워더모스트광안 제7층 제740호</t>
  </si>
  <si>
    <t>18층 업무시설</t>
  </si>
  <si>
    <t>정관읍 용수리</t>
  </si>
  <si>
    <t>1275 정관 양우내안애 제113동 제1층 제104호</t>
  </si>
  <si>
    <t>345-9 에스케이트윈테크타워 제8층 제에이805호</t>
  </si>
  <si>
    <t>11층 아파트형공장</t>
  </si>
  <si>
    <t>345-9 에스케이트윈테크타워 제8층 제에이806호</t>
  </si>
  <si>
    <t>영도구</t>
  </si>
  <si>
    <t>남항동1가</t>
  </si>
  <si>
    <t>36-5 제이스힐타워 제3층 제305호</t>
  </si>
  <si>
    <t>15층 공동주택 및 업무시설</t>
  </si>
  <si>
    <t>975 한빛마을3단지자유로아이파크 제307동 제5층 제502호</t>
  </si>
  <si>
    <t>성복동</t>
  </si>
  <si>
    <t>771 버들치마을성복힐스테이트1차 제109동 제13층 제1302호</t>
  </si>
  <si>
    <t>부강면 문곡리</t>
  </si>
  <si>
    <t>406</t>
  </si>
  <si>
    <t>406-1</t>
  </si>
  <si>
    <t>식품공장</t>
  </si>
  <si>
    <t>406-4</t>
  </si>
  <si>
    <t>191-3외 11필지 현대아파트 제105동 제10층 제1001호</t>
  </si>
  <si>
    <t>가락동</t>
  </si>
  <si>
    <t>78 아이티벤처타워 제16층 제동관1601호</t>
  </si>
  <si>
    <t>18층 업무시설 및 판매시설</t>
  </si>
  <si>
    <t>2199외 1필지 신동아노블타워 제4층 제412-2호</t>
  </si>
  <si>
    <t>10층 업무시설(오피스텔,사무실) 1,2종 근린생활시설</t>
  </si>
  <si>
    <t>소흘읍 이가팔리</t>
  </si>
  <si>
    <t>507-4외 1필지 가온리즈빌에이동 제3층 제302호</t>
  </si>
  <si>
    <t>338외 3필지 동부골든아파트 제209동 제10층 제1005호</t>
  </si>
  <si>
    <t>493-5외 2필지 클래식타워 제11층 제1103호</t>
  </si>
  <si>
    <t>23층 공동주택(아파트),업무시설 및 근린생활시설</t>
  </si>
  <si>
    <t>강천면 적금리</t>
  </si>
  <si>
    <t>3-4</t>
  </si>
  <si>
    <t>1층 공장, 1층 일반공장(하치장), 1층 일반공장(기숙사), 1층 일반공장(현관,복도,화장실), 1층 일반공장(독서실), 1층보일러실</t>
  </si>
  <si>
    <t>사사동</t>
  </si>
  <si>
    <t>123-3</t>
  </si>
  <si>
    <t>서홍동</t>
  </si>
  <si>
    <t>1237외 3필지 더존시티타운 제8동 제1층 제101호</t>
  </si>
  <si>
    <t>477 동탄2신도시베라체 제2144동 제17층 제1705호</t>
  </si>
  <si>
    <t>261-1 태영아트빌 제1층 제101호</t>
  </si>
  <si>
    <t>권선동</t>
  </si>
  <si>
    <t>944-10 제2층 제201호</t>
  </si>
  <si>
    <t>5층 공동주택(도시형생활주택-원룸형)</t>
  </si>
  <si>
    <t>944-10 제2층 제202호</t>
  </si>
  <si>
    <t>944-10 제2층 제203호</t>
  </si>
  <si>
    <t>944-10 제2층 제204호</t>
  </si>
  <si>
    <t>944-10 제3층 제301호</t>
  </si>
  <si>
    <t>944-10 제3층 제302호</t>
  </si>
  <si>
    <t>944-10 제3층 제303호</t>
  </si>
  <si>
    <t>944-10 제3층 제304호</t>
  </si>
  <si>
    <t>944-10 제4층 제401호</t>
  </si>
  <si>
    <t>944-10 제4층 제402호</t>
  </si>
  <si>
    <t>944-10 제5층 제501호</t>
  </si>
  <si>
    <t>등촌동</t>
  </si>
  <si>
    <t>694 등촌대림아파트 제104동 제13층 제1301호</t>
  </si>
  <si>
    <t>조원동</t>
  </si>
  <si>
    <t>881 수원한일타운 제144동 제13층 제1301호</t>
  </si>
  <si>
    <t>3 동서그린맨션 제가,나,다동 제8층 제나-805호</t>
  </si>
  <si>
    <t>457-8외 1필지 수팰리스 제1동 제4층 제401호</t>
  </si>
  <si>
    <t>7층 공동주택</t>
  </si>
  <si>
    <t>잠실동</t>
  </si>
  <si>
    <t>40 갤러리아팰리스 제씨동 제36층 제3604호</t>
  </si>
  <si>
    <t>지하5층,지상46층 공동주택(아파트),업무시설(오피스텔), 판매 및 영업시설,운동시설 제2종근린생활시설, 제1종근린생활시설</t>
  </si>
  <si>
    <t>603 금곡지에스아파트 제101동 제6층 제602호</t>
  </si>
  <si>
    <t>223-1 다인로얄팰리스배곧플러스9차 제13층 제1324호</t>
  </si>
  <si>
    <t>지하5층 지상14층 오피스텔</t>
  </si>
  <si>
    <t>와부읍 덕소리</t>
  </si>
  <si>
    <t>145-4외 5필지 강산마을코오롱.대성아파트 제107동 제17층 제1702호</t>
  </si>
  <si>
    <t>신방동</t>
  </si>
  <si>
    <t>783-8 보광그랑베르 제4층 제414호</t>
  </si>
  <si>
    <t>783-8 보광그랑베르 제4층 제415호</t>
  </si>
  <si>
    <t>마산동</t>
  </si>
  <si>
    <t>636-1 한강 힐스테이트 제506동 제18층 제1804호</t>
  </si>
  <si>
    <t>양재동</t>
  </si>
  <si>
    <t>7-45 제4층 제401호</t>
  </si>
  <si>
    <t>신창면 남성리</t>
  </si>
  <si>
    <t>205-1 신일아파트 제104동 제1층 제104호</t>
  </si>
  <si>
    <t>1727 관악 한일 유앤아이 제101동 제6층 제603호</t>
  </si>
  <si>
    <t>장흥면 일영리</t>
  </si>
  <si>
    <t>114-67 제4층 제402호</t>
  </si>
  <si>
    <t>사곡동</t>
  </si>
  <si>
    <t>656-9외 1필지 보성2차황실타운 제102동 제14층 제1403호</t>
  </si>
  <si>
    <t>득산동</t>
  </si>
  <si>
    <t>392-2 부영아파트 제108동 제8층 제807호</t>
  </si>
  <si>
    <t>명장동</t>
  </si>
  <si>
    <t>617외 1필지 동래동일스위트 제101동 제11층 제1104호</t>
  </si>
  <si>
    <t>1318 유-스타시티일동미라주더스타1단지 제104동 제1층 제102호</t>
  </si>
  <si>
    <t>응봉동</t>
  </si>
  <si>
    <t>98 금호현대아파트 제106동 제8층 제803호</t>
  </si>
  <si>
    <t>명륜동</t>
  </si>
  <si>
    <t>856 더샵원주센트럴파크2단지 제209동 제16층 제1602호</t>
  </si>
  <si>
    <t>240-13외 3필지 행복마을 제101동 제1층 제104호</t>
  </si>
  <si>
    <t>822-1 별내퍼스트포레 제1705동 제10층 제1003호</t>
  </si>
  <si>
    <t>남양읍 남양리</t>
  </si>
  <si>
    <t>1009-1외 2필지 제1동 제2층 제1201호</t>
  </si>
  <si>
    <t>1009-1외 2필지 제2동 제3층 제2302호</t>
  </si>
  <si>
    <t>화곡동</t>
  </si>
  <si>
    <t>56-370 에스디플러스아크로빌 제에이동 제2층 제202호</t>
  </si>
  <si>
    <t>6층 도시형생활주택(단지형다세대)</t>
  </si>
  <si>
    <t>대장동</t>
  </si>
  <si>
    <t>618-1 제3층 제304호</t>
  </si>
  <si>
    <t>5층 업무시설(오피스텔)</t>
  </si>
  <si>
    <t>강릉시</t>
  </si>
  <si>
    <t>입암동</t>
  </si>
  <si>
    <t>711 강릉더샵 제111동 제7층 제704호</t>
  </si>
  <si>
    <t>1498 위시티일산자이2단지 제206동 제22층 제2204호</t>
  </si>
  <si>
    <t>811외 1필지 두산위브트레지움아파트 제202동 제7층 제702호</t>
  </si>
  <si>
    <t>심곡동</t>
  </si>
  <si>
    <t>336-1외 2필지 광명아파트 제102동 제8층 제801호</t>
  </si>
  <si>
    <t>전주시 완산구</t>
  </si>
  <si>
    <t>효자동3가</t>
  </si>
  <si>
    <t>1693-5 웨스트빌오피스텔 제1동 제17,18층 제1210호</t>
  </si>
  <si>
    <t>20층 업무시설 (오피스텔)</t>
  </si>
  <si>
    <t>대정읍 동일리</t>
  </si>
  <si>
    <t>2988-12외 1필지 기룡비치하임 제2동 제3층 제301호</t>
  </si>
  <si>
    <t>신당동</t>
  </si>
  <si>
    <t>217-1 내제1층다8호</t>
  </si>
  <si>
    <t>4층 점포 및 사무실1동</t>
  </si>
  <si>
    <t>217-1</t>
  </si>
  <si>
    <t>관저동</t>
  </si>
  <si>
    <t>990 대자연마을아파트 제107동 제3층 제306호</t>
  </si>
  <si>
    <t>293외 2필지 우성아파트 제106동 제6층 제609호</t>
  </si>
  <si>
    <t>181-88 타워더모스트광안 제16층 제1604호</t>
  </si>
  <si>
    <t>1064-1 시흥센트럴헤센 제102동 제11층 제1104호</t>
  </si>
  <si>
    <t>56-144 화성빌라 제4층 제401호</t>
  </si>
  <si>
    <t>532-18 금송파크빌 제5층 제501호</t>
  </si>
  <si>
    <t>5층 다세대주택</t>
  </si>
  <si>
    <t>472 우양센트럴 제9층 제901호</t>
  </si>
  <si>
    <t>26층 공동주택</t>
  </si>
  <si>
    <t>송절동</t>
  </si>
  <si>
    <t>846 청주테크노폴리스우방아이유쉘2단지 제202동 제5층 제502호</t>
  </si>
  <si>
    <t>김천시</t>
  </si>
  <si>
    <t>580-1외 1필지</t>
  </si>
  <si>
    <t>3층 제2종 근린생활시설</t>
  </si>
  <si>
    <t>580-1</t>
  </si>
  <si>
    <t>1288-11</t>
  </si>
  <si>
    <t>저동</t>
  </si>
  <si>
    <t>4-4 경포현대아파트 제110동 제2층 제203호</t>
  </si>
  <si>
    <t>연향동</t>
  </si>
  <si>
    <t>1628 호반리젠시빌 제203동 제6층 제602호</t>
  </si>
  <si>
    <t>지하1층 지상17층 아파트</t>
  </si>
  <si>
    <t>651 문정역테라타워 제에이동 제5층 제에이503호</t>
  </si>
  <si>
    <t>16층 공장(지식산업센터, 지식산업센터-창고, 지원시설-업무시설, 근린생활시설, 문화 및 집회시설)</t>
  </si>
  <si>
    <t>1535 하이파크시티일산파밀리에4단지 제410동 제24층 제2402호</t>
  </si>
  <si>
    <t>양벌동</t>
  </si>
  <si>
    <t>327-8 제에이동 제2층 제에이201호</t>
  </si>
  <si>
    <t>213-7</t>
  </si>
  <si>
    <t>2001 대광파인밸리 제106동 제18층 제1804호</t>
  </si>
  <si>
    <t>18층 공동주택(아파트) 및 대피소 및 도서실</t>
  </si>
  <si>
    <t>487 도안신도시9블록트리풀시티아파트 제915동 제3층 제304호</t>
  </si>
  <si>
    <t>1655 호반리젠시빌 제108동 제15층 제1502호</t>
  </si>
  <si>
    <t>1079 케이힐스 제13층 제1318호</t>
  </si>
  <si>
    <t>21층 숙박시설</t>
  </si>
  <si>
    <t>1483외 1필지 신라빌라맨숀 제18동 제4층 제502호</t>
  </si>
  <si>
    <t>4층 아파트</t>
  </si>
  <si>
    <t>이천시</t>
  </si>
  <si>
    <t>197-1 그린캐슬 제107동 제3층 제302호</t>
  </si>
  <si>
    <t>96-3 현대썬앤빌더테라스레이크 제17층 제102-1702호</t>
  </si>
  <si>
    <t>도량동</t>
  </si>
  <si>
    <t>747-7</t>
  </si>
  <si>
    <t>연동</t>
  </si>
  <si>
    <t>1518-12</t>
  </si>
  <si>
    <t>3층 다가구주택 및 제2종근린생활시설</t>
  </si>
  <si>
    <t>452-3 신호파크뷰 제1층 제101호</t>
  </si>
  <si>
    <t>13층 공동주택 및 업무시설</t>
  </si>
  <si>
    <t>삼남읍 교동리</t>
  </si>
  <si>
    <t>1678외 1필지 영남알프스타운아파트 제105동 제12층 제1202호</t>
  </si>
  <si>
    <t>159 선경아파트 제306동 제1층 제101호</t>
  </si>
  <si>
    <t>200-4 쏠데까사 제4층 제401호</t>
  </si>
  <si>
    <t>10층 아파트(도시형생활주택)</t>
  </si>
  <si>
    <t>1511 면목두산아파트 제302동 제4층 제401호</t>
  </si>
  <si>
    <t>235-23 리치캐슬 제5층 제502호</t>
  </si>
  <si>
    <t>광탄면 용미리</t>
  </si>
  <si>
    <t>341</t>
  </si>
  <si>
    <t>지하1층, 지상3층 제1,2종근린생활시설</t>
  </si>
  <si>
    <t>337</t>
  </si>
  <si>
    <t>337-3</t>
  </si>
  <si>
    <t>90-7외 1필지 제4층 제401호</t>
  </si>
  <si>
    <t>포항시 북구</t>
  </si>
  <si>
    <t>우현동</t>
  </si>
  <si>
    <t>335-4 우현화성타운 제101동 제18층 제1809호</t>
  </si>
  <si>
    <t>975-3 별내역파라곤스퀘어 제지식산업센터-2동 제13층 제엠1309호</t>
  </si>
  <si>
    <t>21층 공장(지식산업센터,기숙사), 근린생활시설</t>
  </si>
  <si>
    <t>975-3 별내역파라곤스퀘어 제지식산업센터-2동 제13층 제엠1310호</t>
  </si>
  <si>
    <t>453 성원아파트 제103동 제8층 제801호</t>
  </si>
  <si>
    <t>원동</t>
  </si>
  <si>
    <t>335-10 르마레시티 제14층 제1416호</t>
  </si>
  <si>
    <t>15층 업무시설(오피스텔) 문화 및 집회시설(영화관) 판매시설 근린생활시설</t>
  </si>
  <si>
    <t>이충동</t>
  </si>
  <si>
    <t>591-2 엘아이지아파트 제106동 제2층 제204호</t>
  </si>
  <si>
    <t>303-3외 3필지 수정아파트 제1동 제3층 제311호</t>
  </si>
  <si>
    <t>19층 공동주택</t>
  </si>
  <si>
    <t>30-86 진주아파트 제306동 제4층 제401호</t>
  </si>
  <si>
    <t>부안군</t>
  </si>
  <si>
    <t>하서면 장신리</t>
  </si>
  <si>
    <t>635-1</t>
  </si>
  <si>
    <t>양지면 평창리</t>
  </si>
  <si>
    <t>433-36</t>
  </si>
  <si>
    <t>단독주택 3층</t>
  </si>
  <si>
    <t>433-10</t>
  </si>
  <si>
    <t>433-27</t>
  </si>
  <si>
    <t>433-48</t>
  </si>
  <si>
    <t>성산읍 성산리</t>
  </si>
  <si>
    <t>392외 3필지 제주 성산 리치유 클래시아 제1층 제73호</t>
  </si>
  <si>
    <t>송산면 유곡리</t>
  </si>
  <si>
    <t>1312 당진해링턴플레이스에듀타운 제102동 제8층 제801호</t>
  </si>
  <si>
    <t>동두천동</t>
  </si>
  <si>
    <t>524외 1필지 동두천신창비바패밀리1단지 제104동 제15층 제1503호</t>
  </si>
  <si>
    <t>지하1층.지상15층</t>
  </si>
  <si>
    <t>조곡동</t>
  </si>
  <si>
    <t>68-61외 2필지 금호아파트 제1동 제14층 제1406호</t>
  </si>
  <si>
    <t>15층</t>
  </si>
  <si>
    <t>691-1 산들마을신안아파트 제102동 제8층 제803호</t>
  </si>
  <si>
    <t>1109 이지더원아파트 제771동 제8층 제801호</t>
  </si>
  <si>
    <t>671 호평마을효성백년가약아파트 제2207동 제13층 제1305호</t>
  </si>
  <si>
    <t>686-1 폴리프라자1 제3층 제306호</t>
  </si>
  <si>
    <t>지하3층 지상10층 제2종근린생활시설</t>
  </si>
  <si>
    <t>지정면 가곡리</t>
  </si>
  <si>
    <t>1493 원주기업도시라온프라이빗 제704동 제6층 제606호</t>
  </si>
  <si>
    <t>고림동</t>
  </si>
  <si>
    <t>997 예진마을 제305동 제9층 제901호</t>
  </si>
  <si>
    <t>장안동</t>
  </si>
  <si>
    <t>408-16 지원하우스 제2층 제202호</t>
  </si>
  <si>
    <t>주안동</t>
  </si>
  <si>
    <t>1621외 3필지 인천관교한신휴플러스 제110동 제1층 제101호</t>
  </si>
  <si>
    <t>1054 천안백석하우스토리엔시티 제3층 제319호</t>
  </si>
  <si>
    <t>709 부경타운하우스2단지 제203동 제1층 제102호</t>
  </si>
  <si>
    <t>709 부경타운하우스2단지 제203동 제4층 제505호</t>
  </si>
  <si>
    <t>446-19외 1필지 제3층 제302호</t>
  </si>
  <si>
    <t>6층 도시형생활주택(단지형다세대-10)</t>
  </si>
  <si>
    <t>법원읍 금곡리</t>
  </si>
  <si>
    <t>464-4외 1필지 제1동호</t>
  </si>
  <si>
    <t>464-4외 1필지 제2동호</t>
  </si>
  <si>
    <t>464-4</t>
  </si>
  <si>
    <t>464-8</t>
  </si>
  <si>
    <t>464-6</t>
  </si>
  <si>
    <t>464-7</t>
  </si>
  <si>
    <t>464-10</t>
  </si>
  <si>
    <t>462-17</t>
  </si>
  <si>
    <t>462-18</t>
  </si>
  <si>
    <t>466-9</t>
  </si>
  <si>
    <t>1844 주공아파트 제511동 제4층 제403호</t>
  </si>
  <si>
    <t>10층 주공아파트</t>
  </si>
  <si>
    <t>아현동</t>
  </si>
  <si>
    <t>718-2 제1층 제1호</t>
  </si>
  <si>
    <t>3층 협동주택</t>
  </si>
  <si>
    <t>증산동</t>
  </si>
  <si>
    <t>185-5외 1필지 증산아트빌 제5층 제501호</t>
  </si>
  <si>
    <t>5층 다세대주택(8세대)</t>
  </si>
  <si>
    <t>동춘동</t>
  </si>
  <si>
    <t>동춘1구역1블록1로트 드림타워 제4층 제403호</t>
  </si>
  <si>
    <t>지하2층 및 지상5층 제2종근린생활시설</t>
  </si>
  <si>
    <t>동춘1구역1블록1로트 드림타워 제4층 제404호</t>
  </si>
  <si>
    <t>태안군</t>
  </si>
  <si>
    <t>근흥면 정죽리</t>
  </si>
  <si>
    <t>579</t>
  </si>
  <si>
    <t>태전동</t>
  </si>
  <si>
    <t>222 2단지성원아파트 제202동 제16층 제1603호</t>
  </si>
  <si>
    <t>진천군</t>
  </si>
  <si>
    <t>광혜원면 광혜원리</t>
  </si>
  <si>
    <t>418-2외 1필지 원림아파트 제가동 제8층 제801호</t>
  </si>
  <si>
    <t>1165 강서힐스테이트 제135동 제16층 제1605호</t>
  </si>
  <si>
    <t>62-1외 4필지 현대아파트 제101동 제13층 제1305호</t>
  </si>
  <si>
    <t>79-14 갤러리휴리움 제8층 제801호</t>
  </si>
  <si>
    <t>15층 공동주택(아파트-도시형생활주택)</t>
  </si>
  <si>
    <t>79-14 갤러리휴리움 제9층 제904호</t>
  </si>
  <si>
    <t>감정동</t>
  </si>
  <si>
    <t>676 한국아파트 제103동 제10층 제1006호</t>
  </si>
  <si>
    <t>18층 판매시설,업무시설</t>
  </si>
  <si>
    <t>504-161 청송평화하이맨션 제디동 제2층 제202호</t>
  </si>
  <si>
    <t>5층 공동주택,다세대주택</t>
  </si>
  <si>
    <t>745 한울아파트 제5층 제509호</t>
  </si>
  <si>
    <t>10층 아파트 및 판매시설</t>
  </si>
  <si>
    <t>수성동4가</t>
  </si>
  <si>
    <t>1090-6 수성보성타운 제101동 제2층 제205호</t>
  </si>
  <si>
    <t>번동</t>
  </si>
  <si>
    <t>656외 2필지 번동금호어울림 제103동 제2층 제203호</t>
  </si>
  <si>
    <t>875 신창현풍림아이원1차 제107동 제9층 제901호</t>
  </si>
  <si>
    <t>834-1 와이케이퍼스트타워 제3층 제302호</t>
  </si>
  <si>
    <t>10층 공장 근린생활시설업무시설</t>
  </si>
  <si>
    <t>834-1 와이케이퍼스트타워 제3층 제303호</t>
  </si>
  <si>
    <t>원평동</t>
  </si>
  <si>
    <t>1032-39</t>
  </si>
  <si>
    <t>4층 제1,2종 근린생활시설</t>
  </si>
  <si>
    <t>건입동</t>
  </si>
  <si>
    <t>1042-11</t>
  </si>
  <si>
    <t>식사2구역에이2 일산자이3차 제201동 제4층 제402호</t>
  </si>
  <si>
    <t>목천읍 삼성리</t>
  </si>
  <si>
    <t>9-12외 1필지 원앙마을부영아파트 제104동 제9층 제907호</t>
  </si>
  <si>
    <t>용산구</t>
  </si>
  <si>
    <t>용산동5가</t>
  </si>
  <si>
    <t>24외 1필지 파크타워 제30층 제101-3003호</t>
  </si>
  <si>
    <t>40층 공동주택(아파트), 오피스텔, 판매시설, 제1종근린생활시설</t>
  </si>
  <si>
    <t>171-9 제4층 제401호</t>
  </si>
  <si>
    <t>13층 업무시설,공동주택</t>
  </si>
  <si>
    <t>305-2외 10필지 영무메트로 제4층 제406호</t>
  </si>
  <si>
    <t>10층 제1,2종근린생활시설 및 판매시설 및 업무시설</t>
  </si>
  <si>
    <t>금호동</t>
  </si>
  <si>
    <t>785 마재마을송촌파인힐아파트 제102동 제2층 제201호</t>
  </si>
  <si>
    <t>19층 아파트, 대피소</t>
  </si>
  <si>
    <t>628 현대아파트 제104동 제11층 제1101호</t>
  </si>
  <si>
    <t>탑동</t>
  </si>
  <si>
    <t>22-15 우림파크빌 제4층 제402호</t>
  </si>
  <si>
    <t>애월읍 상귀리</t>
  </si>
  <si>
    <t>289 애월리브안 제105동 제4층 제401호</t>
  </si>
  <si>
    <t>123-2</t>
  </si>
  <si>
    <t>3층 단독주택 및 제2종근린생활시설</t>
  </si>
  <si>
    <t>가평읍 읍내리</t>
  </si>
  <si>
    <t>771-1 가평에이원파란채아파트 제103동 제2층 제202호</t>
  </si>
  <si>
    <t>이도이동</t>
  </si>
  <si>
    <t>1050-6 제2층 제201호</t>
  </si>
  <si>
    <t>분당동</t>
  </si>
  <si>
    <t>57-6</t>
  </si>
  <si>
    <t>남통동</t>
  </si>
  <si>
    <t>20-1외 6필지 남통그린두산맨션 제102동 제1층 제101호</t>
  </si>
  <si>
    <t>수유동</t>
  </si>
  <si>
    <t>739 북한산스카이뷰아파트 제2층 제204호</t>
  </si>
  <si>
    <t>7층 아파트</t>
  </si>
  <si>
    <t>1476-1 해운대베르나움 제19층 제비1915호</t>
  </si>
  <si>
    <t>23층 업무시설 및 근린생활시설</t>
  </si>
  <si>
    <t>진안동</t>
  </si>
  <si>
    <t>474-2 제2층 제201호</t>
  </si>
  <si>
    <t>474-2 제2층 제202호</t>
  </si>
  <si>
    <t>474-2 제2층 제203호</t>
  </si>
  <si>
    <t>474-2 제2층 제204호</t>
  </si>
  <si>
    <t>474-2 제2층 제205호</t>
  </si>
  <si>
    <t>474-2 제3층 제301호</t>
  </si>
  <si>
    <t>474-2 제3층 제302호</t>
  </si>
  <si>
    <t>474-2 제3층 제303호</t>
  </si>
  <si>
    <t>474-2 제3층 제304호</t>
  </si>
  <si>
    <t>474-2 제3층 제305호</t>
  </si>
  <si>
    <t>474-2 제4층 제401호</t>
  </si>
  <si>
    <t>474-2 제4층 제402호</t>
  </si>
  <si>
    <t>474-2 제4층 제403호</t>
  </si>
  <si>
    <t>474-2 제4층 제404호</t>
  </si>
  <si>
    <t>474-2 제4층 제405호</t>
  </si>
  <si>
    <t>474-2 제5층 제501호</t>
  </si>
  <si>
    <t>474-2 제5층 제502호</t>
  </si>
  <si>
    <t>474-2 제5층 제503호</t>
  </si>
  <si>
    <t>19-17 제2층 제202호</t>
  </si>
  <si>
    <t>213-1 제1동 제4층 제403호</t>
  </si>
  <si>
    <t>131-4 대방노블랜드 제109동 제1층 제102호</t>
  </si>
  <si>
    <t>봉담읍 동화리</t>
  </si>
  <si>
    <t>공덕동</t>
  </si>
  <si>
    <t>467 롯데캐슬프레지던트 제40층 제오-4002호</t>
  </si>
  <si>
    <t>40층 업무시설, 공동주택, 숙박시설, 판매시설</t>
  </si>
  <si>
    <t>1548 쌍용더플래티넘용마산 제104동 제4층 제403호</t>
  </si>
  <si>
    <t>약사동</t>
  </si>
  <si>
    <t>707 래미안2차 제307동 제4층 제404호</t>
  </si>
  <si>
    <t>천호동</t>
  </si>
  <si>
    <t>571 래미안강동팰리스 제상가동 제1층 제102-107호</t>
  </si>
  <si>
    <t>202-5 에이스하이테크시티청라 제9층 제3-910호</t>
  </si>
  <si>
    <t>음성군</t>
  </si>
  <si>
    <t>금왕읍 금석리</t>
  </si>
  <si>
    <t>259외 2필지 제7층 제709호</t>
  </si>
  <si>
    <t>8층 아파트</t>
  </si>
  <si>
    <t>성남시 수정구</t>
  </si>
  <si>
    <t>창곡동</t>
  </si>
  <si>
    <t>562-1 위례케이씨씨웰츠타워 제1층 제1018호</t>
  </si>
  <si>
    <t>20층 업무시설(오피스텔), 판매시설</t>
  </si>
  <si>
    <t>대연동</t>
  </si>
  <si>
    <t>245외 7필지 대우그린아파트 제102동 제1층 제107호</t>
  </si>
  <si>
    <t>남원읍 위미리</t>
  </si>
  <si>
    <t>3664</t>
  </si>
  <si>
    <t>과수원</t>
  </si>
  <si>
    <t>3660-1</t>
  </si>
  <si>
    <t>1123 하우스토리만수 제105동 제7층 제703호</t>
  </si>
  <si>
    <t>사당동</t>
  </si>
  <si>
    <t>105외 1필지 극동아파트 제106동 제17층 제1703호</t>
  </si>
  <si>
    <t>도곡동</t>
  </si>
  <si>
    <t>467 타워팰리스 제디동 제18층 제1803호</t>
  </si>
  <si>
    <t>42층 공동주택 및 업무시설</t>
  </si>
  <si>
    <t>506-28</t>
  </si>
  <si>
    <t>4층 단독주택</t>
  </si>
  <si>
    <t>범일동</t>
  </si>
  <si>
    <t>830-296 진흥마제스타워범일 제101동 제23층 제1423호</t>
  </si>
  <si>
    <t>40층 아파트</t>
  </si>
  <si>
    <t>오라삼동</t>
  </si>
  <si>
    <t>2779-2외 1필지</t>
  </si>
  <si>
    <t>4층 제2종근린생활시설</t>
  </si>
  <si>
    <t>2784-2</t>
  </si>
  <si>
    <t>3019 김포양촌금빛마을자연앤데시앙아파트 제111동 제11층 제1102호</t>
  </si>
  <si>
    <t>와동동</t>
  </si>
  <si>
    <t>1356 가람마을10단지 동양엔파트 월드메르디앙 제1005동 제11층 제1103호</t>
  </si>
  <si>
    <t>580-1 논현파크포레 제105동 제20층 제2004호</t>
  </si>
  <si>
    <t>감삼동</t>
  </si>
  <si>
    <t>461 월드마크웨스트엔드 제101동 제15층 제1502호</t>
  </si>
  <si>
    <t>파호동</t>
  </si>
  <si>
    <t>24 성서우방유쉘 제103동 제7층 제701호</t>
  </si>
  <si>
    <t>용암면 용계리</t>
  </si>
  <si>
    <t>687-11외 1필지</t>
  </si>
  <si>
    <t>단층 자원순환관련시설</t>
  </si>
  <si>
    <t>687-11</t>
  </si>
  <si>
    <t>687-1</t>
  </si>
  <si>
    <t>687-4</t>
  </si>
  <si>
    <t>708-3</t>
  </si>
  <si>
    <t>단층 기숙사</t>
  </si>
  <si>
    <t>산4-3</t>
  </si>
  <si>
    <t>단층 체력단련장, 단층 휴게소</t>
  </si>
  <si>
    <t>산4-3 제1호</t>
  </si>
  <si>
    <t>687</t>
  </si>
  <si>
    <t>687-6</t>
  </si>
  <si>
    <t>687-8</t>
  </si>
  <si>
    <t>687-9</t>
  </si>
  <si>
    <t>687-14</t>
  </si>
  <si>
    <t>687-15</t>
  </si>
  <si>
    <t>687-16</t>
  </si>
  <si>
    <t>688-2</t>
  </si>
  <si>
    <t>688-3</t>
  </si>
  <si>
    <t>708-2</t>
  </si>
  <si>
    <t>817-18</t>
  </si>
  <si>
    <t>산4-14</t>
  </si>
  <si>
    <t>687-2</t>
  </si>
  <si>
    <t>687-3</t>
  </si>
  <si>
    <t>687-5</t>
  </si>
  <si>
    <t>687-10</t>
  </si>
  <si>
    <t>687-12</t>
  </si>
  <si>
    <t>687-13</t>
  </si>
  <si>
    <t>687-17</t>
  </si>
  <si>
    <t>688</t>
  </si>
  <si>
    <t>688-1</t>
  </si>
  <si>
    <t>708</t>
  </si>
  <si>
    <t>817</t>
  </si>
  <si>
    <t>산4-6</t>
  </si>
  <si>
    <t>대신동</t>
  </si>
  <si>
    <t>896 주건축물제1동</t>
  </si>
  <si>
    <t>3층 창고</t>
  </si>
  <si>
    <t>896</t>
  </si>
  <si>
    <t>1226-2외 2필지 제7층 제702호</t>
  </si>
  <si>
    <t>9층 공동주택</t>
  </si>
  <si>
    <t>포승읍 도곡리</t>
  </si>
  <si>
    <t>1118-4 평택포승골든포트 제8층 제802호</t>
  </si>
  <si>
    <t>20층 공동주택(아파트), 업무시설(오피스텔), 근린생활시설</t>
  </si>
  <si>
    <t>대곶면 대명리</t>
  </si>
  <si>
    <t>487-9 대명항수산물타운 제비동 제1층 제1012호</t>
  </si>
  <si>
    <t>지하1층 지상3층 제2종근린생활시설 및 판매시설</t>
  </si>
  <si>
    <t>4층 공장</t>
  </si>
  <si>
    <t>양동면 쌍학리</t>
  </si>
  <si>
    <t>435-27외 1필지 12호</t>
  </si>
  <si>
    <t>435-27</t>
  </si>
  <si>
    <t>435-48</t>
  </si>
  <si>
    <t>435-20</t>
  </si>
  <si>
    <t>209-2 청라아이에이치피이지움 제에이동 제6층 제608호</t>
  </si>
  <si>
    <t>10층 업무시설(오피스텔) 및 근린생활시설</t>
  </si>
  <si>
    <t>209-2 청라아이에이치피이지움 제에이동 제9층 제905호</t>
  </si>
  <si>
    <t>209-2 청라아이에이치피이지움 제에이동 제9층 제906호</t>
  </si>
  <si>
    <t>209-3 청라아이에이치피이지움 제비동 제5층 제501호</t>
  </si>
  <si>
    <t>209-3 청라아이에이치피이지움 제비동 제5층 제502호</t>
  </si>
  <si>
    <t>267-9외 1필지 에코이뷰 제6층 제606호</t>
  </si>
  <si>
    <t>14층 업무시설(사무소-97호) 및 근린생활시설</t>
  </si>
  <si>
    <t>145외 1필지 경남아파트 제311동 제16층 제1601호</t>
  </si>
  <si>
    <t>1394 아산용화아이파크 제102동 제28층 제2801호</t>
  </si>
  <si>
    <t>31층 아파트</t>
  </si>
  <si>
    <t>주덕읍 삼청리</t>
  </si>
  <si>
    <t>36-2</t>
  </si>
  <si>
    <t>36-14</t>
  </si>
  <si>
    <t>청담동</t>
  </si>
  <si>
    <t>129-9외 1필지 상지리츠빌 카일룸3차 제4층 제402호</t>
  </si>
  <si>
    <t>20층 아파트,오피스텔,근린생활시설</t>
  </si>
  <si>
    <t>파주읍 연풍리</t>
  </si>
  <si>
    <t>484 파주연풍양우내안애에코하임 제105동 제3층 제303호</t>
  </si>
  <si>
    <t>132-16 엘프론트청담 제지하2층 제비213호</t>
  </si>
  <si>
    <t>지하3층 지상7층 제1,2종근린생활시설, 업무시설(사무소)</t>
  </si>
  <si>
    <t>5-9 태화아파트및상가 제4층 제408호</t>
  </si>
  <si>
    <t>10층 공동주택 및 상가</t>
  </si>
  <si>
    <t>진접읍 팔야리</t>
  </si>
  <si>
    <t>797-1 제가동 제3층 제307호</t>
  </si>
  <si>
    <t>목현동</t>
  </si>
  <si>
    <t>58-16 제이비타운2차 제102동 제3층 제302호</t>
  </si>
  <si>
    <t>3129-94외 7필지 네이션스오피스텔 제6층 제614호</t>
  </si>
  <si>
    <t>19층 업무시설.근린생활시설</t>
  </si>
  <si>
    <t>정림동</t>
  </si>
  <si>
    <t>584외 2필지 우성아파트 제126동 제13층 제1305호</t>
  </si>
  <si>
    <t>화도읍 창현리</t>
  </si>
  <si>
    <t>745 창현두산아파트 제208동 제15층 제1501호</t>
  </si>
  <si>
    <t>74-1외 6필지 파인빌 제비동 제4층 제402호</t>
  </si>
  <si>
    <t>1555 중산마을아파트 제111동 제7층 제704호</t>
  </si>
  <si>
    <t>가능동</t>
  </si>
  <si>
    <t>860 의정부롯데캐슬골드포레 제103동 제29층 제2903호</t>
  </si>
  <si>
    <t>76-1 새한아파트 제나동 제2층 제203호</t>
  </si>
  <si>
    <t>421-27 포레힐스 제102동 제3층 제301호</t>
  </si>
  <si>
    <t>금남로5가</t>
  </si>
  <si>
    <t>154-1 금남로에이엠시티하이클래스 제10층 제1213호</t>
  </si>
  <si>
    <t>15층 공동주택(아파트)업무시설</t>
  </si>
  <si>
    <t>712 해동마을한양수자인 제306동 제14층 제1403호</t>
  </si>
  <si>
    <t>지하1층 지상14층 공동주택(아파트)</t>
  </si>
  <si>
    <t>병점동</t>
  </si>
  <si>
    <t>376-11 병점역써밋프라움비동 제2층 제213호</t>
  </si>
  <si>
    <t>20층 업무시설(오피스텔)</t>
  </si>
  <si>
    <t>61외 1필지 남산하이츠타운 제101동 제6층 제608호</t>
  </si>
  <si>
    <t>14층 공동주택(아파트) 및 관리사무소,노인정,공중변소,경비실, 주차장,전기실,펌프실</t>
  </si>
  <si>
    <t>왜관읍 왜관리</t>
  </si>
  <si>
    <t>1463 칠곡왜관태왕아너스센텀 제101동 제2층 제205호</t>
  </si>
  <si>
    <t>묵동</t>
  </si>
  <si>
    <t>240-131외 1필지 제3층 제302호</t>
  </si>
  <si>
    <t>5층 도시형생활주택</t>
  </si>
  <si>
    <t>317-8 엘림테라스뷰 제5층 제502호</t>
  </si>
  <si>
    <t>6층 공동주택(다세대주택),제2종근린생활시설</t>
  </si>
  <si>
    <t>1039 서동탄역우남퍼스트빌아파트 제1002동 제16층 제1605호</t>
  </si>
  <si>
    <t>청북면 옥길리</t>
  </si>
  <si>
    <t>1097 사랑으로부영5차 제506동 제15층 제1504호</t>
  </si>
  <si>
    <t>중리동</t>
  </si>
  <si>
    <t>1166-1 디센터1976지식산업센터 제1층 제102호</t>
  </si>
  <si>
    <t>지하2층 지상11층 공장</t>
  </si>
  <si>
    <t>104</t>
  </si>
  <si>
    <t>3층 제1종근린생활시설</t>
  </si>
  <si>
    <t>둔산동</t>
  </si>
  <si>
    <t>1204 녹원아파트 제111동 제10층 제1008호</t>
  </si>
  <si>
    <t>성수동2가</t>
  </si>
  <si>
    <t>277-43 성수동아크밸리 제9층 제905호</t>
  </si>
  <si>
    <t>14층 아파트형공장, 지원시설</t>
  </si>
  <si>
    <t>277-43 성수동아크밸리 제9층 제906호</t>
  </si>
  <si>
    <t>570외 2필지 하남 두산위브파크 제18층 제101-1801호</t>
  </si>
  <si>
    <t>20층 공동주택 및 판매시설</t>
  </si>
  <si>
    <t>신흥동3가</t>
  </si>
  <si>
    <t>31-13 인천유림노르웨이숲에듀오션 제103동 제19층 제1905호</t>
  </si>
  <si>
    <t>39층 공동주택(아파트)</t>
  </si>
  <si>
    <t>신원동</t>
  </si>
  <si>
    <t>557 힐스테이트서초젠트리스 제104동 제2층 제201호</t>
  </si>
  <si>
    <t>반여동</t>
  </si>
  <si>
    <t>1685 센텀우성스마트시티뷰 제104동 제13층 제1301호</t>
  </si>
  <si>
    <t>28층 업무시설</t>
  </si>
  <si>
    <t>1066 개나리아파트 제1337동 제3층 제303호</t>
  </si>
  <si>
    <t>도마교동</t>
  </si>
  <si>
    <t>478 군포송정풍산리치안 제8층 제비813호</t>
  </si>
  <si>
    <t>15층 업무시설(오피스텔) 판매시설(소매시장-대규모점포)</t>
  </si>
  <si>
    <t>690-21 주연로즈빌 제5층 제502호</t>
  </si>
  <si>
    <t>144-37 골든스테이트3차 제3층 제303호</t>
  </si>
  <si>
    <t>6층 공동주택(도시형생활주택)  및 오피스텔</t>
  </si>
  <si>
    <t>919 백석벽산블루밍1차아파트 제106동 제4층 제402호</t>
  </si>
  <si>
    <t>창신동</t>
  </si>
  <si>
    <t>328-18외 2필지 제2층 제씨20호</t>
  </si>
  <si>
    <t>13층 판매시설, 업무시설, 창고시설, 근린생활시설, 관람집회시설, 교육연구시설</t>
  </si>
  <si>
    <t>627-40 금호타운 제10동 제6층 제601호</t>
  </si>
  <si>
    <t>425-1외 2필지 리안파크빌 제5층 제503호</t>
  </si>
  <si>
    <t>5층 공동주택(도시형생활주택-단지형다세대), 제1종근린생활시설</t>
  </si>
  <si>
    <t>주월동</t>
  </si>
  <si>
    <t>1320 양우내안애프레스티지 제112동 제2층 제201호</t>
  </si>
  <si>
    <t>2층 근린생활시설3</t>
  </si>
  <si>
    <t>1320 양우내안애프레스티지 제112동 제2층 제203호</t>
  </si>
  <si>
    <t>16-8 송도더샵그린애비뉴7단지 제703동 제17층 제1703호</t>
  </si>
  <si>
    <t>139 시흥배곧신도시호반베르디움센트럴파크 제809동 제17층 제1704호</t>
  </si>
  <si>
    <t>191-3외 11필지 현대아파트 제105동 제6층 제606호</t>
  </si>
  <si>
    <t>710 고산더라피니엘 제603동 제12층 제1204호</t>
  </si>
  <si>
    <t>6073-2 다산안강럭스나인 제3층 제328호</t>
  </si>
  <si>
    <t>12층 업무시설(오피스텔) 근린생활시설</t>
  </si>
  <si>
    <t>봉동읍 둔산리</t>
  </si>
  <si>
    <t>871-1 라송 센트럴카운티 제102동 제2층 제206호</t>
  </si>
  <si>
    <t>성곡동</t>
  </si>
  <si>
    <t>848-8 안산엠티비타워오피스텔 제7층 제709호</t>
  </si>
  <si>
    <t>도림동</t>
  </si>
  <si>
    <t>676-4 보령파인빌 제1동 제2층 제201호</t>
  </si>
  <si>
    <t>남사읍 통삼리</t>
  </si>
  <si>
    <t>636-47</t>
  </si>
  <si>
    <t>627-10</t>
  </si>
  <si>
    <t>화도읍 묵현리</t>
  </si>
  <si>
    <t>628 남양주두산위브트레지움 제106동 제17층 제1702호</t>
  </si>
  <si>
    <t>32층 공동주택(아파트)</t>
  </si>
  <si>
    <t>장성동</t>
  </si>
  <si>
    <t>1620 장성푸르지오 제101동 제7층 제704호</t>
  </si>
  <si>
    <t>643-1 엠스테이트 제에이동 제13층 제에이-1305호</t>
  </si>
  <si>
    <t>643-1 엠스테이트 제에이동 제13층 제에이-1302호</t>
  </si>
  <si>
    <t>수창동</t>
  </si>
  <si>
    <t>173 대구역센트럴자이 제상가동 제4층 제401호</t>
  </si>
  <si>
    <t>1356 가람마을10단지 동양엔파트 월드메르디앙 제1005동 제7층 제701호</t>
  </si>
  <si>
    <t>양서면 복포리</t>
  </si>
  <si>
    <t>265외 1필지 제1동</t>
  </si>
  <si>
    <t>2층 제조업소,사무소,다가구주택</t>
  </si>
  <si>
    <t>265</t>
  </si>
  <si>
    <t>466-2</t>
  </si>
  <si>
    <t>547-1 코오롱파크뷰 제27층 제에이-2704호</t>
  </si>
  <si>
    <t>33층 공동주택(아파트),제1,2종근린생활시설</t>
  </si>
  <si>
    <t>6874-17 호수마을이편한세상 제209동 제3층 제304호</t>
  </si>
  <si>
    <t>442 서강한화오벨리스크스위트 제103동 제302호</t>
  </si>
  <si>
    <t>13-1 주안현대홈타운 제103동 제5층 제504호</t>
  </si>
  <si>
    <t>원곡동</t>
  </si>
  <si>
    <t>958-7 리첸시아 제에이동 제5층 제501호</t>
  </si>
  <si>
    <t>5층 도시형생활주택(단지형12세대)</t>
  </si>
  <si>
    <t>주엽동</t>
  </si>
  <si>
    <t>1 문촌마을아파트 제101동 제8층 제808호</t>
  </si>
  <si>
    <t>1007-2 백상앨리츠오피스텔2차 제12층 제1210호</t>
  </si>
  <si>
    <t>468-13 자연예가 제106동 제2층 제202호</t>
  </si>
  <si>
    <t>484-1 진영빌라 제1층 제102호</t>
  </si>
  <si>
    <t>이매동</t>
  </si>
  <si>
    <t>75-5 대림파크</t>
  </si>
  <si>
    <t>4층 단독주택(다가구주택(15가구)) 및 근린생활시설</t>
  </si>
  <si>
    <t>75-5</t>
  </si>
  <si>
    <t>725 한라하이츠빌라 제가동 제3층 제302호</t>
  </si>
  <si>
    <t>서둔동</t>
  </si>
  <si>
    <t>27-122 제5층 제501호</t>
  </si>
  <si>
    <t>420-3 이레하이니스 제6층 제609호</t>
  </si>
  <si>
    <t>14층 공동주택(도시형생활주택원룸형), 업무시설(오피스텔), 제1종근린생활시설(소매점)</t>
  </si>
  <si>
    <t>60-26 가산퍼블릭 제비동 제3층 제오비-305호</t>
  </si>
  <si>
    <t>20층 산업시설(공장), 지원시설(근린생활시설)</t>
  </si>
  <si>
    <t>757 양도마을 제305동 제13층 제1307호</t>
  </si>
  <si>
    <t>14층 공동주택</t>
  </si>
  <si>
    <t>179-9외 3필지 허브빌 제101동 제2층 제202호</t>
  </si>
  <si>
    <t>현암동</t>
  </si>
  <si>
    <t>177-3 삼진주택 제7동 제5층 제509호</t>
  </si>
  <si>
    <t>장림동</t>
  </si>
  <si>
    <t>989-27</t>
  </si>
  <si>
    <t>5층 공장</t>
  </si>
  <si>
    <t>989-17</t>
  </si>
  <si>
    <t>함안군</t>
  </si>
  <si>
    <t>가야읍 묘사리</t>
  </si>
  <si>
    <t>848외 3필지 제주1동호</t>
  </si>
  <si>
    <t>2층 운동시설 및 일반음식점, 단층 직원숙소</t>
  </si>
  <si>
    <t>848외 3필지 제주2동호</t>
  </si>
  <si>
    <t>848외 2필지 제주3동호</t>
  </si>
  <si>
    <t>2층 운동시설</t>
  </si>
  <si>
    <t>848</t>
  </si>
  <si>
    <t>850</t>
  </si>
  <si>
    <t>852</t>
  </si>
  <si>
    <t>874-3</t>
  </si>
  <si>
    <t>850-2</t>
  </si>
  <si>
    <t>595 고양삼송동일스위트1차 제703동 제7층 제704호</t>
  </si>
  <si>
    <t>607-37 제2층 제202호</t>
  </si>
  <si>
    <t>81-16 엘지명품빌라 제5층 제501호</t>
  </si>
  <si>
    <t>5층 다세대주택(9세대),제2종근린생활시설</t>
  </si>
  <si>
    <t>부산진구</t>
  </si>
  <si>
    <t>전포동</t>
  </si>
  <si>
    <t>171-2 서면앙쥬빌주상복합 제16층 제1606호</t>
  </si>
  <si>
    <t>19층 공동주택, 업무시설, 제1.2종근린생활시설</t>
  </si>
  <si>
    <t>오정동</t>
  </si>
  <si>
    <t>306-18 태성빌라 제에이동 제3층 제303호</t>
  </si>
  <si>
    <t>단대동</t>
  </si>
  <si>
    <t>56-5 제1층 제102호</t>
  </si>
  <si>
    <t>괴정동</t>
  </si>
  <si>
    <t>733 신동양아파트 제3동 제10층 제1006호</t>
  </si>
  <si>
    <t>13층 아파트 대피소, 관리실, 집회실</t>
  </si>
  <si>
    <t>태장동</t>
  </si>
  <si>
    <t>546-59 장미렉스 제1층 제202호</t>
  </si>
  <si>
    <t>410-19 제3층 제302호</t>
  </si>
  <si>
    <t>소흘읍 이동교리</t>
  </si>
  <si>
    <t>111-17 하나팰리스 제102동 제2층 제203호</t>
  </si>
  <si>
    <t>2008-116</t>
  </si>
  <si>
    <t>2층 소매점, 주택, 1층 부속 변소</t>
  </si>
  <si>
    <t>물금읍 가촌리</t>
  </si>
  <si>
    <t>1292 라피에스타양산 제1층 제1-217호</t>
  </si>
  <si>
    <t>지하3층 지상7층 판매시설.문화및집회시설. 제2종근린생활시설</t>
  </si>
  <si>
    <t>709 부경타운하우스2단지 제203동 제2층 제205호</t>
  </si>
  <si>
    <t>709 부경타운하우스2단지 제204동 제3층 제306호</t>
  </si>
  <si>
    <t>문학동</t>
  </si>
  <si>
    <t>361-2 전원아트빌라 제에이동 제5층 제502호</t>
  </si>
  <si>
    <t>장안읍 오리</t>
  </si>
  <si>
    <t>1121-7</t>
  </si>
  <si>
    <t>가정동</t>
  </si>
  <si>
    <t>567외 2필지 한국아파트 제301동 제5층 제503호</t>
  </si>
  <si>
    <t>926-27 계산동나드리상가 제7층 제701호</t>
  </si>
  <si>
    <t>7층 근린생활시설(소매시장)</t>
  </si>
  <si>
    <t>도당동</t>
  </si>
  <si>
    <t>268-11</t>
  </si>
  <si>
    <t>668 삼송자이더빌리지 제623동 제1층 제104호</t>
  </si>
  <si>
    <t>1층 공동주택(연립주택(도시형생활주택-단지형연립주택))</t>
  </si>
  <si>
    <t>구서동</t>
  </si>
  <si>
    <t>162-13 동보아파트4차 제7층 제702호</t>
  </si>
  <si>
    <t>10층 공동주택 및 제1종근린생활시설</t>
  </si>
  <si>
    <t>구좌읍 한동리</t>
  </si>
  <si>
    <t>1294-3 안뜨레빌 제에이동 제1층 제101호</t>
  </si>
  <si>
    <t>1294-3 안뜨레빌 제에이동 제1층 제102호</t>
  </si>
  <si>
    <t>1294-3 안뜨레빌 제에이동 제2층 제201호</t>
  </si>
  <si>
    <t>1294-3 안뜨레빌 제에이동 제3층 제301호</t>
  </si>
  <si>
    <t>1294-3 안뜨레빌 제에이동 제4층 제501호</t>
  </si>
  <si>
    <t>1435 화정마을부영아파트 제605동 제2층 제204호</t>
  </si>
  <si>
    <t>691-2 케이에이치마이우스 제9층 제907호</t>
  </si>
  <si>
    <t>13층 공동주택, 업무시설, 제2종근린생활시설,교육연구시설</t>
  </si>
  <si>
    <t>화북이동</t>
  </si>
  <si>
    <t>4955-2외 1필지 문화아파트 제나동 제7층 제805호</t>
  </si>
  <si>
    <t>초월읍 지월리</t>
  </si>
  <si>
    <t>284외 1필지 유어홈타운 제에이동 제1층 제101호</t>
  </si>
  <si>
    <t>장대동</t>
  </si>
  <si>
    <t>344 드림월드아파트 제107동 제7층 제702호</t>
  </si>
  <si>
    <t>지하1층, 지상14층 아파트</t>
  </si>
  <si>
    <t>원남면 하노리</t>
  </si>
  <si>
    <t>644-5외 4필지 제가동호</t>
  </si>
  <si>
    <t>644-5외 4필지 제나동호</t>
  </si>
  <si>
    <t>644-5외 4필지 제다동호</t>
  </si>
  <si>
    <t>단층공장(사무실,기숙사)</t>
  </si>
  <si>
    <t>644-5외 4필지 제라동호</t>
  </si>
  <si>
    <t>단층공장(사무실)</t>
  </si>
  <si>
    <t>644-5</t>
  </si>
  <si>
    <t>645-2</t>
  </si>
  <si>
    <t>782-74</t>
  </si>
  <si>
    <t>782-115</t>
  </si>
  <si>
    <t>원남면 하당리</t>
  </si>
  <si>
    <t>596-60</t>
  </si>
  <si>
    <t>782-75</t>
  </si>
  <si>
    <t>하천</t>
  </si>
  <si>
    <t>596-59</t>
  </si>
  <si>
    <t>596-62</t>
  </si>
  <si>
    <t>782-126</t>
  </si>
  <si>
    <t>644-5외 4필지 제마동호</t>
  </si>
  <si>
    <t>단층 공장(창고)</t>
  </si>
  <si>
    <t>하양읍 대학리</t>
  </si>
  <si>
    <t>1269 주건축물제1동</t>
  </si>
  <si>
    <t>4층 공장, 단층 폐수처리시설, 단층 폐기물적치장, 1층 배합동, 2층 배합동</t>
  </si>
  <si>
    <t>1269</t>
  </si>
  <si>
    <t>여수시</t>
  </si>
  <si>
    <t>32</t>
  </si>
  <si>
    <t>문현동</t>
  </si>
  <si>
    <t>470-9외 1필지 금융센터디온플레이스 제23층 제2304호</t>
  </si>
  <si>
    <t>26층 업무시설,제2종근린생활시설</t>
  </si>
  <si>
    <t>647 해솔마을1단지두산위브 제103동 제8층 제804호</t>
  </si>
  <si>
    <t>각화동</t>
  </si>
  <si>
    <t>614 무등산한국아델리움어반센트럴 제101동 제8층 제804호</t>
  </si>
  <si>
    <t>84 제지1층 제비101호</t>
  </si>
  <si>
    <t>4층 제1. 2종 근린생활시설</t>
  </si>
  <si>
    <t>봉동</t>
  </si>
  <si>
    <t>805 봉동 선원가와인 아파트 제101동 제5층 제501호</t>
  </si>
  <si>
    <t>77-1 백한빌라 제3동 제2층 제202호</t>
  </si>
  <si>
    <t>마두동</t>
  </si>
  <si>
    <t>789 강촌마을아파트 제501동 제9층 제901호</t>
  </si>
  <si>
    <t>1318외 3필지 비잔티움일산1단지 제2층 제203호</t>
  </si>
  <si>
    <t>10층 업무시설</t>
  </si>
  <si>
    <t>312-28</t>
  </si>
  <si>
    <t>공도읍 마정리</t>
  </si>
  <si>
    <t>100-41 제1동 제4층 제502호</t>
  </si>
  <si>
    <t>611외 1필지 더팰리스스위트(지산) 제101동에이동 제2층 제202호</t>
  </si>
  <si>
    <t>4층 도시형 생활주택(다세대주택) 8세대</t>
  </si>
  <si>
    <t>강하면 전수리</t>
  </si>
  <si>
    <t>530-65</t>
  </si>
  <si>
    <t>금산읍 상리</t>
  </si>
  <si>
    <t>306-8 삼호아파트 제101동 제3층 제310호</t>
  </si>
  <si>
    <t>18층</t>
  </si>
  <si>
    <t>진주시</t>
  </si>
  <si>
    <t>하대동</t>
  </si>
  <si>
    <t>141-3 한보힐타워맨션 제1동 제12층 제1202호</t>
  </si>
  <si>
    <t>7-27 산업기술연구집적센터 제2층 제205호</t>
  </si>
  <si>
    <t>지하1층-지상5층 교육연구시설</t>
  </si>
  <si>
    <t>100 송도더샵퍼스트파크에프13-1블럭 제1301동 제2층 제202호</t>
  </si>
  <si>
    <t>44층 공동주택(아파트)</t>
  </si>
  <si>
    <t>1887-1 인천영종하늘도시한라비발디아파트 제926동 제22층 제2201호</t>
  </si>
  <si>
    <t>461 월드마크웨스트엔드 제102동 제7층 제701호</t>
  </si>
  <si>
    <t>선남면 도성리</t>
  </si>
  <si>
    <t>39-10 주1</t>
  </si>
  <si>
    <t>단층 공장(부속창고)</t>
  </si>
  <si>
    <t>39-10</t>
  </si>
  <si>
    <t>721 상계주공아파트 제506동 제4층 제407호</t>
  </si>
  <si>
    <t>720 상계주공아파트 제611동 제13층 제1302호</t>
  </si>
  <si>
    <t>402-1 미라보아파트 제101동 제18층 제1808호</t>
  </si>
  <si>
    <t>1474-15 몽삐에뜨골드 제12층 제1206호</t>
  </si>
  <si>
    <t>13층 업무시설,제2종근린생활시설,제1종근린생활시설</t>
  </si>
  <si>
    <t>보은군</t>
  </si>
  <si>
    <t>장안면 구인리</t>
  </si>
  <si>
    <t>182-26 제에이동호</t>
  </si>
  <si>
    <t>182-26 제비동호</t>
  </si>
  <si>
    <t>2층 사무실 및 식당기숙사</t>
  </si>
  <si>
    <t>182-26 제씨동호</t>
  </si>
  <si>
    <t>182-26 제디동호</t>
  </si>
  <si>
    <t>182-26</t>
  </si>
  <si>
    <t>3-25 신도림테크노마트 제10층 제011호</t>
  </si>
  <si>
    <t>40층 판매시설,업무시설,문화 및 집회시설,운동시설</t>
  </si>
  <si>
    <t>증평군</t>
  </si>
  <si>
    <t>증평읍 미암리</t>
  </si>
  <si>
    <t>1073 증평코아루휴티스 제108동 제11층 제1101호</t>
  </si>
  <si>
    <t>대청동</t>
  </si>
  <si>
    <t>68-9 장유프라자 제7층 제701호</t>
  </si>
  <si>
    <t>8층 제1,2종 근린생활시설, 위락시설, 숙박시설</t>
  </si>
  <si>
    <t>68-9 장유프라자 제7층 제702호</t>
  </si>
  <si>
    <t>영화동</t>
  </si>
  <si>
    <t>206 드림하우스 제4층 제403호</t>
  </si>
  <si>
    <t>5층 도시형생활주택(단지형) 및 제1종근린생활시설</t>
  </si>
  <si>
    <t>376-11 병점역써밋프라움에이동 제5층 제503호</t>
  </si>
  <si>
    <t>20층 업무시설(오피스텔).근린생활시설</t>
  </si>
  <si>
    <t>376-11 병점역써밋프라움에이동 제5층 제504호</t>
  </si>
  <si>
    <t>황학동</t>
  </si>
  <si>
    <t>2523외 2필지 황학아크로타워 제11층 제비-1104호</t>
  </si>
  <si>
    <t>지하6층 지상20층 공동주택,근린생활시설 및 업무시설</t>
  </si>
  <si>
    <t>97-5외 2필지 주건축물제1동 제3층 제303호</t>
  </si>
  <si>
    <t>충무공동</t>
  </si>
  <si>
    <t>225-1 드림어반스퀘어 제3층 제318호</t>
  </si>
  <si>
    <t>5층 문화및집회시설,제1,2종근린생활시설</t>
  </si>
  <si>
    <t>225-1 드림어반스퀘어 제3층 제319호</t>
  </si>
  <si>
    <t>225-1 드림어반스퀘어 제3층 제320호</t>
  </si>
  <si>
    <t>225-1 드림어반스퀘어 제3층 제321호</t>
  </si>
  <si>
    <t>225-1 드림어반스퀘어 제3층 제321-1호</t>
  </si>
  <si>
    <t>225-1 드림어반스퀘어 제3층 제322호</t>
  </si>
  <si>
    <t>225-1 드림어반스퀘어 제3층 제322-1호</t>
  </si>
  <si>
    <t>225-1 드림어반스퀘어 제3층 제323호</t>
  </si>
  <si>
    <t>225-1 드림어반스퀘어 제3층 제323-1호</t>
  </si>
  <si>
    <t>225-1 드림어반스퀘어 제3층 제324호</t>
  </si>
  <si>
    <t>225-1 드림어반스퀘어 제3층 제324-1호</t>
  </si>
  <si>
    <t>225-1 드림어반스퀘어 제3층 제325호</t>
  </si>
  <si>
    <t>225-1 드림어반스퀘어 제3층 제325-1호</t>
  </si>
  <si>
    <t>225-1 드림어반스퀘어 제3층 제326호</t>
  </si>
  <si>
    <t>225-1 드림어반스퀘어 제3층 제326-1호</t>
  </si>
  <si>
    <t>225-1 드림어반스퀘어 제3층 제327호</t>
  </si>
  <si>
    <t>225-1 드림어반스퀘어 제3층 제328호</t>
  </si>
  <si>
    <t>225-1 드림어반스퀘어 제3층 제328-1호</t>
  </si>
  <si>
    <t>225-1 드림어반스퀘어 제3층 제329호</t>
  </si>
  <si>
    <t>225-1 드림어반스퀘어 제3층 제329-1호</t>
  </si>
  <si>
    <t>225-1 드림어반스퀘어 제3층 제333호</t>
  </si>
  <si>
    <t>225-1 드림어반스퀘어 제3층 제334호</t>
  </si>
  <si>
    <t>225-1 드림어반스퀘어 제3층 제334-1호</t>
  </si>
  <si>
    <t>225-1 드림어반스퀘어 제3층 제335호</t>
  </si>
  <si>
    <t>225-1 드림어반스퀘어 제3층 제333-1호</t>
  </si>
  <si>
    <t>연천군</t>
  </si>
  <si>
    <t>전곡읍 전곡리</t>
  </si>
  <si>
    <t>411-3외 2필지 명정아파트 제2동 제8층 제805호</t>
  </si>
  <si>
    <t>화원읍 성산리</t>
  </si>
  <si>
    <t>505 화원대백아파트 제103동 제4층 제401호</t>
  </si>
  <si>
    <t>173-19외 1필지 해비치빌 제5층 제504호</t>
  </si>
  <si>
    <t>6층 공동주택.근린생활시설</t>
  </si>
  <si>
    <t>97-29 몽블랑뷰 제5층 제503호</t>
  </si>
  <si>
    <t>1656-1 블루텍 제11층 제공존-1125호</t>
  </si>
  <si>
    <t>1656-1 블루텍 제11층 제공존-1126호</t>
  </si>
  <si>
    <t>광도면 죽림리</t>
  </si>
  <si>
    <t>1573-2 주영더팰리스5차아파트 제504동 제12층 제1202호</t>
  </si>
  <si>
    <t>평촌동</t>
  </si>
  <si>
    <t>160-1 평촌역아이에스비즈타워 제지1층 제비109호</t>
  </si>
  <si>
    <t>15층 공장</t>
  </si>
  <si>
    <t>15-25 금용아파트 제101동 제9층 제905호</t>
  </si>
  <si>
    <t>23층</t>
  </si>
  <si>
    <t>68-20 제4층 제401호</t>
  </si>
  <si>
    <t>보목동</t>
  </si>
  <si>
    <t>648 금호팰리스 제에이동 제5층 제501호</t>
  </si>
  <si>
    <t>선남면 도흥리</t>
  </si>
  <si>
    <t>320-5 주1동</t>
  </si>
  <si>
    <t>단층 공장, 2층 공장(사무소)</t>
  </si>
  <si>
    <t>320-5 주2동</t>
  </si>
  <si>
    <t>320-5</t>
  </si>
  <si>
    <t>1656-1 블루텍 제11층 제공존-1123호</t>
  </si>
  <si>
    <t>1656-1 블루텍 제11층 제공존-1124호</t>
  </si>
  <si>
    <t>대포동</t>
  </si>
  <si>
    <t>792 천마에코피아7차 제101동 제1층 제105호</t>
  </si>
  <si>
    <t>166-117 프라다 제1층 제101호</t>
  </si>
  <si>
    <t>5층 공동주택, 오피스텔</t>
  </si>
  <si>
    <t>166-117 프라다 제1층 제102호</t>
  </si>
  <si>
    <t>166-117 프라다 제1층 제103호</t>
  </si>
  <si>
    <t>166-117 프라다 제2층 제201호</t>
  </si>
  <si>
    <t>166-117 프라다 제2층 제202호</t>
  </si>
  <si>
    <t>166-117 프라다 제2층 제203호</t>
  </si>
  <si>
    <t>166-117 프라다 제2층 제204호</t>
  </si>
  <si>
    <t>166-117 프라다 제2층 제205호</t>
  </si>
  <si>
    <t>166-117 프라다 제3층 제301호</t>
  </si>
  <si>
    <t>166-117 프라다 제3층 제302호</t>
  </si>
  <si>
    <t>166-117 프라다 제3층 제303호</t>
  </si>
  <si>
    <t>166-117 프라다 제3층 제304호</t>
  </si>
  <si>
    <t>166-117 프라다 제3층 제305호</t>
  </si>
  <si>
    <t>166-117 프라다 제4층 제401호</t>
  </si>
  <si>
    <t>166-117 프라다 제4층 제402호</t>
  </si>
  <si>
    <t>166-117 프라다 제4층 제403호</t>
  </si>
  <si>
    <t>166-117 프라다 제4층 제404호</t>
  </si>
  <si>
    <t>166-117 프라다 제4층 제405호</t>
  </si>
  <si>
    <t>166-117 프라다 제5층 제501호</t>
  </si>
  <si>
    <t>166-117 프라다 제5층 제502호</t>
  </si>
  <si>
    <t>614-1 대훈탑스빌 제2동 제5층 제503호</t>
  </si>
  <si>
    <t>709 부경타운하우스2단지 제205동 제2층 제205호</t>
  </si>
  <si>
    <t>709 부경타운하우스2단지 제205동 제4층 제503호</t>
  </si>
  <si>
    <t>금성면 하신리</t>
  </si>
  <si>
    <t>229-1</t>
  </si>
  <si>
    <t>229-4</t>
  </si>
  <si>
    <t>2층 소매점</t>
  </si>
  <si>
    <t>78-5외 1필지 한밭가든아파트 제104동 제1층 제101호</t>
  </si>
  <si>
    <t>설악면 신천리</t>
  </si>
  <si>
    <t>349-1</t>
  </si>
  <si>
    <t>단층 제1종근린생활시설</t>
  </si>
  <si>
    <t>원곡면 외가천리</t>
  </si>
  <si>
    <t>42-11</t>
  </si>
  <si>
    <t>42-12</t>
  </si>
  <si>
    <t>봉담읍 와우리</t>
  </si>
  <si>
    <t>602외 1필지 봉담한신더휴에듀파크 제107동 제19층 제1902호</t>
  </si>
  <si>
    <t>교문동</t>
  </si>
  <si>
    <t>244-5 구리수아주퍼스트 제2층 제202호</t>
  </si>
  <si>
    <t>26층 업무시설(오피스텔), 근린생활시설</t>
  </si>
  <si>
    <t>내유동</t>
  </si>
  <si>
    <t>694-5 포레스트빌 제1동 제2층 제201호</t>
  </si>
  <si>
    <t>4층 공동주택(다세대주택8세대)</t>
  </si>
  <si>
    <t>2277 힐스테이트범어센트럴 제103동 제19층 제1903호</t>
  </si>
  <si>
    <t>37층 공동주택(아파트) 및 근린생활시설</t>
  </si>
  <si>
    <t>785외 1필지 소만마을아파트 제607동 제1층 제102호</t>
  </si>
  <si>
    <t>신소현동</t>
  </si>
  <si>
    <t>175 안성신소현코아루 제106동 제8층 제801호</t>
  </si>
  <si>
    <t>양촌읍 누산리</t>
  </si>
  <si>
    <t>182 에이동,씨동</t>
  </si>
  <si>
    <t>182 비동</t>
  </si>
  <si>
    <t>단층 창고</t>
  </si>
  <si>
    <t>182</t>
  </si>
  <si>
    <t>182-3</t>
  </si>
  <si>
    <t>759 유현마을 제207동 제6층 제605호</t>
  </si>
  <si>
    <t>능평동</t>
  </si>
  <si>
    <t>654-36 홈타운쉐르빌 제102동 제1층 제101호</t>
  </si>
  <si>
    <t>345-19 가산하우스디와이즈타워 제4층 제418호</t>
  </si>
  <si>
    <t>13층 공장(지식산업센터,지원시설)</t>
  </si>
  <si>
    <t>345-19 가산하우스디와이즈타워 제4층 제419호</t>
  </si>
  <si>
    <t>345-19 가산하우스디와이즈타워 제4층 제420호</t>
  </si>
  <si>
    <t>345-19 가산하우스디와이즈타워 제4층 제421호</t>
  </si>
  <si>
    <t>345-19 가산하우스디와이즈타워 제4층 제422호</t>
  </si>
  <si>
    <t>345-19 가산하우스디와이즈타워 제4층 제423호</t>
  </si>
  <si>
    <t>345-19 가산하우스디와이즈타워 제4층 제424호</t>
  </si>
  <si>
    <t>345-19 가산하우스디와이즈타워 제4층 제425호</t>
  </si>
  <si>
    <t>장곡동</t>
  </si>
  <si>
    <t>828 진말우성아파트 제111동 제9층 제902호</t>
  </si>
  <si>
    <t>진위면 갈곶리</t>
  </si>
  <si>
    <t>728-2 평택진위스마트큐브지식산업센터 제5층 제507호</t>
  </si>
  <si>
    <t>8층 근린생활시설 및 기타공장</t>
  </si>
  <si>
    <t>728-2 평택진위스마트큐브지식산업센터 제5층 제503호</t>
  </si>
  <si>
    <t>대곶면 송마리</t>
  </si>
  <si>
    <t>273-7 가동</t>
  </si>
  <si>
    <t>273-7 나동</t>
  </si>
  <si>
    <t>273-7 다동</t>
  </si>
  <si>
    <t>273-7 라동</t>
  </si>
  <si>
    <t>273-7</t>
  </si>
  <si>
    <t>274-3</t>
  </si>
  <si>
    <t>274-12</t>
  </si>
  <si>
    <t>문백면 옥성리</t>
  </si>
  <si>
    <t>401-2외 2필지</t>
  </si>
  <si>
    <t>401-2</t>
  </si>
  <si>
    <t>401-5</t>
  </si>
  <si>
    <t>565</t>
  </si>
  <si>
    <t>566-5</t>
  </si>
  <si>
    <t>568-4</t>
  </si>
  <si>
    <t>401-1</t>
  </si>
  <si>
    <t>산63-7</t>
  </si>
  <si>
    <t>401-8</t>
  </si>
  <si>
    <t>662-3 청류지산 제7층 제709호</t>
  </si>
  <si>
    <t>763외 3필지 일산라페스타 제이동 제3층 제301호</t>
  </si>
  <si>
    <t>5층 판매시설 및 업무시설 및 근린생활시설</t>
  </si>
  <si>
    <t>431-16외 1필지 예하임 제102동 제2층 제201호</t>
  </si>
  <si>
    <t>1060 풍무푸르지오 제102동 제15층 제1502호</t>
  </si>
  <si>
    <t>1057-19외 2필지 우성피렌체 제101동 제6층 제602호</t>
  </si>
  <si>
    <t>327-5 지밸리더리브스마트타워 제1층 제107호</t>
  </si>
  <si>
    <t>327-5 지밸리더리브스마트타워 제1층 제108호</t>
  </si>
  <si>
    <t>봉담읍 덕우리</t>
  </si>
  <si>
    <t>56-1 1동</t>
  </si>
  <si>
    <t>56-1</t>
  </si>
  <si>
    <t>179 제비동 제1층 제107호</t>
  </si>
  <si>
    <t>태백시</t>
  </si>
  <si>
    <t>동점동</t>
  </si>
  <si>
    <t>542 농업회사법인권도영알로에에이치에이씨씨피공장</t>
  </si>
  <si>
    <t>542</t>
  </si>
  <si>
    <t>성안동</t>
  </si>
  <si>
    <t>산339-5</t>
  </si>
  <si>
    <t>산339-10</t>
  </si>
  <si>
    <t>월암동</t>
  </si>
  <si>
    <t>345-2 에버리스2차 제103동 제5층 제502호</t>
  </si>
  <si>
    <t>1024-6 양주옥정아이테크엠 제5층 제541호</t>
  </si>
  <si>
    <t>5층 지식산업센터(도시형공장), 제1종근린생활시설(소매점, 휴게음식점)</t>
  </si>
  <si>
    <t>백암면 백암리</t>
  </si>
  <si>
    <t>252-13</t>
  </si>
  <si>
    <t>4층 창고시설</t>
  </si>
  <si>
    <t>1868-2 한강현대성우오스타 제406동 제4층 제404호</t>
  </si>
  <si>
    <t>부발읍 응암리</t>
  </si>
  <si>
    <t>109 주은다솜마을임대아파트 제104동 제1층 제102호</t>
  </si>
  <si>
    <t>109 주은다솜마을임대아파트 제104동 제1층 제112호</t>
  </si>
  <si>
    <t>109 주은다솜마을임대아파트 제104동 제1층 제108호</t>
  </si>
  <si>
    <t>해룡면 호두리</t>
  </si>
  <si>
    <t>1201-17 제1호</t>
  </si>
  <si>
    <t>1201-17 2호</t>
  </si>
  <si>
    <t>1201-17</t>
  </si>
  <si>
    <t>147-3 삼신푸른솔아파트 제103동 제1층 제104호</t>
  </si>
  <si>
    <t>북정동</t>
  </si>
  <si>
    <t>884-2 새롬성원네오파트 제103동 제2층 제201호</t>
  </si>
  <si>
    <t>641 더샵판교포레스트12단지 제1208동 제11층 제1101호</t>
  </si>
  <si>
    <t>통진읍 도사리</t>
  </si>
  <si>
    <t>776-6 블루하임 제108동 제1층 제102호</t>
  </si>
  <si>
    <t>1099 심곡마을광교힐스테이트 제201동 제12층 제1202호</t>
  </si>
  <si>
    <t>1325 골드클래스 제104동 제2층 제202호</t>
  </si>
  <si>
    <t>4층 공동주택(도시형생활주택-단지형연립주택)</t>
  </si>
  <si>
    <t>1809 국화아파트 제502동 제5층 제502호</t>
  </si>
  <si>
    <t>왕곡면 덕산리</t>
  </si>
  <si>
    <t>804-8</t>
  </si>
  <si>
    <t>804-6</t>
  </si>
  <si>
    <t>804-7</t>
  </si>
  <si>
    <t>춘천시</t>
  </si>
  <si>
    <t>동산면 군자리</t>
  </si>
  <si>
    <t>1391 주건축물제가동</t>
  </si>
  <si>
    <t>1391 주건축물제나동</t>
  </si>
  <si>
    <t>1391</t>
  </si>
  <si>
    <t>근화동</t>
  </si>
  <si>
    <t>279-8 신성근화미소지움아파트 제110동 제7층 제702호</t>
  </si>
  <si>
    <t>고강동</t>
  </si>
  <si>
    <t>299 조흥빌라 제1동 제2층 제2호</t>
  </si>
  <si>
    <t>상대원동</t>
  </si>
  <si>
    <t>5445 성남우림라이온스밸리3차 제11층 제1112호</t>
  </si>
  <si>
    <t>14층 공장(아파트형공장) 지원시설. 제1.2종근린생활시설</t>
  </si>
  <si>
    <t>5445 성남우림라이온스밸리3차 제11층 제1112에이호</t>
  </si>
  <si>
    <t>마로면 송현리</t>
  </si>
  <si>
    <t>36-1</t>
  </si>
  <si>
    <t>단층주택</t>
  </si>
  <si>
    <t>36-1외 2필지</t>
  </si>
  <si>
    <t>36-3</t>
  </si>
  <si>
    <t>36-4</t>
  </si>
  <si>
    <t>13</t>
  </si>
  <si>
    <t>14</t>
  </si>
  <si>
    <t>향남읍 행정리</t>
  </si>
  <si>
    <t>441 향남시범넓은들마을에일린의뜰 제403동 제10층 제1004호</t>
  </si>
  <si>
    <t>침산동</t>
  </si>
  <si>
    <t>619외 2필지 침산동유앤지타워 제1층 제101호</t>
  </si>
  <si>
    <t>619외 2필지 침산동유앤지타워 제2층 제201호</t>
  </si>
  <si>
    <t>619외 2필지 침산동유앤지타워 제3층 제301호</t>
  </si>
  <si>
    <t>619외 2필지 침산동유앤지타워 제4층 제401호</t>
  </si>
  <si>
    <t>619외 2필지 침산동유앤지타워 제4층 제402호</t>
  </si>
  <si>
    <t>619외 2필지 침산동유앤지타워 제4층 제403호</t>
  </si>
  <si>
    <t>619외 2필지 침산동유앤지타워 제5층 제501호</t>
  </si>
  <si>
    <t>619외 2필지 침산동유앤지타워 제5층 제502호</t>
  </si>
  <si>
    <t>율암동</t>
  </si>
  <si>
    <t>1103-14 공장디동</t>
  </si>
  <si>
    <t>2층 공장(사무실)</t>
  </si>
  <si>
    <t>1103-14</t>
  </si>
  <si>
    <t>1356-3 메트로팔레스 제109동 제2층 제201호</t>
  </si>
  <si>
    <t>327-5 지밸리더리브스마트타워 제5층 제509호</t>
  </si>
  <si>
    <t>327-5 지밸리더리브스마트타워 제5층 제510호</t>
  </si>
  <si>
    <t>327-5 지밸리더리브스마트타워 제5층 제511호</t>
  </si>
  <si>
    <t>327-5 지밸리더리브스마트타워 제5층 제512호</t>
  </si>
  <si>
    <t>327-5 지밸리더리브스마트타워 제5층 제513호</t>
  </si>
  <si>
    <t>327-5 지밸리더리브스마트타워 제5층 제514호</t>
  </si>
  <si>
    <t>쌍용동</t>
  </si>
  <si>
    <t>861 시영1차아파트 제13층 제1301호</t>
  </si>
  <si>
    <t>1000-3 제6동 제3층 제632호</t>
  </si>
  <si>
    <t>2048-2 에이스퍼스트고덕 제7층 제754호</t>
  </si>
  <si>
    <t>지하2층 지상10층 공장(지식산업센터)</t>
  </si>
  <si>
    <t>2048-2 에이스퍼스트고덕 제8층 제859호</t>
  </si>
  <si>
    <t>2048-2 에이스퍼스트고덕 제8층 제860호</t>
  </si>
  <si>
    <t>174 호반베르디움센트로하임 제1112동 제1층 제104호</t>
  </si>
  <si>
    <t>곤지암읍 삼리</t>
  </si>
  <si>
    <t>233-10 성진타운 제702동 제4층 제402호</t>
  </si>
  <si>
    <t>95-1 청라큐브시그니처1차오피스텔 제18층 제1811호</t>
  </si>
  <si>
    <t>23층 업무시설(오피스텔) 및 제1.2종근린생활시설</t>
  </si>
  <si>
    <t>95-1 청라큐브시그니처1차오피스텔 제20층 제2010호</t>
  </si>
  <si>
    <t>목포시</t>
  </si>
  <si>
    <t>대양동</t>
  </si>
  <si>
    <t>222-1외 1필지</t>
  </si>
  <si>
    <t>3층 교육연구 및 복지시설</t>
  </si>
  <si>
    <t>222-1</t>
  </si>
  <si>
    <t>222-4</t>
  </si>
  <si>
    <t>222-5외 2필지</t>
  </si>
  <si>
    <t>2층 노유자시설</t>
  </si>
  <si>
    <t>222-5</t>
  </si>
  <si>
    <t>221-16</t>
  </si>
  <si>
    <t>222-6</t>
  </si>
  <si>
    <t>219</t>
  </si>
  <si>
    <t>219-4</t>
  </si>
  <si>
    <t>222-2</t>
  </si>
  <si>
    <t>222-9</t>
  </si>
  <si>
    <t>222-10</t>
  </si>
  <si>
    <t>222-15</t>
  </si>
  <si>
    <t>화성봉담동화지구도시개발구역에이-3블럭 봉담자이라피네 제103동 제16층 제1602호</t>
  </si>
  <si>
    <t>645 타원타크라3 제6층 제비616호</t>
  </si>
  <si>
    <t>8층 공장(지식산업센터)</t>
  </si>
  <si>
    <t>웅천동</t>
  </si>
  <si>
    <t>1840 웅천더힐2단지 제202동 제1층 제103호</t>
  </si>
  <si>
    <t>1600-6 성문어반스퀘어 제2층 제206호</t>
  </si>
  <si>
    <t>8층 제1.2종근린생활시설,교육연구시설,운동시설</t>
  </si>
  <si>
    <t>197-35</t>
  </si>
  <si>
    <t>3층 단독주택(5가구)</t>
  </si>
  <si>
    <t>해남군</t>
  </si>
  <si>
    <t>황산면 한자리</t>
  </si>
  <si>
    <t>706-1</t>
  </si>
  <si>
    <t>단층 제2종근린생활시설, 절임배추가공시설, 부속창고, 단층 저온저장창고</t>
  </si>
  <si>
    <t>1125 미사역파라곤스퀘어 제판매시설동 제1층 제1045호</t>
  </si>
  <si>
    <t>2층 판매시설(상점)</t>
  </si>
  <si>
    <t>칠북면 가연리</t>
  </si>
  <si>
    <t>724-2 제1동호</t>
  </si>
  <si>
    <t>단층공장, 지붕 4층 사무실 및 휴게실</t>
  </si>
  <si>
    <t>724-2</t>
  </si>
  <si>
    <t>724</t>
  </si>
  <si>
    <t>724-1</t>
  </si>
  <si>
    <t>724-4</t>
  </si>
  <si>
    <t>주차장</t>
  </si>
  <si>
    <t>730-2</t>
  </si>
  <si>
    <t>730-3</t>
  </si>
  <si>
    <t>730-4</t>
  </si>
  <si>
    <t>1397-1 에이스에비뉴더퍼스트 제1층 제113호</t>
  </si>
  <si>
    <t>10층 업무시설(오피스텔)제2종근린생활시설(일반음식점)</t>
  </si>
  <si>
    <t>836-2 루체스타비즈 제2층 제209호</t>
  </si>
  <si>
    <t>14층 공장(지식산업센터) 제1,2종근린생활시설, 업무시설(사무소)</t>
  </si>
  <si>
    <t>836-2 루체스타비즈 제2층 제210호</t>
  </si>
  <si>
    <t>무거동</t>
  </si>
  <si>
    <t>1527-4 울산대이즈플레이스 제1층 제108호</t>
  </si>
  <si>
    <t>20층 공동주택 업무시설, 제1종근린생활시설</t>
  </si>
  <si>
    <t>성거읍 천흥리</t>
  </si>
  <si>
    <t>429 장미아파트 제101동 제1층 제102호</t>
  </si>
  <si>
    <t>임피면 축산리</t>
  </si>
  <si>
    <t>601 주건축물제1동</t>
  </si>
  <si>
    <t>601 주건축물제2동</t>
  </si>
  <si>
    <t>601</t>
  </si>
  <si>
    <t>6107 다산센트럴파크근린생활시설 제1층 제110호</t>
  </si>
  <si>
    <t>1층 근린생활시설</t>
  </si>
  <si>
    <t>송악읍 한진리</t>
  </si>
  <si>
    <t>363-12외 3필지 더라운지현대골프연습장주건축물제1동</t>
  </si>
  <si>
    <t>4층 골프연습장</t>
  </si>
  <si>
    <t>363-12</t>
  </si>
  <si>
    <t>363-13</t>
  </si>
  <si>
    <t>369-1</t>
  </si>
  <si>
    <t>산60-5</t>
  </si>
  <si>
    <t>부여군</t>
  </si>
  <si>
    <t>임천면 점리</t>
  </si>
  <si>
    <t>405-6</t>
  </si>
  <si>
    <t>411-1</t>
  </si>
  <si>
    <t>414</t>
  </si>
  <si>
    <t>414-2</t>
  </si>
  <si>
    <t>415</t>
  </si>
  <si>
    <t>433</t>
  </si>
  <si>
    <t>산226-1</t>
  </si>
  <si>
    <t>1536 푸른마을5단지 제515동 제3층 제302호</t>
  </si>
  <si>
    <t>고색동</t>
  </si>
  <si>
    <t>1181 행정타운프라자 제2층 제205호</t>
  </si>
  <si>
    <t>6층 제1종근린생활시설</t>
  </si>
  <si>
    <t>4-20 청라국제도시역푸르지오시티 제1층 제근생동119호</t>
  </si>
  <si>
    <t>34층 업무시설(오피스텔), 제1종 제2종 근린생활시설</t>
  </si>
  <si>
    <t>624-24 주건축물제1동</t>
  </si>
  <si>
    <t>1485 센트애비뉴 제3층 제302호</t>
  </si>
  <si>
    <t>1485 센트애비뉴 제4층 제402호</t>
  </si>
  <si>
    <t>옥동</t>
  </si>
  <si>
    <t>131-10 대공원롯데인벤스가 제201동 제11층 제1202호</t>
  </si>
  <si>
    <t>635 삼송2차원흥역동원로얄듀크비스타 제202동 제1층 제115호</t>
  </si>
  <si>
    <t>3층 판매시설</t>
  </si>
  <si>
    <t>635 삼송2차원흥역동원로얄듀크비스타 제202동 제1층 제116호</t>
  </si>
  <si>
    <t>950-2 신승프라자 제1층 제101호</t>
  </si>
  <si>
    <t>4층 제1,2종근린생활시설(소매점,휴게음식점,부동산중개업소,의원,일반음식점,독서실,체력단련장)</t>
  </si>
  <si>
    <t>950-2 신승프라자 제1층 제102호</t>
  </si>
  <si>
    <t>950-2 신승프라자 제1층 제103호</t>
  </si>
  <si>
    <t>950-2 신승프라자 제1층 제104호</t>
  </si>
  <si>
    <t>950-2 신승프라자 제1층 제105호</t>
  </si>
  <si>
    <t>950-2 신승프라자 제1층 제106호</t>
  </si>
  <si>
    <t>950-2 신승프라자 제1층 제107호</t>
  </si>
  <si>
    <t>950-2 신승프라자 제1층 제108호</t>
  </si>
  <si>
    <t>950-2 신승프라자 제1층 제109호</t>
  </si>
  <si>
    <t>950-2 신승프라자 제1층 제110호</t>
  </si>
  <si>
    <t>950-2 신승프라자 제2층 제201호</t>
  </si>
  <si>
    <t>950-2 신승프라자 제2층 제202호</t>
  </si>
  <si>
    <t>950-2 신승프라자 제2층 제203호</t>
  </si>
  <si>
    <t>950-2 신승프라자 제2층 제204호</t>
  </si>
  <si>
    <t>950-2 신승프라자 제3층 제301호</t>
  </si>
  <si>
    <t>950-2 신승프라자 제3층 제302호</t>
  </si>
  <si>
    <t>950-2 신승프라자 제3층 제303호</t>
  </si>
  <si>
    <t>950-2 신승프라자 제3층 제304호</t>
  </si>
  <si>
    <t>950-2 신승프라자 제4층 제401호</t>
  </si>
  <si>
    <t>950-2 신승프라자 제4층 제402호</t>
  </si>
  <si>
    <t>950-2 신승프라자 제4층 제403호</t>
  </si>
  <si>
    <t>충무로2가</t>
  </si>
  <si>
    <t>65-9외 7필지 하이해리엇 제8층 제8001호</t>
  </si>
  <si>
    <t>11층 판매 및 영업시설</t>
  </si>
  <si>
    <t>65-9외 7필지 하이해리엇 제8층 제8002호</t>
  </si>
  <si>
    <t>65-9외 7필지 하이해리엇 제8층 제8003호</t>
  </si>
  <si>
    <t>65-9외 7필지 하이해리엇 제8층 제8004호</t>
  </si>
  <si>
    <t>65-9외 7필지 하이해리엇 제8층 제8005호</t>
  </si>
  <si>
    <t>65-9외 7필지 하이해리엇 제8층 제8006호</t>
  </si>
  <si>
    <t>65-9외 7필지 하이해리엇 제8층 제8007호</t>
  </si>
  <si>
    <t>65-9외 7필지 하이해리엇 제8층 제8008호</t>
  </si>
  <si>
    <t>65-9외 7필지 하이해리엇 제8층 제8009호</t>
  </si>
  <si>
    <t>65-9외 7필지 하이해리엇 제8층 제8010호</t>
  </si>
  <si>
    <t>65-9외 7필지 하이해리엇 제8층 제8011호</t>
  </si>
  <si>
    <t>65-9외 7필지 하이해리엇 제8층 제8012호</t>
  </si>
  <si>
    <t>65-9외 7필지 하이해리엇 제8층 제8013호</t>
  </si>
  <si>
    <t>65-9외 7필지 하이해리엇 제8층 제8014호</t>
  </si>
  <si>
    <t>65-9외 7필지 하이해리엇 제8층 제8015호</t>
  </si>
  <si>
    <t>65-9외 7필지 하이해리엇 제8층 제8016호</t>
  </si>
  <si>
    <t>65-9외 7필지 하이해리엇 제8층 제8017호</t>
  </si>
  <si>
    <t>65-9외 7필지 하이해리엇 제8층 제8018호</t>
  </si>
  <si>
    <t>65-9외 7필지 하이해리엇 제8층 제8019호</t>
  </si>
  <si>
    <t>65-9외 7필지 하이해리엇 제8층 제8020호</t>
  </si>
  <si>
    <t>65-9외 7필지 하이해리엇 제8층 제8021호</t>
  </si>
  <si>
    <t>65-9외 7필지 하이해리엇 제8층 제8023호</t>
  </si>
  <si>
    <t>65-9외 7필지 하이해리엇 제8층 제8024호</t>
  </si>
  <si>
    <t>65-9외 7필지 하이해리엇 제8층 제8025호</t>
  </si>
  <si>
    <t>50-75외 3필지 수유주상복합빌딩 제1층 제120호</t>
  </si>
  <si>
    <t>9층 판매시설 및 아파트</t>
  </si>
  <si>
    <t>50-75외 3필지 수유주상복합빌딩 제1층 제124호</t>
  </si>
  <si>
    <t>50-75외 3필지 수유주상복합빌딩 제1층 제127호</t>
  </si>
  <si>
    <t>50-75외 3필지 수유주상복합빌딩 제1층 제134호</t>
  </si>
  <si>
    <t>50-75외 3필지 수유주상복합빌딩 제1층 제135호</t>
  </si>
  <si>
    <t>50-75외 3필지 수유주상복합빌딩 제1층 제136호</t>
  </si>
  <si>
    <t>50-75외 3필지 수유주상복합빌딩 제1층 제140호</t>
  </si>
  <si>
    <t>50-75외 3필지 수유주상복합빌딩 제1층 제141호</t>
  </si>
  <si>
    <t>50-75외 3필지 수유주상복합빌딩 제1층 제144호</t>
  </si>
  <si>
    <t>50-75외 3필지 수유주상복합빌딩 제1층 제146호</t>
  </si>
  <si>
    <t>50-75외 3필지 수유주상복합빌딩 제1층 제148호</t>
  </si>
  <si>
    <t>50-75외 3필지 수유주상복합빌딩 제2층 제214호</t>
  </si>
  <si>
    <t>50-75외 3필지 수유주상복합빌딩 제2층 제249호</t>
  </si>
  <si>
    <t>50-75외 3필지 수유주상복합빌딩 제3층 제310호</t>
  </si>
  <si>
    <t>244-1외 1필지 제1호</t>
  </si>
  <si>
    <t>단층 공장, 단층 노동조합사무실, 목욕탕, 단층 실험연구실</t>
  </si>
  <si>
    <t>244-1외 1필지 제2호</t>
  </si>
  <si>
    <t>단층 창고, 2층 기숙사, 단층 옥탑(창고), 1층 식당, 단층 식당,버너실, 단층 화장실</t>
  </si>
  <si>
    <t>244-1외 1필지 제3호</t>
  </si>
  <si>
    <t>단층 제품창고, 단층 공장</t>
  </si>
  <si>
    <t>244-1외 1필지 제5호</t>
  </si>
  <si>
    <t>231-1 제105동 제3층 제303호</t>
  </si>
  <si>
    <t>5층 공동주택(다세대)</t>
  </si>
  <si>
    <t>당산동1가</t>
  </si>
  <si>
    <t>459 생각공장당산 제12층 제비1216호</t>
  </si>
  <si>
    <t>15층 공장(지식산업센터),지원시설(근린생활시설,업무시설)</t>
  </si>
  <si>
    <t>459 생각공장당산 제9층 제에이907호</t>
  </si>
  <si>
    <t>459 생각공장당산 제12층 제비1217호</t>
  </si>
  <si>
    <t>111 하얀마을그랜드빌 제401동 제3층 제301호</t>
  </si>
  <si>
    <t>사수동</t>
  </si>
  <si>
    <t>833 금호서한이다음 제102동 제20층 제2002호</t>
  </si>
  <si>
    <t>6871-46 스위트엠아크라시티2차 제비동 제1층 제103호</t>
  </si>
  <si>
    <t>10층 업무시설 및 근린생활시설</t>
  </si>
  <si>
    <t>6871-46 스위트엠아크라시티2차 제비동 제1층 제104호</t>
  </si>
  <si>
    <t>6871-46 스위트엠아크라시티2차 제비동 제1층 제105호</t>
  </si>
  <si>
    <t>6871-46 스위트엠아크라시티2차 제비동 제1층 제106호</t>
  </si>
  <si>
    <t>619 삼송3차아이파크 제302동 제15층 제1501호</t>
  </si>
  <si>
    <t>봉래동2가</t>
  </si>
  <si>
    <t>112 미광마린타워 제104동 제14층 제1401호</t>
  </si>
  <si>
    <t>521-5</t>
  </si>
  <si>
    <t>신대동</t>
  </si>
  <si>
    <t>123-7 제2층 제201호</t>
  </si>
  <si>
    <t>123-7 제2층 제202호</t>
  </si>
  <si>
    <t>123-7 제2층 제203호</t>
  </si>
  <si>
    <t>123-7 제3층 제301호</t>
  </si>
  <si>
    <t>123-7 제3층 제302호</t>
  </si>
  <si>
    <t>123-7 제3층 제303호</t>
  </si>
  <si>
    <t>123-7 제4층 제401호</t>
  </si>
  <si>
    <t>123-9외 1필지</t>
  </si>
  <si>
    <t>123-9</t>
  </si>
  <si>
    <t>123-94</t>
  </si>
  <si>
    <t>123-95</t>
  </si>
  <si>
    <t>123-96</t>
  </si>
  <si>
    <t>수신면 속창리</t>
  </si>
  <si>
    <t>정남면 괘랑리</t>
  </si>
  <si>
    <t>339</t>
  </si>
  <si>
    <t>638-1 우림필유1차아파트 제103동 제3층 제302호</t>
  </si>
  <si>
    <t>4층 제1.2종 근린생활시설</t>
  </si>
  <si>
    <t>봉담읍 수영리</t>
  </si>
  <si>
    <t>671 양지마을쌍용예가아파트 제108동 제3층 제303호</t>
  </si>
  <si>
    <t>동산담보 기계기구 1점(연삭기, 모델 WRG-4580N, 2021.05 WOOJIN GRINDING MACHINE CO.,LTD 제조)</t>
  </si>
  <si>
    <t>동산담보</t>
  </si>
  <si>
    <t>17층 업무시설(오피스텔), 제2종 근린생활시설</t>
  </si>
  <si>
    <t>화성봉담동화지구도시개발구역에이-3블럭 봉담자이라피네 제103동 제10층 제1001호</t>
  </si>
  <si>
    <t>129-9외 1필지 상지리츠빌 카일룸3차 제지층 제비101호</t>
  </si>
  <si>
    <t>10층 오피스텔 공동주택(다세대주택)</t>
  </si>
  <si>
    <t>369-4</t>
  </si>
  <si>
    <t>4층 판매시설,제1.2종근린생활시설, 문화 및 집회시설, 운동시설</t>
  </si>
  <si>
    <t>624-24</t>
  </si>
  <si>
    <t>9층 업무시설 근린생활시설 운동시설 문화및집회시설</t>
  </si>
  <si>
    <t>123-7</t>
  </si>
  <si>
    <t>1,4</t>
  </si>
  <si>
    <t>5~6</t>
  </si>
  <si>
    <t>7~8</t>
  </si>
  <si>
    <t>1,6</t>
  </si>
  <si>
    <t>2,6</t>
  </si>
  <si>
    <t>3~9</t>
  </si>
  <si>
    <t>1,3~5</t>
  </si>
  <si>
    <t>1~8</t>
  </si>
  <si>
    <t>근담보</t>
  </si>
  <si>
    <t>KRW/USD</t>
  </si>
  <si>
    <t>JPY/KRW</t>
  </si>
  <si>
    <t>1~6</t>
  </si>
  <si>
    <t>2~5</t>
  </si>
  <si>
    <t>아파트(생활주택)</t>
  </si>
  <si>
    <t>433-36(토지, 건물), 433-10, 433-27, 433-48(토지 3필지)</t>
  </si>
  <si>
    <t>다세대(생활주택)</t>
  </si>
  <si>
    <t>464-4, 464-8(토지 2필지, 제1동호, 제2동호 건물 2개동), 464-6, 464-7, 464-10, 462-17, 462-18, 465-3, 466-9(토지 7필지)</t>
  </si>
  <si>
    <t>주상복합(아파트)</t>
  </si>
  <si>
    <t>474-2 제2층 제201호, 제202호, 제203호, 제204호, 제205호, 제3층 제301호, 제302호, 제303호, 제304호, 제305호, 제4층 제401호, 제402호, 제403호, 제404호, 제405호, 제5층 제501호, 제502호, 제503호(집합건물 18개호)</t>
  </si>
  <si>
    <t>분뇨쓰레기처리시설</t>
  </si>
  <si>
    <t>687-1(토지, 건물), 687-4(토지, 건물), 708-3(토지, 건물), 산4-3(토지, 건물 제1호 건물 2개동), 687, 687-6, 687-8, 687-9, 687-14, 687-15, 687-16, 688-2, 688-3, 708-2, 817-18, 산4-14(토지 12필지)</t>
  </si>
  <si>
    <t>687-2, 687-3, 687-5, 687-10, 687-12, 687-13, 687-17, 688, 688-1, 708, 817, 산4-6(토지 12필지)</t>
  </si>
  <si>
    <t>435-27, 435-28(토지 2필지, 12호 건물), 435-20(토지)</t>
  </si>
  <si>
    <t>123-7(토지), 제2층 제201호, 제202호, 제203호, 제3층 제301호, 제302호, 제303호, 제4층 제401호(집합건물 7개호)</t>
  </si>
  <si>
    <t>123-9, 123-94(토지 2필지, 건물), 123-95, 123-96(토지 2필지)</t>
  </si>
  <si>
    <t>919-7(토지, 태을명가 건물)</t>
  </si>
  <si>
    <t>166, 166-4(토지 2필지, 가락삼익맨숀 제209동 제6층 제605호)</t>
  </si>
  <si>
    <t>447-1(토지, 건물)</t>
  </si>
  <si>
    <t>224-4(토지, 공작예식장 1동, 2동 건물 2개동)</t>
  </si>
  <si>
    <t>224-4 지제이웨딩홀 제3동호(건물)</t>
  </si>
  <si>
    <t>737-6, 737-7(토지 2필지)</t>
  </si>
  <si>
    <t>70-4(토지, 제1동호, 제2동호, 3동 건물 3개동)</t>
  </si>
  <si>
    <t>70-13(토지)</t>
  </si>
  <si>
    <t>95-22(토지, 벗 건물)</t>
  </si>
  <si>
    <t>주유소</t>
  </si>
  <si>
    <t>977-3 동탄역스타디움블루 제2층 제201호, 제202호, 제203호, 204호, 제205호(집합건물 5개호)</t>
  </si>
  <si>
    <t>472-11(토지, 건물)</t>
  </si>
  <si>
    <t>871-5 제지하1층 제101호, 제102호, 제103호, 제104호(집합건물 4개호)</t>
  </si>
  <si>
    <t>542-23(토지, 건물)</t>
  </si>
  <si>
    <t>510(토지, 건물)</t>
  </si>
  <si>
    <t>239-6(토지, 주1동 건물)</t>
  </si>
  <si>
    <t>770-9(토지, 건물)</t>
  </si>
  <si>
    <t>1860-15(토지, 건물)</t>
  </si>
  <si>
    <t>51(토지)</t>
  </si>
  <si>
    <t>366-20(토지)</t>
  </si>
  <si>
    <t>1109(토지, 건물)</t>
  </si>
  <si>
    <t>406(토지, 건물), 406-1(토지, 건물), 406-4(토지)</t>
  </si>
  <si>
    <t>3-4(토지, 건물)</t>
  </si>
  <si>
    <t>123-3(토지, 건물)</t>
  </si>
  <si>
    <t>944-10 제2층 제201호, 제202호, 제203호, 제204호, 제3층 제301호, 제302호, 제303호, 제304호, 제4층 제401호, 제402호, 제5층 제501호(집합건물 11개호)</t>
  </si>
  <si>
    <t>217-1(토지, 내제1층다8호 건물)</t>
  </si>
  <si>
    <t>580-1, 1288-11(토지 2필지, 양지상 건물)</t>
  </si>
  <si>
    <t>숙박(생활형숙박시설)</t>
  </si>
  <si>
    <t>747-7(토지, 건물)</t>
  </si>
  <si>
    <t>사무실</t>
  </si>
  <si>
    <t>341(토지, 건물), 337, 337-3(토지 2필지)</t>
  </si>
  <si>
    <t>975-3 별내역파라곤스퀘어 제지식산업센터-2동 제13층 제엠1309호, 제엠1310호(집합건물 2개호)</t>
  </si>
  <si>
    <t>635-1(토지, 건물)</t>
  </si>
  <si>
    <t>동춘1구역1블록1로트 드림타워 제4층 제403호, 제404호(집합상가 2개호)</t>
  </si>
  <si>
    <t>579(토지, 건물)</t>
  </si>
  <si>
    <t>834-1 와이케이퍼스트타워 제3층 제302호, 제303호(집합건물 2개호)</t>
  </si>
  <si>
    <t>1032-39(토지, 건물)</t>
  </si>
  <si>
    <t>123-2(토지, 건물)</t>
  </si>
  <si>
    <t>3664, 3660-1(토지 2필지)</t>
  </si>
  <si>
    <t>506-28(토지, 건물)</t>
  </si>
  <si>
    <t>2784-2(토지, 2779-2외 1필지 건물)</t>
  </si>
  <si>
    <t>687-11(토지, 건물)</t>
  </si>
  <si>
    <t>896(토지, 주건축물제1동 건물)</t>
  </si>
  <si>
    <t>36-2, 36-14(토지 2필지)</t>
  </si>
  <si>
    <t>129-9외 1필지 상지리츠빌 카일룸3차 제4층 제402호, 제지층 제비101호(집합건물 2개호)</t>
  </si>
  <si>
    <t>104(토지, 건물)</t>
  </si>
  <si>
    <t>277-43 성수동아크밸리 제9층 제905호, 제906호(집합건물 2개호)</t>
  </si>
  <si>
    <t>636-47, 627-10(토지 2필지)</t>
  </si>
  <si>
    <t>265, 466-2(토지 2필지, 제1동 건물)</t>
  </si>
  <si>
    <t>75-5(토지, 대림파크 건물)</t>
  </si>
  <si>
    <t>989-27(토지, 건물), 989-17(토지)</t>
  </si>
  <si>
    <t>848, 850, 852, 874-3(토지 4필지, 사지상 제주1동호, 제주2동호, 제주3동호 건물 3개동), 850-2(토지)</t>
  </si>
  <si>
    <t>2008-116(토지, 건물)</t>
  </si>
  <si>
    <t>1121-7(토지)</t>
  </si>
  <si>
    <t>268-11(토지, 건물)</t>
  </si>
  <si>
    <t>연립(생활주택)</t>
  </si>
  <si>
    <t>1294-3 안뜨레빌 제에이동 제1층 제101호, 제102호, 제2층 제201호, 제3층 제301호, 제4층 제501호(집합건물 5개호)</t>
  </si>
  <si>
    <t>644-5, 645-2, 782-74, 782-115, 하당리 596-60(토지 5필지, 오지상 제가동호, 제나동호, 제다동호, 제라동호 건물 4개동), 782-75, 하당리 596-59(토지 2필지)</t>
  </si>
  <si>
    <t>596-62(토지)</t>
  </si>
  <si>
    <t>782-126(토지)</t>
  </si>
  <si>
    <t>644-5외 4필지 제마동호(건물)</t>
  </si>
  <si>
    <t>1269(토지, 주건축물제1동 건물)</t>
  </si>
  <si>
    <t>32(토지, 건물)</t>
  </si>
  <si>
    <t>312-28(토지, 건물)</t>
  </si>
  <si>
    <t>530-65(토지, 건물)</t>
  </si>
  <si>
    <t>교육연구시설</t>
  </si>
  <si>
    <t>39-10(토지, 주1 건물)</t>
  </si>
  <si>
    <t>182-26(토지, 제에이동호, 제비동호, 제씨동호, 제디동호 건물 4개동)</t>
  </si>
  <si>
    <t>68-9 장유프라자 제7층 제701호, 제702호(집합건물 2개호)</t>
  </si>
  <si>
    <t>225-1 드림어반스퀘어 제3층 제318호, 제319호, 제320호, 제321호, 제321-1호, 제322호, 제322-1호, 제323호, 제323-1호, 제324호, 제324-1호, 제325호, 제325-1호, 제326호, 제326-1호, 제327호, 제328호, 제328-1호, 제329호, 제329-1호, 제333호, 제334호, 제334-1호, 제335호(집합건물 24개호)</t>
  </si>
  <si>
    <t>1656-1 블루텍 제11층 제공존-1125호, 제공존-1126호(집합건물 2개호)</t>
  </si>
  <si>
    <t>320-5(토지, 주1동, 주2동 건물 2개동)</t>
  </si>
  <si>
    <t>1656-1 블루텍 제11층 제공존-1123호, 제공존-1124호(집합건물 2개호)</t>
  </si>
  <si>
    <t>166-117 프라다 제1층 제101호, 제102호, 제103호, 제2층 제201호, 제202호, 제203호, 제204호, 제205호, 제3층 제301호, 제302호, 제303호, 제304호, 제305호, 제4층 제401호, 제402호, 제403호, 제404호, 제405호, 제5층 제501호, 제502호(집합건물 20개호)</t>
  </si>
  <si>
    <t>229-1(토지, 건물), 229-4(토지, 건물)</t>
  </si>
  <si>
    <t>349-1(토지, 건물)</t>
  </si>
  <si>
    <t>42-11, 42-12(토지 2필지)</t>
  </si>
  <si>
    <t>1097(토지, 양산자동차시설-1동 건물), 1097-2(토지, 외 3필지 양산자동차시설사무동양산자동차시설-2동 건물), 1097-3(토지, 양산자동차시설엔카동양산자동차시설-3동 건물), 1108(토지, 외 3필지 양산자동차시설-4동 건물), 1097-5, 1100-3, 1108-1, 1109(토지 4필지)</t>
  </si>
  <si>
    <t>182(토지, 에이동,씨동, 비동 건물 2개동), 182-3(토지)</t>
  </si>
  <si>
    <t>345-19 가산하우스디와이즈타워 제4층 제418호, 제419호, 제420호, 제421호, 제422호, 제423호, 제424호, 제425호(집합건물 8개호)</t>
  </si>
  <si>
    <t>273-7(토지, 가동, 나동, 다동, 라동 건물 4개동), 274-3, 274-12(토지 2필지)</t>
  </si>
  <si>
    <t>401-2(토지, 외 2필지 건물), 401-5, 565, 566-5, 568-4, 401-1, 산63-7, 401-8(토지 7필지)</t>
  </si>
  <si>
    <t>327-5 지밸리더리브스마트타워 제1층 제107호, 제108호(집합건물 2개호)</t>
  </si>
  <si>
    <t>56-1(토지, 1동 건물)</t>
  </si>
  <si>
    <t>542(토지, 농업회사법인권도영알로에에이치에이씨씨피공장 건물)</t>
  </si>
  <si>
    <t>산339-5, 산339-10(토지 2필지)</t>
  </si>
  <si>
    <t>252-13(토지, 건물)</t>
  </si>
  <si>
    <t>1201-17(토지, 제1호, 2호 건물 2개동)</t>
  </si>
  <si>
    <t>804-8(토지, 건물), 804-6, 804-7(토지 2필지)</t>
  </si>
  <si>
    <t>1391(토지, 주건축물제가동, 주건축물제나동 건물 2개동)</t>
  </si>
  <si>
    <t>5445 성남우림라이온스밸리3차 제11층 제1112호, 제1112에이호(집합건물 2개호)</t>
  </si>
  <si>
    <t>36-1(토지, 건물, 외 2필지 건물, 외 2필지 건물 건물 3개동), 36-3, 36-4, 13, 14(토지 4필지)</t>
  </si>
  <si>
    <t>619외 2필지 침산동유앤지타워 제1층 제101호, 제2층 제201호, 제3층 제301호, 제4층 제401호, 제402호, 제403호, 제5층 제501호, 제502호(집합건물 8개호)</t>
  </si>
  <si>
    <t>1103-14(토지, 공장디동 건물)</t>
  </si>
  <si>
    <t>327-5 지밸리더리브스마트타워 제5층 제509호, 제510호, 제511호, 제512호, 제513호, 제514호(집합건물 6개호)</t>
  </si>
  <si>
    <t>2048-2 에이스퍼스트고덕 제7층 제754호, 제8층 제859호, 제860호(집합건물 3개호)</t>
  </si>
  <si>
    <t>222-1, 222-4(토지 2필지, 양지상 건물), 222-5, 221-16, 222-6(토지 3필지, 삼지상 건물), 219, 219-4, 222-2, 222-9, 222-10, 222-15(토지 6필지)</t>
  </si>
  <si>
    <t>197-35(토지, 건물)</t>
  </si>
  <si>
    <t>다가구주택</t>
  </si>
  <si>
    <t>706-1(토지, 건물)</t>
  </si>
  <si>
    <t>724-2(토지, 제1동호 건물), 724, 724-1, 724-4, 730-2, 730-3, 730-4(토지 6필지)</t>
  </si>
  <si>
    <t>836-2 루체스타비즈 제2층 제209호, 제210호(집합건물 2개호)</t>
  </si>
  <si>
    <t>601(토지, 주건축물제1동, 주건축물제2동 건물 2개동)</t>
  </si>
  <si>
    <t>405-6, 411-1, 414, 414-2, 415, 433, 산226-1(토지 7필지)</t>
  </si>
  <si>
    <t>624-24(토지, 주건축물제1동 건물)</t>
  </si>
  <si>
    <t>1485 센트애비뉴 제3층 제302호, 제4층 제402호(집합건물 2개호)</t>
  </si>
  <si>
    <t>950-2 신승프라자 제1층 제101호, 제102호, 제103호, 제104호, 제105호, 제106호, 제107호, 제108호, 제109호, 제110호, 제2층 제201호, 제202호, 제203호, 제204호, 제3층 제301호, 제302호, 제303호, 제304호(집합건물 18개호)</t>
  </si>
  <si>
    <t>950-2 신승프라자 제4층 제401호, 제402호, 제403호(집합건물 3개호)</t>
  </si>
  <si>
    <t>65-9외 7필지 하이해리엇 제8층 제8001호, 제8002호, 제8003호, 제8004호, 제8005호, 제8006호, 제8007호, 제8008호, 제8009호, 제8010호, 제8011호, 제8012호, 제8013호, 제8014호, 제8015호, 제8016호, 제8017호, 제8018호, 제8019호, 제8020호, 제8021호, 제8023호, 제8024호, 제8025호(집합건물 24개호)</t>
  </si>
  <si>
    <t>50-75외 3필지 수유주상복합빌딩 제1층 제120호, 제124호, 제127호, 제134호, 제135호, 제136호, 제140호, 제141호, 제144호, 제146호, 제148호, 제2층 제214호, 제249호, 제3층 제310호(집합건물 14개호)</t>
  </si>
  <si>
    <t>244-1(토지, 외 1필지 제1호, 제2호, 제3호, 제5호 건물 4개동)</t>
  </si>
  <si>
    <t>6871-46 스위트엠아크라시티2차 제비동 제1층 제103호, 제104호, 제105호, 제106호(집합건물 4개호)</t>
  </si>
  <si>
    <t>521-5(토지, 건물)</t>
  </si>
  <si>
    <t>180-1(토지)</t>
  </si>
  <si>
    <t>339(토지, 건물)</t>
  </si>
  <si>
    <t>신한자산신탁주식회사</t>
  </si>
  <si>
    <t>우리자산신탁주식회사</t>
  </si>
  <si>
    <t>주식회사하나은행</t>
  </si>
  <si>
    <t>3~4</t>
  </si>
  <si>
    <t>USD</t>
    <phoneticPr fontId="5" type="noConversion"/>
  </si>
  <si>
    <t>KRW</t>
    <phoneticPr fontId="5" type="noConversion"/>
  </si>
  <si>
    <t>1~2,4</t>
  </si>
  <si>
    <t>근저당권
일부이전 순위</t>
    <phoneticPr fontId="5" type="noConversion"/>
  </si>
  <si>
    <t>창원지방법원 마산지원</t>
  </si>
  <si>
    <t>춘천지방법원 강릉지원</t>
  </si>
  <si>
    <t>대구지방법원 포항지원</t>
  </si>
  <si>
    <t>전주지방법원 정읍지원</t>
  </si>
  <si>
    <t>창원지방법원 진주지원</t>
  </si>
  <si>
    <t>춘천지방법원 영월지원</t>
  </si>
  <si>
    <t>춘천지방법원</t>
  </si>
  <si>
    <t>광주지방법원 해남지원</t>
  </si>
  <si>
    <t>2025타경192</t>
  </si>
  <si>
    <t>2025타경11190</t>
  </si>
  <si>
    <t>2025타경55241</t>
  </si>
  <si>
    <t>2024타경115475</t>
  </si>
  <si>
    <t>2024타경100168</t>
  </si>
  <si>
    <t>2025타경62481</t>
  </si>
  <si>
    <t>2024타경97439</t>
  </si>
  <si>
    <t>2025타경508753</t>
  </si>
  <si>
    <t>2024타경402874</t>
  </si>
  <si>
    <t>2024타경560305</t>
  </si>
  <si>
    <t>2024타경57894</t>
  </si>
  <si>
    <t>2024타경86238</t>
  </si>
  <si>
    <t>2024타경4709</t>
  </si>
  <si>
    <t>2024타경50860</t>
  </si>
  <si>
    <t>2025타경8793</t>
  </si>
  <si>
    <t>2024타경5938</t>
  </si>
  <si>
    <t>2024타경102704</t>
  </si>
  <si>
    <t>2024타경6716</t>
  </si>
  <si>
    <t>2025타경32327</t>
  </si>
  <si>
    <t>2025타경623</t>
  </si>
  <si>
    <t>2025타경51689</t>
  </si>
  <si>
    <t>2024타경117594</t>
  </si>
  <si>
    <t>2024타경571749</t>
  </si>
  <si>
    <t>2024타경126001</t>
  </si>
  <si>
    <t>2024타경116202</t>
  </si>
  <si>
    <t>2024타경132514</t>
  </si>
  <si>
    <t>2025타경30408</t>
  </si>
  <si>
    <t>2024타경564246</t>
  </si>
  <si>
    <t>2024타경45306</t>
  </si>
  <si>
    <t>2024타경44532</t>
  </si>
  <si>
    <t>2024타경567931</t>
  </si>
  <si>
    <t>2024타경112291</t>
  </si>
  <si>
    <t>2025타경415</t>
  </si>
  <si>
    <t>2025타경102385</t>
  </si>
  <si>
    <t>2024타경567238</t>
  </si>
  <si>
    <t>2025타경286</t>
  </si>
  <si>
    <t>2024타경113733</t>
  </si>
  <si>
    <t>2024타경511679</t>
  </si>
  <si>
    <t>2024타경78955</t>
  </si>
  <si>
    <t>2024타경53206</t>
  </si>
  <si>
    <t>2025타경392</t>
  </si>
  <si>
    <t>2025타경100228</t>
  </si>
  <si>
    <t>2024타경5982</t>
  </si>
  <si>
    <t>2024타경5845</t>
  </si>
  <si>
    <t>2024타경52357</t>
  </si>
  <si>
    <t>2024타경64877</t>
  </si>
  <si>
    <t>2024타경86460</t>
  </si>
  <si>
    <t>에프에스비2409유동화전문유한회사(양도인주식회사페퍼저축은행)</t>
  </si>
  <si>
    <t>2024타경101260</t>
  </si>
  <si>
    <t>이에이에스제팔차유동화전문유한회사</t>
  </si>
  <si>
    <t>2024타경87023</t>
  </si>
  <si>
    <t>2025타경102253</t>
  </si>
  <si>
    <t>2024타경109563</t>
  </si>
  <si>
    <t>2024타경85402</t>
  </si>
  <si>
    <t>2024타경81629</t>
  </si>
  <si>
    <t>2025타경389</t>
  </si>
  <si>
    <t>2025타경32588</t>
  </si>
  <si>
    <t>주식회사 페퍼저축은행</t>
  </si>
  <si>
    <t>2024타경53075</t>
  </si>
  <si>
    <t>2025타경385</t>
  </si>
  <si>
    <t>2024타경5387</t>
  </si>
  <si>
    <t>2024타경6385</t>
  </si>
  <si>
    <t>2024타경4577</t>
  </si>
  <si>
    <t>주식회사 펜타어드밴스대부</t>
  </si>
  <si>
    <t>2024타경83599</t>
  </si>
  <si>
    <t>2025타경508742</t>
  </si>
  <si>
    <t>2024타경86983</t>
  </si>
  <si>
    <t>2024타경110789</t>
  </si>
  <si>
    <t>주식회사펀딩119</t>
  </si>
  <si>
    <t>2024타경149284</t>
  </si>
  <si>
    <t>2024타경78954</t>
  </si>
  <si>
    <t>에이비엘생명보험주식회사</t>
  </si>
  <si>
    <t>2025타경55093</t>
  </si>
  <si>
    <t>서울행복신용협동조합</t>
  </si>
  <si>
    <t>2024타경56020</t>
  </si>
  <si>
    <t>마산수산업협동조합</t>
  </si>
  <si>
    <t>2025타경102237</t>
  </si>
  <si>
    <t>2024타경61091</t>
  </si>
  <si>
    <t>주식회사 리드코프</t>
  </si>
  <si>
    <t>2023타경122855</t>
  </si>
  <si>
    <t>2025타경11341</t>
  </si>
  <si>
    <t>엠캐피탈주식회사</t>
  </si>
  <si>
    <t>2023타경542829</t>
  </si>
  <si>
    <t>에이치에프에스사삼유동화전문(유)</t>
  </si>
  <si>
    <t>㈜노블랑대부</t>
  </si>
  <si>
    <t>하나캐피탈</t>
  </si>
  <si>
    <t>㈜씨앤아이파이낸셜대부</t>
  </si>
  <si>
    <t>세울건대부㈜</t>
  </si>
  <si>
    <t>우리비지니스대부㈜</t>
  </si>
  <si>
    <t>오케이에프앤아이대부㈜</t>
  </si>
  <si>
    <t>애큐온저축은행</t>
  </si>
  <si>
    <t>㈜양지프라임대부</t>
  </si>
  <si>
    <t>우리금융캐피탈</t>
  </si>
  <si>
    <t>㈜안전대부</t>
  </si>
  <si>
    <t>㈜라라대부</t>
  </si>
  <si>
    <t>겅북새마을금고</t>
  </si>
  <si>
    <t>에프에스비2409유동화전문(유)</t>
  </si>
  <si>
    <t>오에스비저축은행</t>
  </si>
  <si>
    <t>에스비아이저축은행</t>
  </si>
  <si>
    <t>2024타경128365</t>
  </si>
  <si>
    <t>유에이치케이제육차유동화전문(유)</t>
  </si>
  <si>
    <t>㈜더히어로핀테크대부</t>
  </si>
  <si>
    <t>모아저축은행</t>
  </si>
  <si>
    <t>2024타경69116</t>
  </si>
  <si>
    <t>2024타경7491</t>
  </si>
  <si>
    <t>2024타경5111</t>
  </si>
  <si>
    <t>2024타경67325</t>
  </si>
  <si>
    <t>엘스타파이낸스대부㈜</t>
  </si>
  <si>
    <t>2024타경68247</t>
  </si>
  <si>
    <t>2025타경734</t>
  </si>
  <si>
    <t>2025타경1179</t>
  </si>
  <si>
    <t>2023타경31210</t>
  </si>
  <si>
    <t>2025타경818</t>
  </si>
  <si>
    <t>2025타경819</t>
  </si>
  <si>
    <t>2025타경457</t>
  </si>
  <si>
    <t>웰컴캐피탈㈜</t>
  </si>
  <si>
    <t>2024타경35552</t>
  </si>
  <si>
    <t>2025타경1264</t>
  </si>
  <si>
    <t>2024타경15249</t>
  </si>
  <si>
    <t>에프아이피2311유동화전문(유)</t>
  </si>
  <si>
    <t>2025타경51478</t>
  </si>
  <si>
    <t>무궁화캐피탈㈜</t>
  </si>
  <si>
    <t>2024타경53053</t>
  </si>
  <si>
    <t>2025타경50652</t>
  </si>
  <si>
    <t>2025타경100</t>
  </si>
  <si>
    <t>2024타경5137</t>
  </si>
  <si>
    <t>2025타경590</t>
  </si>
  <si>
    <t>2025타경458</t>
  </si>
  <si>
    <t>2025타경337</t>
  </si>
  <si>
    <t>㈜오케이자산관리대부</t>
  </si>
  <si>
    <t>2025타경50178</t>
  </si>
  <si>
    <t>2025타경920</t>
  </si>
  <si>
    <t>2025타경951</t>
  </si>
  <si>
    <t>2024타경9930</t>
  </si>
  <si>
    <t>2023타경110176</t>
  </si>
  <si>
    <t>2024타경3064</t>
  </si>
  <si>
    <t>2024타경61877</t>
  </si>
  <si>
    <t>2025타경507413</t>
  </si>
  <si>
    <t>2025타경2147</t>
  </si>
  <si>
    <t>2025타경51860</t>
  </si>
  <si>
    <t>낙찰</t>
  </si>
  <si>
    <t>2025타경102456</t>
  </si>
  <si>
    <t>2025타경4249</t>
  </si>
  <si>
    <t>2024타경129467</t>
  </si>
  <si>
    <t>2025타경386</t>
  </si>
  <si>
    <t>2025타경562</t>
  </si>
  <si>
    <t>기계기구</t>
    <phoneticPr fontId="5" type="noConversion"/>
  </si>
  <si>
    <t>기계기구</t>
    <phoneticPr fontId="5" type="noConversion"/>
  </si>
  <si>
    <t>김**</t>
    <phoneticPr fontId="5" type="noConversion"/>
  </si>
  <si>
    <t>삼성생명보험</t>
    <phoneticPr fontId="5" type="noConversion"/>
  </si>
  <si>
    <t>삼성화재해상보험</t>
    <phoneticPr fontId="5" type="noConversion"/>
  </si>
  <si>
    <t>송***주식회사, 주식회사 송*</t>
    <phoneticPr fontId="5" type="noConversion"/>
  </si>
  <si>
    <t>임**</t>
    <phoneticPr fontId="5" type="noConversion"/>
  </si>
  <si>
    <t>㈜케***</t>
    <phoneticPr fontId="5" type="noConversion"/>
  </si>
  <si>
    <t>㈜진*</t>
    <phoneticPr fontId="5" type="noConversion"/>
  </si>
  <si>
    <t>㈜한****</t>
    <phoneticPr fontId="5" type="noConversion"/>
  </si>
  <si>
    <t>㈜이****</t>
    <phoneticPr fontId="5" type="noConversion"/>
  </si>
  <si>
    <t>황**</t>
    <phoneticPr fontId="5" type="noConversion"/>
  </si>
  <si>
    <t>지**</t>
    <phoneticPr fontId="5" type="noConversion"/>
  </si>
  <si>
    <t>㈜골든캐피탈대부</t>
    <phoneticPr fontId="5" type="noConversion"/>
  </si>
  <si>
    <t>신한은행</t>
    <phoneticPr fontId="5" type="noConversion"/>
  </si>
  <si>
    <t>알리안츠생명보험</t>
    <phoneticPr fontId="5" type="noConversion"/>
  </si>
  <si>
    <t>중국건설은행</t>
    <phoneticPr fontId="5" type="noConversion"/>
  </si>
  <si>
    <t>KRW 674,400,000+USD 120,000</t>
    <phoneticPr fontId="5" type="noConversion"/>
  </si>
  <si>
    <t>JPY 300,000,000+KRW 960,000,000</t>
    <phoneticPr fontId="5" type="noConversion"/>
  </si>
  <si>
    <t>KRW 960,000,000+USD 240,000</t>
    <phoneticPr fontId="5" type="noConversion"/>
  </si>
  <si>
    <t>1~2</t>
    <phoneticPr fontId="5" type="noConversion"/>
  </si>
  <si>
    <t>서울축산업협동조합</t>
    <phoneticPr fontId="5" type="noConversion"/>
  </si>
  <si>
    <t>KRW/USD</t>
    <phoneticPr fontId="5" type="noConversion"/>
  </si>
  <si>
    <t>상가</t>
    <phoneticPr fontId="5" type="noConversion"/>
  </si>
  <si>
    <t>KB시세</t>
    <phoneticPr fontId="5" type="noConversion"/>
  </si>
  <si>
    <t>KB부동산</t>
    <phoneticPr fontId="5" type="noConversion"/>
  </si>
  <si>
    <t>주식회사 남****</t>
    <phoneticPr fontId="5" type="noConversion"/>
  </si>
  <si>
    <t>공매 진행신청기관 : 성남세무서
공매사건번호 : 2023-07535-001</t>
    <phoneticPr fontId="5" type="noConversion"/>
  </si>
  <si>
    <t>(주)동****</t>
    <phoneticPr fontId="5" type="noConversion"/>
  </si>
  <si>
    <t>광***㈜</t>
    <phoneticPr fontId="5" type="noConversion"/>
  </si>
  <si>
    <t>군산제일신용협동조합</t>
    <phoneticPr fontId="5" type="noConversion"/>
  </si>
  <si>
    <t>농업회사법인델**㈜</t>
    <phoneticPr fontId="5" type="noConversion"/>
  </si>
  <si>
    <t>신**</t>
    <phoneticPr fontId="5" type="noConversion"/>
  </si>
  <si>
    <t>안**</t>
    <phoneticPr fontId="5" type="noConversion"/>
  </si>
  <si>
    <t>이**</t>
    <phoneticPr fontId="5" type="noConversion"/>
  </si>
  <si>
    <t>조**</t>
    <phoneticPr fontId="5" type="noConversion"/>
  </si>
  <si>
    <t>제*******주식회사</t>
    <phoneticPr fontId="5" type="noConversion"/>
  </si>
  <si>
    <t>주식회사 대***</t>
    <phoneticPr fontId="5" type="noConversion"/>
  </si>
  <si>
    <t>유**</t>
    <phoneticPr fontId="5" type="noConversion"/>
  </si>
  <si>
    <t>우*****㈜</t>
    <phoneticPr fontId="5" type="noConversion"/>
  </si>
  <si>
    <t>최**</t>
    <phoneticPr fontId="5" type="noConversion"/>
  </si>
  <si>
    <t>최**, 박**, 이**, 전**, 외국 이**, 서**</t>
    <phoneticPr fontId="5" type="noConversion"/>
  </si>
  <si>
    <t>주식회사 리드코프</t>
    <phoneticPr fontId="5" type="noConversion"/>
  </si>
  <si>
    <t>한평신용협동조합</t>
    <phoneticPr fontId="5" type="noConversion"/>
  </si>
  <si>
    <t>채**</t>
    <phoneticPr fontId="5" type="noConversion"/>
  </si>
  <si>
    <t>피********* 주식회사</t>
    <phoneticPr fontId="5" type="noConversion"/>
  </si>
  <si>
    <t>피********주식회사</t>
    <phoneticPr fontId="5" type="noConversion"/>
  </si>
  <si>
    <t>주식회사 에****</t>
    <phoneticPr fontId="5" type="noConversion"/>
  </si>
  <si>
    <t>주식회사 에*****</t>
    <phoneticPr fontId="5" type="noConversion"/>
  </si>
  <si>
    <t>주식회사 투****</t>
    <phoneticPr fontId="5" type="noConversion"/>
  </si>
  <si>
    <t>Y</t>
    <phoneticPr fontId="5" type="noConversion"/>
  </si>
  <si>
    <t>낙찰(불허)</t>
    <phoneticPr fontId="5" type="noConversion"/>
  </si>
  <si>
    <t>1. 경매 집행정지</t>
    <phoneticPr fontId="5" type="noConversion"/>
  </si>
  <si>
    <t>R-0036, 박**, 이**</t>
    <phoneticPr fontId="5" type="noConversion"/>
  </si>
  <si>
    <t>박**</t>
    <phoneticPr fontId="5" type="noConversion"/>
  </si>
  <si>
    <t>공**</t>
    <phoneticPr fontId="5" type="noConversion"/>
  </si>
  <si>
    <t>손**</t>
    <phoneticPr fontId="5" type="noConversion"/>
  </si>
  <si>
    <t>방**</t>
    <phoneticPr fontId="5" type="noConversion"/>
  </si>
  <si>
    <t>서**</t>
    <phoneticPr fontId="5" type="noConversion"/>
  </si>
  <si>
    <t>구**</t>
    <phoneticPr fontId="5" type="noConversion"/>
  </si>
  <si>
    <t>길**</t>
    <phoneticPr fontId="5" type="noConversion"/>
  </si>
  <si>
    <t>권**</t>
    <phoneticPr fontId="5" type="noConversion"/>
  </si>
  <si>
    <t>주식회사현*******</t>
    <phoneticPr fontId="5" type="noConversion"/>
  </si>
  <si>
    <t>우**</t>
    <phoneticPr fontId="5" type="noConversion"/>
  </si>
  <si>
    <t>성**</t>
    <phoneticPr fontId="5" type="noConversion"/>
  </si>
  <si>
    <t>찐**</t>
    <phoneticPr fontId="5" type="noConversion"/>
  </si>
  <si>
    <t>오**</t>
    <phoneticPr fontId="5" type="noConversion"/>
  </si>
  <si>
    <t>R-1003, 송**</t>
    <phoneticPr fontId="5" type="noConversion"/>
  </si>
  <si>
    <t>전**</t>
    <phoneticPr fontId="5" type="noConversion"/>
  </si>
  <si>
    <t>R-1098, 이**</t>
    <phoneticPr fontId="5" type="noConversion"/>
  </si>
  <si>
    <t>R-0056, 김**</t>
    <phoneticPr fontId="5" type="noConversion"/>
  </si>
  <si>
    <t>R-1017, 김**, 박**, 황**</t>
    <phoneticPr fontId="5" type="noConversion"/>
  </si>
  <si>
    <t>오**, 오**</t>
    <phoneticPr fontId="5" type="noConversion"/>
  </si>
  <si>
    <t>R-0112, 오**</t>
    <phoneticPr fontId="5" type="noConversion"/>
  </si>
  <si>
    <t>R-0113, 김**</t>
    <phoneticPr fontId="5" type="noConversion"/>
  </si>
  <si>
    <t>R-0044, 이**</t>
    <phoneticPr fontId="5" type="noConversion"/>
  </si>
  <si>
    <t>손**, 이**</t>
    <phoneticPr fontId="5" type="noConversion"/>
  </si>
  <si>
    <t>R-1126, 양**</t>
    <phoneticPr fontId="5" type="noConversion"/>
  </si>
  <si>
    <t>R-1205, 박**</t>
    <phoneticPr fontId="5" type="noConversion"/>
  </si>
  <si>
    <t>R-0045, 김**</t>
    <phoneticPr fontId="5" type="noConversion"/>
  </si>
  <si>
    <t>R-1099, 배**</t>
    <phoneticPr fontId="5" type="noConversion"/>
  </si>
  <si>
    <t>R-1286, 신******</t>
    <phoneticPr fontId="5" type="noConversion"/>
  </si>
  <si>
    <t>R-1183, 이**</t>
    <phoneticPr fontId="5" type="noConversion"/>
  </si>
  <si>
    <t>민**</t>
    <phoneticPr fontId="5" type="noConversion"/>
  </si>
  <si>
    <t>노**</t>
    <phoneticPr fontId="5" type="noConversion"/>
  </si>
  <si>
    <t>R-1143, 윤**</t>
    <phoneticPr fontId="5" type="noConversion"/>
  </si>
  <si>
    <t>R-0067, 이**</t>
    <phoneticPr fontId="5" type="noConversion"/>
  </si>
  <si>
    <t>장**</t>
    <phoneticPr fontId="5" type="noConversion"/>
  </si>
  <si>
    <t>R-1086, 허**</t>
    <phoneticPr fontId="5" type="noConversion"/>
  </si>
  <si>
    <t>이**, 이**</t>
    <phoneticPr fontId="5" type="noConversion"/>
  </si>
  <si>
    <t>주식회사지***</t>
    <phoneticPr fontId="5" type="noConversion"/>
  </si>
  <si>
    <t>심**</t>
    <phoneticPr fontId="5" type="noConversion"/>
  </si>
  <si>
    <t>정**</t>
    <phoneticPr fontId="5" type="noConversion"/>
  </si>
  <si>
    <t>강**</t>
    <phoneticPr fontId="5" type="noConversion"/>
  </si>
  <si>
    <t>주**, 허**</t>
    <phoneticPr fontId="5" type="noConversion"/>
  </si>
  <si>
    <t>차**</t>
    <phoneticPr fontId="5" type="noConversion"/>
  </si>
  <si>
    <t>홍**</t>
    <phoneticPr fontId="5" type="noConversion"/>
  </si>
  <si>
    <t>허**</t>
    <phoneticPr fontId="5" type="noConversion"/>
  </si>
  <si>
    <t>송**</t>
    <phoneticPr fontId="5" type="noConversion"/>
  </si>
  <si>
    <t>권**, 장**</t>
    <phoneticPr fontId="5" type="noConversion"/>
  </si>
  <si>
    <t>농업회사법인우******주식회사</t>
    <phoneticPr fontId="5" type="noConversion"/>
  </si>
  <si>
    <t>R-1026, 유**</t>
    <phoneticPr fontId="5" type="noConversion"/>
  </si>
  <si>
    <t>주식회사제********, 오**</t>
    <phoneticPr fontId="5" type="noConversion"/>
  </si>
  <si>
    <t>R-0229, 박**</t>
    <phoneticPr fontId="5" type="noConversion"/>
  </si>
  <si>
    <t>주식회사다****</t>
    <phoneticPr fontId="5" type="noConversion"/>
  </si>
  <si>
    <t>R-0208, 김**</t>
    <phoneticPr fontId="5" type="noConversion"/>
  </si>
  <si>
    <t>R-1229, 신**</t>
    <phoneticPr fontId="5" type="noConversion"/>
  </si>
  <si>
    <t>R-0170, 김**</t>
    <phoneticPr fontId="5" type="noConversion"/>
  </si>
  <si>
    <t>R-0162, 쵸**</t>
    <phoneticPr fontId="5" type="noConversion"/>
  </si>
  <si>
    <t>이**, 정**</t>
    <phoneticPr fontId="5" type="noConversion"/>
  </si>
  <si>
    <t>S-1005, 김**</t>
    <phoneticPr fontId="5" type="noConversion"/>
  </si>
  <si>
    <t>R-0085, 김**, 박**</t>
    <phoneticPr fontId="5" type="noConversion"/>
  </si>
  <si>
    <t>R-1135, 김**</t>
    <phoneticPr fontId="5" type="noConversion"/>
  </si>
  <si>
    <t>R-1128, 강**</t>
    <phoneticPr fontId="5" type="noConversion"/>
  </si>
  <si>
    <t>R-0072, 김**</t>
    <phoneticPr fontId="5" type="noConversion"/>
  </si>
  <si>
    <t>R-0109, 박**</t>
    <phoneticPr fontId="5" type="noConversion"/>
  </si>
  <si>
    <t>R-1228, 이**</t>
    <phoneticPr fontId="5" type="noConversion"/>
  </si>
  <si>
    <t>김**, 김**</t>
    <phoneticPr fontId="5" type="noConversion"/>
  </si>
  <si>
    <t>김**, 임**, 임**</t>
    <phoneticPr fontId="5" type="noConversion"/>
  </si>
  <si>
    <t>R-0075, 이**</t>
    <phoneticPr fontId="5" type="noConversion"/>
  </si>
  <si>
    <t>R-0248, 고**</t>
    <phoneticPr fontId="5" type="noConversion"/>
  </si>
  <si>
    <t>홍*, 홍**</t>
    <phoneticPr fontId="5" type="noConversion"/>
  </si>
  <si>
    <t>김**, 최**</t>
    <phoneticPr fontId="5" type="noConversion"/>
  </si>
  <si>
    <t>R-0185, 이**</t>
    <phoneticPr fontId="5" type="noConversion"/>
  </si>
  <si>
    <t>R-1068, 장**</t>
    <phoneticPr fontId="5" type="noConversion"/>
  </si>
  <si>
    <t>R-1014, 신**</t>
    <phoneticPr fontId="5" type="noConversion"/>
  </si>
  <si>
    <t>R-0125, 안**</t>
    <phoneticPr fontId="5" type="noConversion"/>
  </si>
  <si>
    <t>R-0209, 정**</t>
    <phoneticPr fontId="5" type="noConversion"/>
  </si>
  <si>
    <t>R-1105, 고**</t>
    <phoneticPr fontId="5" type="noConversion"/>
  </si>
  <si>
    <t>R-1254, 유**, 유**</t>
    <phoneticPr fontId="5" type="noConversion"/>
  </si>
  <si>
    <t>R-1072, 오**</t>
    <phoneticPr fontId="5" type="noConversion"/>
  </si>
  <si>
    <t>이**, 이**, 정**</t>
    <phoneticPr fontId="5" type="noConversion"/>
  </si>
  <si>
    <t>R-0062, 하**</t>
    <phoneticPr fontId="5" type="noConversion"/>
  </si>
  <si>
    <t>R-1249, 박**</t>
    <phoneticPr fontId="5" type="noConversion"/>
  </si>
  <si>
    <t>R-0127, 김**</t>
    <phoneticPr fontId="5" type="noConversion"/>
  </si>
  <si>
    <t>R-0098, 이**</t>
    <phoneticPr fontId="5" type="noConversion"/>
  </si>
  <si>
    <t>R-1193, 권**</t>
    <phoneticPr fontId="5" type="noConversion"/>
  </si>
  <si>
    <t>R-0032, 신**</t>
    <phoneticPr fontId="5" type="noConversion"/>
  </si>
  <si>
    <t>애큐온저축은행</t>
    <phoneticPr fontId="5" type="noConversion"/>
  </si>
  <si>
    <t>622 다사한일유앤아이아파트 제101동 제4층 제402호</t>
  </si>
  <si>
    <t>57-6(토지, 건물)</t>
    <phoneticPr fontId="5" type="noConversion"/>
  </si>
  <si>
    <t>아파트형공장(상가)</t>
    <phoneticPr fontId="5" type="noConversion"/>
  </si>
  <si>
    <t>오피스텔(주거)</t>
    <phoneticPr fontId="5" type="noConversion"/>
  </si>
  <si>
    <t>노유자시설</t>
    <phoneticPr fontId="5" type="noConversion"/>
  </si>
  <si>
    <t>10층 공장(지식산업센터)</t>
    <phoneticPr fontId="5" type="noConversion"/>
  </si>
  <si>
    <t>15층 아파트</t>
    <phoneticPr fontId="5" type="noConversion"/>
  </si>
  <si>
    <t>16층 아파트</t>
    <phoneticPr fontId="5" type="noConversion"/>
  </si>
  <si>
    <t>13층 아파트</t>
    <phoneticPr fontId="5" type="noConversion"/>
  </si>
  <si>
    <t>20층 아파트</t>
    <phoneticPr fontId="5" type="noConversion"/>
  </si>
  <si>
    <t>19층 아파트</t>
    <phoneticPr fontId="5" type="noConversion"/>
  </si>
  <si>
    <t>6층 아파트</t>
    <phoneticPr fontId="5" type="noConversion"/>
  </si>
  <si>
    <t>3층 다세대주택</t>
    <phoneticPr fontId="5" type="noConversion"/>
  </si>
  <si>
    <t xml:space="preserve"> 4층 공동주택 (다세대)</t>
    <phoneticPr fontId="5" type="noConversion"/>
  </si>
  <si>
    <t>18층 아파트</t>
    <phoneticPr fontId="5" type="noConversion"/>
  </si>
  <si>
    <t>5층 아파트</t>
    <phoneticPr fontId="5" type="noConversion"/>
  </si>
  <si>
    <t>17층 아파트</t>
    <phoneticPr fontId="5" type="noConversion"/>
  </si>
  <si>
    <t>18층 공동주택</t>
    <phoneticPr fontId="5" type="noConversion"/>
  </si>
  <si>
    <t>3층 연립주택</t>
    <phoneticPr fontId="5" type="noConversion"/>
  </si>
  <si>
    <t>12층 아파트</t>
    <phoneticPr fontId="5" type="noConversion"/>
  </si>
  <si>
    <t>10층 아파트</t>
    <phoneticPr fontId="5" type="noConversion"/>
  </si>
  <si>
    <t>4층 다세대주택</t>
    <phoneticPr fontId="5" type="noConversion"/>
  </si>
  <si>
    <t>3층 주택</t>
    <phoneticPr fontId="5" type="noConversion"/>
  </si>
  <si>
    <t>4층 공동주택(다세대주택)</t>
    <phoneticPr fontId="5" type="noConversion"/>
  </si>
  <si>
    <t>6층 공장(일반공장)</t>
    <phoneticPr fontId="5" type="noConversion"/>
  </si>
  <si>
    <t>4층 공동주택</t>
    <phoneticPr fontId="5" type="noConversion"/>
  </si>
  <si>
    <t>9층 아파트</t>
    <phoneticPr fontId="5" type="noConversion"/>
  </si>
  <si>
    <t>1층 단독주택</t>
    <phoneticPr fontId="5" type="noConversion"/>
  </si>
  <si>
    <t>10층 업무시설(오피스텔) 및 근린생활시설</t>
    <phoneticPr fontId="5" type="noConversion"/>
  </si>
  <si>
    <t>5층 공동주택</t>
    <phoneticPr fontId="5" type="noConversion"/>
  </si>
  <si>
    <t>3층 제1종근린생활시설</t>
    <phoneticPr fontId="5" type="noConversion"/>
  </si>
  <si>
    <t>11층 도시형생활주택(원룸형)</t>
    <phoneticPr fontId="5" type="noConversion"/>
  </si>
  <si>
    <t>20층 공동주택(아파트)</t>
    <phoneticPr fontId="5" type="noConversion"/>
  </si>
  <si>
    <t>30층 아파트</t>
    <phoneticPr fontId="5" type="noConversion"/>
  </si>
  <si>
    <t>40층 아파트</t>
    <phoneticPr fontId="5" type="noConversion"/>
  </si>
  <si>
    <t>19층 업무시설(오피스텔)및근린생활시설</t>
    <phoneticPr fontId="5" type="noConversion"/>
  </si>
  <si>
    <t>43층 아파트</t>
    <phoneticPr fontId="5" type="noConversion"/>
  </si>
  <si>
    <t>15층 산업시설(공장) 지원시설(근린생활시설)</t>
    <phoneticPr fontId="5" type="noConversion"/>
  </si>
  <si>
    <t>18층 공동주택(아파트)</t>
    <phoneticPr fontId="5" type="noConversion"/>
  </si>
  <si>
    <t>6층 근린생활시설 및 운동시설</t>
    <phoneticPr fontId="5" type="noConversion"/>
  </si>
  <si>
    <t>지상9층. 지하1층 아파트</t>
    <phoneticPr fontId="5" type="noConversion"/>
  </si>
  <si>
    <t>지하2층, 지상27층 공동주택(아파트)</t>
    <phoneticPr fontId="5" type="noConversion"/>
  </si>
  <si>
    <t>지하6층, 지상48층 아파트</t>
    <phoneticPr fontId="5" type="noConversion"/>
  </si>
  <si>
    <t>회생신청</t>
  </si>
  <si>
    <t>개시결정</t>
  </si>
  <si>
    <t>인가후폐지</t>
  </si>
  <si>
    <t>부산회생법원</t>
  </si>
  <si>
    <t>경남 양산시 동면 양산대로 600</t>
  </si>
  <si>
    <t>중고 자동차 판매업</t>
  </si>
  <si>
    <t>박*홍(50.00%), 정*훈(20.00%), 이*승 (15.00%), 이*승(10.00%), 기타(5.00%)</t>
  </si>
  <si>
    <t>서울회생법원</t>
  </si>
  <si>
    <t>서울 송파구 중대로 135 동관 16층 1601호(가락동, 아이티벤처타워)</t>
  </si>
  <si>
    <t>응용 소프트웨어 개발 및 공급업</t>
  </si>
  <si>
    <t>기타(60.70%), 임*조(19.59%), ㈜케*티(8.71%), 이*희(3.99%), 기타주주합계(7.02%)</t>
  </si>
  <si>
    <t>수원회생법원</t>
  </si>
  <si>
    <t>경기 여주시 강천면 강천로 51</t>
  </si>
  <si>
    <t>그 외 기타 1차 철강 제조업</t>
  </si>
  <si>
    <t>최*태(40%), 정*용(30%), 한*희(30%)</t>
  </si>
  <si>
    <t>경북 경산시 하양읍 지식산업2로 124</t>
  </si>
  <si>
    <t>연사 및 가공사 제조업</t>
  </si>
  <si>
    <t>민*훈(50%), 민*준(25%), 이*영(25%)</t>
  </si>
  <si>
    <t>경기 부천시 원미구 도약로 294 (도담동, 서해능해빌딩)</t>
  </si>
  <si>
    <t>기타 무선 통신장비 제조업</t>
  </si>
  <si>
    <t>기타주주(29.67%), 한*환(20%), 이*삼(20%), 황*욱(15,33%), 황*정(15%)</t>
  </si>
  <si>
    <t>서울 송파구 법원로 114 A동 1305호(문정동,엠스테이트)</t>
  </si>
  <si>
    <t>컴퓨터시스템 통합 자문 및 구축 서비스업</t>
  </si>
  <si>
    <t>이*규(55.65%), 김*희(41.13%), 이*경(3.23%)</t>
  </si>
  <si>
    <t>서울 강동구 성안로 94, 1층, 2층(성내동, 은혜빌딩)</t>
  </si>
  <si>
    <t>기타 가공식품 도매업</t>
  </si>
  <si>
    <t>이*불(50%), 이*령(50%)</t>
  </si>
  <si>
    <t>N/A</t>
  </si>
  <si>
    <t>인천 미추홀구 미추홀대로 594, 2층 전체 (주안동, 동경프라자)</t>
  </si>
  <si>
    <t>경영 컨설팅업</t>
  </si>
  <si>
    <t>경기 양평군 양서면 송구터길93번길 7</t>
  </si>
  <si>
    <t>육류 도매업</t>
  </si>
  <si>
    <t>대구 서구 염색공단로11길 21-11</t>
  </si>
  <si>
    <t>기타 교육지원 서비스업</t>
  </si>
  <si>
    <t>산업용 로봇 제조업</t>
  </si>
  <si>
    <t>경기 화성시 봉담읍 마당바위로 289</t>
  </si>
  <si>
    <t>떡류 제조업</t>
  </si>
  <si>
    <t>선*수(50%), 박*현(35%), 신*숙(10%)</t>
  </si>
  <si>
    <t xml:space="preserve"> 2025회합1018 </t>
  </si>
  <si>
    <t xml:space="preserve"> 2025회합117 </t>
  </si>
  <si>
    <t xml:space="preserve"> 2025회합132 </t>
  </si>
  <si>
    <t xml:space="preserve"> 2025회합118 </t>
  </si>
  <si>
    <t xml:space="preserve"> 2025회합114 </t>
  </si>
  <si>
    <t xml:space="preserve"> 2025회합113 </t>
  </si>
  <si>
    <t xml:space="preserve"> 2025회합121 </t>
  </si>
  <si>
    <t xml:space="preserve"> 2025회단101 </t>
  </si>
  <si>
    <t xml:space="preserve"> 2025간회합113 </t>
  </si>
  <si>
    <t xml:space="preserve"> 2025간회단101 </t>
  </si>
  <si>
    <t xml:space="preserve"> 2025회단110 </t>
  </si>
  <si>
    <t xml:space="preserve"> 2025간회합114 </t>
  </si>
  <si>
    <t xml:space="preserve"> 2025간회단1001 </t>
  </si>
  <si>
    <t xml:space="preserve"> 2025간회합1002 </t>
  </si>
  <si>
    <t xml:space="preserve"> 2025간회합121 </t>
  </si>
  <si>
    <t>경기 시흥시 공단1대로 144, 202호 (정왕동, 시화공단2다)</t>
  </si>
  <si>
    <t xml:space="preserve"> 2023간회합158 </t>
  </si>
  <si>
    <t xml:space="preserve"> 2025회단138 </t>
  </si>
  <si>
    <t xml:space="preserve"> 2025회단1005 </t>
  </si>
  <si>
    <t>비상장</t>
  </si>
  <si>
    <t>박*홍</t>
  </si>
  <si>
    <t>7명(2023년 12월 31일 현재)</t>
  </si>
  <si>
    <t>임*조</t>
  </si>
  <si>
    <t>337명(2024년 08월 12일 현재)</t>
  </si>
  <si>
    <t>최*태</t>
  </si>
  <si>
    <t>25명(2024년 12월 31일 현재)</t>
  </si>
  <si>
    <t>민*훈</t>
  </si>
  <si>
    <t>71명(2024년 12월 31일 현재)</t>
  </si>
  <si>
    <t>황*</t>
  </si>
  <si>
    <t>10명(2024년 5월 24일 현재)</t>
  </si>
  <si>
    <t>이*규</t>
  </si>
  <si>
    <t>110명(2022년 07월 12일 현재)</t>
  </si>
  <si>
    <t>이*불</t>
  </si>
  <si>
    <t>15명(2024년 12월 31일 현재)</t>
  </si>
  <si>
    <t>장*일</t>
  </si>
  <si>
    <t>장*영</t>
  </si>
  <si>
    <t>이*현</t>
  </si>
  <si>
    <t>6명(2020년 02월 24일 현재)</t>
  </si>
  <si>
    <t>김*수</t>
  </si>
  <si>
    <t>12명(2022년 08월 04일 현재)</t>
  </si>
  <si>
    <t>선*수</t>
  </si>
  <si>
    <t>5명(2020년 08월 31일 현재)</t>
  </si>
  <si>
    <t>6명(2015년 10월 27일 현재)</t>
  </si>
  <si>
    <t>2024-05-27/2025-01-02</t>
  </si>
  <si>
    <t>여(적정)</t>
  </si>
  <si>
    <t>여(한정)</t>
  </si>
  <si>
    <t>여(의견거절)</t>
  </si>
  <si>
    <t>이자비용
(단위 : 백만원)</t>
    <phoneticPr fontId="5" type="noConversion"/>
  </si>
  <si>
    <t>기업회생</t>
    <phoneticPr fontId="5" type="noConversion"/>
  </si>
  <si>
    <t>개인회생</t>
    <phoneticPr fontId="5" type="noConversion"/>
  </si>
  <si>
    <t>마*턴제97호일반사모부동산투자유한회사</t>
    <phoneticPr fontId="5" type="noConversion"/>
  </si>
  <si>
    <t>실 채무자: 마*턴제97호일반사모부동산투자유한회사</t>
    <phoneticPr fontId="9" type="noConversion"/>
  </si>
  <si>
    <t>R-0030, R-0050, R-0186</t>
    <phoneticPr fontId="9" type="noConversion"/>
  </si>
  <si>
    <t>R-0193, R-0221</t>
    <phoneticPr fontId="9" type="noConversion"/>
  </si>
  <si>
    <t>R-0002, R-0049</t>
    <phoneticPr fontId="9" type="noConversion"/>
  </si>
  <si>
    <t>R-0193, R-0221, 임**</t>
    <phoneticPr fontId="5" type="noConversion"/>
  </si>
  <si>
    <t>26-2(토지, 건물), 26-6, 26-7(토지 2필지, 양지상 건물), 26-10(토지)</t>
    <phoneticPr fontId="5" type="noConversion"/>
  </si>
  <si>
    <t>S</t>
    <phoneticPr fontId="9" type="noConversion"/>
  </si>
  <si>
    <t>S-1009</t>
    <phoneticPr fontId="9" type="noConversion"/>
  </si>
  <si>
    <t>공장</t>
    <phoneticPr fontId="5" type="noConversion"/>
  </si>
  <si>
    <t>156-33 리찌힐 제102동 제201호, 156-18, 156-21(토지 2필지)</t>
    <phoneticPr fontId="5" type="noConversion"/>
  </si>
  <si>
    <t>S-1010</t>
    <phoneticPr fontId="9" type="noConversion"/>
  </si>
  <si>
    <t>S-1011</t>
    <phoneticPr fontId="9" type="noConversion"/>
  </si>
  <si>
    <t>S-1012</t>
    <phoneticPr fontId="9" type="noConversion"/>
  </si>
  <si>
    <t>S-1013</t>
    <phoneticPr fontId="9" type="noConversion"/>
  </si>
  <si>
    <t>363-12, 363-13, 369-1, 산60-5(토지 4필지, 사지상 더라운지현대골프연습장주건축물제1동 건물), 369-4(토지)</t>
    <phoneticPr fontId="5" type="noConversion"/>
  </si>
  <si>
    <t>383-38(토지, 건물)</t>
    <phoneticPr fontId="5" type="noConversion"/>
  </si>
  <si>
    <t>법원감정가</t>
    <phoneticPr fontId="5" type="noConversion"/>
  </si>
  <si>
    <t>(주)유앤아이감정평가법인</t>
    <phoneticPr fontId="5" type="noConversion"/>
  </si>
  <si>
    <t>우신감정평가사사무소</t>
    <phoneticPr fontId="5" type="noConversion"/>
  </si>
  <si>
    <t>감정평가사사무소 지음</t>
    <phoneticPr fontId="5" type="noConversion"/>
  </si>
  <si>
    <t>마루한감정평가사사무소</t>
    <phoneticPr fontId="5" type="noConversion"/>
  </si>
  <si>
    <t>다원감정평가사사무소</t>
    <phoneticPr fontId="5" type="noConversion"/>
  </si>
  <si>
    <t>(주)삼성감정평가법인</t>
    <phoneticPr fontId="5" type="noConversion"/>
  </si>
  <si>
    <t>㈜오케이대부캐피탈서초</t>
    <phoneticPr fontId="5" type="noConversion"/>
  </si>
  <si>
    <t>좋은감정평가사사무소</t>
    <phoneticPr fontId="5" type="noConversion"/>
  </si>
  <si>
    <t>(주)대화감정평가법인</t>
    <phoneticPr fontId="5" type="noConversion"/>
  </si>
  <si>
    <t>(주)감정평가법인 국토</t>
    <phoneticPr fontId="5" type="noConversion"/>
  </si>
  <si>
    <t>동인감정평가법인(주)</t>
    <phoneticPr fontId="5" type="noConversion"/>
  </si>
  <si>
    <t>홍익감정평가사사무소</t>
    <phoneticPr fontId="5" type="noConversion"/>
  </si>
  <si>
    <t>(주)자*****</t>
    <phoneticPr fontId="9" type="noConversion"/>
  </si>
  <si>
    <t>1~2</t>
    <phoneticPr fontId="5" type="noConversion"/>
  </si>
  <si>
    <t>2~3</t>
    <phoneticPr fontId="5" type="noConversion"/>
  </si>
  <si>
    <t>A</t>
    <phoneticPr fontId="9" type="noConversion"/>
  </si>
  <si>
    <t>S-0011</t>
    <phoneticPr fontId="9" type="noConversion"/>
  </si>
  <si>
    <t>2025회합1029</t>
  </si>
  <si>
    <t>2025회합117</t>
  </si>
  <si>
    <t>2025간회합1002</t>
  </si>
  <si>
    <t>2024간회합202</t>
  </si>
  <si>
    <t>2025간회합119</t>
  </si>
  <si>
    <t>2025간회합130</t>
  </si>
  <si>
    <t xml:space="preserve"> 부산 수영구 황령대로 505</t>
  </si>
  <si>
    <t>자동차 신품 판매업</t>
  </si>
  <si>
    <t>한*종(61.45%), (주)알******비(38.55%)</t>
  </si>
  <si>
    <t>한*종</t>
  </si>
  <si>
    <t xml:space="preserve">	334명(2023년 12월 31일 현재)</t>
  </si>
  <si>
    <t>대구 동구 이노밸리로 38</t>
  </si>
  <si>
    <t>그 외 기타 일반목적용 기계 제조업</t>
  </si>
  <si>
    <t>윤*현</t>
  </si>
  <si>
    <t>전북 완주군 삼례읍 원후정1길 4</t>
  </si>
  <si>
    <t>그 외 기타 건축자재 도매업</t>
  </si>
  <si>
    <t>송*영</t>
  </si>
  <si>
    <t>4명(2016년 06월 30일 현재)</t>
  </si>
  <si>
    <t>경기 성남시 수정구 논골로29번길 8-4, 가동 102호</t>
  </si>
  <si>
    <t>서*옥(100%)</t>
  </si>
  <si>
    <t>김*률</t>
  </si>
  <si>
    <t>1명(2013년 03월 31일 현재)</t>
  </si>
  <si>
    <t>서울 영등포구 선유로49길 23, 1110호</t>
  </si>
  <si>
    <t xml:space="preserve"> 광고 대행업</t>
  </si>
  <si>
    <t>이*준(73%), 이*혜(10%), 하*숙(7%), 조*은(5%), 강*걸(2%), 장*진(2%), 이*행(1%)</t>
  </si>
  <si>
    <t>이*준</t>
  </si>
  <si>
    <t>20명(2016년 05월 03일 현재)</t>
  </si>
  <si>
    <t>경기 성남시 중원구 둔촌대로 388, 10층 1019호 (상대원동,크란츠테크노)</t>
  </si>
  <si>
    <t>전기경보 및 신호장치 제조업</t>
  </si>
  <si>
    <t>이*수(40%), 최*순(30%), 주*희(30%)</t>
  </si>
  <si>
    <t>이*수</t>
  </si>
  <si>
    <t>5명(2018년 04월 24일 현재)</t>
  </si>
  <si>
    <t>2190-1 소재 동산담보 기계기구 1점(연삭기, 모델 WRG-4580N, 2021.05 WOOJIN GRINDING MACHINE CO.,LTD 제조)</t>
  </si>
  <si>
    <t>5442-1 크란츠테크노 제10층 제1019호</t>
  </si>
  <si>
    <t>풍덕천동</t>
  </si>
  <si>
    <t>1018 신정마을 제304동 제10층 제1003호</t>
  </si>
  <si>
    <t>S-0011</t>
    <phoneticPr fontId="5" type="noConversion"/>
  </si>
  <si>
    <t>주**</t>
    <phoneticPr fontId="5" type="noConversion"/>
  </si>
  <si>
    <t>213-7(토지, 건물)</t>
    <phoneticPr fontId="5" type="noConversion"/>
  </si>
  <si>
    <t>1042-11(토지)</t>
    <phoneticPr fontId="5" type="noConversion"/>
  </si>
  <si>
    <t>1518-12(토지, 건물)</t>
    <phoneticPr fontId="5" type="noConversion"/>
  </si>
  <si>
    <t>상기일괄</t>
    <phoneticPr fontId="5" type="noConversion"/>
  </si>
  <si>
    <t>1~3</t>
    <phoneticPr fontId="5" type="noConversion"/>
  </si>
  <si>
    <t>N</t>
    <phoneticPr fontId="5" type="noConversion"/>
  </si>
  <si>
    <t>2024타경85102</t>
    <phoneticPr fontId="5" type="noConversion"/>
  </si>
  <si>
    <t>(주)에이피엘파이낸셜대부</t>
  </si>
  <si>
    <t>2025타경32682</t>
  </si>
  <si>
    <t>한국투자캐피탈</t>
  </si>
  <si>
    <t>2025타경54866</t>
  </si>
  <si>
    <t>2025타경1258</t>
  </si>
  <si>
    <t>15층 공장 및 근린생활시설</t>
  </si>
  <si>
    <t>KRW</t>
    <phoneticPr fontId="5" type="noConversion"/>
  </si>
  <si>
    <t>다사읍 매곡리</t>
    <phoneticPr fontId="5" type="noConversion"/>
  </si>
  <si>
    <t>다사읍 매곡리</t>
    <phoneticPr fontId="5" type="noConversion"/>
  </si>
  <si>
    <t>244-11</t>
    <phoneticPr fontId="5" type="noConversion"/>
  </si>
  <si>
    <t>773 맥스타일 제15층 제15002호</t>
    <phoneticPr fontId="5" type="noConversion"/>
  </si>
  <si>
    <t>773 맥스타일 제15층 제15002호</t>
    <phoneticPr fontId="5" type="noConversion"/>
  </si>
  <si>
    <t>1~3</t>
    <phoneticPr fontId="5" type="noConversion"/>
  </si>
  <si>
    <t>벽진면 가암리</t>
  </si>
  <si>
    <t>160-2 소재 동산담보 기계기구 10점(1. 1차압출기, 2.2차압출기, 3.원형스크린체인저, 4.3차압출기, 5.망치다이스, 6.냉각수조, 7.건조테이블, 8.컷팅기, 9.선별기, 10.원료저장탱크, 제조사 오성산업, 제조연월 2023.07)</t>
  </si>
  <si>
    <t>동산담보</t>
    <phoneticPr fontId="5" type="noConversion"/>
  </si>
  <si>
    <t>P*** ******</t>
    <phoneticPr fontId="9" type="noConversion"/>
  </si>
  <si>
    <t>137-22 1층 소재 양도담보 기계기구 11점(SSR112-SV14 10점. SDS-ONE APEX3-4 1점)</t>
  </si>
  <si>
    <t>기계기구</t>
    <phoneticPr fontId="5" type="noConversion"/>
  </si>
  <si>
    <t>양도담보</t>
  </si>
  <si>
    <t>&lt;기시&gt;일반자금대출(일시상환)</t>
  </si>
  <si>
    <t>&lt;기운&gt;일반자금대출(일시상환)</t>
  </si>
  <si>
    <t>&lt;가계&gt;일반자금대출 플러스모기지론(분할상환) 신보출연</t>
  </si>
  <si>
    <t>&lt;기운&gt;종합통장대출(일반)</t>
  </si>
  <si>
    <t>&lt;가계&gt;일반자금대출 신한주택대출(아파트)</t>
  </si>
  <si>
    <t>&lt;가계&gt;일반자금대출 신한주택대출(만기일시)</t>
  </si>
  <si>
    <t>&lt;가계&gt;일반자금대출 신한주택대출(만기일시) 신보출연</t>
  </si>
  <si>
    <t>&lt;가계&gt;일반자금대출 플러스모기지론(만기일시) 신보출연</t>
  </si>
  <si>
    <t>&lt;가계&gt;일반자금대출 신한주택대출(분할상환) 신보출연</t>
  </si>
  <si>
    <t>&lt;가계&gt;금리안전모기지론(분할상환,플러스모기지론준용) 혼합형</t>
  </si>
  <si>
    <t>&lt;가계&gt;일반자금대출 신한주택대출(분할상환)</t>
  </si>
  <si>
    <t>&lt;기운&gt;서울특별시 용산구 정책자금대출</t>
  </si>
  <si>
    <t>&lt;기운&gt;일반자금대출(분할상환)</t>
  </si>
  <si>
    <t>&lt;가계&gt;일반자금대출 플러스모기지론(분할상환)</t>
  </si>
  <si>
    <t>&lt;기운&gt;일반자금대출(일시상환) 제주도 이차보전(2023년 1월이후)</t>
  </si>
  <si>
    <t>&lt;기운&gt;일반자금대출(일시상환) 한국은행 중소기업 한시 특별지원_연기(지방_75%)</t>
  </si>
  <si>
    <t>&lt;기운&gt;일반자금대출(일시상환) 한국은행 중소기업 한시 특별지원(지방_75%)</t>
  </si>
  <si>
    <t>&lt;기운&gt;소상공인시장진흥기금 정책자금대출(소상공인성장기반및경영안정자금)</t>
  </si>
  <si>
    <t>&lt;가계&gt;일반자금대출 TOPS부동산대출(만기일시)</t>
  </si>
  <si>
    <t>&lt;기시&gt;일반자금대출 신한SOHO명품대출(분할상환)</t>
  </si>
  <si>
    <t>외화지급보증대지급금</t>
  </si>
  <si>
    <t>&lt;기시&gt;일반자금대출(분할상환)</t>
  </si>
  <si>
    <t>&lt;가계&gt;금리안전모기지론(분할상환) 혼합형</t>
  </si>
  <si>
    <t>&lt;가계&gt;일반자금대출 신한주택대출(아파트) 신보출연</t>
  </si>
  <si>
    <t>&lt;기운&gt;일반자금대출(분할상환)희망플러스 특례보증 이차보전대출</t>
  </si>
  <si>
    <t>&lt;가계&gt;일반자금대출 TOPS부동산대출(분할상환)</t>
  </si>
  <si>
    <t>&lt;가계&gt;금리안전모기지론(분할상환,신보출연,플러스모기지론준용) 혼합형</t>
  </si>
  <si>
    <t>&lt;기운&gt;일반자금대출(일시상환 C2 50%이상차입)</t>
  </si>
  <si>
    <t>&lt;기시&gt;일반자금대출 신한SOHO명품대출(일시상환)</t>
  </si>
  <si>
    <t>&lt;기운&gt;일반자금대출(일시상환) 기술평가(TCB) 우수 기업대출</t>
  </si>
  <si>
    <t>&lt;기운&gt;일반자금대출(일시상환) 신성장기술형창업지원대출(기타담보,차입비율50%)</t>
  </si>
  <si>
    <t>&lt;기시&gt;일반자금대출(일시상환) 기술평가(TCB) 우수기업대출</t>
  </si>
  <si>
    <t>&lt;가계&gt;생애최초중도금대출 (기금이차보전)</t>
  </si>
  <si>
    <t>&lt;가계&gt;일반자금대출 TOPS부동산대출(준주택 구입자금보증)(분할상환)</t>
  </si>
  <si>
    <t>&lt;가계&gt;일반자금대출 TOPS부동산대출(준주택 구입자금보증)(만기일시)</t>
  </si>
  <si>
    <t>&lt;가계&gt;금리안전모기지론(분할상환,신보출연) 혼합형</t>
  </si>
  <si>
    <t>&lt;기운&gt;B2B구매자금대출&lt;총액외기타&gt;</t>
  </si>
  <si>
    <t>(기운)일반자금대출[신한 신성장 선도기업대출](일시상환)</t>
  </si>
  <si>
    <t>&lt;기운&gt;일반자금대출(분할상환) 서울특별시 이차보전 (희망동행 2024년 이후)</t>
  </si>
  <si>
    <t>&lt;기운&gt;일반자금대출(일시상환) 한국은행 중소기업 한시 특별지원_연기 (서울_75%)</t>
  </si>
  <si>
    <t>&lt;기운&gt;일반자금대출(일시상환) 한국은행 중소기업 한시 특별지원(서울_50%)</t>
  </si>
  <si>
    <t>&lt;기시&gt;일반자금대출(분할상환) 기술평가(TCB) 우수기업대출</t>
  </si>
  <si>
    <t>&lt;기운&gt;일반자금대출 신한SOHO명품대출(일시상환)</t>
  </si>
  <si>
    <t>&lt;가계&gt;프리워크아웃 신한주택대출(아파트)</t>
  </si>
  <si>
    <t>&lt;시설&gt;외화대출(분할상환)ChangeUP대출</t>
  </si>
  <si>
    <t>&lt;시설&gt;외화대출(CHANGEUP)</t>
  </si>
  <si>
    <t>&lt;기운&gt;일반자금대출(분할상환) 신용보증재단 특례보증대출(신종 코로나바이러스 피해 소상공인지원)</t>
  </si>
  <si>
    <t>(기시)일반자금대출(분할상환) 성공두드림 유형자산담보대출</t>
  </si>
  <si>
    <t>&lt;가계&gt;프리워크아웃 신한주택대출(분할상환) 신보출연</t>
  </si>
  <si>
    <t>&lt;가계&gt;일반자금대출 플러스모기지론(만기일시)</t>
  </si>
  <si>
    <t>&lt;기운&gt;일반자금대출(일시상환)희망플러스 신용 이차보전대출</t>
  </si>
  <si>
    <t>&lt;가계&gt;일반자금대출 생애최초구입자금대출(특례구입자금보증)(아파트)(분할상환)</t>
  </si>
  <si>
    <t>&lt;기운&gt;일반자금대출(일시상환) 신한 파이팅 운전자금대출(비외감)</t>
  </si>
  <si>
    <t>&lt;기운&gt;일반자금대출(분할상환) 기술평가(TCB) 우수기업대출</t>
  </si>
  <si>
    <t>&lt;기운&gt;일반자금대출(분할상환 C2 50%이상차입)</t>
  </si>
  <si>
    <t>&lt;기운&gt;일반자금대출(분할상환) 소상공인 저금리 대환대출(10년_신보 수탁보증)</t>
  </si>
  <si>
    <t>&lt;가계&gt;내집마련디딤돌대출(은행재원_이차보전방식)</t>
  </si>
  <si>
    <t>&lt;가계&gt;주택금융공사모기지론(분할상환)</t>
  </si>
  <si>
    <t>&lt;기운&gt;일반자금대출(일시상환) 신한 주택임대 및 매매 사업자대출</t>
  </si>
  <si>
    <t>&lt;가계&gt;프리워크아웃 플러스모기지론(분할상환) 신보출연</t>
  </si>
  <si>
    <t>&lt;기시&gt;일반자금대출(일시상환) 신한 파이팅 장기 시설자금대출</t>
  </si>
  <si>
    <t>&lt;기운&gt;일반자금대출(일시상환)신한 플러스 우량외감기업대출</t>
  </si>
  <si>
    <t>&lt;기시&gt;일반자금대출(일시상환) 신한 위풍당당사업가대출</t>
  </si>
  <si>
    <t>&lt;기시&gt;일반자금대출(일시상환) 신한 동행 중소기업</t>
  </si>
  <si>
    <t>&lt;가계&gt;내집마련디딤돌대출(은행재원_이차보전방식)(유한책임)(주택보유이력없는_신혼가구)</t>
  </si>
  <si>
    <t>&lt;기운&gt;일반자금대출(일시상환) 한국은행 중소기업 한시 특별지원_연기(지방_50%)</t>
  </si>
  <si>
    <t>&lt;기시&gt;국민체육진흥기금 정책자금대출</t>
  </si>
  <si>
    <t>&lt;기운&gt;국민체육진흥기금 정책자금대출</t>
  </si>
  <si>
    <t>&lt;기시&gt;일반자금대출 신한 사회적경제기업 두드림대출(일시상환)</t>
  </si>
  <si>
    <t>&lt;기시&gt;일반자금대출(분할상환) 신한 파이팅 장기 시설자금대출</t>
  </si>
  <si>
    <t>&lt;기운&gt;일반자금대출(분할상환)부천시 이차보전(추천서발급21년 이후)</t>
  </si>
  <si>
    <t>&lt;기운&gt;일반자금대출(분할상환) 소상공인 저금리 대환대출(10년_신보 수탁보증)(2024.03.18 이후)</t>
  </si>
  <si>
    <t>&lt;기운&gt;수출입은행 원화온렌딩대출_금리우대 0.1% 전용</t>
  </si>
  <si>
    <t>무역어음대출(총액중소)</t>
  </si>
  <si>
    <t>&lt;기시&gt;일반자금대출(일시상환) 신한 소재부품전문기업 성장지원 대출</t>
  </si>
  <si>
    <t>&lt;기운&gt;일반자금대출(일시상환) 한국은행 중소기업 한시 특별지원(지방_50%)</t>
  </si>
  <si>
    <t>&lt;기운&gt;일반자금대출(분할상환) 소상공인 저금리 대환대출(신보 수탁보증)</t>
  </si>
  <si>
    <t>&lt;기시&gt;중소진흥기금 정책자금대출(혁신창업사업화자금)_구.창업기업지원자금</t>
  </si>
  <si>
    <t>&lt;기운&gt;일반자금대출(한도) 신한 TRUST-ON 보증대출</t>
  </si>
  <si>
    <t>&lt;기시&gt;일반자금대출(일시상환) 비외감법인 성장지원대출(자가사업장)</t>
  </si>
  <si>
    <t>&lt;기시&gt;산업은행 온렌딩대출(ON-LENDING)</t>
  </si>
  <si>
    <t>&lt;기시&gt;에너지이용합리화자금대출(신재생에너지보급)</t>
  </si>
  <si>
    <t>&lt;기시&gt;일반자금대출(일시상환) 신한 플러스 우수 중소기업대출</t>
  </si>
  <si>
    <t>&lt;기시&gt;일반자금대출 신한SOHO명품대출III(일시상환)</t>
  </si>
  <si>
    <t>&lt;기시&gt;인천광역시 정책자금대출</t>
  </si>
  <si>
    <t>&lt;기시&gt;일반자금대출(분할상환)태백시 이차보전</t>
  </si>
  <si>
    <t>&lt;기시&gt;일반자금대출(분할상환)강원도 이차보전_창업및경쟁력강화자금</t>
  </si>
  <si>
    <t>&lt;기시&gt;대체산업융자 정책자금대출</t>
  </si>
  <si>
    <t>&lt;가계&gt;일반자금대출 신한주택대출 월상환액 고정형(분할상환)(MCI) 신보출연</t>
  </si>
  <si>
    <t>&lt;기운&gt;일반자금대출(한도)</t>
  </si>
  <si>
    <t>&lt;기운&gt;일반자금대출(일시상환) 일반창업지원대출(2019.10.01이후)(차입비율 25%)</t>
  </si>
  <si>
    <t>&lt;기시&gt;산업은행 특별온렌딩대출(ON-LENDING)_금리우대0.1%전용</t>
  </si>
  <si>
    <t>&lt;공시&gt;일반자금대출(일시상환) 신한 어린이집대출</t>
  </si>
  <si>
    <t>&lt;공운&gt;일반자금대출(일시상환) 신한 어린이집대출</t>
  </si>
  <si>
    <t>&lt;기운&gt;일반자금대출(일시상환)전라남도 이차보전(중소기업육성자금)_2020년 이후</t>
  </si>
  <si>
    <t>&lt;시설&gt;외화대출</t>
  </si>
  <si>
    <t>&lt;기운&gt;일반자금대출(일시상환) 신한 사업자대출 IN 토스</t>
  </si>
  <si>
    <t>&lt;기운&gt;B3B구매자금대출&lt;총액외기타&gt;</t>
  </si>
  <si>
    <t>&lt;기운&gt;B4B구매자금대출&lt;총액외기타&gt;</t>
  </si>
  <si>
    <t>&lt;기운&gt;B5B구매자금대출&lt;총액외기타&gt;</t>
  </si>
  <si>
    <t>&lt;기운&gt;B6B구매자금대출&lt;총액외기타&gt;</t>
  </si>
  <si>
    <t>&lt;기운&gt;B7B구매자금대출&lt;총액외기타&gt;</t>
  </si>
  <si>
    <t>&lt;기운&gt;B8B구매자금대출&lt;총액외기타&gt;</t>
  </si>
  <si>
    <t>&lt;기운&gt;B9B구매자금대출&lt;총액외기타&gt;</t>
  </si>
  <si>
    <t>&lt;기운&gt;B10B구매자금대출&lt;총액외기타&gt;</t>
  </si>
  <si>
    <t>&lt;기운&gt;B11B구매자금대출&lt;총액외기타&gt;</t>
  </si>
  <si>
    <t>&lt;기운&gt;B12B구매자금대출&lt;총액외기타&gt;</t>
  </si>
  <si>
    <t>1~2</t>
    <phoneticPr fontId="5" type="noConversion"/>
  </si>
  <si>
    <t>SHB</t>
    <phoneticPr fontId="5" type="noConversion"/>
  </si>
  <si>
    <t>재고자산 일체</t>
    <phoneticPr fontId="5" type="noConversion"/>
  </si>
  <si>
    <t>동산</t>
    <phoneticPr fontId="5" type="noConversion"/>
  </si>
  <si>
    <t>2020-12-31 기준 기계장치 감가상각비 명세서상 기계장치 일체</t>
  </si>
  <si>
    <t>2020-12-31 기준 기계장치 감가상각비 명세서상 기계장치 일체</t>
    <phoneticPr fontId="5" type="noConversion"/>
  </si>
  <si>
    <t>옥천군</t>
  </si>
  <si>
    <t>청산면 하서리</t>
  </si>
  <si>
    <t>10-1 소재 공장 내 기계기구 1SET(1200유니트 FULL라인)</t>
  </si>
  <si>
    <t>양도담보권</t>
  </si>
  <si>
    <t>N</t>
    <phoneticPr fontId="5" type="noConversion"/>
  </si>
  <si>
    <t>KB시세</t>
    <phoneticPr fontId="5" type="noConversion"/>
  </si>
  <si>
    <t>KB부동산</t>
    <phoneticPr fontId="5" type="noConversion"/>
  </si>
  <si>
    <t>1~4</t>
    <phoneticPr fontId="5" type="noConversion"/>
  </si>
  <si>
    <t>1~6</t>
    <phoneticPr fontId="5" type="noConversion"/>
  </si>
  <si>
    <t>KRW</t>
    <phoneticPr fontId="5" type="noConversion"/>
  </si>
  <si>
    <t>신한은행</t>
    <phoneticPr fontId="5" type="noConversion"/>
  </si>
  <si>
    <t>2~3</t>
    <phoneticPr fontId="5" type="noConversion"/>
  </si>
  <si>
    <t>&lt;기운&gt;일반자금대출(분할상환) 서울특별시 이차보전(4무안심금융(일반))</t>
    <phoneticPr fontId="5" type="noConversion"/>
  </si>
  <si>
    <t>담보</t>
  </si>
  <si>
    <t>담보</t>
    <phoneticPr fontId="9" type="noConversion"/>
  </si>
  <si>
    <t>S</t>
    <phoneticPr fontId="5" type="noConversion"/>
  </si>
  <si>
    <t>1~2</t>
    <phoneticPr fontId="5" type="noConversion"/>
  </si>
  <si>
    <t>이자정보 (추후 제공)</t>
    <phoneticPr fontId="5" type="noConversion"/>
  </si>
  <si>
    <t>가지급금 (추후 제공)</t>
    <phoneticPr fontId="5" type="noConversion"/>
  </si>
  <si>
    <t>신용보증서 (추후 제공)</t>
    <phoneticPr fontId="5" type="noConversion"/>
  </si>
  <si>
    <t>KRW</t>
    <phoneticPr fontId="5" type="noConversion"/>
  </si>
  <si>
    <t>JPY</t>
    <phoneticPr fontId="5" type="noConversion"/>
  </si>
  <si>
    <t>개인사업자</t>
    <phoneticPr fontId="9" type="noConversion"/>
  </si>
  <si>
    <t>개인</t>
    <phoneticPr fontId="9" type="noConversion"/>
  </si>
  <si>
    <t>법인</t>
    <phoneticPr fontId="9" type="noConversion"/>
  </si>
  <si>
    <t>R-0036-1</t>
  </si>
  <si>
    <t>R-0036-1-1</t>
  </si>
  <si>
    <t>R-0036-1-2</t>
  </si>
  <si>
    <t>R-1080-1</t>
  </si>
  <si>
    <t>R-1080-1-1</t>
  </si>
  <si>
    <t>R-1169-1</t>
  </si>
  <si>
    <t>R-1169-1-1</t>
  </si>
  <si>
    <t>R-0026-1</t>
  </si>
  <si>
    <t>R-0026-1-1</t>
  </si>
  <si>
    <t>R-0026-1-2</t>
  </si>
  <si>
    <t>R-0026-1-3</t>
  </si>
  <si>
    <t>S-1006-1</t>
  </si>
  <si>
    <t>S-1006-1-1</t>
  </si>
  <si>
    <t>R-0048-1</t>
  </si>
  <si>
    <t>R-0048-1-1</t>
  </si>
  <si>
    <t>R-0136-1</t>
  </si>
  <si>
    <t>R-0136-1-1</t>
  </si>
  <si>
    <t>R-0176-1</t>
  </si>
  <si>
    <t>R-0176-1-1</t>
  </si>
  <si>
    <t>R-1098-1</t>
  </si>
  <si>
    <t>R-1098-1-1</t>
  </si>
  <si>
    <t>R-1179-1</t>
  </si>
  <si>
    <t>R-1179-1-1</t>
  </si>
  <si>
    <t>R-0138-1</t>
  </si>
  <si>
    <t>R-0138-1-1</t>
  </si>
  <si>
    <t>R-0273-1</t>
  </si>
  <si>
    <t>R-0273-1-1</t>
  </si>
  <si>
    <t>R-1119-1</t>
  </si>
  <si>
    <t>R-1119-1-1</t>
  </si>
  <si>
    <t>R-1259-1</t>
  </si>
  <si>
    <t>R-1259-1-1</t>
  </si>
  <si>
    <t>R-1264-1</t>
  </si>
  <si>
    <t>R-1264-1-1</t>
  </si>
  <si>
    <t>R-0274-1</t>
  </si>
  <si>
    <t>R-0274-1-1</t>
  </si>
  <si>
    <t>R-1222-1</t>
  </si>
  <si>
    <t>R-1222-1-1</t>
  </si>
  <si>
    <t>R-1053-1</t>
  </si>
  <si>
    <t>R-1053-1-1</t>
  </si>
  <si>
    <t>R-1281-1</t>
  </si>
  <si>
    <t>R-1281-1-1</t>
  </si>
  <si>
    <t>R-0253-1</t>
  </si>
  <si>
    <t>R-0253-1-1</t>
  </si>
  <si>
    <t>R-1085-1</t>
  </si>
  <si>
    <t>R-1085-1-1</t>
  </si>
  <si>
    <t>R-0056-1</t>
  </si>
  <si>
    <t>R-0056-1-1</t>
  </si>
  <si>
    <t>R-0015-1</t>
  </si>
  <si>
    <t>R-0015-1-1</t>
  </si>
  <si>
    <t>R-0015-1-2</t>
  </si>
  <si>
    <t>R-0015-2</t>
  </si>
  <si>
    <t>R-0015-2-1</t>
  </si>
  <si>
    <t>R-0268-1</t>
  </si>
  <si>
    <t>R-0268-1-1</t>
  </si>
  <si>
    <t>R-1236-1</t>
  </si>
  <si>
    <t>R-1236-1-1</t>
  </si>
  <si>
    <t>R-1008-1</t>
  </si>
  <si>
    <t>R-1008-1-1</t>
  </si>
  <si>
    <t>R-1008-1-2</t>
  </si>
  <si>
    <t>R-1008-1-3</t>
  </si>
  <si>
    <t>R-1008-2</t>
  </si>
  <si>
    <t>R-1008-2-1</t>
  </si>
  <si>
    <t>R-1008-3</t>
  </si>
  <si>
    <t>R-1008-3-1</t>
  </si>
  <si>
    <t>R-1008-3-2</t>
  </si>
  <si>
    <t>R-1108-1</t>
  </si>
  <si>
    <t>R-1108-1-1</t>
  </si>
  <si>
    <t>R-0221-1</t>
  </si>
  <si>
    <t>R-0221-1-1</t>
  </si>
  <si>
    <t>R-1017-1</t>
  </si>
  <si>
    <t>R-1017-1-1</t>
  </si>
  <si>
    <t>R-1017-1-2</t>
  </si>
  <si>
    <t>R-1017-1-3</t>
  </si>
  <si>
    <t>R-1017-1-4</t>
  </si>
  <si>
    <t>R-1017-2</t>
  </si>
  <si>
    <t>R-1017-2-1</t>
  </si>
  <si>
    <t>R-1017-3</t>
  </si>
  <si>
    <t>R-1017-3-1</t>
  </si>
  <si>
    <t>R-1017-3-2</t>
  </si>
  <si>
    <t>R-0265-1</t>
  </si>
  <si>
    <t>R-0265-1-1</t>
  </si>
  <si>
    <t>R-0035-1</t>
  </si>
  <si>
    <t>R-0035-1-1</t>
  </si>
  <si>
    <t>R-0035-1-2</t>
  </si>
  <si>
    <t>R-0035-1-3</t>
  </si>
  <si>
    <t>R-0035-1-4</t>
  </si>
  <si>
    <t>R-0035-1-5</t>
  </si>
  <si>
    <t>R-0035-1-6</t>
  </si>
  <si>
    <t>R-0035-2</t>
  </si>
  <si>
    <t>R-0035-2-1</t>
  </si>
  <si>
    <t>R-0012-1</t>
  </si>
  <si>
    <t>R-0012-1-1</t>
  </si>
  <si>
    <t>R-0012-1-2</t>
  </si>
  <si>
    <t>R-0012-1-3</t>
  </si>
  <si>
    <t>R-0012-1-4</t>
  </si>
  <si>
    <t>R-0012-1-5</t>
  </si>
  <si>
    <t>R-1288-1</t>
  </si>
  <si>
    <t>R-1288-1-1</t>
  </si>
  <si>
    <t>R-0112-1</t>
  </si>
  <si>
    <t>R-0112-1-1</t>
  </si>
  <si>
    <t>R-1107-1</t>
  </si>
  <si>
    <t>R-1107-1-1</t>
  </si>
  <si>
    <t>R-1107-1-2</t>
  </si>
  <si>
    <t>R-1165-1</t>
  </si>
  <si>
    <t>R-1165-1-1</t>
  </si>
  <si>
    <t>R-1279-1</t>
  </si>
  <si>
    <t>R-1279-1-1</t>
  </si>
  <si>
    <t>R-1120-1</t>
  </si>
  <si>
    <t>R-1120-1-1</t>
  </si>
  <si>
    <t>R-1170-1</t>
  </si>
  <si>
    <t>R-1170-1-1</t>
  </si>
  <si>
    <t>R-0210-1</t>
  </si>
  <si>
    <t>R-0210-1-1</t>
  </si>
  <si>
    <t>R-0113-1</t>
  </si>
  <si>
    <t>R-0113-1-1</t>
  </si>
  <si>
    <t>R-0145-1</t>
  </si>
  <si>
    <t>R-0145-1-1</t>
  </si>
  <si>
    <t>R-0145-1-2</t>
  </si>
  <si>
    <t>R-0145-1-3</t>
  </si>
  <si>
    <t>R-0145-1-4</t>
  </si>
  <si>
    <t>R-1203-1</t>
  </si>
  <si>
    <t>R-1203-1-1</t>
  </si>
  <si>
    <t>R-1122-1</t>
  </si>
  <si>
    <t>R-1122-1-1</t>
  </si>
  <si>
    <t>R-1189-1</t>
  </si>
  <si>
    <t>R-1189-1-1</t>
  </si>
  <si>
    <t>R-0054-1</t>
  </si>
  <si>
    <t>R-0054-1-1</t>
  </si>
  <si>
    <t>R-0246-1</t>
  </si>
  <si>
    <t>R-0246-1-1</t>
  </si>
  <si>
    <t>R-0141-1</t>
  </si>
  <si>
    <t>R-0141-1-1</t>
  </si>
  <si>
    <t>R-0121-1</t>
  </si>
  <si>
    <t>R-0121-1-1</t>
  </si>
  <si>
    <t>R-1116-1</t>
  </si>
  <si>
    <t>R-1116-1-1</t>
  </si>
  <si>
    <t>R-1116-2</t>
  </si>
  <si>
    <t>R-1116-2-1</t>
  </si>
  <si>
    <t>R-0137-1</t>
  </si>
  <si>
    <t>R-0137-1-1</t>
  </si>
  <si>
    <t>R-1174-1</t>
  </si>
  <si>
    <t>R-1174-1-1</t>
  </si>
  <si>
    <t>R-0044-1</t>
  </si>
  <si>
    <t>R-0044-1-1</t>
  </si>
  <si>
    <t>R-0044-2</t>
  </si>
  <si>
    <t>R-0044-2-1</t>
  </si>
  <si>
    <t>R-1256-1</t>
  </si>
  <si>
    <t>R-1256-1-1</t>
  </si>
  <si>
    <t>R-0123-1</t>
  </si>
  <si>
    <t>R-0123-1-1</t>
  </si>
  <si>
    <t>R-0120-1</t>
  </si>
  <si>
    <t>R-0120-1-1</t>
  </si>
  <si>
    <t>R-1067-1</t>
  </si>
  <si>
    <t>R-1067-1-1</t>
  </si>
  <si>
    <t>R-1067-1-2</t>
  </si>
  <si>
    <t>R-1067-2</t>
  </si>
  <si>
    <t>R-1067-2-1</t>
  </si>
  <si>
    <t>R-1158-1</t>
  </si>
  <si>
    <t>R-1158-1-1</t>
  </si>
  <si>
    <t>R-1269-1</t>
  </si>
  <si>
    <t>R-1269-1-1</t>
  </si>
  <si>
    <t>R-0216-1</t>
  </si>
  <si>
    <t>R-0216-1-1</t>
  </si>
  <si>
    <t>R-1250-1</t>
  </si>
  <si>
    <t>R-1250-1-1</t>
  </si>
  <si>
    <t>R-1126-1</t>
  </si>
  <si>
    <t>R-1126-1-1</t>
  </si>
  <si>
    <t>R-1226-1</t>
  </si>
  <si>
    <t>R-1226-1-1</t>
  </si>
  <si>
    <t>R-1177-1</t>
  </si>
  <si>
    <t>R-1177-1-1</t>
  </si>
  <si>
    <t>R-1205-1</t>
  </si>
  <si>
    <t>R-1205-1-1</t>
  </si>
  <si>
    <t>R-0269-1</t>
  </si>
  <si>
    <t>R-0269-1-1</t>
  </si>
  <si>
    <t>R-1225-1</t>
  </si>
  <si>
    <t>R-1225-1-1</t>
  </si>
  <si>
    <t>S-0007-1</t>
  </si>
  <si>
    <t>S-0007-1-1</t>
  </si>
  <si>
    <t>R-0244-1</t>
  </si>
  <si>
    <t>R-0244-1-1</t>
  </si>
  <si>
    <t>R-1127-1</t>
  </si>
  <si>
    <t>R-1127-1-1</t>
  </si>
  <si>
    <t>R-1285-1</t>
  </si>
  <si>
    <t>R-1285-1-1</t>
  </si>
  <si>
    <t>R-0276-1</t>
  </si>
  <si>
    <t>R-0276-1-1</t>
  </si>
  <si>
    <t>R-0158-1</t>
  </si>
  <si>
    <t>R-0158-1-1</t>
  </si>
  <si>
    <t>R-0220-1</t>
  </si>
  <si>
    <t>R-0220-1-1</t>
  </si>
  <si>
    <t>R-0205-1</t>
  </si>
  <si>
    <t>R-0205-1-1</t>
  </si>
  <si>
    <t>R-0205-1-2</t>
  </si>
  <si>
    <t>R-1258-1</t>
  </si>
  <si>
    <t>R-1258-1-1</t>
  </si>
  <si>
    <t>R-0073-1</t>
  </si>
  <si>
    <t>R-0073-1-1</t>
  </si>
  <si>
    <t>R-0032-1</t>
  </si>
  <si>
    <t>R-0032-1-1</t>
  </si>
  <si>
    <t>R-0032-2</t>
  </si>
  <si>
    <t>R-0032-2-1</t>
  </si>
  <si>
    <t>R-0167-1</t>
  </si>
  <si>
    <t>R-0167-1-1</t>
  </si>
  <si>
    <t>R-0154-1</t>
  </si>
  <si>
    <t>R-0154-1-1</t>
  </si>
  <si>
    <t>R-1220-1</t>
  </si>
  <si>
    <t>R-1220-1-1</t>
  </si>
  <si>
    <t>R-1230-1</t>
  </si>
  <si>
    <t>R-1230-1-1</t>
  </si>
  <si>
    <t>R-1224-1</t>
  </si>
  <si>
    <t>R-1224-1-1</t>
  </si>
  <si>
    <t>R-0002-1</t>
  </si>
  <si>
    <t>R-0002-1-1</t>
  </si>
  <si>
    <t>R-0002-1-2</t>
  </si>
  <si>
    <t>R-1117-1</t>
  </si>
  <si>
    <t>R-1117-1-1</t>
  </si>
  <si>
    <t>R-1137-1</t>
  </si>
  <si>
    <t>R-1137-1-1</t>
  </si>
  <si>
    <t>R-1278-1</t>
  </si>
  <si>
    <t>R-1278-1-1</t>
  </si>
  <si>
    <t>R-0071-1</t>
  </si>
  <si>
    <t>R-0071-1-1</t>
  </si>
  <si>
    <t>R-1283-1</t>
  </si>
  <si>
    <t>R-1283-1-1</t>
  </si>
  <si>
    <t>R-0104-1</t>
  </si>
  <si>
    <t>R-0104-1-1</t>
  </si>
  <si>
    <t>R-0143-1</t>
  </si>
  <si>
    <t>R-0143-1-1</t>
  </si>
  <si>
    <t>R-1058-1</t>
  </si>
  <si>
    <t>R-1058-1-1</t>
  </si>
  <si>
    <t>R-1110-1</t>
  </si>
  <si>
    <t>R-1110-1-1</t>
  </si>
  <si>
    <t>R-0069-1</t>
  </si>
  <si>
    <t>R-0069-1-1</t>
  </si>
  <si>
    <t>R-1149-1</t>
  </si>
  <si>
    <t>R-1149-1-1</t>
  </si>
  <si>
    <t>R-1210-1</t>
  </si>
  <si>
    <t>R-1210-1-1</t>
  </si>
  <si>
    <t>R-0260-1</t>
  </si>
  <si>
    <t>R-0260-1-1</t>
  </si>
  <si>
    <t>R-1073-1</t>
  </si>
  <si>
    <t>R-1073-1-1</t>
  </si>
  <si>
    <t>R-0257-1</t>
  </si>
  <si>
    <t>R-0257-1-1</t>
  </si>
  <si>
    <t>R-1066-1</t>
  </si>
  <si>
    <t>R-1066-1-1</t>
  </si>
  <si>
    <t>R-0174-1</t>
  </si>
  <si>
    <t>R-0174-1-1</t>
  </si>
  <si>
    <t>R-1255-1</t>
  </si>
  <si>
    <t>R-1255-1-1</t>
  </si>
  <si>
    <t>R-1027-1</t>
  </si>
  <si>
    <t>R-1027-1-1</t>
  </si>
  <si>
    <t>R-1027-1-2</t>
  </si>
  <si>
    <t>R-1027-2</t>
  </si>
  <si>
    <t>R-1027-2-1</t>
  </si>
  <si>
    <t>R-0157-1</t>
  </si>
  <si>
    <t>R-0157-1-1</t>
  </si>
  <si>
    <t>R-0157-1-2</t>
  </si>
  <si>
    <t>R-0175-1</t>
  </si>
  <si>
    <t>R-0175-1-1</t>
  </si>
  <si>
    <t>R-1207-1</t>
  </si>
  <si>
    <t>R-1207-1-1</t>
  </si>
  <si>
    <t>R-0213-1</t>
  </si>
  <si>
    <t>R-0213-1-1</t>
  </si>
  <si>
    <t>R-0213-2</t>
  </si>
  <si>
    <t>R-0213-2-1</t>
  </si>
  <si>
    <t>R-1233-1</t>
  </si>
  <si>
    <t>R-1233-1-1</t>
  </si>
  <si>
    <t>R-0238-1</t>
  </si>
  <si>
    <t>R-0238-1-1</t>
  </si>
  <si>
    <t>R-1204-1</t>
  </si>
  <si>
    <t>R-1204-1-1</t>
  </si>
  <si>
    <t>R-0045-1</t>
  </si>
  <si>
    <t>R-0045-1-1</t>
  </si>
  <si>
    <t>R-0128-1</t>
  </si>
  <si>
    <t>R-0128-1-1</t>
  </si>
  <si>
    <t>R-0128-1-2</t>
  </si>
  <si>
    <t>R-0115-1</t>
  </si>
  <si>
    <t>R-0115-1-1</t>
  </si>
  <si>
    <t>R-1214-1</t>
  </si>
  <si>
    <t>R-1214-1-1</t>
  </si>
  <si>
    <t>R-0135-1</t>
  </si>
  <si>
    <t>R-0135-1-1</t>
  </si>
  <si>
    <t>R-1260-1</t>
  </si>
  <si>
    <t>R-1260-1-1</t>
  </si>
  <si>
    <t>R-0233-1</t>
  </si>
  <si>
    <t>R-0233-1-1</t>
  </si>
  <si>
    <t>R-1069-1</t>
  </si>
  <si>
    <t>R-1069-1-1</t>
  </si>
  <si>
    <t>R-0262-1</t>
  </si>
  <si>
    <t>R-0262-1-1</t>
  </si>
  <si>
    <t>R-1131-1</t>
  </si>
  <si>
    <t>R-1131-1-1</t>
  </si>
  <si>
    <t>R-0280-1</t>
  </si>
  <si>
    <t>R-0280-1-1</t>
  </si>
  <si>
    <t>R-1267-1</t>
  </si>
  <si>
    <t>R-1267-1-1</t>
  </si>
  <si>
    <t>R-0096-1</t>
  </si>
  <si>
    <t>R-0096-1-1</t>
  </si>
  <si>
    <t>R-1141-1</t>
  </si>
  <si>
    <t>R-1141-1-1</t>
  </si>
  <si>
    <t>R-1263-1</t>
  </si>
  <si>
    <t>R-1263-1-1</t>
  </si>
  <si>
    <t>R-0166-1</t>
  </si>
  <si>
    <t>R-0166-1-1</t>
  </si>
  <si>
    <t>R-1034-1</t>
  </si>
  <si>
    <t>R-1034-1-1</t>
  </si>
  <si>
    <t>R-0227-1</t>
  </si>
  <si>
    <t>R-0227-1-1</t>
  </si>
  <si>
    <t>R-0215-1</t>
  </si>
  <si>
    <t>R-0215-1-1</t>
  </si>
  <si>
    <t>R-0078-1</t>
  </si>
  <si>
    <t>R-0078-1-1</t>
  </si>
  <si>
    <t>R-0078-2</t>
  </si>
  <si>
    <t>R-0078-2-1</t>
  </si>
  <si>
    <t>R-1159-1</t>
  </si>
  <si>
    <t>R-1159-1-1</t>
  </si>
  <si>
    <t>R-1093-1</t>
  </si>
  <si>
    <t>R-1093-1-1</t>
  </si>
  <si>
    <t>R-1036-1</t>
  </si>
  <si>
    <t>R-1036-1-1</t>
  </si>
  <si>
    <t>R-0153-1</t>
  </si>
  <si>
    <t>R-0153-1-1</t>
  </si>
  <si>
    <t>R-0263-1</t>
  </si>
  <si>
    <t>R-0263-1-1</t>
  </si>
  <si>
    <t>R-1129-1</t>
  </si>
  <si>
    <t>R-1129-1-1</t>
  </si>
  <si>
    <t>R-1099-1</t>
  </si>
  <si>
    <t>R-1099-1-1</t>
  </si>
  <si>
    <t>R-0140-1</t>
  </si>
  <si>
    <t>R-0140-1-1</t>
  </si>
  <si>
    <t>R-1286-1</t>
  </si>
  <si>
    <t>R-1286-1-1</t>
  </si>
  <si>
    <t>R-0085-1</t>
  </si>
  <si>
    <t>R-0085-1-1</t>
  </si>
  <si>
    <t>R-0085-1-2</t>
  </si>
  <si>
    <t>R-0085-1-3</t>
  </si>
  <si>
    <t>R-0159-1</t>
  </si>
  <si>
    <t>R-0159-1-1</t>
  </si>
  <si>
    <t>R-1103-1</t>
  </si>
  <si>
    <t>R-1103-1-1</t>
  </si>
  <si>
    <t>R-1266-1</t>
  </si>
  <si>
    <t>R-1266-1-1</t>
  </si>
  <si>
    <t>R-1043-1</t>
  </si>
  <si>
    <t>R-1043-1-1</t>
  </si>
  <si>
    <t>R-1183-1</t>
  </si>
  <si>
    <t>R-1183-1-1</t>
  </si>
  <si>
    <t>R-1199-1</t>
  </si>
  <si>
    <t>R-1199-1-1</t>
  </si>
  <si>
    <t>R-1157-1</t>
  </si>
  <si>
    <t>R-1157-1-1</t>
  </si>
  <si>
    <t>R-1148-1</t>
  </si>
  <si>
    <t>R-1148-1-1</t>
  </si>
  <si>
    <t>R-0222-1</t>
  </si>
  <si>
    <t>R-0222-1-1</t>
  </si>
  <si>
    <t>R-0172-1</t>
  </si>
  <si>
    <t>R-0172-1-1</t>
  </si>
  <si>
    <t>R-1062-1</t>
  </si>
  <si>
    <t>R-1062-1-1</t>
  </si>
  <si>
    <t>R-1062-1-2</t>
  </si>
  <si>
    <t>R-1139-1</t>
  </si>
  <si>
    <t>R-1139-1-1</t>
  </si>
  <si>
    <t>R-0119-1</t>
  </si>
  <si>
    <t>R-0119-1-1</t>
  </si>
  <si>
    <t>R-0119-2</t>
  </si>
  <si>
    <t>R-0119-2-1</t>
  </si>
  <si>
    <t>R-0214-1</t>
  </si>
  <si>
    <t>R-0214-1-1</t>
  </si>
  <si>
    <t>R-0108-1</t>
  </si>
  <si>
    <t>R-0108-1-1</t>
  </si>
  <si>
    <t>R-1180-1</t>
  </si>
  <si>
    <t>R-1180-1-1</t>
  </si>
  <si>
    <t>R-1145-1</t>
  </si>
  <si>
    <t>R-1145-1-1</t>
  </si>
  <si>
    <t>R-1284-1</t>
  </si>
  <si>
    <t>R-1284-1-1</t>
  </si>
  <si>
    <t>R-1046-1</t>
  </si>
  <si>
    <t>R-1046-1-1</t>
  </si>
  <si>
    <t>R-0046-1</t>
  </si>
  <si>
    <t>R-0046-1-1</t>
  </si>
  <si>
    <t>R-1104-1</t>
  </si>
  <si>
    <t>R-1104-1-1</t>
  </si>
  <si>
    <t>R-0133-1</t>
  </si>
  <si>
    <t>R-0133-1-1</t>
  </si>
  <si>
    <t>R-1275-1</t>
  </si>
  <si>
    <t>R-1275-1-1</t>
  </si>
  <si>
    <t>R-1213-1</t>
  </si>
  <si>
    <t>R-1213-1-1</t>
  </si>
  <si>
    <t>R-1091-1</t>
  </si>
  <si>
    <t>R-1091-1-1</t>
  </si>
  <si>
    <t>R-1185-1</t>
  </si>
  <si>
    <t>R-1185-1-1</t>
  </si>
  <si>
    <t>R-1184-1</t>
  </si>
  <si>
    <t>R-1184-1-1</t>
  </si>
  <si>
    <t>R-0258-1</t>
  </si>
  <si>
    <t>R-0258-1-1</t>
  </si>
  <si>
    <t>R-0027-1</t>
  </si>
  <si>
    <t>R-0027-1-1</t>
  </si>
  <si>
    <t>R-0027-2</t>
  </si>
  <si>
    <t>R-0027-2-1</t>
  </si>
  <si>
    <t>R-1212-1</t>
  </si>
  <si>
    <t>R-1212-1-1</t>
  </si>
  <si>
    <t>R-1134-1</t>
  </si>
  <si>
    <t>R-1134-1-1</t>
  </si>
  <si>
    <t>R-1135-1</t>
  </si>
  <si>
    <t>R-1135-1-1</t>
  </si>
  <si>
    <t>R-0039-1</t>
  </si>
  <si>
    <t>R-0039-1-1</t>
  </si>
  <si>
    <t>R-0039-1-2</t>
  </si>
  <si>
    <t>R-0039-1-3</t>
  </si>
  <si>
    <t>R-0039-1-4</t>
  </si>
  <si>
    <t>R-0039-1-5</t>
  </si>
  <si>
    <t>R-1262-1</t>
  </si>
  <si>
    <t>R-1262-1-1</t>
  </si>
  <si>
    <t>S-0002-1</t>
  </si>
  <si>
    <t>S-0002-1-1</t>
  </si>
  <si>
    <t>R-0249-1</t>
  </si>
  <si>
    <t>R-0249-1-1</t>
  </si>
  <si>
    <t>R-0180-1</t>
  </si>
  <si>
    <t>R-0180-1-1</t>
  </si>
  <si>
    <t>R-1045-1</t>
  </si>
  <si>
    <t>R-1045-1-1</t>
  </si>
  <si>
    <t>R-1045-2</t>
  </si>
  <si>
    <t>R-1045-2-1</t>
  </si>
  <si>
    <t>S-1001-1</t>
  </si>
  <si>
    <t>S-1001-1-1</t>
  </si>
  <si>
    <t>S-1001-1-2</t>
  </si>
  <si>
    <t>R-1081-1</t>
  </si>
  <si>
    <t>R-1081-1-1</t>
  </si>
  <si>
    <t>R-1081-1-2</t>
  </si>
  <si>
    <t>R-1100-1</t>
  </si>
  <si>
    <t>R-1100-1-1</t>
  </si>
  <si>
    <t>R-0111-1</t>
  </si>
  <si>
    <t>R-0111-1-1</t>
  </si>
  <si>
    <t>R-0179-1</t>
  </si>
  <si>
    <t>R-0179-1-1</t>
  </si>
  <si>
    <t>R-0024-1</t>
  </si>
  <si>
    <t>R-0024-1-1</t>
  </si>
  <si>
    <t>R-0024-1-2</t>
  </si>
  <si>
    <t>R-0024-1-3</t>
  </si>
  <si>
    <t>R-0024-1-4</t>
  </si>
  <si>
    <t>R-0024-1-5</t>
  </si>
  <si>
    <t>R-0024-1-6</t>
  </si>
  <si>
    <t>R-0024-1-7</t>
  </si>
  <si>
    <t>R-0024-1-8</t>
  </si>
  <si>
    <t>R-0024-1-9</t>
  </si>
  <si>
    <t>R-0024-1-10</t>
  </si>
  <si>
    <t>R-0024-1-11</t>
  </si>
  <si>
    <t>R-1040-1</t>
  </si>
  <si>
    <t>R-1040-1-1</t>
  </si>
  <si>
    <t>R-1277-1</t>
  </si>
  <si>
    <t>R-1277-1-1</t>
  </si>
  <si>
    <t>R-0194-1</t>
  </si>
  <si>
    <t>R-0194-1-1</t>
  </si>
  <si>
    <t>R-1162-1</t>
  </si>
  <si>
    <t>R-1162-1-1</t>
  </si>
  <si>
    <t>R-0163-1</t>
  </si>
  <si>
    <t>R-0163-1-1</t>
  </si>
  <si>
    <t>R-1029-1</t>
  </si>
  <si>
    <t>R-1029-1-1</t>
  </si>
  <si>
    <t>R-0272-1</t>
  </si>
  <si>
    <t>R-0272-1-1</t>
  </si>
  <si>
    <t>R-1178-1</t>
  </si>
  <si>
    <t>R-1178-1-1</t>
  </si>
  <si>
    <t>R-1136-1</t>
  </si>
  <si>
    <t>R-1136-1-1</t>
  </si>
  <si>
    <t>R-0171-1</t>
  </si>
  <si>
    <t>R-0171-1-1</t>
  </si>
  <si>
    <t>R-0171-2</t>
  </si>
  <si>
    <t>R-0171-2-1</t>
  </si>
  <si>
    <t>R-0074-1</t>
  </si>
  <si>
    <t>R-0074-1-1</t>
  </si>
  <si>
    <t>R-1079-1</t>
  </si>
  <si>
    <t>R-1079-1-1</t>
  </si>
  <si>
    <t>R-1261-1</t>
  </si>
  <si>
    <t>R-1261-1-1</t>
  </si>
  <si>
    <t>R-1070-1</t>
  </si>
  <si>
    <t>R-1070-1-1</t>
  </si>
  <si>
    <t>R-1231-1</t>
  </si>
  <si>
    <t>R-1231-1-1</t>
  </si>
  <si>
    <t>R-1106-1</t>
  </si>
  <si>
    <t>R-1106-1-1</t>
  </si>
  <si>
    <t>R-0232-1</t>
  </si>
  <si>
    <t>R-0232-1-1</t>
  </si>
  <si>
    <t>R-0236-1</t>
  </si>
  <si>
    <t>R-0236-1-1</t>
  </si>
  <si>
    <t>R-1094-1</t>
  </si>
  <si>
    <t>R-1094-1-1</t>
  </si>
  <si>
    <t>R-1143-1</t>
  </si>
  <si>
    <t>R-1143-1-1</t>
  </si>
  <si>
    <t>R-0182-1</t>
  </si>
  <si>
    <t>R-0182-1-1</t>
  </si>
  <si>
    <t>R-0081-1</t>
  </si>
  <si>
    <t>R-0081-1-1</t>
  </si>
  <si>
    <t>R-1101-1</t>
  </si>
  <si>
    <t>R-1101-1-1</t>
  </si>
  <si>
    <t>R-1241-1</t>
  </si>
  <si>
    <t>R-1241-1-1</t>
  </si>
  <si>
    <t>R-0077-1</t>
  </si>
  <si>
    <t>R-0077-1-1</t>
  </si>
  <si>
    <t>R-0077-2</t>
  </si>
  <si>
    <t>R-0077-2-1</t>
  </si>
  <si>
    <t>R-0161-1</t>
  </si>
  <si>
    <t>R-0161-1-1</t>
  </si>
  <si>
    <t>R-0042-1</t>
  </si>
  <si>
    <t>R-0042-1-1</t>
  </si>
  <si>
    <t>R-0231-1</t>
  </si>
  <si>
    <t>R-0231-1-1</t>
  </si>
  <si>
    <t>R-0067-1</t>
  </si>
  <si>
    <t>R-0067-1-1</t>
  </si>
  <si>
    <t>R-0079-1</t>
  </si>
  <si>
    <t>R-0079-1-1</t>
  </si>
  <si>
    <t>R-1190-1</t>
  </si>
  <si>
    <t>R-1190-1-1</t>
  </si>
  <si>
    <t>R-0264-1</t>
  </si>
  <si>
    <t>R-0264-1-1</t>
  </si>
  <si>
    <t>R-1132-1</t>
  </si>
  <si>
    <t>R-1132-1-1</t>
  </si>
  <si>
    <t>R-1095-1</t>
  </si>
  <si>
    <t>R-1095-1-1</t>
  </si>
  <si>
    <t>R-1095-1-2</t>
  </si>
  <si>
    <t>R-1142-1</t>
  </si>
  <si>
    <t>R-1142-1-1</t>
  </si>
  <si>
    <t>R-0149-1</t>
  </si>
  <si>
    <t>R-0149-1-1</t>
  </si>
  <si>
    <t>R-1181-1</t>
  </si>
  <si>
    <t>R-1181-1-1</t>
  </si>
  <si>
    <t>R-1090-1</t>
  </si>
  <si>
    <t>R-1090-1-1</t>
  </si>
  <si>
    <t>R-1240-1</t>
  </si>
  <si>
    <t>R-1240-1-1</t>
  </si>
  <si>
    <t>R-1186-1</t>
  </si>
  <si>
    <t>R-1186-1-1</t>
  </si>
  <si>
    <t>R-0237-1</t>
  </si>
  <si>
    <t>R-0237-1-1</t>
  </si>
  <si>
    <t>R-1128-1</t>
  </si>
  <si>
    <t>R-1128-1-1</t>
  </si>
  <si>
    <t>R-0029-1</t>
  </si>
  <si>
    <t>R-0029-1-1</t>
  </si>
  <si>
    <t>R-0029-1-2</t>
  </si>
  <si>
    <t>R-0029-1-3</t>
  </si>
  <si>
    <t>R-0204-1</t>
  </si>
  <si>
    <t>R-0204-1-1</t>
  </si>
  <si>
    <t>R-0212-1</t>
  </si>
  <si>
    <t>R-0212-1-1</t>
  </si>
  <si>
    <t>R-1044-1</t>
  </si>
  <si>
    <t>R-1044-1-1</t>
  </si>
  <si>
    <t>R-0190-1</t>
  </si>
  <si>
    <t>R-0190-1-1</t>
  </si>
  <si>
    <t>R-1083-1</t>
  </si>
  <si>
    <t>R-1083-1-1</t>
  </si>
  <si>
    <t>R-0072-1</t>
  </si>
  <si>
    <t>R-0072-1-1</t>
  </si>
  <si>
    <t>R-0072-1-2</t>
  </si>
  <si>
    <t>R-0183-1</t>
  </si>
  <si>
    <t>R-0183-1-1</t>
  </si>
  <si>
    <t>R-0281-1</t>
  </si>
  <si>
    <t>R-0281-1-1</t>
  </si>
  <si>
    <t>R-0109-1</t>
  </si>
  <si>
    <t>R-0109-1-1</t>
  </si>
  <si>
    <t>R-1160-1</t>
  </si>
  <si>
    <t>R-1160-1-1</t>
  </si>
  <si>
    <t>R-1228-1</t>
  </si>
  <si>
    <t>R-1228-1-1</t>
  </si>
  <si>
    <t>R-0242-1</t>
  </si>
  <si>
    <t>R-0242-1-1</t>
  </si>
  <si>
    <t>R-1166-1</t>
  </si>
  <si>
    <t>R-1166-1-1</t>
  </si>
  <si>
    <t>R-0090-1</t>
  </si>
  <si>
    <t>R-0090-1-1</t>
  </si>
  <si>
    <t>R-0282-1</t>
  </si>
  <si>
    <t>R-0282-1-1</t>
  </si>
  <si>
    <t>R-0282-1-2</t>
  </si>
  <si>
    <t>R-0228-1</t>
  </si>
  <si>
    <t>R-0228-1-1</t>
  </si>
  <si>
    <t>R-0228-1-2</t>
  </si>
  <si>
    <t>R-1004-1</t>
  </si>
  <si>
    <t>R-1004-1-1</t>
  </si>
  <si>
    <t>R-0225-1</t>
  </si>
  <si>
    <t>R-0225-1-1</t>
  </si>
  <si>
    <t>R-1221-1</t>
  </si>
  <si>
    <t>R-1221-1-1</t>
  </si>
  <si>
    <t>R-1191-1</t>
  </si>
  <si>
    <t>R-1191-1-1</t>
  </si>
  <si>
    <t>R-0256-1</t>
  </si>
  <si>
    <t>R-0256-1-1</t>
  </si>
  <si>
    <t>R-0151-1</t>
  </si>
  <si>
    <t>R-0151-1-1</t>
  </si>
  <si>
    <t>R-0019-1</t>
  </si>
  <si>
    <t>R-0019-1-1</t>
  </si>
  <si>
    <t>R-0019-1-2</t>
  </si>
  <si>
    <t>R-0019-1-3</t>
  </si>
  <si>
    <t>R-0019-1-4</t>
  </si>
  <si>
    <t>R-1176-1</t>
  </si>
  <si>
    <t>R-1176-1-1</t>
  </si>
  <si>
    <t>R-1217-1</t>
  </si>
  <si>
    <t>R-1217-1-1</t>
  </si>
  <si>
    <t>R-0075-1</t>
  </si>
  <si>
    <t>R-0075-1-1</t>
  </si>
  <si>
    <t>R-0075-1-2</t>
  </si>
  <si>
    <t>R-0075-2</t>
  </si>
  <si>
    <t>R-0075-2-1</t>
  </si>
  <si>
    <t>R-1215-1</t>
  </si>
  <si>
    <t>R-1215-1-1</t>
  </si>
  <si>
    <t>R-0131-1</t>
  </si>
  <si>
    <t>R-0131-1-1</t>
  </si>
  <si>
    <t>R-1172-1</t>
  </si>
  <si>
    <t>R-1172-1-1</t>
  </si>
  <si>
    <t>R-0240-1</t>
  </si>
  <si>
    <t>R-0240-1-1</t>
  </si>
  <si>
    <t>R-0248-1</t>
  </si>
  <si>
    <t>R-0248-1-1</t>
  </si>
  <si>
    <t>R-0248-1-2</t>
  </si>
  <si>
    <t>R-1138-1</t>
  </si>
  <si>
    <t>R-1138-1-1</t>
  </si>
  <si>
    <t>R-1138-1-2</t>
  </si>
  <si>
    <t>R-1138-1-3</t>
  </si>
  <si>
    <t>R-1138-1-4</t>
  </si>
  <si>
    <t>R-1138-1-5</t>
  </si>
  <si>
    <t>R-0181-1</t>
  </si>
  <si>
    <t>R-0181-1-1</t>
  </si>
  <si>
    <t>R-1163-1</t>
  </si>
  <si>
    <t>R-1163-1-1</t>
  </si>
  <si>
    <t>R-1197-1</t>
  </si>
  <si>
    <t>R-1197-1-1</t>
  </si>
  <si>
    <t>R-0255-1</t>
  </si>
  <si>
    <t>R-0255-1-1</t>
  </si>
  <si>
    <t>R-0129-1</t>
  </si>
  <si>
    <t>R-0129-1-1</t>
  </si>
  <si>
    <t>R-0155-1</t>
  </si>
  <si>
    <t>R-0155-1-1</t>
  </si>
  <si>
    <t>R-1140-1</t>
  </si>
  <si>
    <t>R-1140-1-1</t>
  </si>
  <si>
    <t>R-0206-1</t>
  </si>
  <si>
    <t>R-0206-1-1</t>
  </si>
  <si>
    <t>R-0202-1</t>
  </si>
  <si>
    <t>R-0202-1-1</t>
  </si>
  <si>
    <t>R-0098-1</t>
  </si>
  <si>
    <t>R-0098-1-1</t>
  </si>
  <si>
    <t>R-0118-1</t>
  </si>
  <si>
    <t>R-0118-1-1</t>
  </si>
  <si>
    <t>R-0146-1</t>
  </si>
  <si>
    <t>R-0146-1-1</t>
  </si>
  <si>
    <t>R-0217-1</t>
  </si>
  <si>
    <t>R-0217-1-1</t>
  </si>
  <si>
    <t>R-1112-1</t>
  </si>
  <si>
    <t>R-1112-1-1</t>
  </si>
  <si>
    <t>R-1112-2</t>
  </si>
  <si>
    <t>R-1112-2-1</t>
  </si>
  <si>
    <t>R-1114-1</t>
  </si>
  <si>
    <t>R-1114-1-1</t>
  </si>
  <si>
    <t>S-1004-1</t>
  </si>
  <si>
    <t>S-1004-1-1</t>
  </si>
  <si>
    <t>S-1004-1-2</t>
  </si>
  <si>
    <t>S-1004-1-3</t>
  </si>
  <si>
    <t>S-1004-1-4</t>
  </si>
  <si>
    <t>S-1004-1-5</t>
  </si>
  <si>
    <t>S-1004-1-6</t>
  </si>
  <si>
    <t>S-1004-1-7</t>
  </si>
  <si>
    <t>S-1004-1-8</t>
  </si>
  <si>
    <t>S-1004-1-9</t>
  </si>
  <si>
    <t>S-1004-1-10</t>
  </si>
  <si>
    <t>S-1004-1-11</t>
  </si>
  <si>
    <t>S-1004-2</t>
  </si>
  <si>
    <t>S-1004-2-1</t>
  </si>
  <si>
    <t>S-1008-1</t>
  </si>
  <si>
    <t>S-1008-1-1</t>
  </si>
  <si>
    <t>R-0252-1</t>
  </si>
  <si>
    <t>R-0252-1-1</t>
  </si>
  <si>
    <t>R-1050-1</t>
  </si>
  <si>
    <t>R-1050-1-1</t>
  </si>
  <si>
    <t>R-1050-1-2</t>
  </si>
  <si>
    <t>R-0211-1</t>
  </si>
  <si>
    <t>R-0211-1-1</t>
  </si>
  <si>
    <t>R-0211-1-2</t>
  </si>
  <si>
    <t>R-1125-1</t>
  </si>
  <si>
    <t>R-1125-1-1</t>
  </si>
  <si>
    <t>R-1271-1</t>
  </si>
  <si>
    <t>R-1271-1-1</t>
  </si>
  <si>
    <t>R-0088-1</t>
  </si>
  <si>
    <t>R-0088-1-1</t>
  </si>
  <si>
    <t>R-0147-1</t>
  </si>
  <si>
    <t>R-0147-1-1</t>
  </si>
  <si>
    <t>R-0198-1</t>
  </si>
  <si>
    <t>R-0198-1-1</t>
  </si>
  <si>
    <t>R-0198-2</t>
  </si>
  <si>
    <t>R-0198-2-1</t>
  </si>
  <si>
    <t>R-0099-1</t>
  </si>
  <si>
    <t>R-0099-1-1</t>
  </si>
  <si>
    <t>R-1097-1</t>
  </si>
  <si>
    <t>R-1097-1-1</t>
  </si>
  <si>
    <t>R-1216-1</t>
  </si>
  <si>
    <t>R-1216-1-1</t>
  </si>
  <si>
    <t>R-1232-1</t>
  </si>
  <si>
    <t>R-1232-1-1</t>
  </si>
  <si>
    <t>R-0127-1</t>
  </si>
  <si>
    <t>R-0127-1-1</t>
  </si>
  <si>
    <t>R-0107-1</t>
  </si>
  <si>
    <t>R-0107-1-1</t>
  </si>
  <si>
    <t>R-1249-1</t>
  </si>
  <si>
    <t>R-1249-1-1</t>
  </si>
  <si>
    <t>R-0144-1</t>
  </si>
  <si>
    <t>R-0144-1-1</t>
  </si>
  <si>
    <t>R-0144-1-2</t>
  </si>
  <si>
    <t>R-1042-1</t>
  </si>
  <si>
    <t>R-1042-1-1</t>
  </si>
  <si>
    <t>R-1042-1-2</t>
  </si>
  <si>
    <t>R-0156-1</t>
  </si>
  <si>
    <t>R-0156-1-1</t>
  </si>
  <si>
    <t>R-1055-1</t>
  </si>
  <si>
    <t>R-1055-1-1</t>
  </si>
  <si>
    <t>R-1246-1</t>
  </si>
  <si>
    <t>R-1246-1-1</t>
  </si>
  <si>
    <t>R-0028-1</t>
  </si>
  <si>
    <t>R-0028-1-1</t>
  </si>
  <si>
    <t>R-1173-1</t>
  </si>
  <si>
    <t>R-1173-1-1</t>
  </si>
  <si>
    <t>S-1011-1</t>
  </si>
  <si>
    <t>S-1011-1-1</t>
  </si>
  <si>
    <t>S-1011-2</t>
  </si>
  <si>
    <t>S-1011-2-1</t>
  </si>
  <si>
    <t>R-0173-1</t>
  </si>
  <si>
    <t>R-0173-1-1</t>
  </si>
  <si>
    <t>R-1147-1</t>
  </si>
  <si>
    <t>R-1147-1-1</t>
  </si>
  <si>
    <t>R-1077-1</t>
  </si>
  <si>
    <t>R-1077-1-1</t>
  </si>
  <si>
    <t>R-0055-1</t>
  </si>
  <si>
    <t>R-0055-1-1</t>
  </si>
  <si>
    <t>R-0055-1-2</t>
  </si>
  <si>
    <t>R-0130-1</t>
  </si>
  <si>
    <t>R-0130-1-1</t>
  </si>
  <si>
    <t>R-0199-1</t>
  </si>
  <si>
    <t>R-0199-1-1</t>
  </si>
  <si>
    <t>R-1024-1</t>
  </si>
  <si>
    <t>R-1024-1-1</t>
  </si>
  <si>
    <t>R-1024-1-2</t>
  </si>
  <si>
    <t>R-1268-1</t>
  </si>
  <si>
    <t>R-1268-1-1</t>
  </si>
  <si>
    <t>R-1155-1</t>
  </si>
  <si>
    <t>R-1155-1-1</t>
  </si>
  <si>
    <t>R-1245-1</t>
  </si>
  <si>
    <t>R-1245-1-1</t>
  </si>
  <si>
    <t>R-0038-1</t>
  </si>
  <si>
    <t>R-0038-1-1</t>
  </si>
  <si>
    <t>R-0038-1-2</t>
  </si>
  <si>
    <t>R-0038-1-3</t>
  </si>
  <si>
    <t>R-0038-1-4</t>
  </si>
  <si>
    <t>R-0038-1-5</t>
  </si>
  <si>
    <t>R-0038-1-6</t>
  </si>
  <si>
    <t>R-0038-1-7</t>
  </si>
  <si>
    <t>R-0038-1-8</t>
  </si>
  <si>
    <t>R-0038-1-9</t>
  </si>
  <si>
    <t>R-0038-1-10</t>
  </si>
  <si>
    <t>R-0038-1-11</t>
  </si>
  <si>
    <t>R-0038-1-12</t>
  </si>
  <si>
    <t>R-0038-1-13</t>
  </si>
  <si>
    <t>R-0038-1-14</t>
  </si>
  <si>
    <t>R-0038-1-15</t>
  </si>
  <si>
    <t>R-0038-1-16</t>
  </si>
  <si>
    <t>R-0038-1-17</t>
  </si>
  <si>
    <t>R-0038-1-18</t>
  </si>
  <si>
    <t>R-0243-1</t>
  </si>
  <si>
    <t>R-0243-1-1</t>
  </si>
  <si>
    <t>R-1265-1</t>
  </si>
  <si>
    <t>R-1265-1-1</t>
  </si>
  <si>
    <t>R-0188-1</t>
  </si>
  <si>
    <t>R-0188-1-1</t>
  </si>
  <si>
    <t>R-1059-1</t>
  </si>
  <si>
    <t>R-1059-1-1</t>
  </si>
  <si>
    <t>R-0025-1</t>
  </si>
  <si>
    <t>R-0025-1-1</t>
  </si>
  <si>
    <t>R-0062-1</t>
  </si>
  <si>
    <t>R-0062-1-1</t>
  </si>
  <si>
    <t>R-0169-1</t>
  </si>
  <si>
    <t>R-0169-1-1</t>
  </si>
  <si>
    <t>R-0080-1</t>
  </si>
  <si>
    <t>R-0080-1-1</t>
  </si>
  <si>
    <t>R-1208-1</t>
  </si>
  <si>
    <t>R-1208-1-1</t>
  </si>
  <si>
    <t>R-1287-1</t>
  </si>
  <si>
    <t>R-1287-1-1</t>
  </si>
  <si>
    <t>R-0083-1</t>
  </si>
  <si>
    <t>R-0083-1-1</t>
  </si>
  <si>
    <t>R-1089-1</t>
  </si>
  <si>
    <t>R-1089-1-1</t>
  </si>
  <si>
    <t>R-1072-1</t>
  </si>
  <si>
    <t>R-1072-1-1</t>
  </si>
  <si>
    <t>R-1072-1-2</t>
  </si>
  <si>
    <t>R-1146-1</t>
  </si>
  <si>
    <t>R-1146-1-1</t>
  </si>
  <si>
    <t>R-1254-1</t>
  </si>
  <si>
    <t>R-1254-1-1</t>
  </si>
  <si>
    <t>R-0061-1</t>
  </si>
  <si>
    <t>R-0061-1-1</t>
  </si>
  <si>
    <t>R-0065-1</t>
  </si>
  <si>
    <t>R-0065-1-1</t>
  </si>
  <si>
    <t>R-0065-1-2</t>
  </si>
  <si>
    <t>R-1144-1</t>
  </si>
  <si>
    <t>R-1144-1-1</t>
  </si>
  <si>
    <t>S-1009-1</t>
  </si>
  <si>
    <t>S-1009-1-1</t>
  </si>
  <si>
    <t>S-1009-1-2</t>
  </si>
  <si>
    <t>R-0270-1</t>
  </si>
  <si>
    <t>R-0270-1-1</t>
  </si>
  <si>
    <t>R-1088-1</t>
  </si>
  <si>
    <t>R-1088-1-1</t>
  </si>
  <si>
    <t>R-0132-1</t>
  </si>
  <si>
    <t>R-0132-1-1</t>
  </si>
  <si>
    <t>S-1003-1</t>
  </si>
  <si>
    <t>S-1003-1-1</t>
  </si>
  <si>
    <t>S-1003-2</t>
  </si>
  <si>
    <t>S-1003-2-1</t>
  </si>
  <si>
    <t>S-1003-3</t>
  </si>
  <si>
    <t>S-1003-3-1</t>
  </si>
  <si>
    <t>S-1003-3-2</t>
  </si>
  <si>
    <t>S-1003-4</t>
  </si>
  <si>
    <t>S-1003-4-1</t>
  </si>
  <si>
    <t>S-1003-4-2</t>
  </si>
  <si>
    <t>S-1003-4-3</t>
  </si>
  <si>
    <t>S-1003-4-4</t>
  </si>
  <si>
    <t>S-1003-4-5</t>
  </si>
  <si>
    <t>S-1003-4-6</t>
  </si>
  <si>
    <t>S-1003-4-7</t>
  </si>
  <si>
    <t>S-1003-4-8</t>
  </si>
  <si>
    <t>S-1003-4-9</t>
  </si>
  <si>
    <t>S-1003-4-10</t>
  </si>
  <si>
    <t>S-1003-4-11</t>
  </si>
  <si>
    <t>S-1003-4-12</t>
  </si>
  <si>
    <t>S-1003-4-13</t>
  </si>
  <si>
    <t>S-1003-4-14</t>
  </si>
  <si>
    <t>S-1003-4-15</t>
  </si>
  <si>
    <t>S-1003-4-16</t>
  </si>
  <si>
    <t>S-1003-4-17</t>
  </si>
  <si>
    <t>S-1003-4-18</t>
  </si>
  <si>
    <t>S-1003-4-19</t>
  </si>
  <si>
    <t>S-1003-4-20</t>
  </si>
  <si>
    <t>S-1003-4-21</t>
  </si>
  <si>
    <t>S-1003-5</t>
  </si>
  <si>
    <t>S-1003-5-1</t>
  </si>
  <si>
    <t>S-1003-5-2</t>
  </si>
  <si>
    <t>S-1003-5-3</t>
  </si>
  <si>
    <t>S-1003-5-4</t>
  </si>
  <si>
    <t>S-1003-5-5</t>
  </si>
  <si>
    <t>S-1003-5-6</t>
  </si>
  <si>
    <t>S-1003-5-7</t>
  </si>
  <si>
    <t>S-1003-5-8</t>
  </si>
  <si>
    <t>S-1003-5-9</t>
  </si>
  <si>
    <t>S-1003-5-10</t>
  </si>
  <si>
    <t>S-1003-5-11</t>
  </si>
  <si>
    <t>S-1003-5-12</t>
  </si>
  <si>
    <t>S-1003-6</t>
  </si>
  <si>
    <t>S-1003-6-1</t>
  </si>
  <si>
    <t>S-1003-6-2</t>
  </si>
  <si>
    <t>R-1105-1</t>
  </si>
  <si>
    <t>R-1105-1-1</t>
  </si>
  <si>
    <t>R-1239-1</t>
  </si>
  <si>
    <t>R-1239-1-1</t>
  </si>
  <si>
    <t>R-0209-1</t>
  </si>
  <si>
    <t>R-0209-1-1</t>
  </si>
  <si>
    <t>R-0197-1</t>
  </si>
  <si>
    <t>R-0197-1-1</t>
  </si>
  <si>
    <t>R-0197-1-2</t>
  </si>
  <si>
    <t>R-0197-1-3</t>
  </si>
  <si>
    <t>R-0197-1-4</t>
  </si>
  <si>
    <t>R-1063-1</t>
  </si>
  <si>
    <t>R-1063-1-1</t>
  </si>
  <si>
    <t>R-1063-2</t>
  </si>
  <si>
    <t>R-1063-2-1</t>
  </si>
  <si>
    <t>R-1063-3</t>
  </si>
  <si>
    <t>R-1063-3-1</t>
  </si>
  <si>
    <t>R-1063-4</t>
  </si>
  <si>
    <t>R-1063-4-1</t>
  </si>
  <si>
    <t>R-1063-5</t>
  </si>
  <si>
    <t>R-1063-5-1</t>
  </si>
  <si>
    <t>R-1188-1</t>
  </si>
  <si>
    <t>R-1188-1-1</t>
  </si>
  <si>
    <t>R-1153-1</t>
  </si>
  <si>
    <t>R-1153-1-1</t>
  </si>
  <si>
    <t>R-0101-1</t>
  </si>
  <si>
    <t>R-0101-1-1</t>
  </si>
  <si>
    <t>R-0105-1</t>
  </si>
  <si>
    <t>R-0105-1-1</t>
  </si>
  <si>
    <t>R-0105-1-2</t>
  </si>
  <si>
    <t>R-1022-1</t>
  </si>
  <si>
    <t>R-1022-1-1</t>
  </si>
  <si>
    <t>R-1022-1-2</t>
  </si>
  <si>
    <t>R-1130-1</t>
  </si>
  <si>
    <t>R-1130-1-1</t>
  </si>
  <si>
    <t>R-0058-1</t>
  </si>
  <si>
    <t>R-0058-1-1</t>
  </si>
  <si>
    <t>R-1272-1</t>
  </si>
  <si>
    <t>R-1272-1-1</t>
  </si>
  <si>
    <t>R-1274-1</t>
  </si>
  <si>
    <t>R-1274-1-1</t>
  </si>
  <si>
    <t>R-0139-1</t>
  </si>
  <si>
    <t>R-0139-1-1</t>
  </si>
  <si>
    <t>R-0234-1</t>
  </si>
  <si>
    <t>R-0234-1-1</t>
  </si>
  <si>
    <t>R-0102-1</t>
  </si>
  <si>
    <t>R-0102-1-1</t>
  </si>
  <si>
    <t>R-1206-1</t>
  </si>
  <si>
    <t>R-1206-1-1</t>
  </si>
  <si>
    <t>R-1257-1</t>
  </si>
  <si>
    <t>R-1257-1-1</t>
  </si>
  <si>
    <t>R-1154-1</t>
  </si>
  <si>
    <t>R-1154-1-1</t>
  </si>
  <si>
    <t>R-1065-1</t>
  </si>
  <si>
    <t>R-1065-1-1</t>
  </si>
  <si>
    <t>R-0239-1</t>
  </si>
  <si>
    <t>R-0239-1-1</t>
  </si>
  <si>
    <t>R-0124-1</t>
  </si>
  <si>
    <t>R-0124-1-1</t>
  </si>
  <si>
    <t>R-0254-1</t>
  </si>
  <si>
    <t>R-0254-1-1</t>
  </si>
  <si>
    <t>R-0125-1</t>
  </si>
  <si>
    <t>R-0125-1-1</t>
  </si>
  <si>
    <t>R-0192-1</t>
  </si>
  <si>
    <t>R-0192-1-1</t>
  </si>
  <si>
    <t>R-1252-1</t>
  </si>
  <si>
    <t>R-1252-1-1</t>
  </si>
  <si>
    <t>R-1133-1</t>
  </si>
  <si>
    <t>R-1133-1-1</t>
  </si>
  <si>
    <t>R-1202-1</t>
  </si>
  <si>
    <t>R-1202-1-1</t>
  </si>
  <si>
    <t>R-0076-1</t>
  </si>
  <si>
    <t>R-0076-1-1</t>
  </si>
  <si>
    <t>R-0076-2</t>
  </si>
  <si>
    <t>R-0076-2-1</t>
  </si>
  <si>
    <t>R-1211-1</t>
  </si>
  <si>
    <t>R-1211-1-1</t>
  </si>
  <si>
    <t>R-1164-1</t>
  </si>
  <si>
    <t>R-1164-1-1</t>
  </si>
  <si>
    <t>R-0053-1</t>
  </si>
  <si>
    <t>R-0053-1-1</t>
  </si>
  <si>
    <t>R-1014-1</t>
  </si>
  <si>
    <t>R-1014-1-1</t>
  </si>
  <si>
    <t>R-1014-1-2</t>
  </si>
  <si>
    <t>R-0185-1</t>
  </si>
  <si>
    <t>R-0185-1-1</t>
  </si>
  <si>
    <t>R-1009-1</t>
  </si>
  <si>
    <t>R-1009-1-1</t>
  </si>
  <si>
    <t>R-1009-1-2</t>
  </si>
  <si>
    <t>R-0064-1</t>
  </si>
  <si>
    <t>R-0064-1-1</t>
  </si>
  <si>
    <t>R-0084-1</t>
  </si>
  <si>
    <t>R-0084-1-1</t>
  </si>
  <si>
    <t>R-1068-1</t>
  </si>
  <si>
    <t>R-1068-1-1</t>
  </si>
  <si>
    <t>R-1182-1</t>
  </si>
  <si>
    <t>R-1182-1-1</t>
  </si>
  <si>
    <t>R-1235-1</t>
  </si>
  <si>
    <t>R-1235-1-1</t>
  </si>
  <si>
    <t>R-1235-2</t>
  </si>
  <si>
    <t>R-1235-2-1</t>
  </si>
  <si>
    <t>R-1248-1</t>
  </si>
  <si>
    <t>R-1248-1-1</t>
  </si>
  <si>
    <t>R-0191-1</t>
  </si>
  <si>
    <t>R-0191-1-1</t>
  </si>
  <si>
    <t>R-0134-1</t>
  </si>
  <si>
    <t>R-0134-1-1</t>
  </si>
  <si>
    <t>R-0230-1</t>
  </si>
  <si>
    <t>R-0230-1-1</t>
  </si>
  <si>
    <t>R-0089-1</t>
  </si>
  <si>
    <t>R-0089-1-1</t>
  </si>
  <si>
    <t>R-1175-1</t>
  </si>
  <si>
    <t>R-1175-1-1</t>
  </si>
  <si>
    <t>R-0033-1</t>
  </si>
  <si>
    <t>R-0033-1-1</t>
  </si>
  <si>
    <t>R-0033-2</t>
  </si>
  <si>
    <t>R-0033-2-1</t>
  </si>
  <si>
    <t>R-0178-1</t>
  </si>
  <si>
    <t>R-0178-1-1</t>
  </si>
  <si>
    <t>R-0100-1</t>
  </si>
  <si>
    <t>R-0100-1-1</t>
  </si>
  <si>
    <t>R-1168-1</t>
  </si>
  <si>
    <t>R-1168-1-1</t>
  </si>
  <si>
    <t>R-1087-1</t>
  </si>
  <si>
    <t>R-1087-1-1</t>
  </si>
  <si>
    <t>R-0187-1</t>
  </si>
  <si>
    <t>R-0187-1-1</t>
  </si>
  <si>
    <t>R-0196-1</t>
  </si>
  <si>
    <t>R-0196-1-1</t>
  </si>
  <si>
    <t>R-1201-1</t>
  </si>
  <si>
    <t>R-1201-1-1</t>
  </si>
  <si>
    <t>R-0200-1</t>
  </si>
  <si>
    <t>R-0200-1-1</t>
  </si>
  <si>
    <t>R-0001-1</t>
  </si>
  <si>
    <t>R-0001-1-1</t>
  </si>
  <si>
    <t>R-0001-1-2</t>
  </si>
  <si>
    <t>R-1102-1</t>
  </si>
  <si>
    <t>R-1102-1-1</t>
  </si>
  <si>
    <t>R-0203-1</t>
  </si>
  <si>
    <t>R-0203-1-1</t>
  </si>
  <si>
    <t>S-1002-1</t>
  </si>
  <si>
    <t>S-1002-1-1</t>
  </si>
  <si>
    <t>S-1002-2</t>
  </si>
  <si>
    <t>S-1002-2-1</t>
  </si>
  <si>
    <t>R-0224-1</t>
  </si>
  <si>
    <t>R-0224-1-1</t>
  </si>
  <si>
    <t>R-1192-1</t>
  </si>
  <si>
    <t>R-1192-1-1</t>
  </si>
  <si>
    <t>S-1005-1</t>
  </si>
  <si>
    <t>S-1005-1-1</t>
  </si>
  <si>
    <t>S-1005-1-2</t>
  </si>
  <si>
    <t>S-1005-1-3</t>
  </si>
  <si>
    <t>R-1078-1</t>
  </si>
  <si>
    <t>R-1078-1-1</t>
  </si>
  <si>
    <t>R-1193-1</t>
  </si>
  <si>
    <t>R-1193-1-1</t>
  </si>
  <si>
    <t>S-1013-1</t>
  </si>
  <si>
    <t>S-1013-1-1</t>
  </si>
  <si>
    <t>R-1196-1</t>
  </si>
  <si>
    <t>R-1196-1-1</t>
  </si>
  <si>
    <t>R-0162-1</t>
  </si>
  <si>
    <t>R-0162-1-1</t>
  </si>
  <si>
    <t>R-1253-1</t>
  </si>
  <si>
    <t>R-1253-1-1</t>
  </si>
  <si>
    <t>R-0241-1</t>
  </si>
  <si>
    <t>R-0241-1-1</t>
  </si>
  <si>
    <t>R-0170-1</t>
  </si>
  <si>
    <t>R-0170-1-1</t>
  </si>
  <si>
    <t>R-1270-1</t>
  </si>
  <si>
    <t>R-1270-1-1</t>
  </si>
  <si>
    <t>R-0021-1</t>
  </si>
  <si>
    <t>R-0021-1-1</t>
  </si>
  <si>
    <t>R-0021-1-2</t>
  </si>
  <si>
    <t>R-0235-1</t>
  </si>
  <si>
    <t>R-0235-1-1</t>
  </si>
  <si>
    <t>R-1209-1</t>
  </si>
  <si>
    <t>R-1209-1-1</t>
  </si>
  <si>
    <t>R-0122-1</t>
  </si>
  <si>
    <t>R-0122-1-1</t>
  </si>
  <si>
    <t>R-0052-1</t>
  </si>
  <si>
    <t>R-0052-1-1</t>
  </si>
  <si>
    <t>R-1152-1</t>
  </si>
  <si>
    <t>R-1152-1-1</t>
  </si>
  <si>
    <t>R-1151-1</t>
  </si>
  <si>
    <t>R-1151-1-1</t>
  </si>
  <si>
    <t>R-0251-1</t>
  </si>
  <si>
    <t>R-0251-1-1</t>
  </si>
  <si>
    <t>R-0011-1</t>
  </si>
  <si>
    <t>R-0011-1-1</t>
  </si>
  <si>
    <t>R-0011-1-2</t>
  </si>
  <si>
    <t>R-0011-1-3</t>
  </si>
  <si>
    <t>R-0013-1</t>
  </si>
  <si>
    <t>R-0013-1-1</t>
  </si>
  <si>
    <t>R-0013-1-2</t>
  </si>
  <si>
    <t>R-0013-1-3</t>
  </si>
  <si>
    <t>R-0013-1-4</t>
  </si>
  <si>
    <t>R-0013-1-5</t>
  </si>
  <si>
    <t>R-0013-1-6</t>
  </si>
  <si>
    <t>R-0013-1-7</t>
  </si>
  <si>
    <t>R-0013-1-8</t>
  </si>
  <si>
    <t>R-1229-1</t>
  </si>
  <si>
    <t>R-1229-1-1</t>
  </si>
  <si>
    <t>R-0208-1</t>
  </si>
  <si>
    <t>R-0208-1-1</t>
  </si>
  <si>
    <t>R-0207-1</t>
  </si>
  <si>
    <t>R-0207-1-1</t>
  </si>
  <si>
    <t>R-1273-1</t>
  </si>
  <si>
    <t>R-1273-1-1</t>
  </si>
  <si>
    <t>R-1223-1</t>
  </si>
  <si>
    <t>R-1223-1-1</t>
  </si>
  <si>
    <t>S-1012-1</t>
  </si>
  <si>
    <t>S-1012-1-1</t>
  </si>
  <si>
    <t>S-1012-2</t>
  </si>
  <si>
    <t>S-1012-2-1</t>
  </si>
  <si>
    <t>R-0275-1</t>
  </si>
  <si>
    <t>R-0275-1-1</t>
  </si>
  <si>
    <t>R-0278-1</t>
  </si>
  <si>
    <t>R-0278-1-1</t>
  </si>
  <si>
    <t>R-0219-1</t>
  </si>
  <si>
    <t>R-0219-1-1</t>
  </si>
  <si>
    <t>S-1007-1</t>
  </si>
  <si>
    <t>S-1007-1-1</t>
  </si>
  <si>
    <t>S-1007-1-2</t>
  </si>
  <si>
    <t>R-0057-1</t>
  </si>
  <si>
    <t>R-0057-1-1</t>
  </si>
  <si>
    <t>R-1113-1</t>
  </si>
  <si>
    <t>R-1113-1-1</t>
  </si>
  <si>
    <t>R-1113-2</t>
  </si>
  <si>
    <t>R-1113-2-1</t>
  </si>
  <si>
    <t>R-0250-1</t>
  </si>
  <si>
    <t>R-0250-1-1</t>
  </si>
  <si>
    <t>R-0020-1</t>
  </si>
  <si>
    <t>R-0020-1-1</t>
  </si>
  <si>
    <t>R-0160-1</t>
  </si>
  <si>
    <t>R-0160-1-1</t>
  </si>
  <si>
    <t>R-0040-1</t>
  </si>
  <si>
    <t>R-0040-1-1</t>
  </si>
  <si>
    <t>S-0004-1</t>
  </si>
  <si>
    <t>S-0004-1-1</t>
  </si>
  <si>
    <t>S-0004-1-2</t>
  </si>
  <si>
    <t>S-0004-2</t>
  </si>
  <si>
    <t>S-0004-2-1</t>
  </si>
  <si>
    <t>R-1219-1</t>
  </si>
  <si>
    <t>R-1219-1-1</t>
  </si>
  <si>
    <t>R-1028-1</t>
  </si>
  <si>
    <t>R-1028-1-1</t>
  </si>
  <si>
    <t>R-1028-1-2</t>
  </si>
  <si>
    <t>R-1028-1-3</t>
  </si>
  <si>
    <t>R-1028-1-4</t>
  </si>
  <si>
    <t>R-1028-1-5</t>
  </si>
  <si>
    <t>R-1227-1</t>
  </si>
  <si>
    <t>R-1227-1-1</t>
  </si>
  <si>
    <t>R-0189-1</t>
  </si>
  <si>
    <t>R-0189-1-1</t>
  </si>
  <si>
    <t>R-0279-1</t>
  </si>
  <si>
    <t>R-0279-1-1</t>
  </si>
  <si>
    <t>R-0195-1</t>
  </si>
  <si>
    <t>R-0195-1-1</t>
  </si>
  <si>
    <t>R-0229-1</t>
  </si>
  <si>
    <t>R-0229-1-1</t>
  </si>
  <si>
    <t>R-0017-1</t>
  </si>
  <si>
    <t>R-0017-1-1</t>
  </si>
  <si>
    <t>R-0017-1-2</t>
  </si>
  <si>
    <t>R-0017-1-3</t>
  </si>
  <si>
    <t>R-0017-1-4</t>
  </si>
  <si>
    <t>R-0017-1-5</t>
  </si>
  <si>
    <t>R-0017-1-6</t>
  </si>
  <si>
    <t>R-0017-1-7</t>
  </si>
  <si>
    <t>R-0017-1-8</t>
  </si>
  <si>
    <t>R-0017-1-9</t>
  </si>
  <si>
    <t>R-0017-1-10</t>
  </si>
  <si>
    <t>R-0017-1-11</t>
  </si>
  <si>
    <t>R-0017-2</t>
  </si>
  <si>
    <t>R-0017-2-1</t>
  </si>
  <si>
    <t>R-0017-3</t>
  </si>
  <si>
    <t>R-0017-3-1</t>
  </si>
  <si>
    <t>R-0017-4</t>
  </si>
  <si>
    <t>R-0017-4-1</t>
  </si>
  <si>
    <t>S-0003-1</t>
  </si>
  <si>
    <t>S-0003-1-1</t>
  </si>
  <si>
    <t>S-0003-1-2</t>
  </si>
  <si>
    <t>R-1276-1</t>
  </si>
  <si>
    <t>R-1276-1-1</t>
  </si>
  <si>
    <t>R-1276-1-2</t>
  </si>
  <si>
    <t>R-1237-1</t>
  </si>
  <si>
    <t>R-1237-1-1</t>
  </si>
  <si>
    <t>R-1121-1</t>
  </si>
  <si>
    <t>R-1121-1-1</t>
  </si>
  <si>
    <t>R-1074-1</t>
  </si>
  <si>
    <t>R-1074-1-1</t>
  </si>
  <si>
    <t>R-1084-1</t>
  </si>
  <si>
    <t>R-1084-1-1</t>
  </si>
  <si>
    <t>R-1171-1</t>
  </si>
  <si>
    <t>R-1171-1-1</t>
  </si>
  <si>
    <t>R-1280-1</t>
  </si>
  <si>
    <t>R-1280-1-1</t>
  </si>
  <si>
    <t>R-1031-1</t>
  </si>
  <si>
    <t>R-1031-1-1</t>
  </si>
  <si>
    <t>R-1031-2</t>
  </si>
  <si>
    <t>R-1031-2-1</t>
  </si>
  <si>
    <t>R-1082-1</t>
  </si>
  <si>
    <t>R-1082-1-1</t>
  </si>
  <si>
    <t>R-1082-1-2</t>
  </si>
  <si>
    <t>R-0218-1</t>
  </si>
  <si>
    <t>R-0218-1-1</t>
  </si>
  <si>
    <t>R-1194-1</t>
  </si>
  <si>
    <t>R-1194-1-1</t>
  </si>
  <si>
    <t>R-1075-1</t>
  </si>
  <si>
    <t>R-1075-1-1</t>
  </si>
  <si>
    <t>R-1075-1-2</t>
  </si>
  <si>
    <t>R-0259-1</t>
  </si>
  <si>
    <t>R-0259-1-1</t>
  </si>
  <si>
    <t>R-0247-1</t>
  </si>
  <si>
    <t>R-0247-1-1</t>
  </si>
  <si>
    <t>S-0006-1</t>
  </si>
  <si>
    <t>S-0006-1-1</t>
  </si>
  <si>
    <t>S-0006-2</t>
  </si>
  <si>
    <t>S-0006-2-1</t>
  </si>
  <si>
    <t>S-0006-3</t>
  </si>
  <si>
    <t>S-0006-3-1</t>
  </si>
  <si>
    <t>R-0023-1</t>
  </si>
  <si>
    <t>R-0023-1-1</t>
  </si>
  <si>
    <t>R-0023-2</t>
  </si>
  <si>
    <t>R-0023-2-1</t>
  </si>
  <si>
    <t>R-0023-2-2</t>
  </si>
  <si>
    <t>R-0037-1</t>
  </si>
  <si>
    <t>R-0037-1-1</t>
  </si>
  <si>
    <t>R-0037-2</t>
  </si>
  <si>
    <t>R-0037-2-1</t>
  </si>
  <si>
    <t>R-1195-1</t>
  </si>
  <si>
    <t>R-1195-1-1</t>
  </si>
  <si>
    <t>R-1123-1</t>
  </si>
  <si>
    <t>R-1123-1-1</t>
  </si>
  <si>
    <t>R-1025-1</t>
  </si>
  <si>
    <t>R-1025-1-1</t>
  </si>
  <si>
    <t>R-1025-1-2</t>
  </si>
  <si>
    <t>R-1025-1-3</t>
  </si>
  <si>
    <t>R-1025-1-4</t>
  </si>
  <si>
    <t>R-1025-1-5</t>
  </si>
  <si>
    <t>R-1025-2</t>
  </si>
  <si>
    <t>R-1025-2-1</t>
  </si>
  <si>
    <t>R-1025-3</t>
  </si>
  <si>
    <t>R-1025-3-1</t>
  </si>
  <si>
    <t>R-0022-1</t>
  </si>
  <si>
    <t>R-0022-1-1</t>
  </si>
  <si>
    <t>R-1060-1</t>
  </si>
  <si>
    <t>R-1060-1-1</t>
  </si>
  <si>
    <t>R-1060-2</t>
  </si>
  <si>
    <t>R-1060-2-1</t>
  </si>
  <si>
    <t>R-1282-1</t>
  </si>
  <si>
    <t>R-1282-1-1</t>
  </si>
  <si>
    <t>R-1282-1-2</t>
  </si>
  <si>
    <t>R-0106-1</t>
  </si>
  <si>
    <t>R-0106-1-1</t>
  </si>
  <si>
    <t>R-0106-2</t>
  </si>
  <si>
    <t>R-0106-2-1</t>
  </si>
  <si>
    <t>R-0106-3</t>
  </si>
  <si>
    <t>R-0106-3-1</t>
  </si>
  <si>
    <t>R-0051-1</t>
  </si>
  <si>
    <t>R-0051-1-1</t>
  </si>
  <si>
    <t>R-1187-1</t>
  </si>
  <si>
    <t>R-1187-1-1</t>
  </si>
  <si>
    <t>R-1010-1</t>
  </si>
  <si>
    <t>R-1010-1-1</t>
  </si>
  <si>
    <t>R-1010-1-2</t>
  </si>
  <si>
    <t>R-1010-1-3</t>
  </si>
  <si>
    <t>R-1010-1-4</t>
  </si>
  <si>
    <t>R-1010-1-5</t>
  </si>
  <si>
    <t>R-1010-1-6</t>
  </si>
  <si>
    <t>R-1010-1-7</t>
  </si>
  <si>
    <t>R-1010-1-8</t>
  </si>
  <si>
    <t>R-1010-1-9</t>
  </si>
  <si>
    <t>R-1010-1-10</t>
  </si>
  <si>
    <t>R-1010-1-11</t>
  </si>
  <si>
    <t>R-1010-1-12</t>
  </si>
  <si>
    <t>R-1010-1-13</t>
  </si>
  <si>
    <t>R-1010-1-14</t>
  </si>
  <si>
    <t>R-1010-1-15</t>
  </si>
  <si>
    <t>R-1010-1-16</t>
  </si>
  <si>
    <t>R-1010-1-17</t>
  </si>
  <si>
    <t>R-1010-1-18</t>
  </si>
  <si>
    <t>R-1010-1-19</t>
  </si>
  <si>
    <t>R-1010-1-20</t>
  </si>
  <si>
    <t>R-1010-1-21</t>
  </si>
  <si>
    <t>R-1010-1-22</t>
  </si>
  <si>
    <t>R-1010-1-23</t>
  </si>
  <si>
    <t>R-1010-1-24</t>
  </si>
  <si>
    <t>R-1010-2</t>
  </si>
  <si>
    <t>R-1010-2-1</t>
  </si>
  <si>
    <t>R-1234-1</t>
  </si>
  <si>
    <t>R-1234-1-1</t>
  </si>
  <si>
    <t>R-1198-1</t>
  </si>
  <si>
    <t>R-1198-1-1</t>
  </si>
  <si>
    <t>R-0177-1</t>
  </si>
  <si>
    <t>R-0177-1-1</t>
  </si>
  <si>
    <t>R-1200-1</t>
  </si>
  <si>
    <t>R-1200-1-1</t>
  </si>
  <si>
    <t>R-1064-1</t>
  </si>
  <si>
    <t>R-1064-1-1</t>
  </si>
  <si>
    <t>R-1064-1-2</t>
  </si>
  <si>
    <t>R-0116-1</t>
  </si>
  <si>
    <t>R-0116-1-1</t>
  </si>
  <si>
    <t>R-0060-1</t>
  </si>
  <si>
    <t>R-0060-1-1</t>
  </si>
  <si>
    <t>R-0271-1</t>
  </si>
  <si>
    <t>R-0271-1-1</t>
  </si>
  <si>
    <t>R-1150-1</t>
  </si>
  <si>
    <t>R-1150-1-1</t>
  </si>
  <si>
    <t>R-1124-1</t>
  </si>
  <si>
    <t>R-1124-1-1</t>
  </si>
  <si>
    <t>R-1007-1</t>
  </si>
  <si>
    <t>R-1007-1-1</t>
  </si>
  <si>
    <t>R-1007-1-2</t>
  </si>
  <si>
    <t>R-1007-1-3</t>
  </si>
  <si>
    <t>R-1049-1</t>
  </si>
  <si>
    <t>R-1049-1-1</t>
  </si>
  <si>
    <t>R-1049-1-2</t>
  </si>
  <si>
    <t>R-1161-1</t>
  </si>
  <si>
    <t>R-1161-1-1</t>
  </si>
  <si>
    <t>R-1041-1</t>
  </si>
  <si>
    <t>R-1041-1-1</t>
  </si>
  <si>
    <t>R-1041-1-2</t>
  </si>
  <si>
    <t>R-1041-1-3</t>
  </si>
  <si>
    <t>R-1041-1-4</t>
  </si>
  <si>
    <t>R-1041-1-5</t>
  </si>
  <si>
    <t>R-1041-1-6</t>
  </si>
  <si>
    <t>R-1041-1-7</t>
  </si>
  <si>
    <t>R-1041-1-8</t>
  </si>
  <si>
    <t>R-1041-1-9</t>
  </si>
  <si>
    <t>R-1041-1-10</t>
  </si>
  <si>
    <t>R-1041-1-11</t>
  </si>
  <si>
    <t>R-1041-1-12</t>
  </si>
  <si>
    <t>R-1041-1-13</t>
  </si>
  <si>
    <t>R-1041-1-14</t>
  </si>
  <si>
    <t>R-1041-1-15</t>
  </si>
  <si>
    <t>R-1041-1-16</t>
  </si>
  <si>
    <t>R-1041-1-17</t>
  </si>
  <si>
    <t>R-1041-1-18</t>
  </si>
  <si>
    <t>R-1041-1-19</t>
  </si>
  <si>
    <t>R-1041-1-20</t>
  </si>
  <si>
    <t>R-0201-1</t>
  </si>
  <si>
    <t>R-0201-1-1</t>
  </si>
  <si>
    <t>R-1115-1</t>
  </si>
  <si>
    <t>R-1115-1-1</t>
  </si>
  <si>
    <t>R-1115-2</t>
  </si>
  <si>
    <t>R-1115-2-1</t>
  </si>
  <si>
    <t>R-0031-1</t>
  </si>
  <si>
    <t>R-0031-1-1</t>
  </si>
  <si>
    <t>R-0031-1-2</t>
  </si>
  <si>
    <t>R-0031-1-3</t>
  </si>
  <si>
    <t>R-0031-1-4</t>
  </si>
  <si>
    <t>R-0267-1</t>
  </si>
  <si>
    <t>R-0267-1-1</t>
  </si>
  <si>
    <t>R-0049-1</t>
  </si>
  <si>
    <t>R-0049-1-1</t>
  </si>
  <si>
    <t>R-0049-1-2</t>
  </si>
  <si>
    <t>S-0005-1</t>
  </si>
  <si>
    <t>S-0005-1-1</t>
  </si>
  <si>
    <t>S-0005-1-2</t>
  </si>
  <si>
    <t>S-0005-2</t>
  </si>
  <si>
    <t>S-0005-2-1</t>
  </si>
  <si>
    <t>S-0005-2-2</t>
  </si>
  <si>
    <t>R-0114-1</t>
  </si>
  <si>
    <t>R-0114-1-1</t>
  </si>
  <si>
    <t>R-0086-1</t>
  </si>
  <si>
    <t>R-0086-1-1</t>
  </si>
  <si>
    <t>S-0001-1</t>
  </si>
  <si>
    <t>S-0001-1-1</t>
  </si>
  <si>
    <t>S-0001-1-2</t>
  </si>
  <si>
    <t>S-0001-1-3</t>
  </si>
  <si>
    <t>S-0001-1-4</t>
  </si>
  <si>
    <t>S-0001-1-5</t>
  </si>
  <si>
    <t>S-0001-1-6</t>
  </si>
  <si>
    <t>S-0001-1-7</t>
  </si>
  <si>
    <t>S-0001-1-8</t>
  </si>
  <si>
    <t>S-0001-1-9</t>
  </si>
  <si>
    <t>S-0001-1-10</t>
  </si>
  <si>
    <t>S-0001-1-11</t>
  </si>
  <si>
    <t>S-0001-1-12</t>
  </si>
  <si>
    <t>R-0087-1</t>
  </si>
  <si>
    <t>R-0087-1-1</t>
  </si>
  <si>
    <t>R-0103-1</t>
  </si>
  <si>
    <t>R-0103-1-1</t>
  </si>
  <si>
    <t>R-0223-1</t>
  </si>
  <si>
    <t>R-0223-1-1</t>
  </si>
  <si>
    <t>R-1167-1</t>
  </si>
  <si>
    <t>R-1167-1-1</t>
  </si>
  <si>
    <t>R-1026-1</t>
  </si>
  <si>
    <t>R-1026-1-1</t>
  </si>
  <si>
    <t>R-1026-1-2</t>
  </si>
  <si>
    <t>R-1026-1-3</t>
  </si>
  <si>
    <t>R-1026-1-4</t>
  </si>
  <si>
    <t>R-1026-2</t>
  </si>
  <si>
    <t>R-1026-2-1</t>
  </si>
  <si>
    <t>R-0165-1</t>
  </si>
  <si>
    <t>R-0165-1-1</t>
  </si>
  <si>
    <t>R-1023-1</t>
  </si>
  <si>
    <t>R-1023-1-1</t>
  </si>
  <si>
    <t>R-1023-1-2</t>
  </si>
  <si>
    <t>R-1023-1-3</t>
  </si>
  <si>
    <t>R-1023-1-4</t>
  </si>
  <si>
    <t>R-1023-1-5</t>
  </si>
  <si>
    <t>R-1023-1-6</t>
  </si>
  <si>
    <t>R-1023-1-7</t>
  </si>
  <si>
    <t>R-1023-1-8</t>
  </si>
  <si>
    <t>R-1023-2</t>
  </si>
  <si>
    <t>R-1023-2-1</t>
  </si>
  <si>
    <t>R-1038-1</t>
  </si>
  <si>
    <t>R-1038-1-1</t>
  </si>
  <si>
    <t>R-1038-2</t>
  </si>
  <si>
    <t>R-1038-2-1</t>
  </si>
  <si>
    <t>R-1020-1</t>
  </si>
  <si>
    <t>R-1020-1-1</t>
  </si>
  <si>
    <t>R-1020-1-2</t>
  </si>
  <si>
    <t>R-1020-1-3</t>
  </si>
  <si>
    <t>R-1020-1-4</t>
  </si>
  <si>
    <t>R-1020-1-5</t>
  </si>
  <si>
    <t>R-1020-1-6</t>
  </si>
  <si>
    <t>R-1020-1-7</t>
  </si>
  <si>
    <t>R-1035-1</t>
  </si>
  <si>
    <t>R-1035-1-1</t>
  </si>
  <si>
    <t>R-1035-1-2</t>
  </si>
  <si>
    <t>R-1035-1-3</t>
  </si>
  <si>
    <t>R-1035-1-4</t>
  </si>
  <si>
    <t>R-1035-1-5</t>
  </si>
  <si>
    <t>R-1035-1-6</t>
  </si>
  <si>
    <t>R-1035-1-7</t>
  </si>
  <si>
    <t>R-1035-1-8</t>
  </si>
  <si>
    <t>R-1035-1-9</t>
  </si>
  <si>
    <t>R-0093-1</t>
  </si>
  <si>
    <t>R-0093-1-1</t>
  </si>
  <si>
    <t>R-1111-1</t>
  </si>
  <si>
    <t>R-1111-1-1</t>
  </si>
  <si>
    <t>R-1111-2</t>
  </si>
  <si>
    <t>R-1111-2-1</t>
  </si>
  <si>
    <t>R-0091-1</t>
  </si>
  <si>
    <t>R-0091-1-1</t>
  </si>
  <si>
    <t>R-0091-2</t>
  </si>
  <si>
    <t>R-0091-2-1</t>
  </si>
  <si>
    <t>R-1047-1</t>
  </si>
  <si>
    <t>R-1047-1-1</t>
  </si>
  <si>
    <t>R-1047-1-2</t>
  </si>
  <si>
    <t>R-1052-1</t>
  </si>
  <si>
    <t>R-1052-1-1</t>
  </si>
  <si>
    <t>R-1052-1-2</t>
  </si>
  <si>
    <t>R-0152-1</t>
  </si>
  <si>
    <t>R-0152-1-1</t>
  </si>
  <si>
    <t>R-0010-1</t>
  </si>
  <si>
    <t>R-0010-1-1</t>
  </si>
  <si>
    <t>R-0010-1-2</t>
  </si>
  <si>
    <t>R-0010-2</t>
  </si>
  <si>
    <t>R-0010-2-1</t>
  </si>
  <si>
    <t>R-0010-2-2</t>
  </si>
  <si>
    <t>R-0142-1</t>
  </si>
  <si>
    <t>R-0142-1-1</t>
  </si>
  <si>
    <t>R-1156-1</t>
  </si>
  <si>
    <t>R-1156-1-1</t>
  </si>
  <si>
    <t>R-2001-1</t>
  </si>
  <si>
    <t>R-2001-1-1</t>
  </si>
  <si>
    <t>R-2001-1-2</t>
  </si>
  <si>
    <t>R-0164-1</t>
  </si>
  <si>
    <t>R-0164-1-1</t>
  </si>
  <si>
    <t>R-1218-1</t>
  </si>
  <si>
    <t>R-1218-1-1</t>
  </si>
  <si>
    <t>R-1218-2</t>
  </si>
  <si>
    <t>R-1218-2-1</t>
  </si>
  <si>
    <t>R-1218-3</t>
  </si>
  <si>
    <t>R-1218-3-1</t>
  </si>
  <si>
    <t>R-1012-1</t>
  </si>
  <si>
    <t>R-1012-1-1</t>
  </si>
  <si>
    <t>R-1012-1-2</t>
  </si>
  <si>
    <t>R-1012-1-3</t>
  </si>
  <si>
    <t>R-0150-1</t>
  </si>
  <si>
    <t>R-0150-1-1</t>
  </si>
  <si>
    <t>R-0047-1</t>
  </si>
  <si>
    <t>R-0047-1-1</t>
  </si>
  <si>
    <t>R-1061-1</t>
  </si>
  <si>
    <t>R-1061-1-1</t>
  </si>
  <si>
    <t>R-0148-1</t>
  </si>
  <si>
    <t>R-0148-1-1</t>
  </si>
  <si>
    <t>R-1054-1</t>
  </si>
  <si>
    <t>R-1054-1-1</t>
  </si>
  <si>
    <t>R-1076-1</t>
  </si>
  <si>
    <t>R-1076-1-1</t>
  </si>
  <si>
    <t>R-0059-1</t>
  </si>
  <si>
    <t>R-0059-1-1</t>
  </si>
  <si>
    <t>R-1006-1</t>
  </si>
  <si>
    <t>R-1006-1-1</t>
  </si>
  <si>
    <t>R-1006-1-2</t>
  </si>
  <si>
    <t>R-1006-1-3</t>
  </si>
  <si>
    <t>R-1006-1-4</t>
  </si>
  <si>
    <t>R-0009-1</t>
  </si>
  <si>
    <t>R-0009-1-1</t>
  </si>
  <si>
    <t>R-0009-1-2</t>
  </si>
  <si>
    <t>R-0009-1-3</t>
  </si>
  <si>
    <t>R-0009-2</t>
  </si>
  <si>
    <t>R-0009-2-1</t>
  </si>
  <si>
    <t>R-1251-1</t>
  </si>
  <si>
    <t>R-1251-1-1</t>
  </si>
  <si>
    <t>R-1071-1</t>
  </si>
  <si>
    <t>R-1071-1-1</t>
  </si>
  <si>
    <t>R-1071-1-2</t>
  </si>
  <si>
    <t>R-0097-1</t>
  </si>
  <si>
    <t>R-0097-1-1</t>
  </si>
  <si>
    <t>R-0097-1-2</t>
  </si>
  <si>
    <t>R-0097-1-3</t>
  </si>
  <si>
    <t>R-0097-1-4</t>
  </si>
  <si>
    <t>R-0097-1-5</t>
  </si>
  <si>
    <t>R-0097-1-6</t>
  </si>
  <si>
    <t>R-0097-1-7</t>
  </si>
  <si>
    <t>R-0097-1-8</t>
  </si>
  <si>
    <t>R-0193-1</t>
  </si>
  <si>
    <t>R-0193-1-1</t>
  </si>
  <si>
    <t>R-0245-1</t>
  </si>
  <si>
    <t>R-0245-1-1</t>
  </si>
  <si>
    <t>R-4001-1</t>
  </si>
  <si>
    <t>R-4001-1-1</t>
  </si>
  <si>
    <t>R-4001-1-2</t>
  </si>
  <si>
    <t>R-4001-1-3</t>
  </si>
  <si>
    <t>R-4001-1-4</t>
  </si>
  <si>
    <t>R-4001-1-5</t>
  </si>
  <si>
    <t>R-4001-1-6</t>
  </si>
  <si>
    <t>R-4001-1-7</t>
  </si>
  <si>
    <t>R-4001-1-8</t>
  </si>
  <si>
    <t>S-1010-1</t>
  </si>
  <si>
    <t>S-1010-1-1</t>
  </si>
  <si>
    <t>S-1010-1-2</t>
  </si>
  <si>
    <t>S-1010-2</t>
  </si>
  <si>
    <t>S-1010-2-1</t>
  </si>
  <si>
    <t>R-1033-1</t>
  </si>
  <si>
    <t>R-1033-1-1</t>
  </si>
  <si>
    <t>R-1033-1-2</t>
  </si>
  <si>
    <t>R-1033-1-3</t>
  </si>
  <si>
    <t>R-1033-1-4</t>
  </si>
  <si>
    <t>R-1033-1-5</t>
  </si>
  <si>
    <t>R-1033-1-6</t>
  </si>
  <si>
    <t>R-1242-1</t>
  </si>
  <si>
    <t>R-1242-1-1</t>
  </si>
  <si>
    <t>R-0186-1</t>
  </si>
  <si>
    <t>R-0186-1-1</t>
  </si>
  <si>
    <t>R-0094-1</t>
  </si>
  <si>
    <t>R-0094-1-1</t>
  </si>
  <si>
    <t>R-0094-1-2</t>
  </si>
  <si>
    <t>R-0094-1-3</t>
  </si>
  <si>
    <t>R-0066-1</t>
  </si>
  <si>
    <t>R-0066-1-1</t>
  </si>
  <si>
    <t>R-0168-1</t>
  </si>
  <si>
    <t>R-0168-1-1</t>
  </si>
  <si>
    <t>R-1109-1</t>
  </si>
  <si>
    <t>R-1109-1-1</t>
  </si>
  <si>
    <t>R-1109-2</t>
  </si>
  <si>
    <t>R-1109-2-1</t>
  </si>
  <si>
    <t>R-0016-1</t>
  </si>
  <si>
    <t>R-0016-1-1</t>
  </si>
  <si>
    <t>R-0016-1-2</t>
  </si>
  <si>
    <t>R-0016-1-3</t>
  </si>
  <si>
    <t>R-0016-1-4</t>
  </si>
  <si>
    <t>R-0016-1-5</t>
  </si>
  <si>
    <t>R-0016-1-6</t>
  </si>
  <si>
    <t>R-0016-1-7</t>
  </si>
  <si>
    <t>R-0016-1-8</t>
  </si>
  <si>
    <t>R-0016-1-9</t>
  </si>
  <si>
    <t>R-0016-1-10</t>
  </si>
  <si>
    <t>R-0016-1-11</t>
  </si>
  <si>
    <t>R-0016-1-12</t>
  </si>
  <si>
    <t>R-0016-1-13</t>
  </si>
  <si>
    <t>R-1092-1</t>
  </si>
  <si>
    <t>R-1092-1-1</t>
  </si>
  <si>
    <t>S-0008-1</t>
  </si>
  <si>
    <t>S-0008-1-1</t>
  </si>
  <si>
    <t>R-0092-1</t>
  </si>
  <si>
    <t>R-0092-1-1</t>
  </si>
  <si>
    <t>R-1096-1</t>
  </si>
  <si>
    <t>R-1096-1-1</t>
  </si>
  <si>
    <t>R-1037-1</t>
  </si>
  <si>
    <t>R-1037-1-1</t>
  </si>
  <si>
    <t>R-1037-1-2</t>
  </si>
  <si>
    <t>R-0030-1</t>
  </si>
  <si>
    <t>R-0030-1-1</t>
  </si>
  <si>
    <t>R-0050-1</t>
  </si>
  <si>
    <t>R-0050-1-1</t>
  </si>
  <si>
    <t>R-0070-1</t>
  </si>
  <si>
    <t>R-0070-1-1</t>
  </si>
  <si>
    <t>R-0070-1-2</t>
  </si>
  <si>
    <t>R-0034-1</t>
  </si>
  <si>
    <t>R-0034-1-1</t>
  </si>
  <si>
    <t>R-1011-1</t>
  </si>
  <si>
    <t>R-1011-1-1</t>
  </si>
  <si>
    <t>R-1011-1-2</t>
  </si>
  <si>
    <t>R-1011-1-3</t>
  </si>
  <si>
    <t>R-1011-1-4</t>
  </si>
  <si>
    <t>R-1011-1-5</t>
  </si>
  <si>
    <t>R-1011-1-6</t>
  </si>
  <si>
    <t>R-1011-1-7</t>
  </si>
  <si>
    <t>R-1011-1-8</t>
  </si>
  <si>
    <t>R-1039-1</t>
  </si>
  <si>
    <t>R-1039-1-1</t>
  </si>
  <si>
    <t>R-1018-1</t>
  </si>
  <si>
    <t>R-1018-1-1</t>
  </si>
  <si>
    <t>R-1018-1-2</t>
  </si>
  <si>
    <t>R-1018-2</t>
  </si>
  <si>
    <t>R-1018-2-1</t>
  </si>
  <si>
    <t>R-1244-1</t>
  </si>
  <si>
    <t>R-1244-1-1</t>
  </si>
  <si>
    <t>R-0004-1</t>
  </si>
  <si>
    <t>R-0004-1-1</t>
  </si>
  <si>
    <t>R-0004-1-2</t>
  </si>
  <si>
    <t>R-0004-1-3</t>
  </si>
  <si>
    <t>R-0068-1</t>
  </si>
  <si>
    <t>R-0068-1-1</t>
  </si>
  <si>
    <t>R-1001-1</t>
  </si>
  <si>
    <t>R-1001-1-1</t>
  </si>
  <si>
    <t>R-1001-1-2</t>
  </si>
  <si>
    <t>R-1001-1-3</t>
  </si>
  <si>
    <t>R-1001-1-4</t>
  </si>
  <si>
    <t>R-1001-1-5</t>
  </si>
  <si>
    <t>R-1001-1-6</t>
  </si>
  <si>
    <t>R-0006-1</t>
  </si>
  <si>
    <t>R-0006-1-1</t>
  </si>
  <si>
    <t>R-0006-1-2</t>
  </si>
  <si>
    <t>R-0006-1-3</t>
  </si>
  <si>
    <t>R-0006-1-4</t>
  </si>
  <si>
    <t>R-0006-1-5</t>
  </si>
  <si>
    <t>R-0006-1-6</t>
  </si>
  <si>
    <t>R-0006-1-7</t>
  </si>
  <si>
    <t>R-0110-1</t>
  </si>
  <si>
    <t>R-0110-1-1</t>
  </si>
  <si>
    <t>R-0041-1</t>
  </si>
  <si>
    <t>R-0041-1-1</t>
  </si>
  <si>
    <t>R-1051-1</t>
  </si>
  <si>
    <t>R-1051-1-1</t>
  </si>
  <si>
    <t>R-3001-1</t>
  </si>
  <si>
    <t>R-3001-1-1</t>
  </si>
  <si>
    <t>R-3001-1-2</t>
  </si>
  <si>
    <t>R-0007-1</t>
  </si>
  <si>
    <t>R-0007-1-1</t>
  </si>
  <si>
    <t>R-0007-1-2</t>
  </si>
  <si>
    <t>R-1086-1</t>
  </si>
  <si>
    <t>R-1086-1-1</t>
  </si>
  <si>
    <t>R-0018-1</t>
  </si>
  <si>
    <t>R-0018-1-1</t>
  </si>
  <si>
    <t>R-0018-2</t>
  </si>
  <si>
    <t>R-0018-2-1</t>
  </si>
  <si>
    <t>R-0003-1</t>
  </si>
  <si>
    <t>R-0003-1-1</t>
  </si>
  <si>
    <t>R-0003-1-2</t>
  </si>
  <si>
    <t>R-0003-1-3</t>
  </si>
  <si>
    <t>R-0003-1-4</t>
  </si>
  <si>
    <t>R-0003-1-5</t>
  </si>
  <si>
    <t>R-0003-1-6</t>
  </si>
  <si>
    <t>R-0003-1-7</t>
  </si>
  <si>
    <t>R-0003-1-8</t>
  </si>
  <si>
    <t>R-0003-1-9</t>
  </si>
  <si>
    <t>R-0003-1-10</t>
  </si>
  <si>
    <t>R-0003-1-11</t>
  </si>
  <si>
    <t>R-0003-1-12</t>
  </si>
  <si>
    <t>R-0003-1-13</t>
  </si>
  <si>
    <t>R-0003-1-14</t>
  </si>
  <si>
    <t>R-0003-1-15</t>
  </si>
  <si>
    <t>R-0003-1-16</t>
  </si>
  <si>
    <t>R-0003-1-17</t>
  </si>
  <si>
    <t>R-0003-1-18</t>
  </si>
  <si>
    <t>R-0003-2</t>
  </si>
  <si>
    <t>R-0003-2-1</t>
  </si>
  <si>
    <t>R-0003-2-2</t>
  </si>
  <si>
    <t>R-0003-2-3</t>
  </si>
  <si>
    <t>R-1003-1</t>
  </si>
  <si>
    <t>R-1003-1-1</t>
  </si>
  <si>
    <t>R-1003-1-2</t>
  </si>
  <si>
    <t>R-1003-1-3</t>
  </si>
  <si>
    <t>R-1003-1-4</t>
  </si>
  <si>
    <t>R-1003-1-5</t>
  </si>
  <si>
    <t>R-1003-1-6</t>
  </si>
  <si>
    <t>R-1003-1-7</t>
  </si>
  <si>
    <t>R-1003-1-8</t>
  </si>
  <si>
    <t>R-1003-1-9</t>
  </si>
  <si>
    <t>R-1003-1-10</t>
  </si>
  <si>
    <t>R-1003-1-11</t>
  </si>
  <si>
    <t>R-1003-1-12</t>
  </si>
  <si>
    <t>R-1003-1-13</t>
  </si>
  <si>
    <t>R-1003-1-14</t>
  </si>
  <si>
    <t>R-1003-1-15</t>
  </si>
  <si>
    <t>R-1003-1-16</t>
  </si>
  <si>
    <t>R-1003-1-17</t>
  </si>
  <si>
    <t>R-1003-1-18</t>
  </si>
  <si>
    <t>R-1003-1-19</t>
  </si>
  <si>
    <t>R-1003-1-20</t>
  </si>
  <si>
    <t>R-1003-1-21</t>
  </si>
  <si>
    <t>R-1003-1-22</t>
  </si>
  <si>
    <t>R-1003-1-23</t>
  </si>
  <si>
    <t>R-1003-1-24</t>
  </si>
  <si>
    <t>R-1003-2</t>
  </si>
  <si>
    <t>R-1003-2-1</t>
  </si>
  <si>
    <t>R-1003-2-2</t>
  </si>
  <si>
    <t>R-1003-2-3</t>
  </si>
  <si>
    <t>R-1003-2-4</t>
  </si>
  <si>
    <t>R-1003-2-5</t>
  </si>
  <si>
    <t>R-1003-2-6</t>
  </si>
  <si>
    <t>R-1003-2-7</t>
  </si>
  <si>
    <t>R-1003-2-8</t>
  </si>
  <si>
    <t>R-1003-2-9</t>
  </si>
  <si>
    <t>R-1003-2-10</t>
  </si>
  <si>
    <t>R-1003-2-11</t>
  </si>
  <si>
    <t>R-1003-2-12</t>
  </si>
  <si>
    <t>R-1003-2-13</t>
  </si>
  <si>
    <t>R-1003-2-14</t>
  </si>
  <si>
    <t>R-1003-3</t>
  </si>
  <si>
    <t>R-1003-3-1</t>
  </si>
  <si>
    <t>R-1003-3-2</t>
  </si>
  <si>
    <t>R-1003-3-3</t>
  </si>
  <si>
    <t>R-1003-3-4</t>
  </si>
  <si>
    <t>R-1003-3-5</t>
  </si>
  <si>
    <t>R-0266-1</t>
  </si>
  <si>
    <t>R-0266-1-1</t>
  </si>
  <si>
    <t>R-1016-1</t>
  </si>
  <si>
    <t>R-1016-1-1</t>
  </si>
  <si>
    <t>R-1016-2</t>
  </si>
  <si>
    <t>R-1016-2-1</t>
  </si>
  <si>
    <t>R-1016-3</t>
  </si>
  <si>
    <t>R-1016-3-1</t>
  </si>
  <si>
    <t>R-0117-1</t>
  </si>
  <si>
    <t>R-0117-1-1</t>
  </si>
  <si>
    <t>R-0082-1</t>
  </si>
  <si>
    <t>R-0082-1-1</t>
  </si>
  <si>
    <t>R-1021-1</t>
  </si>
  <si>
    <t>R-1021-1-1</t>
  </si>
  <si>
    <t>R-1021-1-2</t>
  </si>
  <si>
    <t>R-1021-1-3</t>
  </si>
  <si>
    <t>R-1021-1-4</t>
  </si>
  <si>
    <t>S-0010-1</t>
  </si>
  <si>
    <t>S-0010-1-1</t>
  </si>
  <si>
    <t>S-0009-1</t>
  </si>
  <si>
    <t>S-0009-1-1</t>
  </si>
  <si>
    <t>R-1015-1</t>
  </si>
  <si>
    <t>R-1015-1-1</t>
  </si>
  <si>
    <t>R-1015-1-2</t>
  </si>
  <si>
    <t>R-1032-1</t>
  </si>
  <si>
    <t>R-1032-1-1</t>
  </si>
  <si>
    <t>R-1032-1-2</t>
  </si>
  <si>
    <t>R-1032-1-3</t>
  </si>
  <si>
    <t>R-1032-1-4</t>
  </si>
  <si>
    <t>R-1032-1-5</t>
  </si>
  <si>
    <t>R-1032-1-6</t>
  </si>
  <si>
    <t>R-1032-1-7</t>
  </si>
  <si>
    <t>R-1032-1-8</t>
  </si>
  <si>
    <t>R-1032-2</t>
  </si>
  <si>
    <t>R-1032-2-1</t>
  </si>
  <si>
    <t>R-1032-2-2</t>
  </si>
  <si>
    <t>R-1032-2-3</t>
  </si>
  <si>
    <t>R-1032-2-4</t>
  </si>
  <si>
    <t>R-1032-2-5</t>
  </si>
  <si>
    <t>R-0043-1</t>
  </si>
  <si>
    <t>R-0043-1-1</t>
  </si>
  <si>
    <t>R-0063-1</t>
  </si>
  <si>
    <t>R-0063-1-1</t>
  </si>
  <si>
    <t>R-0063-1-2</t>
  </si>
  <si>
    <t>S-0011-1</t>
  </si>
  <si>
    <t>S-0011-1-1</t>
  </si>
  <si>
    <t>S-0011-2</t>
  </si>
  <si>
    <t>S-0011-2-1</t>
  </si>
  <si>
    <t>R-1238-1</t>
  </si>
  <si>
    <t>R-1238-1</t>
    <phoneticPr fontId="5" type="noConversion"/>
  </si>
  <si>
    <t>R-1238-1-1</t>
    <phoneticPr fontId="5" type="noConversion"/>
  </si>
  <si>
    <t>1. 1순위 우선수익권에 대한 채권 모두 상환 완료되어 채권 잔액 없음</t>
    <phoneticPr fontId="5" type="noConversion"/>
  </si>
  <si>
    <t>R-1038-3</t>
  </si>
  <si>
    <t>R-1038-3</t>
    <phoneticPr fontId="5" type="noConversion"/>
  </si>
  <si>
    <t>R-1038-3-1</t>
    <phoneticPr fontId="5" type="noConversion"/>
  </si>
  <si>
    <t>재고자산 일체</t>
  </si>
  <si>
    <t>동산</t>
  </si>
  <si>
    <t>양도담보권</t>
    <phoneticPr fontId="5" type="noConversion"/>
  </si>
  <si>
    <t>근담보</t>
    <phoneticPr fontId="5" type="noConversion"/>
  </si>
  <si>
    <t>유**</t>
    <phoneticPr fontId="5" type="noConversion"/>
  </si>
  <si>
    <t>3**-***-6***97</t>
  </si>
  <si>
    <t>3**-***-6***82</t>
  </si>
  <si>
    <t>3**-***-9***55</t>
  </si>
  <si>
    <t>3**-***-6***23</t>
  </si>
  <si>
    <t>3**-***-2***75</t>
  </si>
  <si>
    <t>1**-***-0***08</t>
  </si>
  <si>
    <t>3**-***-0***06</t>
  </si>
  <si>
    <t>3**-***-0***96</t>
  </si>
  <si>
    <t>3**-***-6***10</t>
  </si>
  <si>
    <t>3**-***-3***09</t>
  </si>
  <si>
    <t>3**-***-3***19</t>
  </si>
  <si>
    <t>3**-***-9***62</t>
  </si>
  <si>
    <t>3**-***-3***95</t>
  </si>
  <si>
    <t>3**-***-4***51</t>
  </si>
  <si>
    <t>3**-***-1***33</t>
  </si>
  <si>
    <t>3**-***-1***24</t>
  </si>
  <si>
    <t>3**-***-5***14</t>
  </si>
  <si>
    <t>3**-***-5***32</t>
  </si>
  <si>
    <t>3**-***-9***39</t>
  </si>
  <si>
    <t>3**-***-2***65</t>
  </si>
  <si>
    <t>3**-***-9***40</t>
  </si>
  <si>
    <t>3**-***-1***54</t>
  </si>
  <si>
    <t>3**-***-6***73</t>
  </si>
  <si>
    <t>3**-***-4***47</t>
  </si>
  <si>
    <t>3**-***-3***31</t>
  </si>
  <si>
    <t>3**-***-3***30</t>
  </si>
  <si>
    <t>3**-***-6***96</t>
  </si>
  <si>
    <t>3**-***-9***71</t>
  </si>
  <si>
    <t>3**-***-9***22</t>
  </si>
  <si>
    <t>1**-***-9***27</t>
  </si>
  <si>
    <t>3**-***-3***69</t>
  </si>
  <si>
    <t>3**-***-1***44</t>
  </si>
  <si>
    <t>3**-***-6***78</t>
  </si>
  <si>
    <t>3**-***-6***35</t>
  </si>
  <si>
    <t>3**-***-1***29</t>
  </si>
  <si>
    <t>3**-***-1***83</t>
  </si>
  <si>
    <t>3**-***-2***29</t>
  </si>
  <si>
    <t>3**-***-0***47</t>
  </si>
  <si>
    <t>3**-***-3***46</t>
  </si>
  <si>
    <t>3**-***-8***14</t>
  </si>
  <si>
    <t>3**-***-1***03</t>
  </si>
  <si>
    <t>3**-***-8***38</t>
  </si>
  <si>
    <t>3**-***-8***52</t>
  </si>
  <si>
    <t>3**-***-8***34</t>
  </si>
  <si>
    <t>3**-***-8***18</t>
  </si>
  <si>
    <t>3**-***-4***39</t>
  </si>
  <si>
    <t>1**-***-5***90</t>
  </si>
  <si>
    <t>3**-***-5***61</t>
  </si>
  <si>
    <t>3**-***-3***99</t>
  </si>
  <si>
    <t>3**-***-5***86</t>
  </si>
  <si>
    <t>3**-***-0***50</t>
  </si>
  <si>
    <t>3**-***-2***43</t>
  </si>
  <si>
    <t>3**-***-0***00</t>
  </si>
  <si>
    <t>3**-***-7***60</t>
  </si>
  <si>
    <t>3**-***-0***92</t>
  </si>
  <si>
    <t>3**-***-9***91</t>
  </si>
  <si>
    <t>3**-***-3***60</t>
  </si>
  <si>
    <t>3**-***-0***08</t>
  </si>
  <si>
    <t>3**-***-2***70</t>
  </si>
  <si>
    <t>3**-***-1***36</t>
  </si>
  <si>
    <t>3**-***-1***02</t>
  </si>
  <si>
    <t>3**-***-9***52</t>
  </si>
  <si>
    <t>3**-***-1***69</t>
  </si>
  <si>
    <t>3**-***-9***64</t>
  </si>
  <si>
    <t>1**-***-0***84</t>
  </si>
  <si>
    <t>3**-***-6***13</t>
  </si>
  <si>
    <t>3**-***-0***88</t>
  </si>
  <si>
    <t>3**-***-6***21</t>
  </si>
  <si>
    <t>3**-***-7***72</t>
  </si>
  <si>
    <t>3**-***-0***24</t>
  </si>
  <si>
    <t>3**-***-8***99</t>
  </si>
  <si>
    <t>3**-***-8***77</t>
  </si>
  <si>
    <t>3**-***-4***80</t>
  </si>
  <si>
    <t>3**-***-4***69</t>
  </si>
  <si>
    <t>3**-***-0***42</t>
  </si>
  <si>
    <t>3**-***-8***96</t>
  </si>
  <si>
    <t>3**-***-9***95</t>
  </si>
  <si>
    <t>3**-***-7***05</t>
  </si>
  <si>
    <t>3**-***-6***72</t>
  </si>
  <si>
    <t>3**-***-3***53</t>
  </si>
  <si>
    <t>3**-***-2***84</t>
  </si>
  <si>
    <t>3**-***-4***42</t>
  </si>
  <si>
    <t>3**-***-6***00</t>
  </si>
  <si>
    <t>3**-***-0***77</t>
  </si>
  <si>
    <t>3**-***-7***43</t>
  </si>
  <si>
    <t>3**-***-6***61</t>
  </si>
  <si>
    <t>3**-***-5***44</t>
  </si>
  <si>
    <t>3**-***-5***92</t>
  </si>
  <si>
    <t>3**-***-8***40</t>
  </si>
  <si>
    <t>3**-***-1***37</t>
  </si>
  <si>
    <t>3**-***-5***23</t>
  </si>
  <si>
    <t>3**-***-5***17</t>
  </si>
  <si>
    <t>3**-***-2***18</t>
  </si>
  <si>
    <t>3**-***-2***16</t>
  </si>
  <si>
    <t>3**-***-9***50</t>
  </si>
  <si>
    <t>3**-***-5***99</t>
  </si>
  <si>
    <t>3**-***-9***41</t>
  </si>
  <si>
    <t>3**-***-6***24</t>
  </si>
  <si>
    <t>3**-***-2***11</t>
  </si>
  <si>
    <t>3**-***-8***00</t>
  </si>
  <si>
    <t>3**-***-6***68</t>
  </si>
  <si>
    <t>3**-***-5***04</t>
  </si>
  <si>
    <t>3**-***-0***91</t>
  </si>
  <si>
    <t>3**-***-1***45</t>
  </si>
  <si>
    <t>3**-***-7***44</t>
  </si>
  <si>
    <t>3**-***-3***26</t>
  </si>
  <si>
    <t>3**-***-2***77</t>
  </si>
  <si>
    <t>3**-***-7***82</t>
  </si>
  <si>
    <t>3**-***-7***10</t>
  </si>
  <si>
    <t>1**-***-3***01</t>
  </si>
  <si>
    <t>3**-***-8***36</t>
  </si>
  <si>
    <t>3**-***-7***75</t>
  </si>
  <si>
    <t>3**-***-6***69</t>
  </si>
  <si>
    <t>3**-***-8***42</t>
  </si>
  <si>
    <t>3**-***-0***58</t>
  </si>
  <si>
    <t>3**-***-3***73</t>
  </si>
  <si>
    <t>3**-***-1***87</t>
  </si>
  <si>
    <t>3**-***-5***10</t>
  </si>
  <si>
    <t>3**-***-3***74</t>
  </si>
  <si>
    <t>3**-***-0***29</t>
  </si>
  <si>
    <t>3**-***-7***97</t>
  </si>
  <si>
    <t>3**-***-8***55</t>
  </si>
  <si>
    <t>3**-***-9***88</t>
  </si>
  <si>
    <t>3**-***-9***36</t>
  </si>
  <si>
    <t>3**-***-9***25</t>
  </si>
  <si>
    <t>3**-***-0***33</t>
  </si>
  <si>
    <t>3**-***-1***07</t>
  </si>
  <si>
    <t>3**-***-8***44</t>
  </si>
  <si>
    <t>3**-***-4***70</t>
  </si>
  <si>
    <t>3**-***-3***50</t>
  </si>
  <si>
    <t>3**-***-5***16</t>
  </si>
  <si>
    <t>3**-***-8***79</t>
  </si>
  <si>
    <t>3**-***-2***14</t>
  </si>
  <si>
    <t>3**-***-0***90</t>
  </si>
  <si>
    <t>3**-***-0***34</t>
  </si>
  <si>
    <t>3**-***-4***26</t>
  </si>
  <si>
    <t>3**-***-0***19</t>
  </si>
  <si>
    <t>3**-***-4***55</t>
  </si>
  <si>
    <t>3**-***-1***43</t>
  </si>
  <si>
    <t>3**-***-2***26</t>
  </si>
  <si>
    <t>3**-***-2***62</t>
  </si>
  <si>
    <t>3**-***-8***39</t>
  </si>
  <si>
    <t>3**-***-7***90</t>
  </si>
  <si>
    <t>3**-***-3***12</t>
  </si>
  <si>
    <t>3**-***-3***07</t>
  </si>
  <si>
    <t>3**-***-1***96</t>
  </si>
  <si>
    <t>3**-***-2***20</t>
  </si>
  <si>
    <t>3**-***-3***75</t>
  </si>
  <si>
    <t>3**-***-4***07</t>
  </si>
  <si>
    <t>3**-***-7***18</t>
  </si>
  <si>
    <t>3**-***-3***66</t>
  </si>
  <si>
    <t>3**-***-9***79</t>
  </si>
  <si>
    <t>3**-***-4***83</t>
  </si>
  <si>
    <t>3**-***-5***53</t>
  </si>
  <si>
    <t>3**-***-1***30</t>
  </si>
  <si>
    <t>3**-***-0***60</t>
  </si>
  <si>
    <t>3**-***-8***66</t>
  </si>
  <si>
    <t>3**-***-1***67</t>
  </si>
  <si>
    <t>3**-***-6***12</t>
  </si>
  <si>
    <t>3**-***-6***47</t>
  </si>
  <si>
    <t>3**-***-6***27</t>
  </si>
  <si>
    <t>3**-***-1***86</t>
  </si>
  <si>
    <t>3**-***-7***32</t>
  </si>
  <si>
    <t>3**-***-7***73</t>
  </si>
  <si>
    <t>3**-***-6***79</t>
  </si>
  <si>
    <t>3**-***-2***10</t>
  </si>
  <si>
    <t>3**-***-8***07</t>
  </si>
  <si>
    <t>3**-***-9***20</t>
  </si>
  <si>
    <t>3**-***-9***17</t>
  </si>
  <si>
    <t>3**-***-8***27</t>
  </si>
  <si>
    <t>3**-***-2***52</t>
  </si>
  <si>
    <t>3**-***-7***13</t>
  </si>
  <si>
    <t>3**-***-0***93</t>
  </si>
  <si>
    <t>3**-***-0***73</t>
  </si>
  <si>
    <t>1**-***-7***59</t>
  </si>
  <si>
    <t>3**-***-3***80</t>
  </si>
  <si>
    <t>3**-***-5***40</t>
  </si>
  <si>
    <t>3**-***-6***89</t>
  </si>
  <si>
    <t>3**-***-8***28</t>
  </si>
  <si>
    <t>3**-***-5***42</t>
  </si>
  <si>
    <t>3**-***-8***23</t>
  </si>
  <si>
    <t>3**-***-1***75</t>
  </si>
  <si>
    <t>3**-***-3***02</t>
  </si>
  <si>
    <t>3**-***-3***27</t>
  </si>
  <si>
    <t>3**-***-2***60</t>
  </si>
  <si>
    <t>3**-***-5***46</t>
  </si>
  <si>
    <t>3**-***-3***41</t>
  </si>
  <si>
    <t>3**-***-4***29</t>
  </si>
  <si>
    <t>3**-***-4***03</t>
  </si>
  <si>
    <t>3**-***-1***66</t>
  </si>
  <si>
    <t>3**-***-0***18</t>
  </si>
  <si>
    <t>3**-***-6***33</t>
  </si>
  <si>
    <t>3**-***-0***16</t>
  </si>
  <si>
    <t>3**-***-1***20</t>
  </si>
  <si>
    <t>3**-***-3***51</t>
  </si>
  <si>
    <t>3**-***-6***81</t>
  </si>
  <si>
    <t>3**-***-3***97</t>
  </si>
  <si>
    <t>3**-***-7***12</t>
  </si>
  <si>
    <t>3**-***-7***22</t>
  </si>
  <si>
    <t>3**-***-8***19</t>
  </si>
  <si>
    <t>3**-***-5***85</t>
  </si>
  <si>
    <t>3**-***-8***92</t>
  </si>
  <si>
    <t>3**-***-7***63</t>
  </si>
  <si>
    <t>3**-***-8***73</t>
  </si>
  <si>
    <t>3**-***-6***28</t>
  </si>
  <si>
    <t>3**-***-3***18</t>
  </si>
  <si>
    <t>3**-***-9***67</t>
  </si>
  <si>
    <t>3**-***-6***70</t>
  </si>
  <si>
    <t>3**-***-2***02</t>
  </si>
  <si>
    <t>3**-***-6***60</t>
  </si>
  <si>
    <t>3**-***-2***80</t>
  </si>
  <si>
    <t>3**-***-0***48</t>
  </si>
  <si>
    <t>1**-***-1***43</t>
  </si>
  <si>
    <t>3**-***-6***66</t>
  </si>
  <si>
    <t>3**-***-2***21</t>
  </si>
  <si>
    <t>3**-***-5***60</t>
  </si>
  <si>
    <t>3**-***-1***23</t>
  </si>
  <si>
    <t>3**-***-1***79</t>
  </si>
  <si>
    <t>3**-***-3***58</t>
  </si>
  <si>
    <t>3**-***-2***22</t>
  </si>
  <si>
    <t>3**-***-7***84</t>
  </si>
  <si>
    <t>3**-***-9***13</t>
  </si>
  <si>
    <t>3**-***-3***55</t>
  </si>
  <si>
    <t>3**-***-9***35</t>
  </si>
  <si>
    <t>3**-***-8***24</t>
  </si>
  <si>
    <t>3**-***-6***43</t>
  </si>
  <si>
    <t>3**-***-3***01</t>
  </si>
  <si>
    <t>3**-***-1***56</t>
  </si>
  <si>
    <t>3**-***-7***04</t>
  </si>
  <si>
    <t>3**-***-3***61</t>
  </si>
  <si>
    <t>1**-***-9***92</t>
  </si>
  <si>
    <t>3**-***-8***01</t>
  </si>
  <si>
    <t>3**-***-3***89</t>
  </si>
  <si>
    <t>3**-***-3***32</t>
  </si>
  <si>
    <t>3**-***-5***35</t>
  </si>
  <si>
    <t>3**-***-9***34</t>
  </si>
  <si>
    <t>3**-***-4***06</t>
  </si>
  <si>
    <t>3**-***-6***80</t>
  </si>
  <si>
    <t>1**-***-3***13</t>
  </si>
  <si>
    <t>3**-***-7***31</t>
  </si>
  <si>
    <t>3**-***-1***97</t>
  </si>
  <si>
    <t>3**-***-2***61</t>
  </si>
  <si>
    <t>3**-***-7***09</t>
  </si>
  <si>
    <t>3**-***-2***09</t>
  </si>
  <si>
    <t>3**-***-5***91</t>
  </si>
  <si>
    <t>1**-***-3***60</t>
  </si>
  <si>
    <t>3**-***-8***50</t>
  </si>
  <si>
    <t>3**-***-8***45</t>
  </si>
  <si>
    <t>3**-***-8***84</t>
  </si>
  <si>
    <t>3**-***-8***89</t>
  </si>
  <si>
    <t>3**-***-8***35</t>
  </si>
  <si>
    <t>3**-***-8***22</t>
  </si>
  <si>
    <t>3**-***-8***30</t>
  </si>
  <si>
    <t>3**-***-8***47</t>
  </si>
  <si>
    <t>3**-***-8***54</t>
  </si>
  <si>
    <t>3**-***-8***86</t>
  </si>
  <si>
    <t>3**-***-8***93</t>
  </si>
  <si>
    <t>3**-***-8***06</t>
  </si>
  <si>
    <t>3**-***-8***13</t>
  </si>
  <si>
    <t>3**-***-8***21</t>
  </si>
  <si>
    <t>3**-***-2***97</t>
  </si>
  <si>
    <t>3**-***-5***09</t>
  </si>
  <si>
    <t>3**-***-8***60</t>
  </si>
  <si>
    <t>1**-***-1***45</t>
  </si>
  <si>
    <t>1**-***-2***97</t>
  </si>
  <si>
    <t>3**-***-0***36</t>
  </si>
  <si>
    <t>3**-***-1***40</t>
  </si>
  <si>
    <t>3**-***-9***37</t>
  </si>
  <si>
    <t>3**-***-8***25</t>
  </si>
  <si>
    <t>3**-***-0***94</t>
  </si>
  <si>
    <t>3**-***-0***05</t>
  </si>
  <si>
    <t>1**-***-8***64</t>
  </si>
  <si>
    <t>3**-***-1***70</t>
  </si>
  <si>
    <t>3**-***-8***41</t>
  </si>
  <si>
    <t>3**-***-4***18</t>
  </si>
  <si>
    <t>3**-***-7***19</t>
  </si>
  <si>
    <t>3**-***-2***66</t>
  </si>
  <si>
    <t>3**-***-9***28</t>
  </si>
  <si>
    <t>3**-***-2***45</t>
  </si>
  <si>
    <t>3**-***-3***44</t>
  </si>
  <si>
    <t>3**-***-6***87</t>
  </si>
  <si>
    <t>3**-***-2***55</t>
  </si>
  <si>
    <t>3**-***-1***01</t>
  </si>
  <si>
    <t>3**-***-2***00</t>
  </si>
  <si>
    <t>3**-***-3***25</t>
  </si>
  <si>
    <t>3**-***-3***94</t>
  </si>
  <si>
    <t>3**-***-2***96</t>
  </si>
  <si>
    <t>3**-***-3***68</t>
  </si>
  <si>
    <t>3**-***-9***80</t>
  </si>
  <si>
    <t>3**-***-1***74</t>
  </si>
  <si>
    <t>3**-***-4***97</t>
  </si>
  <si>
    <t>3**-***-9***32</t>
  </si>
  <si>
    <t>3**-***-5***77</t>
  </si>
  <si>
    <t>3**-***-4***08</t>
  </si>
  <si>
    <t>3**-***-2***83</t>
  </si>
  <si>
    <t>3**-***-5***20</t>
  </si>
  <si>
    <t>3**-***-7***69</t>
  </si>
  <si>
    <t>3**-***-0***39</t>
  </si>
  <si>
    <t>3**-***-3***39</t>
  </si>
  <si>
    <t>3**-***-7***93</t>
  </si>
  <si>
    <t>3**-***-1***10</t>
  </si>
  <si>
    <t>3**-***-5***70</t>
  </si>
  <si>
    <t>3**-***-1***60</t>
  </si>
  <si>
    <t>3**-***-0***89</t>
  </si>
  <si>
    <t>1**-***-9***21</t>
  </si>
  <si>
    <t>3**-***-4***09</t>
  </si>
  <si>
    <t>3**-***-6***64</t>
  </si>
  <si>
    <t>3**-***-1***89</t>
  </si>
  <si>
    <t>1**-***-0***93</t>
  </si>
  <si>
    <t>3**-***-8***69</t>
  </si>
  <si>
    <t>3**-***-5***00</t>
  </si>
  <si>
    <t>3**-***-4***59</t>
  </si>
  <si>
    <t>3**-***-9***02</t>
  </si>
  <si>
    <t>3**-***-9***00</t>
  </si>
  <si>
    <t>3**-***-4***71</t>
  </si>
  <si>
    <t>3**-***-9***12</t>
  </si>
  <si>
    <t>1**-***-0***65</t>
  </si>
  <si>
    <t>3**-***-4***67</t>
  </si>
  <si>
    <t>3**-***-8***62</t>
  </si>
  <si>
    <t>3**-***-0***70</t>
  </si>
  <si>
    <t>3**-***-9***85</t>
  </si>
  <si>
    <t>3**-***-0***10</t>
  </si>
  <si>
    <t>3**-***-1***46</t>
  </si>
  <si>
    <t>3**-***-9***90</t>
  </si>
  <si>
    <t>3**-***-9***89</t>
  </si>
  <si>
    <t>3**-***-8***29</t>
  </si>
  <si>
    <t>3**-***-9***18</t>
  </si>
  <si>
    <t>3**-***-6***90</t>
  </si>
  <si>
    <t>3**-***-4***30</t>
  </si>
  <si>
    <t>3**-***-7***61</t>
  </si>
  <si>
    <t>1**-***-2***71</t>
  </si>
  <si>
    <t>3**-***-7***56</t>
  </si>
  <si>
    <t>3**-***-7***85</t>
  </si>
  <si>
    <t>3**-***-1***52</t>
  </si>
  <si>
    <t>3**-***-6***88</t>
  </si>
  <si>
    <t>3**-***-8***04</t>
  </si>
  <si>
    <t>3**-***-1***48</t>
  </si>
  <si>
    <t>3**-***-9***70</t>
  </si>
  <si>
    <t>3**-***-6***06</t>
  </si>
  <si>
    <t>3**-***-8***48</t>
  </si>
  <si>
    <t>3**-***-4***66</t>
  </si>
  <si>
    <t>3**-***-9***15</t>
  </si>
  <si>
    <t>3**-***-4***60</t>
  </si>
  <si>
    <t>3**-***-5***93</t>
  </si>
  <si>
    <t>3**-***-3***52</t>
  </si>
  <si>
    <t>3**-***-7***94</t>
  </si>
  <si>
    <t>3**-***-8***26</t>
  </si>
  <si>
    <t>3**-***-8***43</t>
  </si>
  <si>
    <t>3**-***-7***74</t>
  </si>
  <si>
    <t>3**-***-9***09</t>
  </si>
  <si>
    <t>3**-***-5***80</t>
  </si>
  <si>
    <t>1**-***-5***52</t>
  </si>
  <si>
    <t>3**-***-9***45</t>
  </si>
  <si>
    <t>3**-***-9***76</t>
  </si>
  <si>
    <t>3**-***-5***02</t>
  </si>
  <si>
    <t>3**-***-6***92</t>
  </si>
  <si>
    <t>1**-***-2***69</t>
  </si>
  <si>
    <t>3**-***-1***76</t>
  </si>
  <si>
    <t>3**-***-2***05</t>
  </si>
  <si>
    <t>3**-***-7***06</t>
  </si>
  <si>
    <t>3**-***-2***30</t>
  </si>
  <si>
    <t>3**-***-9***07</t>
  </si>
  <si>
    <t>3**-***-2***47</t>
  </si>
  <si>
    <t>3**-***-2***44</t>
  </si>
  <si>
    <t>3**-***-9***38</t>
  </si>
  <si>
    <t>3**-***-5***28</t>
  </si>
  <si>
    <t>3**-***-4***27</t>
  </si>
  <si>
    <t>3**-***-2***90</t>
  </si>
  <si>
    <t>1**-***-6***80</t>
  </si>
  <si>
    <t>3**-***-9***03</t>
  </si>
  <si>
    <t>1**-***-5***74</t>
  </si>
  <si>
    <t>3**-***-0***53</t>
  </si>
  <si>
    <t>3**-***-7***88</t>
  </si>
  <si>
    <t>3**-***-5***68</t>
  </si>
  <si>
    <t>3**-***-7***41</t>
  </si>
  <si>
    <t>1**-***-3***25</t>
  </si>
  <si>
    <t>3**-***-3***81</t>
  </si>
  <si>
    <t>3**-***-7***71</t>
  </si>
  <si>
    <t>3**-***-2***59</t>
  </si>
  <si>
    <t>3**-***-4***50</t>
  </si>
  <si>
    <t>3**-***-4***63</t>
  </si>
  <si>
    <t>3**-***-7***15</t>
  </si>
  <si>
    <t>3**-***-5***90</t>
  </si>
  <si>
    <t>3**-***-5***63</t>
  </si>
  <si>
    <t>3**-***-9***53</t>
  </si>
  <si>
    <t>3**-***-0***41</t>
  </si>
  <si>
    <t>3**-***-6***71</t>
  </si>
  <si>
    <t>3**-***-4***02</t>
  </si>
  <si>
    <t>3**-***-2***48</t>
  </si>
  <si>
    <t>3**-***-6***26</t>
  </si>
  <si>
    <t>3**-***-2***91</t>
  </si>
  <si>
    <t>3**-***-7***16</t>
  </si>
  <si>
    <t>3**-***-4***98</t>
  </si>
  <si>
    <t>3**-***-1***35</t>
  </si>
  <si>
    <t>3**-***-7***80</t>
  </si>
  <si>
    <t>3**-***-9***60</t>
  </si>
  <si>
    <t>3**-***-4***31</t>
  </si>
  <si>
    <t>3**-***-0***81</t>
  </si>
  <si>
    <t>3**-***-4***24</t>
  </si>
  <si>
    <t>3**-***-8***33</t>
  </si>
  <si>
    <t>3**-***-9***99</t>
  </si>
  <si>
    <t>3**-***-9***48</t>
  </si>
  <si>
    <t>3**-***-4***64</t>
  </si>
  <si>
    <t>3**-***-2***98</t>
  </si>
  <si>
    <t>3**-***-6***14</t>
  </si>
  <si>
    <t>3**-***-4***38</t>
  </si>
  <si>
    <t>3**-***-3***65</t>
  </si>
  <si>
    <t>3**-***-2***41</t>
  </si>
  <si>
    <t>3**-***-7***49</t>
  </si>
  <si>
    <t>3**-***-3***10</t>
  </si>
  <si>
    <t>3**-***-3***37</t>
  </si>
  <si>
    <t>3**-***-3***23</t>
  </si>
  <si>
    <t>3**-***-7***40</t>
  </si>
  <si>
    <t>3**-***-9***43</t>
  </si>
  <si>
    <t>3**-***-8***97</t>
  </si>
  <si>
    <t>3**-***-1***50</t>
  </si>
  <si>
    <t>3**-***-8***20</t>
  </si>
  <si>
    <t>3**-***-9***82</t>
  </si>
  <si>
    <t>3**-***-2***39</t>
  </si>
  <si>
    <t>3**-***-4***52</t>
  </si>
  <si>
    <t>1**-***-4***66</t>
  </si>
  <si>
    <t>3**-***-2***72</t>
  </si>
  <si>
    <t>3**-***-6***85</t>
  </si>
  <si>
    <t>3**-***-2***79</t>
  </si>
  <si>
    <t>3**-***-5***45</t>
  </si>
  <si>
    <t>3**-***-5***27</t>
  </si>
  <si>
    <t>3**-***-5***87</t>
  </si>
  <si>
    <t>3**-***-5***96</t>
  </si>
  <si>
    <t>3**-***-6***44</t>
  </si>
  <si>
    <t>1**-***-8***55</t>
  </si>
  <si>
    <t>3**-***-9***75</t>
  </si>
  <si>
    <t>3**-***-0***03</t>
  </si>
  <si>
    <t>3**-***-1***15</t>
  </si>
  <si>
    <t>1**-***-1***15</t>
  </si>
  <si>
    <t>3**-***-7***81</t>
  </si>
  <si>
    <t>3**-***-2***01</t>
  </si>
  <si>
    <t>1**-***-8***02</t>
  </si>
  <si>
    <t>3**-***-2***71</t>
  </si>
  <si>
    <t>3**-***-8***46</t>
  </si>
  <si>
    <t>3**-***-6***48</t>
  </si>
  <si>
    <t>3**-***-0***66</t>
  </si>
  <si>
    <t>3**-***-0***01</t>
  </si>
  <si>
    <t>3**-***-4***23</t>
  </si>
  <si>
    <t>3**-***-1***32</t>
  </si>
  <si>
    <t>3**-***-2***08</t>
  </si>
  <si>
    <t>3**-***-1***90</t>
  </si>
  <si>
    <t>3**-***-7***65</t>
  </si>
  <si>
    <t>3**-***-3***56</t>
  </si>
  <si>
    <t>3**-***-4***21</t>
  </si>
  <si>
    <t>3**-***-6***05</t>
  </si>
  <si>
    <t>3**-***-3***40</t>
  </si>
  <si>
    <t>3**-***-0***52</t>
  </si>
  <si>
    <t>3**-***-4***78</t>
  </si>
  <si>
    <t>3**-***-3***48</t>
  </si>
  <si>
    <t>1**-***-9***59</t>
  </si>
  <si>
    <t>1**-***-6***10</t>
  </si>
  <si>
    <t>3**-***-4***33</t>
  </si>
  <si>
    <t>3**-***-7***95</t>
  </si>
  <si>
    <t>3**-***-7***34</t>
  </si>
  <si>
    <t>3**-***-0***15</t>
  </si>
  <si>
    <t>3**-***-3***15</t>
  </si>
  <si>
    <t>3**-***-1***00</t>
  </si>
  <si>
    <t>3**-***-5***72</t>
  </si>
  <si>
    <t>3**-***-5***48</t>
  </si>
  <si>
    <t>3**-***-5***66</t>
  </si>
  <si>
    <t>3**-***-5***84</t>
  </si>
  <si>
    <t>3**-***-1***84</t>
  </si>
  <si>
    <t>3**-***-8***87</t>
  </si>
  <si>
    <t>3**-***-9***08</t>
  </si>
  <si>
    <t>3**-***-8***37</t>
  </si>
  <si>
    <t>1**-***-8***86</t>
  </si>
  <si>
    <t>3**-***-2***74</t>
  </si>
  <si>
    <t>3**-***-2***37</t>
  </si>
  <si>
    <t>3**-***-9***10</t>
  </si>
  <si>
    <t>3**-***-7***59</t>
  </si>
  <si>
    <t>3**-***-6***38</t>
  </si>
  <si>
    <t>3**-***-7***67</t>
  </si>
  <si>
    <t>3**-***-3***29</t>
  </si>
  <si>
    <t>1**-***-9***09</t>
  </si>
  <si>
    <t>3**-***-9***84</t>
  </si>
  <si>
    <t>1**-***-7***00</t>
  </si>
  <si>
    <t>3**-***-6***62</t>
  </si>
  <si>
    <t>3**-***-6***22</t>
  </si>
  <si>
    <t>3**-***-0***87</t>
  </si>
  <si>
    <t>3**-***-4***28</t>
  </si>
  <si>
    <t>1**-***-4***97</t>
  </si>
  <si>
    <t>3**-***-1***11</t>
  </si>
  <si>
    <t>3**-***-1***18</t>
  </si>
  <si>
    <t>3**-***-4***58</t>
  </si>
  <si>
    <t>3**-***-4***53</t>
  </si>
  <si>
    <t>3**-***-8***80</t>
  </si>
  <si>
    <t>3**-***-4***87</t>
  </si>
  <si>
    <t>3**-***-9***87</t>
  </si>
  <si>
    <t>3**-***-8***32</t>
  </si>
  <si>
    <t>3**-***-8***05</t>
  </si>
  <si>
    <t>3**-***-0***98</t>
  </si>
  <si>
    <t>1**-***-3***78</t>
  </si>
  <si>
    <t>3**-***-0***49</t>
  </si>
  <si>
    <t>3**-***-5***15</t>
  </si>
  <si>
    <t>3**-***-9***31</t>
  </si>
  <si>
    <t>3**-***-3***21</t>
  </si>
  <si>
    <t>3**-***-8***12</t>
  </si>
  <si>
    <t>3**-***-0***11</t>
  </si>
  <si>
    <t>3**-***-2***06</t>
  </si>
  <si>
    <t>3**-***-8***64</t>
  </si>
  <si>
    <t>3**-***-5***37</t>
  </si>
  <si>
    <t>3**-***-0***67</t>
  </si>
  <si>
    <t>3**-***-0***97</t>
  </si>
  <si>
    <t>3**-***-5***64</t>
  </si>
  <si>
    <t>3**-***-2***50</t>
  </si>
  <si>
    <t>3**-***-4***81</t>
  </si>
  <si>
    <t>3**-***-8***81</t>
  </si>
  <si>
    <t>3**-***-8***03</t>
  </si>
  <si>
    <t>3**-***-3***16</t>
  </si>
  <si>
    <t>3**-***-5***50</t>
  </si>
  <si>
    <t>3**-***-5***97</t>
  </si>
  <si>
    <t>3**-***-1***77</t>
  </si>
  <si>
    <t>3**-***-2***93</t>
  </si>
  <si>
    <t>3**-***-0***43</t>
  </si>
  <si>
    <t>3**-***-5***12</t>
  </si>
  <si>
    <t>3**-***-9***68</t>
  </si>
  <si>
    <t>3**-***-4***22</t>
  </si>
  <si>
    <t>3**-***-1***09</t>
  </si>
  <si>
    <t>3**-***-5***65</t>
  </si>
  <si>
    <t>3**-***-7***50</t>
  </si>
  <si>
    <t>3**-***-9***96</t>
  </si>
  <si>
    <t>3**-***-4***88</t>
  </si>
  <si>
    <t>3**-***-4***46</t>
  </si>
  <si>
    <t>3**-***-6***34</t>
  </si>
  <si>
    <t>3**-***-9***54</t>
  </si>
  <si>
    <t>3**-***-2***86</t>
  </si>
  <si>
    <t>3**-***-8***70</t>
  </si>
  <si>
    <t>3**-***-7***33</t>
  </si>
  <si>
    <t>3**-***-5***83</t>
  </si>
  <si>
    <t>3**-***-3***85</t>
  </si>
  <si>
    <t>3**-***-8***56</t>
  </si>
  <si>
    <t>3**-***-6***04</t>
  </si>
  <si>
    <t>3**-***-4***56</t>
  </si>
  <si>
    <t>3**-***-0***99</t>
  </si>
  <si>
    <t>3**-***-3***92</t>
  </si>
  <si>
    <t>3**-***-6***56</t>
  </si>
  <si>
    <t>3**-***-4***74</t>
  </si>
  <si>
    <t>3**-***-6***98</t>
  </si>
  <si>
    <t>3**-***-5***81</t>
  </si>
  <si>
    <t>3**-***-1***71</t>
  </si>
  <si>
    <t>3**-***-3***13</t>
  </si>
  <si>
    <t>3**-***-2***82</t>
  </si>
  <si>
    <t>3**-***-0***23</t>
  </si>
  <si>
    <t>3**-***-3***06</t>
  </si>
  <si>
    <t>3**-***-6***30</t>
  </si>
  <si>
    <t>3**-***-4***48</t>
  </si>
  <si>
    <t>3**-***-4***36</t>
  </si>
  <si>
    <t>3**-***-4***85</t>
  </si>
  <si>
    <t>3**-***-6***55</t>
  </si>
  <si>
    <t>1**-***-5***48</t>
  </si>
  <si>
    <t>3**-***-7***00</t>
  </si>
  <si>
    <t>3**-***-8***10</t>
  </si>
  <si>
    <t>3**-***-2***68</t>
  </si>
  <si>
    <t>3**-***-8***61</t>
  </si>
  <si>
    <t>3**-***-3***45</t>
  </si>
  <si>
    <t>3**-***-9***73</t>
  </si>
  <si>
    <t>3**-***-7***98</t>
  </si>
  <si>
    <t>3**-***-3***17</t>
  </si>
  <si>
    <t>3**-***-8***74</t>
  </si>
  <si>
    <t>3**-***-3***93</t>
  </si>
  <si>
    <t>3**-***-4***61</t>
  </si>
  <si>
    <t>3**-***-3***43</t>
  </si>
  <si>
    <t>3**-***-4***37</t>
  </si>
  <si>
    <t>3**-***-2***95</t>
  </si>
  <si>
    <t>3**-***-6***50</t>
  </si>
  <si>
    <t>3**-***-6***59</t>
  </si>
  <si>
    <t>3**-***-6***15</t>
  </si>
  <si>
    <t>3**-***-7***27</t>
  </si>
  <si>
    <t>3**-***-7***57</t>
  </si>
  <si>
    <t>3**-***-5***39</t>
  </si>
  <si>
    <t>3**-***-2***78</t>
  </si>
  <si>
    <t>3**-***-1***27</t>
  </si>
  <si>
    <t>3**-***-2***23</t>
  </si>
  <si>
    <t>3**-***-5***43</t>
  </si>
  <si>
    <t>3**-***-2***17</t>
  </si>
  <si>
    <t>3**-***-6***37</t>
  </si>
  <si>
    <t>3**-***-6***91</t>
  </si>
  <si>
    <t>3**-***-1***93</t>
  </si>
  <si>
    <t>3**-***-0***30</t>
  </si>
  <si>
    <t>3**-***-0***85</t>
  </si>
  <si>
    <t>3**-***-0***57</t>
  </si>
  <si>
    <t>3**-***-4***77</t>
  </si>
  <si>
    <t>3**-***-1***08</t>
  </si>
  <si>
    <t>3**-***-0***04</t>
  </si>
  <si>
    <t>3**-***-2***53</t>
  </si>
  <si>
    <t>3**-***-0***14</t>
  </si>
  <si>
    <t>3**-***-3***20</t>
  </si>
  <si>
    <t>3**-***-9***72</t>
  </si>
  <si>
    <t>3**-***-7***28</t>
  </si>
  <si>
    <t>3**-***-2***42</t>
  </si>
  <si>
    <t>3**-***-5***79</t>
  </si>
  <si>
    <t>3**-***-8***51</t>
  </si>
  <si>
    <t>3**-***-6***03</t>
  </si>
  <si>
    <t>3**-***-5***07</t>
  </si>
  <si>
    <t>3**-***-5***13</t>
  </si>
  <si>
    <t>3**-***-0***76</t>
  </si>
  <si>
    <t>3**-***-0***07</t>
  </si>
  <si>
    <t>3**-***-7***01</t>
  </si>
  <si>
    <t>3**-***-0***75</t>
  </si>
  <si>
    <t>3**-***-8***63</t>
  </si>
  <si>
    <t>3**-***-7***21</t>
  </si>
  <si>
    <t>3**-***-3***49</t>
  </si>
  <si>
    <t>3**-***-3***63</t>
  </si>
  <si>
    <t>3**-***-5***19</t>
  </si>
  <si>
    <t>3**-***-7***11</t>
  </si>
  <si>
    <t>3**-***-7***96</t>
  </si>
  <si>
    <t>3**-***-1***25</t>
  </si>
  <si>
    <t>3**-***-0***54</t>
  </si>
  <si>
    <t>3**-***-9***49</t>
  </si>
  <si>
    <t>3**-***-9***29</t>
  </si>
  <si>
    <t>1**-***-4***82</t>
  </si>
  <si>
    <t>3**-***-7***79</t>
  </si>
  <si>
    <t>3**-***-7***46</t>
  </si>
  <si>
    <t>3**-***-4***20</t>
  </si>
  <si>
    <t>3**-***-4***86</t>
  </si>
  <si>
    <t>3**-***-6***07</t>
  </si>
  <si>
    <t>R-0036_01</t>
  </si>
  <si>
    <t>R-0036_02</t>
  </si>
  <si>
    <t>R-1080_01</t>
  </si>
  <si>
    <t>R-3001_01</t>
  </si>
  <si>
    <t>R-1169_01</t>
  </si>
  <si>
    <t>R-0026_01</t>
  </si>
  <si>
    <t>R-0026_02</t>
  </si>
  <si>
    <t>R-0026_03</t>
  </si>
  <si>
    <t>R-0026_04</t>
  </si>
  <si>
    <t>R-0026_05</t>
  </si>
  <si>
    <t>R-0026_06</t>
  </si>
  <si>
    <t>R-0026_07</t>
  </si>
  <si>
    <t>S-1006_01</t>
  </si>
  <si>
    <t>S-1006_02</t>
  </si>
  <si>
    <t>S-1006_03</t>
  </si>
  <si>
    <t>S-1006_04</t>
  </si>
  <si>
    <t>R-0048_01</t>
  </si>
  <si>
    <t>R-0048_02</t>
  </si>
  <si>
    <t>R-0136_01</t>
  </si>
  <si>
    <t>R-0176_01</t>
  </si>
  <si>
    <t>R-1098_01</t>
  </si>
  <si>
    <t>R-1179_01</t>
  </si>
  <si>
    <t>R-0138_01</t>
  </si>
  <si>
    <t>R-0273_01</t>
  </si>
  <si>
    <t>R-1119_01</t>
  </si>
  <si>
    <t>R-1259_01</t>
  </si>
  <si>
    <t>R-1264_01</t>
  </si>
  <si>
    <t>R-0274_01</t>
  </si>
  <si>
    <t>R-1222_01</t>
  </si>
  <si>
    <t>R-1053_01</t>
  </si>
  <si>
    <t>R-1053_02</t>
  </si>
  <si>
    <t>R-1281_01</t>
  </si>
  <si>
    <t>R-0253_01</t>
  </si>
  <si>
    <t>R-1085_01</t>
  </si>
  <si>
    <t>R-0056_01</t>
  </si>
  <si>
    <t>R-0056_02</t>
  </si>
  <si>
    <t>R-0056_03</t>
  </si>
  <si>
    <t>R-0056_04</t>
  </si>
  <si>
    <t>R-0056_05</t>
  </si>
  <si>
    <t>R-0015_01</t>
  </si>
  <si>
    <t>R-0015_02</t>
  </si>
  <si>
    <t>R-0015_03</t>
  </si>
  <si>
    <t>R-0015_04</t>
  </si>
  <si>
    <t>R-0015_05</t>
  </si>
  <si>
    <t>R-0015_06</t>
  </si>
  <si>
    <t>R-0268_01</t>
  </si>
  <si>
    <t>R-1236_01</t>
  </si>
  <si>
    <t>R-1008_01</t>
  </si>
  <si>
    <t>R-1008_02</t>
  </si>
  <si>
    <t>R-1008_03</t>
  </si>
  <si>
    <t>R-1008_04</t>
  </si>
  <si>
    <t>R-1008_05</t>
  </si>
  <si>
    <t>R-1008_06</t>
  </si>
  <si>
    <t>R-1008_07</t>
  </si>
  <si>
    <t>R-1108_01</t>
  </si>
  <si>
    <t>R-0221_01</t>
  </si>
  <si>
    <t>R-1017_01</t>
  </si>
  <si>
    <t>R-1017_02</t>
  </si>
  <si>
    <t>R-0265_01</t>
  </si>
  <si>
    <t>R-0035_01</t>
  </si>
  <si>
    <t>R-0035_02</t>
  </si>
  <si>
    <t>R-0012_01</t>
  </si>
  <si>
    <t>R-0012_02</t>
  </si>
  <si>
    <t>R-1288_01</t>
  </si>
  <si>
    <t>R-0112_01</t>
  </si>
  <si>
    <t>R-0112_02</t>
  </si>
  <si>
    <t>R-0112_03</t>
  </si>
  <si>
    <t>R-1107_01</t>
  </si>
  <si>
    <t>R-1165_01</t>
  </si>
  <si>
    <t>R-1279_01</t>
  </si>
  <si>
    <t>R-1120_01</t>
  </si>
  <si>
    <t>R-1170_01</t>
  </si>
  <si>
    <t>R-1170_02</t>
  </si>
  <si>
    <t>R-1170_03</t>
  </si>
  <si>
    <t>R-0210_01</t>
  </si>
  <si>
    <t>R-0113_01</t>
  </si>
  <si>
    <t>R-0145_01</t>
  </si>
  <si>
    <t>R-1203_01</t>
  </si>
  <si>
    <t>R-1122_01</t>
  </si>
  <si>
    <t>R-1122_02</t>
  </si>
  <si>
    <t>R-1189_01</t>
  </si>
  <si>
    <t>R-0054_01</t>
  </si>
  <si>
    <t>R-0246_01</t>
  </si>
  <si>
    <t>R-0141_01</t>
  </si>
  <si>
    <t>R-0003_01</t>
  </si>
  <si>
    <t>R-0121_01</t>
  </si>
  <si>
    <t>R-0121_02</t>
  </si>
  <si>
    <t>R-0121_03</t>
  </si>
  <si>
    <t>R-0121_04</t>
  </si>
  <si>
    <t>R-1116_01</t>
  </si>
  <si>
    <t>R-1116_02</t>
  </si>
  <si>
    <t>R-0137_01</t>
  </si>
  <si>
    <t>R-1174_01</t>
  </si>
  <si>
    <t>R-0044_01</t>
  </si>
  <si>
    <t>R-0044_02</t>
  </si>
  <si>
    <t>R-0044_03</t>
  </si>
  <si>
    <t>R-1256_01</t>
  </si>
  <si>
    <t>R-0123_01</t>
  </si>
  <si>
    <t>R-0120_01</t>
  </si>
  <si>
    <t>R-1067_01</t>
  </si>
  <si>
    <t>R-1158_01</t>
  </si>
  <si>
    <t>R-1269_01</t>
  </si>
  <si>
    <t>R-0216_01</t>
  </si>
  <si>
    <t>R-1250_01</t>
  </si>
  <si>
    <t>R-1126_01</t>
  </si>
  <si>
    <t>R-1126_02</t>
  </si>
  <si>
    <t>R-1126_03</t>
  </si>
  <si>
    <t>R-1226_01</t>
  </si>
  <si>
    <t>R-1177_01</t>
  </si>
  <si>
    <t>R-1205_01</t>
  </si>
  <si>
    <t>R-0269_01</t>
  </si>
  <si>
    <t>R-1225_01</t>
  </si>
  <si>
    <t>S-0007_01</t>
  </si>
  <si>
    <t>S-0007_02</t>
  </si>
  <si>
    <t>R-0244_01</t>
  </si>
  <si>
    <t>R-1127_01</t>
  </si>
  <si>
    <t>R-1285_01</t>
  </si>
  <si>
    <t>R-0276_01</t>
  </si>
  <si>
    <t>R-0158_01</t>
  </si>
  <si>
    <t>R-0220_01</t>
  </si>
  <si>
    <t>R-0205_01</t>
  </si>
  <si>
    <t>R-1258_01</t>
  </si>
  <si>
    <t>R-0073_01</t>
  </si>
  <si>
    <t>R-0032_01</t>
  </si>
  <si>
    <t>R-0167_01</t>
  </si>
  <si>
    <t>R-0154_01</t>
  </si>
  <si>
    <t>R-1220_01</t>
  </si>
  <si>
    <t>R-1230_01</t>
  </si>
  <si>
    <t>R-1224_01</t>
  </si>
  <si>
    <t>R-0002_01</t>
  </si>
  <si>
    <t>R-0002_02</t>
  </si>
  <si>
    <t>R-0002_03</t>
  </si>
  <si>
    <t>R-0002_04</t>
  </si>
  <si>
    <t>R-0002_05</t>
  </si>
  <si>
    <t>R-1117_01</t>
  </si>
  <si>
    <t>R-1137_01</t>
  </si>
  <si>
    <t>R-1278_01</t>
  </si>
  <si>
    <t>R-0071_01</t>
  </si>
  <si>
    <t>R-1283_01</t>
  </si>
  <si>
    <t>R-0104_01</t>
  </si>
  <si>
    <t>R-0143_01</t>
  </si>
  <si>
    <t>R-1058_01</t>
  </si>
  <si>
    <t>R-1110_01</t>
  </si>
  <si>
    <t>R-0069_01</t>
  </si>
  <si>
    <t>R-0069_02</t>
  </si>
  <si>
    <t>R-1149_01</t>
  </si>
  <si>
    <t>R-1149_02</t>
  </si>
  <si>
    <t>R-1210_01</t>
  </si>
  <si>
    <t>R-0260_01</t>
  </si>
  <si>
    <t>R-1073_01</t>
  </si>
  <si>
    <t>R-1073_02</t>
  </si>
  <si>
    <t>R-0257_01</t>
  </si>
  <si>
    <t>R-1066_01</t>
  </si>
  <si>
    <t>R-1066_02</t>
  </si>
  <si>
    <t>R-0174_01</t>
  </si>
  <si>
    <t>R-1255_01</t>
  </si>
  <si>
    <t>R-1027_01</t>
  </si>
  <si>
    <t>R-1027_02</t>
  </si>
  <si>
    <t>R-1027_03</t>
  </si>
  <si>
    <t>R-0157_01</t>
  </si>
  <si>
    <t>R-0175_01</t>
  </si>
  <si>
    <t>R-1207_01</t>
  </si>
  <si>
    <t>R-0213_01</t>
  </si>
  <si>
    <t>R-1233_01</t>
  </si>
  <si>
    <t>R-1233_02</t>
  </si>
  <si>
    <t>R-0238_01</t>
  </si>
  <si>
    <t>R-1204_01</t>
  </si>
  <si>
    <t>R-0045_01</t>
  </si>
  <si>
    <t>R-0045_02</t>
  </si>
  <si>
    <t>R-0045_03</t>
  </si>
  <si>
    <t>R-0128_01</t>
  </si>
  <si>
    <t>R-0115_01</t>
  </si>
  <si>
    <t>R-0115_02</t>
  </si>
  <si>
    <t>R-1214_01</t>
  </si>
  <si>
    <t>R-0135_01</t>
  </si>
  <si>
    <t>R-1260_01</t>
  </si>
  <si>
    <t>R-0233_01</t>
  </si>
  <si>
    <t>R-1069_01</t>
  </si>
  <si>
    <t>R-1069_02</t>
  </si>
  <si>
    <t>R-1069_03</t>
  </si>
  <si>
    <t>R-0262_01</t>
  </si>
  <si>
    <t>R-1131_01</t>
  </si>
  <si>
    <t>R-0280_01</t>
  </si>
  <si>
    <t>R-1267_01</t>
  </si>
  <si>
    <t>R-0096_01</t>
  </si>
  <si>
    <t>R-1141_01</t>
  </si>
  <si>
    <t>R-1086_01</t>
  </si>
  <si>
    <t>R-1263_01</t>
  </si>
  <si>
    <t>R-0166_01</t>
  </si>
  <si>
    <t>R-1034_01</t>
  </si>
  <si>
    <t>R-0227_01</t>
  </si>
  <si>
    <t>R-0215_01</t>
  </si>
  <si>
    <t>S-0010_01</t>
  </si>
  <si>
    <t>R-0078_01</t>
  </si>
  <si>
    <t>R-0078_02</t>
  </si>
  <si>
    <t>R-0078_03</t>
  </si>
  <si>
    <t>R-1159_01</t>
  </si>
  <si>
    <t>R-1159_02</t>
  </si>
  <si>
    <t>R-1093_01</t>
  </si>
  <si>
    <t>R-1036_01</t>
  </si>
  <si>
    <t>R-0153_01</t>
  </si>
  <si>
    <t>R-0263_01</t>
  </si>
  <si>
    <t>R-1129_01</t>
  </si>
  <si>
    <t>R-1099_01</t>
  </si>
  <si>
    <t>R-0140_01</t>
  </si>
  <si>
    <t>R-1286_01</t>
  </si>
  <si>
    <t>R-0085_01</t>
  </si>
  <si>
    <t>R-0159_01</t>
  </si>
  <si>
    <t>R-1103_01</t>
  </si>
  <si>
    <t>R-1266_01</t>
  </si>
  <si>
    <t>R-1043_01</t>
  </si>
  <si>
    <t>R-1183_01</t>
  </si>
  <si>
    <t>R-1199_01</t>
  </si>
  <si>
    <t>R-1157_01</t>
  </si>
  <si>
    <t>R-1148_01</t>
  </si>
  <si>
    <t>R-0222_01</t>
  </si>
  <si>
    <t>R-0172_01</t>
  </si>
  <si>
    <t>R-0172_02</t>
  </si>
  <si>
    <t>R-0172_03</t>
  </si>
  <si>
    <t>R-0172_04</t>
  </si>
  <si>
    <t>R-0172_05</t>
  </si>
  <si>
    <t>R-0172_06</t>
  </si>
  <si>
    <t>R-1062_01</t>
  </si>
  <si>
    <t>R-1062_02</t>
  </si>
  <si>
    <t>R-1062_03</t>
  </si>
  <si>
    <t>R-1139_01</t>
  </si>
  <si>
    <t>R-0119_01</t>
  </si>
  <si>
    <t>R-0119_02</t>
  </si>
  <si>
    <t>R-0214_01</t>
  </si>
  <si>
    <t>R-0108_01</t>
  </si>
  <si>
    <t>R-1180_01</t>
  </si>
  <si>
    <t>R-1145_01</t>
  </si>
  <si>
    <t>R-1284_01</t>
  </si>
  <si>
    <t>R-1046_01</t>
  </si>
  <si>
    <t>R-0046_01</t>
  </si>
  <si>
    <t>R-0046_02</t>
  </si>
  <si>
    <t>R-1104_01</t>
  </si>
  <si>
    <t>R-0133_01</t>
  </si>
  <si>
    <t>R-1275_01</t>
  </si>
  <si>
    <t>R-1213_01</t>
  </si>
  <si>
    <t>R-1091_01</t>
  </si>
  <si>
    <t>R-1185_01</t>
  </si>
  <si>
    <t>R-1184_01</t>
  </si>
  <si>
    <t>R-0258_01</t>
  </si>
  <si>
    <t>R-0027_01</t>
  </si>
  <si>
    <t>R-0027_02</t>
  </si>
  <si>
    <t>R-0027_03</t>
  </si>
  <si>
    <t>R-0027_04</t>
  </si>
  <si>
    <t>R-0027_05</t>
  </si>
  <si>
    <t>R-0027_06</t>
  </si>
  <si>
    <t>R-0027_07</t>
  </si>
  <si>
    <t>R-0027_08</t>
  </si>
  <si>
    <t>R-0027_09</t>
  </si>
  <si>
    <t>R-0027_10</t>
  </si>
  <si>
    <t>R-1212_01</t>
  </si>
  <si>
    <t>R-1134_01</t>
  </si>
  <si>
    <t>R-1134_02</t>
  </si>
  <si>
    <t>R-1135_01</t>
  </si>
  <si>
    <t>R-1135_02</t>
  </si>
  <si>
    <t>R-0039_01</t>
  </si>
  <si>
    <t>R-0039_02</t>
  </si>
  <si>
    <t>R-0039_03</t>
  </si>
  <si>
    <t>R-0039_04</t>
  </si>
  <si>
    <t>R-0039_05</t>
  </si>
  <si>
    <t>R-1262_01</t>
  </si>
  <si>
    <t>S-0002_01</t>
  </si>
  <si>
    <t>S-0002_02</t>
  </si>
  <si>
    <t>S-0002_03</t>
  </si>
  <si>
    <t>S-0002_04</t>
  </si>
  <si>
    <t>S-0002_05</t>
  </si>
  <si>
    <t>S-0002_06</t>
  </si>
  <si>
    <t>R-0249_01</t>
  </si>
  <si>
    <t>R-0180_01</t>
  </si>
  <si>
    <t>R-1045_01</t>
  </si>
  <si>
    <t>R-1045_02</t>
  </si>
  <si>
    <t>R-1045_03</t>
  </si>
  <si>
    <t>S-1001_01</t>
  </si>
  <si>
    <t>S-1001_02</t>
  </si>
  <si>
    <t>R-1081_01</t>
  </si>
  <si>
    <t>R-1100_01</t>
  </si>
  <si>
    <t>R-0111_01</t>
  </si>
  <si>
    <t>R-0179_01</t>
  </si>
  <si>
    <t>R-0024_01</t>
  </si>
  <si>
    <t>R-0024_02</t>
  </si>
  <si>
    <t>R-1040_01</t>
  </si>
  <si>
    <t>R-1040_02</t>
  </si>
  <si>
    <t>R-1040_03</t>
  </si>
  <si>
    <t>R-1040_04</t>
  </si>
  <si>
    <t>R-1040_05</t>
  </si>
  <si>
    <t>R-1040_06</t>
  </si>
  <si>
    <t>R-1040_07</t>
  </si>
  <si>
    <t>R-1040_08</t>
  </si>
  <si>
    <t>R-1040_09</t>
  </si>
  <si>
    <t>R-1040_10</t>
  </si>
  <si>
    <t>R-1040_11</t>
  </si>
  <si>
    <t>R-1040_12</t>
  </si>
  <si>
    <t>R-1040_13</t>
  </si>
  <si>
    <t>R-1040_14</t>
  </si>
  <si>
    <t>R-1040_15</t>
  </si>
  <si>
    <t>R-1040_16</t>
  </si>
  <si>
    <t>R-1040_17</t>
  </si>
  <si>
    <t>R-1040_18</t>
  </si>
  <si>
    <t>R-1277_01</t>
  </si>
  <si>
    <t>R-0194_01</t>
  </si>
  <si>
    <t>R-1162_01</t>
  </si>
  <si>
    <t>R-0163_01</t>
  </si>
  <si>
    <t>R-1029_01</t>
  </si>
  <si>
    <t>R-1029_02</t>
  </si>
  <si>
    <t>R-1029_03</t>
  </si>
  <si>
    <t>R-1029_04</t>
  </si>
  <si>
    <t>R-1029_05</t>
  </si>
  <si>
    <t>R-0272_01</t>
  </si>
  <si>
    <t>R-1178_01</t>
  </si>
  <si>
    <t>R-1136_01</t>
  </si>
  <si>
    <t>R-1003_01</t>
  </si>
  <si>
    <t>R-1003_02</t>
  </si>
  <si>
    <t>R-0171_01</t>
  </si>
  <si>
    <t>R-0171_02</t>
  </si>
  <si>
    <t>R-0171_03</t>
  </si>
  <si>
    <t>R-0074_01</t>
  </si>
  <si>
    <t>R-1079_01</t>
  </si>
  <si>
    <t>R-1079_02</t>
  </si>
  <si>
    <t>R-1079_03</t>
  </si>
  <si>
    <t>R-1261_01</t>
  </si>
  <si>
    <t>R-1070_01</t>
  </si>
  <si>
    <t>R-1231_01</t>
  </si>
  <si>
    <t>R-1106_01</t>
  </si>
  <si>
    <t>R-0232_01</t>
  </si>
  <si>
    <t>R-0236_01</t>
  </si>
  <si>
    <t>R-1094_01</t>
  </si>
  <si>
    <t>R-1143_01</t>
  </si>
  <si>
    <t>R-1143_02</t>
  </si>
  <si>
    <t>R-0182_01</t>
  </si>
  <si>
    <t>R-0081_01</t>
  </si>
  <si>
    <t>R-1101_01</t>
  </si>
  <si>
    <t>R-1241_01</t>
  </si>
  <si>
    <t>R-0077_01</t>
  </si>
  <si>
    <t>R-0161_01</t>
  </si>
  <si>
    <t>R-0042_01</t>
  </si>
  <si>
    <t>R-0231_01</t>
  </si>
  <si>
    <t>R-0067_01</t>
  </si>
  <si>
    <t>R-0079_01</t>
  </si>
  <si>
    <t>R-0079_02</t>
  </si>
  <si>
    <t>R-1190_01</t>
  </si>
  <si>
    <t>R-0264_01</t>
  </si>
  <si>
    <t>R-1132_01</t>
  </si>
  <si>
    <t>R-1095_01</t>
  </si>
  <si>
    <t>R-1142_01</t>
  </si>
  <si>
    <t>R-1142_02</t>
  </si>
  <si>
    <t>R-0149_01</t>
  </si>
  <si>
    <t>R-1181_01</t>
  </si>
  <si>
    <t>R-1090_01</t>
  </si>
  <si>
    <t>R-1240_01</t>
  </si>
  <si>
    <t>R-1186_01</t>
  </si>
  <si>
    <t>R-0237_01</t>
  </si>
  <si>
    <t>R-1128_01</t>
  </si>
  <si>
    <t>R-0029_01</t>
  </si>
  <si>
    <t>R-0029_02</t>
  </si>
  <si>
    <t>R-0029_03</t>
  </si>
  <si>
    <t>R-0204_01</t>
  </si>
  <si>
    <t>R-0212_01</t>
  </si>
  <si>
    <t>R-1044_01</t>
  </si>
  <si>
    <t>R-1044_02</t>
  </si>
  <si>
    <t>R-1044_03</t>
  </si>
  <si>
    <t>R-0190_01</t>
  </si>
  <si>
    <t>R-1083_01</t>
  </si>
  <si>
    <t>R-0072_01</t>
  </si>
  <si>
    <t>R-0072_02</t>
  </si>
  <si>
    <t>R-0072_03</t>
  </si>
  <si>
    <t>R-0072_04</t>
  </si>
  <si>
    <t>R-0072_05</t>
  </si>
  <si>
    <t>R-0072_06</t>
  </si>
  <si>
    <t>R-0183_01</t>
  </si>
  <si>
    <t>R-0281_01</t>
  </si>
  <si>
    <t>R-0109_01</t>
  </si>
  <si>
    <t>R-0109_02</t>
  </si>
  <si>
    <t>R-1160_01</t>
  </si>
  <si>
    <t>R-0242_01</t>
  </si>
  <si>
    <t>R-1166_01</t>
  </si>
  <si>
    <t>R-0090_01</t>
  </si>
  <si>
    <t>R-0282_01</t>
  </si>
  <si>
    <t>R-0228_01</t>
  </si>
  <si>
    <t>R-1004_01</t>
  </si>
  <si>
    <t>R-1004_02</t>
  </si>
  <si>
    <t>R-0225_01</t>
  </si>
  <si>
    <t>R-1221_01</t>
  </si>
  <si>
    <t>R-1191_01</t>
  </si>
  <si>
    <t>R-0256_01</t>
  </si>
  <si>
    <t>R-0151_01</t>
  </si>
  <si>
    <t>R-0019_01</t>
  </si>
  <si>
    <t>R-1176_01</t>
  </si>
  <si>
    <t>R-1217_01</t>
  </si>
  <si>
    <t>R-0075_01</t>
  </si>
  <si>
    <t>R-1215_01</t>
  </si>
  <si>
    <t>R-0131_01</t>
  </si>
  <si>
    <t>R-0131_02</t>
  </si>
  <si>
    <t>R-0131_03</t>
  </si>
  <si>
    <t>R-1172_01</t>
  </si>
  <si>
    <t>R-1172_02</t>
  </si>
  <si>
    <t>R-0240_01</t>
  </si>
  <si>
    <t>R-0240_02</t>
  </si>
  <si>
    <t>R-0248_01</t>
  </si>
  <si>
    <t>R-1138_01</t>
  </si>
  <si>
    <t>R-0181_01</t>
  </si>
  <si>
    <t>R-1163_01</t>
  </si>
  <si>
    <t>R-1197_01</t>
  </si>
  <si>
    <t>R-0255_01</t>
  </si>
  <si>
    <t>R-0129_01</t>
  </si>
  <si>
    <t>R-0155_01</t>
  </si>
  <si>
    <t>R-1140_01</t>
  </si>
  <si>
    <t>R-0206_01</t>
  </si>
  <si>
    <t>R-0202_01</t>
  </si>
  <si>
    <t>R-0202_02</t>
  </si>
  <si>
    <t>R-0098_01</t>
  </si>
  <si>
    <t>R-0118_01</t>
  </si>
  <si>
    <t>R-0146_01</t>
  </si>
  <si>
    <t>R-0217_01</t>
  </si>
  <si>
    <t>R-1112_01</t>
  </si>
  <si>
    <t>R-1112_02</t>
  </si>
  <si>
    <t>R-1114_01</t>
  </si>
  <si>
    <t>S-1004_01</t>
  </si>
  <si>
    <t>S-1004_02</t>
  </si>
  <si>
    <t>S-1004_03</t>
  </si>
  <si>
    <t>S-1008_01</t>
  </si>
  <si>
    <t>R-0252_01</t>
  </si>
  <si>
    <t>R-1050_01</t>
  </si>
  <si>
    <t>R-0211_01</t>
  </si>
  <si>
    <t>R-0211_02</t>
  </si>
  <si>
    <t>R-1125_01</t>
  </si>
  <si>
    <t>R-1271_01</t>
  </si>
  <si>
    <t>R-0088_01</t>
  </si>
  <si>
    <t>R-0147_01</t>
  </si>
  <si>
    <t>R-0198_01</t>
  </si>
  <si>
    <t>R-0099_01</t>
  </si>
  <si>
    <t>R-0099_02</t>
  </si>
  <si>
    <t>R-1097_01</t>
  </si>
  <si>
    <t>R-1216_01</t>
  </si>
  <si>
    <t>R-1232_01</t>
  </si>
  <si>
    <t>R-0127_01</t>
  </si>
  <si>
    <t>R-0107_01</t>
  </si>
  <si>
    <t>R-1249_01</t>
  </si>
  <si>
    <t>R-0144_01</t>
  </si>
  <si>
    <t>R-1042_01</t>
  </si>
  <si>
    <t>R-1042_02</t>
  </si>
  <si>
    <t>R-0156_01</t>
  </si>
  <si>
    <t>R-1055_01</t>
  </si>
  <si>
    <t>R-1246_01</t>
  </si>
  <si>
    <t>R-0028_01</t>
  </si>
  <si>
    <t>R-1173_01</t>
  </si>
  <si>
    <t>S-1011_01</t>
  </si>
  <si>
    <t>S-1011_02</t>
  </si>
  <si>
    <t>S-1011_03</t>
  </si>
  <si>
    <t>S-1011_04</t>
  </si>
  <si>
    <t>S-1011_05</t>
  </si>
  <si>
    <t>S-1011_06</t>
  </si>
  <si>
    <t>R-0173_01</t>
  </si>
  <si>
    <t>R-1147_01</t>
  </si>
  <si>
    <t>S-0009_01</t>
  </si>
  <si>
    <t>R-1077_01</t>
  </si>
  <si>
    <t>R-0055_01</t>
  </si>
  <si>
    <t>R-0130_01</t>
  </si>
  <si>
    <t>R-0199_01</t>
  </si>
  <si>
    <t>R-1024_01</t>
  </si>
  <si>
    <t>R-1024_02</t>
  </si>
  <si>
    <t>R-1024_03</t>
  </si>
  <si>
    <t>R-1268_01</t>
  </si>
  <si>
    <t>R-1155_01</t>
  </si>
  <si>
    <t>R-1245_01</t>
  </si>
  <si>
    <t>R-0038_01</t>
  </si>
  <si>
    <t>R-0243_01</t>
  </si>
  <si>
    <t>R-1265_01</t>
  </si>
  <si>
    <t>R-0188_01</t>
  </si>
  <si>
    <t>R-1059_01</t>
  </si>
  <si>
    <t>R-0025_01</t>
  </si>
  <si>
    <t>R-0062_01</t>
  </si>
  <si>
    <t>R-0169_01</t>
  </si>
  <si>
    <t>R-0080_01</t>
  </si>
  <si>
    <t>R-1208_01</t>
  </si>
  <si>
    <t>R-1287_01</t>
  </si>
  <si>
    <t>R-0083_01</t>
  </si>
  <si>
    <t>R-1089_01</t>
  </si>
  <si>
    <t>R-1089_02</t>
  </si>
  <si>
    <t>R-1072_01</t>
  </si>
  <si>
    <t>R-1072_02</t>
  </si>
  <si>
    <t>R-1072_03</t>
  </si>
  <si>
    <t>R-1146_01</t>
  </si>
  <si>
    <t>R-1254_01</t>
  </si>
  <si>
    <t>R-0061_01</t>
  </si>
  <si>
    <t>R-0061_02</t>
  </si>
  <si>
    <t>R-0065_01</t>
  </si>
  <si>
    <t>R-0065_02</t>
  </si>
  <si>
    <t>R-1144_01</t>
  </si>
  <si>
    <t>S-1009_01</t>
  </si>
  <si>
    <t>S-1009_02</t>
  </si>
  <si>
    <t>R-0270_01</t>
  </si>
  <si>
    <t>R-1088_01</t>
  </si>
  <si>
    <t>R-0132_01</t>
  </si>
  <si>
    <t>S-1003_01</t>
  </si>
  <si>
    <t>S-1003_02</t>
  </si>
  <si>
    <t>S-1003_03</t>
  </si>
  <si>
    <t>S-1003_04</t>
  </si>
  <si>
    <t>R-1105_01</t>
  </si>
  <si>
    <t>R-1239_01</t>
  </si>
  <si>
    <t>R-0209_01</t>
  </si>
  <si>
    <t>R-0197_01</t>
  </si>
  <si>
    <t>R-1063_01</t>
  </si>
  <si>
    <t>R-1063_02</t>
  </si>
  <si>
    <t>R-1063_03</t>
  </si>
  <si>
    <t>R-1063_04</t>
  </si>
  <si>
    <t>R-1063_05</t>
  </si>
  <si>
    <t>R-1188_01</t>
  </si>
  <si>
    <t>R-1153_01</t>
  </si>
  <si>
    <t>R-1153_02</t>
  </si>
  <si>
    <t>R-0101_01</t>
  </si>
  <si>
    <t>R-0105_01</t>
  </si>
  <si>
    <t>R-1022_01</t>
  </si>
  <si>
    <t>R-1130_01</t>
  </si>
  <si>
    <t>R-0058_01</t>
  </si>
  <si>
    <t>R-1272_01</t>
  </si>
  <si>
    <t>R-1274_01</t>
  </si>
  <si>
    <t>R-0139_01</t>
  </si>
  <si>
    <t>R-0234_01</t>
  </si>
  <si>
    <t>R-0102_01</t>
  </si>
  <si>
    <t>R-0102_02</t>
  </si>
  <si>
    <t>R-0102_03</t>
  </si>
  <si>
    <t>R-1206_01</t>
  </si>
  <si>
    <t>R-1257_01</t>
  </si>
  <si>
    <t>R-1154_01</t>
  </si>
  <si>
    <t>R-1065_01</t>
  </si>
  <si>
    <t>R-0239_01</t>
  </si>
  <si>
    <t>R-0124_01</t>
  </si>
  <si>
    <t>R-0254_01</t>
  </si>
  <si>
    <t>R-0125_01</t>
  </si>
  <si>
    <t>R-0192_01</t>
  </si>
  <si>
    <t>R-1252_01</t>
  </si>
  <si>
    <t>R-1133_01</t>
  </si>
  <si>
    <t>R-1202_01</t>
  </si>
  <si>
    <t>R-0076_01</t>
  </si>
  <si>
    <t>R-0076_02</t>
  </si>
  <si>
    <t>R-0076_03</t>
  </si>
  <si>
    <t>R-1211_01</t>
  </si>
  <si>
    <t>R-1211_02</t>
  </si>
  <si>
    <t>R-1164_01</t>
  </si>
  <si>
    <t>R-0053_01</t>
  </si>
  <si>
    <t>R-0053_02</t>
  </si>
  <si>
    <t>R-1014_01</t>
  </si>
  <si>
    <t>R-1014_02</t>
  </si>
  <si>
    <t>R-1014_03</t>
  </si>
  <si>
    <t>R-1014_04</t>
  </si>
  <si>
    <t>R-0185_01</t>
  </si>
  <si>
    <t>R-1009_01</t>
  </si>
  <si>
    <t>R-1009_02</t>
  </si>
  <si>
    <t>R-1009_03</t>
  </si>
  <si>
    <t>R-1009_04</t>
  </si>
  <si>
    <t>R-1009_05</t>
  </si>
  <si>
    <t>R-1009_06</t>
  </si>
  <si>
    <t>R-1009_07</t>
  </si>
  <si>
    <t>R-0064_01</t>
  </si>
  <si>
    <t>R-0084_01</t>
  </si>
  <si>
    <t>R-1068_01</t>
  </si>
  <si>
    <t>R-1182_01</t>
  </si>
  <si>
    <t>R-1235_01</t>
  </si>
  <si>
    <t>R-1248_01</t>
  </si>
  <si>
    <t>R-0191_01</t>
  </si>
  <si>
    <t>R-0134_01</t>
  </si>
  <si>
    <t>R-0134_02</t>
  </si>
  <si>
    <t>R-0230_01</t>
  </si>
  <si>
    <t>R-0089_01</t>
  </si>
  <si>
    <t>R-1175_01</t>
  </si>
  <si>
    <t>R-0033_01</t>
  </si>
  <si>
    <t>R-0033_02</t>
  </si>
  <si>
    <t>R-0033_03</t>
  </si>
  <si>
    <t>R-0033_04</t>
  </si>
  <si>
    <t>R-0178_01</t>
  </si>
  <si>
    <t>R-0100_01</t>
  </si>
  <si>
    <t>R-1168_01</t>
  </si>
  <si>
    <t>R-1087_01</t>
  </si>
  <si>
    <t>R-0187_01</t>
  </si>
  <si>
    <t>R-0196_01</t>
  </si>
  <si>
    <t>R-1201_01</t>
  </si>
  <si>
    <t>R-0200_01</t>
  </si>
  <si>
    <t>R-0001_01</t>
  </si>
  <si>
    <t>R-1102_01</t>
  </si>
  <si>
    <t>R-0203_01</t>
  </si>
  <si>
    <t>S-1002_01</t>
  </si>
  <si>
    <t>S-1002_02</t>
  </si>
  <si>
    <t>S-1002_03</t>
  </si>
  <si>
    <t>S-1002_04</t>
  </si>
  <si>
    <t>S-1002_05</t>
  </si>
  <si>
    <t>S-1002_06</t>
  </si>
  <si>
    <t>R-0224_01</t>
  </si>
  <si>
    <t>R-1192_01</t>
  </si>
  <si>
    <t>S-1005_01</t>
  </si>
  <si>
    <t>S-1005_02</t>
  </si>
  <si>
    <t>S-1005_03</t>
  </si>
  <si>
    <t>S-1005_04</t>
  </si>
  <si>
    <t>R-1078_01</t>
  </si>
  <si>
    <t>R-1193_01</t>
  </si>
  <si>
    <t>R-1193_02</t>
  </si>
  <si>
    <t>S-1013_01</t>
  </si>
  <si>
    <t>S-1013_02</t>
  </si>
  <si>
    <t>S-1013_03</t>
  </si>
  <si>
    <t>R-1196_01</t>
  </si>
  <si>
    <t>R-1196_02</t>
  </si>
  <si>
    <t>R-0162_01</t>
  </si>
  <si>
    <t>R-1253_01</t>
  </si>
  <si>
    <t>R-0241_01</t>
  </si>
  <si>
    <t>R-0170_01</t>
  </si>
  <si>
    <t>R-1270_01</t>
  </si>
  <si>
    <t>R-0021_01</t>
  </si>
  <si>
    <t>R-0021_02</t>
  </si>
  <si>
    <t>R-0021_03</t>
  </si>
  <si>
    <t>R-0235_01</t>
  </si>
  <si>
    <t>R-1209_01</t>
  </si>
  <si>
    <t>R-0122_01</t>
  </si>
  <si>
    <t>R-0052_01</t>
  </si>
  <si>
    <t>R-0266_01</t>
  </si>
  <si>
    <t>R-1152_01</t>
  </si>
  <si>
    <t>R-1151_01</t>
  </si>
  <si>
    <t>R-0251_01</t>
  </si>
  <si>
    <t>R-0011_01</t>
  </si>
  <si>
    <t>R-0011_02</t>
  </si>
  <si>
    <t>R-0011_03</t>
  </si>
  <si>
    <t>R-0011_04</t>
  </si>
  <si>
    <t>R-0011_05</t>
  </si>
  <si>
    <t>R-0013_01</t>
  </si>
  <si>
    <t>R-0013_02</t>
  </si>
  <si>
    <t>R-0013_03</t>
  </si>
  <si>
    <t>R-0013_04</t>
  </si>
  <si>
    <t>R-0013_05</t>
  </si>
  <si>
    <t>R-0018_01</t>
  </si>
  <si>
    <t>R-0018_02</t>
  </si>
  <si>
    <t>R-1229_01</t>
  </si>
  <si>
    <t>R-0208_01</t>
  </si>
  <si>
    <t>R-0208_02</t>
  </si>
  <si>
    <t>R-0207_01</t>
  </si>
  <si>
    <t>R-1273_01</t>
  </si>
  <si>
    <t>R-1223_01</t>
  </si>
  <si>
    <t>S-1012_01</t>
  </si>
  <si>
    <t>S-1012_02</t>
  </si>
  <si>
    <t>S-1012_03</t>
  </si>
  <si>
    <t>S-1012_04</t>
  </si>
  <si>
    <t>S-1012_05</t>
  </si>
  <si>
    <t>R-0275_01</t>
  </si>
  <si>
    <t>R-0278_01</t>
  </si>
  <si>
    <t>R-0219_01</t>
  </si>
  <si>
    <t>S-1007_01</t>
  </si>
  <si>
    <t>R-0057_01</t>
  </si>
  <si>
    <t>R-1113_01</t>
  </si>
  <si>
    <t>R-1113_02</t>
  </si>
  <si>
    <t>R-0250_01</t>
  </si>
  <si>
    <t>R-0020_01</t>
  </si>
  <si>
    <t>R-0160_01</t>
  </si>
  <si>
    <t>R-0040_01</t>
  </si>
  <si>
    <t>S-0004_01</t>
  </si>
  <si>
    <t>S-0004_02</t>
  </si>
  <si>
    <t>S-0004_03</t>
  </si>
  <si>
    <t>S-0004_04</t>
  </si>
  <si>
    <t>S-0004_05</t>
  </si>
  <si>
    <t>R-1219_01</t>
  </si>
  <si>
    <t>R-1028_01</t>
  </si>
  <si>
    <t>R-1227_01</t>
  </si>
  <si>
    <t>R-0189_01</t>
  </si>
  <si>
    <t>R-0279_01</t>
  </si>
  <si>
    <t>R-0195_01</t>
  </si>
  <si>
    <t>R-0229_01</t>
  </si>
  <si>
    <t>R-0017_01</t>
  </si>
  <si>
    <t>R-0017_02</t>
  </si>
  <si>
    <t>R-0017_03</t>
  </si>
  <si>
    <t>R-0017_04</t>
  </si>
  <si>
    <t>R-0017_05</t>
  </si>
  <si>
    <t>R-0017_06</t>
  </si>
  <si>
    <t>S-0003_01</t>
  </si>
  <si>
    <t>S-0003_02</t>
  </si>
  <si>
    <t>S-0003_03</t>
  </si>
  <si>
    <t>S-0003_04</t>
  </si>
  <si>
    <t>S-0003_05</t>
  </si>
  <si>
    <t>R-1276_01</t>
  </si>
  <si>
    <t>R-1237_01</t>
  </si>
  <si>
    <t>R-1121_01</t>
  </si>
  <si>
    <t>R-1074_01</t>
  </si>
  <si>
    <t>R-1084_01</t>
  </si>
  <si>
    <t>R-1171_01</t>
  </si>
  <si>
    <t>R-1280_01</t>
  </si>
  <si>
    <t>R-1031_01</t>
  </si>
  <si>
    <t>R-1031_02</t>
  </si>
  <si>
    <t>R-1031_03</t>
  </si>
  <si>
    <t>R-1031_04</t>
  </si>
  <si>
    <t>R-1031_05</t>
  </si>
  <si>
    <t>R-1031_06</t>
  </si>
  <si>
    <t>R-1031_07</t>
  </si>
  <si>
    <t>R-1031_08</t>
  </si>
  <si>
    <t>R-1082_01</t>
  </si>
  <si>
    <t>R-0218_01</t>
  </si>
  <si>
    <t>R-1194_01</t>
  </si>
  <si>
    <t>R-1016_01</t>
  </si>
  <si>
    <t>R-1016_02</t>
  </si>
  <si>
    <t>R-1016_03</t>
  </si>
  <si>
    <t>R-1016_04</t>
  </si>
  <si>
    <t>R-1075_01</t>
  </si>
  <si>
    <t>R-0259_01</t>
  </si>
  <si>
    <t>R-0247_01</t>
  </si>
  <si>
    <t>S-0006_01</t>
  </si>
  <si>
    <t>S-0006_02</t>
  </si>
  <si>
    <t>S-0006_03</t>
  </si>
  <si>
    <t>S-0006_04</t>
  </si>
  <si>
    <t>S-0006_05</t>
  </si>
  <si>
    <t>R-0023_01</t>
  </si>
  <si>
    <t>R-0023_02</t>
  </si>
  <si>
    <t>R-0023_03</t>
  </si>
  <si>
    <t>R-0023_04</t>
  </si>
  <si>
    <t>R-0023_05</t>
  </si>
  <si>
    <t>R-0023_06</t>
  </si>
  <si>
    <t>R-0037_01</t>
  </si>
  <si>
    <t>R-1195_01</t>
  </si>
  <si>
    <t>R-1015_01</t>
  </si>
  <si>
    <t>R-1015_02</t>
  </si>
  <si>
    <t>R-1015_03</t>
  </si>
  <si>
    <t>R-1015_04</t>
  </si>
  <si>
    <t>R-1123_01</t>
  </si>
  <si>
    <t>R-1025_01</t>
  </si>
  <si>
    <t>R-1025_02</t>
  </si>
  <si>
    <t>R-1025_03</t>
  </si>
  <si>
    <t>R-1025_04</t>
  </si>
  <si>
    <t>R-1025_05</t>
  </si>
  <si>
    <t>R-1032_01</t>
  </si>
  <si>
    <t>R-1032_02</t>
  </si>
  <si>
    <t>R-0022_01</t>
  </si>
  <si>
    <t>R-0022_02</t>
  </si>
  <si>
    <t>R-1060_01</t>
  </si>
  <si>
    <t>R-1060_02</t>
  </si>
  <si>
    <t>R-1060_03</t>
  </si>
  <si>
    <t>R-1060_04</t>
  </si>
  <si>
    <t>R-1060_05</t>
  </si>
  <si>
    <t>R-1060_06</t>
  </si>
  <si>
    <t>R-1282_01</t>
  </si>
  <si>
    <t>R-0106_01</t>
  </si>
  <si>
    <t>R-0106_02</t>
  </si>
  <si>
    <t>R-0051_01</t>
  </si>
  <si>
    <t>R-1187_01</t>
  </si>
  <si>
    <t>R-1010_01</t>
  </si>
  <si>
    <t>R-1010_02</t>
  </si>
  <si>
    <t>R-1234_01</t>
  </si>
  <si>
    <t>R-1198_01</t>
  </si>
  <si>
    <t>R-0177_01</t>
  </si>
  <si>
    <t>R-1200_01</t>
  </si>
  <si>
    <t>R-1064_01</t>
  </si>
  <si>
    <t>R-1064_02</t>
  </si>
  <si>
    <t>R-0116_01</t>
  </si>
  <si>
    <t>R-0060_01</t>
  </si>
  <si>
    <t>R-0271_01</t>
  </si>
  <si>
    <t>R-1150_01</t>
  </si>
  <si>
    <t>R-1124_01</t>
  </si>
  <si>
    <t>R-1007_01</t>
  </si>
  <si>
    <t>R-1007_02</t>
  </si>
  <si>
    <t>R-1007_03</t>
  </si>
  <si>
    <t>R-1007_04</t>
  </si>
  <si>
    <t>R-1007_05</t>
  </si>
  <si>
    <t>R-1007_06</t>
  </si>
  <si>
    <t>R-1007_07</t>
  </si>
  <si>
    <t>R-1007_08</t>
  </si>
  <si>
    <t>R-1007_09</t>
  </si>
  <si>
    <t>R-1049_01</t>
  </si>
  <si>
    <t>R-1049_02</t>
  </si>
  <si>
    <t>R-1049_03</t>
  </si>
  <si>
    <t>R-0117_01</t>
  </si>
  <si>
    <t>R-0117_02</t>
  </si>
  <si>
    <t>R-1238_01</t>
  </si>
  <si>
    <t>R-1238_02</t>
  </si>
  <si>
    <t>R-1238_03</t>
  </si>
  <si>
    <t>R-1161_01</t>
  </si>
  <si>
    <t>R-1041_01</t>
  </si>
  <si>
    <t>R-1041_02</t>
  </si>
  <si>
    <t>R-1041_03</t>
  </si>
  <si>
    <t>R-0201_01</t>
  </si>
  <si>
    <t>R-1115_01</t>
  </si>
  <si>
    <t>R-1115_02</t>
  </si>
  <si>
    <t>R-0031_01</t>
  </si>
  <si>
    <t>R-0031_02</t>
  </si>
  <si>
    <t>R-0267_01</t>
  </si>
  <si>
    <t>R-0049_01</t>
  </si>
  <si>
    <t>R-0049_02</t>
  </si>
  <si>
    <t>S-0005_01</t>
  </si>
  <si>
    <t>S-0005_02</t>
  </si>
  <si>
    <t>R-0114_01</t>
  </si>
  <si>
    <t>R-0086_01</t>
  </si>
  <si>
    <t>S-0001_01</t>
  </si>
  <si>
    <t>R-0087_01</t>
  </si>
  <si>
    <t>R-0103_01</t>
  </si>
  <si>
    <t>R-0223_01</t>
  </si>
  <si>
    <t>R-1167_01</t>
  </si>
  <si>
    <t>R-1026_01</t>
  </si>
  <si>
    <t>R-1026_02</t>
  </si>
  <si>
    <t>R-1026_03</t>
  </si>
  <si>
    <t>R-0165_01</t>
  </si>
  <si>
    <t>R-1023_01</t>
  </si>
  <si>
    <t>R-1038_01</t>
  </si>
  <si>
    <t>R-1038_02</t>
  </si>
  <si>
    <t>R-1038_03</t>
  </si>
  <si>
    <t>R-1020_01</t>
  </si>
  <si>
    <t>R-1020_02</t>
  </si>
  <si>
    <t>R-1020_03</t>
  </si>
  <si>
    <t>R-1035_01</t>
  </si>
  <si>
    <t>R-1035_02</t>
  </si>
  <si>
    <t>R-1035_03</t>
  </si>
  <si>
    <t>R-1035_04</t>
  </si>
  <si>
    <t>R-0093_01</t>
  </si>
  <si>
    <t>R-1111_01</t>
  </si>
  <si>
    <t>R-0082_01</t>
  </si>
  <si>
    <t>R-0091_01</t>
  </si>
  <si>
    <t>R-1047_01</t>
  </si>
  <si>
    <t>R-1052_01</t>
  </si>
  <si>
    <t>R-0152_01</t>
  </si>
  <si>
    <t>R-0010_01</t>
  </si>
  <si>
    <t>R-0010_02</t>
  </si>
  <si>
    <t>R-0010_03</t>
  </si>
  <si>
    <t>R-0010_04</t>
  </si>
  <si>
    <t>R-0142_01</t>
  </si>
  <si>
    <t>R-0142_02</t>
  </si>
  <si>
    <t>R-1156_01</t>
  </si>
  <si>
    <t>R-2001_01</t>
  </si>
  <si>
    <t>R-0164_01</t>
  </si>
  <si>
    <t>R-1218_01</t>
  </si>
  <si>
    <t>R-1012_01</t>
  </si>
  <si>
    <t>R-1012_02</t>
  </si>
  <si>
    <t>R-0150_01</t>
  </si>
  <si>
    <t>R-0047_01</t>
  </si>
  <si>
    <t>R-1061_01</t>
  </si>
  <si>
    <t>R-0148_01</t>
  </si>
  <si>
    <t>R-1054_01</t>
  </si>
  <si>
    <t>R-1076_01</t>
  </si>
  <si>
    <t>R-0059_01</t>
  </si>
  <si>
    <t>R-0059_02</t>
  </si>
  <si>
    <t>R-0059_03</t>
  </si>
  <si>
    <t>R-0059_04</t>
  </si>
  <si>
    <t>R-0059_05</t>
  </si>
  <si>
    <t>R-0059_06</t>
  </si>
  <si>
    <t>R-0059_07</t>
  </si>
  <si>
    <t>R-1006_01</t>
  </si>
  <si>
    <t>R-1006_02</t>
  </si>
  <si>
    <t>R-1006_03</t>
  </si>
  <si>
    <t>R-0009_01</t>
  </si>
  <si>
    <t>R-0009_02</t>
  </si>
  <si>
    <t>R-0009_03</t>
  </si>
  <si>
    <t>R-0009_04</t>
  </si>
  <si>
    <t>R-1251_01</t>
  </si>
  <si>
    <t>R-1071_01</t>
  </si>
  <si>
    <t>R-0097_01</t>
  </si>
  <si>
    <t>R-0193_01</t>
  </si>
  <si>
    <t>R-0245_01</t>
  </si>
  <si>
    <t>R-4001_01</t>
  </si>
  <si>
    <t>R-4001_02</t>
  </si>
  <si>
    <t>R-4001_03</t>
  </si>
  <si>
    <t>R-0043_01</t>
  </si>
  <si>
    <t>S-1010_01</t>
  </si>
  <si>
    <t>S-1010_02</t>
  </si>
  <si>
    <t>S-1010_03</t>
  </si>
  <si>
    <t>S-1010_04</t>
  </si>
  <si>
    <t>R-1033_01</t>
  </si>
  <si>
    <t>R-1242_01</t>
  </si>
  <si>
    <t>R-0186_01</t>
  </si>
  <si>
    <t>R-0094_01</t>
  </si>
  <si>
    <t>R-0066_01</t>
  </si>
  <si>
    <t>R-0168_01</t>
  </si>
  <si>
    <t>R-1109_01</t>
  </si>
  <si>
    <t>R-1109_02</t>
  </si>
  <si>
    <t>R-0016_01</t>
  </si>
  <si>
    <t>R-0016_02</t>
  </si>
  <si>
    <t>R-1092_01</t>
  </si>
  <si>
    <t>S-0008_01</t>
  </si>
  <si>
    <t>R-0092_01</t>
  </si>
  <si>
    <t>R-1096_01</t>
  </si>
  <si>
    <t>R-1037_01</t>
  </si>
  <si>
    <t>R-1037_02</t>
  </si>
  <si>
    <t>R-1037_03</t>
  </si>
  <si>
    <t>R-0030_01</t>
  </si>
  <si>
    <t>R-0030_02</t>
  </si>
  <si>
    <t>R-0050_01</t>
  </si>
  <si>
    <t>R-0050_02</t>
  </si>
  <si>
    <t>R-0070_01</t>
  </si>
  <si>
    <t>R-0070_02</t>
  </si>
  <si>
    <t>R-0034_01</t>
  </si>
  <si>
    <t>R-1011_01</t>
  </si>
  <si>
    <t>R-1011_02</t>
  </si>
  <si>
    <t>R-1039_01</t>
  </si>
  <si>
    <t>R-1018_01</t>
  </si>
  <si>
    <t>R-1018_02</t>
  </si>
  <si>
    <t>R-1244_01</t>
  </si>
  <si>
    <t>R-0004_01</t>
  </si>
  <si>
    <t>R-0004_02</t>
  </si>
  <si>
    <t>R-0004_03</t>
  </si>
  <si>
    <t>R-0068_01</t>
  </si>
  <si>
    <t>R-0068_02</t>
  </si>
  <si>
    <t>R-1001_01</t>
  </si>
  <si>
    <t>R-1001_02</t>
  </si>
  <si>
    <t>R-0006_01</t>
  </si>
  <si>
    <t>R-0006_02</t>
  </si>
  <si>
    <t>R-0006_03</t>
  </si>
  <si>
    <t>R-0110_01</t>
  </si>
  <si>
    <t>R-0063_01</t>
  </si>
  <si>
    <t>R-0041_01</t>
  </si>
  <si>
    <t>R-0041_02</t>
  </si>
  <si>
    <t>R-1021_01</t>
  </si>
  <si>
    <t>R-1051_01</t>
  </si>
  <si>
    <t>R-0007_01</t>
  </si>
  <si>
    <t>R-1228_01</t>
  </si>
  <si>
    <t>S-0011_01</t>
  </si>
  <si>
    <t>S-0011_02</t>
  </si>
  <si>
    <t>S-0011_03</t>
  </si>
  <si>
    <t>S-0011_04</t>
  </si>
  <si>
    <t>S-0011_05</t>
  </si>
  <si>
    <t>S-0011_06</t>
  </si>
  <si>
    <t>S-0011_07</t>
  </si>
  <si>
    <t>S-0011_08</t>
  </si>
  <si>
    <t>S-0011_09</t>
  </si>
  <si>
    <t>S-0011_10</t>
  </si>
  <si>
    <t>S-0011_11</t>
  </si>
  <si>
    <t>S-0011_12</t>
  </si>
  <si>
    <t>S-0011_13</t>
  </si>
  <si>
    <t>S-0011_14</t>
  </si>
  <si>
    <t>S-0011_15</t>
  </si>
  <si>
    <t>S-0011_16</t>
  </si>
  <si>
    <t>S-0011_17</t>
  </si>
  <si>
    <t>S-0011_18</t>
  </si>
  <si>
    <t>차주일련번호</t>
    <phoneticPr fontId="5" type="noConversion"/>
  </si>
  <si>
    <t>실 채무자: 몰***양</t>
    <phoneticPr fontId="9" type="noConversion"/>
  </si>
  <si>
    <t xml:space="preserve">Summary of the SHB Loans under Rehabilitation Plan </t>
    <phoneticPr fontId="9" type="noConversion"/>
  </si>
  <si>
    <t>2025-05-01(변경)</t>
    <phoneticPr fontId="5" type="noConversion"/>
  </si>
  <si>
    <t>2025-03-04(변경)</t>
    <phoneticPr fontId="5" type="noConversion"/>
  </si>
  <si>
    <t>S-0011</t>
  </si>
  <si>
    <t>(주)자*****</t>
  </si>
  <si>
    <t>S-1009</t>
  </si>
  <si>
    <t>S-1010</t>
  </si>
  <si>
    <t>S-1011</t>
  </si>
  <si>
    <t>S-1012</t>
  </si>
  <si>
    <t>S-1013</t>
  </si>
  <si>
    <t>P*** ******</t>
  </si>
  <si>
    <t>은행구분</t>
    <phoneticPr fontId="5" type="noConversion"/>
  </si>
  <si>
    <t>차주구분</t>
  </si>
  <si>
    <t>차주번호</t>
  </si>
  <si>
    <t xml:space="preserve"> OPB</t>
  </si>
  <si>
    <t>담보개수</t>
    <phoneticPr fontId="5" type="noConversion"/>
  </si>
  <si>
    <t>구분</t>
    <phoneticPr fontId="5" type="noConversion"/>
  </si>
  <si>
    <t>종류</t>
    <phoneticPr fontId="5" type="noConversion"/>
  </si>
  <si>
    <t>소재지 (대표지번)</t>
    <phoneticPr fontId="5" type="noConversion"/>
  </si>
  <si>
    <t>어싸인</t>
    <phoneticPr fontId="5" type="noConversion"/>
  </si>
  <si>
    <t>윤익곤</t>
  </si>
  <si>
    <t>비주거</t>
    <phoneticPr fontId="5" type="noConversion"/>
  </si>
  <si>
    <t>상가 (동일건물)</t>
    <phoneticPr fontId="5" type="noConversion"/>
  </si>
  <si>
    <t>경기도 고양시 덕양구 원흥동 635 삼송2차원흥역동원로얄듀크비스타 제202동 제1층 제115호</t>
  </si>
  <si>
    <t>문선영</t>
    <phoneticPr fontId="5" type="noConversion"/>
  </si>
  <si>
    <t>(주)케이엔에프코리아</t>
  </si>
  <si>
    <t>비주거</t>
    <phoneticPr fontId="5" type="noConversion"/>
  </si>
  <si>
    <t>부산광역시 기장군 장안읍 오리 1121-7(토지)</t>
  </si>
  <si>
    <t>문선영</t>
    <phoneticPr fontId="5" type="noConversion"/>
  </si>
  <si>
    <t>임헌영</t>
  </si>
  <si>
    <t>공장, 아파트</t>
    <phoneticPr fontId="5" type="noConversion"/>
  </si>
  <si>
    <t>경상북도 성주군 선남면 도성리 39-10(토지, 주1 건물)</t>
    <phoneticPr fontId="5" type="noConversion"/>
  </si>
  <si>
    <t>문선영</t>
    <phoneticPr fontId="5" type="noConversion"/>
  </si>
  <si>
    <t>남소라</t>
  </si>
  <si>
    <t>주거</t>
    <phoneticPr fontId="5" type="noConversion"/>
  </si>
  <si>
    <t>경기도 수원시 권선구 권선동 944-10 제2층 제201호, 제202호, 제203호, 제204호, 제3층 제301호, 제302호, 제303호, 제304호, 제4층 제401호, 제402호, 제5층 제501호(집합건물 11개호)</t>
  </si>
  <si>
    <t>조선영</t>
  </si>
  <si>
    <t>서울특별시 용산구 용산동5가 24외 1필지 파크타워 제30층 제101-3003호</t>
  </si>
  <si>
    <t>(주)국제종합관리</t>
  </si>
  <si>
    <t>경상북도 김천시 부곡동 580-1, 1288-11(토지 2필지, 양지상 건물)</t>
  </si>
  <si>
    <t>주식회사 원진테크윈</t>
  </si>
  <si>
    <t>주거</t>
    <phoneticPr fontId="5" type="noConversion"/>
  </si>
  <si>
    <t>경상남도 양산시 북정동 884-2 새롬성원네오파트 제103동 제2층 제201호</t>
  </si>
  <si>
    <t>송민석</t>
  </si>
  <si>
    <t>아파트형공장(상가)</t>
  </si>
  <si>
    <t>대구광역시 서구 중리동 1166-1 디센터1976지식산업센터 제1층 제102호</t>
  </si>
  <si>
    <t>전상희</t>
  </si>
  <si>
    <t>인천광역시 서구 원당동 1014 검단신도시예미지트리플에듀 제2712동 제2층 제203호</t>
  </si>
  <si>
    <t>최우영</t>
  </si>
  <si>
    <t>비주거</t>
    <phoneticPr fontId="5" type="noConversion"/>
  </si>
  <si>
    <t>경상남도 양산시 물금읍 가촌리 1292 라피에스타양산 제1층 제1-217호</t>
  </si>
  <si>
    <t>(주)아시아뉴스애드</t>
  </si>
  <si>
    <t>대전광역시 서구 둔산동 1809 국화아파트 제502동 제5층 제502호</t>
  </si>
  <si>
    <t>㈜화성엔지니어링</t>
  </si>
  <si>
    <t>경기도 화성시 정남면 괘랑리 339(토지, 건물)</t>
  </si>
  <si>
    <t>전여정</t>
  </si>
  <si>
    <t>경기도 하남시 신장동 570외 2필지 하남 두산위브파크 제18층 제101-1801호</t>
  </si>
  <si>
    <t>땅끝애보배농업회사법인(유)</t>
  </si>
  <si>
    <t>전라남도 해남군 황산면 한자리 706-1(토지, 건물)</t>
  </si>
  <si>
    <t>최준식</t>
  </si>
  <si>
    <t>울산광역시 북구 호계동 213-7(토지, 건물)</t>
  </si>
  <si>
    <t>김민재</t>
  </si>
  <si>
    <t>경기도 용인시 기흥구 공세동 714 탑실마을대주피오레2단지 제209동 제24층 제2402호</t>
  </si>
  <si>
    <t>김재은</t>
  </si>
  <si>
    <t>다세대 (동일건물)</t>
    <phoneticPr fontId="5" type="noConversion"/>
  </si>
  <si>
    <t>경기도 화성시 남양읍 남양리 1009-1외 2필지 제1동 제2층 제1201호</t>
  </si>
  <si>
    <t>문선영</t>
    <phoneticPr fontId="5" type="noConversion"/>
  </si>
  <si>
    <t>이동근</t>
  </si>
  <si>
    <t>아파트형공장 (동일건물)</t>
    <phoneticPr fontId="5" type="noConversion"/>
  </si>
  <si>
    <t>경기도 안양시 동안구 호계동 555-37 호계금정역에스케이브이1센터 제8층 제830호</t>
  </si>
  <si>
    <t>(주)누림테크</t>
  </si>
  <si>
    <t>대구광역시 북구 사수동 833 금호서한이다음 제102동 제20층 제2002호</t>
  </si>
  <si>
    <t>김경준</t>
  </si>
  <si>
    <t>인천광역시 중구 신흥동3가 31-13 인천유림노르웨이숲에듀오션 제103동 제19층 제1905호</t>
  </si>
  <si>
    <t>이윤미</t>
  </si>
  <si>
    <t>경기도 고양시 덕양구 내유동 694-5 포레스트빌 제1동 제2층 제201호</t>
  </si>
  <si>
    <t>김흠</t>
  </si>
  <si>
    <t>인천광역시 미추홀구 용현동 627-40 금호타운 제10동 제6층 제601호</t>
  </si>
  <si>
    <t>(주)일무식품</t>
  </si>
  <si>
    <t>충청북도 보은군 마로면 송현리 36-1(토지, 건물, 외 2필지 건물, 외 2필지 건물 건물 3개동), 36-3, 36-4, 13, 14(토지 4필지)</t>
  </si>
  <si>
    <t>윤성부</t>
  </si>
  <si>
    <t>주거</t>
    <phoneticPr fontId="5" type="noConversion"/>
  </si>
  <si>
    <t>충청남도 아산시 용화동 1394 아산용화아이파크 제102동 제28층 제2801호</t>
  </si>
  <si>
    <t>김강민</t>
  </si>
  <si>
    <t>대구광역시 수성구 범어동 2277 힐스테이트범어센트럴 제103동 제19층 제1903호</t>
  </si>
  <si>
    <t>PIAO JUNZHE</t>
  </si>
  <si>
    <t>경기도 안산시 상록구 사동 1536 푸른마을5단지 제515동 제3층 제302호</t>
  </si>
  <si>
    <t>정구호</t>
  </si>
  <si>
    <t>충청북도 청주시 상당구 용암동 3147 시티프라디움2단지 제206동 제2층 제203호</t>
  </si>
  <si>
    <t>조은영</t>
  </si>
  <si>
    <t>경기도 부천시 소사구 송내동 340 우성아파트 제8동 제11층 제1103호</t>
  </si>
  <si>
    <t>김민주</t>
  </si>
  <si>
    <t>경상남도 통영시 광도면 죽림리 1573-2 주영더팰리스5차아파트 제504동 제12층 제1202호</t>
  </si>
  <si>
    <t>장재명</t>
  </si>
  <si>
    <t>서울특별시 동대문구 장안동 408-16 지원하우스 제2층 제202호</t>
  </si>
  <si>
    <t>이갑동</t>
  </si>
  <si>
    <t>경상남도 김해시 진영읍 진영리 1690 중흥에스-클래스에코시티 제112동 제12층 제1201호</t>
  </si>
  <si>
    <t>서태덕</t>
  </si>
  <si>
    <t>부산광역시 해운대구 좌동 1328 영남아파트 제106동 제13층 제1302호</t>
  </si>
  <si>
    <t>임승균</t>
  </si>
  <si>
    <t>경기도 양주시 광사동 712 해동마을한양수자인 제306동 제14층 제1403호</t>
  </si>
  <si>
    <t>김형수</t>
  </si>
  <si>
    <t>대구광역시 수성구 수성동4가 1090-6 수성보성타운 제101동 제2층 제205호</t>
  </si>
  <si>
    <t>이승국</t>
  </si>
  <si>
    <t>부산광역시 강서구 대저2동 1860-15(토지, 건물)</t>
  </si>
  <si>
    <t>김정희</t>
  </si>
  <si>
    <t>경기도 양주시 광사동 712 해동마을한양수자인 제310동 제8층 제802호</t>
  </si>
  <si>
    <t>박경임</t>
  </si>
  <si>
    <t>경기도 광주시 매산동 223-7 신호팰리스 제104동 제4층 제403호</t>
  </si>
  <si>
    <t>김병국</t>
  </si>
  <si>
    <t>경기도 광주시 목현동 58-16 제이비타운2차 제102동 제3층 제302호</t>
  </si>
  <si>
    <t>김정기</t>
  </si>
  <si>
    <t>서울특별시 금천구 독산동 1009-75 에이엔캐슬 제에이동 제6층 제604호</t>
  </si>
  <si>
    <t>전민서</t>
  </si>
  <si>
    <t>충청남도 서산시 동문동 1274 서산동문꿈에그린아파트 제104동 제3층 제301호</t>
  </si>
  <si>
    <t>운기칠</t>
  </si>
  <si>
    <t>인천광역시 미추홀구 주안동 1621외 3필지 인천관교한신휴플러스 제110동 제1층 제101호</t>
  </si>
  <si>
    <t>김상민</t>
  </si>
  <si>
    <t>경기도 수원시 장안구 연무동 235-23 리치캐슬 제5층 제502호</t>
  </si>
  <si>
    <t>최혜경</t>
  </si>
  <si>
    <t>경기도 용인시 기흥구 마북동 526-3 연원마을엘지아파트 제106동 제9층 제908호</t>
  </si>
  <si>
    <t>유경화</t>
  </si>
  <si>
    <t>제주특별자치도 제주시 건입동 1042-11(토지)</t>
  </si>
  <si>
    <t>최순민</t>
  </si>
  <si>
    <t>충청남도 아산시 방축동 707 아산삼환나우빌아파트 제102동 제9층 제903호</t>
  </si>
  <si>
    <t>이창동</t>
  </si>
  <si>
    <t>울산광역시 중구 약사동 707 래미안2차 제307동 제4층 제404호</t>
  </si>
  <si>
    <t>구본욱</t>
  </si>
  <si>
    <t>경상남도 거제시 장목면 장목리 366-20(토지)</t>
  </si>
  <si>
    <t>문연용</t>
  </si>
  <si>
    <t>경기도 안성시 공도읍 양기리 615 안성공도서해그랑블아파트 제105동 제4층 제401호</t>
  </si>
  <si>
    <t>신서우</t>
  </si>
  <si>
    <t>경기도 안산시 단원구 와동 261-1 태영아트빌 제1층 제101호</t>
  </si>
  <si>
    <t>이지한</t>
  </si>
  <si>
    <t>부산광역시 부산진구 전포동 691-2 케이에이치마이우스 제9층 제907호</t>
  </si>
  <si>
    <t>하주현</t>
  </si>
  <si>
    <t>부산광역시 연제구 연산동 3 동서그린맨션 제가,나,다동 제8층 제나-805호</t>
  </si>
  <si>
    <t>심은주</t>
  </si>
  <si>
    <t>강원특별자치도 원주시 지정면 가곡리 1493 원주기업도시라온프라이빗 제704동 제6층 제606호</t>
  </si>
  <si>
    <t>박예슬</t>
  </si>
  <si>
    <t>경상북도 포항시 북구 장성동 1620 장성푸르지오 제101동 제7층 제704호</t>
  </si>
  <si>
    <t>박미혜</t>
  </si>
  <si>
    <t>충청남도 태안군 근흥면 정죽리 579(토지, 건물)</t>
  </si>
  <si>
    <t>이혜영</t>
  </si>
  <si>
    <t>아파트, 아파트</t>
    <phoneticPr fontId="5" type="noConversion"/>
  </si>
  <si>
    <t>경상남도 김해시 삼계동 1410-2 분성마을5단지푸르지오 제512동 제7층 제704호</t>
  </si>
  <si>
    <t>변윤철</t>
  </si>
  <si>
    <t>서울특별시 노원구 상계동 720 상계주공아파트 제606동 제7층 제706호</t>
  </si>
  <si>
    <t>최용태</t>
  </si>
  <si>
    <t>대구광역시 중구 수창동 173 대구역센트럴자이 제상가동 제4층 제401호</t>
  </si>
  <si>
    <t>천승환</t>
  </si>
  <si>
    <t>울산광역시 울주군 삼남읍 교동리 1678외 1필지 영남알프스타운아파트 제105동 제12층 제1202호</t>
  </si>
  <si>
    <t>송경화</t>
  </si>
  <si>
    <t>제주특별자치도 제주시 연동 1518-12(토지, 건물)</t>
  </si>
  <si>
    <t>김종목</t>
  </si>
  <si>
    <t>경상북도 구미시 사곡동 656-9외 1필지 보성2차황실타운 제102동 제14층 제1403호</t>
  </si>
  <si>
    <t>권영진</t>
  </si>
  <si>
    <t>경상남도 진주시 하대동 141-3 한보힐타워맨션 제1동 제12층 제1202호</t>
  </si>
  <si>
    <t>이현재</t>
  </si>
  <si>
    <t>부산광역시 기장군 정관읍 용수리 1275 정관 양우내안애 제113동 제1층 제104호</t>
  </si>
  <si>
    <t>허권구</t>
  </si>
  <si>
    <t>대구광역시 달성군 다사읍 매곡리 622 다사한일유앤아이아파트 제101동 제4층 제402호</t>
  </si>
  <si>
    <t>정성욱</t>
  </si>
  <si>
    <t>경상북도 구미시 도량동 747-7(토지, 건물)</t>
  </si>
  <si>
    <t>고영주</t>
  </si>
  <si>
    <t>대구광역시 수성구 범어동 179 두산위브더제니스 제101동 제11층 제1102호</t>
  </si>
  <si>
    <t>이성철</t>
  </si>
  <si>
    <t>부산광역시 영도구 봉래동2가 112 미광마린타워 제104동 제14층 제1401호</t>
  </si>
  <si>
    <t>(주)자*****</t>
    <phoneticPr fontId="5" type="noConversion"/>
  </si>
  <si>
    <t>아파트형공장, 아파트</t>
    <phoneticPr fontId="5" type="noConversion"/>
  </si>
  <si>
    <t>경기도 성남시 중원구 상대원동 5442-1 크란츠테크노 제10층 제1019호</t>
  </si>
  <si>
    <t>주식회사 케이씨에프(KCF CO.LTD.)</t>
  </si>
  <si>
    <t>경기도 김포시 대곶면 송마리 273-7(토지, 가동, 나동, 다동, 라동 건물 4개동), 274-3, 274-12(토지 2필지)</t>
  </si>
  <si>
    <t>유영진</t>
  </si>
  <si>
    <t>공장, 아파트</t>
    <phoneticPr fontId="5" type="noConversion"/>
  </si>
  <si>
    <t>경기도 김포시 양촌읍 누산리 182(토지, 에이동,씨동, 비동 건물 2개동), 182-3(토지)</t>
  </si>
  <si>
    <t>허재규</t>
  </si>
  <si>
    <t>공장, 아파트</t>
    <phoneticPr fontId="5" type="noConversion"/>
  </si>
  <si>
    <t>경상북도 성주군 선남면 취곡리 239-6(토지, 주1동 건물)</t>
  </si>
  <si>
    <t>비지코퍼레이션 주식회사 BG COOPERATON</t>
  </si>
  <si>
    <t>상가, 아파트</t>
    <phoneticPr fontId="5" type="noConversion"/>
  </si>
  <si>
    <t>경기도 고양시 일산동구 백석동 1318외 3필지 비잔티움일산1단지 제2층 제203호</t>
    <phoneticPr fontId="5" type="noConversion"/>
  </si>
  <si>
    <t>㈜더블유디건설</t>
  </si>
  <si>
    <t>다세대(생활주택), 단독주택</t>
    <phoneticPr fontId="5" type="noConversion"/>
  </si>
  <si>
    <t>경기도 평택시 신대동 123-7(토지), 제2층 제201호, 제202호, 제203호, 제3층 제301호, 제302호, 제303호, 제4층 제401호(집합건물 7개호)</t>
  </si>
  <si>
    <t>(주)에이스돔</t>
  </si>
  <si>
    <t>충청북도 진천군 문백면 옥성리 401-2(토지, 외 2필지 건물), 401-5, 565, 566-5, 568-4, 401-1, 산63-7, 401-8(토지 7필지)</t>
  </si>
  <si>
    <t>정선영</t>
  </si>
  <si>
    <t>부산광역시 동래구 온천동 1859 더샵온천헤리티지 제상가동 제1층 제125호</t>
  </si>
  <si>
    <t>(주)삼덕종합건설</t>
  </si>
  <si>
    <t>경상남도 김해시 삼정동 197-35(토지, 건물)</t>
  </si>
  <si>
    <t>(주)타일웍스</t>
  </si>
  <si>
    <t>서울특별시 강서구 등촌동 694 등촌대림아파트 제104동 제13층 제1301호</t>
  </si>
  <si>
    <t>이가경</t>
  </si>
  <si>
    <t>부산광역시 사상구 주례동 166-117 프라다 제1층 제101호, 제102호, 제103호, 제2층 제201호, 제202호, 제203호, 제204호, 제205호, 제3층 제301호, 제302호, 제303호, 제304호, 제305호, 제4층 제401호, 제402호, 제403호, 제404호, 제405호, 제5층 제501호, 제502호(집합건물 20개호)</t>
  </si>
  <si>
    <t>남상길</t>
  </si>
  <si>
    <t>경상북도 구미시 원평동 1032-39(토지, 건물)</t>
  </si>
  <si>
    <t>(주)엔에스티그룹</t>
  </si>
  <si>
    <t>경기도 용인시 수지구 상현동 1099 심곡마을광교힐스테이트 제201동 제12층 제1202호</t>
  </si>
  <si>
    <t>유진천</t>
  </si>
  <si>
    <t>서울특별시 서초구 신원동 557 힐스테이트서초젠트리스 제104동 제2층 제201호</t>
  </si>
  <si>
    <t>주식회사 유니언스</t>
  </si>
  <si>
    <t>경기도 성남시 중원구 상대원동 5445 성남우림라이온스밸리3차 제11층 제1112호, 제1112에이호(집합건물 2개호)</t>
  </si>
  <si>
    <t>박현준</t>
  </si>
  <si>
    <t>광주광역시 북구 각화동 614 무등산한국아델리움어반센트럴 제101동 제8층 제804호</t>
  </si>
  <si>
    <t>(주)데이탐코리아</t>
  </si>
  <si>
    <t>경기도 광명시 소하동 1325 골드클래스 제104동 제2층 제202호</t>
  </si>
  <si>
    <t>진영해</t>
  </si>
  <si>
    <t>대구광역시 달서구 대곡동 1101-1 에스엔피빌딩 제1층 제103호</t>
  </si>
  <si>
    <t>주식회사어번트리</t>
  </si>
  <si>
    <t>경기도 파주시 탄현면 성동리 84 제지1층 제비101호</t>
  </si>
  <si>
    <t>조영철</t>
  </si>
  <si>
    <t>경기도 시흥시 정왕동 2732 호반써밋더프라임 제108동 제18층 제1804호</t>
  </si>
  <si>
    <t>최상천</t>
  </si>
  <si>
    <t>울산광역시 남구 옥동 131-10 대공원롯데인벤스가 제201동 제11층 제1202호</t>
  </si>
  <si>
    <t>정영순</t>
  </si>
  <si>
    <t>부산광역시 남구 대연동 245외 7필지 대우그린아파트 제102동 제1층 제107호</t>
  </si>
  <si>
    <t>이연</t>
  </si>
  <si>
    <t>서울특별시 마포구 성산동 446외 1필지 성산시영아파트 제22동 제1층 제106호</t>
  </si>
  <si>
    <t>정재진</t>
  </si>
  <si>
    <t>부산광역시 동래구 명장동 617외 1필지 동래동일스위트 제101동 제11층 제1104호</t>
  </si>
  <si>
    <t>김소연</t>
  </si>
  <si>
    <t>서울특별시 중구 신당동 773 맥스타일 제15층 제15002호</t>
  </si>
  <si>
    <t>심창현</t>
  </si>
  <si>
    <t>충청북도 청주시 상당구 용정동 1116외 1필지 청주용정한라비발디 제208동 제6층 제604호</t>
  </si>
  <si>
    <t>윤여권</t>
  </si>
  <si>
    <t>경기도 평택시 신장동 599-5 씨 제1층 제101호</t>
  </si>
  <si>
    <t>한수현</t>
  </si>
  <si>
    <t>상가, 다세대</t>
    <phoneticPr fontId="5" type="noConversion"/>
  </si>
  <si>
    <t>경기도 고양시 일산동구 장항동 763외 3필지 일산라페스타 제이동 제3층 제301호</t>
  </si>
  <si>
    <t>최락조</t>
  </si>
  <si>
    <t>연립 (동일건물)</t>
    <phoneticPr fontId="5" type="noConversion"/>
  </si>
  <si>
    <t>충청남도 천안시 동남구 병천면 가전리 709 부경타운하우스2단지 제203동 제1층 제102호</t>
  </si>
  <si>
    <t>김경남</t>
  </si>
  <si>
    <t>연립 (동일건물)</t>
    <phoneticPr fontId="5" type="noConversion"/>
  </si>
  <si>
    <t>충청남도 천안시 동남구 병천면 가전리 709 부경타운하우스2단지 제203동 제2층 제205호</t>
  </si>
  <si>
    <t>강경민</t>
  </si>
  <si>
    <t>충청남도 천안시 동남구 병천면 가전리 709 부경타운하우스2단지 제205동 제2층 제205호</t>
  </si>
  <si>
    <t>신진미</t>
  </si>
  <si>
    <t>충청남도 천안시 동남구 병천면 가전리 709 부경타운하우스2단지 제202동 제2층 제201호</t>
  </si>
  <si>
    <t>아따그바이스라엘임마누엘</t>
  </si>
  <si>
    <t>경기도 파주시 목동동 647 해솔마을1단지두산위브 제103동 제8층 제804호</t>
  </si>
  <si>
    <t>김성호</t>
  </si>
  <si>
    <t>경기도 의정부시 호원동 444-1 푸른마을아파트 제13층 제1305호</t>
  </si>
  <si>
    <t>이아름</t>
  </si>
  <si>
    <t>경상북도 칠곡군 왜관읍 왜관리 1463 칠곡왜관태왕아너스센텀 제101동 제2층 제205호</t>
  </si>
  <si>
    <t>김창순</t>
  </si>
  <si>
    <t>경기도 파주시 야당동 975 한빛마을3단지자유로아이파크 제307동 제5층 제502호</t>
  </si>
  <si>
    <t>김한기</t>
  </si>
  <si>
    <t>대구광역시 달서구 용산동 416-5 성서청구타운 제103동 제8층 제805호</t>
  </si>
  <si>
    <t>정주연</t>
  </si>
  <si>
    <t>울산광역시 북구 중산동 1318 유-스타시티일동미라주더스타1단지 제104동 제1층 제102호</t>
  </si>
  <si>
    <t>이영자</t>
  </si>
  <si>
    <t>부산광역시 동구 범일동 830-296 진흥마제스타워범일 제101동 제23층 제1423호</t>
  </si>
  <si>
    <t>박찬열</t>
  </si>
  <si>
    <t>경기도 수원시 권선구 탑동 22-15 우림파크빌 제4층 제402호</t>
  </si>
  <si>
    <t>이상규</t>
  </si>
  <si>
    <t>인천광역시 부평구 산곡동 145외 1필지 경남아파트 제311동 제16층 제1601호</t>
  </si>
  <si>
    <t>김태현</t>
  </si>
  <si>
    <t>경기도 파주시 탄현면 성동리 84 제지2층 제비201-1호</t>
  </si>
  <si>
    <t>강순심</t>
  </si>
  <si>
    <t>제주특별자치도 서귀포시 대포동 792 천마에코피아7차 제101동 제1층 제105호</t>
  </si>
  <si>
    <t>김윤희</t>
  </si>
  <si>
    <t>경상북도 영천시 봉동 805 봉동 선원가와인 아파트 제101동 제5층 제501호</t>
  </si>
  <si>
    <t>김준경</t>
  </si>
  <si>
    <t>오피스텔(주거)</t>
  </si>
  <si>
    <t>인천광역시 미추홀구 숭의동 171-9 제4층 제401호</t>
  </si>
  <si>
    <t>김승애</t>
  </si>
  <si>
    <t>경기도 김포시 통진읍 서암리 886-9 온누리씨티 제101동 제1층 제101호</t>
  </si>
  <si>
    <t>박진</t>
  </si>
  <si>
    <t>부산광역시 수영구 민락동 181-88 타워더모스트광안 제16층 제1604호</t>
  </si>
  <si>
    <t>이현동</t>
  </si>
  <si>
    <t>부산광역시 해운대구 반여동 1685 센텀우성스마트시티뷰 제104동 제13층 제1301호</t>
  </si>
  <si>
    <t>강지유</t>
  </si>
  <si>
    <t>부산광역시 수영구 민락동 181-88 타워더모스트광안 제7층 제740호</t>
  </si>
  <si>
    <t>조영욱</t>
  </si>
  <si>
    <t>경기도 평택시 신장동 97-5외 2필지 주건축물제1동 제3층 제303호</t>
  </si>
  <si>
    <t>문지홍</t>
  </si>
  <si>
    <t>부산광역시 해운대구 송정동 200-4 쏠데까사 제4층 제401호</t>
  </si>
  <si>
    <t>이순나</t>
  </si>
  <si>
    <t>대구광역시 달성군 화원읍 성산리 505 화원대백아파트 제103동 제4층 제401호</t>
  </si>
  <si>
    <t>천진석</t>
  </si>
  <si>
    <t>경상남도 창원시 진해구 청안동 473 부영아파트 제310동 제13층 제1304호</t>
  </si>
  <si>
    <t>박상채</t>
  </si>
  <si>
    <t>경기도 화성시 능동 1039 서동탄역우남퍼스트빌아파트 제1002동 제16층 제1605호</t>
  </si>
  <si>
    <t>임영규</t>
  </si>
  <si>
    <t>부산광역시 영도구 남항동1가 36-5 제이스힐타워 제3층 제305호</t>
  </si>
  <si>
    <t>서삼교</t>
  </si>
  <si>
    <t>경상북도 포항시 북구 우현동 335-4 우현화성타운 제101동 제18층 제1809호</t>
  </si>
  <si>
    <t>주식회사 미미팜</t>
  </si>
  <si>
    <t>아파트 (동일단지)</t>
    <phoneticPr fontId="5" type="noConversion"/>
  </si>
  <si>
    <t>경기도 이천시 부발읍 응암리 109 주은다솜마을임대아파트 제104동 제1층 제102호</t>
  </si>
  <si>
    <t>이영순</t>
  </si>
  <si>
    <t>부산광역시 금정구 구서동 162-13 동보아파트4차 제7층 제702호</t>
  </si>
  <si>
    <t>박현수</t>
  </si>
  <si>
    <t>부산광역시 사하구 당리동 39-18 당리형제아파트 제101동 제5층 제505호</t>
  </si>
  <si>
    <t>오현수</t>
  </si>
  <si>
    <t>경상남도 김해시 삼계동 1435 화정마을부영아파트 제605동 제2층 제204호</t>
  </si>
  <si>
    <t>박지희</t>
  </si>
  <si>
    <t>경기도 고양시 덕양구 신원동 595 고양삼송동일스위트1차 제703동 제7층 제704호</t>
  </si>
  <si>
    <t>여미진</t>
  </si>
  <si>
    <t>부산광역시 남구 문현동 470-9외 1필지 금융센터디온플레이스 제23층 제2304호</t>
  </si>
  <si>
    <t>유채이</t>
  </si>
  <si>
    <t>부산광역시 해운대구 좌동 1476-1 해운대베르나움 제19층 제비1915호</t>
  </si>
  <si>
    <t>조국래</t>
  </si>
  <si>
    <t>부산광역시 금정구 남산동 61외 1필지 남산하이츠타운 제101동 제6층 제608호</t>
  </si>
  <si>
    <t>김영진</t>
  </si>
  <si>
    <t>경상남도 창원시 의창구 도계동 422-1 황제빌라 제4층 제404호</t>
  </si>
  <si>
    <t>성기융</t>
  </si>
  <si>
    <t>경상북도 구미시 남통동 20-1외 6필지 남통그린두산맨션 제102동 제1층 제101호</t>
  </si>
  <si>
    <t>정대구</t>
  </si>
  <si>
    <t>경상북도 구미시 황상동 118외 1필지 한양금봉타운 제202동 제4층 제403호</t>
  </si>
  <si>
    <t>신정희</t>
  </si>
  <si>
    <t>부산광역시 부산진구 전포동 171-2 서면앙쥬빌주상복합 제16층 제1606호</t>
  </si>
  <si>
    <t>(주)에스씨글로벌</t>
  </si>
  <si>
    <t>경상남도 김해시 대청동 68-9 장유프라자 제7층 제701호, 제702호(집합건물 2개호)</t>
  </si>
  <si>
    <t>이갑수</t>
  </si>
  <si>
    <t>아파트, 아파트, 공장, 창고</t>
    <phoneticPr fontId="5" type="noConversion"/>
  </si>
  <si>
    <t>대구광역시 달서구 감삼동 461 월드마크웨스트엔드 제101동 제15층 제1502호</t>
  </si>
  <si>
    <t>이영희</t>
  </si>
  <si>
    <t>대구광역시 달서구 월성동 120 월성푸르지오 제101동 제5층 제504호</t>
  </si>
  <si>
    <t>(주)오디에스</t>
  </si>
  <si>
    <t>대구광역시 서구 비산동 2008-116(토지, 건물)</t>
  </si>
  <si>
    <t>김범준</t>
  </si>
  <si>
    <t>서울특별시 마포구 아현동 718-2 제1층 제1호</t>
  </si>
  <si>
    <t>(유)진산종합단열</t>
  </si>
  <si>
    <t>상가, 아파트</t>
    <phoneticPr fontId="5" type="noConversion"/>
  </si>
  <si>
    <t>경상북도 구미시 황상동 305-2외 10필지 영무메트로 제4층 제406호</t>
  </si>
  <si>
    <t>Assign</t>
    <phoneticPr fontId="9" type="noConversion"/>
  </si>
  <si>
    <t>문선영</t>
  </si>
  <si>
    <t>여신거래약정서</t>
    <phoneticPr fontId="5" type="noConversion"/>
  </si>
  <si>
    <t>근저당설정계약서</t>
    <phoneticPr fontId="5" type="noConversion"/>
  </si>
  <si>
    <t>신용보증서</t>
    <phoneticPr fontId="5" type="noConversion"/>
  </si>
  <si>
    <t>사고통지서</t>
    <phoneticPr fontId="5" type="noConversion"/>
  </si>
  <si>
    <t>대위변제증서</t>
    <phoneticPr fontId="5" type="noConversion"/>
  </si>
  <si>
    <t>가지금금영수증</t>
    <phoneticPr fontId="5" type="noConversion"/>
  </si>
  <si>
    <t>등기부등본</t>
    <phoneticPr fontId="5" type="noConversion"/>
  </si>
  <si>
    <t>낙찰사례</t>
    <phoneticPr fontId="5" type="noConversion"/>
  </si>
  <si>
    <t>인포케어</t>
    <phoneticPr fontId="5" type="noConversion"/>
  </si>
  <si>
    <t>낙찰일정 조정대상</t>
    <phoneticPr fontId="5" type="noConversion"/>
  </si>
  <si>
    <t>물건종류</t>
    <phoneticPr fontId="5" type="noConversion"/>
  </si>
  <si>
    <t>2차 DD update</t>
    <phoneticPr fontId="5" type="noConversion"/>
  </si>
  <si>
    <t>장안읍 오리</t>
    <phoneticPr fontId="5" type="noConversion"/>
  </si>
  <si>
    <t>감평서</t>
    <phoneticPr fontId="5" type="noConversion"/>
  </si>
  <si>
    <t>O</t>
    <phoneticPr fontId="9" type="noConversion"/>
  </si>
  <si>
    <t>O</t>
    <phoneticPr fontId="9" type="noConversion"/>
  </si>
  <si>
    <t>해당없음</t>
    <phoneticPr fontId="9" type="noConversion"/>
  </si>
  <si>
    <t>QA 요청중</t>
    <phoneticPr fontId="9" type="noConversion"/>
  </si>
  <si>
    <t>QA요청중</t>
    <phoneticPr fontId="9" type="noConversion"/>
  </si>
  <si>
    <t>경매열람자료</t>
    <phoneticPr fontId="9" type="noConversion"/>
  </si>
  <si>
    <t>확인</t>
    <phoneticPr fontId="9" type="noConversion"/>
  </si>
  <si>
    <t>확인</t>
    <phoneticPr fontId="9" type="noConversion"/>
  </si>
  <si>
    <t>확인</t>
    <phoneticPr fontId="9" type="noConversion"/>
  </si>
  <si>
    <t>물건 개수</t>
    <phoneticPr fontId="9" type="noConversion"/>
  </si>
  <si>
    <t>회생자료 확인</t>
    <phoneticPr fontId="9" type="noConversion"/>
  </si>
  <si>
    <t>회생자료 확인</t>
    <phoneticPr fontId="9" type="noConversion"/>
  </si>
  <si>
    <t>실거주 조정대상</t>
    <phoneticPr fontId="9" type="noConversion"/>
  </si>
  <si>
    <t>물건2 주담대+9</t>
    <phoneticPr fontId="9" type="noConversion"/>
  </si>
  <si>
    <t>해당없음</t>
    <phoneticPr fontId="9" type="noConversion"/>
  </si>
  <si>
    <t>제외여부</t>
    <phoneticPr fontId="5" type="noConversion"/>
  </si>
  <si>
    <t>&gt; 추가확인필요</t>
    <phoneticPr fontId="9" type="noConversion"/>
  </si>
  <si>
    <t>매각제외</t>
    <phoneticPr fontId="9" type="noConversion"/>
  </si>
  <si>
    <t>O</t>
    <phoneticPr fontId="9" type="noConversion"/>
  </si>
  <si>
    <t>해당없음</t>
    <phoneticPr fontId="9" type="noConversion"/>
  </si>
  <si>
    <t>해당없음</t>
    <phoneticPr fontId="9" type="noConversion"/>
  </si>
  <si>
    <t>해당없음</t>
    <phoneticPr fontId="9" type="noConversion"/>
  </si>
  <si>
    <t>해당없음</t>
    <phoneticPr fontId="9" type="noConversion"/>
  </si>
  <si>
    <t>해당없음</t>
    <phoneticPr fontId="9" type="noConversion"/>
  </si>
  <si>
    <t>O</t>
    <phoneticPr fontId="9" type="noConversion"/>
  </si>
  <si>
    <t>일반대+8</t>
    <phoneticPr fontId="9" type="noConversion"/>
  </si>
  <si>
    <t>주담대+9</t>
    <phoneticPr fontId="9" type="noConversion"/>
  </si>
  <si>
    <t>물건1 일반대+8</t>
    <phoneticPr fontId="9" type="noConversion"/>
  </si>
  <si>
    <t>해당없음</t>
    <phoneticPr fontId="9" type="noConversion"/>
  </si>
  <si>
    <t>해당없음</t>
    <phoneticPr fontId="9" type="noConversion"/>
  </si>
  <si>
    <t>차주사망, 일반대+8</t>
    <phoneticPr fontId="9" type="noConversion"/>
  </si>
  <si>
    <t>아파트</t>
    <phoneticPr fontId="9" type="noConversion"/>
  </si>
  <si>
    <t>관리비 전화</t>
    <phoneticPr fontId="9" type="noConversion"/>
  </si>
  <si>
    <t>Assign</t>
    <phoneticPr fontId="9" type="noConversion"/>
  </si>
  <si>
    <t>매각제외</t>
    <phoneticPr fontId="9" type="noConversion"/>
  </si>
  <si>
    <t>롤업대상</t>
    <phoneticPr fontId="9" type="noConversion"/>
  </si>
  <si>
    <t>확인</t>
    <phoneticPr fontId="9" type="noConversion"/>
  </si>
  <si>
    <t>상가임대차 미제공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</si>
</sst>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">
    <numFmt numFmtId="41" formatCode="_-* #,##0_-;\-* #,##0_-;_-* &quot;-&quot;_-;_-@_-"/>
    <numFmt numFmtId="43" formatCode="_-* #,##0.00_-;\-* #,##0.00_-;_-* &quot;-&quot;??_-;_-@_-"/>
    <numFmt numFmtId="176" formatCode="_(* #,##0_);_(* \(#,##0\);_(* &quot;-&quot;_);_(@_)"/>
    <numFmt numFmtId="177" formatCode="_-* #,##0_-;\-* #,##0_-;"/>
    <numFmt numFmtId="178" formatCode="#,##0_ "/>
    <numFmt numFmtId="179" formatCode="General;;"/>
    <numFmt numFmtId="180" formatCode="#,##0_-;[Red]\(#,##0\)_-;\-_-"/>
    <numFmt numFmtId="181" formatCode="#,##0_);[Red]\(#,##0\);\-_;"/>
    <numFmt numFmtId="182" formatCode="0.0%"/>
    <numFmt numFmtId="183" formatCode="#,###.00&quot;㎡&quot;;\(#,###.00\);&quot;-&quot;"/>
    <numFmt numFmtId="184" formatCode="_-* #,##0_-;\-* #,##0_-;&quot;- &quot;"/>
    <numFmt numFmtId="185" formatCode="&quot;₩&quot;#,##0.00;[Red]&quot;₩&quot;&quot;₩&quot;\-#,##0.00"/>
    <numFmt numFmtId="186" formatCode="_-* #,##0.0_-;\-* #,##0.0_-;_-* &quot;-&quot;?_-;_-@_-"/>
    <numFmt numFmtId="187" formatCode="#,###&quot;식&quot;;\(#,###\);&quot;- &quot;"/>
    <numFmt numFmtId="188" formatCode="#,##0.0000"/>
  </numFmts>
  <fonts count="68">
    <font>
      <sz val="11"/>
      <color theme="1"/>
      <name val="맑은 고딕"/>
      <family val="2"/>
      <charset val="129"/>
      <scheme val="minor"/>
    </font>
    <font>
      <sz val="8"/>
      <color theme="1"/>
      <name val="Arial"/>
      <family val="2"/>
      <charset val="129"/>
    </font>
    <font>
      <sz val="8"/>
      <color theme="1"/>
      <name val="Arial"/>
      <family val="2"/>
      <charset val="129"/>
    </font>
    <font>
      <sz val="8"/>
      <color theme="1"/>
      <name val="Arial"/>
      <family val="2"/>
      <charset val="129"/>
    </font>
    <font>
      <sz val="9"/>
      <color indexed="9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name val="맑은 고딕"/>
      <family val="3"/>
      <charset val="129"/>
      <scheme val="minor"/>
    </font>
    <font>
      <b/>
      <i/>
      <sz val="20"/>
      <name val="맑은 고딕"/>
      <family val="3"/>
      <charset val="129"/>
      <scheme val="minor"/>
    </font>
    <font>
      <b/>
      <i/>
      <sz val="16"/>
      <name val="맑은 고딕"/>
      <family val="3"/>
      <charset val="129"/>
      <scheme val="minor"/>
    </font>
    <font>
      <sz val="8"/>
      <name val="돋움"/>
      <family val="3"/>
      <charset val="129"/>
    </font>
    <font>
      <sz val="12"/>
      <name val="맑은 고딕"/>
      <family val="3"/>
      <charset val="129"/>
      <scheme val="minor"/>
    </font>
    <font>
      <b/>
      <i/>
      <sz val="12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0"/>
      <color indexed="9"/>
      <name val="맑은 고딕"/>
      <family val="3"/>
      <charset val="129"/>
      <scheme val="minor"/>
    </font>
    <font>
      <sz val="9"/>
      <name val="맑은 고딕"/>
      <family val="3"/>
      <charset val="129"/>
      <scheme val="major"/>
    </font>
    <font>
      <sz val="8"/>
      <name val="맑은 고딕"/>
      <family val="2"/>
      <charset val="129"/>
    </font>
    <font>
      <sz val="11"/>
      <color theme="1"/>
      <name val="맑은 고딕"/>
      <family val="3"/>
      <charset val="129"/>
      <scheme val="minor"/>
    </font>
    <font>
      <b/>
      <sz val="10"/>
      <color rgb="FF646464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aj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indexed="9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  <font>
      <sz val="9"/>
      <color indexed="9"/>
      <name val="맑은 고딕"/>
      <family val="3"/>
      <charset val="129"/>
      <scheme val="major"/>
    </font>
    <font>
      <b/>
      <sz val="9"/>
      <color theme="1"/>
      <name val="맑은 고딕"/>
      <family val="3"/>
      <charset val="129"/>
      <scheme val="minor"/>
    </font>
    <font>
      <b/>
      <i/>
      <sz val="12"/>
      <name val="맑은 고딕"/>
      <family val="3"/>
      <charset val="129"/>
      <scheme val="major"/>
    </font>
    <font>
      <sz val="12"/>
      <name val="맑은 고딕"/>
      <family val="3"/>
      <charset val="129"/>
      <scheme val="major"/>
    </font>
    <font>
      <sz val="10"/>
      <color rgb="FF646464"/>
      <name val="맑은 고딕"/>
      <family val="3"/>
      <charset val="129"/>
      <scheme val="major"/>
    </font>
    <font>
      <b/>
      <sz val="10"/>
      <color rgb="FF646464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0"/>
      <color theme="0"/>
      <name val="맑은 고딕"/>
      <family val="3"/>
      <charset val="129"/>
      <scheme val="major"/>
    </font>
    <font>
      <b/>
      <i/>
      <sz val="10"/>
      <name val="Times New Roman"/>
      <family val="1"/>
    </font>
    <font>
      <b/>
      <sz val="10"/>
      <color theme="1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8"/>
      <name val="바탕"/>
      <family val="1"/>
      <charset val="129"/>
    </font>
    <font>
      <b/>
      <sz val="10"/>
      <color indexed="8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맑은 고딕"/>
      <family val="3"/>
      <scheme val="major"/>
    </font>
    <font>
      <sz val="10"/>
      <color rgb="FF000000"/>
      <name val="Arial"/>
      <family val="2"/>
    </font>
    <font>
      <sz val="11"/>
      <color theme="1"/>
      <name val="맑은 고딕"/>
      <family val="3"/>
      <scheme val="major"/>
    </font>
    <font>
      <sz val="10"/>
      <color indexed="8"/>
      <name val="맑은 고딕"/>
      <family val="3"/>
      <scheme val="major"/>
    </font>
    <font>
      <sz val="11"/>
      <color rgb="FF000000"/>
      <name val="맑은 고딕"/>
      <family val="3"/>
      <charset val="129"/>
    </font>
    <font>
      <sz val="10"/>
      <color indexed="9"/>
      <name val="맑은 고딕"/>
      <family val="3"/>
      <scheme val="major"/>
    </font>
    <font>
      <sz val="10"/>
      <color theme="1"/>
      <name val="맑은 고딕"/>
      <family val="3"/>
      <scheme val="major"/>
    </font>
    <font>
      <sz val="9"/>
      <name val="맑은 고딕"/>
      <family val="3"/>
      <scheme val="major"/>
    </font>
    <font>
      <sz val="10"/>
      <color rgb="FF646464"/>
      <name val="맑은 고딕"/>
      <family val="3"/>
      <scheme val="major"/>
    </font>
    <font>
      <b/>
      <sz val="10"/>
      <color rgb="FF646464"/>
      <name val="맑은 고딕"/>
      <family val="3"/>
      <scheme val="major"/>
    </font>
    <font>
      <b/>
      <sz val="10"/>
      <color theme="1"/>
      <name val="맑은 고딕"/>
      <family val="3"/>
      <scheme val="major"/>
    </font>
    <font>
      <sz val="11"/>
      <name val="돋움체"/>
      <family val="3"/>
      <charset val="129"/>
    </font>
    <font>
      <sz val="11"/>
      <color indexed="8"/>
      <name val="맑은 고딕"/>
      <family val="2"/>
    </font>
    <font>
      <b/>
      <sz val="9"/>
      <name val="맑은 고딕"/>
      <family val="3"/>
      <charset val="129"/>
      <scheme val="minor"/>
    </font>
    <font>
      <b/>
      <sz val="10"/>
      <color theme="1"/>
      <name val="맑은 고딕"/>
      <family val="2"/>
      <charset val="129"/>
      <scheme val="minor"/>
    </font>
    <font>
      <sz val="10"/>
      <color rgb="FF000000"/>
      <name val="맑은 고딕"/>
      <family val="3"/>
    </font>
    <font>
      <sz val="10"/>
      <color rgb="FF000000"/>
      <name val="맑은 고딕"/>
      <family val="3"/>
      <charset val="129"/>
      <scheme val="major"/>
    </font>
    <font>
      <sz val="11"/>
      <name val="Calibri"/>
      <family val="2"/>
    </font>
    <font>
      <sz val="10"/>
      <name val="Arial"/>
      <family val="2"/>
    </font>
    <font>
      <sz val="10"/>
      <color indexed="8"/>
      <name val="맑은 고딕"/>
      <family val="3"/>
      <charset val="129"/>
    </font>
    <font>
      <sz val="10"/>
      <color theme="1"/>
      <name val="Tahoma"/>
      <family val="2"/>
    </font>
    <font>
      <sz val="11"/>
      <color indexed="8"/>
      <name val="맑은 고딕"/>
      <family val="3"/>
      <charset val="129"/>
    </font>
    <font>
      <sz val="11"/>
      <name val="맑은 고딕"/>
      <family val="2"/>
      <charset val="129"/>
      <scheme val="minor"/>
    </font>
    <font>
      <b/>
      <sz val="10"/>
      <color rgb="FFFF0000"/>
      <name val="맑은 고딕"/>
      <family val="3"/>
      <charset val="129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E600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2D2D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theme="0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auto="1"/>
      </bottom>
      <diagonal/>
    </border>
    <border>
      <left style="medium">
        <color theme="0"/>
      </left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auto="1"/>
      </top>
      <bottom/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</borders>
  <cellStyleXfs count="71">
    <xf numFmtId="0" fontId="0" fillId="0" borderId="0">
      <alignment vertical="center"/>
    </xf>
    <xf numFmtId="41" fontId="42" fillId="0" borderId="0" applyFont="0" applyFill="0" applyBorder="0" applyAlignment="0" applyProtection="0">
      <alignment vertical="center"/>
    </xf>
    <xf numFmtId="0" fontId="43" fillId="0" borderId="0"/>
    <xf numFmtId="41" fontId="43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45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41" fontId="42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185" fontId="55" fillId="0" borderId="0">
      <protection locked="0"/>
    </xf>
    <xf numFmtId="41" fontId="15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56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61" fillId="0" borderId="0">
      <alignment vertical="center"/>
    </xf>
    <xf numFmtId="41" fontId="61" fillId="0" borderId="0" applyFont="0" applyFill="0" applyBorder="0" applyAlignment="0" applyProtection="0">
      <alignment vertical="center"/>
    </xf>
    <xf numFmtId="0" fontId="63" fillId="0" borderId="0">
      <alignment vertical="center"/>
    </xf>
    <xf numFmtId="41" fontId="62" fillId="0" borderId="0" applyFont="0" applyFill="0" applyBorder="0" applyAlignment="0" applyProtection="0"/>
    <xf numFmtId="0" fontId="20" fillId="0" borderId="0">
      <alignment vertical="center"/>
    </xf>
    <xf numFmtId="0" fontId="3" fillId="0" borderId="0">
      <alignment vertical="center"/>
    </xf>
    <xf numFmtId="0" fontId="42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/>
    <xf numFmtId="9" fontId="43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42" fillId="0" borderId="0">
      <alignment vertical="center"/>
    </xf>
    <xf numFmtId="0" fontId="64" fillId="0" borderId="0"/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2" fillId="0" borderId="0"/>
    <xf numFmtId="0" fontId="48" fillId="0" borderId="0">
      <alignment vertical="center"/>
    </xf>
    <xf numFmtId="0" fontId="48" fillId="0" borderId="0">
      <alignment vertical="center"/>
    </xf>
    <xf numFmtId="41" fontId="42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41" fontId="42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1" fillId="0" borderId="0">
      <alignment vertical="center"/>
    </xf>
    <xf numFmtId="41" fontId="42" fillId="0" borderId="0" applyFont="0" applyFill="0" applyBorder="0" applyAlignment="0" applyProtection="0">
      <alignment vertical="center"/>
    </xf>
    <xf numFmtId="0" fontId="65" fillId="0" borderId="0">
      <alignment vertical="center"/>
    </xf>
    <xf numFmtId="41" fontId="65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42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41" fontId="42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1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0" fontId="62" fillId="0" borderId="0"/>
    <xf numFmtId="41" fontId="62" fillId="0" borderId="0" applyFont="0" applyFill="0" applyBorder="0" applyAlignment="0" applyProtection="0">
      <alignment vertical="center"/>
    </xf>
    <xf numFmtId="0" fontId="62" fillId="0" borderId="0"/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0" fontId="43" fillId="0" borderId="0">
      <alignment vertical="center"/>
    </xf>
    <xf numFmtId="0" fontId="20" fillId="0" borderId="0"/>
  </cellStyleXfs>
  <cellXfs count="517">
    <xf numFmtId="0" fontId="0" fillId="0" borderId="0" xfId="0">
      <alignment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41" fontId="6" fillId="0" borderId="0" xfId="0" applyNumberFormat="1" applyFont="1">
      <alignment vertical="center"/>
    </xf>
    <xf numFmtId="0" fontId="7" fillId="0" borderId="0" xfId="0" applyFont="1" applyAlignment="1">
      <alignment horizontal="left" vertical="center"/>
    </xf>
    <xf numFmtId="41" fontId="6" fillId="2" borderId="0" xfId="0" applyNumberFormat="1" applyFont="1" applyFill="1">
      <alignment vertical="center"/>
    </xf>
    <xf numFmtId="0" fontId="6" fillId="2" borderId="0" xfId="0" applyFont="1" applyFill="1">
      <alignment vertical="center"/>
    </xf>
    <xf numFmtId="0" fontId="8" fillId="0" borderId="0" xfId="0" applyFont="1" applyAlignment="1">
      <alignment horizontal="left" vertical="center"/>
    </xf>
    <xf numFmtId="0" fontId="10" fillId="0" borderId="0" xfId="0" applyFont="1">
      <alignment vertical="center"/>
    </xf>
    <xf numFmtId="0" fontId="11" fillId="0" borderId="0" xfId="0" applyFont="1" applyAlignment="1">
      <alignment horizontal="left" vertical="center" indent="2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2" fillId="3" borderId="1" xfId="0" quotePrefix="1" applyFont="1" applyFill="1" applyBorder="1">
      <alignment vertical="center"/>
    </xf>
    <xf numFmtId="0" fontId="12" fillId="0" borderId="1" xfId="0" applyFont="1" applyBorder="1">
      <alignment vertical="center"/>
    </xf>
    <xf numFmtId="0" fontId="12" fillId="3" borderId="1" xfId="0" applyFont="1" applyFill="1" applyBorder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5" fillId="3" borderId="1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right" vertical="center"/>
    </xf>
    <xf numFmtId="0" fontId="20" fillId="0" borderId="0" xfId="0" applyFont="1">
      <alignment vertical="center"/>
    </xf>
    <xf numFmtId="14" fontId="21" fillId="3" borderId="2" xfId="0" applyNumberFormat="1" applyFont="1" applyFill="1" applyBorder="1" applyAlignment="1">
      <alignment horizontal="centerContinuous" vertical="center"/>
    </xf>
    <xf numFmtId="0" fontId="21" fillId="3" borderId="3" xfId="0" applyFont="1" applyFill="1" applyBorder="1" applyAlignment="1">
      <alignment horizontal="centerContinuous" vertical="center"/>
    </xf>
    <xf numFmtId="0" fontId="21" fillId="3" borderId="2" xfId="0" applyFont="1" applyFill="1" applyBorder="1" applyAlignment="1">
      <alignment horizontal="centerContinuous" vertical="center"/>
    </xf>
    <xf numFmtId="0" fontId="21" fillId="3" borderId="4" xfId="0" applyFont="1" applyFill="1" applyBorder="1" applyAlignment="1">
      <alignment horizontal="centerContinuous" vertical="center"/>
    </xf>
    <xf numFmtId="0" fontId="21" fillId="3" borderId="5" xfId="0" applyFont="1" applyFill="1" applyBorder="1" applyAlignment="1">
      <alignment horizontal="center" vertical="center"/>
    </xf>
    <xf numFmtId="0" fontId="17" fillId="4" borderId="6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17" fillId="4" borderId="7" xfId="0" applyFont="1" applyFill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3" fillId="5" borderId="20" xfId="0" applyFont="1" applyFill="1" applyBorder="1" applyAlignment="1">
      <alignment horizontal="center" vertical="center"/>
    </xf>
    <xf numFmtId="0" fontId="24" fillId="5" borderId="21" xfId="0" applyFont="1" applyFill="1" applyBorder="1">
      <alignment vertical="center"/>
    </xf>
    <xf numFmtId="0" fontId="24" fillId="5" borderId="21" xfId="0" applyFont="1" applyFill="1" applyBorder="1" applyAlignment="1">
      <alignment horizontal="center" vertical="center"/>
    </xf>
    <xf numFmtId="41" fontId="13" fillId="5" borderId="21" xfId="0" applyNumberFormat="1" applyFont="1" applyFill="1" applyBorder="1">
      <alignment vertical="center"/>
    </xf>
    <xf numFmtId="0" fontId="25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4" fontId="6" fillId="0" borderId="0" xfId="0" applyNumberFormat="1" applyFont="1">
      <alignment vertical="center"/>
    </xf>
    <xf numFmtId="0" fontId="6" fillId="0" borderId="0" xfId="0" applyFont="1" applyAlignment="1">
      <alignment horizontal="right" vertical="center"/>
    </xf>
    <xf numFmtId="41" fontId="6" fillId="0" borderId="0" xfId="0" applyNumberFormat="1" applyFont="1" applyAlignment="1">
      <alignment horizontal="center" vertical="center"/>
    </xf>
    <xf numFmtId="41" fontId="21" fillId="3" borderId="2" xfId="0" applyNumberFormat="1" applyFont="1" applyFill="1" applyBorder="1" applyAlignment="1">
      <alignment horizontal="centerContinuous" vertical="center"/>
    </xf>
    <xf numFmtId="41" fontId="21" fillId="3" borderId="4" xfId="0" applyNumberFormat="1" applyFont="1" applyFill="1" applyBorder="1" applyAlignment="1">
      <alignment horizontal="centerContinuous" vertical="center"/>
    </xf>
    <xf numFmtId="41" fontId="21" fillId="3" borderId="23" xfId="0" applyNumberFormat="1" applyFont="1" applyFill="1" applyBorder="1" applyAlignment="1">
      <alignment horizontal="centerContinuous" vertical="center"/>
    </xf>
    <xf numFmtId="14" fontId="21" fillId="3" borderId="3" xfId="0" applyNumberFormat="1" applyFont="1" applyFill="1" applyBorder="1" applyAlignment="1">
      <alignment horizontal="centerContinuous" vertical="center"/>
    </xf>
    <xf numFmtId="10" fontId="21" fillId="3" borderId="3" xfId="0" applyNumberFormat="1" applyFont="1" applyFill="1" applyBorder="1" applyAlignment="1">
      <alignment horizontal="centerContinuous" vertical="center"/>
    </xf>
    <xf numFmtId="0" fontId="21" fillId="3" borderId="3" xfId="0" applyFont="1" applyFill="1" applyBorder="1" applyAlignment="1">
      <alignment horizontal="center" vertical="center"/>
    </xf>
    <xf numFmtId="0" fontId="21" fillId="3" borderId="24" xfId="0" applyFont="1" applyFill="1" applyBorder="1" applyAlignment="1">
      <alignment horizontal="centerContinuous" vertical="center"/>
    </xf>
    <xf numFmtId="0" fontId="17" fillId="4" borderId="25" xfId="0" applyFont="1" applyFill="1" applyBorder="1" applyAlignment="1">
      <alignment horizontal="center" vertical="center"/>
    </xf>
    <xf numFmtId="0" fontId="17" fillId="4" borderId="26" xfId="0" applyFont="1" applyFill="1" applyBorder="1" applyAlignment="1">
      <alignment horizontal="center" vertical="center"/>
    </xf>
    <xf numFmtId="0" fontId="17" fillId="4" borderId="27" xfId="0" applyFont="1" applyFill="1" applyBorder="1" applyAlignment="1">
      <alignment horizontal="center" vertical="center"/>
    </xf>
    <xf numFmtId="10" fontId="17" fillId="4" borderId="27" xfId="0" applyNumberFormat="1" applyFont="1" applyFill="1" applyBorder="1" applyAlignment="1">
      <alignment horizontal="center" vertical="center"/>
    </xf>
    <xf numFmtId="0" fontId="17" fillId="4" borderId="28" xfId="0" applyFont="1" applyFill="1" applyBorder="1" applyAlignment="1">
      <alignment horizontal="center" vertical="center"/>
    </xf>
    <xf numFmtId="0" fontId="24" fillId="5" borderId="20" xfId="0" applyFont="1" applyFill="1" applyBorder="1">
      <alignment vertical="center"/>
    </xf>
    <xf numFmtId="0" fontId="24" fillId="5" borderId="21" xfId="0" applyFont="1" applyFill="1" applyBorder="1" applyAlignment="1">
      <alignment horizontal="left" vertical="center"/>
    </xf>
    <xf numFmtId="14" fontId="24" fillId="5" borderId="21" xfId="0" applyNumberFormat="1" applyFont="1" applyFill="1" applyBorder="1">
      <alignment vertical="center"/>
    </xf>
    <xf numFmtId="41" fontId="24" fillId="5" borderId="21" xfId="0" applyNumberFormat="1" applyFont="1" applyFill="1" applyBorder="1">
      <alignment vertical="center"/>
    </xf>
    <xf numFmtId="10" fontId="24" fillId="5" borderId="21" xfId="0" applyNumberFormat="1" applyFont="1" applyFill="1" applyBorder="1">
      <alignment vertical="center"/>
    </xf>
    <xf numFmtId="0" fontId="24" fillId="5" borderId="22" xfId="0" applyFont="1" applyFill="1" applyBorder="1">
      <alignment vertical="center"/>
    </xf>
    <xf numFmtId="0" fontId="20" fillId="0" borderId="0" xfId="0" applyFont="1" applyAlignment="1">
      <alignment horizontal="left" vertical="center"/>
    </xf>
    <xf numFmtId="14" fontId="20" fillId="0" borderId="0" xfId="0" applyNumberFormat="1" applyFont="1">
      <alignment vertical="center"/>
    </xf>
    <xf numFmtId="10" fontId="20" fillId="0" borderId="0" xfId="0" applyNumberFormat="1" applyFont="1">
      <alignment vertical="center"/>
    </xf>
    <xf numFmtId="41" fontId="26" fillId="4" borderId="1" xfId="0" applyNumberFormat="1" applyFont="1" applyFill="1" applyBorder="1" applyAlignment="1">
      <alignment horizontal="center" vertical="center"/>
    </xf>
    <xf numFmtId="0" fontId="28" fillId="0" borderId="0" xfId="0" applyFont="1">
      <alignment vertical="center"/>
    </xf>
    <xf numFmtId="0" fontId="18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41" fontId="18" fillId="0" borderId="0" xfId="0" applyNumberFormat="1" applyFont="1">
      <alignment vertical="center"/>
    </xf>
    <xf numFmtId="14" fontId="18" fillId="0" borderId="0" xfId="0" applyNumberFormat="1" applyFont="1">
      <alignment vertical="center"/>
    </xf>
    <xf numFmtId="0" fontId="18" fillId="0" borderId="0" xfId="0" applyFont="1" applyAlignment="1">
      <alignment horizontal="right" vertical="center"/>
    </xf>
    <xf numFmtId="0" fontId="29" fillId="0" borderId="0" xfId="0" applyFont="1" applyAlignment="1">
      <alignment horizontal="center" vertical="center"/>
    </xf>
    <xf numFmtId="0" fontId="18" fillId="2" borderId="0" xfId="0" applyFont="1" applyFill="1">
      <alignment vertical="center"/>
    </xf>
    <xf numFmtId="176" fontId="18" fillId="2" borderId="0" xfId="0" applyNumberFormat="1" applyFont="1" applyFill="1">
      <alignment vertical="center"/>
    </xf>
    <xf numFmtId="0" fontId="18" fillId="0" borderId="0" xfId="0" applyFont="1" applyAlignment="1">
      <alignment horizontal="left" vertical="center"/>
    </xf>
    <xf numFmtId="0" fontId="30" fillId="0" borderId="0" xfId="0" applyFont="1" applyAlignment="1">
      <alignment horizontal="left" vertical="center" indent="2"/>
    </xf>
    <xf numFmtId="0" fontId="31" fillId="0" borderId="0" xfId="0" applyFont="1">
      <alignment vertical="center"/>
    </xf>
    <xf numFmtId="0" fontId="31" fillId="0" borderId="0" xfId="0" applyFont="1" applyAlignment="1">
      <alignment horizontal="center" vertical="center"/>
    </xf>
    <xf numFmtId="176" fontId="18" fillId="0" borderId="0" xfId="0" applyNumberFormat="1" applyFont="1">
      <alignment vertical="center"/>
    </xf>
    <xf numFmtId="0" fontId="18" fillId="0" borderId="0" xfId="0" applyFont="1" applyAlignment="1">
      <alignment vertical="center" wrapText="1"/>
    </xf>
    <xf numFmtId="0" fontId="32" fillId="0" borderId="0" xfId="0" applyFont="1">
      <alignment vertical="center"/>
    </xf>
    <xf numFmtId="0" fontId="33" fillId="3" borderId="4" xfId="0" applyFont="1" applyFill="1" applyBorder="1" applyAlignment="1">
      <alignment horizontal="centerContinuous" vertical="center"/>
    </xf>
    <xf numFmtId="0" fontId="33" fillId="3" borderId="23" xfId="0" applyFont="1" applyFill="1" applyBorder="1" applyAlignment="1">
      <alignment horizontal="centerContinuous" vertical="center"/>
    </xf>
    <xf numFmtId="0" fontId="33" fillId="3" borderId="2" xfId="0" applyFont="1" applyFill="1" applyBorder="1" applyAlignment="1">
      <alignment horizontal="centerContinuous" vertical="center"/>
    </xf>
    <xf numFmtId="0" fontId="33" fillId="3" borderId="41" xfId="0" applyFont="1" applyFill="1" applyBorder="1" applyAlignment="1">
      <alignment horizontal="centerContinuous" vertical="center"/>
    </xf>
    <xf numFmtId="0" fontId="33" fillId="3" borderId="3" xfId="0" applyFont="1" applyFill="1" applyBorder="1" applyAlignment="1">
      <alignment horizontal="centerContinuous" vertical="center"/>
    </xf>
    <xf numFmtId="0" fontId="32" fillId="3" borderId="3" xfId="0" applyFont="1" applyFill="1" applyBorder="1" applyAlignment="1">
      <alignment horizontal="centerContinuous" vertical="center"/>
    </xf>
    <xf numFmtId="14" fontId="33" fillId="3" borderId="4" xfId="0" applyNumberFormat="1" applyFont="1" applyFill="1" applyBorder="1" applyAlignment="1">
      <alignment horizontal="centerContinuous" vertical="center"/>
    </xf>
    <xf numFmtId="0" fontId="32" fillId="3" borderId="4" xfId="0" applyFont="1" applyFill="1" applyBorder="1" applyAlignment="1">
      <alignment horizontal="centerContinuous" vertical="center"/>
    </xf>
    <xf numFmtId="14" fontId="32" fillId="3" borderId="3" xfId="0" applyNumberFormat="1" applyFont="1" applyFill="1" applyBorder="1" applyAlignment="1">
      <alignment horizontal="centerContinuous" vertical="center"/>
    </xf>
    <xf numFmtId="14" fontId="32" fillId="3" borderId="4" xfId="0" applyNumberFormat="1" applyFont="1" applyFill="1" applyBorder="1" applyAlignment="1">
      <alignment horizontal="centerContinuous" vertical="center"/>
    </xf>
    <xf numFmtId="41" fontId="32" fillId="3" borderId="3" xfId="0" applyNumberFormat="1" applyFont="1" applyFill="1" applyBorder="1" applyAlignment="1">
      <alignment horizontal="centerContinuous" vertical="center"/>
    </xf>
    <xf numFmtId="0" fontId="34" fillId="0" borderId="0" xfId="0" applyFont="1">
      <alignment vertical="center"/>
    </xf>
    <xf numFmtId="0" fontId="26" fillId="4" borderId="6" xfId="0" applyFont="1" applyFill="1" applyBorder="1" applyAlignment="1">
      <alignment horizontal="center" vertical="center"/>
    </xf>
    <xf numFmtId="0" fontId="26" fillId="4" borderId="1" xfId="0" applyFont="1" applyFill="1" applyBorder="1" applyAlignment="1">
      <alignment horizontal="center" vertical="center"/>
    </xf>
    <xf numFmtId="0" fontId="26" fillId="4" borderId="26" xfId="0" applyFont="1" applyFill="1" applyBorder="1" applyAlignment="1">
      <alignment horizontal="center" vertical="center"/>
    </xf>
    <xf numFmtId="0" fontId="26" fillId="4" borderId="1" xfId="0" applyFont="1" applyFill="1" applyBorder="1" applyAlignment="1">
      <alignment horizontal="center" vertical="center" wrapText="1"/>
    </xf>
    <xf numFmtId="0" fontId="26" fillId="4" borderId="27" xfId="0" applyFont="1" applyFill="1" applyBorder="1" applyAlignment="1">
      <alignment horizontal="center" vertical="center"/>
    </xf>
    <xf numFmtId="0" fontId="26" fillId="4" borderId="25" xfId="0" applyFont="1" applyFill="1" applyBorder="1" applyAlignment="1">
      <alignment horizontal="center" vertical="center"/>
    </xf>
    <xf numFmtId="14" fontId="26" fillId="4" borderId="1" xfId="0" applyNumberFormat="1" applyFont="1" applyFill="1" applyBorder="1" applyAlignment="1">
      <alignment horizontal="center" vertical="center"/>
    </xf>
    <xf numFmtId="0" fontId="26" fillId="4" borderId="28" xfId="0" applyFont="1" applyFill="1" applyBorder="1" applyAlignment="1">
      <alignment horizontal="center" vertical="center"/>
    </xf>
    <xf numFmtId="176" fontId="24" fillId="5" borderId="21" xfId="0" applyNumberFormat="1" applyFont="1" applyFill="1" applyBorder="1">
      <alignment vertical="center"/>
    </xf>
    <xf numFmtId="0" fontId="24" fillId="5" borderId="21" xfId="0" applyFont="1" applyFill="1" applyBorder="1" applyAlignment="1">
      <alignment horizontal="right" vertical="center"/>
    </xf>
    <xf numFmtId="0" fontId="3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9" fontId="18" fillId="0" borderId="0" xfId="0" applyNumberFormat="1" applyFont="1">
      <alignment vertical="center"/>
    </xf>
    <xf numFmtId="0" fontId="33" fillId="3" borderId="45" xfId="0" applyFont="1" applyFill="1" applyBorder="1" applyAlignment="1">
      <alignment horizontal="centerContinuous" vertical="center"/>
    </xf>
    <xf numFmtId="41" fontId="33" fillId="3" borderId="3" xfId="0" applyNumberFormat="1" applyFont="1" applyFill="1" applyBorder="1" applyAlignment="1">
      <alignment horizontal="centerContinuous" vertical="center"/>
    </xf>
    <xf numFmtId="9" fontId="33" fillId="3" borderId="3" xfId="0" applyNumberFormat="1" applyFont="1" applyFill="1" applyBorder="1" applyAlignment="1">
      <alignment horizontal="centerContinuous" vertical="center"/>
    </xf>
    <xf numFmtId="0" fontId="33" fillId="3" borderId="46" xfId="0" applyFont="1" applyFill="1" applyBorder="1" applyAlignment="1">
      <alignment horizontal="centerContinuous" vertical="center"/>
    </xf>
    <xf numFmtId="0" fontId="33" fillId="3" borderId="24" xfId="0" applyFont="1" applyFill="1" applyBorder="1" applyAlignment="1">
      <alignment horizontal="center" vertical="center"/>
    </xf>
    <xf numFmtId="0" fontId="37" fillId="0" borderId="0" xfId="0" applyFont="1">
      <alignment vertical="center"/>
    </xf>
    <xf numFmtId="0" fontId="38" fillId="5" borderId="20" xfId="0" applyFont="1" applyFill="1" applyBorder="1">
      <alignment vertical="center"/>
    </xf>
    <xf numFmtId="0" fontId="38" fillId="5" borderId="21" xfId="0" applyFont="1" applyFill="1" applyBorder="1" applyAlignment="1">
      <alignment horizontal="center" vertical="center"/>
    </xf>
    <xf numFmtId="0" fontId="38" fillId="5" borderId="21" xfId="0" applyFont="1" applyFill="1" applyBorder="1">
      <alignment vertical="center"/>
    </xf>
    <xf numFmtId="9" fontId="38" fillId="5" borderId="21" xfId="0" applyNumberFormat="1" applyFont="1" applyFill="1" applyBorder="1" applyAlignment="1">
      <alignment horizontal="center" vertical="center"/>
    </xf>
    <xf numFmtId="41" fontId="38" fillId="5" borderId="21" xfId="0" applyNumberFormat="1" applyFont="1" applyFill="1" applyBorder="1" applyAlignment="1">
      <alignment horizontal="center" vertical="center"/>
    </xf>
    <xf numFmtId="41" fontId="38" fillId="5" borderId="21" xfId="0" applyNumberFormat="1" applyFont="1" applyFill="1" applyBorder="1">
      <alignment vertical="center"/>
    </xf>
    <xf numFmtId="41" fontId="38" fillId="5" borderId="22" xfId="0" applyNumberFormat="1" applyFont="1" applyFill="1" applyBorder="1">
      <alignment vertical="center"/>
    </xf>
    <xf numFmtId="9" fontId="34" fillId="0" borderId="0" xfId="0" applyNumberFormat="1" applyFont="1">
      <alignment vertical="center"/>
    </xf>
    <xf numFmtId="14" fontId="33" fillId="3" borderId="5" xfId="0" applyNumberFormat="1" applyFont="1" applyFill="1" applyBorder="1" applyAlignment="1">
      <alignment horizontal="center" vertical="center"/>
    </xf>
    <xf numFmtId="0" fontId="14" fillId="5" borderId="20" xfId="0" applyFont="1" applyFill="1" applyBorder="1">
      <alignment vertical="center"/>
    </xf>
    <xf numFmtId="0" fontId="14" fillId="5" borderId="21" xfId="0" applyFont="1" applyFill="1" applyBorder="1" applyAlignment="1">
      <alignment horizontal="center" vertical="center"/>
    </xf>
    <xf numFmtId="0" fontId="14" fillId="5" borderId="21" xfId="0" applyFont="1" applyFill="1" applyBorder="1">
      <alignment vertical="center"/>
    </xf>
    <xf numFmtId="0" fontId="14" fillId="5" borderId="21" xfId="0" applyFont="1" applyFill="1" applyBorder="1" applyAlignment="1">
      <alignment vertical="center" wrapText="1"/>
    </xf>
    <xf numFmtId="0" fontId="14" fillId="5" borderId="21" xfId="0" applyFont="1" applyFill="1" applyBorder="1" applyAlignment="1">
      <alignment horizontal="center" vertical="center" wrapText="1"/>
    </xf>
    <xf numFmtId="0" fontId="14" fillId="5" borderId="22" xfId="0" applyFont="1" applyFill="1" applyBorder="1" applyAlignment="1">
      <alignment vertical="center" wrapText="1"/>
    </xf>
    <xf numFmtId="176" fontId="6" fillId="0" borderId="0" xfId="0" applyNumberFormat="1" applyFont="1">
      <alignment vertical="center"/>
    </xf>
    <xf numFmtId="14" fontId="33" fillId="3" borderId="2" xfId="0" applyNumberFormat="1" applyFont="1" applyFill="1" applyBorder="1" applyAlignment="1">
      <alignment horizontal="centerContinuous" vertical="center"/>
    </xf>
    <xf numFmtId="0" fontId="39" fillId="0" borderId="0" xfId="0" applyFont="1">
      <alignment vertical="center"/>
    </xf>
    <xf numFmtId="0" fontId="33" fillId="3" borderId="42" xfId="0" applyFont="1" applyFill="1" applyBorder="1" applyAlignment="1">
      <alignment horizontal="centerContinuous" vertical="center"/>
    </xf>
    <xf numFmtId="0" fontId="33" fillId="3" borderId="2" xfId="0" applyFont="1" applyFill="1" applyBorder="1" applyAlignment="1">
      <alignment horizontal="centerContinuous" vertical="center" wrapText="1"/>
    </xf>
    <xf numFmtId="0" fontId="33" fillId="3" borderId="4" xfId="0" applyFont="1" applyFill="1" applyBorder="1" applyAlignment="1">
      <alignment horizontal="centerContinuous" vertical="center" wrapText="1"/>
    </xf>
    <xf numFmtId="0" fontId="33" fillId="3" borderId="23" xfId="0" applyFont="1" applyFill="1" applyBorder="1" applyAlignment="1">
      <alignment horizontal="centerContinuous" vertical="center" wrapText="1"/>
    </xf>
    <xf numFmtId="0" fontId="26" fillId="4" borderId="26" xfId="0" applyFont="1" applyFill="1" applyBorder="1" applyAlignment="1">
      <alignment horizontal="center" vertical="center" wrapText="1"/>
    </xf>
    <xf numFmtId="0" fontId="26" fillId="4" borderId="7" xfId="0" applyFont="1" applyFill="1" applyBorder="1" applyAlignment="1">
      <alignment horizontal="center" vertical="center"/>
    </xf>
    <xf numFmtId="0" fontId="41" fillId="5" borderId="20" xfId="0" applyFont="1" applyFill="1" applyBorder="1">
      <alignment vertical="center"/>
    </xf>
    <xf numFmtId="0" fontId="41" fillId="5" borderId="21" xfId="0" applyFont="1" applyFill="1" applyBorder="1">
      <alignment vertical="center"/>
    </xf>
    <xf numFmtId="41" fontId="41" fillId="5" borderId="21" xfId="0" applyNumberFormat="1" applyFont="1" applyFill="1" applyBorder="1">
      <alignment vertical="center"/>
    </xf>
    <xf numFmtId="0" fontId="27" fillId="0" borderId="0" xfId="0" applyFont="1">
      <alignment vertical="center"/>
    </xf>
    <xf numFmtId="0" fontId="17" fillId="4" borderId="8" xfId="0" applyFont="1" applyFill="1" applyBorder="1" applyAlignment="1">
      <alignment horizontal="center" vertical="center" wrapText="1"/>
    </xf>
    <xf numFmtId="0" fontId="17" fillId="4" borderId="9" xfId="0" applyFont="1" applyFill="1" applyBorder="1" applyAlignment="1">
      <alignment horizontal="center" vertical="center" wrapText="1"/>
    </xf>
    <xf numFmtId="0" fontId="17" fillId="4" borderId="11" xfId="0" applyFont="1" applyFill="1" applyBorder="1" applyAlignment="1">
      <alignment horizontal="center" vertical="center" wrapText="1"/>
    </xf>
    <xf numFmtId="0" fontId="17" fillId="4" borderId="12" xfId="0" applyFont="1" applyFill="1" applyBorder="1" applyAlignment="1">
      <alignment horizontal="center" vertical="center" wrapText="1"/>
    </xf>
    <xf numFmtId="0" fontId="17" fillId="4" borderId="29" xfId="0" applyFont="1" applyFill="1" applyBorder="1" applyAlignment="1">
      <alignment horizontal="center" vertical="center" wrapText="1"/>
    </xf>
    <xf numFmtId="0" fontId="17" fillId="4" borderId="30" xfId="0" applyFont="1" applyFill="1" applyBorder="1" applyAlignment="1">
      <alignment horizontal="center" vertical="center" wrapText="1"/>
    </xf>
    <xf numFmtId="0" fontId="17" fillId="4" borderId="32" xfId="0" applyFont="1" applyFill="1" applyBorder="1" applyAlignment="1">
      <alignment horizontal="center" vertical="center" wrapText="1"/>
    </xf>
    <xf numFmtId="0" fontId="17" fillId="4" borderId="33" xfId="0" applyFont="1" applyFill="1" applyBorder="1" applyAlignment="1">
      <alignment horizontal="center" vertical="center" wrapText="1"/>
    </xf>
    <xf numFmtId="0" fontId="17" fillId="4" borderId="34" xfId="0" applyFont="1" applyFill="1" applyBorder="1" applyAlignment="1">
      <alignment horizontal="center" vertical="center" wrapText="1"/>
    </xf>
    <xf numFmtId="0" fontId="26" fillId="4" borderId="30" xfId="0" applyFont="1" applyFill="1" applyBorder="1" applyAlignment="1">
      <alignment horizontal="center" vertical="center" wrapText="1"/>
    </xf>
    <xf numFmtId="0" fontId="26" fillId="4" borderId="33" xfId="0" applyFont="1" applyFill="1" applyBorder="1" applyAlignment="1">
      <alignment horizontal="center" vertical="center" wrapText="1"/>
    </xf>
    <xf numFmtId="0" fontId="26" fillId="4" borderId="34" xfId="0" applyFont="1" applyFill="1" applyBorder="1" applyAlignment="1">
      <alignment horizontal="center" vertical="center" wrapText="1"/>
    </xf>
    <xf numFmtId="0" fontId="26" fillId="4" borderId="8" xfId="0" applyFont="1" applyFill="1" applyBorder="1" applyAlignment="1">
      <alignment horizontal="center" vertical="center" wrapText="1"/>
    </xf>
    <xf numFmtId="0" fontId="26" fillId="4" borderId="9" xfId="0" applyFont="1" applyFill="1" applyBorder="1" applyAlignment="1">
      <alignment horizontal="center" vertical="center" wrapText="1"/>
    </xf>
    <xf numFmtId="0" fontId="26" fillId="4" borderId="32" xfId="0" applyFont="1" applyFill="1" applyBorder="1" applyAlignment="1">
      <alignment horizontal="center" vertical="center" wrapText="1"/>
    </xf>
    <xf numFmtId="0" fontId="26" fillId="4" borderId="49" xfId="0" applyFont="1" applyFill="1" applyBorder="1" applyAlignment="1">
      <alignment horizontal="center" vertical="center" wrapText="1"/>
    </xf>
    <xf numFmtId="0" fontId="26" fillId="4" borderId="52" xfId="0" applyFont="1" applyFill="1" applyBorder="1" applyAlignment="1">
      <alignment horizontal="center" vertical="center" wrapText="1"/>
    </xf>
    <xf numFmtId="0" fontId="26" fillId="4" borderId="10" xfId="0" applyFont="1" applyFill="1" applyBorder="1" applyAlignment="1">
      <alignment horizontal="center" vertical="center" wrapText="1"/>
    </xf>
    <xf numFmtId="41" fontId="12" fillId="0" borderId="17" xfId="1" applyFont="1" applyFill="1" applyBorder="1" applyAlignment="1">
      <alignment vertical="center" shrinkToFit="1"/>
    </xf>
    <xf numFmtId="41" fontId="6" fillId="0" borderId="0" xfId="1" applyFont="1">
      <alignment vertical="center"/>
    </xf>
    <xf numFmtId="184" fontId="13" fillId="5" borderId="21" xfId="0" applyNumberFormat="1" applyFont="1" applyFill="1" applyBorder="1">
      <alignment vertical="center"/>
    </xf>
    <xf numFmtId="0" fontId="17" fillId="4" borderId="10" xfId="0" applyFont="1" applyFill="1" applyBorder="1" applyAlignment="1">
      <alignment horizontal="center" vertical="center" wrapText="1"/>
    </xf>
    <xf numFmtId="0" fontId="49" fillId="4" borderId="9" xfId="0" applyFont="1" applyFill="1" applyBorder="1" applyAlignment="1">
      <alignment horizontal="center" vertical="center" wrapText="1"/>
    </xf>
    <xf numFmtId="0" fontId="49" fillId="4" borderId="1" xfId="0" applyFont="1" applyFill="1" applyBorder="1" applyAlignment="1">
      <alignment horizontal="center" vertical="center"/>
    </xf>
    <xf numFmtId="0" fontId="49" fillId="4" borderId="25" xfId="0" applyFont="1" applyFill="1" applyBorder="1" applyAlignment="1">
      <alignment horizontal="center" vertical="center"/>
    </xf>
    <xf numFmtId="0" fontId="44" fillId="0" borderId="15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49" fillId="4" borderId="8" xfId="0" applyFont="1" applyFill="1" applyBorder="1" applyAlignment="1">
      <alignment horizontal="center" vertical="center" wrapText="1"/>
    </xf>
    <xf numFmtId="0" fontId="26" fillId="4" borderId="47" xfId="0" applyFont="1" applyFill="1" applyBorder="1" applyAlignment="1">
      <alignment horizontal="center" vertical="center"/>
    </xf>
    <xf numFmtId="0" fontId="26" fillId="4" borderId="44" xfId="0" applyFont="1" applyFill="1" applyBorder="1" applyAlignment="1">
      <alignment horizontal="center" vertical="center"/>
    </xf>
    <xf numFmtId="41" fontId="12" fillId="0" borderId="17" xfId="1" applyFont="1" applyFill="1" applyBorder="1" applyAlignment="1">
      <alignment horizontal="center" vertical="center" shrinkToFit="1"/>
    </xf>
    <xf numFmtId="181" fontId="39" fillId="0" borderId="0" xfId="0" applyNumberFormat="1" applyFont="1">
      <alignment vertical="center"/>
    </xf>
    <xf numFmtId="0" fontId="50" fillId="0" borderId="0" xfId="0" applyFont="1">
      <alignment vertical="center"/>
    </xf>
    <xf numFmtId="0" fontId="51" fillId="0" borderId="0" xfId="0" applyFont="1">
      <alignment vertical="center"/>
    </xf>
    <xf numFmtId="0" fontId="52" fillId="0" borderId="0" xfId="0" applyFont="1">
      <alignment vertical="center"/>
    </xf>
    <xf numFmtId="0" fontId="49" fillId="4" borderId="6" xfId="0" applyFont="1" applyFill="1" applyBorder="1" applyAlignment="1">
      <alignment horizontal="center" vertical="center"/>
    </xf>
    <xf numFmtId="0" fontId="54" fillId="0" borderId="0" xfId="0" applyFont="1">
      <alignment vertical="center"/>
    </xf>
    <xf numFmtId="0" fontId="53" fillId="3" borderId="4" xfId="0" applyFont="1" applyFill="1" applyBorder="1" applyAlignment="1">
      <alignment horizontal="centerContinuous" vertical="center"/>
    </xf>
    <xf numFmtId="14" fontId="12" fillId="0" borderId="1" xfId="0" applyNumberFormat="1" applyFont="1" applyBorder="1" applyAlignment="1">
      <alignment horizontal="center" vertical="center"/>
    </xf>
    <xf numFmtId="10" fontId="0" fillId="0" borderId="0" xfId="0" applyNumberFormat="1">
      <alignment vertical="center"/>
    </xf>
    <xf numFmtId="14" fontId="0" fillId="0" borderId="0" xfId="0" applyNumberFormat="1">
      <alignment vertical="center"/>
    </xf>
    <xf numFmtId="43" fontId="0" fillId="0" borderId="0" xfId="0" applyNumberFormat="1">
      <alignment vertical="center"/>
    </xf>
    <xf numFmtId="0" fontId="12" fillId="2" borderId="0" xfId="0" applyFont="1" applyFill="1" applyAlignment="1">
      <alignment horizontal="center" vertical="center"/>
    </xf>
    <xf numFmtId="41" fontId="0" fillId="0" borderId="0" xfId="1" applyFont="1">
      <alignment vertical="center"/>
    </xf>
    <xf numFmtId="10" fontId="12" fillId="0" borderId="17" xfId="4" applyNumberFormat="1" applyFont="1" applyFill="1" applyBorder="1" applyAlignment="1">
      <alignment horizontal="center" vertical="center" shrinkToFit="1"/>
    </xf>
    <xf numFmtId="0" fontId="17" fillId="4" borderId="53" xfId="0" applyFont="1" applyFill="1" applyBorder="1" applyAlignment="1">
      <alignment horizontal="center" vertical="center"/>
    </xf>
    <xf numFmtId="41" fontId="6" fillId="0" borderId="0" xfId="1" applyFont="1" applyAlignment="1">
      <alignment horizontal="center" vertical="center"/>
    </xf>
    <xf numFmtId="41" fontId="20" fillId="0" borderId="0" xfId="1" applyFont="1">
      <alignment vertical="center"/>
    </xf>
    <xf numFmtId="41" fontId="0" fillId="0" borderId="0" xfId="0" applyNumberFormat="1">
      <alignment vertical="center"/>
    </xf>
    <xf numFmtId="181" fontId="46" fillId="0" borderId="0" xfId="0" applyNumberFormat="1" applyFont="1">
      <alignment vertical="center"/>
    </xf>
    <xf numFmtId="41" fontId="39" fillId="0" borderId="0" xfId="1" applyFont="1">
      <alignment vertical="center"/>
    </xf>
    <xf numFmtId="0" fontId="21" fillId="3" borderId="41" xfId="0" applyFont="1" applyFill="1" applyBorder="1" applyAlignment="1">
      <alignment horizontal="centerContinuous" vertical="center"/>
    </xf>
    <xf numFmtId="41" fontId="22" fillId="0" borderId="15" xfId="1" applyFont="1" applyFill="1" applyBorder="1" applyAlignment="1">
      <alignment horizontal="right" vertical="center"/>
    </xf>
    <xf numFmtId="186" fontId="20" fillId="0" borderId="0" xfId="0" applyNumberFormat="1" applyFont="1">
      <alignment vertical="center"/>
    </xf>
    <xf numFmtId="186" fontId="0" fillId="0" borderId="0" xfId="0" applyNumberFormat="1">
      <alignment vertical="center"/>
    </xf>
    <xf numFmtId="41" fontId="15" fillId="0" borderId="0" xfId="1" applyFont="1">
      <alignment vertical="center"/>
    </xf>
    <xf numFmtId="41" fontId="15" fillId="0" borderId="0" xfId="0" applyNumberFormat="1" applyFont="1">
      <alignment vertical="center"/>
    </xf>
    <xf numFmtId="0" fontId="33" fillId="3" borderId="58" xfId="0" applyFont="1" applyFill="1" applyBorder="1" applyAlignment="1">
      <alignment horizontal="centerContinuous" vertical="center"/>
    </xf>
    <xf numFmtId="41" fontId="13" fillId="5" borderId="22" xfId="0" applyNumberFormat="1" applyFont="1" applyFill="1" applyBorder="1">
      <alignment vertical="center"/>
    </xf>
    <xf numFmtId="0" fontId="44" fillId="0" borderId="14" xfId="0" applyFont="1" applyBorder="1" applyAlignment="1">
      <alignment horizontal="center" vertical="center"/>
    </xf>
    <xf numFmtId="0" fontId="22" fillId="0" borderId="40" xfId="0" applyFont="1" applyBorder="1" applyAlignment="1">
      <alignment horizontal="left" vertical="center" wrapText="1"/>
    </xf>
    <xf numFmtId="41" fontId="38" fillId="5" borderId="21" xfId="0" applyNumberFormat="1" applyFont="1" applyFill="1" applyBorder="1" applyAlignment="1">
      <alignment horizontal="center" vertical="center" wrapText="1"/>
    </xf>
    <xf numFmtId="0" fontId="39" fillId="0" borderId="0" xfId="0" applyFont="1" applyAlignment="1">
      <alignment horizontal="center" vertical="center" wrapText="1"/>
    </xf>
    <xf numFmtId="0" fontId="44" fillId="0" borderId="0" xfId="0" applyFont="1">
      <alignment vertical="center"/>
    </xf>
    <xf numFmtId="0" fontId="57" fillId="0" borderId="0" xfId="0" applyFont="1">
      <alignment vertical="center"/>
    </xf>
    <xf numFmtId="41" fontId="57" fillId="2" borderId="0" xfId="0" applyNumberFormat="1" applyFont="1" applyFill="1">
      <alignment vertical="center"/>
    </xf>
    <xf numFmtId="0" fontId="58" fillId="0" borderId="0" xfId="0" applyFont="1">
      <alignment vertical="center"/>
    </xf>
    <xf numFmtId="41" fontId="18" fillId="0" borderId="0" xfId="1" applyFont="1">
      <alignment vertical="center"/>
    </xf>
    <xf numFmtId="41" fontId="24" fillId="5" borderId="21" xfId="1" applyFont="1" applyFill="1" applyBorder="1">
      <alignment vertical="center"/>
    </xf>
    <xf numFmtId="41" fontId="32" fillId="3" borderId="3" xfId="1" applyFont="1" applyFill="1" applyBorder="1" applyAlignment="1">
      <alignment horizontal="centerContinuous" vertical="center"/>
    </xf>
    <xf numFmtId="41" fontId="26" fillId="4" borderId="1" xfId="1" applyFont="1" applyFill="1" applyBorder="1" applyAlignment="1">
      <alignment horizontal="center" vertical="center"/>
    </xf>
    <xf numFmtId="41" fontId="26" fillId="4" borderId="30" xfId="1" applyFont="1" applyFill="1" applyBorder="1" applyAlignment="1">
      <alignment horizontal="center" vertical="center" wrapText="1"/>
    </xf>
    <xf numFmtId="41" fontId="34" fillId="0" borderId="0" xfId="1" applyFont="1">
      <alignment vertical="center"/>
    </xf>
    <xf numFmtId="41" fontId="33" fillId="3" borderId="41" xfId="1" applyFont="1" applyFill="1" applyBorder="1" applyAlignment="1">
      <alignment horizontal="centerContinuous" vertical="center"/>
    </xf>
    <xf numFmtId="41" fontId="33" fillId="3" borderId="3" xfId="1" applyFont="1" applyFill="1" applyBorder="1" applyAlignment="1">
      <alignment horizontal="centerContinuous" vertical="center"/>
    </xf>
    <xf numFmtId="41" fontId="26" fillId="4" borderId="6" xfId="1" applyFont="1" applyFill="1" applyBorder="1" applyAlignment="1">
      <alignment horizontal="center" vertical="center"/>
    </xf>
    <xf numFmtId="41" fontId="26" fillId="4" borderId="29" xfId="1" applyFont="1" applyFill="1" applyBorder="1" applyAlignment="1">
      <alignment horizontal="center" vertical="center" wrapText="1"/>
    </xf>
    <xf numFmtId="41" fontId="38" fillId="5" borderId="21" xfId="1" applyFont="1" applyFill="1" applyBorder="1" applyAlignment="1">
      <alignment horizontal="center" vertical="center"/>
    </xf>
    <xf numFmtId="41" fontId="33" fillId="3" borderId="23" xfId="1" applyFont="1" applyFill="1" applyBorder="1" applyAlignment="1">
      <alignment horizontal="centerContinuous" vertical="center"/>
    </xf>
    <xf numFmtId="41" fontId="26" fillId="4" borderId="9" xfId="1" applyFont="1" applyFill="1" applyBorder="1" applyAlignment="1">
      <alignment horizontal="center" vertical="center" wrapText="1"/>
    </xf>
    <xf numFmtId="41" fontId="38" fillId="5" borderId="21" xfId="1" applyFont="1" applyFill="1" applyBorder="1">
      <alignment vertical="center"/>
    </xf>
    <xf numFmtId="41" fontId="26" fillId="4" borderId="33" xfId="1" applyFont="1" applyFill="1" applyBorder="1" applyAlignment="1">
      <alignment horizontal="center" vertical="center" wrapText="1"/>
    </xf>
    <xf numFmtId="41" fontId="26" fillId="4" borderId="54" xfId="1" applyFont="1" applyFill="1" applyBorder="1" applyAlignment="1">
      <alignment horizontal="center" vertical="center" wrapText="1"/>
    </xf>
    <xf numFmtId="0" fontId="53" fillId="3" borderId="41" xfId="0" applyFont="1" applyFill="1" applyBorder="1" applyAlignment="1">
      <alignment horizontal="centerContinuous" vertical="center"/>
    </xf>
    <xf numFmtId="0" fontId="49" fillId="4" borderId="26" xfId="0" applyFont="1" applyFill="1" applyBorder="1" applyAlignment="1">
      <alignment horizontal="center" vertical="center"/>
    </xf>
    <xf numFmtId="41" fontId="51" fillId="0" borderId="0" xfId="1" applyFont="1">
      <alignment vertical="center"/>
    </xf>
    <xf numFmtId="0" fontId="51" fillId="2" borderId="0" xfId="0" applyFont="1" applyFill="1">
      <alignment vertical="center"/>
    </xf>
    <xf numFmtId="0" fontId="52" fillId="3" borderId="3" xfId="0" applyFont="1" applyFill="1" applyBorder="1" applyAlignment="1">
      <alignment horizontal="centerContinuous" vertical="center"/>
    </xf>
    <xf numFmtId="14" fontId="53" fillId="3" borderId="4" xfId="0" applyNumberFormat="1" applyFont="1" applyFill="1" applyBorder="1" applyAlignment="1">
      <alignment horizontal="centerContinuous" vertical="center"/>
    </xf>
    <xf numFmtId="0" fontId="52" fillId="3" borderId="4" xfId="0" applyFont="1" applyFill="1" applyBorder="1" applyAlignment="1">
      <alignment horizontal="centerContinuous" vertical="center"/>
    </xf>
    <xf numFmtId="0" fontId="52" fillId="3" borderId="42" xfId="0" applyFont="1" applyFill="1" applyBorder="1" applyAlignment="1">
      <alignment horizontal="centerContinuous" vertical="center"/>
    </xf>
    <xf numFmtId="0" fontId="49" fillId="4" borderId="30" xfId="0" applyFont="1" applyFill="1" applyBorder="1" applyAlignment="1">
      <alignment horizontal="center" vertical="center" wrapText="1"/>
    </xf>
    <xf numFmtId="0" fontId="24" fillId="5" borderId="22" xfId="0" applyFont="1" applyFill="1" applyBorder="1" applyAlignment="1">
      <alignment horizontal="center" vertical="center"/>
    </xf>
    <xf numFmtId="0" fontId="51" fillId="0" borderId="0" xfId="0" applyFont="1" applyAlignment="1">
      <alignment horizontal="left" vertical="center"/>
    </xf>
    <xf numFmtId="0" fontId="49" fillId="4" borderId="49" xfId="0" applyFont="1" applyFill="1" applyBorder="1" applyAlignment="1">
      <alignment horizontal="center" vertical="center" wrapText="1"/>
    </xf>
    <xf numFmtId="41" fontId="53" fillId="3" borderId="4" xfId="1" applyFont="1" applyFill="1" applyBorder="1" applyAlignment="1">
      <alignment horizontal="center" vertical="center"/>
    </xf>
    <xf numFmtId="0" fontId="44" fillId="0" borderId="35" xfId="0" applyFont="1" applyBorder="1" applyAlignment="1">
      <alignment horizontal="center" vertical="center"/>
    </xf>
    <xf numFmtId="0" fontId="47" fillId="0" borderId="36" xfId="0" applyFont="1" applyBorder="1" applyAlignment="1">
      <alignment horizontal="center" vertical="center" shrinkToFit="1"/>
    </xf>
    <xf numFmtId="0" fontId="47" fillId="0" borderId="16" xfId="0" applyFont="1" applyBorder="1" applyAlignment="1">
      <alignment horizontal="center" vertical="center"/>
    </xf>
    <xf numFmtId="0" fontId="47" fillId="0" borderId="17" xfId="0" applyFont="1" applyBorder="1" applyAlignment="1">
      <alignment horizontal="center" vertical="center"/>
    </xf>
    <xf numFmtId="14" fontId="47" fillId="0" borderId="17" xfId="0" applyNumberFormat="1" applyFont="1" applyBorder="1" applyAlignment="1">
      <alignment horizontal="center" vertical="center"/>
    </xf>
    <xf numFmtId="0" fontId="46" fillId="0" borderId="0" xfId="0" applyFont="1">
      <alignment vertical="center"/>
    </xf>
    <xf numFmtId="0" fontId="47" fillId="0" borderId="15" xfId="0" applyFont="1" applyBorder="1" applyAlignment="1">
      <alignment horizontal="center" vertical="center" shrinkToFit="1"/>
    </xf>
    <xf numFmtId="0" fontId="47" fillId="0" borderId="36" xfId="0" applyFont="1" applyBorder="1" applyAlignment="1">
      <alignment horizontal="center" vertical="center"/>
    </xf>
    <xf numFmtId="0" fontId="47" fillId="0" borderId="16" xfId="0" applyFont="1" applyBorder="1" applyAlignment="1">
      <alignment horizontal="center" vertical="center" shrinkToFit="1"/>
    </xf>
    <xf numFmtId="0" fontId="47" fillId="0" borderId="17" xfId="0" applyFont="1" applyBorder="1" applyAlignment="1">
      <alignment horizontal="center" vertical="center" shrinkToFit="1"/>
    </xf>
    <xf numFmtId="0" fontId="47" fillId="0" borderId="38" xfId="0" applyFont="1" applyBorder="1" applyAlignment="1">
      <alignment horizontal="center" vertical="center"/>
    </xf>
    <xf numFmtId="14" fontId="47" fillId="0" borderId="16" xfId="0" applyNumberFormat="1" applyFont="1" applyBorder="1" applyAlignment="1">
      <alignment horizontal="center" vertical="center"/>
    </xf>
    <xf numFmtId="181" fontId="44" fillId="0" borderId="37" xfId="0" applyNumberFormat="1" applyFont="1" applyBorder="1" applyAlignment="1">
      <alignment horizontal="right" vertical="center"/>
    </xf>
    <xf numFmtId="181" fontId="44" fillId="0" borderId="15" xfId="0" applyNumberFormat="1" applyFont="1" applyBorder="1" applyAlignment="1">
      <alignment horizontal="right" vertical="center"/>
    </xf>
    <xf numFmtId="181" fontId="44" fillId="0" borderId="35" xfId="0" applyNumberFormat="1" applyFont="1" applyBorder="1" applyAlignment="1">
      <alignment horizontal="right" vertical="center"/>
    </xf>
    <xf numFmtId="181" fontId="44" fillId="0" borderId="59" xfId="0" applyNumberFormat="1" applyFont="1" applyBorder="1" applyAlignment="1">
      <alignment horizontal="right" vertical="center"/>
    </xf>
    <xf numFmtId="0" fontId="47" fillId="0" borderId="19" xfId="0" applyFont="1" applyBorder="1" applyAlignment="1">
      <alignment vertical="center" wrapText="1" shrinkToFit="1"/>
    </xf>
    <xf numFmtId="0" fontId="22" fillId="0" borderId="17" xfId="0" applyFont="1" applyBorder="1" applyAlignment="1">
      <alignment horizontal="center" vertical="center"/>
    </xf>
    <xf numFmtId="0" fontId="22" fillId="0" borderId="36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 shrinkToFit="1"/>
    </xf>
    <xf numFmtId="0" fontId="22" fillId="0" borderId="17" xfId="0" applyFont="1" applyBorder="1" applyAlignment="1">
      <alignment horizontal="center" vertical="center" shrinkToFit="1"/>
    </xf>
    <xf numFmtId="0" fontId="22" fillId="0" borderId="38" xfId="0" applyFont="1" applyBorder="1" applyAlignment="1">
      <alignment horizontal="center" vertical="center"/>
    </xf>
    <xf numFmtId="0" fontId="22" fillId="0" borderId="36" xfId="0" applyFont="1" applyBorder="1" applyAlignment="1">
      <alignment horizontal="center" vertical="center" wrapText="1"/>
    </xf>
    <xf numFmtId="14" fontId="22" fillId="0" borderId="16" xfId="0" applyNumberFormat="1" applyFont="1" applyBorder="1" applyAlignment="1">
      <alignment horizontal="center" vertical="center"/>
    </xf>
    <xf numFmtId="14" fontId="22" fillId="0" borderId="17" xfId="0" applyNumberFormat="1" applyFont="1" applyBorder="1" applyAlignment="1">
      <alignment horizontal="center" vertical="center"/>
    </xf>
    <xf numFmtId="181" fontId="14" fillId="0" borderId="37" xfId="0" applyNumberFormat="1" applyFont="1" applyBorder="1" applyAlignment="1">
      <alignment horizontal="right" vertical="center"/>
    </xf>
    <xf numFmtId="181" fontId="14" fillId="0" borderId="15" xfId="0" applyNumberFormat="1" applyFont="1" applyBorder="1" applyAlignment="1">
      <alignment horizontal="right" vertical="center"/>
    </xf>
    <xf numFmtId="181" fontId="14" fillId="0" borderId="35" xfId="0" applyNumberFormat="1" applyFont="1" applyBorder="1" applyAlignment="1">
      <alignment horizontal="right" vertical="center"/>
    </xf>
    <xf numFmtId="181" fontId="14" fillId="0" borderId="59" xfId="0" applyNumberFormat="1" applyFont="1" applyBorder="1" applyAlignment="1">
      <alignment horizontal="right" vertical="center"/>
    </xf>
    <xf numFmtId="0" fontId="22" fillId="0" borderId="19" xfId="0" applyFont="1" applyBorder="1" applyAlignment="1">
      <alignment vertical="center" wrapText="1" shrinkToFit="1"/>
    </xf>
    <xf numFmtId="41" fontId="12" fillId="0" borderId="55" xfId="1" applyFont="1" applyFill="1" applyBorder="1" applyAlignment="1">
      <alignment horizontal="center" vertical="center" shrinkToFit="1"/>
    </xf>
    <xf numFmtId="0" fontId="12" fillId="0" borderId="17" xfId="0" applyFont="1" applyBorder="1" applyAlignment="1">
      <alignment vertical="center" shrinkToFit="1"/>
    </xf>
    <xf numFmtId="179" fontId="12" fillId="0" borderId="17" xfId="0" applyNumberFormat="1" applyFont="1" applyBorder="1" applyAlignment="1">
      <alignment vertical="center" shrinkToFit="1"/>
    </xf>
    <xf numFmtId="49" fontId="12" fillId="0" borderId="17" xfId="0" applyNumberFormat="1" applyFont="1" applyBorder="1" applyAlignment="1">
      <alignment horizontal="left" vertical="center" shrinkToFit="1"/>
    </xf>
    <xf numFmtId="180" fontId="12" fillId="0" borderId="17" xfId="0" applyNumberFormat="1" applyFont="1" applyBorder="1" applyAlignment="1">
      <alignment horizontal="center" vertical="center" shrinkToFit="1"/>
    </xf>
    <xf numFmtId="183" fontId="12" fillId="0" borderId="17" xfId="0" applyNumberFormat="1" applyFont="1" applyBorder="1" applyAlignment="1">
      <alignment vertical="center" shrinkToFit="1"/>
    </xf>
    <xf numFmtId="0" fontId="12" fillId="0" borderId="17" xfId="0" applyFont="1" applyBorder="1" applyAlignment="1">
      <alignment horizontal="center" vertical="center" shrinkToFit="1"/>
    </xf>
    <xf numFmtId="0" fontId="12" fillId="0" borderId="16" xfId="1" applyNumberFormat="1" applyFont="1" applyFill="1" applyBorder="1" applyAlignment="1">
      <alignment horizontal="center" vertical="center" shrinkToFit="1"/>
    </xf>
    <xf numFmtId="41" fontId="22" fillId="0" borderId="55" xfId="1" applyFont="1" applyFill="1" applyBorder="1" applyAlignment="1">
      <alignment horizontal="center" vertical="center"/>
    </xf>
    <xf numFmtId="41" fontId="47" fillId="0" borderId="15" xfId="1" applyFont="1" applyFill="1" applyBorder="1" applyAlignment="1">
      <alignment horizontal="right" vertical="center"/>
    </xf>
    <xf numFmtId="14" fontId="12" fillId="0" borderId="17" xfId="0" applyNumberFormat="1" applyFont="1" applyBorder="1" applyAlignment="1">
      <alignment horizontal="center" vertical="center" shrinkToFit="1"/>
    </xf>
    <xf numFmtId="0" fontId="59" fillId="0" borderId="17" xfId="8" applyFont="1" applyBorder="1" applyAlignment="1">
      <alignment horizontal="center" vertical="center"/>
    </xf>
    <xf numFmtId="14" fontId="59" fillId="0" borderId="17" xfId="8" applyNumberFormat="1" applyFont="1" applyBorder="1" applyAlignment="1">
      <alignment horizontal="center" vertical="center"/>
    </xf>
    <xf numFmtId="41" fontId="59" fillId="0" borderId="17" xfId="1" applyFont="1" applyFill="1" applyBorder="1" applyAlignment="1">
      <alignment horizontal="center" vertical="center"/>
    </xf>
    <xf numFmtId="41" fontId="12" fillId="0" borderId="17" xfId="0" applyNumberFormat="1" applyFont="1" applyBorder="1" applyAlignment="1">
      <alignment vertical="center" shrinkToFit="1"/>
    </xf>
    <xf numFmtId="1" fontId="12" fillId="0" borderId="56" xfId="0" applyNumberFormat="1" applyFont="1" applyBorder="1" applyAlignment="1">
      <alignment horizontal="center" vertical="center"/>
    </xf>
    <xf numFmtId="1" fontId="12" fillId="0" borderId="35" xfId="0" applyNumberFormat="1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 shrinkToFit="1"/>
    </xf>
    <xf numFmtId="14" fontId="12" fillId="0" borderId="17" xfId="0" applyNumberFormat="1" applyFont="1" applyBorder="1" applyAlignment="1">
      <alignment horizontal="center" vertical="center"/>
    </xf>
    <xf numFmtId="0" fontId="12" fillId="0" borderId="19" xfId="0" applyFont="1" applyBorder="1" applyAlignment="1">
      <alignment horizontal="left" vertical="center"/>
    </xf>
    <xf numFmtId="0" fontId="44" fillId="0" borderId="37" xfId="0" applyFont="1" applyBorder="1" applyAlignment="1">
      <alignment horizontal="center" vertical="center" shrinkToFit="1"/>
    </xf>
    <xf numFmtId="0" fontId="32" fillId="3" borderId="45" xfId="0" applyFont="1" applyFill="1" applyBorder="1" applyAlignment="1">
      <alignment horizontal="centerContinuous" vertical="center"/>
    </xf>
    <xf numFmtId="14" fontId="18" fillId="0" borderId="0" xfId="0" applyNumberFormat="1" applyFont="1" applyAlignment="1">
      <alignment horizontal="center" vertical="center"/>
    </xf>
    <xf numFmtId="14" fontId="12" fillId="0" borderId="37" xfId="1" applyNumberFormat="1" applyFont="1" applyFill="1" applyBorder="1" applyAlignment="1">
      <alignment horizontal="center" vertical="center" shrinkToFit="1"/>
    </xf>
    <xf numFmtId="14" fontId="14" fillId="5" borderId="21" xfId="0" applyNumberFormat="1" applyFont="1" applyFill="1" applyBorder="1" applyAlignment="1">
      <alignment horizontal="center" vertical="center" wrapText="1"/>
    </xf>
    <xf numFmtId="41" fontId="18" fillId="0" borderId="0" xfId="1" applyFont="1" applyAlignment="1">
      <alignment horizontal="center" vertical="center"/>
    </xf>
    <xf numFmtId="41" fontId="26" fillId="4" borderId="53" xfId="1" applyFont="1" applyFill="1" applyBorder="1" applyAlignment="1">
      <alignment horizontal="center" vertical="center"/>
    </xf>
    <xf numFmtId="41" fontId="14" fillId="5" borderId="21" xfId="1" applyFont="1" applyFill="1" applyBorder="1" applyAlignment="1">
      <alignment horizontal="center" vertical="center" wrapText="1"/>
    </xf>
    <xf numFmtId="14" fontId="17" fillId="4" borderId="52" xfId="0" applyNumberFormat="1" applyFont="1" applyFill="1" applyBorder="1" applyAlignment="1">
      <alignment horizontal="center" vertical="center" wrapText="1"/>
    </xf>
    <xf numFmtId="14" fontId="33" fillId="3" borderId="23" xfId="0" applyNumberFormat="1" applyFont="1" applyFill="1" applyBorder="1" applyAlignment="1">
      <alignment horizontal="centerContinuous" vertical="center"/>
    </xf>
    <xf numFmtId="14" fontId="47" fillId="0" borderId="36" xfId="0" applyNumberFormat="1" applyFont="1" applyBorder="1" applyAlignment="1">
      <alignment horizontal="center" vertical="center"/>
    </xf>
    <xf numFmtId="14" fontId="22" fillId="0" borderId="36" xfId="0" applyNumberFormat="1" applyFont="1" applyBorder="1" applyAlignment="1">
      <alignment horizontal="center" vertical="center"/>
    </xf>
    <xf numFmtId="0" fontId="21" fillId="3" borderId="51" xfId="0" applyFont="1" applyFill="1" applyBorder="1" applyAlignment="1">
      <alignment horizontal="centerContinuous" vertical="center"/>
    </xf>
    <xf numFmtId="0" fontId="12" fillId="0" borderId="15" xfId="0" applyFont="1" applyBorder="1" applyAlignment="1">
      <alignment horizontal="center" vertical="center"/>
    </xf>
    <xf numFmtId="0" fontId="60" fillId="0" borderId="17" xfId="0" applyFont="1" applyBorder="1" applyAlignment="1">
      <alignment horizontal="center" vertical="center"/>
    </xf>
    <xf numFmtId="0" fontId="49" fillId="4" borderId="57" xfId="0" applyFont="1" applyFill="1" applyBorder="1" applyAlignment="1">
      <alignment horizontal="center" vertical="center"/>
    </xf>
    <xf numFmtId="0" fontId="17" fillId="4" borderId="31" xfId="0" applyFont="1" applyFill="1" applyBorder="1" applyAlignment="1">
      <alignment horizontal="center" vertical="center" wrapText="1"/>
    </xf>
    <xf numFmtId="0" fontId="35" fillId="4" borderId="43" xfId="0" applyFont="1" applyFill="1" applyBorder="1" applyAlignment="1">
      <alignment horizontal="center" vertical="center" wrapText="1"/>
    </xf>
    <xf numFmtId="0" fontId="35" fillId="4" borderId="31" xfId="0" applyFont="1" applyFill="1" applyBorder="1" applyAlignment="1">
      <alignment horizontal="center" vertical="center" wrapText="1"/>
    </xf>
    <xf numFmtId="14" fontId="44" fillId="0" borderId="37" xfId="0" applyNumberFormat="1" applyFont="1" applyBorder="1" applyAlignment="1">
      <alignment horizontal="center" vertical="center"/>
    </xf>
    <xf numFmtId="14" fontId="14" fillId="0" borderId="37" xfId="0" applyNumberFormat="1" applyFont="1" applyBorder="1" applyAlignment="1">
      <alignment horizontal="center" vertical="center"/>
    </xf>
    <xf numFmtId="181" fontId="44" fillId="0" borderId="15" xfId="0" applyNumberFormat="1" applyFont="1" applyBorder="1" applyAlignment="1">
      <alignment horizontal="center" vertical="center"/>
    </xf>
    <xf numFmtId="181" fontId="14" fillId="0" borderId="15" xfId="0" applyNumberFormat="1" applyFont="1" applyBorder="1" applyAlignment="1">
      <alignment horizontal="center" vertical="center"/>
    </xf>
    <xf numFmtId="0" fontId="49" fillId="4" borderId="53" xfId="0" applyFont="1" applyFill="1" applyBorder="1" applyAlignment="1">
      <alignment horizontal="center" vertical="center"/>
    </xf>
    <xf numFmtId="0" fontId="20" fillId="0" borderId="0" xfId="0" applyFont="1" applyAlignment="1">
      <alignment vertical="center" wrapText="1"/>
    </xf>
    <xf numFmtId="0" fontId="17" fillId="4" borderId="13" xfId="0" applyFont="1" applyFill="1" applyBorder="1" applyAlignment="1">
      <alignment horizontal="center" vertical="center" wrapText="1"/>
    </xf>
    <xf numFmtId="0" fontId="34" fillId="0" borderId="0" xfId="0" applyFont="1" applyAlignment="1">
      <alignment vertical="center" wrapText="1"/>
    </xf>
    <xf numFmtId="0" fontId="50" fillId="0" borderId="0" xfId="0" applyFont="1" applyAlignment="1">
      <alignment vertical="center" wrapText="1"/>
    </xf>
    <xf numFmtId="0" fontId="39" fillId="0" borderId="0" xfId="0" applyFont="1" applyAlignment="1">
      <alignment vertical="center" wrapText="1"/>
    </xf>
    <xf numFmtId="14" fontId="49" fillId="4" borderId="49" xfId="0" applyNumberFormat="1" applyFont="1" applyFill="1" applyBorder="1" applyAlignment="1">
      <alignment horizontal="center" vertical="center" wrapText="1"/>
    </xf>
    <xf numFmtId="14" fontId="49" fillId="4" borderId="9" xfId="0" applyNumberFormat="1" applyFont="1" applyFill="1" applyBorder="1" applyAlignment="1">
      <alignment horizontal="center" vertical="center" wrapText="1"/>
    </xf>
    <xf numFmtId="0" fontId="26" fillId="4" borderId="13" xfId="0" applyFont="1" applyFill="1" applyBorder="1" applyAlignment="1">
      <alignment horizontal="center" vertical="center" wrapText="1"/>
    </xf>
    <xf numFmtId="177" fontId="24" fillId="5" borderId="21" xfId="0" applyNumberFormat="1" applyFont="1" applyFill="1" applyBorder="1" applyAlignment="1">
      <alignment vertical="center" shrinkToFit="1"/>
    </xf>
    <xf numFmtId="0" fontId="44" fillId="0" borderId="0" xfId="0" applyFont="1" applyAlignment="1">
      <alignment horizontal="center" vertical="center"/>
    </xf>
    <xf numFmtId="0" fontId="53" fillId="3" borderId="5" xfId="0" applyFont="1" applyFill="1" applyBorder="1" applyAlignment="1">
      <alignment horizontal="centerContinuous" vertical="center"/>
    </xf>
    <xf numFmtId="177" fontId="20" fillId="0" borderId="0" xfId="0" applyNumberFormat="1" applyFont="1">
      <alignment vertical="center"/>
    </xf>
    <xf numFmtId="0" fontId="12" fillId="0" borderId="17" xfId="1" applyNumberFormat="1" applyFont="1" applyFill="1" applyBorder="1" applyAlignment="1">
      <alignment horizontal="center" vertical="center" shrinkToFit="1"/>
    </xf>
    <xf numFmtId="183" fontId="38" fillId="5" borderId="21" xfId="0" applyNumberFormat="1" applyFont="1" applyFill="1" applyBorder="1" applyAlignment="1">
      <alignment horizontal="center" vertical="center" shrinkToFit="1"/>
    </xf>
    <xf numFmtId="41" fontId="22" fillId="0" borderId="50" xfId="1" applyFont="1" applyFill="1" applyBorder="1" applyAlignment="1">
      <alignment horizontal="right" vertical="center"/>
    </xf>
    <xf numFmtId="0" fontId="12" fillId="3" borderId="1" xfId="0" applyFont="1" applyFill="1" applyBorder="1" applyAlignment="1">
      <alignment horizontal="center" vertical="center"/>
    </xf>
    <xf numFmtId="0" fontId="44" fillId="0" borderId="16" xfId="0" applyFont="1" applyBorder="1" applyAlignment="1">
      <alignment horizontal="center" vertical="center" shrinkToFit="1"/>
    </xf>
    <xf numFmtId="0" fontId="31" fillId="0" borderId="0" xfId="0" applyFont="1" applyAlignment="1">
      <alignment vertical="center" wrapText="1"/>
    </xf>
    <xf numFmtId="0" fontId="18" fillId="0" borderId="0" xfId="0" applyFont="1" applyAlignment="1">
      <alignment horizontal="center" vertical="center" wrapText="1"/>
    </xf>
    <xf numFmtId="41" fontId="18" fillId="0" borderId="0" xfId="1" applyFont="1" applyFill="1" applyAlignment="1">
      <alignment horizontal="center" vertical="center"/>
    </xf>
    <xf numFmtId="41" fontId="18" fillId="0" borderId="0" xfId="0" applyNumberFormat="1" applyFont="1" applyAlignment="1">
      <alignment horizontal="center" vertical="center"/>
    </xf>
    <xf numFmtId="176" fontId="18" fillId="0" borderId="0" xfId="0" applyNumberFormat="1" applyFont="1" applyAlignment="1">
      <alignment vertical="center" wrapText="1"/>
    </xf>
    <xf numFmtId="0" fontId="51" fillId="0" borderId="0" xfId="0" applyFont="1" applyAlignment="1">
      <alignment vertical="center" wrapText="1"/>
    </xf>
    <xf numFmtId="176" fontId="51" fillId="0" borderId="0" xfId="0" applyNumberFormat="1" applyFont="1" applyAlignment="1">
      <alignment vertical="center" wrapText="1"/>
    </xf>
    <xf numFmtId="14" fontId="18" fillId="0" borderId="0" xfId="0" applyNumberFormat="1" applyFont="1" applyAlignment="1">
      <alignment vertical="center" wrapText="1"/>
    </xf>
    <xf numFmtId="41" fontId="18" fillId="0" borderId="0" xfId="1" applyFont="1" applyFill="1" applyAlignment="1">
      <alignment vertical="center" wrapText="1"/>
    </xf>
    <xf numFmtId="176" fontId="18" fillId="0" borderId="0" xfId="0" applyNumberFormat="1" applyFont="1" applyAlignment="1">
      <alignment horizontal="center" vertical="center" wrapText="1"/>
    </xf>
    <xf numFmtId="41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horizontal="right" vertical="center" wrapText="1"/>
    </xf>
    <xf numFmtId="41" fontId="51" fillId="0" borderId="0" xfId="1" applyFont="1" applyFill="1">
      <alignment vertical="center"/>
    </xf>
    <xf numFmtId="41" fontId="18" fillId="0" borderId="0" xfId="1" applyFont="1" applyFill="1">
      <alignment vertical="center"/>
    </xf>
    <xf numFmtId="9" fontId="6" fillId="0" borderId="0" xfId="0" applyNumberFormat="1" applyFont="1">
      <alignment vertical="center"/>
    </xf>
    <xf numFmtId="41" fontId="6" fillId="0" borderId="0" xfId="1" applyFont="1" applyFill="1">
      <alignment vertical="center"/>
    </xf>
    <xf numFmtId="41" fontId="31" fillId="0" borderId="0" xfId="1" applyFont="1" applyFill="1">
      <alignment vertical="center"/>
    </xf>
    <xf numFmtId="0" fontId="10" fillId="0" borderId="0" xfId="0" applyFont="1" applyAlignment="1">
      <alignment horizontal="center" vertical="center"/>
    </xf>
    <xf numFmtId="182" fontId="6" fillId="0" borderId="0" xfId="4" applyNumberFormat="1" applyFont="1" applyFill="1">
      <alignment vertical="center"/>
    </xf>
    <xf numFmtId="41" fontId="51" fillId="0" borderId="0" xfId="0" applyNumberFormat="1" applyFont="1">
      <alignment vertical="center"/>
    </xf>
    <xf numFmtId="0" fontId="51" fillId="0" borderId="0" xfId="0" applyFont="1" applyAlignment="1">
      <alignment horizontal="center" vertical="center"/>
    </xf>
    <xf numFmtId="176" fontId="18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51" fillId="0" borderId="0" xfId="0" applyFont="1" applyAlignment="1">
      <alignment horizontal="right" vertical="center"/>
    </xf>
    <xf numFmtId="10" fontId="6" fillId="0" borderId="0" xfId="0" applyNumberFormat="1" applyFont="1" applyAlignment="1">
      <alignment horizontal="center" vertical="center"/>
    </xf>
    <xf numFmtId="0" fontId="32" fillId="3" borderId="3" xfId="0" applyFont="1" applyFill="1" applyBorder="1" applyAlignment="1">
      <alignment horizontal="center" vertical="center"/>
    </xf>
    <xf numFmtId="179" fontId="14" fillId="0" borderId="40" xfId="0" applyNumberFormat="1" applyFont="1" applyBorder="1" applyAlignment="1">
      <alignment horizontal="left" vertical="center" wrapText="1"/>
    </xf>
    <xf numFmtId="41" fontId="29" fillId="0" borderId="0" xfId="1" applyFont="1">
      <alignment vertical="center"/>
    </xf>
    <xf numFmtId="41" fontId="12" fillId="0" borderId="38" xfId="1" applyFont="1" applyFill="1" applyBorder="1">
      <alignment vertical="center"/>
    </xf>
    <xf numFmtId="0" fontId="12" fillId="0" borderId="19" xfId="0" applyFont="1" applyBorder="1" applyAlignment="1">
      <alignment horizontal="left" vertical="center" wrapText="1"/>
    </xf>
    <xf numFmtId="0" fontId="44" fillId="0" borderId="17" xfId="0" applyFont="1" applyBorder="1" applyAlignment="1">
      <alignment horizontal="center" vertical="center" shrinkToFit="1"/>
    </xf>
    <xf numFmtId="14" fontId="44" fillId="0" borderId="17" xfId="0" applyNumberFormat="1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41" fontId="12" fillId="0" borderId="17" xfId="0" applyNumberFormat="1" applyFont="1" applyBorder="1" applyAlignment="1">
      <alignment horizontal="center" vertical="center" shrinkToFit="1"/>
    </xf>
    <xf numFmtId="0" fontId="14" fillId="0" borderId="16" xfId="0" applyFont="1" applyBorder="1" applyAlignment="1">
      <alignment horizontal="center" vertical="center" shrinkToFit="1"/>
    </xf>
    <xf numFmtId="183" fontId="24" fillId="5" borderId="21" xfId="0" applyNumberFormat="1" applyFont="1" applyFill="1" applyBorder="1">
      <alignment vertical="center"/>
    </xf>
    <xf numFmtId="0" fontId="14" fillId="0" borderId="37" xfId="0" applyFont="1" applyBorder="1" applyAlignment="1">
      <alignment horizontal="center" vertical="center"/>
    </xf>
    <xf numFmtId="179" fontId="44" fillId="0" borderId="15" xfId="0" applyNumberFormat="1" applyFont="1" applyBorder="1" applyAlignment="1">
      <alignment vertical="center" shrinkToFit="1"/>
    </xf>
    <xf numFmtId="0" fontId="44" fillId="0" borderId="37" xfId="0" applyFont="1" applyBorder="1" applyAlignment="1">
      <alignment horizontal="center" vertical="center"/>
    </xf>
    <xf numFmtId="179" fontId="44" fillId="0" borderId="15" xfId="0" applyNumberFormat="1" applyFont="1" applyBorder="1" applyAlignment="1">
      <alignment horizontal="left" vertical="center"/>
    </xf>
    <xf numFmtId="179" fontId="44" fillId="0" borderId="15" xfId="0" applyNumberFormat="1" applyFont="1" applyBorder="1" applyAlignment="1">
      <alignment horizontal="left" vertical="center" shrinkToFit="1"/>
    </xf>
    <xf numFmtId="183" fontId="12" fillId="0" borderId="17" xfId="0" applyNumberFormat="1" applyFont="1" applyBorder="1" applyAlignment="1">
      <alignment horizontal="center" vertical="center" shrinkToFit="1"/>
    </xf>
    <xf numFmtId="41" fontId="47" fillId="0" borderId="55" xfId="1" applyFont="1" applyFill="1" applyBorder="1" applyAlignment="1">
      <alignment horizontal="center" vertical="center"/>
    </xf>
    <xf numFmtId="41" fontId="47" fillId="0" borderId="17" xfId="1" applyFont="1" applyFill="1" applyBorder="1" applyAlignment="1">
      <alignment horizontal="center" vertical="center"/>
    </xf>
    <xf numFmtId="41" fontId="12" fillId="0" borderId="38" xfId="1" applyFont="1" applyFill="1" applyBorder="1" applyAlignment="1">
      <alignment horizontal="center" vertical="center"/>
    </xf>
    <xf numFmtId="41" fontId="44" fillId="0" borderId="36" xfId="1" applyFont="1" applyFill="1" applyBorder="1">
      <alignment vertical="center"/>
    </xf>
    <xf numFmtId="41" fontId="12" fillId="0" borderId="55" xfId="0" applyNumberFormat="1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 shrinkToFit="1"/>
    </xf>
    <xf numFmtId="41" fontId="12" fillId="0" borderId="35" xfId="1" applyFont="1" applyFill="1" applyBorder="1" applyAlignment="1">
      <alignment horizontal="center" vertical="center"/>
    </xf>
    <xf numFmtId="41" fontId="12" fillId="0" borderId="15" xfId="1" applyFont="1" applyFill="1" applyBorder="1" applyAlignment="1">
      <alignment vertical="center" shrinkToFit="1"/>
    </xf>
    <xf numFmtId="14" fontId="12" fillId="0" borderId="15" xfId="0" applyNumberFormat="1" applyFont="1" applyBorder="1" applyAlignment="1">
      <alignment horizontal="center" vertical="center" shrinkToFit="1"/>
    </xf>
    <xf numFmtId="41" fontId="12" fillId="0" borderId="15" xfId="1" applyFont="1" applyFill="1" applyBorder="1" applyAlignment="1">
      <alignment horizontal="center" vertical="center" shrinkToFit="1"/>
    </xf>
    <xf numFmtId="0" fontId="59" fillId="0" borderId="15" xfId="8" applyFont="1" applyBorder="1" applyAlignment="1">
      <alignment horizontal="center" vertical="center"/>
    </xf>
    <xf numFmtId="14" fontId="59" fillId="0" borderId="15" xfId="8" applyNumberFormat="1" applyFont="1" applyBorder="1" applyAlignment="1">
      <alignment horizontal="center" vertical="center"/>
    </xf>
    <xf numFmtId="41" fontId="59" fillId="0" borderId="15" xfId="1" applyFont="1" applyFill="1" applyBorder="1" applyAlignment="1">
      <alignment horizontal="center" vertical="center"/>
    </xf>
    <xf numFmtId="41" fontId="12" fillId="0" borderId="15" xfId="0" applyNumberFormat="1" applyFont="1" applyBorder="1" applyAlignment="1">
      <alignment vertical="center" shrinkToFit="1"/>
    </xf>
    <xf numFmtId="0" fontId="49" fillId="4" borderId="52" xfId="0" applyFont="1" applyFill="1" applyBorder="1" applyAlignment="1">
      <alignment horizontal="center" vertical="center" wrapText="1"/>
    </xf>
    <xf numFmtId="0" fontId="49" fillId="4" borderId="12" xfId="0" applyFont="1" applyFill="1" applyBorder="1" applyAlignment="1">
      <alignment horizontal="center" vertical="center" wrapText="1"/>
    </xf>
    <xf numFmtId="176" fontId="24" fillId="5" borderId="21" xfId="0" applyNumberFormat="1" applyFont="1" applyFill="1" applyBorder="1" applyAlignment="1">
      <alignment vertical="center" shrinkToFit="1"/>
    </xf>
    <xf numFmtId="0" fontId="0" fillId="0" borderId="0" xfId="0" quotePrefix="1">
      <alignment vertical="center"/>
    </xf>
    <xf numFmtId="41" fontId="12" fillId="0" borderId="18" xfId="1" applyFont="1" applyFill="1" applyBorder="1" applyAlignment="1">
      <alignment horizontal="right" vertical="center"/>
    </xf>
    <xf numFmtId="41" fontId="12" fillId="0" borderId="37" xfId="1" applyFont="1" applyFill="1" applyBorder="1" applyAlignment="1">
      <alignment horizontal="right" vertical="center"/>
    </xf>
    <xf numFmtId="41" fontId="12" fillId="0" borderId="15" xfId="1" applyFont="1" applyFill="1" applyBorder="1" applyAlignment="1">
      <alignment horizontal="right" vertical="center"/>
    </xf>
    <xf numFmtId="41" fontId="20" fillId="0" borderId="0" xfId="0" applyNumberFormat="1" applyFont="1">
      <alignment vertical="center"/>
    </xf>
    <xf numFmtId="41" fontId="12" fillId="0" borderId="55" xfId="1" applyFont="1" applyFill="1" applyBorder="1" applyAlignment="1">
      <alignment horizontal="right" vertical="center"/>
    </xf>
    <xf numFmtId="0" fontId="21" fillId="3" borderId="23" xfId="0" applyFont="1" applyFill="1" applyBorder="1" applyAlignment="1">
      <alignment horizontal="centerContinuous" vertical="center"/>
    </xf>
    <xf numFmtId="0" fontId="17" fillId="4" borderId="60" xfId="0" applyFont="1" applyFill="1" applyBorder="1" applyAlignment="1">
      <alignment horizontal="center" vertical="center"/>
    </xf>
    <xf numFmtId="0" fontId="17" fillId="4" borderId="62" xfId="0" applyFont="1" applyFill="1" applyBorder="1" applyAlignment="1">
      <alignment horizontal="center" vertical="center" wrapText="1"/>
    </xf>
    <xf numFmtId="41" fontId="12" fillId="0" borderId="39" xfId="1" applyFont="1" applyFill="1" applyBorder="1" applyAlignment="1">
      <alignment horizontal="right" vertical="center"/>
    </xf>
    <xf numFmtId="41" fontId="12" fillId="0" borderId="48" xfId="1" applyFont="1" applyFill="1" applyBorder="1" applyAlignment="1">
      <alignment horizontal="right" vertical="center"/>
    </xf>
    <xf numFmtId="41" fontId="12" fillId="0" borderId="63" xfId="1" applyFont="1" applyFill="1" applyBorder="1" applyAlignment="1">
      <alignment horizontal="right" vertical="center"/>
    </xf>
    <xf numFmtId="41" fontId="12" fillId="0" borderId="17" xfId="1" applyFont="1" applyFill="1" applyBorder="1" applyAlignment="1">
      <alignment horizontal="right" vertical="center"/>
    </xf>
    <xf numFmtId="41" fontId="12" fillId="0" borderId="17" xfId="1" applyFont="1" applyFill="1" applyBorder="1">
      <alignment vertical="center"/>
    </xf>
    <xf numFmtId="10" fontId="12" fillId="0" borderId="38" xfId="0" applyNumberFormat="1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61" xfId="0" applyFont="1" applyBorder="1" applyAlignment="1">
      <alignment horizontal="center" vertical="center"/>
    </xf>
    <xf numFmtId="0" fontId="47" fillId="0" borderId="18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47" fillId="0" borderId="15" xfId="0" applyFont="1" applyBorder="1" applyAlignment="1">
      <alignment horizontal="center" vertical="center"/>
    </xf>
    <xf numFmtId="41" fontId="12" fillId="0" borderId="35" xfId="1" applyFont="1" applyFill="1" applyBorder="1">
      <alignment vertical="center"/>
    </xf>
    <xf numFmtId="41" fontId="47" fillId="0" borderId="17" xfId="1" applyFont="1" applyFill="1" applyBorder="1" applyAlignment="1">
      <alignment horizontal="center" vertical="center" shrinkToFit="1"/>
    </xf>
    <xf numFmtId="0" fontId="12" fillId="0" borderId="14" xfId="0" applyFont="1" applyBorder="1" applyAlignment="1">
      <alignment horizontal="center" vertical="center" shrinkToFit="1"/>
    </xf>
    <xf numFmtId="0" fontId="22" fillId="0" borderId="19" xfId="0" applyFont="1" applyBorder="1" applyAlignment="1">
      <alignment horizontal="left" vertical="center" wrapText="1"/>
    </xf>
    <xf numFmtId="0" fontId="47" fillId="0" borderId="19" xfId="0" applyFont="1" applyBorder="1" applyAlignment="1">
      <alignment horizontal="left" vertical="center" wrapText="1"/>
    </xf>
    <xf numFmtId="14" fontId="12" fillId="0" borderId="17" xfId="1" applyNumberFormat="1" applyFont="1" applyFill="1" applyBorder="1" applyAlignment="1">
      <alignment horizontal="center" vertical="center" shrinkToFit="1"/>
    </xf>
    <xf numFmtId="0" fontId="12" fillId="0" borderId="15" xfId="1" applyNumberFormat="1" applyFont="1" applyFill="1" applyBorder="1" applyAlignment="1">
      <alignment horizontal="center" vertical="center" shrinkToFit="1"/>
    </xf>
    <xf numFmtId="41" fontId="47" fillId="0" borderId="55" xfId="1" applyFont="1" applyFill="1" applyBorder="1" applyAlignment="1">
      <alignment horizontal="center" vertical="center" shrinkToFit="1"/>
    </xf>
    <xf numFmtId="14" fontId="47" fillId="0" borderId="36" xfId="0" applyNumberFormat="1" applyFont="1" applyBorder="1" applyAlignment="1">
      <alignment horizontal="center" vertical="center" shrinkToFit="1"/>
    </xf>
    <xf numFmtId="14" fontId="14" fillId="0" borderId="16" xfId="0" applyNumberFormat="1" applyFont="1" applyBorder="1" applyAlignment="1">
      <alignment horizontal="center" vertical="center"/>
    </xf>
    <xf numFmtId="41" fontId="12" fillId="0" borderId="17" xfId="0" applyNumberFormat="1" applyFont="1" applyBorder="1">
      <alignment vertical="center"/>
    </xf>
    <xf numFmtId="41" fontId="12" fillId="0" borderId="38" xfId="1" applyFont="1" applyFill="1" applyBorder="1" applyAlignment="1">
      <alignment vertical="center" shrinkToFit="1"/>
    </xf>
    <xf numFmtId="0" fontId="12" fillId="0" borderId="36" xfId="0" applyFont="1" applyBorder="1" applyAlignment="1">
      <alignment horizontal="center" vertical="center" shrinkToFit="1"/>
    </xf>
    <xf numFmtId="179" fontId="14" fillId="0" borderId="15" xfId="0" applyNumberFormat="1" applyFont="1" applyBorder="1" applyAlignment="1">
      <alignment horizontal="left" vertical="center"/>
    </xf>
    <xf numFmtId="179" fontId="14" fillId="0" borderId="15" xfId="0" applyNumberFormat="1" applyFont="1" applyBorder="1" applyAlignment="1">
      <alignment horizontal="left" vertical="center" shrinkToFit="1"/>
    </xf>
    <xf numFmtId="0" fontId="22" fillId="0" borderId="35" xfId="0" applyFont="1" applyBorder="1" applyAlignment="1">
      <alignment horizontal="center" vertical="center" shrinkToFit="1"/>
    </xf>
    <xf numFmtId="0" fontId="44" fillId="0" borderId="15" xfId="6" applyFont="1" applyBorder="1" applyAlignment="1">
      <alignment horizontal="left" vertical="center"/>
    </xf>
    <xf numFmtId="0" fontId="44" fillId="0" borderId="15" xfId="6" applyFont="1" applyBorder="1" applyAlignment="1">
      <alignment horizontal="left" vertical="center" shrinkToFit="1"/>
    </xf>
    <xf numFmtId="183" fontId="12" fillId="0" borderId="15" xfId="0" applyNumberFormat="1" applyFont="1" applyBorder="1" applyAlignment="1">
      <alignment vertical="center" shrinkToFit="1"/>
    </xf>
    <xf numFmtId="187" fontId="12" fillId="0" borderId="15" xfId="0" applyNumberFormat="1" applyFont="1" applyBorder="1" applyAlignment="1">
      <alignment horizontal="center" vertical="center" shrinkToFit="1"/>
    </xf>
    <xf numFmtId="187" fontId="12" fillId="0" borderId="17" xfId="0" applyNumberFormat="1" applyFont="1" applyBorder="1" applyAlignment="1">
      <alignment horizontal="center" vertical="center" shrinkToFit="1"/>
    </xf>
    <xf numFmtId="0" fontId="47" fillId="0" borderId="55" xfId="0" applyFont="1" applyBorder="1" applyAlignment="1">
      <alignment horizontal="center" vertical="center"/>
    </xf>
    <xf numFmtId="0" fontId="22" fillId="0" borderId="55" xfId="0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41" fontId="22" fillId="0" borderId="18" xfId="0" applyNumberFormat="1" applyFont="1" applyBorder="1" applyAlignment="1">
      <alignment horizontal="center" vertical="center"/>
    </xf>
    <xf numFmtId="41" fontId="47" fillId="0" borderId="18" xfId="0" applyNumberFormat="1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 shrinkToFit="1"/>
    </xf>
    <xf numFmtId="0" fontId="44" fillId="0" borderId="35" xfId="6" applyFont="1" applyBorder="1" applyAlignment="1">
      <alignment horizontal="center" vertical="center" shrinkToFit="1"/>
    </xf>
    <xf numFmtId="41" fontId="47" fillId="0" borderId="15" xfId="1" applyFont="1" applyFill="1" applyBorder="1" applyAlignment="1">
      <alignment horizontal="center" vertical="center"/>
    </xf>
    <xf numFmtId="41" fontId="22" fillId="0" borderId="17" xfId="1" applyFont="1" applyFill="1" applyBorder="1" applyAlignment="1">
      <alignment horizontal="center" vertical="center"/>
    </xf>
    <xf numFmtId="41" fontId="44" fillId="0" borderId="50" xfId="1" applyFont="1" applyFill="1" applyBorder="1">
      <alignment vertical="center"/>
    </xf>
    <xf numFmtId="41" fontId="14" fillId="0" borderId="36" xfId="1" applyFont="1" applyFill="1" applyBorder="1">
      <alignment vertical="center"/>
    </xf>
    <xf numFmtId="41" fontId="47" fillId="0" borderId="15" xfId="1" applyFont="1" applyFill="1" applyBorder="1" applyAlignment="1">
      <alignment horizontal="center" vertical="center" shrinkToFit="1"/>
    </xf>
    <xf numFmtId="41" fontId="22" fillId="0" borderId="17" xfId="1" applyFont="1" applyFill="1" applyBorder="1" applyAlignment="1">
      <alignment horizontal="center" vertical="center" shrinkToFit="1"/>
    </xf>
    <xf numFmtId="180" fontId="12" fillId="0" borderId="55" xfId="0" applyNumberFormat="1" applyFont="1" applyBorder="1" applyAlignment="1">
      <alignment vertical="center" shrinkToFit="1"/>
    </xf>
    <xf numFmtId="180" fontId="12" fillId="0" borderId="17" xfId="0" applyNumberFormat="1" applyFont="1" applyBorder="1" applyAlignment="1">
      <alignment vertical="center" shrinkToFit="1"/>
    </xf>
    <xf numFmtId="41" fontId="12" fillId="0" borderId="55" xfId="1" applyFont="1" applyFill="1" applyBorder="1" applyAlignment="1">
      <alignment vertical="center" shrinkToFit="1"/>
    </xf>
    <xf numFmtId="178" fontId="12" fillId="0" borderId="14" xfId="0" applyNumberFormat="1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 shrinkToFit="1"/>
    </xf>
    <xf numFmtId="0" fontId="23" fillId="0" borderId="19" xfId="0" applyFont="1" applyBorder="1" applyAlignment="1">
      <alignment vertical="center" wrapText="1" shrinkToFit="1"/>
    </xf>
    <xf numFmtId="4" fontId="15" fillId="0" borderId="1" xfId="0" applyNumberFormat="1" applyFont="1" applyBorder="1" applyAlignment="1">
      <alignment horizontal="center" vertical="center"/>
    </xf>
    <xf numFmtId="188" fontId="15" fillId="0" borderId="1" xfId="0" applyNumberFormat="1" applyFont="1" applyBorder="1" applyAlignment="1">
      <alignment horizontal="center" vertical="center"/>
    </xf>
    <xf numFmtId="181" fontId="14" fillId="0" borderId="50" xfId="0" applyNumberFormat="1" applyFont="1" applyBorder="1" applyAlignment="1">
      <alignment horizontal="right" vertical="center"/>
    </xf>
    <xf numFmtId="181" fontId="44" fillId="0" borderId="50" xfId="0" applyNumberFormat="1" applyFont="1" applyBorder="1" applyAlignment="1">
      <alignment horizontal="right" vertical="center"/>
    </xf>
    <xf numFmtId="0" fontId="26" fillId="4" borderId="25" xfId="0" applyFont="1" applyFill="1" applyBorder="1" applyAlignment="1">
      <alignment horizontal="center" vertical="center" wrapText="1"/>
    </xf>
    <xf numFmtId="0" fontId="12" fillId="0" borderId="50" xfId="0" applyFont="1" applyBorder="1" applyAlignment="1">
      <alignment horizontal="center" vertical="center" shrinkToFit="1"/>
    </xf>
    <xf numFmtId="0" fontId="12" fillId="0" borderId="64" xfId="0" applyFont="1" applyBorder="1" applyAlignment="1">
      <alignment horizontal="center" vertical="center" shrinkToFit="1"/>
    </xf>
    <xf numFmtId="0" fontId="27" fillId="6" borderId="38" xfId="0" applyFont="1" applyFill="1" applyBorder="1" applyAlignment="1">
      <alignment horizontal="center" vertical="center" wrapText="1"/>
    </xf>
    <xf numFmtId="0" fontId="27" fillId="7" borderId="65" xfId="0" applyFont="1" applyFill="1" applyBorder="1" applyAlignment="1">
      <alignment horizontal="center" vertical="center" wrapText="1"/>
    </xf>
    <xf numFmtId="3" fontId="27" fillId="6" borderId="65" xfId="0" applyNumberFormat="1" applyFont="1" applyFill="1" applyBorder="1" applyAlignment="1">
      <alignment horizontal="center" vertical="center" wrapText="1"/>
    </xf>
    <xf numFmtId="3" fontId="27" fillId="6" borderId="0" xfId="0" applyNumberFormat="1" applyFont="1" applyFill="1" applyBorder="1" applyAlignment="1">
      <alignment horizontal="center" vertical="center" wrapText="1"/>
    </xf>
    <xf numFmtId="0" fontId="66" fillId="2" borderId="0" xfId="0" applyFont="1" applyFill="1" applyAlignment="1">
      <alignment horizontal="center" vertical="center"/>
    </xf>
    <xf numFmtId="0" fontId="12" fillId="2" borderId="17" xfId="0" applyFont="1" applyFill="1" applyBorder="1" applyAlignment="1">
      <alignment horizontal="center" vertical="center" wrapText="1"/>
    </xf>
    <xf numFmtId="0" fontId="6" fillId="2" borderId="17" xfId="70" applyFont="1" applyFill="1" applyBorder="1" applyAlignment="1">
      <alignment horizontal="center" vertical="center"/>
    </xf>
    <xf numFmtId="0" fontId="66" fillId="2" borderId="0" xfId="0" applyFont="1" applyFill="1">
      <alignment vertical="center"/>
    </xf>
    <xf numFmtId="3" fontId="12" fillId="2" borderId="66" xfId="0" applyNumberFormat="1" applyFont="1" applyFill="1" applyBorder="1" applyAlignment="1">
      <alignment horizontal="right" vertical="center"/>
    </xf>
    <xf numFmtId="3" fontId="12" fillId="2" borderId="0" xfId="0" applyNumberFormat="1" applyFont="1" applyFill="1" applyBorder="1" applyAlignment="1">
      <alignment horizontal="right" vertical="center"/>
    </xf>
    <xf numFmtId="3" fontId="12" fillId="2" borderId="0" xfId="0" applyNumberFormat="1" applyFont="1" applyFill="1" applyBorder="1" applyAlignment="1">
      <alignment horizontal="center" vertical="center"/>
    </xf>
    <xf numFmtId="0" fontId="66" fillId="8" borderId="0" xfId="0" applyFont="1" applyFill="1" applyAlignment="1">
      <alignment horizontal="center" vertical="center"/>
    </xf>
    <xf numFmtId="0" fontId="66" fillId="8" borderId="0" xfId="0" applyFont="1" applyFill="1">
      <alignment vertical="center"/>
    </xf>
    <xf numFmtId="41" fontId="12" fillId="2" borderId="66" xfId="1" applyFont="1" applyFill="1" applyBorder="1" applyAlignment="1">
      <alignment horizontal="right" vertical="center"/>
    </xf>
    <xf numFmtId="0" fontId="66" fillId="9" borderId="0" xfId="0" applyFont="1" applyFill="1">
      <alignment vertical="center"/>
    </xf>
    <xf numFmtId="0" fontId="66" fillId="10" borderId="0" xfId="0" applyFont="1" applyFill="1" applyAlignment="1">
      <alignment horizontal="center" vertical="center"/>
    </xf>
    <xf numFmtId="0" fontId="66" fillId="10" borderId="0" xfId="0" applyFont="1" applyFill="1">
      <alignment vertical="center"/>
    </xf>
    <xf numFmtId="0" fontId="66" fillId="11" borderId="0" xfId="0" applyFont="1" applyFill="1" applyAlignment="1">
      <alignment horizontal="center" vertical="center"/>
    </xf>
    <xf numFmtId="0" fontId="66" fillId="11" borderId="0" xfId="0" applyFont="1" applyFill="1">
      <alignment vertical="center"/>
    </xf>
    <xf numFmtId="41" fontId="21" fillId="3" borderId="3" xfId="0" applyNumberFormat="1" applyFont="1" applyFill="1" applyBorder="1" applyAlignment="1">
      <alignment horizontal="centerContinuous" vertical="center"/>
    </xf>
    <xf numFmtId="0" fontId="47" fillId="0" borderId="55" xfId="0" applyFont="1" applyBorder="1" applyAlignment="1">
      <alignment horizontal="center" vertical="center" shrinkToFit="1"/>
    </xf>
    <xf numFmtId="0" fontId="47" fillId="0" borderId="65" xfId="0" applyFont="1" applyBorder="1" applyAlignment="1">
      <alignment horizontal="center" vertical="center" shrinkToFit="1"/>
    </xf>
    <xf numFmtId="0" fontId="49" fillId="12" borderId="1" xfId="0" applyFont="1" applyFill="1" applyBorder="1" applyAlignment="1">
      <alignment horizontal="center" vertical="center"/>
    </xf>
    <xf numFmtId="0" fontId="26" fillId="12" borderId="53" xfId="0" applyFont="1" applyFill="1" applyBorder="1" applyAlignment="1">
      <alignment horizontal="center" vertical="center"/>
    </xf>
    <xf numFmtId="0" fontId="49" fillId="12" borderId="53" xfId="0" applyFont="1" applyFill="1" applyBorder="1" applyAlignment="1">
      <alignment horizontal="center" vertical="center"/>
    </xf>
    <xf numFmtId="0" fontId="17" fillId="12" borderId="53" xfId="0" applyFont="1" applyFill="1" applyBorder="1" applyAlignment="1">
      <alignment horizontal="center" vertical="center"/>
    </xf>
    <xf numFmtId="0" fontId="17" fillId="12" borderId="1" xfId="0" applyFont="1" applyFill="1" applyBorder="1" applyAlignment="1">
      <alignment horizontal="center" vertical="center"/>
    </xf>
    <xf numFmtId="0" fontId="67" fillId="12" borderId="10" xfId="0" applyFont="1" applyFill="1" applyBorder="1" applyAlignment="1">
      <alignment horizontal="center" vertical="center" wrapText="1"/>
    </xf>
    <xf numFmtId="0" fontId="27" fillId="0" borderId="1" xfId="0" applyFont="1" applyBorder="1">
      <alignment vertical="center"/>
    </xf>
    <xf numFmtId="0" fontId="27" fillId="9" borderId="1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44" fillId="13" borderId="16" xfId="0" applyFont="1" applyFill="1" applyBorder="1" applyAlignment="1">
      <alignment horizontal="center" vertical="center" shrinkToFit="1"/>
    </xf>
    <xf numFmtId="0" fontId="44" fillId="0" borderId="16" xfId="0" applyFont="1" applyFill="1" applyBorder="1" applyAlignment="1">
      <alignment horizontal="center" vertical="center" shrinkToFit="1"/>
    </xf>
    <xf numFmtId="0" fontId="44" fillId="0" borderId="14" xfId="0" applyFont="1" applyFill="1" applyBorder="1" applyAlignment="1">
      <alignment horizontal="center" vertical="center"/>
    </xf>
    <xf numFmtId="0" fontId="44" fillId="12" borderId="15" xfId="0" applyFont="1" applyFill="1" applyBorder="1" applyAlignment="1">
      <alignment horizontal="center" vertical="center"/>
    </xf>
    <xf numFmtId="0" fontId="44" fillId="12" borderId="16" xfId="0" applyFont="1" applyFill="1" applyBorder="1" applyAlignment="1">
      <alignment horizontal="center" vertical="center" shrinkToFit="1"/>
    </xf>
    <xf numFmtId="0" fontId="44" fillId="13" borderId="15" xfId="0" applyFont="1" applyFill="1" applyBorder="1" applyAlignment="1">
      <alignment horizontal="center" vertical="center"/>
    </xf>
    <xf numFmtId="0" fontId="44" fillId="3" borderId="15" xfId="0" applyFont="1" applyFill="1" applyBorder="1" applyAlignment="1">
      <alignment horizontal="center" vertical="center"/>
    </xf>
    <xf numFmtId="0" fontId="44" fillId="14" borderId="15" xfId="0" applyFont="1" applyFill="1" applyBorder="1" applyAlignment="1">
      <alignment horizontal="center" vertical="center"/>
    </xf>
    <xf numFmtId="0" fontId="12" fillId="15" borderId="15" xfId="0" applyFont="1" applyFill="1" applyBorder="1" applyAlignment="1">
      <alignment horizontal="center" vertical="center"/>
    </xf>
    <xf numFmtId="0" fontId="12" fillId="15" borderId="37" xfId="0" applyFont="1" applyFill="1" applyBorder="1" applyAlignment="1">
      <alignment horizontal="center" vertical="center" shrinkToFit="1"/>
    </xf>
    <xf numFmtId="0" fontId="12" fillId="15" borderId="55" xfId="0" applyFont="1" applyFill="1" applyBorder="1" applyAlignment="1">
      <alignment horizontal="center" vertical="center" shrinkToFit="1"/>
    </xf>
    <xf numFmtId="0" fontId="12" fillId="15" borderId="1" xfId="0" applyFont="1" applyFill="1" applyBorder="1" applyAlignment="1">
      <alignment horizontal="center" vertical="center"/>
    </xf>
    <xf numFmtId="0" fontId="27" fillId="15" borderId="1" xfId="0" applyFont="1" applyFill="1" applyBorder="1">
      <alignment vertical="center"/>
    </xf>
    <xf numFmtId="0" fontId="27" fillId="15" borderId="0" xfId="0" applyFont="1" applyFill="1">
      <alignment vertical="center"/>
    </xf>
    <xf numFmtId="0" fontId="27" fillId="12" borderId="1" xfId="0" applyFont="1" applyFill="1" applyBorder="1">
      <alignment vertical="center"/>
    </xf>
    <xf numFmtId="41" fontId="12" fillId="11" borderId="55" xfId="0" applyNumberFormat="1" applyFont="1" applyFill="1" applyBorder="1" applyAlignment="1">
      <alignment horizontal="center" vertical="center"/>
    </xf>
    <xf numFmtId="0" fontId="12" fillId="16" borderId="15" xfId="0" applyFont="1" applyFill="1" applyBorder="1" applyAlignment="1">
      <alignment horizontal="center" vertical="center"/>
    </xf>
    <xf numFmtId="0" fontId="12" fillId="11" borderId="15" xfId="0" applyFont="1" applyFill="1" applyBorder="1" applyAlignment="1">
      <alignment horizontal="center" vertical="center"/>
    </xf>
    <xf numFmtId="0" fontId="12" fillId="11" borderId="37" xfId="0" applyFont="1" applyFill="1" applyBorder="1" applyAlignment="1">
      <alignment horizontal="center" vertical="center" shrinkToFit="1"/>
    </xf>
    <xf numFmtId="0" fontId="12" fillId="11" borderId="55" xfId="0" applyFont="1" applyFill="1" applyBorder="1" applyAlignment="1">
      <alignment horizontal="center" vertical="center" shrinkToFit="1"/>
    </xf>
    <xf numFmtId="0" fontId="27" fillId="11" borderId="1" xfId="0" applyFont="1" applyFill="1" applyBorder="1">
      <alignment vertical="center"/>
    </xf>
    <xf numFmtId="0" fontId="27" fillId="11" borderId="0" xfId="0" applyFont="1" applyFill="1">
      <alignment vertical="center"/>
    </xf>
    <xf numFmtId="0" fontId="12" fillId="11" borderId="67" xfId="0" applyFont="1" applyFill="1" applyBorder="1" applyAlignment="1">
      <alignment horizontal="center" vertical="center"/>
    </xf>
    <xf numFmtId="0" fontId="17" fillId="4" borderId="10" xfId="29" applyFont="1" applyFill="1" applyBorder="1" applyAlignment="1">
      <alignment horizontal="center" vertical="center" wrapText="1"/>
    </xf>
    <xf numFmtId="0" fontId="44" fillId="15" borderId="15" xfId="29" applyFont="1" applyFill="1" applyBorder="1" applyAlignment="1">
      <alignment horizontal="center" vertical="center"/>
    </xf>
    <xf numFmtId="0" fontId="44" fillId="18" borderId="15" xfId="29" applyFont="1" applyFill="1" applyBorder="1" applyAlignment="1">
      <alignment horizontal="center" vertical="center"/>
    </xf>
    <xf numFmtId="0" fontId="44" fillId="17" borderId="15" xfId="29" applyFont="1" applyFill="1" applyBorder="1" applyAlignment="1">
      <alignment horizontal="center" vertical="center"/>
    </xf>
    <xf numFmtId="0" fontId="44" fillId="17" borderId="15" xfId="0" applyFont="1" applyFill="1" applyBorder="1" applyAlignment="1">
      <alignment horizontal="center" vertical="center"/>
    </xf>
    <xf numFmtId="0" fontId="44" fillId="15" borderId="15" xfId="0" applyFont="1" applyFill="1" applyBorder="1" applyAlignment="1">
      <alignment horizontal="center" vertical="center"/>
    </xf>
    <xf numFmtId="0" fontId="44" fillId="18" borderId="15" xfId="0" applyFont="1" applyFill="1" applyBorder="1" applyAlignment="1">
      <alignment horizontal="center" vertical="center"/>
    </xf>
    <xf numFmtId="0" fontId="12" fillId="13" borderId="1" xfId="0" applyFont="1" applyFill="1" applyBorder="1" applyAlignment="1">
      <alignment horizontal="center" vertical="center"/>
    </xf>
  </cellXfs>
  <cellStyles count="71">
    <cellStyle name="Comma [0] 2" xfId="13"/>
    <cellStyle name="Comma [0] 2 2" xfId="30"/>
    <cellStyle name="Comma [0] 2 2 2" xfId="33"/>
    <cellStyle name="Comma [0] 2 3" xfId="52"/>
    <cellStyle name="Comma [0] 2 4" xfId="62"/>
    <cellStyle name="Comma [0] 3" xfId="17"/>
    <cellStyle name="Comma [0] 3 2" xfId="12"/>
    <cellStyle name="Comma [0] 4" xfId="34"/>
    <cellStyle name="Comma [0] 5" xfId="40"/>
    <cellStyle name="Comma [0] 5 2 4" xfId="15"/>
    <cellStyle name="Comma [0] 6" xfId="65"/>
    <cellStyle name="Normal 2" xfId="7"/>
    <cellStyle name="Normal 2 2" xfId="29"/>
    <cellStyle name="Normal 2 2 2" xfId="6"/>
    <cellStyle name="Normal 2 7 2" xfId="25"/>
    <cellStyle name="Normal 3" xfId="16"/>
    <cellStyle name="Normal 3 2" xfId="31"/>
    <cellStyle name="Normal 3 2 4" xfId="11"/>
    <cellStyle name="Normal 4" xfId="28"/>
    <cellStyle name="Normal 4 2" xfId="51"/>
    <cellStyle name="Normal 5" xfId="35"/>
    <cellStyle name="Normal 6" xfId="61"/>
    <cellStyle name="Normal 7" xfId="64"/>
    <cellStyle name="Percent 2" xfId="19"/>
    <cellStyle name="Percent 2 2" xfId="32"/>
    <cellStyle name="Percent 2 3" xfId="63"/>
    <cellStyle name="Percent 3 2 4" xfId="14"/>
    <cellStyle name="백분율" xfId="4" builtinId="5"/>
    <cellStyle name="백분율 2" xfId="21"/>
    <cellStyle name="쉼표 [0]" xfId="1" builtinId="6"/>
    <cellStyle name="쉼표 [0] 2" xfId="3"/>
    <cellStyle name="쉼표 [0] 2 10 4" xfId="26"/>
    <cellStyle name="쉼표 [0] 2 2" xfId="58"/>
    <cellStyle name="쉼표 [0] 2 2 2" xfId="20"/>
    <cellStyle name="쉼표 [0] 2 20" xfId="68"/>
    <cellStyle name="쉼표 [0] 2 3" xfId="54"/>
    <cellStyle name="쉼표 [0] 2 4" xfId="46"/>
    <cellStyle name="쉼표 [0] 2 5" xfId="67"/>
    <cellStyle name="쉼표 [0] 3" xfId="24"/>
    <cellStyle name="쉼표 [0] 3 2" xfId="49"/>
    <cellStyle name="쉼표 [0] 4" xfId="55"/>
    <cellStyle name="쉼표 [0] 5" xfId="60"/>
    <cellStyle name="쉼표 [0] 5 8" xfId="47"/>
    <cellStyle name="쉼표 [0] 9" xfId="39"/>
    <cellStyle name="표준" xfId="0" builtinId="0"/>
    <cellStyle name="표준 10" xfId="38"/>
    <cellStyle name="표준 10 2" xfId="66"/>
    <cellStyle name="표준 13 3" xfId="70"/>
    <cellStyle name="표준 148" xfId="8"/>
    <cellStyle name="표준 15 2" xfId="42"/>
    <cellStyle name="표준 15 2 2" xfId="45"/>
    <cellStyle name="표준 15 2 6" xfId="50"/>
    <cellStyle name="표준 19 2 5" xfId="41"/>
    <cellStyle name="표준 2" xfId="2"/>
    <cellStyle name="표준 2 10" xfId="43"/>
    <cellStyle name="표준 2 13 2" xfId="10"/>
    <cellStyle name="표준 2 14" xfId="69"/>
    <cellStyle name="표준 2 2" xfId="9"/>
    <cellStyle name="표준 2 3" xfId="18"/>
    <cellStyle name="표준 2 3 2" xfId="44"/>
    <cellStyle name="표준 2 3 3" xfId="53"/>
    <cellStyle name="표준 2 4" xfId="56"/>
    <cellStyle name="표준 3" xfId="5"/>
    <cellStyle name="표준 3 2" xfId="48"/>
    <cellStyle name="표준 32" xfId="36"/>
    <cellStyle name="표준 4" xfId="23"/>
    <cellStyle name="표준 4 2" xfId="57"/>
    <cellStyle name="표준 5" xfId="59"/>
    <cellStyle name="표준 7" xfId="22"/>
    <cellStyle name="표준 81 4" xfId="27"/>
    <cellStyle name="표준 9" xfId="37"/>
  </cellStyles>
  <dxfs count="0"/>
  <tableStyles count="0" defaultTableStyle="TableStyleMedium2" defaultPivotStyle="PivotStyleLight16"/>
  <colors>
    <mruColors>
      <color rgb="FFFFE600"/>
      <color rgb="FF999999"/>
      <color rgb="FFFFCCFF"/>
      <color rgb="FFF0F0F0"/>
      <color rgb="FFEDEDED"/>
      <color rgb="FFF0B9C2"/>
      <color rgb="FF00FFFF"/>
      <color rgb="FFFF99CC"/>
      <color rgb="FF00CC00"/>
      <color rgb="FF70AD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autoPageBreaks="0"/>
  </sheetPr>
  <dimension ref="A1:U203"/>
  <sheetViews>
    <sheetView showGridLines="0" zoomScale="75" zoomScaleNormal="75" workbookViewId="0">
      <selection activeCell="F37" sqref="F37"/>
    </sheetView>
  </sheetViews>
  <sheetFormatPr defaultColWidth="8.6640625" defaultRowHeight="16"/>
  <cols>
    <col min="1" max="1" width="1.5" style="17" customWidth="1"/>
    <col min="2" max="2" width="9.58203125" style="17" customWidth="1"/>
    <col min="3" max="3" width="13.08203125" style="17" customWidth="1"/>
    <col min="4" max="4" width="40.6640625" style="17" customWidth="1"/>
    <col min="5" max="5" width="12.9140625" style="17" bestFit="1" customWidth="1"/>
    <col min="6" max="6" width="26.9140625" style="17" customWidth="1"/>
    <col min="7" max="10" width="8.6640625" style="17"/>
    <col min="11" max="11" width="8.6640625" style="204"/>
    <col min="12" max="16384" width="8.6640625" style="17"/>
  </cols>
  <sheetData>
    <row r="1" spans="1:21" s="2" customFormat="1" ht="15" customHeight="1">
      <c r="A1" s="1"/>
      <c r="F1" s="3"/>
      <c r="K1" s="202"/>
      <c r="L1" s="4"/>
    </row>
    <row r="2" spans="1:21" s="2" customFormat="1" ht="28.25" customHeight="1">
      <c r="A2" s="5" t="s">
        <v>636</v>
      </c>
      <c r="F2" s="3"/>
      <c r="H2" s="6"/>
      <c r="I2" s="6"/>
      <c r="J2" s="6"/>
      <c r="K2" s="203"/>
      <c r="L2" s="6"/>
      <c r="M2" s="6"/>
      <c r="N2" s="6"/>
      <c r="O2" s="6"/>
      <c r="P2" s="6"/>
      <c r="R2" s="6"/>
      <c r="S2" s="6"/>
      <c r="T2" s="6"/>
      <c r="U2" s="7"/>
    </row>
    <row r="3" spans="1:21" s="2" customFormat="1" ht="8" customHeight="1">
      <c r="F3" s="3"/>
      <c r="H3" s="6"/>
      <c r="I3" s="6"/>
      <c r="J3" s="6"/>
      <c r="K3" s="203"/>
      <c r="L3" s="6"/>
      <c r="M3" s="6"/>
      <c r="N3" s="6"/>
      <c r="O3" s="6"/>
      <c r="P3" s="6"/>
      <c r="R3" s="6"/>
      <c r="S3" s="6"/>
      <c r="T3" s="6"/>
      <c r="U3" s="7"/>
    </row>
    <row r="4" spans="1:21" s="2" customFormat="1" ht="25.25" customHeight="1">
      <c r="A4" s="8" t="s">
        <v>4</v>
      </c>
      <c r="B4" s="9"/>
      <c r="C4" s="9"/>
      <c r="D4" s="9"/>
      <c r="E4" s="9"/>
      <c r="F4" s="3"/>
      <c r="H4" s="6"/>
      <c r="I4" s="6"/>
      <c r="J4" s="6"/>
      <c r="K4" s="203"/>
      <c r="L4" s="6"/>
      <c r="M4" s="6"/>
      <c r="N4" s="6"/>
      <c r="O4" s="6"/>
      <c r="P4" s="6"/>
      <c r="R4" s="6"/>
      <c r="S4" s="6"/>
      <c r="T4" s="6"/>
      <c r="U4" s="7"/>
    </row>
    <row r="5" spans="1:21" s="2" customFormat="1" ht="15" customHeight="1">
      <c r="A5" s="1"/>
      <c r="F5" s="3"/>
      <c r="K5" s="202"/>
      <c r="L5" s="4"/>
    </row>
    <row r="6" spans="1:21" ht="17.5">
      <c r="A6" s="10" t="s">
        <v>5</v>
      </c>
      <c r="B6"/>
      <c r="C6" s="12"/>
      <c r="D6"/>
      <c r="K6" s="17"/>
    </row>
    <row r="7" spans="1:21" ht="17">
      <c r="B7"/>
      <c r="C7" s="12"/>
      <c r="D7"/>
      <c r="K7" s="17"/>
    </row>
    <row r="8" spans="1:21" s="11" customFormat="1" ht="15.65" customHeight="1">
      <c r="C8" s="13" t="s">
        <v>6</v>
      </c>
      <c r="D8" s="14" t="s">
        <v>7</v>
      </c>
      <c r="K8" s="12"/>
    </row>
    <row r="9" spans="1:21" s="11" customFormat="1" ht="15.65" customHeight="1">
      <c r="C9" s="13" t="s">
        <v>8</v>
      </c>
      <c r="D9" s="14" t="s">
        <v>9</v>
      </c>
    </row>
    <row r="10" spans="1:21" s="11" customFormat="1" ht="15.65" customHeight="1">
      <c r="C10" s="15" t="s">
        <v>610</v>
      </c>
      <c r="D10" s="14" t="s">
        <v>3863</v>
      </c>
    </row>
    <row r="11" spans="1:21" s="11" customFormat="1" ht="15.65" customHeight="1">
      <c r="C11" s="15" t="s">
        <v>637</v>
      </c>
      <c r="D11" s="14" t="s">
        <v>3864</v>
      </c>
    </row>
    <row r="12" spans="1:21" s="11" customFormat="1" ht="15.65" customHeight="1">
      <c r="C12" s="13" t="s">
        <v>10</v>
      </c>
      <c r="D12" s="14" t="s">
        <v>11</v>
      </c>
      <c r="J12" s="17"/>
      <c r="K12" s="17"/>
    </row>
    <row r="13" spans="1:21" s="11" customFormat="1" ht="15.65" customHeight="1">
      <c r="C13" s="15" t="s">
        <v>12</v>
      </c>
      <c r="D13" s="14" t="s">
        <v>13</v>
      </c>
      <c r="J13" s="17"/>
      <c r="K13" s="17"/>
    </row>
    <row r="14" spans="1:21" s="11" customFormat="1" ht="15.65" customHeight="1">
      <c r="C14" s="15" t="s">
        <v>14</v>
      </c>
      <c r="D14" s="14" t="s">
        <v>15</v>
      </c>
      <c r="J14" s="17"/>
      <c r="K14" s="17"/>
    </row>
    <row r="15" spans="1:21" s="11" customFormat="1" ht="15.65" customHeight="1">
      <c r="C15" s="13" t="s">
        <v>16</v>
      </c>
      <c r="D15" s="14" t="s">
        <v>17</v>
      </c>
      <c r="J15" s="17"/>
      <c r="K15" s="17"/>
    </row>
    <row r="16" spans="1:21" s="11" customFormat="1" ht="15.65" customHeight="1">
      <c r="C16" s="13" t="s">
        <v>18</v>
      </c>
      <c r="D16" s="14" t="s">
        <v>3865</v>
      </c>
      <c r="J16" s="17"/>
      <c r="K16" s="17"/>
    </row>
    <row r="17" spans="1:11" s="11" customFormat="1" ht="15.65" customHeight="1">
      <c r="C17" s="13" t="s">
        <v>19</v>
      </c>
      <c r="D17" s="14" t="s">
        <v>638</v>
      </c>
    </row>
    <row r="18" spans="1:11" s="11" customFormat="1" ht="15.65" customHeight="1">
      <c r="C18" s="13" t="s">
        <v>625</v>
      </c>
      <c r="D18" s="14" t="s">
        <v>639</v>
      </c>
    </row>
    <row r="19" spans="1:11" s="11" customFormat="1" ht="15.65" customHeight="1">
      <c r="C19" s="13" t="s">
        <v>634</v>
      </c>
      <c r="D19" s="14" t="s">
        <v>640</v>
      </c>
    </row>
    <row r="20" spans="1:11" ht="17">
      <c r="B20"/>
      <c r="C20" s="12"/>
      <c r="D20"/>
      <c r="K20" s="17"/>
    </row>
    <row r="21" spans="1:11" ht="17.5">
      <c r="A21" s="10" t="s">
        <v>20</v>
      </c>
      <c r="B21"/>
      <c r="C21" s="12"/>
      <c r="D21"/>
      <c r="K21" s="17"/>
    </row>
    <row r="22" spans="1:11" ht="17">
      <c r="B22"/>
      <c r="C22" s="12"/>
      <c r="D22"/>
      <c r="K22" s="17"/>
    </row>
    <row r="23" spans="1:11" s="16" customFormat="1" ht="17.399999999999999" customHeight="1">
      <c r="A23" s="10"/>
      <c r="C23" s="323" t="s">
        <v>21</v>
      </c>
      <c r="D23" s="176">
        <v>45771</v>
      </c>
      <c r="J23" s="17"/>
      <c r="K23" s="17"/>
    </row>
    <row r="24" spans="1:11" ht="17">
      <c r="B24"/>
      <c r="C24" s="12"/>
      <c r="D24"/>
      <c r="K24" s="17"/>
    </row>
    <row r="25" spans="1:11" ht="17.5">
      <c r="A25" s="10" t="s">
        <v>22</v>
      </c>
      <c r="B25"/>
      <c r="C25" s="12"/>
      <c r="D25"/>
      <c r="K25" s="17"/>
    </row>
    <row r="26" spans="1:11" ht="17">
      <c r="B26"/>
      <c r="C26" s="12"/>
      <c r="D26"/>
      <c r="K26" s="17"/>
    </row>
    <row r="27" spans="1:11" ht="17">
      <c r="B27"/>
      <c r="C27" s="17" t="s">
        <v>168</v>
      </c>
      <c r="D27"/>
      <c r="K27" s="17"/>
    </row>
    <row r="28" spans="1:11" ht="17">
      <c r="B28"/>
      <c r="C28" s="18" t="s">
        <v>1</v>
      </c>
      <c r="D28" s="448">
        <v>1426.6</v>
      </c>
      <c r="K28" s="17"/>
    </row>
    <row r="29" spans="1:11">
      <c r="C29" s="18" t="s">
        <v>540</v>
      </c>
      <c r="D29" s="449">
        <v>9.9702999999999999</v>
      </c>
      <c r="K29" s="17"/>
    </row>
    <row r="30" spans="1:11">
      <c r="K30" s="17"/>
    </row>
    <row r="31" spans="1:11">
      <c r="D31" s="193"/>
      <c r="J31" s="201"/>
      <c r="K31" s="201"/>
    </row>
    <row r="32" spans="1:11">
      <c r="D32" s="193"/>
      <c r="E32" s="194"/>
      <c r="K32" s="17"/>
    </row>
    <row r="33" spans="10:11">
      <c r="K33" s="17"/>
    </row>
    <row r="34" spans="10:11">
      <c r="K34" s="17"/>
    </row>
    <row r="35" spans="10:11">
      <c r="K35" s="17"/>
    </row>
    <row r="36" spans="10:11">
      <c r="K36" s="17"/>
    </row>
    <row r="37" spans="10:11">
      <c r="K37" s="17"/>
    </row>
    <row r="38" spans="10:11">
      <c r="K38" s="17"/>
    </row>
    <row r="39" spans="10:11">
      <c r="K39" s="17"/>
    </row>
    <row r="40" spans="10:11">
      <c r="K40" s="17"/>
    </row>
    <row r="41" spans="10:11">
      <c r="K41" s="17"/>
    </row>
    <row r="42" spans="10:11">
      <c r="K42" s="17"/>
    </row>
    <row r="43" spans="10:11">
      <c r="K43" s="17"/>
    </row>
    <row r="44" spans="10:11">
      <c r="K44" s="17"/>
    </row>
    <row r="45" spans="10:11">
      <c r="K45" s="17"/>
    </row>
    <row r="46" spans="10:11">
      <c r="K46" s="17"/>
    </row>
    <row r="47" spans="10:11">
      <c r="J47" s="201"/>
      <c r="K47" s="201"/>
    </row>
    <row r="48" spans="10:11">
      <c r="K48" s="17"/>
    </row>
    <row r="49" spans="11:11">
      <c r="K49" s="17"/>
    </row>
    <row r="50" spans="11:11">
      <c r="K50" s="17"/>
    </row>
    <row r="51" spans="11:11">
      <c r="K51" s="17"/>
    </row>
    <row r="52" spans="11:11">
      <c r="K52" s="17"/>
    </row>
    <row r="53" spans="11:11">
      <c r="K53" s="17"/>
    </row>
    <row r="54" spans="11:11">
      <c r="K54" s="17"/>
    </row>
    <row r="55" spans="11:11">
      <c r="K55" s="17"/>
    </row>
    <row r="56" spans="11:11">
      <c r="K56" s="17"/>
    </row>
    <row r="57" spans="11:11">
      <c r="K57" s="17"/>
    </row>
    <row r="58" spans="11:11">
      <c r="K58" s="17"/>
    </row>
    <row r="59" spans="11:11">
      <c r="K59" s="17"/>
    </row>
    <row r="60" spans="11:11">
      <c r="K60" s="17"/>
    </row>
    <row r="61" spans="11:11">
      <c r="K61" s="17"/>
    </row>
    <row r="62" spans="11:11">
      <c r="K62" s="17"/>
    </row>
    <row r="63" spans="11:11">
      <c r="K63" s="17"/>
    </row>
    <row r="64" spans="11:11">
      <c r="K64" s="17"/>
    </row>
    <row r="65" spans="11:11">
      <c r="K65" s="17"/>
    </row>
    <row r="66" spans="11:11">
      <c r="K66" s="17"/>
    </row>
    <row r="67" spans="11:11">
      <c r="K67" s="17"/>
    </row>
    <row r="68" spans="11:11">
      <c r="K68" s="17"/>
    </row>
    <row r="69" spans="11:11">
      <c r="K69" s="17"/>
    </row>
    <row r="70" spans="11:11">
      <c r="K70" s="17"/>
    </row>
    <row r="71" spans="11:11">
      <c r="K71" s="17"/>
    </row>
    <row r="72" spans="11:11">
      <c r="K72" s="17"/>
    </row>
    <row r="73" spans="11:11">
      <c r="K73" s="17"/>
    </row>
    <row r="74" spans="11:11">
      <c r="K74" s="17"/>
    </row>
    <row r="75" spans="11:11">
      <c r="K75" s="17"/>
    </row>
    <row r="76" spans="11:11">
      <c r="K76" s="17"/>
    </row>
    <row r="77" spans="11:11">
      <c r="K77" s="17"/>
    </row>
    <row r="78" spans="11:11">
      <c r="K78" s="17"/>
    </row>
    <row r="79" spans="11:11">
      <c r="K79" s="17"/>
    </row>
    <row r="80" spans="11:11">
      <c r="K80" s="17"/>
    </row>
    <row r="81" spans="10:11">
      <c r="K81" s="17"/>
    </row>
    <row r="82" spans="10:11">
      <c r="K82" s="17"/>
    </row>
    <row r="83" spans="10:11">
      <c r="K83" s="17"/>
    </row>
    <row r="84" spans="10:11">
      <c r="K84" s="17"/>
    </row>
    <row r="85" spans="10:11">
      <c r="K85" s="17"/>
    </row>
    <row r="86" spans="10:11">
      <c r="K86" s="17"/>
    </row>
    <row r="87" spans="10:11">
      <c r="K87" s="17"/>
    </row>
    <row r="88" spans="10:11">
      <c r="K88" s="17"/>
    </row>
    <row r="89" spans="10:11">
      <c r="K89" s="17"/>
    </row>
    <row r="90" spans="10:11">
      <c r="K90" s="17"/>
    </row>
    <row r="91" spans="10:11">
      <c r="J91" s="11"/>
      <c r="K91" s="11"/>
    </row>
    <row r="92" spans="10:11">
      <c r="K92" s="17"/>
    </row>
    <row r="93" spans="10:11">
      <c r="K93" s="17"/>
    </row>
    <row r="94" spans="10:11">
      <c r="K94" s="17"/>
    </row>
    <row r="95" spans="10:11">
      <c r="K95" s="17"/>
    </row>
    <row r="96" spans="10:11">
      <c r="K96" s="17"/>
    </row>
    <row r="97" spans="11:11">
      <c r="K97" s="17"/>
    </row>
    <row r="98" spans="11:11">
      <c r="K98" s="17"/>
    </row>
    <row r="99" spans="11:11">
      <c r="K99" s="17"/>
    </row>
    <row r="100" spans="11:11">
      <c r="K100" s="17"/>
    </row>
    <row r="101" spans="11:11">
      <c r="K101" s="17"/>
    </row>
    <row r="102" spans="11:11">
      <c r="K102" s="17"/>
    </row>
    <row r="103" spans="11:11">
      <c r="K103" s="17"/>
    </row>
    <row r="104" spans="11:11">
      <c r="K104" s="17"/>
    </row>
    <row r="105" spans="11:11">
      <c r="K105" s="17"/>
    </row>
    <row r="106" spans="11:11">
      <c r="K106" s="17"/>
    </row>
    <row r="107" spans="11:11">
      <c r="K107" s="17"/>
    </row>
    <row r="108" spans="11:11">
      <c r="K108" s="17"/>
    </row>
    <row r="109" spans="11:11">
      <c r="K109" s="17"/>
    </row>
    <row r="110" spans="11:11">
      <c r="K110" s="17"/>
    </row>
    <row r="111" spans="11:11">
      <c r="K111" s="17"/>
    </row>
    <row r="112" spans="11:11">
      <c r="K112" s="17"/>
    </row>
    <row r="113" spans="11:11">
      <c r="K113" s="17"/>
    </row>
    <row r="114" spans="11:11">
      <c r="K114" s="17"/>
    </row>
    <row r="115" spans="11:11">
      <c r="K115" s="17"/>
    </row>
    <row r="116" spans="11:11">
      <c r="K116" s="17"/>
    </row>
    <row r="117" spans="11:11">
      <c r="K117" s="17"/>
    </row>
    <row r="118" spans="11:11">
      <c r="K118" s="17"/>
    </row>
    <row r="119" spans="11:11">
      <c r="K119" s="17"/>
    </row>
    <row r="120" spans="11:11">
      <c r="K120" s="17"/>
    </row>
    <row r="121" spans="11:11">
      <c r="K121" s="17"/>
    </row>
    <row r="122" spans="11:11">
      <c r="K122" s="17"/>
    </row>
    <row r="123" spans="11:11">
      <c r="K123" s="17"/>
    </row>
    <row r="124" spans="11:11">
      <c r="K124" s="17"/>
    </row>
    <row r="125" spans="11:11">
      <c r="K125" s="17"/>
    </row>
    <row r="126" spans="11:11">
      <c r="K126" s="17"/>
    </row>
    <row r="127" spans="11:11">
      <c r="K127" s="17"/>
    </row>
    <row r="128" spans="11:11">
      <c r="K128" s="17"/>
    </row>
    <row r="129" spans="11:11">
      <c r="K129" s="17"/>
    </row>
    <row r="130" spans="11:11">
      <c r="K130" s="17"/>
    </row>
    <row r="131" spans="11:11">
      <c r="K131" s="17"/>
    </row>
    <row r="132" spans="11:11">
      <c r="K132" s="17"/>
    </row>
    <row r="133" spans="11:11">
      <c r="K133" s="17"/>
    </row>
    <row r="134" spans="11:11">
      <c r="K134" s="17"/>
    </row>
    <row r="135" spans="11:11">
      <c r="K135" s="17"/>
    </row>
    <row r="136" spans="11:11">
      <c r="K136" s="17"/>
    </row>
    <row r="137" spans="11:11">
      <c r="K137" s="17"/>
    </row>
    <row r="138" spans="11:11">
      <c r="K138" s="17"/>
    </row>
    <row r="139" spans="11:11">
      <c r="K139" s="17"/>
    </row>
    <row r="140" spans="11:11">
      <c r="K140" s="17"/>
    </row>
    <row r="141" spans="11:11">
      <c r="K141" s="17"/>
    </row>
    <row r="142" spans="11:11">
      <c r="K142" s="17"/>
    </row>
    <row r="143" spans="11:11">
      <c r="K143" s="17"/>
    </row>
    <row r="144" spans="11:11">
      <c r="K144" s="17"/>
    </row>
    <row r="145" spans="10:11">
      <c r="K145" s="17"/>
    </row>
    <row r="146" spans="10:11">
      <c r="K146" s="17"/>
    </row>
    <row r="147" spans="10:11">
      <c r="J147" s="201"/>
      <c r="K147" s="201"/>
    </row>
    <row r="148" spans="10:11">
      <c r="K148" s="17"/>
    </row>
    <row r="149" spans="10:11">
      <c r="J149" s="201"/>
      <c r="K149" s="201"/>
    </row>
    <row r="150" spans="10:11">
      <c r="K150" s="17"/>
    </row>
    <row r="151" spans="10:11">
      <c r="K151" s="17"/>
    </row>
    <row r="152" spans="10:11">
      <c r="J152" s="11"/>
      <c r="K152" s="11"/>
    </row>
    <row r="153" spans="10:11">
      <c r="K153" s="17"/>
    </row>
    <row r="154" spans="10:11">
      <c r="K154" s="17"/>
    </row>
    <row r="155" spans="10:11">
      <c r="K155" s="17"/>
    </row>
    <row r="156" spans="10:11">
      <c r="K156" s="17"/>
    </row>
    <row r="157" spans="10:11">
      <c r="K157" s="17"/>
    </row>
    <row r="158" spans="10:11">
      <c r="K158" s="17"/>
    </row>
    <row r="159" spans="10:11">
      <c r="K159" s="17"/>
    </row>
    <row r="160" spans="10:11">
      <c r="K160" s="17"/>
    </row>
    <row r="161" spans="10:11">
      <c r="K161" s="17"/>
    </row>
    <row r="162" spans="10:11">
      <c r="J162" s="201"/>
      <c r="K162" s="201"/>
    </row>
    <row r="163" spans="10:11">
      <c r="K163" s="17"/>
    </row>
    <row r="164" spans="10:11">
      <c r="K164" s="17"/>
    </row>
    <row r="165" spans="10:11">
      <c r="K165" s="17"/>
    </row>
    <row r="166" spans="10:11">
      <c r="K166" s="17"/>
    </row>
    <row r="167" spans="10:11">
      <c r="K167" s="17"/>
    </row>
    <row r="168" spans="10:11">
      <c r="K168" s="17"/>
    </row>
    <row r="169" spans="10:11">
      <c r="K169" s="17"/>
    </row>
    <row r="170" spans="10:11">
      <c r="K170" s="17"/>
    </row>
    <row r="171" spans="10:11">
      <c r="K171" s="17"/>
    </row>
    <row r="172" spans="10:11">
      <c r="K172" s="17"/>
    </row>
    <row r="173" spans="10:11">
      <c r="J173" s="11"/>
      <c r="K173" s="11"/>
    </row>
    <row r="174" spans="10:11">
      <c r="K174" s="17"/>
    </row>
    <row r="175" spans="10:11">
      <c r="K175" s="17"/>
    </row>
    <row r="176" spans="10:11">
      <c r="K176" s="17"/>
    </row>
    <row r="177" spans="10:11">
      <c r="K177" s="17"/>
    </row>
    <row r="178" spans="10:11">
      <c r="K178" s="17"/>
    </row>
    <row r="179" spans="10:11">
      <c r="K179" s="17"/>
    </row>
    <row r="180" spans="10:11">
      <c r="K180" s="17"/>
    </row>
    <row r="181" spans="10:11">
      <c r="K181" s="17"/>
    </row>
    <row r="182" spans="10:11">
      <c r="K182" s="17"/>
    </row>
    <row r="183" spans="10:11">
      <c r="K183" s="17"/>
    </row>
    <row r="184" spans="10:11">
      <c r="K184" s="17"/>
    </row>
    <row r="185" spans="10:11">
      <c r="K185" s="17"/>
    </row>
    <row r="186" spans="10:11">
      <c r="K186" s="17"/>
    </row>
    <row r="187" spans="10:11">
      <c r="K187" s="17"/>
    </row>
    <row r="188" spans="10:11">
      <c r="K188" s="17"/>
    </row>
    <row r="189" spans="10:11">
      <c r="K189" s="17"/>
    </row>
    <row r="190" spans="10:11">
      <c r="K190" s="17"/>
    </row>
    <row r="191" spans="10:11">
      <c r="K191" s="17"/>
    </row>
    <row r="192" spans="10:11">
      <c r="J192" s="11"/>
      <c r="K192" s="11"/>
    </row>
    <row r="193" spans="10:11">
      <c r="K193" s="17"/>
    </row>
    <row r="194" spans="10:11">
      <c r="K194" s="17"/>
    </row>
    <row r="195" spans="10:11">
      <c r="K195" s="17"/>
    </row>
    <row r="196" spans="10:11">
      <c r="K196" s="17"/>
    </row>
    <row r="197" spans="10:11">
      <c r="K197" s="17"/>
    </row>
    <row r="198" spans="10:11">
      <c r="K198" s="17"/>
    </row>
    <row r="199" spans="10:11">
      <c r="K199" s="17"/>
    </row>
    <row r="200" spans="10:11">
      <c r="K200" s="17"/>
    </row>
    <row r="201" spans="10:11">
      <c r="K201" s="17"/>
    </row>
    <row r="202" spans="10:11">
      <c r="K202" s="17"/>
    </row>
    <row r="203" spans="10:11">
      <c r="J203" s="11"/>
      <c r="K203" s="11"/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164"/>
  <sheetViews>
    <sheetView tabSelected="1" zoomScaleNormal="100" workbookViewId="0">
      <pane ySplit="2" topLeftCell="A3" activePane="bottomLeft" state="frozen"/>
      <selection pane="bottomLeft" activeCell="C11" sqref="C11"/>
    </sheetView>
  </sheetViews>
  <sheetFormatPr defaultColWidth="8.6640625" defaultRowHeight="16"/>
  <cols>
    <col min="1" max="1" width="11.33203125" style="137" customWidth="1"/>
    <col min="2" max="2" width="13.4140625" style="137" customWidth="1"/>
    <col min="3" max="3" width="11" style="137" customWidth="1"/>
    <col min="4" max="4" width="20.6640625" style="137" customWidth="1"/>
    <col min="5" max="5" width="13" style="137" customWidth="1"/>
    <col min="6" max="6" width="14.1640625" style="137" customWidth="1"/>
    <col min="7" max="7" width="19.83203125" style="137" customWidth="1"/>
    <col min="8" max="22" width="13.58203125" style="137" customWidth="1"/>
    <col min="23" max="16384" width="8.6640625" style="137"/>
  </cols>
  <sheetData>
    <row r="2" spans="1:22" ht="16.5" thickBot="1">
      <c r="A2" s="159" t="s">
        <v>2</v>
      </c>
      <c r="B2" s="159" t="s">
        <v>31</v>
      </c>
      <c r="C2" s="482" t="s">
        <v>7473</v>
      </c>
      <c r="D2" s="484" t="s">
        <v>7485</v>
      </c>
      <c r="E2" s="484" t="s">
        <v>7498</v>
      </c>
      <c r="F2" s="484" t="s">
        <v>7521</v>
      </c>
      <c r="G2" s="484" t="s">
        <v>7501</v>
      </c>
      <c r="H2" s="484" t="s">
        <v>7475</v>
      </c>
      <c r="I2" s="484" t="s">
        <v>7476</v>
      </c>
      <c r="J2" s="484" t="s">
        <v>7488</v>
      </c>
      <c r="K2" s="484" t="s">
        <v>7477</v>
      </c>
      <c r="L2" s="484" t="s">
        <v>7478</v>
      </c>
      <c r="M2" s="484" t="s">
        <v>7479</v>
      </c>
      <c r="N2" s="484" t="s">
        <v>7480</v>
      </c>
      <c r="O2" s="484" t="s">
        <v>7494</v>
      </c>
      <c r="P2" s="484" t="s">
        <v>7481</v>
      </c>
      <c r="Q2" s="484" t="s">
        <v>7482</v>
      </c>
      <c r="R2" s="484" t="s">
        <v>7483</v>
      </c>
      <c r="S2" s="484" t="s">
        <v>7484</v>
      </c>
      <c r="T2" s="484" t="s">
        <v>7486</v>
      </c>
      <c r="U2" s="484" t="s">
        <v>7504</v>
      </c>
    </row>
    <row r="3" spans="1:22" s="507" customFormat="1">
      <c r="A3" s="503" t="s">
        <v>659</v>
      </c>
      <c r="B3" s="504" t="s">
        <v>1218</v>
      </c>
      <c r="C3" s="505" t="s">
        <v>7474</v>
      </c>
      <c r="D3" s="485" t="s">
        <v>7167</v>
      </c>
      <c r="E3" s="485">
        <v>2</v>
      </c>
      <c r="F3" s="485"/>
      <c r="G3" s="485"/>
      <c r="H3" s="500" t="s">
        <v>7493</v>
      </c>
      <c r="I3" s="506" t="s">
        <v>7490</v>
      </c>
      <c r="J3" s="506" t="s">
        <v>7490</v>
      </c>
      <c r="K3" s="506" t="s">
        <v>7491</v>
      </c>
      <c r="L3" s="506" t="s">
        <v>7491</v>
      </c>
      <c r="M3" s="506" t="s">
        <v>7491</v>
      </c>
      <c r="N3" s="506" t="s">
        <v>7491</v>
      </c>
      <c r="O3" s="506" t="s">
        <v>7491</v>
      </c>
      <c r="P3" s="506" t="s">
        <v>7489</v>
      </c>
      <c r="Q3" s="506" t="s">
        <v>7489</v>
      </c>
      <c r="R3" s="506" t="s">
        <v>7489</v>
      </c>
      <c r="S3" s="506"/>
      <c r="T3" s="506"/>
      <c r="U3" s="507">
        <f>IFERROR(VLOOKUP(A3,Sheet2!$A:$A,1,FALSE),)</f>
        <v>0</v>
      </c>
    </row>
    <row r="4" spans="1:22" s="499" customFormat="1">
      <c r="A4" s="494" t="s">
        <v>661</v>
      </c>
      <c r="B4" s="495" t="s">
        <v>1302</v>
      </c>
      <c r="C4" s="496" t="s">
        <v>7474</v>
      </c>
      <c r="D4" s="497" t="s">
        <v>7506</v>
      </c>
      <c r="E4" s="497"/>
      <c r="F4" s="497"/>
      <c r="G4" s="497"/>
      <c r="H4" s="498"/>
      <c r="I4" s="498"/>
      <c r="J4" s="498"/>
      <c r="K4" s="498"/>
      <c r="L4" s="498"/>
      <c r="M4" s="498"/>
      <c r="N4" s="498"/>
      <c r="O4" s="498" t="s">
        <v>7491</v>
      </c>
      <c r="P4" s="498"/>
      <c r="Q4" s="498"/>
      <c r="R4" s="498"/>
      <c r="S4" s="498"/>
      <c r="T4" s="498"/>
      <c r="U4" s="499" t="str">
        <f>IFERROR(VLOOKUP(A4,Sheet2!$A:$A,1,FALSE),)</f>
        <v>R-0020</v>
      </c>
      <c r="V4" s="499" t="s">
        <v>7525</v>
      </c>
    </row>
    <row r="5" spans="1:22" s="507" customFormat="1">
      <c r="A5" s="503" t="s">
        <v>664</v>
      </c>
      <c r="B5" s="504" t="s">
        <v>1223</v>
      </c>
      <c r="C5" s="505" t="s">
        <v>7474</v>
      </c>
      <c r="D5" s="485" t="s">
        <v>7175</v>
      </c>
      <c r="E5" s="485">
        <v>2</v>
      </c>
      <c r="F5" s="485"/>
      <c r="G5" s="485" t="s">
        <v>7517</v>
      </c>
      <c r="H5" s="506" t="s">
        <v>7490</v>
      </c>
      <c r="I5" s="506" t="s">
        <v>7490</v>
      </c>
      <c r="J5" s="506" t="s">
        <v>7490</v>
      </c>
      <c r="K5" s="506" t="s">
        <v>7491</v>
      </c>
      <c r="L5" s="506" t="s">
        <v>7491</v>
      </c>
      <c r="M5" s="506" t="s">
        <v>7491</v>
      </c>
      <c r="N5" s="506" t="s">
        <v>7491</v>
      </c>
      <c r="O5" s="506" t="s">
        <v>7491</v>
      </c>
      <c r="P5" s="506" t="s">
        <v>7489</v>
      </c>
      <c r="Q5" s="506" t="s">
        <v>7489</v>
      </c>
      <c r="R5" s="506" t="s">
        <v>7489</v>
      </c>
      <c r="S5" s="506"/>
      <c r="T5" s="506"/>
      <c r="U5" s="507">
        <f>IFERROR(VLOOKUP(A5,Sheet2!$A:$A,1,FALSE),)</f>
        <v>0</v>
      </c>
    </row>
    <row r="6" spans="1:22" s="507" customFormat="1">
      <c r="A6" s="503" t="s">
        <v>665</v>
      </c>
      <c r="B6" s="504" t="s">
        <v>1224</v>
      </c>
      <c r="C6" s="505" t="s">
        <v>7474</v>
      </c>
      <c r="D6" s="485" t="s">
        <v>3076</v>
      </c>
      <c r="E6" s="485">
        <v>1</v>
      </c>
      <c r="F6" s="485"/>
      <c r="G6" s="485" t="s">
        <v>7517</v>
      </c>
      <c r="H6" s="506" t="s">
        <v>7490</v>
      </c>
      <c r="I6" s="506" t="s">
        <v>7490</v>
      </c>
      <c r="J6" s="506" t="s">
        <v>7490</v>
      </c>
      <c r="K6" s="506" t="s">
        <v>7491</v>
      </c>
      <c r="L6" s="506" t="s">
        <v>7491</v>
      </c>
      <c r="M6" s="506" t="s">
        <v>7491</v>
      </c>
      <c r="N6" s="506" t="s">
        <v>7491</v>
      </c>
      <c r="O6" s="506" t="s">
        <v>7491</v>
      </c>
      <c r="P6" s="506" t="s">
        <v>7489</v>
      </c>
      <c r="Q6" s="506" t="s">
        <v>7489</v>
      </c>
      <c r="R6" s="506" t="s">
        <v>7489</v>
      </c>
      <c r="S6" s="506"/>
      <c r="T6" s="506"/>
      <c r="U6" s="137">
        <f>IFERROR(VLOOKUP(A6,Sheet2!$A:$A,1,FALSE),)</f>
        <v>0</v>
      </c>
    </row>
    <row r="7" spans="1:22" s="499" customFormat="1">
      <c r="A7" s="494" t="s">
        <v>669</v>
      </c>
      <c r="B7" s="495" t="s">
        <v>1226</v>
      </c>
      <c r="C7" s="496" t="s">
        <v>7474</v>
      </c>
      <c r="D7" s="497" t="s">
        <v>7506</v>
      </c>
      <c r="E7" s="497"/>
      <c r="F7" s="497"/>
      <c r="G7" s="497"/>
      <c r="H7" s="498"/>
      <c r="I7" s="498"/>
      <c r="J7" s="498"/>
      <c r="K7" s="498"/>
      <c r="L7" s="498"/>
      <c r="M7" s="498"/>
      <c r="N7" s="498"/>
      <c r="O7" s="498" t="s">
        <v>7491</v>
      </c>
      <c r="P7" s="498"/>
      <c r="Q7" s="498"/>
      <c r="R7" s="498"/>
      <c r="S7" s="498"/>
      <c r="T7" s="498"/>
      <c r="U7" s="499" t="str">
        <f>IFERROR(VLOOKUP(A7,Sheet2!$A:$A,1,FALSE),)</f>
        <v>R-0028</v>
      </c>
      <c r="V7" s="499" t="s">
        <v>7525</v>
      </c>
    </row>
    <row r="8" spans="1:22" s="507" customFormat="1">
      <c r="A8" s="503" t="s">
        <v>670</v>
      </c>
      <c r="B8" s="504" t="s">
        <v>1304</v>
      </c>
      <c r="C8" s="505" t="s">
        <v>7474</v>
      </c>
      <c r="D8" s="485" t="s">
        <v>620</v>
      </c>
      <c r="E8" s="485">
        <v>1</v>
      </c>
      <c r="F8" s="485"/>
      <c r="G8" s="485"/>
      <c r="H8" s="506" t="s">
        <v>7490</v>
      </c>
      <c r="I8" s="506" t="s">
        <v>7490</v>
      </c>
      <c r="J8" s="506" t="s">
        <v>7490</v>
      </c>
      <c r="K8" s="506" t="s">
        <v>7490</v>
      </c>
      <c r="L8" s="500" t="s">
        <v>7493</v>
      </c>
      <c r="M8" s="500" t="s">
        <v>7493</v>
      </c>
      <c r="N8" s="506" t="s">
        <v>7491</v>
      </c>
      <c r="O8" s="506" t="s">
        <v>7491</v>
      </c>
      <c r="P8" s="506" t="s">
        <v>7489</v>
      </c>
      <c r="Q8" s="506" t="s">
        <v>7489</v>
      </c>
      <c r="R8" s="506" t="s">
        <v>7489</v>
      </c>
      <c r="S8" s="506"/>
      <c r="T8" s="506"/>
      <c r="U8" s="507">
        <f>IFERROR(VLOOKUP(A8,Sheet2!$A:$A,1,FALSE),)</f>
        <v>0</v>
      </c>
    </row>
    <row r="9" spans="1:22" s="507" customFormat="1">
      <c r="A9" s="503" t="s">
        <v>688</v>
      </c>
      <c r="B9" s="504" t="s">
        <v>1306</v>
      </c>
      <c r="C9" s="505" t="s">
        <v>7474</v>
      </c>
      <c r="D9" s="485" t="s">
        <v>207</v>
      </c>
      <c r="E9" s="485">
        <v>1</v>
      </c>
      <c r="F9" s="485"/>
      <c r="G9" s="485" t="s">
        <v>7517</v>
      </c>
      <c r="H9" s="506" t="s">
        <v>7490</v>
      </c>
      <c r="I9" s="506" t="s">
        <v>7490</v>
      </c>
      <c r="J9" s="506" t="s">
        <v>7490</v>
      </c>
      <c r="K9" s="506" t="s">
        <v>7491</v>
      </c>
      <c r="L9" s="506" t="s">
        <v>7491</v>
      </c>
      <c r="M9" s="506" t="s">
        <v>7491</v>
      </c>
      <c r="N9" s="506" t="s">
        <v>7491</v>
      </c>
      <c r="O9" s="506" t="s">
        <v>7491</v>
      </c>
      <c r="P9" s="506" t="s">
        <v>7489</v>
      </c>
      <c r="Q9" s="506" t="s">
        <v>7489</v>
      </c>
      <c r="R9" s="506" t="s">
        <v>7489</v>
      </c>
      <c r="S9" s="506"/>
      <c r="T9" s="506"/>
      <c r="U9" s="137">
        <f>IFERROR(VLOOKUP(A9,Sheet2!$A:$A,1,FALSE),)</f>
        <v>0</v>
      </c>
    </row>
    <row r="10" spans="1:22" s="507" customFormat="1">
      <c r="A10" s="503" t="s">
        <v>694</v>
      </c>
      <c r="B10" s="504" t="s">
        <v>1235</v>
      </c>
      <c r="C10" s="505" t="s">
        <v>7474</v>
      </c>
      <c r="D10" s="485" t="s">
        <v>7189</v>
      </c>
      <c r="E10" s="485">
        <v>1</v>
      </c>
      <c r="F10" s="485"/>
      <c r="G10" s="485"/>
      <c r="H10" s="506" t="s">
        <v>7490</v>
      </c>
      <c r="I10" s="506" t="s">
        <v>7490</v>
      </c>
      <c r="J10" s="506" t="s">
        <v>7490</v>
      </c>
      <c r="K10" s="506" t="s">
        <v>7491</v>
      </c>
      <c r="L10" s="506" t="s">
        <v>7491</v>
      </c>
      <c r="M10" s="506" t="s">
        <v>7491</v>
      </c>
      <c r="N10" s="506" t="s">
        <v>7491</v>
      </c>
      <c r="O10" s="506" t="s">
        <v>7491</v>
      </c>
      <c r="P10" s="506" t="s">
        <v>7489</v>
      </c>
      <c r="Q10" s="506" t="s">
        <v>7489</v>
      </c>
      <c r="R10" s="506" t="s">
        <v>7489</v>
      </c>
      <c r="S10" s="506"/>
      <c r="T10" s="506"/>
      <c r="U10" s="137">
        <f>IFERROR(VLOOKUP(A10,Sheet2!$A:$A,1,FALSE),)</f>
        <v>0</v>
      </c>
    </row>
    <row r="11" spans="1:22" s="507" customFormat="1">
      <c r="A11" s="503" t="s">
        <v>695</v>
      </c>
      <c r="B11" s="504" t="s">
        <v>1236</v>
      </c>
      <c r="C11" s="505" t="s">
        <v>7474</v>
      </c>
      <c r="D11" s="485" t="s">
        <v>207</v>
      </c>
      <c r="E11" s="485">
        <v>1</v>
      </c>
      <c r="F11" s="485"/>
      <c r="G11" s="485" t="s">
        <v>7517</v>
      </c>
      <c r="H11" s="506" t="s">
        <v>7490</v>
      </c>
      <c r="I11" s="506" t="s">
        <v>7490</v>
      </c>
      <c r="J11" s="506" t="s">
        <v>7490</v>
      </c>
      <c r="K11" s="506" t="s">
        <v>7491</v>
      </c>
      <c r="L11" s="506" t="s">
        <v>7491</v>
      </c>
      <c r="M11" s="506" t="s">
        <v>7491</v>
      </c>
      <c r="N11" s="506" t="s">
        <v>7491</v>
      </c>
      <c r="O11" s="506" t="s">
        <v>7491</v>
      </c>
      <c r="P11" s="506" t="s">
        <v>7489</v>
      </c>
      <c r="Q11" s="506" t="s">
        <v>7489</v>
      </c>
      <c r="R11" s="506" t="s">
        <v>7489</v>
      </c>
      <c r="S11" s="506"/>
      <c r="T11" s="506"/>
      <c r="U11" s="137">
        <f>IFERROR(VLOOKUP(A11,Sheet2!$A:$A,1,FALSE),)</f>
        <v>0</v>
      </c>
    </row>
    <row r="12" spans="1:22" s="507" customFormat="1">
      <c r="A12" s="503" t="s">
        <v>698</v>
      </c>
      <c r="B12" s="504" t="s">
        <v>1231</v>
      </c>
      <c r="C12" s="505" t="s">
        <v>7474</v>
      </c>
      <c r="D12" s="485" t="s">
        <v>362</v>
      </c>
      <c r="E12" s="485">
        <v>1</v>
      </c>
      <c r="F12" s="485"/>
      <c r="G12" s="485"/>
      <c r="H12" s="506" t="s">
        <v>7490</v>
      </c>
      <c r="I12" s="506" t="s">
        <v>7490</v>
      </c>
      <c r="J12" s="506" t="s">
        <v>7490</v>
      </c>
      <c r="K12" s="506" t="s">
        <v>7491</v>
      </c>
      <c r="L12" s="506" t="s">
        <v>7491</v>
      </c>
      <c r="M12" s="506" t="s">
        <v>7491</v>
      </c>
      <c r="N12" s="506" t="s">
        <v>7491</v>
      </c>
      <c r="O12" s="506" t="s">
        <v>7491</v>
      </c>
      <c r="P12" s="506" t="s">
        <v>7489</v>
      </c>
      <c r="Q12" s="506" t="s">
        <v>7489</v>
      </c>
      <c r="R12" s="506" t="s">
        <v>7489</v>
      </c>
      <c r="S12" s="506"/>
      <c r="T12" s="506"/>
      <c r="U12" s="137">
        <f>IFERROR(VLOOKUP(A12,Sheet2!$A:$A,1,FALSE),)</f>
        <v>0</v>
      </c>
    </row>
    <row r="13" spans="1:22" s="507" customFormat="1">
      <c r="A13" s="503" t="s">
        <v>700</v>
      </c>
      <c r="B13" s="504" t="s">
        <v>1311</v>
      </c>
      <c r="C13" s="505" t="s">
        <v>7474</v>
      </c>
      <c r="D13" s="485" t="s">
        <v>207</v>
      </c>
      <c r="E13" s="485">
        <v>1</v>
      </c>
      <c r="F13" s="485"/>
      <c r="G13" s="485" t="s">
        <v>7503</v>
      </c>
      <c r="H13" s="506" t="s">
        <v>7490</v>
      </c>
      <c r="I13" s="506" t="s">
        <v>7490</v>
      </c>
      <c r="J13" s="506" t="s">
        <v>7490</v>
      </c>
      <c r="K13" s="506" t="s">
        <v>7491</v>
      </c>
      <c r="L13" s="506" t="s">
        <v>7491</v>
      </c>
      <c r="M13" s="506" t="s">
        <v>7491</v>
      </c>
      <c r="N13" s="506" t="s">
        <v>7491</v>
      </c>
      <c r="O13" s="506" t="s">
        <v>7491</v>
      </c>
      <c r="P13" s="506" t="s">
        <v>7489</v>
      </c>
      <c r="Q13" s="506" t="s">
        <v>7489</v>
      </c>
      <c r="R13" s="506" t="s">
        <v>7489</v>
      </c>
      <c r="S13" s="506"/>
      <c r="T13" s="506"/>
      <c r="U13" s="137">
        <f>IFERROR(VLOOKUP(A13,Sheet2!$A:$A,1,FALSE),)</f>
        <v>0</v>
      </c>
    </row>
    <row r="14" spans="1:22" s="507" customFormat="1">
      <c r="A14" s="503" t="s">
        <v>704</v>
      </c>
      <c r="B14" s="504" t="s">
        <v>1312</v>
      </c>
      <c r="C14" s="505" t="s">
        <v>7474</v>
      </c>
      <c r="D14" s="485" t="s">
        <v>396</v>
      </c>
      <c r="E14" s="485">
        <v>1</v>
      </c>
      <c r="F14" s="485"/>
      <c r="G14" s="485" t="s">
        <v>7503</v>
      </c>
      <c r="H14" s="506" t="s">
        <v>7490</v>
      </c>
      <c r="I14" s="506" t="s">
        <v>7490</v>
      </c>
      <c r="J14" s="506" t="s">
        <v>7490</v>
      </c>
      <c r="K14" s="506" t="s">
        <v>7491</v>
      </c>
      <c r="L14" s="506" t="s">
        <v>7491</v>
      </c>
      <c r="M14" s="506" t="s">
        <v>7491</v>
      </c>
      <c r="N14" s="506" t="s">
        <v>7491</v>
      </c>
      <c r="O14" s="506" t="s">
        <v>7491</v>
      </c>
      <c r="P14" s="506" t="s">
        <v>7489</v>
      </c>
      <c r="Q14" s="506" t="s">
        <v>7489</v>
      </c>
      <c r="R14" s="506" t="s">
        <v>7489</v>
      </c>
      <c r="S14" s="506"/>
      <c r="T14" s="506"/>
      <c r="U14" s="137">
        <f>IFERROR(VLOOKUP(A14,Sheet2!$A:$A,1,FALSE),)</f>
        <v>0</v>
      </c>
    </row>
    <row r="15" spans="1:22" s="499" customFormat="1">
      <c r="A15" s="494" t="s">
        <v>705</v>
      </c>
      <c r="B15" s="495" t="s">
        <v>1236</v>
      </c>
      <c r="C15" s="496" t="s">
        <v>7474</v>
      </c>
      <c r="D15" s="497" t="s">
        <v>7506</v>
      </c>
      <c r="E15" s="497"/>
      <c r="F15" s="497"/>
      <c r="G15" s="497"/>
      <c r="H15" s="498" t="s">
        <v>7490</v>
      </c>
      <c r="I15" s="498" t="s">
        <v>7490</v>
      </c>
      <c r="J15" s="498" t="s">
        <v>7490</v>
      </c>
      <c r="K15" s="498" t="s">
        <v>7491</v>
      </c>
      <c r="L15" s="498" t="s">
        <v>7491</v>
      </c>
      <c r="M15" s="498" t="s">
        <v>7491</v>
      </c>
      <c r="N15" s="498" t="s">
        <v>7491</v>
      </c>
      <c r="O15" s="498" t="s">
        <v>7491</v>
      </c>
      <c r="P15" s="498" t="s">
        <v>7489</v>
      </c>
      <c r="Q15" s="498" t="s">
        <v>7489</v>
      </c>
      <c r="R15" s="498" t="s">
        <v>7489</v>
      </c>
      <c r="S15" s="498"/>
      <c r="T15" s="498"/>
      <c r="U15" s="499" t="str">
        <f>IFERROR(VLOOKUP(A15,Sheet2!$A:$A,1,FALSE),)</f>
        <v>R-0064</v>
      </c>
      <c r="V15" s="499" t="s">
        <v>7525</v>
      </c>
    </row>
    <row r="16" spans="1:22" s="507" customFormat="1">
      <c r="A16" s="503" t="s">
        <v>711</v>
      </c>
      <c r="B16" s="504" t="s">
        <v>1313</v>
      </c>
      <c r="C16" s="505" t="s">
        <v>7474</v>
      </c>
      <c r="D16" s="485" t="s">
        <v>285</v>
      </c>
      <c r="E16" s="485">
        <v>1</v>
      </c>
      <c r="F16" s="485"/>
      <c r="G16" s="485"/>
      <c r="H16" s="506" t="s">
        <v>7489</v>
      </c>
      <c r="I16" s="506" t="s">
        <v>7489</v>
      </c>
      <c r="J16" s="506" t="s">
        <v>7489</v>
      </c>
      <c r="K16" s="506" t="s">
        <v>7489</v>
      </c>
      <c r="L16" s="500" t="s">
        <v>7492</v>
      </c>
      <c r="M16" s="500" t="s">
        <v>7492</v>
      </c>
      <c r="N16" s="506" t="s">
        <v>7491</v>
      </c>
      <c r="O16" s="506" t="s">
        <v>7491</v>
      </c>
      <c r="P16" s="506" t="s">
        <v>7489</v>
      </c>
      <c r="Q16" s="506" t="s">
        <v>7489</v>
      </c>
      <c r="R16" s="506" t="s">
        <v>7489</v>
      </c>
      <c r="S16" s="506"/>
      <c r="T16" s="506"/>
      <c r="U16" s="507">
        <f>IFERROR(VLOOKUP(A16,Sheet2!$A:$A,1,FALSE),)</f>
        <v>0</v>
      </c>
    </row>
    <row r="17" spans="1:22" s="507" customFormat="1">
      <c r="A17" s="503" t="s">
        <v>713</v>
      </c>
      <c r="B17" s="504" t="s">
        <v>1231</v>
      </c>
      <c r="C17" s="505" t="s">
        <v>7474</v>
      </c>
      <c r="D17" s="485" t="s">
        <v>620</v>
      </c>
      <c r="E17" s="485">
        <v>1</v>
      </c>
      <c r="F17" s="485"/>
      <c r="G17" s="485"/>
      <c r="H17" s="500" t="s">
        <v>7492</v>
      </c>
      <c r="I17" s="506" t="s">
        <v>7489</v>
      </c>
      <c r="J17" s="506" t="s">
        <v>7489</v>
      </c>
      <c r="K17" s="506" t="s">
        <v>7491</v>
      </c>
      <c r="L17" s="506" t="s">
        <v>7491</v>
      </c>
      <c r="M17" s="506" t="s">
        <v>7491</v>
      </c>
      <c r="N17" s="506" t="s">
        <v>7491</v>
      </c>
      <c r="O17" s="506" t="s">
        <v>7495</v>
      </c>
      <c r="P17" s="506" t="s">
        <v>7489</v>
      </c>
      <c r="Q17" s="506" t="s">
        <v>7489</v>
      </c>
      <c r="R17" s="506" t="s">
        <v>7489</v>
      </c>
      <c r="S17" s="506"/>
      <c r="T17" s="506"/>
      <c r="U17" s="507">
        <f>IFERROR(VLOOKUP(A17,Sheet2!$A:$A,1,FALSE),)</f>
        <v>0</v>
      </c>
    </row>
    <row r="18" spans="1:22" s="507" customFormat="1">
      <c r="A18" s="503" t="s">
        <v>714</v>
      </c>
      <c r="B18" s="504" t="s">
        <v>1229</v>
      </c>
      <c r="C18" s="505" t="s">
        <v>7474</v>
      </c>
      <c r="D18" s="485" t="s">
        <v>207</v>
      </c>
      <c r="E18" s="485">
        <v>1</v>
      </c>
      <c r="F18" s="485"/>
      <c r="G18" s="485" t="s">
        <v>7503</v>
      </c>
      <c r="H18" s="506" t="s">
        <v>7489</v>
      </c>
      <c r="I18" s="506" t="s">
        <v>7489</v>
      </c>
      <c r="J18" s="506" t="s">
        <v>7489</v>
      </c>
      <c r="K18" s="506" t="s">
        <v>7491</v>
      </c>
      <c r="L18" s="506" t="s">
        <v>7491</v>
      </c>
      <c r="M18" s="506" t="s">
        <v>7491</v>
      </c>
      <c r="N18" s="506" t="s">
        <v>7491</v>
      </c>
      <c r="O18" s="506" t="s">
        <v>7495</v>
      </c>
      <c r="P18" s="506" t="s">
        <v>7489</v>
      </c>
      <c r="Q18" s="506" t="s">
        <v>7489</v>
      </c>
      <c r="R18" s="506" t="s">
        <v>7489</v>
      </c>
      <c r="S18" s="506"/>
      <c r="T18" s="506"/>
      <c r="U18" s="507">
        <f>IFERROR(VLOOKUP(A18,Sheet2!$A:$A,1,FALSE),)</f>
        <v>0</v>
      </c>
    </row>
    <row r="19" spans="1:22" s="507" customFormat="1">
      <c r="A19" s="503" t="s">
        <v>718</v>
      </c>
      <c r="B19" s="504" t="s">
        <v>1229</v>
      </c>
      <c r="C19" s="505" t="s">
        <v>7474</v>
      </c>
      <c r="D19" s="485" t="s">
        <v>7209</v>
      </c>
      <c r="E19" s="485">
        <v>2</v>
      </c>
      <c r="F19" s="485"/>
      <c r="G19" s="485" t="s">
        <v>7503</v>
      </c>
      <c r="H19" s="506" t="s">
        <v>7489</v>
      </c>
      <c r="I19" s="506" t="s">
        <v>7489</v>
      </c>
      <c r="J19" s="506" t="s">
        <v>7489</v>
      </c>
      <c r="K19" s="506" t="s">
        <v>7491</v>
      </c>
      <c r="L19" s="506" t="s">
        <v>7491</v>
      </c>
      <c r="M19" s="506" t="s">
        <v>7491</v>
      </c>
      <c r="N19" s="506" t="s">
        <v>7491</v>
      </c>
      <c r="O19" s="506" t="s">
        <v>7491</v>
      </c>
      <c r="P19" s="506" t="s">
        <v>7489</v>
      </c>
      <c r="Q19" s="506" t="s">
        <v>7489</v>
      </c>
      <c r="R19" s="506" t="s">
        <v>7489</v>
      </c>
      <c r="S19" s="506"/>
      <c r="T19" s="506"/>
      <c r="U19" s="137">
        <f>IFERROR(VLOOKUP(A19,Sheet2!$A:$A,1,FALSE),)</f>
        <v>0</v>
      </c>
    </row>
    <row r="20" spans="1:22" s="507" customFormat="1">
      <c r="A20" s="503" t="s">
        <v>719</v>
      </c>
      <c r="B20" s="504" t="s">
        <v>1225</v>
      </c>
      <c r="C20" s="505" t="s">
        <v>7474</v>
      </c>
      <c r="D20" s="485" t="s">
        <v>7213</v>
      </c>
      <c r="E20" s="485">
        <v>2</v>
      </c>
      <c r="F20" s="485"/>
      <c r="G20" s="485"/>
      <c r="H20" s="506" t="s">
        <v>7489</v>
      </c>
      <c r="I20" s="506" t="s">
        <v>7489</v>
      </c>
      <c r="J20" s="506" t="s">
        <v>7489</v>
      </c>
      <c r="K20" s="506" t="s">
        <v>7491</v>
      </c>
      <c r="L20" s="506" t="s">
        <v>7491</v>
      </c>
      <c r="M20" s="506" t="s">
        <v>7491</v>
      </c>
      <c r="N20" s="506" t="s">
        <v>7491</v>
      </c>
      <c r="O20" s="506" t="s">
        <v>7491</v>
      </c>
      <c r="P20" s="506" t="s">
        <v>7489</v>
      </c>
      <c r="Q20" s="506" t="s">
        <v>7489</v>
      </c>
      <c r="R20" s="506" t="s">
        <v>7489</v>
      </c>
      <c r="S20" s="506"/>
      <c r="T20" s="506"/>
      <c r="U20" s="137">
        <f>IFERROR(VLOOKUP(A20,Sheet2!$A:$A,1,FALSE),)</f>
        <v>0</v>
      </c>
    </row>
    <row r="21" spans="1:22" s="507" customFormat="1">
      <c r="A21" s="503" t="s">
        <v>723</v>
      </c>
      <c r="B21" s="504" t="s">
        <v>1314</v>
      </c>
      <c r="C21" s="505" t="s">
        <v>7474</v>
      </c>
      <c r="D21" s="485" t="s">
        <v>207</v>
      </c>
      <c r="E21" s="485">
        <v>1</v>
      </c>
      <c r="F21" s="485"/>
      <c r="G21" s="485" t="s">
        <v>7503</v>
      </c>
      <c r="H21" s="506" t="s">
        <v>7489</v>
      </c>
      <c r="I21" s="506" t="s">
        <v>7489</v>
      </c>
      <c r="J21" s="506" t="s">
        <v>7489</v>
      </c>
      <c r="K21" s="506" t="s">
        <v>7491</v>
      </c>
      <c r="L21" s="506" t="s">
        <v>7491</v>
      </c>
      <c r="M21" s="506" t="s">
        <v>7491</v>
      </c>
      <c r="N21" s="506" t="s">
        <v>7491</v>
      </c>
      <c r="O21" s="506" t="s">
        <v>7495</v>
      </c>
      <c r="P21" s="506" t="s">
        <v>7489</v>
      </c>
      <c r="Q21" s="506" t="s">
        <v>7489</v>
      </c>
      <c r="R21" s="506" t="s">
        <v>7489</v>
      </c>
      <c r="S21" s="506"/>
      <c r="T21" s="506"/>
      <c r="U21" s="137">
        <f>IFERROR(VLOOKUP(A21,Sheet2!$A:$A,1,FALSE),)</f>
        <v>0</v>
      </c>
    </row>
    <row r="22" spans="1:22" s="507" customFormat="1">
      <c r="A22" s="503" t="s">
        <v>725</v>
      </c>
      <c r="B22" s="504" t="s">
        <v>1229</v>
      </c>
      <c r="C22" s="505" t="s">
        <v>7474</v>
      </c>
      <c r="D22" s="485" t="s">
        <v>207</v>
      </c>
      <c r="E22" s="485">
        <v>1</v>
      </c>
      <c r="F22" s="485"/>
      <c r="G22" s="485" t="s">
        <v>7503</v>
      </c>
      <c r="H22" s="506" t="s">
        <v>7489</v>
      </c>
      <c r="I22" s="506" t="s">
        <v>7489</v>
      </c>
      <c r="J22" s="506" t="s">
        <v>7489</v>
      </c>
      <c r="K22" s="506" t="s">
        <v>7491</v>
      </c>
      <c r="L22" s="506" t="s">
        <v>7491</v>
      </c>
      <c r="M22" s="506" t="s">
        <v>7491</v>
      </c>
      <c r="N22" s="506" t="s">
        <v>7491</v>
      </c>
      <c r="O22" s="506" t="s">
        <v>7491</v>
      </c>
      <c r="P22" s="506" t="s">
        <v>7489</v>
      </c>
      <c r="Q22" s="506" t="s">
        <v>7489</v>
      </c>
      <c r="R22" s="506" t="s">
        <v>7489</v>
      </c>
      <c r="S22" s="506"/>
      <c r="T22" s="506"/>
      <c r="U22" s="137">
        <f>IFERROR(VLOOKUP(A22,Sheet2!$A:$A,1,FALSE),)</f>
        <v>0</v>
      </c>
    </row>
    <row r="23" spans="1:22" s="507" customFormat="1">
      <c r="A23" s="503" t="s">
        <v>728</v>
      </c>
      <c r="B23" s="504" t="s">
        <v>1225</v>
      </c>
      <c r="C23" s="505" t="s">
        <v>7474</v>
      </c>
      <c r="D23" s="485" t="s">
        <v>606</v>
      </c>
      <c r="E23" s="485">
        <v>1</v>
      </c>
      <c r="F23" s="485"/>
      <c r="G23" s="485" t="s">
        <v>7515</v>
      </c>
      <c r="H23" s="506" t="s">
        <v>7489</v>
      </c>
      <c r="I23" s="506" t="s">
        <v>7489</v>
      </c>
      <c r="J23" s="506" t="s">
        <v>7489</v>
      </c>
      <c r="K23" s="506" t="s">
        <v>7491</v>
      </c>
      <c r="L23" s="506" t="s">
        <v>7491</v>
      </c>
      <c r="M23" s="506" t="s">
        <v>7491</v>
      </c>
      <c r="N23" s="506" t="s">
        <v>7491</v>
      </c>
      <c r="O23" s="506" t="s">
        <v>7491</v>
      </c>
      <c r="P23" s="506" t="s">
        <v>7489</v>
      </c>
      <c r="Q23" s="506" t="s">
        <v>7489</v>
      </c>
      <c r="R23" s="506" t="s">
        <v>7489</v>
      </c>
      <c r="S23" s="506"/>
      <c r="T23" s="506"/>
      <c r="U23" s="137">
        <f>IFERROR(VLOOKUP(A23,Sheet2!$A:$A,1,FALSE),)</f>
        <v>0</v>
      </c>
    </row>
    <row r="24" spans="1:22" s="507" customFormat="1">
      <c r="A24" s="503" t="s">
        <v>730</v>
      </c>
      <c r="B24" s="504" t="s">
        <v>611</v>
      </c>
      <c r="C24" s="505" t="s">
        <v>7474</v>
      </c>
      <c r="D24" s="485" t="s">
        <v>207</v>
      </c>
      <c r="E24" s="485">
        <v>1</v>
      </c>
      <c r="F24" s="485"/>
      <c r="G24" s="485" t="s">
        <v>7515</v>
      </c>
      <c r="H24" s="506" t="s">
        <v>7489</v>
      </c>
      <c r="I24" s="506" t="s">
        <v>7489</v>
      </c>
      <c r="J24" s="506" t="s">
        <v>7489</v>
      </c>
      <c r="K24" s="506" t="s">
        <v>7491</v>
      </c>
      <c r="L24" s="506" t="s">
        <v>7491</v>
      </c>
      <c r="M24" s="506" t="s">
        <v>7491</v>
      </c>
      <c r="N24" s="506" t="s">
        <v>7491</v>
      </c>
      <c r="O24" s="506" t="s">
        <v>7491</v>
      </c>
      <c r="P24" s="506" t="s">
        <v>7489</v>
      </c>
      <c r="Q24" s="506" t="s">
        <v>7489</v>
      </c>
      <c r="R24" s="506" t="s">
        <v>7489</v>
      </c>
      <c r="S24" s="506"/>
      <c r="T24" s="506"/>
      <c r="U24" s="137">
        <f>IFERROR(VLOOKUP(A24,Sheet2!$A:$A,1,FALSE),)</f>
        <v>0</v>
      </c>
    </row>
    <row r="25" spans="1:22" s="507" customFormat="1">
      <c r="A25" s="503" t="s">
        <v>737</v>
      </c>
      <c r="B25" s="504" t="s">
        <v>1245</v>
      </c>
      <c r="C25" s="505" t="s">
        <v>7474</v>
      </c>
      <c r="D25" s="485" t="s">
        <v>285</v>
      </c>
      <c r="E25" s="485">
        <v>1</v>
      </c>
      <c r="F25" s="485"/>
      <c r="G25" s="485"/>
      <c r="H25" s="506" t="s">
        <v>7489</v>
      </c>
      <c r="I25" s="506" t="s">
        <v>7489</v>
      </c>
      <c r="J25" s="506" t="s">
        <v>7489</v>
      </c>
      <c r="K25" s="506" t="s">
        <v>7491</v>
      </c>
      <c r="L25" s="506" t="s">
        <v>7491</v>
      </c>
      <c r="M25" s="506" t="s">
        <v>7491</v>
      </c>
      <c r="N25" s="506" t="s">
        <v>7491</v>
      </c>
      <c r="O25" s="506" t="s">
        <v>7491</v>
      </c>
      <c r="P25" s="506" t="s">
        <v>7489</v>
      </c>
      <c r="Q25" s="506" t="s">
        <v>7489</v>
      </c>
      <c r="R25" s="506" t="s">
        <v>7489</v>
      </c>
      <c r="S25" s="506"/>
      <c r="T25" s="506"/>
      <c r="U25" s="137">
        <f>IFERROR(VLOOKUP(A25,Sheet2!$A:$A,1,FALSE),)</f>
        <v>0</v>
      </c>
    </row>
    <row r="26" spans="1:22" s="499" customFormat="1">
      <c r="A26" s="494" t="s">
        <v>741</v>
      </c>
      <c r="B26" s="495" t="s">
        <v>1218</v>
      </c>
      <c r="C26" s="496" t="s">
        <v>7474</v>
      </c>
      <c r="D26" s="497" t="s">
        <v>7506</v>
      </c>
      <c r="E26" s="497"/>
      <c r="F26" s="497"/>
      <c r="G26" s="497"/>
      <c r="H26" s="498"/>
      <c r="I26" s="498"/>
      <c r="J26" s="498"/>
      <c r="K26" s="498"/>
      <c r="L26" s="498"/>
      <c r="M26" s="498"/>
      <c r="N26" s="498"/>
      <c r="O26" s="498"/>
      <c r="P26" s="498"/>
      <c r="Q26" s="498"/>
      <c r="R26" s="498"/>
      <c r="S26" s="498"/>
      <c r="T26" s="498"/>
      <c r="U26" s="499" t="str">
        <f>IFERROR(VLOOKUP(A26,Sheet2!$A:$A,1,FALSE),)</f>
        <v>R-0101</v>
      </c>
      <c r="V26" s="499" t="s">
        <v>7525</v>
      </c>
    </row>
    <row r="27" spans="1:22" s="507" customFormat="1">
      <c r="A27" s="503" t="s">
        <v>743</v>
      </c>
      <c r="B27" s="504" t="s">
        <v>1229</v>
      </c>
      <c r="C27" s="505" t="s">
        <v>7474</v>
      </c>
      <c r="D27" s="485" t="s">
        <v>3078</v>
      </c>
      <c r="E27" s="485">
        <v>1</v>
      </c>
      <c r="F27" s="485"/>
      <c r="G27" s="485" t="s">
        <v>7503</v>
      </c>
      <c r="H27" s="506" t="s">
        <v>7489</v>
      </c>
      <c r="I27" s="506" t="s">
        <v>7489</v>
      </c>
      <c r="J27" s="506" t="s">
        <v>7489</v>
      </c>
      <c r="K27" s="506" t="s">
        <v>7491</v>
      </c>
      <c r="L27" s="506" t="s">
        <v>7491</v>
      </c>
      <c r="M27" s="506" t="s">
        <v>7491</v>
      </c>
      <c r="N27" s="506" t="s">
        <v>7491</v>
      </c>
      <c r="O27" s="506" t="s">
        <v>7491</v>
      </c>
      <c r="P27" s="506" t="s">
        <v>7489</v>
      </c>
      <c r="Q27" s="506" t="s">
        <v>7489</v>
      </c>
      <c r="R27" s="506" t="s">
        <v>7489</v>
      </c>
      <c r="S27" s="506"/>
      <c r="T27" s="506"/>
      <c r="U27" s="137">
        <f>IFERROR(VLOOKUP(A27,Sheet2!$A:$A,1,FALSE),)</f>
        <v>0</v>
      </c>
    </row>
    <row r="28" spans="1:22" s="507" customFormat="1">
      <c r="A28" s="503" t="s">
        <v>750</v>
      </c>
      <c r="B28" s="504" t="s">
        <v>3729</v>
      </c>
      <c r="C28" s="505" t="s">
        <v>7474</v>
      </c>
      <c r="D28" s="485" t="s">
        <v>207</v>
      </c>
      <c r="E28" s="485">
        <v>1</v>
      </c>
      <c r="F28" s="485"/>
      <c r="G28" s="485" t="s">
        <v>7503</v>
      </c>
      <c r="H28" s="506" t="s">
        <v>7489</v>
      </c>
      <c r="I28" s="506" t="s">
        <v>7489</v>
      </c>
      <c r="J28" s="506" t="s">
        <v>7489</v>
      </c>
      <c r="K28" s="506" t="s">
        <v>7491</v>
      </c>
      <c r="L28" s="506" t="s">
        <v>7491</v>
      </c>
      <c r="M28" s="506" t="s">
        <v>7491</v>
      </c>
      <c r="N28" s="506" t="s">
        <v>7491</v>
      </c>
      <c r="O28" s="506" t="s">
        <v>7491</v>
      </c>
      <c r="P28" s="506" t="s">
        <v>7489</v>
      </c>
      <c r="Q28" s="506" t="s">
        <v>7489</v>
      </c>
      <c r="R28" s="506" t="s">
        <v>7489</v>
      </c>
      <c r="S28" s="506"/>
      <c r="T28" s="506"/>
      <c r="U28" s="137">
        <f>IFERROR(VLOOKUP(A28,Sheet2!$A:$A,1,FALSE),)</f>
        <v>0</v>
      </c>
    </row>
    <row r="29" spans="1:22" s="507" customFormat="1">
      <c r="A29" s="503" t="s">
        <v>753</v>
      </c>
      <c r="B29" s="504" t="s">
        <v>1221</v>
      </c>
      <c r="C29" s="505" t="s">
        <v>7474</v>
      </c>
      <c r="D29" s="485" t="s">
        <v>207</v>
      </c>
      <c r="E29" s="485">
        <v>1</v>
      </c>
      <c r="F29" s="485"/>
      <c r="G29" s="485" t="s">
        <v>7515</v>
      </c>
      <c r="H29" s="506" t="s">
        <v>7489</v>
      </c>
      <c r="I29" s="506" t="s">
        <v>7489</v>
      </c>
      <c r="J29" s="506" t="s">
        <v>7489</v>
      </c>
      <c r="K29" s="506" t="s">
        <v>7491</v>
      </c>
      <c r="L29" s="506" t="s">
        <v>7491</v>
      </c>
      <c r="M29" s="506" t="s">
        <v>7491</v>
      </c>
      <c r="N29" s="506" t="s">
        <v>7491</v>
      </c>
      <c r="O29" s="506" t="s">
        <v>7491</v>
      </c>
      <c r="P29" s="506" t="s">
        <v>7489</v>
      </c>
      <c r="Q29" s="506" t="s">
        <v>7489</v>
      </c>
      <c r="R29" s="506" t="s">
        <v>7489</v>
      </c>
      <c r="S29" s="506"/>
      <c r="T29" s="506"/>
      <c r="U29" s="137">
        <f>IFERROR(VLOOKUP(A29,Sheet2!$A:$A,1,FALSE),)</f>
        <v>0</v>
      </c>
    </row>
    <row r="30" spans="1:22" s="507" customFormat="1">
      <c r="A30" s="503" t="s">
        <v>755</v>
      </c>
      <c r="B30" s="504" t="s">
        <v>1226</v>
      </c>
      <c r="C30" s="505" t="s">
        <v>7474</v>
      </c>
      <c r="D30" s="485" t="s">
        <v>207</v>
      </c>
      <c r="E30" s="485">
        <v>1</v>
      </c>
      <c r="F30" s="485"/>
      <c r="G30" s="485" t="s">
        <v>7503</v>
      </c>
      <c r="H30" s="506" t="s">
        <v>7489</v>
      </c>
      <c r="I30" s="506" t="s">
        <v>7489</v>
      </c>
      <c r="J30" s="506" t="s">
        <v>7489</v>
      </c>
      <c r="K30" s="506" t="s">
        <v>7491</v>
      </c>
      <c r="L30" s="506" t="s">
        <v>7491</v>
      </c>
      <c r="M30" s="506" t="s">
        <v>7491</v>
      </c>
      <c r="N30" s="506" t="s">
        <v>7491</v>
      </c>
      <c r="O30" s="506" t="s">
        <v>7495</v>
      </c>
      <c r="P30" s="506" t="s">
        <v>7489</v>
      </c>
      <c r="Q30" s="506" t="s">
        <v>7489</v>
      </c>
      <c r="R30" s="506" t="s">
        <v>7489</v>
      </c>
      <c r="S30" s="506"/>
      <c r="T30" s="506"/>
      <c r="U30" s="137">
        <f>IFERROR(VLOOKUP(A30,Sheet2!$A:$A,1,FALSE),)</f>
        <v>0</v>
      </c>
    </row>
    <row r="31" spans="1:22" s="507" customFormat="1">
      <c r="A31" s="503" t="s">
        <v>756</v>
      </c>
      <c r="B31" s="504" t="s">
        <v>1229</v>
      </c>
      <c r="C31" s="505" t="s">
        <v>7474</v>
      </c>
      <c r="D31" s="485" t="s">
        <v>207</v>
      </c>
      <c r="E31" s="485">
        <v>1</v>
      </c>
      <c r="F31" s="485"/>
      <c r="G31" s="485" t="s">
        <v>7515</v>
      </c>
      <c r="H31" s="506" t="s">
        <v>7489</v>
      </c>
      <c r="I31" s="506" t="s">
        <v>7489</v>
      </c>
      <c r="J31" s="506" t="s">
        <v>7489</v>
      </c>
      <c r="K31" s="506" t="s">
        <v>7491</v>
      </c>
      <c r="L31" s="506" t="s">
        <v>7491</v>
      </c>
      <c r="M31" s="506" t="s">
        <v>7491</v>
      </c>
      <c r="N31" s="506" t="s">
        <v>7491</v>
      </c>
      <c r="O31" s="506" t="s">
        <v>7491</v>
      </c>
      <c r="P31" s="506" t="s">
        <v>7489</v>
      </c>
      <c r="Q31" s="506" t="s">
        <v>7489</v>
      </c>
      <c r="R31" s="506" t="s">
        <v>7489</v>
      </c>
      <c r="S31" s="506"/>
      <c r="T31" s="506"/>
      <c r="U31" s="137">
        <f>IFERROR(VLOOKUP(A31,Sheet2!$A:$A,1,FALSE),)</f>
        <v>0</v>
      </c>
    </row>
    <row r="32" spans="1:22" s="507" customFormat="1">
      <c r="A32" s="503" t="s">
        <v>758</v>
      </c>
      <c r="B32" s="504" t="s">
        <v>1234</v>
      </c>
      <c r="C32" s="505" t="s">
        <v>7474</v>
      </c>
      <c r="D32" s="485" t="s">
        <v>3076</v>
      </c>
      <c r="E32" s="485">
        <v>1</v>
      </c>
      <c r="F32" s="485"/>
      <c r="G32" s="485" t="s">
        <v>7515</v>
      </c>
      <c r="H32" s="506" t="s">
        <v>7489</v>
      </c>
      <c r="I32" s="506" t="s">
        <v>7489</v>
      </c>
      <c r="J32" s="506" t="s">
        <v>7489</v>
      </c>
      <c r="K32" s="506" t="s">
        <v>7491</v>
      </c>
      <c r="L32" s="506" t="s">
        <v>7491</v>
      </c>
      <c r="M32" s="506" t="s">
        <v>7491</v>
      </c>
      <c r="N32" s="506" t="s">
        <v>7491</v>
      </c>
      <c r="O32" s="506" t="s">
        <v>7491</v>
      </c>
      <c r="P32" s="506" t="s">
        <v>7489</v>
      </c>
      <c r="Q32" s="506" t="s">
        <v>7489</v>
      </c>
      <c r="R32" s="506" t="s">
        <v>7489</v>
      </c>
      <c r="S32" s="506"/>
      <c r="T32" s="506"/>
      <c r="U32" s="137">
        <f>IFERROR(VLOOKUP(A32,Sheet2!$A:$A,1,FALSE),)</f>
        <v>0</v>
      </c>
    </row>
    <row r="33" spans="1:22" s="507" customFormat="1">
      <c r="A33" s="503" t="s">
        <v>760</v>
      </c>
      <c r="B33" s="504" t="s">
        <v>1225</v>
      </c>
      <c r="C33" s="505" t="s">
        <v>7474</v>
      </c>
      <c r="D33" s="485" t="s">
        <v>207</v>
      </c>
      <c r="E33" s="485">
        <v>1</v>
      </c>
      <c r="F33" s="485"/>
      <c r="G33" s="485" t="s">
        <v>7515</v>
      </c>
      <c r="H33" s="506" t="s">
        <v>7489</v>
      </c>
      <c r="I33" s="506" t="s">
        <v>7489</v>
      </c>
      <c r="J33" s="506" t="s">
        <v>7489</v>
      </c>
      <c r="K33" s="506" t="s">
        <v>7491</v>
      </c>
      <c r="L33" s="506" t="s">
        <v>7491</v>
      </c>
      <c r="M33" s="506" t="s">
        <v>7491</v>
      </c>
      <c r="N33" s="506" t="s">
        <v>7491</v>
      </c>
      <c r="O33" s="506" t="s">
        <v>7491</v>
      </c>
      <c r="P33" s="506" t="s">
        <v>7489</v>
      </c>
      <c r="Q33" s="506" t="s">
        <v>7489</v>
      </c>
      <c r="R33" s="506" t="s">
        <v>7489</v>
      </c>
      <c r="S33" s="506"/>
      <c r="T33" s="506"/>
      <c r="U33" s="137">
        <f>IFERROR(VLOOKUP(A33,Sheet2!$A:$A,1,FALSE),)</f>
        <v>0</v>
      </c>
    </row>
    <row r="34" spans="1:22" s="507" customFormat="1">
      <c r="A34" s="503" t="s">
        <v>761</v>
      </c>
      <c r="B34" s="504" t="s">
        <v>1239</v>
      </c>
      <c r="C34" s="505" t="s">
        <v>7474</v>
      </c>
      <c r="D34" s="485" t="s">
        <v>207</v>
      </c>
      <c r="E34" s="485">
        <v>1</v>
      </c>
      <c r="F34" s="485"/>
      <c r="G34" s="485" t="s">
        <v>7515</v>
      </c>
      <c r="H34" s="500" t="s">
        <v>7492</v>
      </c>
      <c r="I34" s="506" t="s">
        <v>7489</v>
      </c>
      <c r="J34" s="506" t="s">
        <v>7489</v>
      </c>
      <c r="K34" s="500" t="s">
        <v>7492</v>
      </c>
      <c r="L34" s="500" t="s">
        <v>7492</v>
      </c>
      <c r="M34" s="500" t="s">
        <v>7492</v>
      </c>
      <c r="N34" s="506" t="s">
        <v>7491</v>
      </c>
      <c r="O34" s="506" t="s">
        <v>7491</v>
      </c>
      <c r="P34" s="506" t="s">
        <v>7489</v>
      </c>
      <c r="Q34" s="506" t="s">
        <v>7489</v>
      </c>
      <c r="R34" s="506" t="s">
        <v>7489</v>
      </c>
      <c r="S34" s="506"/>
      <c r="T34" s="506"/>
      <c r="U34" s="507">
        <f>IFERROR(VLOOKUP(A34,Sheet2!$A:$A,1,FALSE),)</f>
        <v>0</v>
      </c>
    </row>
    <row r="35" spans="1:22" s="507" customFormat="1">
      <c r="A35" s="503" t="s">
        <v>765</v>
      </c>
      <c r="B35" s="504" t="s">
        <v>1223</v>
      </c>
      <c r="C35" s="505" t="s">
        <v>7474</v>
      </c>
      <c r="D35" s="485" t="s">
        <v>207</v>
      </c>
      <c r="E35" s="485">
        <v>1</v>
      </c>
      <c r="F35" s="485"/>
      <c r="G35" s="485" t="s">
        <v>7491</v>
      </c>
      <c r="H35" s="506" t="s">
        <v>7489</v>
      </c>
      <c r="I35" s="506" t="s">
        <v>7489</v>
      </c>
      <c r="J35" s="506" t="s">
        <v>7489</v>
      </c>
      <c r="K35" s="506" t="s">
        <v>7491</v>
      </c>
      <c r="L35" s="506" t="s">
        <v>7491</v>
      </c>
      <c r="M35" s="506" t="s">
        <v>7491</v>
      </c>
      <c r="N35" s="506" t="s">
        <v>7491</v>
      </c>
      <c r="O35" s="506" t="s">
        <v>7491</v>
      </c>
      <c r="P35" s="506" t="s">
        <v>7489</v>
      </c>
      <c r="Q35" s="506" t="s">
        <v>7489</v>
      </c>
      <c r="R35" s="506" t="s">
        <v>7489</v>
      </c>
      <c r="S35" s="506"/>
      <c r="T35" s="506"/>
      <c r="U35" s="137">
        <f>IFERROR(VLOOKUP(A35,Sheet2!$A:$A,1,FALSE),)</f>
        <v>0</v>
      </c>
    </row>
    <row r="36" spans="1:22" s="507" customFormat="1">
      <c r="A36" s="503" t="s">
        <v>766</v>
      </c>
      <c r="B36" s="504" t="s">
        <v>1229</v>
      </c>
      <c r="C36" s="505" t="s">
        <v>7474</v>
      </c>
      <c r="D36" s="485" t="s">
        <v>207</v>
      </c>
      <c r="E36" s="485">
        <v>1</v>
      </c>
      <c r="F36" s="485"/>
      <c r="G36" s="485" t="s">
        <v>7515</v>
      </c>
      <c r="H36" s="506" t="s">
        <v>7489</v>
      </c>
      <c r="I36" s="506" t="s">
        <v>7489</v>
      </c>
      <c r="J36" s="506" t="s">
        <v>7489</v>
      </c>
      <c r="K36" s="506" t="s">
        <v>7491</v>
      </c>
      <c r="L36" s="506" t="s">
        <v>7491</v>
      </c>
      <c r="M36" s="506" t="s">
        <v>7491</v>
      </c>
      <c r="N36" s="506" t="s">
        <v>7491</v>
      </c>
      <c r="O36" s="506" t="s">
        <v>7491</v>
      </c>
      <c r="P36" s="506" t="s">
        <v>7489</v>
      </c>
      <c r="Q36" s="506" t="s">
        <v>7489</v>
      </c>
      <c r="R36" s="506" t="s">
        <v>7489</v>
      </c>
      <c r="S36" s="506"/>
      <c r="T36" s="506"/>
      <c r="U36" s="137">
        <f>IFERROR(VLOOKUP(A36,Sheet2!$A:$A,1,FALSE),)</f>
        <v>0</v>
      </c>
    </row>
    <row r="37" spans="1:22" s="507" customFormat="1">
      <c r="A37" s="503" t="s">
        <v>767</v>
      </c>
      <c r="B37" s="504" t="s">
        <v>1225</v>
      </c>
      <c r="C37" s="505" t="s">
        <v>7474</v>
      </c>
      <c r="D37" s="485" t="s">
        <v>396</v>
      </c>
      <c r="E37" s="485">
        <v>1</v>
      </c>
      <c r="F37" s="485"/>
      <c r="G37" s="485" t="s">
        <v>7491</v>
      </c>
      <c r="H37" s="500" t="s">
        <v>7492</v>
      </c>
      <c r="I37" s="506" t="s">
        <v>7489</v>
      </c>
      <c r="J37" s="506" t="s">
        <v>7489</v>
      </c>
      <c r="K37" s="506" t="s">
        <v>7491</v>
      </c>
      <c r="L37" s="506" t="s">
        <v>7491</v>
      </c>
      <c r="M37" s="506" t="s">
        <v>7491</v>
      </c>
      <c r="N37" s="506" t="s">
        <v>7491</v>
      </c>
      <c r="O37" s="506" t="s">
        <v>7491</v>
      </c>
      <c r="P37" s="506" t="s">
        <v>7489</v>
      </c>
      <c r="Q37" s="506" t="s">
        <v>7489</v>
      </c>
      <c r="R37" s="506" t="s">
        <v>7489</v>
      </c>
      <c r="S37" s="506"/>
      <c r="T37" s="506"/>
      <c r="U37" s="507">
        <f>IFERROR(VLOOKUP(A37,Sheet2!$A:$A,1,FALSE),)</f>
        <v>0</v>
      </c>
    </row>
    <row r="38" spans="1:22" s="507" customFormat="1">
      <c r="A38" s="503" t="s">
        <v>772</v>
      </c>
      <c r="B38" s="504" t="s">
        <v>1229</v>
      </c>
      <c r="C38" s="505" t="s">
        <v>7474</v>
      </c>
      <c r="D38" s="485" t="s">
        <v>207</v>
      </c>
      <c r="E38" s="485">
        <v>1</v>
      </c>
      <c r="F38" s="485"/>
      <c r="G38" s="485" t="s">
        <v>7503</v>
      </c>
      <c r="H38" s="506" t="s">
        <v>7489</v>
      </c>
      <c r="I38" s="506" t="s">
        <v>7489</v>
      </c>
      <c r="J38" s="506" t="s">
        <v>7489</v>
      </c>
      <c r="K38" s="506" t="s">
        <v>7491</v>
      </c>
      <c r="L38" s="506" t="s">
        <v>7491</v>
      </c>
      <c r="M38" s="506" t="s">
        <v>7491</v>
      </c>
      <c r="N38" s="506" t="s">
        <v>7491</v>
      </c>
      <c r="O38" s="506" t="s">
        <v>7495</v>
      </c>
      <c r="P38" s="506" t="s">
        <v>7489</v>
      </c>
      <c r="Q38" s="506" t="s">
        <v>7489</v>
      </c>
      <c r="R38" s="506" t="s">
        <v>7489</v>
      </c>
      <c r="S38" s="506"/>
      <c r="T38" s="506"/>
      <c r="U38" s="137">
        <f>IFERROR(VLOOKUP(A38,Sheet2!$A:$A,1,FALSE),)</f>
        <v>0</v>
      </c>
    </row>
    <row r="39" spans="1:22" s="507" customFormat="1">
      <c r="A39" s="503" t="s">
        <v>777</v>
      </c>
      <c r="B39" s="504" t="s">
        <v>1217</v>
      </c>
      <c r="C39" s="505" t="s">
        <v>7474</v>
      </c>
      <c r="D39" s="485" t="s">
        <v>606</v>
      </c>
      <c r="E39" s="485">
        <v>1</v>
      </c>
      <c r="F39" s="485"/>
      <c r="G39" s="485" t="s">
        <v>7515</v>
      </c>
      <c r="H39" s="506" t="s">
        <v>7489</v>
      </c>
      <c r="I39" s="506" t="s">
        <v>7489</v>
      </c>
      <c r="J39" s="506" t="s">
        <v>7489</v>
      </c>
      <c r="K39" s="506" t="s">
        <v>7491</v>
      </c>
      <c r="L39" s="506" t="s">
        <v>7491</v>
      </c>
      <c r="M39" s="506" t="s">
        <v>7491</v>
      </c>
      <c r="N39" s="506" t="s">
        <v>7491</v>
      </c>
      <c r="O39" s="506" t="s">
        <v>7491</v>
      </c>
      <c r="P39" s="506" t="s">
        <v>7489</v>
      </c>
      <c r="Q39" s="506" t="s">
        <v>7489</v>
      </c>
      <c r="R39" s="506" t="s">
        <v>7489</v>
      </c>
      <c r="S39" s="506"/>
      <c r="T39" s="506"/>
      <c r="U39" s="137">
        <f>IFERROR(VLOOKUP(A39,Sheet2!$A:$A,1,FALSE),)</f>
        <v>0</v>
      </c>
    </row>
    <row r="40" spans="1:22" s="507" customFormat="1">
      <c r="A40" s="503" t="s">
        <v>778</v>
      </c>
      <c r="B40" s="504" t="s">
        <v>1229</v>
      </c>
      <c r="C40" s="505" t="s">
        <v>7474</v>
      </c>
      <c r="D40" s="485" t="s">
        <v>606</v>
      </c>
      <c r="E40" s="485">
        <v>1</v>
      </c>
      <c r="F40" s="485"/>
      <c r="G40" s="485" t="s">
        <v>7515</v>
      </c>
      <c r="H40" s="506" t="s">
        <v>7489</v>
      </c>
      <c r="I40" s="506" t="s">
        <v>7489</v>
      </c>
      <c r="J40" s="506" t="s">
        <v>7489</v>
      </c>
      <c r="K40" s="506" t="s">
        <v>7491</v>
      </c>
      <c r="L40" s="506" t="s">
        <v>7491</v>
      </c>
      <c r="M40" s="506" t="s">
        <v>7491</v>
      </c>
      <c r="N40" s="506" t="s">
        <v>7491</v>
      </c>
      <c r="O40" s="506" t="s">
        <v>7491</v>
      </c>
      <c r="P40" s="506" t="s">
        <v>7489</v>
      </c>
      <c r="Q40" s="506" t="s">
        <v>7489</v>
      </c>
      <c r="R40" s="506" t="s">
        <v>7489</v>
      </c>
      <c r="S40" s="506"/>
      <c r="T40" s="506"/>
      <c r="U40" s="137">
        <f>IFERROR(VLOOKUP(A40,Sheet2!$A:$A,1,FALSE),)</f>
        <v>0</v>
      </c>
    </row>
    <row r="41" spans="1:22" s="507" customFormat="1">
      <c r="A41" s="503" t="s">
        <v>779</v>
      </c>
      <c r="B41" s="504" t="s">
        <v>1229</v>
      </c>
      <c r="C41" s="505" t="s">
        <v>7474</v>
      </c>
      <c r="D41" s="485" t="s">
        <v>207</v>
      </c>
      <c r="E41" s="485">
        <v>1</v>
      </c>
      <c r="F41" s="485"/>
      <c r="G41" s="485" t="s">
        <v>7515</v>
      </c>
      <c r="H41" s="506" t="s">
        <v>7489</v>
      </c>
      <c r="I41" s="506" t="s">
        <v>7489</v>
      </c>
      <c r="J41" s="506" t="s">
        <v>7489</v>
      </c>
      <c r="K41" s="506" t="s">
        <v>7491</v>
      </c>
      <c r="L41" s="506" t="s">
        <v>7491</v>
      </c>
      <c r="M41" s="506" t="s">
        <v>7491</v>
      </c>
      <c r="N41" s="506" t="s">
        <v>7491</v>
      </c>
      <c r="O41" s="506" t="s">
        <v>7491</v>
      </c>
      <c r="P41" s="506" t="s">
        <v>7489</v>
      </c>
      <c r="Q41" s="506" t="s">
        <v>7489</v>
      </c>
      <c r="R41" s="506" t="s">
        <v>7489</v>
      </c>
      <c r="S41" s="506"/>
      <c r="T41" s="506"/>
      <c r="U41" s="137">
        <f>IFERROR(VLOOKUP(A41,Sheet2!$A:$A,1,FALSE),)</f>
        <v>0</v>
      </c>
    </row>
    <row r="42" spans="1:22" s="507" customFormat="1">
      <c r="A42" s="503" t="s">
        <v>782</v>
      </c>
      <c r="B42" s="504" t="s">
        <v>1236</v>
      </c>
      <c r="C42" s="505" t="s">
        <v>7474</v>
      </c>
      <c r="D42" s="485" t="s">
        <v>207</v>
      </c>
      <c r="E42" s="485">
        <v>1</v>
      </c>
      <c r="F42" s="485"/>
      <c r="G42" s="485" t="s">
        <v>7515</v>
      </c>
      <c r="H42" s="506" t="s">
        <v>7489</v>
      </c>
      <c r="I42" s="506" t="s">
        <v>7489</v>
      </c>
      <c r="J42" s="506" t="s">
        <v>7489</v>
      </c>
      <c r="K42" s="506" t="s">
        <v>7491</v>
      </c>
      <c r="L42" s="506" t="s">
        <v>7491</v>
      </c>
      <c r="M42" s="506" t="s">
        <v>7491</v>
      </c>
      <c r="N42" s="506" t="s">
        <v>7491</v>
      </c>
      <c r="O42" s="506" t="s">
        <v>7491</v>
      </c>
      <c r="P42" s="506" t="s">
        <v>7489</v>
      </c>
      <c r="Q42" s="506" t="s">
        <v>7489</v>
      </c>
      <c r="R42" s="506" t="s">
        <v>7489</v>
      </c>
      <c r="S42" s="506"/>
      <c r="T42" s="506"/>
      <c r="U42" s="137">
        <f>IFERROR(VLOOKUP(A42,Sheet2!$A:$A,1,FALSE),)</f>
        <v>0</v>
      </c>
    </row>
    <row r="43" spans="1:22" s="507" customFormat="1">
      <c r="A43" s="503" t="s">
        <v>785</v>
      </c>
      <c r="B43" s="504" t="s">
        <v>1250</v>
      </c>
      <c r="C43" s="505" t="s">
        <v>7474</v>
      </c>
      <c r="D43" s="485" t="s">
        <v>207</v>
      </c>
      <c r="E43" s="485">
        <v>1</v>
      </c>
      <c r="F43" s="485"/>
      <c r="G43" s="485" t="s">
        <v>7503</v>
      </c>
      <c r="H43" s="506" t="s">
        <v>7489</v>
      </c>
      <c r="I43" s="506" t="s">
        <v>7489</v>
      </c>
      <c r="J43" s="506" t="s">
        <v>7489</v>
      </c>
      <c r="K43" s="506" t="s">
        <v>7491</v>
      </c>
      <c r="L43" s="506" t="s">
        <v>7491</v>
      </c>
      <c r="M43" s="506" t="s">
        <v>7491</v>
      </c>
      <c r="N43" s="506" t="s">
        <v>7491</v>
      </c>
      <c r="O43" s="506" t="s">
        <v>7495</v>
      </c>
      <c r="P43" s="506" t="s">
        <v>7489</v>
      </c>
      <c r="Q43" s="506" t="s">
        <v>7489</v>
      </c>
      <c r="R43" s="506" t="s">
        <v>7489</v>
      </c>
      <c r="S43" s="506"/>
      <c r="T43" s="506"/>
      <c r="U43" s="507">
        <f>IFERROR(VLOOKUP(A43,Sheet2!$A:$A,1,FALSE),)</f>
        <v>0</v>
      </c>
    </row>
    <row r="44" spans="1:22" s="499" customFormat="1">
      <c r="A44" s="494" t="s">
        <v>790</v>
      </c>
      <c r="B44" s="495" t="s">
        <v>1229</v>
      </c>
      <c r="C44" s="496" t="s">
        <v>7474</v>
      </c>
      <c r="D44" s="497" t="s">
        <v>7506</v>
      </c>
      <c r="E44" s="497"/>
      <c r="F44" s="485"/>
      <c r="G44" s="497"/>
      <c r="H44" s="498" t="s">
        <v>7489</v>
      </c>
      <c r="I44" s="498" t="s">
        <v>7489</v>
      </c>
      <c r="J44" s="498" t="s">
        <v>7489</v>
      </c>
      <c r="K44" s="498" t="s">
        <v>7491</v>
      </c>
      <c r="L44" s="498" t="s">
        <v>7491</v>
      </c>
      <c r="M44" s="498" t="s">
        <v>7491</v>
      </c>
      <c r="N44" s="498" t="s">
        <v>7491</v>
      </c>
      <c r="O44" s="498" t="s">
        <v>7495</v>
      </c>
      <c r="P44" s="498" t="s">
        <v>7489</v>
      </c>
      <c r="Q44" s="498" t="s">
        <v>7489</v>
      </c>
      <c r="R44" s="498" t="s">
        <v>7489</v>
      </c>
      <c r="S44" s="498"/>
      <c r="T44" s="498"/>
      <c r="U44" s="499" t="str">
        <f>IFERROR(VLOOKUP(A44,Sheet2!$A:$A,1,FALSE),)</f>
        <v>R-0151</v>
      </c>
      <c r="V44" s="499" t="s">
        <v>7525</v>
      </c>
    </row>
    <row r="45" spans="1:22" s="507" customFormat="1">
      <c r="A45" s="503" t="s">
        <v>793</v>
      </c>
      <c r="B45" s="504" t="s">
        <v>1231</v>
      </c>
      <c r="C45" s="505" t="s">
        <v>7474</v>
      </c>
      <c r="D45" s="485" t="s">
        <v>207</v>
      </c>
      <c r="E45" s="485">
        <v>1</v>
      </c>
      <c r="F45" s="485"/>
      <c r="G45" s="485" t="s">
        <v>7503</v>
      </c>
      <c r="H45" s="506" t="s">
        <v>7489</v>
      </c>
      <c r="I45" s="506" t="s">
        <v>7489</v>
      </c>
      <c r="J45" s="506" t="s">
        <v>7489</v>
      </c>
      <c r="K45" s="506" t="s">
        <v>7491</v>
      </c>
      <c r="L45" s="506" t="s">
        <v>7491</v>
      </c>
      <c r="M45" s="506" t="s">
        <v>7491</v>
      </c>
      <c r="N45" s="506" t="s">
        <v>7491</v>
      </c>
      <c r="O45" s="506" t="s">
        <v>7495</v>
      </c>
      <c r="P45" s="506" t="s">
        <v>7489</v>
      </c>
      <c r="Q45" s="506" t="s">
        <v>7489</v>
      </c>
      <c r="R45" s="506" t="s">
        <v>7489</v>
      </c>
      <c r="S45" s="506"/>
      <c r="T45" s="506"/>
      <c r="U45" s="507">
        <f>IFERROR(VLOOKUP(A45,Sheet2!$A:$A,1,FALSE),)</f>
        <v>0</v>
      </c>
    </row>
    <row r="46" spans="1:22" s="507" customFormat="1">
      <c r="A46" s="503" t="s">
        <v>795</v>
      </c>
      <c r="B46" s="504" t="s">
        <v>1252</v>
      </c>
      <c r="C46" s="505" t="s">
        <v>7474</v>
      </c>
      <c r="D46" s="485" t="s">
        <v>605</v>
      </c>
      <c r="E46" s="485">
        <v>1</v>
      </c>
      <c r="F46" s="485"/>
      <c r="G46" s="485"/>
      <c r="H46" s="506" t="s">
        <v>7489</v>
      </c>
      <c r="I46" s="506" t="s">
        <v>7489</v>
      </c>
      <c r="J46" s="506" t="s">
        <v>7489</v>
      </c>
      <c r="K46" s="506" t="s">
        <v>7491</v>
      </c>
      <c r="L46" s="506" t="s">
        <v>7491</v>
      </c>
      <c r="M46" s="506" t="s">
        <v>7491</v>
      </c>
      <c r="N46" s="506" t="s">
        <v>7491</v>
      </c>
      <c r="O46" s="506" t="s">
        <v>7491</v>
      </c>
      <c r="P46" s="506" t="s">
        <v>7489</v>
      </c>
      <c r="Q46" s="506" t="s">
        <v>7489</v>
      </c>
      <c r="R46" s="506" t="s">
        <v>7489</v>
      </c>
      <c r="S46" s="506"/>
      <c r="T46" s="506"/>
      <c r="U46" s="507">
        <f>IFERROR(VLOOKUP(A46,Sheet2!$A:$A,1,FALSE),)</f>
        <v>0</v>
      </c>
    </row>
    <row r="47" spans="1:22" s="499" customFormat="1">
      <c r="A47" s="494" t="s">
        <v>798</v>
      </c>
      <c r="B47" s="495" t="s">
        <v>1231</v>
      </c>
      <c r="C47" s="496" t="s">
        <v>7474</v>
      </c>
      <c r="D47" s="497" t="s">
        <v>7506</v>
      </c>
      <c r="E47" s="497"/>
      <c r="F47" s="485"/>
      <c r="G47" s="497"/>
      <c r="H47" s="498" t="s">
        <v>7489</v>
      </c>
      <c r="I47" s="498" t="s">
        <v>7489</v>
      </c>
      <c r="J47" s="498" t="s">
        <v>7489</v>
      </c>
      <c r="K47" s="498" t="s">
        <v>7491</v>
      </c>
      <c r="L47" s="498" t="s">
        <v>7491</v>
      </c>
      <c r="M47" s="498" t="s">
        <v>7491</v>
      </c>
      <c r="N47" s="498" t="s">
        <v>7491</v>
      </c>
      <c r="O47" s="498" t="s">
        <v>7491</v>
      </c>
      <c r="P47" s="498" t="s">
        <v>7489</v>
      </c>
      <c r="Q47" s="498" t="s">
        <v>7489</v>
      </c>
      <c r="R47" s="498" t="s">
        <v>7489</v>
      </c>
      <c r="S47" s="498"/>
      <c r="T47" s="498"/>
      <c r="U47" s="499" t="str">
        <f>IFERROR(VLOOKUP(A47,Sheet2!$A:$A,1,FALSE),)</f>
        <v>R-0159</v>
      </c>
      <c r="V47" s="499" t="s">
        <v>7525</v>
      </c>
    </row>
    <row r="48" spans="1:22" s="507" customFormat="1">
      <c r="A48" s="503" t="s">
        <v>808</v>
      </c>
      <c r="B48" s="504" t="s">
        <v>1225</v>
      </c>
      <c r="C48" s="505" t="s">
        <v>7474</v>
      </c>
      <c r="D48" s="485" t="s">
        <v>207</v>
      </c>
      <c r="E48" s="485">
        <v>1</v>
      </c>
      <c r="F48" s="485"/>
      <c r="G48" s="485" t="s">
        <v>7491</v>
      </c>
      <c r="H48" s="506" t="s">
        <v>7489</v>
      </c>
      <c r="I48" s="506" t="s">
        <v>7489</v>
      </c>
      <c r="J48" s="506" t="s">
        <v>7489</v>
      </c>
      <c r="K48" s="506" t="s">
        <v>7491</v>
      </c>
      <c r="L48" s="506" t="s">
        <v>7491</v>
      </c>
      <c r="M48" s="506" t="s">
        <v>7491</v>
      </c>
      <c r="N48" s="506" t="s">
        <v>7491</v>
      </c>
      <c r="O48" s="506" t="s">
        <v>7491</v>
      </c>
      <c r="P48" s="506" t="s">
        <v>7489</v>
      </c>
      <c r="Q48" s="506" t="s">
        <v>7489</v>
      </c>
      <c r="R48" s="506" t="s">
        <v>7489</v>
      </c>
      <c r="S48" s="506"/>
      <c r="T48" s="506"/>
      <c r="U48" s="507">
        <f>IFERROR(VLOOKUP(A48,Sheet2!$A:$A,1,FALSE),)</f>
        <v>0</v>
      </c>
    </row>
    <row r="49" spans="1:22" s="507" customFormat="1">
      <c r="A49" s="503" t="s">
        <v>811</v>
      </c>
      <c r="B49" s="504" t="s">
        <v>1255</v>
      </c>
      <c r="C49" s="505" t="s">
        <v>7474</v>
      </c>
      <c r="D49" s="485" t="s">
        <v>352</v>
      </c>
      <c r="E49" s="485">
        <v>1</v>
      </c>
      <c r="F49" s="485"/>
      <c r="G49" s="485"/>
      <c r="H49" s="506" t="s">
        <v>7489</v>
      </c>
      <c r="I49" s="506" t="s">
        <v>7489</v>
      </c>
      <c r="J49" s="506" t="s">
        <v>7489</v>
      </c>
      <c r="K49" s="506" t="s">
        <v>7491</v>
      </c>
      <c r="L49" s="506" t="s">
        <v>7491</v>
      </c>
      <c r="M49" s="506" t="s">
        <v>7491</v>
      </c>
      <c r="N49" s="506" t="s">
        <v>7491</v>
      </c>
      <c r="O49" s="506" t="s">
        <v>7491</v>
      </c>
      <c r="P49" s="506" t="s">
        <v>7489</v>
      </c>
      <c r="Q49" s="506" t="s">
        <v>7489</v>
      </c>
      <c r="R49" s="506" t="s">
        <v>7489</v>
      </c>
      <c r="S49" s="506"/>
      <c r="T49" s="506"/>
      <c r="U49" s="507">
        <f>IFERROR(VLOOKUP(A49,Sheet2!$A:$A,1,FALSE),)</f>
        <v>0</v>
      </c>
    </row>
    <row r="50" spans="1:22" s="507" customFormat="1">
      <c r="A50" s="503" t="s">
        <v>815</v>
      </c>
      <c r="B50" s="504" t="s">
        <v>1249</v>
      </c>
      <c r="C50" s="505" t="s">
        <v>7474</v>
      </c>
      <c r="D50" s="485" t="s">
        <v>207</v>
      </c>
      <c r="E50" s="485">
        <v>1</v>
      </c>
      <c r="F50" s="485"/>
      <c r="G50" s="485" t="s">
        <v>7515</v>
      </c>
      <c r="H50" s="506" t="s">
        <v>7489</v>
      </c>
      <c r="I50" s="506" t="s">
        <v>7489</v>
      </c>
      <c r="J50" s="506" t="s">
        <v>7489</v>
      </c>
      <c r="K50" s="506" t="s">
        <v>7491</v>
      </c>
      <c r="L50" s="506" t="s">
        <v>7491</v>
      </c>
      <c r="M50" s="506" t="s">
        <v>7491</v>
      </c>
      <c r="N50" s="506" t="s">
        <v>7491</v>
      </c>
      <c r="O50" s="506" t="s">
        <v>7491</v>
      </c>
      <c r="P50" s="506" t="s">
        <v>7489</v>
      </c>
      <c r="Q50" s="506" t="s">
        <v>7489</v>
      </c>
      <c r="R50" s="506" t="s">
        <v>7489</v>
      </c>
      <c r="S50" s="506"/>
      <c r="T50" s="506"/>
      <c r="U50" s="507">
        <f>IFERROR(VLOOKUP(A50,Sheet2!$A:$A,1,FALSE),)</f>
        <v>0</v>
      </c>
    </row>
    <row r="51" spans="1:22" s="507" customFormat="1">
      <c r="A51" s="503" t="s">
        <v>818</v>
      </c>
      <c r="B51" s="504" t="s">
        <v>1244</v>
      </c>
      <c r="C51" s="505" t="s">
        <v>7474</v>
      </c>
      <c r="D51" s="485" t="s">
        <v>606</v>
      </c>
      <c r="E51" s="485">
        <v>1</v>
      </c>
      <c r="F51" s="485"/>
      <c r="G51" s="485" t="s">
        <v>7515</v>
      </c>
      <c r="H51" s="506" t="s">
        <v>7489</v>
      </c>
      <c r="I51" s="500" t="s">
        <v>7492</v>
      </c>
      <c r="J51" s="506" t="s">
        <v>7489</v>
      </c>
      <c r="K51" s="506" t="s">
        <v>7491</v>
      </c>
      <c r="L51" s="506" t="s">
        <v>7491</v>
      </c>
      <c r="M51" s="506" t="s">
        <v>7491</v>
      </c>
      <c r="N51" s="506" t="s">
        <v>7491</v>
      </c>
      <c r="O51" s="506" t="s">
        <v>7491</v>
      </c>
      <c r="P51" s="506" t="s">
        <v>7489</v>
      </c>
      <c r="Q51" s="506" t="s">
        <v>7489</v>
      </c>
      <c r="R51" s="506" t="s">
        <v>7489</v>
      </c>
      <c r="S51" s="506"/>
      <c r="T51" s="506"/>
      <c r="U51" s="507">
        <f>IFERROR(VLOOKUP(A51,Sheet2!$A:$A,1,FALSE),)</f>
        <v>0</v>
      </c>
    </row>
    <row r="52" spans="1:22" s="507" customFormat="1">
      <c r="A52" s="503" t="s">
        <v>827</v>
      </c>
      <c r="B52" s="504" t="s">
        <v>1225</v>
      </c>
      <c r="C52" s="505" t="s">
        <v>7474</v>
      </c>
      <c r="D52" s="485" t="s">
        <v>3078</v>
      </c>
      <c r="E52" s="485">
        <v>1</v>
      </c>
      <c r="F52" s="485"/>
      <c r="G52" s="485" t="s">
        <v>7503</v>
      </c>
      <c r="H52" s="500" t="s">
        <v>7492</v>
      </c>
      <c r="I52" s="506" t="s">
        <v>7489</v>
      </c>
      <c r="J52" s="506" t="s">
        <v>7489</v>
      </c>
      <c r="K52" s="506" t="s">
        <v>7491</v>
      </c>
      <c r="L52" s="506" t="s">
        <v>7491</v>
      </c>
      <c r="M52" s="506" t="s">
        <v>7491</v>
      </c>
      <c r="N52" s="506" t="s">
        <v>7491</v>
      </c>
      <c r="O52" s="506" t="s">
        <v>7491</v>
      </c>
      <c r="P52" s="506" t="s">
        <v>7489</v>
      </c>
      <c r="Q52" s="506" t="s">
        <v>7489</v>
      </c>
      <c r="R52" s="506" t="s">
        <v>7489</v>
      </c>
      <c r="S52" s="506"/>
      <c r="T52" s="506"/>
      <c r="U52" s="507">
        <f>IFERROR(VLOOKUP(A52,Sheet2!$A:$A,1,FALSE),)</f>
        <v>0</v>
      </c>
    </row>
    <row r="53" spans="1:22" s="499" customFormat="1">
      <c r="A53" s="494" t="s">
        <v>832</v>
      </c>
      <c r="B53" s="495" t="s">
        <v>1259</v>
      </c>
      <c r="C53" s="496" t="s">
        <v>7474</v>
      </c>
      <c r="D53" s="497" t="s">
        <v>7506</v>
      </c>
      <c r="E53" s="497"/>
      <c r="F53" s="485"/>
      <c r="G53" s="497"/>
      <c r="H53" s="498"/>
      <c r="I53" s="498"/>
      <c r="J53" s="498"/>
      <c r="K53" s="498"/>
      <c r="L53" s="498"/>
      <c r="M53" s="498"/>
      <c r="N53" s="498"/>
      <c r="O53" s="498"/>
      <c r="P53" s="498"/>
      <c r="Q53" s="498"/>
      <c r="R53" s="498"/>
      <c r="S53" s="498"/>
      <c r="T53" s="498"/>
      <c r="U53" s="499" t="str">
        <f>IFERROR(VLOOKUP(A53,Sheet2!$A:$A,1,FALSE),)</f>
        <v>R-0194</v>
      </c>
      <c r="V53" s="499" t="s">
        <v>7525</v>
      </c>
    </row>
    <row r="54" spans="1:22" s="507" customFormat="1">
      <c r="A54" s="503" t="s">
        <v>840</v>
      </c>
      <c r="B54" s="504" t="s">
        <v>1219</v>
      </c>
      <c r="C54" s="505" t="s">
        <v>7474</v>
      </c>
      <c r="D54" s="485" t="s">
        <v>207</v>
      </c>
      <c r="E54" s="485">
        <v>1</v>
      </c>
      <c r="F54" s="485"/>
      <c r="G54" s="485" t="s">
        <v>7503</v>
      </c>
      <c r="H54" s="506" t="s">
        <v>7489</v>
      </c>
      <c r="I54" s="506" t="s">
        <v>7489</v>
      </c>
      <c r="J54" s="506" t="s">
        <v>7489</v>
      </c>
      <c r="K54" s="506" t="s">
        <v>7491</v>
      </c>
      <c r="L54" s="506" t="s">
        <v>7491</v>
      </c>
      <c r="M54" s="506" t="s">
        <v>7491</v>
      </c>
      <c r="N54" s="506" t="s">
        <v>7491</v>
      </c>
      <c r="O54" s="506" t="s">
        <v>7495</v>
      </c>
      <c r="P54" s="506" t="s">
        <v>7489</v>
      </c>
      <c r="Q54" s="506" t="s">
        <v>7489</v>
      </c>
      <c r="R54" s="506" t="s">
        <v>7489</v>
      </c>
      <c r="S54" s="506"/>
      <c r="T54" s="506"/>
      <c r="U54" s="507">
        <f>IFERROR(VLOOKUP(A54,Sheet2!$A:$A,1,FALSE),)</f>
        <v>0</v>
      </c>
    </row>
    <row r="55" spans="1:22" s="499" customFormat="1">
      <c r="A55" s="494" t="s">
        <v>841</v>
      </c>
      <c r="B55" s="495" t="s">
        <v>1217</v>
      </c>
      <c r="C55" s="496" t="s">
        <v>7474</v>
      </c>
      <c r="D55" s="497" t="s">
        <v>7506</v>
      </c>
      <c r="E55" s="497"/>
      <c r="F55" s="485"/>
      <c r="G55" s="497"/>
      <c r="H55" s="498" t="s">
        <v>7489</v>
      </c>
      <c r="I55" s="498" t="s">
        <v>7489</v>
      </c>
      <c r="J55" s="498" t="s">
        <v>7489</v>
      </c>
      <c r="K55" s="498" t="s">
        <v>7491</v>
      </c>
      <c r="L55" s="498" t="s">
        <v>7491</v>
      </c>
      <c r="M55" s="498" t="s">
        <v>7491</v>
      </c>
      <c r="N55" s="498" t="s">
        <v>7491</v>
      </c>
      <c r="O55" s="498" t="s">
        <v>7491</v>
      </c>
      <c r="P55" s="498" t="s">
        <v>7489</v>
      </c>
      <c r="Q55" s="498" t="s">
        <v>7489</v>
      </c>
      <c r="R55" s="498" t="s">
        <v>7489</v>
      </c>
      <c r="S55" s="498"/>
      <c r="T55" s="498"/>
      <c r="U55" s="499" t="str">
        <f>IFERROR(VLOOKUP(A55,Sheet2!$A:$A,1,FALSE),)</f>
        <v>R-0203</v>
      </c>
      <c r="V55" s="499" t="s">
        <v>7525</v>
      </c>
    </row>
    <row r="56" spans="1:22" s="507" customFormat="1">
      <c r="A56" s="503" t="s">
        <v>849</v>
      </c>
      <c r="B56" s="504" t="s">
        <v>1217</v>
      </c>
      <c r="C56" s="505" t="s">
        <v>7474</v>
      </c>
      <c r="D56" s="485" t="s">
        <v>396</v>
      </c>
      <c r="E56" s="485">
        <v>1</v>
      </c>
      <c r="F56" s="485"/>
      <c r="G56" s="485" t="s">
        <v>7503</v>
      </c>
      <c r="H56" s="506" t="s">
        <v>7489</v>
      </c>
      <c r="I56" s="506" t="s">
        <v>7489</v>
      </c>
      <c r="J56" s="506" t="s">
        <v>7489</v>
      </c>
      <c r="K56" s="506" t="s">
        <v>7491</v>
      </c>
      <c r="L56" s="506" t="s">
        <v>7491</v>
      </c>
      <c r="M56" s="506" t="s">
        <v>7491</v>
      </c>
      <c r="N56" s="500" t="s">
        <v>7492</v>
      </c>
      <c r="O56" s="506" t="s">
        <v>7495</v>
      </c>
      <c r="P56" s="506" t="s">
        <v>7489</v>
      </c>
      <c r="Q56" s="506" t="s">
        <v>7489</v>
      </c>
      <c r="R56" s="506" t="s">
        <v>7489</v>
      </c>
      <c r="S56" s="506"/>
      <c r="T56" s="506"/>
      <c r="U56" s="507">
        <f>IFERROR(VLOOKUP(A56,Sheet2!$A:$A,1,FALSE),)</f>
        <v>0</v>
      </c>
    </row>
    <row r="57" spans="1:22" s="507" customFormat="1">
      <c r="A57" s="503" t="s">
        <v>851</v>
      </c>
      <c r="B57" s="504" t="s">
        <v>1225</v>
      </c>
      <c r="C57" s="505" t="s">
        <v>7474</v>
      </c>
      <c r="D57" s="485" t="s">
        <v>7289</v>
      </c>
      <c r="E57" s="485">
        <v>2</v>
      </c>
      <c r="F57" s="485"/>
      <c r="G57" s="485" t="s">
        <v>7516</v>
      </c>
      <c r="H57" s="506" t="s">
        <v>7489</v>
      </c>
      <c r="I57" s="506" t="s">
        <v>7489</v>
      </c>
      <c r="J57" s="506" t="s">
        <v>7489</v>
      </c>
      <c r="K57" s="506" t="s">
        <v>7491</v>
      </c>
      <c r="L57" s="506" t="s">
        <v>7491</v>
      </c>
      <c r="M57" s="506" t="s">
        <v>7491</v>
      </c>
      <c r="N57" s="506" t="s">
        <v>7491</v>
      </c>
      <c r="O57" s="506" t="s">
        <v>7491</v>
      </c>
      <c r="P57" s="506" t="s">
        <v>7489</v>
      </c>
      <c r="Q57" s="506" t="s">
        <v>7489</v>
      </c>
      <c r="R57" s="506" t="s">
        <v>7489</v>
      </c>
      <c r="S57" s="506"/>
      <c r="T57" s="506"/>
      <c r="U57" s="507">
        <f>IFERROR(VLOOKUP(A57,Sheet2!$A:$A,1,FALSE),)</f>
        <v>0</v>
      </c>
    </row>
    <row r="58" spans="1:22" s="507" customFormat="1">
      <c r="A58" s="503" t="s">
        <v>853</v>
      </c>
      <c r="B58" s="504" t="s">
        <v>1264</v>
      </c>
      <c r="C58" s="505" t="s">
        <v>7474</v>
      </c>
      <c r="D58" s="485" t="s">
        <v>207</v>
      </c>
      <c r="E58" s="485">
        <v>1</v>
      </c>
      <c r="F58" s="485"/>
      <c r="G58" s="485" t="s">
        <v>7515</v>
      </c>
      <c r="H58" s="506" t="s">
        <v>7489</v>
      </c>
      <c r="I58" s="506" t="s">
        <v>7489</v>
      </c>
      <c r="J58" s="506" t="s">
        <v>7489</v>
      </c>
      <c r="K58" s="506" t="s">
        <v>7491</v>
      </c>
      <c r="L58" s="506" t="s">
        <v>7491</v>
      </c>
      <c r="M58" s="506" t="s">
        <v>7491</v>
      </c>
      <c r="N58" s="506" t="s">
        <v>7491</v>
      </c>
      <c r="O58" s="506" t="s">
        <v>7491</v>
      </c>
      <c r="P58" s="506" t="s">
        <v>7489</v>
      </c>
      <c r="Q58" s="506" t="s">
        <v>7489</v>
      </c>
      <c r="R58" s="506" t="s">
        <v>7489</v>
      </c>
      <c r="S58" s="506"/>
      <c r="T58" s="506"/>
      <c r="U58" s="507">
        <f>IFERROR(VLOOKUP(A58,Sheet2!$A:$A,1,FALSE),)</f>
        <v>0</v>
      </c>
    </row>
    <row r="59" spans="1:22" s="507" customFormat="1">
      <c r="A59" s="503" t="s">
        <v>862</v>
      </c>
      <c r="B59" s="504" t="s">
        <v>1231</v>
      </c>
      <c r="C59" s="505" t="s">
        <v>7474</v>
      </c>
      <c r="D59" s="485" t="s">
        <v>357</v>
      </c>
      <c r="E59" s="485">
        <v>1</v>
      </c>
      <c r="F59" s="485"/>
      <c r="G59" s="485"/>
      <c r="H59" s="506" t="s">
        <v>7489</v>
      </c>
      <c r="I59" s="506" t="s">
        <v>7489</v>
      </c>
      <c r="J59" s="506" t="s">
        <v>7489</v>
      </c>
      <c r="K59" s="506" t="s">
        <v>7491</v>
      </c>
      <c r="L59" s="506" t="s">
        <v>7491</v>
      </c>
      <c r="M59" s="506" t="s">
        <v>7491</v>
      </c>
      <c r="N59" s="506" t="s">
        <v>7491</v>
      </c>
      <c r="O59" s="506" t="s">
        <v>7491</v>
      </c>
      <c r="P59" s="506" t="s">
        <v>7489</v>
      </c>
      <c r="Q59" s="506" t="s">
        <v>7489</v>
      </c>
      <c r="R59" s="506" t="s">
        <v>7489</v>
      </c>
      <c r="S59" s="506"/>
      <c r="T59" s="506"/>
      <c r="U59" s="507">
        <f>IFERROR(VLOOKUP(A59,Sheet2!$A:$A,1,FALSE),)</f>
        <v>0</v>
      </c>
    </row>
    <row r="60" spans="1:22" s="507" customFormat="1">
      <c r="A60" s="503" t="s">
        <v>863</v>
      </c>
      <c r="B60" s="504" t="s">
        <v>1265</v>
      </c>
      <c r="C60" s="505" t="s">
        <v>7474</v>
      </c>
      <c r="D60" s="485" t="s">
        <v>207</v>
      </c>
      <c r="E60" s="485">
        <v>1</v>
      </c>
      <c r="F60" s="485"/>
      <c r="G60" s="485" t="s">
        <v>7503</v>
      </c>
      <c r="H60" s="506" t="s">
        <v>7489</v>
      </c>
      <c r="I60" s="506" t="s">
        <v>7489</v>
      </c>
      <c r="J60" s="506" t="s">
        <v>7489</v>
      </c>
      <c r="K60" s="506" t="s">
        <v>7491</v>
      </c>
      <c r="L60" s="506" t="s">
        <v>7491</v>
      </c>
      <c r="M60" s="506" t="s">
        <v>7491</v>
      </c>
      <c r="N60" s="506" t="s">
        <v>7491</v>
      </c>
      <c r="O60" s="506" t="s">
        <v>7491</v>
      </c>
      <c r="P60" s="506" t="s">
        <v>7489</v>
      </c>
      <c r="Q60" s="506" t="s">
        <v>7489</v>
      </c>
      <c r="R60" s="506" t="s">
        <v>7489</v>
      </c>
      <c r="S60" s="506"/>
      <c r="T60" s="506"/>
      <c r="U60" s="507">
        <f>IFERROR(VLOOKUP(A60,Sheet2!$A:$A,1,FALSE),)</f>
        <v>0</v>
      </c>
    </row>
    <row r="61" spans="1:22" s="499" customFormat="1">
      <c r="A61" s="494" t="s">
        <v>865</v>
      </c>
      <c r="B61" s="495" t="s">
        <v>1235</v>
      </c>
      <c r="C61" s="496" t="s">
        <v>7474</v>
      </c>
      <c r="D61" s="497" t="s">
        <v>7506</v>
      </c>
      <c r="E61" s="497">
        <v>1</v>
      </c>
      <c r="F61" s="497"/>
      <c r="G61" s="497" t="s">
        <v>7503</v>
      </c>
      <c r="H61" s="498" t="s">
        <v>7489</v>
      </c>
      <c r="I61" s="498" t="s">
        <v>7489</v>
      </c>
      <c r="J61" s="498" t="s">
        <v>7489</v>
      </c>
      <c r="K61" s="498" t="s">
        <v>7491</v>
      </c>
      <c r="L61" s="498" t="s">
        <v>7491</v>
      </c>
      <c r="M61" s="498" t="s">
        <v>7491</v>
      </c>
      <c r="N61" s="498" t="s">
        <v>7491</v>
      </c>
      <c r="O61" s="498" t="s">
        <v>7491</v>
      </c>
      <c r="P61" s="498" t="s">
        <v>7489</v>
      </c>
      <c r="Q61" s="498" t="s">
        <v>7489</v>
      </c>
      <c r="R61" s="498" t="s">
        <v>7489</v>
      </c>
      <c r="S61" s="498"/>
      <c r="T61" s="498"/>
      <c r="U61" s="499" t="str">
        <f>IFERROR(VLOOKUP(A61,Sheet2!$A:$A,1,FALSE),)</f>
        <v>R-0228</v>
      </c>
      <c r="V61" s="499" t="s">
        <v>7495</v>
      </c>
    </row>
    <row r="62" spans="1:22" s="507" customFormat="1">
      <c r="A62" s="503" t="s">
        <v>869</v>
      </c>
      <c r="B62" s="504" t="s">
        <v>1229</v>
      </c>
      <c r="C62" s="505" t="s">
        <v>7474</v>
      </c>
      <c r="D62" s="485" t="s">
        <v>207</v>
      </c>
      <c r="E62" s="485">
        <v>1</v>
      </c>
      <c r="F62" s="485"/>
      <c r="G62" s="485" t="s">
        <v>7503</v>
      </c>
      <c r="H62" s="506" t="s">
        <v>7489</v>
      </c>
      <c r="I62" s="506" t="s">
        <v>7489</v>
      </c>
      <c r="J62" s="506" t="s">
        <v>7489</v>
      </c>
      <c r="K62" s="506" t="s">
        <v>7491</v>
      </c>
      <c r="L62" s="506" t="s">
        <v>7491</v>
      </c>
      <c r="M62" s="506" t="s">
        <v>7491</v>
      </c>
      <c r="N62" s="506" t="s">
        <v>7491</v>
      </c>
      <c r="O62" s="506" t="s">
        <v>7491</v>
      </c>
      <c r="P62" s="506" t="s">
        <v>7489</v>
      </c>
      <c r="Q62" s="506" t="s">
        <v>7489</v>
      </c>
      <c r="R62" s="506" t="s">
        <v>7489</v>
      </c>
      <c r="S62" s="506"/>
      <c r="T62" s="506"/>
      <c r="U62" s="507">
        <f>IFERROR(VLOOKUP(A62,Sheet2!$A:$A,1,FALSE),)</f>
        <v>0</v>
      </c>
    </row>
    <row r="63" spans="1:22" s="507" customFormat="1">
      <c r="A63" s="503" t="s">
        <v>884</v>
      </c>
      <c r="B63" s="504" t="s">
        <v>1266</v>
      </c>
      <c r="C63" s="505" t="s">
        <v>7474</v>
      </c>
      <c r="D63" s="485" t="s">
        <v>207</v>
      </c>
      <c r="E63" s="485">
        <v>1</v>
      </c>
      <c r="F63" s="485"/>
      <c r="G63" s="485" t="s">
        <v>7503</v>
      </c>
      <c r="H63" s="506" t="s">
        <v>7489</v>
      </c>
      <c r="I63" s="506" t="s">
        <v>7489</v>
      </c>
      <c r="J63" s="506" t="s">
        <v>7489</v>
      </c>
      <c r="K63" s="506" t="s">
        <v>7491</v>
      </c>
      <c r="L63" s="506" t="s">
        <v>7491</v>
      </c>
      <c r="M63" s="506" t="s">
        <v>7491</v>
      </c>
      <c r="N63" s="506" t="s">
        <v>7491</v>
      </c>
      <c r="O63" s="506" t="s">
        <v>7495</v>
      </c>
      <c r="P63" s="506" t="s">
        <v>7489</v>
      </c>
      <c r="Q63" s="506" t="s">
        <v>7489</v>
      </c>
      <c r="R63" s="506" t="s">
        <v>7489</v>
      </c>
      <c r="S63" s="506"/>
      <c r="T63" s="506"/>
      <c r="U63" s="137">
        <f>IFERROR(VLOOKUP(A63,Sheet2!$A:$A,1,FALSE),)</f>
        <v>0</v>
      </c>
    </row>
    <row r="64" spans="1:22" s="507" customFormat="1">
      <c r="A64" s="503" t="s">
        <v>895</v>
      </c>
      <c r="B64" s="504" t="s">
        <v>1225</v>
      </c>
      <c r="C64" s="505" t="s">
        <v>7474</v>
      </c>
      <c r="D64" s="485" t="s">
        <v>207</v>
      </c>
      <c r="E64" s="485">
        <v>1</v>
      </c>
      <c r="F64" s="485"/>
      <c r="G64" s="485" t="s">
        <v>7503</v>
      </c>
      <c r="H64" s="506" t="s">
        <v>7489</v>
      </c>
      <c r="I64" s="506" t="s">
        <v>7489</v>
      </c>
      <c r="J64" s="506" t="s">
        <v>7489</v>
      </c>
      <c r="K64" s="506" t="s">
        <v>7491</v>
      </c>
      <c r="L64" s="506" t="s">
        <v>7491</v>
      </c>
      <c r="M64" s="506" t="s">
        <v>7491</v>
      </c>
      <c r="N64" s="506" t="s">
        <v>7491</v>
      </c>
      <c r="O64" s="506" t="s">
        <v>7495</v>
      </c>
      <c r="P64" s="506" t="s">
        <v>7489</v>
      </c>
      <c r="Q64" s="506" t="s">
        <v>7489</v>
      </c>
      <c r="R64" s="506" t="s">
        <v>7489</v>
      </c>
      <c r="S64" s="506"/>
      <c r="T64" s="506"/>
      <c r="U64" s="137">
        <f>IFERROR(VLOOKUP(A64,Sheet2!$A:$A,1,FALSE),)</f>
        <v>0</v>
      </c>
    </row>
    <row r="65" spans="1:22" s="507" customFormat="1">
      <c r="A65" s="503" t="s">
        <v>916</v>
      </c>
      <c r="B65" s="504" t="s">
        <v>1271</v>
      </c>
      <c r="C65" s="505" t="s">
        <v>7474</v>
      </c>
      <c r="D65" s="485" t="s">
        <v>207</v>
      </c>
      <c r="E65" s="485">
        <v>1</v>
      </c>
      <c r="F65" s="485"/>
      <c r="G65" s="485" t="s">
        <v>7503</v>
      </c>
      <c r="H65" s="506" t="s">
        <v>7489</v>
      </c>
      <c r="I65" s="506" t="s">
        <v>7489</v>
      </c>
      <c r="J65" s="506" t="s">
        <v>7489</v>
      </c>
      <c r="K65" s="506" t="s">
        <v>7491</v>
      </c>
      <c r="L65" s="506" t="s">
        <v>7491</v>
      </c>
      <c r="M65" s="506" t="s">
        <v>7491</v>
      </c>
      <c r="N65" s="506" t="s">
        <v>7491</v>
      </c>
      <c r="O65" s="506" t="s">
        <v>7495</v>
      </c>
      <c r="P65" s="506" t="s">
        <v>7489</v>
      </c>
      <c r="Q65" s="506" t="s">
        <v>7489</v>
      </c>
      <c r="R65" s="506" t="s">
        <v>7489</v>
      </c>
      <c r="S65" s="506"/>
      <c r="T65" s="506"/>
      <c r="U65" s="137">
        <f>IFERROR(VLOOKUP(A65,Sheet2!$A:$A,1,FALSE),)</f>
        <v>0</v>
      </c>
    </row>
    <row r="66" spans="1:22" s="499" customFormat="1">
      <c r="A66" s="494" t="s">
        <v>917</v>
      </c>
      <c r="B66" s="495" t="s">
        <v>1221</v>
      </c>
      <c r="C66" s="496" t="s">
        <v>7474</v>
      </c>
      <c r="D66" s="497" t="s">
        <v>7506</v>
      </c>
      <c r="E66" s="497">
        <v>1</v>
      </c>
      <c r="F66" s="497"/>
      <c r="G66" s="497" t="s">
        <v>7515</v>
      </c>
      <c r="H66" s="498" t="s">
        <v>7489</v>
      </c>
      <c r="I66" s="498" t="s">
        <v>7489</v>
      </c>
      <c r="J66" s="498" t="s">
        <v>7489</v>
      </c>
      <c r="K66" s="498" t="s">
        <v>7491</v>
      </c>
      <c r="L66" s="498" t="s">
        <v>7491</v>
      </c>
      <c r="M66" s="498" t="s">
        <v>7491</v>
      </c>
      <c r="N66" s="498" t="s">
        <v>7491</v>
      </c>
      <c r="O66" s="498" t="s">
        <v>7495</v>
      </c>
      <c r="P66" s="498" t="s">
        <v>7489</v>
      </c>
      <c r="Q66" s="498" t="s">
        <v>7489</v>
      </c>
      <c r="R66" s="498" t="s">
        <v>7489</v>
      </c>
      <c r="S66" s="498"/>
      <c r="T66" s="498"/>
      <c r="U66" s="499">
        <f>IFERROR(VLOOKUP(A66,Sheet2!$A:$A,1,FALSE),)</f>
        <v>0</v>
      </c>
    </row>
    <row r="67" spans="1:22" s="507" customFormat="1">
      <c r="A67" s="502" t="s">
        <v>924</v>
      </c>
      <c r="B67" s="504" t="s">
        <v>1247</v>
      </c>
      <c r="C67" s="505" t="s">
        <v>7474</v>
      </c>
      <c r="D67" s="485" t="s">
        <v>207</v>
      </c>
      <c r="E67" s="485">
        <v>1</v>
      </c>
      <c r="F67" s="485"/>
      <c r="G67" s="485" t="s">
        <v>7503</v>
      </c>
      <c r="H67" s="506"/>
      <c r="I67" s="506"/>
      <c r="J67" s="506"/>
      <c r="K67" s="506"/>
      <c r="L67" s="506"/>
      <c r="M67" s="506"/>
      <c r="N67" s="506"/>
      <c r="O67" s="506" t="s">
        <v>7500</v>
      </c>
      <c r="P67" s="506"/>
      <c r="Q67" s="506"/>
      <c r="R67" s="506"/>
      <c r="S67" s="506"/>
      <c r="T67" s="506"/>
      <c r="U67" s="507">
        <f>IFERROR(VLOOKUP(A67,Sheet2!$A:$A,1,FALSE),)</f>
        <v>0</v>
      </c>
    </row>
    <row r="68" spans="1:22" s="507" customFormat="1">
      <c r="A68" s="503" t="s">
        <v>926</v>
      </c>
      <c r="B68" s="504" t="s">
        <v>1225</v>
      </c>
      <c r="C68" s="505" t="s">
        <v>7474</v>
      </c>
      <c r="D68" s="485" t="s">
        <v>207</v>
      </c>
      <c r="E68" s="485">
        <v>1</v>
      </c>
      <c r="F68" s="485"/>
      <c r="G68" s="485" t="s">
        <v>7514</v>
      </c>
      <c r="H68" s="500" t="s">
        <v>7492</v>
      </c>
      <c r="I68" s="506" t="s">
        <v>7489</v>
      </c>
      <c r="J68" s="506" t="s">
        <v>7489</v>
      </c>
      <c r="K68" s="506" t="s">
        <v>7491</v>
      </c>
      <c r="L68" s="506" t="s">
        <v>7491</v>
      </c>
      <c r="M68" s="506" t="s">
        <v>7491</v>
      </c>
      <c r="N68" s="506" t="s">
        <v>7491</v>
      </c>
      <c r="O68" s="506" t="s">
        <v>7500</v>
      </c>
      <c r="P68" s="506" t="s">
        <v>7489</v>
      </c>
      <c r="Q68" s="506" t="s">
        <v>7489</v>
      </c>
      <c r="R68" s="506" t="s">
        <v>7489</v>
      </c>
      <c r="S68" s="506"/>
      <c r="T68" s="506"/>
      <c r="U68" s="507">
        <f>IFERROR(VLOOKUP(A68,Sheet2!$A:$A,1,FALSE),)</f>
        <v>0</v>
      </c>
    </row>
    <row r="69" spans="1:22">
      <c r="A69" s="503" t="s">
        <v>3667</v>
      </c>
      <c r="B69" s="504" t="s">
        <v>3663</v>
      </c>
      <c r="C69" s="505" t="s">
        <v>7474</v>
      </c>
      <c r="D69" s="485" t="s">
        <v>7314</v>
      </c>
      <c r="E69" s="485">
        <v>2</v>
      </c>
      <c r="F69" s="485"/>
      <c r="G69" s="485" t="s">
        <v>7503</v>
      </c>
      <c r="H69" s="500" t="s">
        <v>7492</v>
      </c>
      <c r="I69" s="506" t="s">
        <v>7489</v>
      </c>
      <c r="J69" s="506" t="s">
        <v>7489</v>
      </c>
      <c r="K69" s="500" t="s">
        <v>7493</v>
      </c>
      <c r="L69" s="500" t="s">
        <v>7493</v>
      </c>
      <c r="M69" s="500" t="s">
        <v>7493</v>
      </c>
      <c r="N69" s="506" t="s">
        <v>7491</v>
      </c>
      <c r="O69" s="506" t="s">
        <v>7499</v>
      </c>
      <c r="P69" s="483" t="s">
        <v>7489</v>
      </c>
      <c r="Q69" s="483" t="s">
        <v>7489</v>
      </c>
      <c r="R69" s="483" t="s">
        <v>7489</v>
      </c>
      <c r="S69" s="483"/>
      <c r="T69" s="483"/>
      <c r="U69" s="137">
        <f>IFERROR(VLOOKUP(A69,Sheet2!$A:$A,1,FALSE),)</f>
        <v>0</v>
      </c>
    </row>
    <row r="70" spans="1:22">
      <c r="A70" s="503" t="s">
        <v>943</v>
      </c>
      <c r="B70" s="505" t="s">
        <v>1341</v>
      </c>
      <c r="C70" s="505" t="s">
        <v>7474</v>
      </c>
      <c r="D70" s="485" t="s">
        <v>285</v>
      </c>
      <c r="E70" s="485">
        <v>1</v>
      </c>
      <c r="F70" s="485"/>
      <c r="G70" s="485"/>
      <c r="H70" s="506" t="s">
        <v>7489</v>
      </c>
      <c r="I70" s="506" t="s">
        <v>7489</v>
      </c>
      <c r="J70" s="506" t="s">
        <v>7489</v>
      </c>
      <c r="K70" s="506" t="s">
        <v>7489</v>
      </c>
      <c r="L70" s="500" t="s">
        <v>7493</v>
      </c>
      <c r="M70" s="500" t="s">
        <v>7493</v>
      </c>
      <c r="N70" s="506" t="s">
        <v>7495</v>
      </c>
      <c r="O70" s="506" t="s">
        <v>7491</v>
      </c>
      <c r="P70" s="483" t="s">
        <v>7489</v>
      </c>
      <c r="Q70" s="483" t="s">
        <v>7489</v>
      </c>
      <c r="R70" s="483" t="s">
        <v>7489</v>
      </c>
      <c r="S70" s="483"/>
      <c r="T70" s="483"/>
      <c r="U70" s="137">
        <f>IFERROR(VLOOKUP(A70,Sheet2!$A:$A,1,FALSE),)</f>
        <v>0</v>
      </c>
    </row>
    <row r="71" spans="1:22" s="507" customFormat="1">
      <c r="A71" s="503" t="s">
        <v>949</v>
      </c>
      <c r="B71" s="505" t="s">
        <v>1252</v>
      </c>
      <c r="C71" s="505" t="s">
        <v>7474</v>
      </c>
      <c r="D71" s="485" t="s">
        <v>7319</v>
      </c>
      <c r="E71" s="485">
        <v>2</v>
      </c>
      <c r="F71" s="485"/>
      <c r="G71" s="485" t="s">
        <v>7502</v>
      </c>
      <c r="H71" s="506" t="s">
        <v>7489</v>
      </c>
      <c r="I71" s="506" t="s">
        <v>7489</v>
      </c>
      <c r="J71" s="506" t="s">
        <v>7489</v>
      </c>
      <c r="K71" s="506" t="s">
        <v>7491</v>
      </c>
      <c r="L71" s="506" t="s">
        <v>7491</v>
      </c>
      <c r="M71" s="506" t="s">
        <v>7491</v>
      </c>
      <c r="N71" s="506" t="s">
        <v>7491</v>
      </c>
      <c r="O71" s="506" t="s">
        <v>7491</v>
      </c>
      <c r="P71" s="506" t="s">
        <v>7489</v>
      </c>
      <c r="Q71" s="506" t="s">
        <v>7489</v>
      </c>
      <c r="R71" s="506" t="s">
        <v>7489</v>
      </c>
      <c r="S71" s="506"/>
      <c r="T71" s="506"/>
      <c r="U71" s="137">
        <f>IFERROR(VLOOKUP(A71,Sheet2!$A:$A,1,FALSE),)</f>
        <v>0</v>
      </c>
    </row>
    <row r="72" spans="1:22" s="507" customFormat="1">
      <c r="A72" s="503" t="s">
        <v>950</v>
      </c>
      <c r="B72" s="505" t="s">
        <v>1271</v>
      </c>
      <c r="C72" s="505" t="s">
        <v>7474</v>
      </c>
      <c r="D72" s="485" t="s">
        <v>7322</v>
      </c>
      <c r="E72" s="485">
        <v>2</v>
      </c>
      <c r="F72" s="485"/>
      <c r="G72" s="485" t="s">
        <v>7519</v>
      </c>
      <c r="H72" s="506" t="s">
        <v>7489</v>
      </c>
      <c r="I72" s="506" t="s">
        <v>7489</v>
      </c>
      <c r="J72" s="506" t="s">
        <v>7489</v>
      </c>
      <c r="K72" s="506" t="s">
        <v>7491</v>
      </c>
      <c r="L72" s="506" t="s">
        <v>7491</v>
      </c>
      <c r="M72" s="506" t="s">
        <v>7491</v>
      </c>
      <c r="N72" s="506" t="s">
        <v>7491</v>
      </c>
      <c r="O72" s="506" t="s">
        <v>7491</v>
      </c>
      <c r="P72" s="506" t="s">
        <v>7489</v>
      </c>
      <c r="Q72" s="506" t="s">
        <v>7489</v>
      </c>
      <c r="R72" s="506" t="s">
        <v>7489</v>
      </c>
      <c r="S72" s="506"/>
      <c r="T72" s="506"/>
      <c r="U72" s="137">
        <f>IFERROR(VLOOKUP(A72,Sheet2!$A:$A,1,FALSE),)</f>
        <v>0</v>
      </c>
    </row>
    <row r="73" spans="1:22" s="499" customFormat="1">
      <c r="A73" s="494" t="s">
        <v>954</v>
      </c>
      <c r="B73" s="496" t="s">
        <v>1346</v>
      </c>
      <c r="C73" s="496" t="s">
        <v>7474</v>
      </c>
      <c r="D73" s="497" t="s">
        <v>7506</v>
      </c>
      <c r="E73" s="497">
        <v>2</v>
      </c>
      <c r="F73" s="485"/>
      <c r="G73" s="498" t="s">
        <v>7491</v>
      </c>
      <c r="H73" s="498" t="s">
        <v>7489</v>
      </c>
      <c r="I73" s="498" t="s">
        <v>7489</v>
      </c>
      <c r="J73" s="498" t="s">
        <v>7489</v>
      </c>
      <c r="K73" s="498" t="s">
        <v>7491</v>
      </c>
      <c r="L73" s="498" t="s">
        <v>7491</v>
      </c>
      <c r="M73" s="498" t="s">
        <v>7491</v>
      </c>
      <c r="N73" s="506" t="s">
        <v>7491</v>
      </c>
      <c r="O73" s="498" t="s">
        <v>7491</v>
      </c>
      <c r="P73" s="498" t="s">
        <v>7489</v>
      </c>
      <c r="Q73" s="498" t="s">
        <v>7489</v>
      </c>
      <c r="R73" s="498" t="s">
        <v>7489</v>
      </c>
      <c r="S73" s="498"/>
      <c r="T73" s="498"/>
      <c r="U73" s="499" t="str">
        <f>IFERROR(VLOOKUP(A73,Sheet2!$A:$A,1,FALSE),)</f>
        <v>R-1031</v>
      </c>
      <c r="V73" s="499" t="s">
        <v>7525</v>
      </c>
    </row>
    <row r="74" spans="1:22" s="507" customFormat="1">
      <c r="A74" s="503" t="s">
        <v>955</v>
      </c>
      <c r="B74" s="505" t="s">
        <v>1347</v>
      </c>
      <c r="C74" s="505" t="s">
        <v>7474</v>
      </c>
      <c r="D74" s="485" t="s">
        <v>7328</v>
      </c>
      <c r="E74" s="485">
        <v>2</v>
      </c>
      <c r="F74" s="485"/>
      <c r="G74" s="485"/>
      <c r="H74" s="506" t="s">
        <v>7489</v>
      </c>
      <c r="I74" s="506" t="s">
        <v>7489</v>
      </c>
      <c r="J74" s="506" t="s">
        <v>7489</v>
      </c>
      <c r="K74" s="506" t="s">
        <v>7491</v>
      </c>
      <c r="L74" s="506" t="s">
        <v>7491</v>
      </c>
      <c r="M74" s="506" t="s">
        <v>7491</v>
      </c>
      <c r="N74" s="506" t="s">
        <v>7491</v>
      </c>
      <c r="O74" s="506" t="s">
        <v>7491</v>
      </c>
      <c r="P74" s="506" t="s">
        <v>7489</v>
      </c>
      <c r="Q74" s="506" t="s">
        <v>7489</v>
      </c>
      <c r="R74" s="506" t="s">
        <v>7489</v>
      </c>
      <c r="S74" s="506"/>
      <c r="T74" s="506"/>
      <c r="U74" s="507">
        <f>IFERROR(VLOOKUP(A74,Sheet2!$A:$A,1,FALSE),)</f>
        <v>0</v>
      </c>
    </row>
    <row r="75" spans="1:22" s="507" customFormat="1">
      <c r="A75" s="503" t="s">
        <v>958</v>
      </c>
      <c r="B75" s="505" t="s">
        <v>1274</v>
      </c>
      <c r="C75" s="505" t="s">
        <v>7474</v>
      </c>
      <c r="D75" s="485" t="s">
        <v>285</v>
      </c>
      <c r="E75" s="485">
        <v>1</v>
      </c>
      <c r="F75" s="485"/>
      <c r="G75" s="485"/>
      <c r="H75" s="506" t="s">
        <v>7489</v>
      </c>
      <c r="I75" s="506" t="s">
        <v>7489</v>
      </c>
      <c r="J75" s="506" t="s">
        <v>7489</v>
      </c>
      <c r="K75" s="506" t="s">
        <v>7489</v>
      </c>
      <c r="L75" s="500" t="s">
        <v>7493</v>
      </c>
      <c r="M75" s="500" t="s">
        <v>7493</v>
      </c>
      <c r="N75" s="506" t="s">
        <v>7491</v>
      </c>
      <c r="O75" s="506" t="s">
        <v>7491</v>
      </c>
      <c r="P75" s="506" t="s">
        <v>7489</v>
      </c>
      <c r="Q75" s="506" t="s">
        <v>7489</v>
      </c>
      <c r="R75" s="506" t="s">
        <v>7489</v>
      </c>
      <c r="S75" s="506"/>
      <c r="T75" s="506"/>
      <c r="U75" s="137">
        <f>IFERROR(VLOOKUP(A75,Sheet2!$A:$A,1,FALSE),)</f>
        <v>0</v>
      </c>
    </row>
    <row r="76" spans="1:22" s="507" customFormat="1">
      <c r="A76" s="503" t="s">
        <v>959</v>
      </c>
      <c r="B76" s="505" t="s">
        <v>1221</v>
      </c>
      <c r="C76" s="505" t="s">
        <v>7474</v>
      </c>
      <c r="D76" s="485" t="s">
        <v>362</v>
      </c>
      <c r="E76" s="485">
        <v>1</v>
      </c>
      <c r="F76" s="485"/>
      <c r="G76" s="485"/>
      <c r="H76" s="506" t="s">
        <v>7489</v>
      </c>
      <c r="I76" s="506" t="s">
        <v>7489</v>
      </c>
      <c r="J76" s="506" t="s">
        <v>7489</v>
      </c>
      <c r="K76" s="506" t="s">
        <v>7491</v>
      </c>
      <c r="L76" s="506" t="s">
        <v>7491</v>
      </c>
      <c r="M76" s="506" t="s">
        <v>7491</v>
      </c>
      <c r="N76" s="506" t="s">
        <v>7491</v>
      </c>
      <c r="O76" s="506" t="s">
        <v>7491</v>
      </c>
      <c r="P76" s="506" t="s">
        <v>7489</v>
      </c>
      <c r="Q76" s="506" t="s">
        <v>7489</v>
      </c>
      <c r="R76" s="506" t="s">
        <v>7489</v>
      </c>
      <c r="S76" s="506"/>
      <c r="T76" s="506"/>
      <c r="U76" s="137">
        <f>IFERROR(VLOOKUP(A76,Sheet2!$A:$A,1,FALSE),)</f>
        <v>0</v>
      </c>
    </row>
    <row r="77" spans="1:22" s="499" customFormat="1">
      <c r="A77" s="494" t="s">
        <v>960</v>
      </c>
      <c r="B77" s="496" t="s">
        <v>1349</v>
      </c>
      <c r="C77" s="496" t="s">
        <v>7474</v>
      </c>
      <c r="D77" s="497" t="s">
        <v>7506</v>
      </c>
      <c r="E77" s="497">
        <v>1</v>
      </c>
      <c r="F77" s="485"/>
      <c r="G77" s="497"/>
      <c r="H77" s="498" t="s">
        <v>7489</v>
      </c>
      <c r="I77" s="498" t="s">
        <v>7489</v>
      </c>
      <c r="J77" s="498" t="s">
        <v>7489</v>
      </c>
      <c r="K77" s="498" t="s">
        <v>7491</v>
      </c>
      <c r="L77" s="498" t="s">
        <v>7491</v>
      </c>
      <c r="M77" s="498" t="s">
        <v>7491</v>
      </c>
      <c r="N77" s="498" t="s">
        <v>7491</v>
      </c>
      <c r="O77" s="498" t="s">
        <v>7491</v>
      </c>
      <c r="P77" s="498" t="s">
        <v>7489</v>
      </c>
      <c r="Q77" s="498" t="s">
        <v>7489</v>
      </c>
      <c r="R77" s="498" t="s">
        <v>7489</v>
      </c>
      <c r="S77" s="498"/>
      <c r="T77" s="498"/>
      <c r="U77" s="499" t="str">
        <f>IFERROR(VLOOKUP(A77,Sheet2!$A:$A,1,FALSE),)</f>
        <v>R-1037</v>
      </c>
      <c r="V77" s="499" t="s">
        <v>7525</v>
      </c>
    </row>
    <row r="78" spans="1:22" s="507" customFormat="1">
      <c r="A78" s="503" t="s">
        <v>963</v>
      </c>
      <c r="B78" s="505" t="s">
        <v>1276</v>
      </c>
      <c r="C78" s="505" t="s">
        <v>7474</v>
      </c>
      <c r="D78" s="485" t="s">
        <v>7520</v>
      </c>
      <c r="E78" s="485">
        <v>1</v>
      </c>
      <c r="F78" s="485"/>
      <c r="G78" s="485" t="s">
        <v>7503</v>
      </c>
      <c r="H78" s="506" t="s">
        <v>7489</v>
      </c>
      <c r="I78" s="506" t="s">
        <v>7489</v>
      </c>
      <c r="J78" s="506" t="s">
        <v>7489</v>
      </c>
      <c r="K78" s="506" t="s">
        <v>7491</v>
      </c>
      <c r="L78" s="506" t="s">
        <v>7491</v>
      </c>
      <c r="M78" s="506" t="s">
        <v>7491</v>
      </c>
      <c r="N78" s="506" t="s">
        <v>7491</v>
      </c>
      <c r="O78" s="506" t="s">
        <v>7491</v>
      </c>
      <c r="P78" s="506" t="s">
        <v>7489</v>
      </c>
      <c r="Q78" s="506" t="s">
        <v>7489</v>
      </c>
      <c r="R78" s="506" t="s">
        <v>7489</v>
      </c>
      <c r="S78" s="506"/>
      <c r="T78" s="506"/>
      <c r="U78" s="137">
        <f>IFERROR(VLOOKUP(A78,Sheet2!$A:$A,1,FALSE),)</f>
        <v>0</v>
      </c>
    </row>
    <row r="79" spans="1:22" s="507" customFormat="1">
      <c r="A79" s="503" t="s">
        <v>964</v>
      </c>
      <c r="B79" s="505" t="s">
        <v>1225</v>
      </c>
      <c r="C79" s="505" t="s">
        <v>7474</v>
      </c>
      <c r="D79" s="485" t="s">
        <v>606</v>
      </c>
      <c r="E79" s="485">
        <v>1</v>
      </c>
      <c r="F79" s="485"/>
      <c r="G79" s="485"/>
      <c r="H79" s="506" t="s">
        <v>7489</v>
      </c>
      <c r="I79" s="506" t="s">
        <v>7489</v>
      </c>
      <c r="J79" s="506" t="s">
        <v>7489</v>
      </c>
      <c r="K79" s="506" t="s">
        <v>7491</v>
      </c>
      <c r="L79" s="506" t="s">
        <v>7491</v>
      </c>
      <c r="M79" s="506" t="s">
        <v>7491</v>
      </c>
      <c r="N79" s="506" t="s">
        <v>7491</v>
      </c>
      <c r="O79" s="506" t="s">
        <v>7491</v>
      </c>
      <c r="P79" s="506" t="s">
        <v>7489</v>
      </c>
      <c r="Q79" s="506" t="s">
        <v>7489</v>
      </c>
      <c r="R79" s="506" t="s">
        <v>7489</v>
      </c>
      <c r="S79" s="506"/>
      <c r="T79" s="506"/>
      <c r="U79" s="137">
        <f>IFERROR(VLOOKUP(A79,Sheet2!$A:$A,1,FALSE),)</f>
        <v>0</v>
      </c>
    </row>
    <row r="80" spans="1:22" s="507" customFormat="1">
      <c r="A80" s="503" t="s">
        <v>965</v>
      </c>
      <c r="B80" s="505" t="s">
        <v>1224</v>
      </c>
      <c r="C80" s="505" t="s">
        <v>7474</v>
      </c>
      <c r="D80" s="485" t="s">
        <v>620</v>
      </c>
      <c r="E80" s="485">
        <v>1</v>
      </c>
      <c r="F80" s="485"/>
      <c r="G80" s="485"/>
      <c r="H80" s="506" t="s">
        <v>7489</v>
      </c>
      <c r="I80" s="506" t="s">
        <v>7489</v>
      </c>
      <c r="J80" s="506" t="s">
        <v>7489</v>
      </c>
      <c r="K80" s="506" t="s">
        <v>7491</v>
      </c>
      <c r="L80" s="506" t="s">
        <v>7491</v>
      </c>
      <c r="M80" s="506" t="s">
        <v>7491</v>
      </c>
      <c r="N80" s="506" t="s">
        <v>7491</v>
      </c>
      <c r="O80" s="506" t="s">
        <v>7491</v>
      </c>
      <c r="P80" s="506" t="s">
        <v>7489</v>
      </c>
      <c r="Q80" s="506" t="s">
        <v>7489</v>
      </c>
      <c r="R80" s="506" t="s">
        <v>7489</v>
      </c>
      <c r="S80" s="506"/>
      <c r="T80" s="506"/>
      <c r="U80" s="137">
        <f>IFERROR(VLOOKUP(A80,Sheet2!$A:$A,1,FALSE),)</f>
        <v>0</v>
      </c>
    </row>
    <row r="81" spans="1:22" s="507" customFormat="1">
      <c r="A81" s="503" t="s">
        <v>976</v>
      </c>
      <c r="B81" s="505" t="s">
        <v>1354</v>
      </c>
      <c r="C81" s="505" t="s">
        <v>7474</v>
      </c>
      <c r="D81" s="485" t="s">
        <v>207</v>
      </c>
      <c r="E81" s="485">
        <v>1</v>
      </c>
      <c r="F81" s="485"/>
      <c r="G81" s="485" t="s">
        <v>7503</v>
      </c>
      <c r="H81" s="506" t="s">
        <v>7489</v>
      </c>
      <c r="I81" s="506" t="s">
        <v>7489</v>
      </c>
      <c r="J81" s="506" t="s">
        <v>7489</v>
      </c>
      <c r="K81" s="506" t="s">
        <v>7491</v>
      </c>
      <c r="L81" s="506" t="s">
        <v>7491</v>
      </c>
      <c r="M81" s="506" t="s">
        <v>7491</v>
      </c>
      <c r="N81" s="506" t="s">
        <v>7491</v>
      </c>
      <c r="O81" s="506" t="s">
        <v>7491</v>
      </c>
      <c r="P81" s="506" t="s">
        <v>7489</v>
      </c>
      <c r="Q81" s="506" t="s">
        <v>7489</v>
      </c>
      <c r="R81" s="506" t="s">
        <v>7489</v>
      </c>
      <c r="S81" s="506"/>
      <c r="T81" s="506"/>
      <c r="U81" s="137">
        <f>IFERROR(VLOOKUP(A81,Sheet2!$A:$A,1,FALSE),)</f>
        <v>0</v>
      </c>
    </row>
    <row r="82" spans="1:22" s="507" customFormat="1">
      <c r="A82" s="503" t="s">
        <v>988</v>
      </c>
      <c r="B82" s="505" t="s">
        <v>1252</v>
      </c>
      <c r="C82" s="505" t="s">
        <v>7474</v>
      </c>
      <c r="D82" s="485" t="s">
        <v>207</v>
      </c>
      <c r="E82" s="485">
        <v>1</v>
      </c>
      <c r="F82" s="485"/>
      <c r="G82" s="485" t="s">
        <v>7503</v>
      </c>
      <c r="H82" s="506" t="s">
        <v>7489</v>
      </c>
      <c r="I82" s="500" t="s">
        <v>7492</v>
      </c>
      <c r="J82" s="506" t="s">
        <v>7489</v>
      </c>
      <c r="K82" s="506" t="s">
        <v>7491</v>
      </c>
      <c r="L82" s="506" t="s">
        <v>7491</v>
      </c>
      <c r="M82" s="506" t="s">
        <v>7491</v>
      </c>
      <c r="N82" s="506" t="s">
        <v>7491</v>
      </c>
      <c r="O82" s="506" t="s">
        <v>7491</v>
      </c>
      <c r="P82" s="506" t="s">
        <v>7489</v>
      </c>
      <c r="Q82" s="506" t="s">
        <v>7489</v>
      </c>
      <c r="R82" s="506" t="s">
        <v>7489</v>
      </c>
      <c r="S82" s="506"/>
      <c r="T82" s="506"/>
      <c r="U82" s="507">
        <f>IFERROR(VLOOKUP(A82,Sheet2!$A:$A,1,FALSE),)</f>
        <v>0</v>
      </c>
    </row>
    <row r="83" spans="1:22" s="507" customFormat="1">
      <c r="A83" s="503" t="s">
        <v>991</v>
      </c>
      <c r="B83" s="505" t="s">
        <v>1358</v>
      </c>
      <c r="C83" s="505" t="s">
        <v>7474</v>
      </c>
      <c r="D83" s="485" t="s">
        <v>546</v>
      </c>
      <c r="E83" s="485">
        <v>1</v>
      </c>
      <c r="F83" s="485"/>
      <c r="G83" s="485"/>
      <c r="H83" s="506" t="s">
        <v>7489</v>
      </c>
      <c r="I83" s="506" t="s">
        <v>7489</v>
      </c>
      <c r="J83" s="506" t="s">
        <v>7489</v>
      </c>
      <c r="K83" s="506" t="s">
        <v>7491</v>
      </c>
      <c r="L83" s="506" t="s">
        <v>7491</v>
      </c>
      <c r="M83" s="506" t="s">
        <v>7491</v>
      </c>
      <c r="N83" s="506" t="s">
        <v>7491</v>
      </c>
      <c r="O83" s="506" t="s">
        <v>7491</v>
      </c>
      <c r="P83" s="506" t="s">
        <v>7489</v>
      </c>
      <c r="Q83" s="506" t="s">
        <v>7489</v>
      </c>
      <c r="R83" s="506" t="s">
        <v>7489</v>
      </c>
      <c r="S83" s="506"/>
      <c r="T83" s="506"/>
      <c r="U83" s="137">
        <f>IFERROR(VLOOKUP(A83,Sheet2!$A:$A,1,FALSE),)</f>
        <v>0</v>
      </c>
    </row>
    <row r="84" spans="1:22" s="507" customFormat="1">
      <c r="A84" s="503" t="s">
        <v>994</v>
      </c>
      <c r="B84" s="505" t="s">
        <v>1217</v>
      </c>
      <c r="C84" s="505" t="s">
        <v>7474</v>
      </c>
      <c r="D84" s="485" t="s">
        <v>207</v>
      </c>
      <c r="E84" s="485">
        <v>1</v>
      </c>
      <c r="F84" s="485"/>
      <c r="G84" s="485" t="s">
        <v>7515</v>
      </c>
      <c r="H84" s="506" t="s">
        <v>7489</v>
      </c>
      <c r="I84" s="506" t="s">
        <v>7489</v>
      </c>
      <c r="J84" s="506" t="s">
        <v>7489</v>
      </c>
      <c r="K84" s="506" t="s">
        <v>7491</v>
      </c>
      <c r="L84" s="506" t="s">
        <v>7491</v>
      </c>
      <c r="M84" s="506" t="s">
        <v>7491</v>
      </c>
      <c r="N84" s="506" t="s">
        <v>7491</v>
      </c>
      <c r="O84" s="506" t="s">
        <v>7491</v>
      </c>
      <c r="P84" s="506" t="s">
        <v>7489</v>
      </c>
      <c r="Q84" s="506" t="s">
        <v>7489</v>
      </c>
      <c r="R84" s="506" t="s">
        <v>7489</v>
      </c>
      <c r="S84" s="506"/>
      <c r="T84" s="506"/>
      <c r="U84" s="137">
        <f>IFERROR(VLOOKUP(A84,Sheet2!$A:$A,1,FALSE),)</f>
        <v>0</v>
      </c>
    </row>
    <row r="85" spans="1:22" s="507" customFormat="1">
      <c r="A85" s="508" t="s">
        <v>996</v>
      </c>
      <c r="B85" s="505" t="s">
        <v>1359</v>
      </c>
      <c r="C85" s="505" t="s">
        <v>7474</v>
      </c>
      <c r="D85" s="485" t="s">
        <v>3141</v>
      </c>
      <c r="E85" s="485">
        <v>1</v>
      </c>
      <c r="F85" s="485"/>
      <c r="G85" s="485" t="s">
        <v>7503</v>
      </c>
      <c r="H85" s="506" t="s">
        <v>7489</v>
      </c>
      <c r="I85" s="506" t="s">
        <v>7489</v>
      </c>
      <c r="J85" s="506" t="s">
        <v>7489</v>
      </c>
      <c r="K85" s="506" t="s">
        <v>7491</v>
      </c>
      <c r="L85" s="506" t="s">
        <v>7491</v>
      </c>
      <c r="M85" s="506" t="s">
        <v>7491</v>
      </c>
      <c r="N85" s="506" t="s">
        <v>7495</v>
      </c>
      <c r="O85" s="506" t="s">
        <v>7495</v>
      </c>
      <c r="P85" s="506" t="s">
        <v>7489</v>
      </c>
      <c r="Q85" s="506" t="s">
        <v>7489</v>
      </c>
      <c r="R85" s="506" t="s">
        <v>7489</v>
      </c>
      <c r="S85" s="506"/>
      <c r="T85" s="506"/>
      <c r="U85" s="137">
        <f>IFERROR(VLOOKUP(A85,Sheet2!$A:$A,1,FALSE),)</f>
        <v>0</v>
      </c>
    </row>
    <row r="86" spans="1:22" s="499" customFormat="1">
      <c r="A86" s="494" t="s">
        <v>1000</v>
      </c>
      <c r="B86" s="496" t="s">
        <v>1256</v>
      </c>
      <c r="C86" s="496" t="s">
        <v>7474</v>
      </c>
      <c r="D86" s="497" t="s">
        <v>7506</v>
      </c>
      <c r="E86" s="497"/>
      <c r="F86" s="485"/>
      <c r="G86" s="497"/>
      <c r="H86" s="498"/>
      <c r="I86" s="498"/>
      <c r="J86" s="498"/>
      <c r="K86" s="498"/>
      <c r="L86" s="498"/>
      <c r="M86" s="498"/>
      <c r="N86" s="498"/>
      <c r="O86" s="498"/>
      <c r="P86" s="498"/>
      <c r="Q86" s="498"/>
      <c r="R86" s="498"/>
      <c r="S86" s="498"/>
      <c r="T86" s="498"/>
      <c r="U86" s="499" t="str">
        <f>IFERROR(VLOOKUP(A86,Sheet2!$A:$A,1,FALSE),)</f>
        <v>R-1080</v>
      </c>
      <c r="V86" s="499" t="s">
        <v>7525</v>
      </c>
    </row>
    <row r="87" spans="1:22" s="507" customFormat="1">
      <c r="A87" s="503" t="s">
        <v>1004</v>
      </c>
      <c r="B87" s="505" t="s">
        <v>1361</v>
      </c>
      <c r="C87" s="505" t="s">
        <v>7474</v>
      </c>
      <c r="D87" s="485" t="s">
        <v>362</v>
      </c>
      <c r="E87" s="485">
        <v>1</v>
      </c>
      <c r="F87" s="485"/>
      <c r="G87" s="485"/>
      <c r="H87" s="506" t="s">
        <v>7489</v>
      </c>
      <c r="I87" s="506" t="s">
        <v>7489</v>
      </c>
      <c r="J87" s="506" t="s">
        <v>7489</v>
      </c>
      <c r="K87" s="506" t="s">
        <v>7491</v>
      </c>
      <c r="L87" s="506" t="s">
        <v>7491</v>
      </c>
      <c r="M87" s="506" t="s">
        <v>7491</v>
      </c>
      <c r="N87" s="506" t="s">
        <v>7491</v>
      </c>
      <c r="O87" s="506" t="s">
        <v>7491</v>
      </c>
      <c r="P87" s="506" t="s">
        <v>7489</v>
      </c>
      <c r="Q87" s="506" t="s">
        <v>7489</v>
      </c>
      <c r="R87" s="506" t="s">
        <v>7489</v>
      </c>
      <c r="S87" s="506"/>
      <c r="T87" s="506"/>
      <c r="U87" s="137">
        <f>IFERROR(VLOOKUP(A87,Sheet2!$A:$A,1,FALSE),)</f>
        <v>0</v>
      </c>
    </row>
    <row r="88" spans="1:22" s="507" customFormat="1">
      <c r="A88" s="503" t="s">
        <v>1005</v>
      </c>
      <c r="B88" s="505" t="s">
        <v>1226</v>
      </c>
      <c r="C88" s="505" t="s">
        <v>7474</v>
      </c>
      <c r="D88" s="485" t="s">
        <v>207</v>
      </c>
      <c r="E88" s="485">
        <v>1</v>
      </c>
      <c r="F88" s="485"/>
      <c r="G88" s="485" t="s">
        <v>7515</v>
      </c>
      <c r="H88" s="506" t="s">
        <v>7489</v>
      </c>
      <c r="I88" s="506" t="s">
        <v>7489</v>
      </c>
      <c r="J88" s="506" t="s">
        <v>7489</v>
      </c>
      <c r="K88" s="506" t="s">
        <v>7491</v>
      </c>
      <c r="L88" s="506" t="s">
        <v>7491</v>
      </c>
      <c r="M88" s="506" t="s">
        <v>7491</v>
      </c>
      <c r="N88" s="506" t="s">
        <v>7491</v>
      </c>
      <c r="O88" s="506" t="s">
        <v>7491</v>
      </c>
      <c r="P88" s="506" t="s">
        <v>7489</v>
      </c>
      <c r="Q88" s="506" t="s">
        <v>7489</v>
      </c>
      <c r="R88" s="506" t="s">
        <v>7489</v>
      </c>
      <c r="S88" s="506"/>
      <c r="T88" s="506"/>
      <c r="U88" s="137">
        <f>IFERROR(VLOOKUP(A88,Sheet2!$A:$A,1,FALSE),)</f>
        <v>0</v>
      </c>
    </row>
    <row r="89" spans="1:22" s="507" customFormat="1">
      <c r="A89" s="503" t="s">
        <v>1006</v>
      </c>
      <c r="B89" s="505" t="s">
        <v>1231</v>
      </c>
      <c r="C89" s="505" t="s">
        <v>7474</v>
      </c>
      <c r="D89" s="485" t="s">
        <v>207</v>
      </c>
      <c r="E89" s="485">
        <v>1</v>
      </c>
      <c r="F89" s="485"/>
      <c r="G89" s="485" t="s">
        <v>7503</v>
      </c>
      <c r="H89" s="506" t="s">
        <v>7489</v>
      </c>
      <c r="I89" s="506" t="s">
        <v>7489</v>
      </c>
      <c r="J89" s="506" t="s">
        <v>7489</v>
      </c>
      <c r="K89" s="506" t="s">
        <v>7491</v>
      </c>
      <c r="L89" s="506" t="s">
        <v>7491</v>
      </c>
      <c r="M89" s="506" t="s">
        <v>7491</v>
      </c>
      <c r="N89" s="500" t="s">
        <v>7492</v>
      </c>
      <c r="O89" s="506" t="s">
        <v>7495</v>
      </c>
      <c r="P89" s="506" t="s">
        <v>7489</v>
      </c>
      <c r="Q89" s="506" t="s">
        <v>7489</v>
      </c>
      <c r="R89" s="506" t="s">
        <v>7489</v>
      </c>
      <c r="S89" s="506"/>
      <c r="T89" s="506"/>
      <c r="U89" s="137">
        <f>IFERROR(VLOOKUP(A89,Sheet2!$A:$A,1,FALSE),)</f>
        <v>0</v>
      </c>
    </row>
    <row r="90" spans="1:22" s="507" customFormat="1">
      <c r="A90" s="503" t="s">
        <v>1009</v>
      </c>
      <c r="B90" s="504" t="s">
        <v>1221</v>
      </c>
      <c r="C90" s="505" t="s">
        <v>7474</v>
      </c>
      <c r="D90" s="485" t="s">
        <v>207</v>
      </c>
      <c r="E90" s="485">
        <v>1</v>
      </c>
      <c r="F90" s="485"/>
      <c r="G90" s="485" t="s">
        <v>7503</v>
      </c>
      <c r="H90" s="500" t="s">
        <v>7492</v>
      </c>
      <c r="I90" s="506" t="s">
        <v>7489</v>
      </c>
      <c r="J90" s="506" t="s">
        <v>7489</v>
      </c>
      <c r="K90" s="506" t="s">
        <v>7491</v>
      </c>
      <c r="L90" s="506" t="s">
        <v>7491</v>
      </c>
      <c r="M90" s="506" t="s">
        <v>7491</v>
      </c>
      <c r="N90" s="506" t="s">
        <v>7491</v>
      </c>
      <c r="O90" s="506" t="s">
        <v>7491</v>
      </c>
      <c r="P90" s="506" t="s">
        <v>7489</v>
      </c>
      <c r="Q90" s="506" t="s">
        <v>7489</v>
      </c>
      <c r="R90" s="506" t="s">
        <v>7489</v>
      </c>
      <c r="S90" s="506"/>
      <c r="T90" s="506"/>
      <c r="U90" s="507">
        <f>IFERROR(VLOOKUP(A90,Sheet2!$A:$A,1,FALSE),)</f>
        <v>0</v>
      </c>
    </row>
    <row r="91" spans="1:22" s="507" customFormat="1">
      <c r="A91" s="503" t="s">
        <v>1013</v>
      </c>
      <c r="B91" s="504" t="s">
        <v>1278</v>
      </c>
      <c r="C91" s="505" t="s">
        <v>7474</v>
      </c>
      <c r="D91" s="485" t="s">
        <v>207</v>
      </c>
      <c r="E91" s="485">
        <v>1</v>
      </c>
      <c r="F91" s="485"/>
      <c r="G91" s="485" t="s">
        <v>7503</v>
      </c>
      <c r="H91" s="506" t="s">
        <v>7489</v>
      </c>
      <c r="I91" s="506" t="s">
        <v>7489</v>
      </c>
      <c r="J91" s="506" t="s">
        <v>7489</v>
      </c>
      <c r="K91" s="506" t="s">
        <v>7491</v>
      </c>
      <c r="L91" s="506" t="s">
        <v>7491</v>
      </c>
      <c r="M91" s="506" t="s">
        <v>7491</v>
      </c>
      <c r="N91" s="506" t="s">
        <v>7491</v>
      </c>
      <c r="O91" s="506" t="s">
        <v>7495</v>
      </c>
      <c r="P91" s="506" t="s">
        <v>7489</v>
      </c>
      <c r="Q91" s="506" t="s">
        <v>7489</v>
      </c>
      <c r="R91" s="506" t="s">
        <v>7489</v>
      </c>
      <c r="S91" s="506"/>
      <c r="T91" s="506"/>
      <c r="U91" s="507">
        <f>IFERROR(VLOOKUP(A91,Sheet2!$A:$A,1,FALSE),)</f>
        <v>0</v>
      </c>
    </row>
    <row r="92" spans="1:22" s="507" customFormat="1">
      <c r="A92" s="503" t="s">
        <v>1014</v>
      </c>
      <c r="B92" s="504" t="s">
        <v>1221</v>
      </c>
      <c r="C92" s="505" t="s">
        <v>7474</v>
      </c>
      <c r="D92" s="485" t="s">
        <v>207</v>
      </c>
      <c r="E92" s="485">
        <v>1</v>
      </c>
      <c r="F92" s="485"/>
      <c r="G92" s="485" t="s">
        <v>7503</v>
      </c>
      <c r="H92" s="506" t="s">
        <v>7489</v>
      </c>
      <c r="I92" s="506" t="s">
        <v>7489</v>
      </c>
      <c r="J92" s="506" t="s">
        <v>7489</v>
      </c>
      <c r="K92" s="506" t="s">
        <v>7491</v>
      </c>
      <c r="L92" s="506" t="s">
        <v>7491</v>
      </c>
      <c r="M92" s="506" t="s">
        <v>7491</v>
      </c>
      <c r="N92" s="506" t="s">
        <v>7491</v>
      </c>
      <c r="O92" s="506" t="s">
        <v>7491</v>
      </c>
      <c r="P92" s="506" t="s">
        <v>7489</v>
      </c>
      <c r="Q92" s="506" t="s">
        <v>7489</v>
      </c>
      <c r="R92" s="506" t="s">
        <v>7489</v>
      </c>
      <c r="S92" s="506"/>
      <c r="T92" s="506"/>
      <c r="U92" s="507">
        <f>IFERROR(VLOOKUP(A92,Sheet2!$A:$A,1,FALSE),)</f>
        <v>0</v>
      </c>
    </row>
    <row r="93" spans="1:22" s="507" customFormat="1">
      <c r="A93" s="503" t="s">
        <v>1017</v>
      </c>
      <c r="B93" s="504" t="s">
        <v>1229</v>
      </c>
      <c r="C93" s="505" t="s">
        <v>7474</v>
      </c>
      <c r="D93" s="485" t="s">
        <v>531</v>
      </c>
      <c r="E93" s="485">
        <v>1</v>
      </c>
      <c r="F93" s="485"/>
      <c r="G93" s="485" t="s">
        <v>7503</v>
      </c>
      <c r="H93" s="506" t="s">
        <v>7489</v>
      </c>
      <c r="I93" s="506" t="s">
        <v>7489</v>
      </c>
      <c r="J93" s="506" t="s">
        <v>7489</v>
      </c>
      <c r="K93" s="506" t="s">
        <v>7491</v>
      </c>
      <c r="L93" s="506" t="s">
        <v>7491</v>
      </c>
      <c r="M93" s="506" t="s">
        <v>7491</v>
      </c>
      <c r="N93" s="506" t="s">
        <v>7491</v>
      </c>
      <c r="O93" s="506" t="s">
        <v>7491</v>
      </c>
      <c r="P93" s="506" t="s">
        <v>7489</v>
      </c>
      <c r="Q93" s="506" t="s">
        <v>7489</v>
      </c>
      <c r="R93" s="506" t="s">
        <v>7489</v>
      </c>
      <c r="S93" s="506"/>
      <c r="T93" s="506"/>
      <c r="U93" s="507">
        <f>IFERROR(VLOOKUP(A93,Sheet2!$A:$A,1,FALSE),)</f>
        <v>0</v>
      </c>
    </row>
    <row r="94" spans="1:22" s="507" customFormat="1">
      <c r="A94" s="503" t="s">
        <v>1019</v>
      </c>
      <c r="B94" s="504" t="s">
        <v>1219</v>
      </c>
      <c r="C94" s="505" t="s">
        <v>7474</v>
      </c>
      <c r="D94" s="485" t="s">
        <v>207</v>
      </c>
      <c r="E94" s="485">
        <v>1</v>
      </c>
      <c r="F94" s="485"/>
      <c r="G94" s="485" t="s">
        <v>7491</v>
      </c>
      <c r="H94" s="506" t="s">
        <v>7489</v>
      </c>
      <c r="I94" s="506" t="s">
        <v>7489</v>
      </c>
      <c r="J94" s="506" t="s">
        <v>7489</v>
      </c>
      <c r="K94" s="506" t="s">
        <v>7491</v>
      </c>
      <c r="L94" s="506" t="s">
        <v>7491</v>
      </c>
      <c r="M94" s="506" t="s">
        <v>7491</v>
      </c>
      <c r="N94" s="506" t="s">
        <v>7491</v>
      </c>
      <c r="O94" s="506" t="s">
        <v>7491</v>
      </c>
      <c r="P94" s="506" t="s">
        <v>7489</v>
      </c>
      <c r="Q94" s="506" t="s">
        <v>7489</v>
      </c>
      <c r="R94" s="506" t="s">
        <v>7489</v>
      </c>
      <c r="S94" s="506"/>
      <c r="T94" s="506"/>
      <c r="U94" s="507">
        <f>IFERROR(VLOOKUP(A94,Sheet2!$A:$A,1,FALSE),)</f>
        <v>0</v>
      </c>
    </row>
    <row r="95" spans="1:22" s="507" customFormat="1">
      <c r="A95" s="503" t="s">
        <v>1028</v>
      </c>
      <c r="B95" s="504" t="s">
        <v>1218</v>
      </c>
      <c r="C95" s="505" t="s">
        <v>7474</v>
      </c>
      <c r="D95" s="485" t="s">
        <v>606</v>
      </c>
      <c r="E95" s="485">
        <v>1</v>
      </c>
      <c r="F95" s="485"/>
      <c r="G95" s="485" t="s">
        <v>7503</v>
      </c>
      <c r="H95" s="506" t="s">
        <v>7489</v>
      </c>
      <c r="I95" s="500" t="s">
        <v>7492</v>
      </c>
      <c r="J95" s="506" t="s">
        <v>7507</v>
      </c>
      <c r="K95" s="506" t="s">
        <v>7508</v>
      </c>
      <c r="L95" s="506" t="s">
        <v>7508</v>
      </c>
      <c r="M95" s="506" t="s">
        <v>7508</v>
      </c>
      <c r="N95" s="506" t="s">
        <v>7509</v>
      </c>
      <c r="O95" s="506" t="s">
        <v>7491</v>
      </c>
      <c r="P95" s="506" t="s">
        <v>7507</v>
      </c>
      <c r="Q95" s="506" t="s">
        <v>7507</v>
      </c>
      <c r="R95" s="506" t="s">
        <v>7507</v>
      </c>
      <c r="S95" s="506"/>
      <c r="T95" s="506"/>
      <c r="U95" s="507">
        <f>IFERROR(VLOOKUP(A95,Sheet2!$A:$A,1,FALSE),)</f>
        <v>0</v>
      </c>
    </row>
    <row r="96" spans="1:22" s="507" customFormat="1">
      <c r="A96" s="503" t="s">
        <v>1031</v>
      </c>
      <c r="B96" s="504" t="s">
        <v>1238</v>
      </c>
      <c r="C96" s="505" t="s">
        <v>7474</v>
      </c>
      <c r="D96" s="485" t="s">
        <v>3386</v>
      </c>
      <c r="E96" s="485">
        <v>1</v>
      </c>
      <c r="F96" s="485"/>
      <c r="G96" s="485"/>
      <c r="H96" s="506" t="s">
        <v>7489</v>
      </c>
      <c r="I96" s="506" t="s">
        <v>7489</v>
      </c>
      <c r="J96" s="506" t="s">
        <v>7489</v>
      </c>
      <c r="K96" s="506" t="s">
        <v>7510</v>
      </c>
      <c r="L96" s="506" t="s">
        <v>7508</v>
      </c>
      <c r="M96" s="506" t="s">
        <v>7510</v>
      </c>
      <c r="N96" s="506" t="s">
        <v>7511</v>
      </c>
      <c r="O96" s="506" t="s">
        <v>7512</v>
      </c>
      <c r="P96" s="506" t="s">
        <v>7513</v>
      </c>
      <c r="Q96" s="506" t="s">
        <v>7489</v>
      </c>
      <c r="R96" s="506" t="s">
        <v>7489</v>
      </c>
      <c r="S96" s="506"/>
      <c r="T96" s="506"/>
      <c r="U96" s="507">
        <f>IFERROR(VLOOKUP(A96,Sheet2!$A:$A,1,FALSE),)</f>
        <v>0</v>
      </c>
    </row>
    <row r="97" spans="1:21" s="507" customFormat="1">
      <c r="A97" s="503" t="s">
        <v>1032</v>
      </c>
      <c r="B97" s="504" t="s">
        <v>1231</v>
      </c>
      <c r="C97" s="505" t="s">
        <v>7474</v>
      </c>
      <c r="D97" s="485" t="s">
        <v>7376</v>
      </c>
      <c r="E97" s="485">
        <v>2</v>
      </c>
      <c r="F97" s="485"/>
      <c r="G97" s="485" t="s">
        <v>7503</v>
      </c>
      <c r="H97" s="506" t="s">
        <v>7489</v>
      </c>
      <c r="I97" s="506" t="s">
        <v>7489</v>
      </c>
      <c r="J97" s="506" t="s">
        <v>7489</v>
      </c>
      <c r="K97" s="506" t="s">
        <v>7491</v>
      </c>
      <c r="L97" s="506" t="s">
        <v>7491</v>
      </c>
      <c r="M97" s="506" t="s">
        <v>7491</v>
      </c>
      <c r="N97" s="506" t="s">
        <v>7491</v>
      </c>
      <c r="O97" s="506" t="s">
        <v>7491</v>
      </c>
      <c r="P97" s="506" t="s">
        <v>7489</v>
      </c>
      <c r="Q97" s="506" t="s">
        <v>7489</v>
      </c>
      <c r="R97" s="506" t="s">
        <v>7489</v>
      </c>
      <c r="S97" s="506"/>
      <c r="T97" s="506"/>
      <c r="U97" s="507">
        <f>IFERROR(VLOOKUP(A97,Sheet2!$A:$A,1,FALSE),)</f>
        <v>0</v>
      </c>
    </row>
    <row r="98" spans="1:21" s="507" customFormat="1">
      <c r="A98" s="503" t="s">
        <v>1033</v>
      </c>
      <c r="B98" s="504" t="s">
        <v>1229</v>
      </c>
      <c r="C98" s="505" t="s">
        <v>7474</v>
      </c>
      <c r="D98" s="485" t="s">
        <v>7379</v>
      </c>
      <c r="E98" s="485">
        <v>2</v>
      </c>
      <c r="F98" s="485"/>
      <c r="G98" s="485" t="s">
        <v>7503</v>
      </c>
      <c r="H98" s="506" t="s">
        <v>7489</v>
      </c>
      <c r="I98" s="506" t="s">
        <v>7489</v>
      </c>
      <c r="J98" s="506" t="s">
        <v>7489</v>
      </c>
      <c r="K98" s="506" t="s">
        <v>7491</v>
      </c>
      <c r="L98" s="506" t="s">
        <v>7491</v>
      </c>
      <c r="M98" s="506" t="s">
        <v>7491</v>
      </c>
      <c r="N98" s="506" t="s">
        <v>7491</v>
      </c>
      <c r="O98" s="506" t="s">
        <v>7491</v>
      </c>
      <c r="P98" s="506" t="s">
        <v>7489</v>
      </c>
      <c r="Q98" s="506" t="s">
        <v>7489</v>
      </c>
      <c r="R98" s="506" t="s">
        <v>7489</v>
      </c>
      <c r="S98" s="506"/>
      <c r="T98" s="506"/>
      <c r="U98" s="507">
        <f>IFERROR(VLOOKUP(A98,Sheet2!$A:$A,1,FALSE),)</f>
        <v>0</v>
      </c>
    </row>
    <row r="99" spans="1:21" s="507" customFormat="1">
      <c r="A99" s="503" t="s">
        <v>1035</v>
      </c>
      <c r="B99" s="504" t="s">
        <v>1232</v>
      </c>
      <c r="C99" s="505" t="s">
        <v>7474</v>
      </c>
      <c r="D99" s="485" t="s">
        <v>7379</v>
      </c>
      <c r="E99" s="485">
        <v>2</v>
      </c>
      <c r="F99" s="485"/>
      <c r="G99" s="485" t="s">
        <v>7503</v>
      </c>
      <c r="H99" s="506" t="s">
        <v>7489</v>
      </c>
      <c r="I99" s="506" t="s">
        <v>7489</v>
      </c>
      <c r="J99" s="506" t="s">
        <v>7489</v>
      </c>
      <c r="K99" s="506" t="s">
        <v>7491</v>
      </c>
      <c r="L99" s="506" t="s">
        <v>7491</v>
      </c>
      <c r="M99" s="506" t="s">
        <v>7491</v>
      </c>
      <c r="N99" s="506" t="s">
        <v>7491</v>
      </c>
      <c r="O99" s="506" t="s">
        <v>7491</v>
      </c>
      <c r="P99" s="506" t="s">
        <v>7489</v>
      </c>
      <c r="Q99" s="506" t="s">
        <v>7489</v>
      </c>
      <c r="R99" s="506" t="s">
        <v>7489</v>
      </c>
      <c r="S99" s="506"/>
      <c r="T99" s="506"/>
      <c r="U99" s="507">
        <f>IFERROR(VLOOKUP(A99,Sheet2!$A:$A,1,FALSE),)</f>
        <v>0</v>
      </c>
    </row>
    <row r="100" spans="1:21" s="507" customFormat="1">
      <c r="A100" s="503" t="s">
        <v>1036</v>
      </c>
      <c r="B100" s="504" t="s">
        <v>1244</v>
      </c>
      <c r="C100" s="505" t="s">
        <v>7474</v>
      </c>
      <c r="D100" s="485" t="s">
        <v>7376</v>
      </c>
      <c r="E100" s="485">
        <v>2</v>
      </c>
      <c r="F100" s="485"/>
      <c r="G100" s="485" t="s">
        <v>7503</v>
      </c>
      <c r="H100" s="506" t="s">
        <v>7489</v>
      </c>
      <c r="I100" s="506" t="s">
        <v>7489</v>
      </c>
      <c r="J100" s="506" t="s">
        <v>7489</v>
      </c>
      <c r="K100" s="506" t="s">
        <v>7491</v>
      </c>
      <c r="L100" s="506" t="s">
        <v>7491</v>
      </c>
      <c r="M100" s="506" t="s">
        <v>7491</v>
      </c>
      <c r="N100" s="506" t="s">
        <v>7491</v>
      </c>
      <c r="O100" s="506" t="s">
        <v>7491</v>
      </c>
      <c r="P100" s="506" t="s">
        <v>7489</v>
      </c>
      <c r="Q100" s="506" t="s">
        <v>7489</v>
      </c>
      <c r="R100" s="506" t="s">
        <v>7489</v>
      </c>
      <c r="S100" s="506"/>
      <c r="T100" s="506"/>
      <c r="U100" s="507">
        <f>IFERROR(VLOOKUP(A100,Sheet2!$A:$A,1,FALSE),)</f>
        <v>0</v>
      </c>
    </row>
    <row r="101" spans="1:21" s="507" customFormat="1">
      <c r="A101" s="503" t="s">
        <v>1040</v>
      </c>
      <c r="B101" s="504" t="s">
        <v>1362</v>
      </c>
      <c r="C101" s="505" t="s">
        <v>7474</v>
      </c>
      <c r="D101" s="485" t="s">
        <v>207</v>
      </c>
      <c r="E101" s="485">
        <v>1</v>
      </c>
      <c r="F101" s="485"/>
      <c r="G101" s="485" t="s">
        <v>7503</v>
      </c>
      <c r="H101" s="506" t="s">
        <v>7489</v>
      </c>
      <c r="I101" s="506" t="s">
        <v>7489</v>
      </c>
      <c r="J101" s="506" t="s">
        <v>7489</v>
      </c>
      <c r="K101" s="506" t="s">
        <v>7491</v>
      </c>
      <c r="L101" s="506" t="s">
        <v>7491</v>
      </c>
      <c r="M101" s="506" t="s">
        <v>7491</v>
      </c>
      <c r="N101" s="506" t="s">
        <v>7491</v>
      </c>
      <c r="O101" s="506" t="s">
        <v>7496</v>
      </c>
      <c r="P101" s="506" t="s">
        <v>7489</v>
      </c>
      <c r="Q101" s="506" t="s">
        <v>7489</v>
      </c>
      <c r="R101" s="506" t="s">
        <v>7489</v>
      </c>
      <c r="S101" s="506"/>
      <c r="T101" s="506"/>
      <c r="U101" s="507">
        <f>IFERROR(VLOOKUP(A101,Sheet2!$A:$A,1,FALSE),)</f>
        <v>0</v>
      </c>
    </row>
    <row r="102" spans="1:21" s="507" customFormat="1">
      <c r="A102" s="503" t="s">
        <v>1045</v>
      </c>
      <c r="B102" s="504" t="s">
        <v>1229</v>
      </c>
      <c r="C102" s="505" t="s">
        <v>7474</v>
      </c>
      <c r="D102" s="485" t="s">
        <v>207</v>
      </c>
      <c r="E102" s="485">
        <v>1</v>
      </c>
      <c r="F102" s="485"/>
      <c r="G102" s="485" t="s">
        <v>7515</v>
      </c>
      <c r="H102" s="506" t="s">
        <v>7489</v>
      </c>
      <c r="I102" s="506" t="s">
        <v>7489</v>
      </c>
      <c r="J102" s="506" t="s">
        <v>7489</v>
      </c>
      <c r="K102" s="506" t="s">
        <v>7491</v>
      </c>
      <c r="L102" s="506" t="s">
        <v>7491</v>
      </c>
      <c r="M102" s="506" t="s">
        <v>7491</v>
      </c>
      <c r="N102" s="506" t="s">
        <v>7491</v>
      </c>
      <c r="O102" s="506" t="s">
        <v>7491</v>
      </c>
      <c r="P102" s="506" t="s">
        <v>7489</v>
      </c>
      <c r="Q102" s="506" t="s">
        <v>7489</v>
      </c>
      <c r="R102" s="506" t="s">
        <v>7489</v>
      </c>
      <c r="S102" s="506"/>
      <c r="T102" s="506"/>
      <c r="U102" s="507">
        <f>IFERROR(VLOOKUP(A102,Sheet2!$A:$A,1,FALSE),)</f>
        <v>0</v>
      </c>
    </row>
    <row r="103" spans="1:21" s="507" customFormat="1">
      <c r="A103" s="503" t="s">
        <v>1052</v>
      </c>
      <c r="B103" s="504" t="s">
        <v>1225</v>
      </c>
      <c r="C103" s="505" t="s">
        <v>7474</v>
      </c>
      <c r="D103" s="485" t="s">
        <v>207</v>
      </c>
      <c r="E103" s="485">
        <v>1</v>
      </c>
      <c r="F103" s="485"/>
      <c r="G103" s="485" t="s">
        <v>7503</v>
      </c>
      <c r="H103" s="506" t="s">
        <v>7489</v>
      </c>
      <c r="I103" s="506" t="s">
        <v>7489</v>
      </c>
      <c r="J103" s="506" t="s">
        <v>7489</v>
      </c>
      <c r="K103" s="506" t="s">
        <v>7491</v>
      </c>
      <c r="L103" s="506" t="s">
        <v>7491</v>
      </c>
      <c r="M103" s="506" t="s">
        <v>7491</v>
      </c>
      <c r="N103" s="506" t="s">
        <v>7491</v>
      </c>
      <c r="O103" s="506" t="s">
        <v>7491</v>
      </c>
      <c r="P103" s="506" t="s">
        <v>7489</v>
      </c>
      <c r="Q103" s="506" t="s">
        <v>7489</v>
      </c>
      <c r="R103" s="506" t="s">
        <v>7489</v>
      </c>
      <c r="S103" s="506"/>
      <c r="T103" s="506"/>
      <c r="U103" s="507">
        <f>IFERROR(VLOOKUP(A103,Sheet2!$A:$A,1,FALSE),)</f>
        <v>0</v>
      </c>
    </row>
    <row r="104" spans="1:21" s="507" customFormat="1">
      <c r="A104" s="503" t="s">
        <v>1053</v>
      </c>
      <c r="B104" s="504" t="s">
        <v>1229</v>
      </c>
      <c r="C104" s="505" t="s">
        <v>7474</v>
      </c>
      <c r="D104" s="485" t="s">
        <v>207</v>
      </c>
      <c r="E104" s="485">
        <v>1</v>
      </c>
      <c r="F104" s="485"/>
      <c r="G104" s="485" t="s">
        <v>7503</v>
      </c>
      <c r="H104" s="506" t="s">
        <v>7489</v>
      </c>
      <c r="I104" s="506" t="s">
        <v>7489</v>
      </c>
      <c r="J104" s="506" t="s">
        <v>7489</v>
      </c>
      <c r="K104" s="506" t="s">
        <v>7491</v>
      </c>
      <c r="L104" s="506" t="s">
        <v>7491</v>
      </c>
      <c r="M104" s="506" t="s">
        <v>7491</v>
      </c>
      <c r="N104" s="506" t="s">
        <v>7491</v>
      </c>
      <c r="O104" s="506" t="s">
        <v>7496</v>
      </c>
      <c r="P104" s="506" t="s">
        <v>7489</v>
      </c>
      <c r="Q104" s="506" t="s">
        <v>7489</v>
      </c>
      <c r="R104" s="506" t="s">
        <v>7489</v>
      </c>
      <c r="S104" s="506"/>
      <c r="T104" s="506"/>
      <c r="U104" s="507">
        <f>IFERROR(VLOOKUP(A104,Sheet2!$A:$A,1,FALSE),)</f>
        <v>0</v>
      </c>
    </row>
    <row r="105" spans="1:21" s="507" customFormat="1">
      <c r="A105" s="503" t="s">
        <v>1058</v>
      </c>
      <c r="B105" s="504" t="s">
        <v>1229</v>
      </c>
      <c r="C105" s="505" t="s">
        <v>7474</v>
      </c>
      <c r="D105" s="485" t="s">
        <v>207</v>
      </c>
      <c r="E105" s="485">
        <v>1</v>
      </c>
      <c r="F105" s="485"/>
      <c r="G105" s="485" t="s">
        <v>7514</v>
      </c>
      <c r="H105" s="506" t="s">
        <v>7489</v>
      </c>
      <c r="I105" s="506" t="s">
        <v>7489</v>
      </c>
      <c r="J105" s="506" t="s">
        <v>7489</v>
      </c>
      <c r="K105" s="500" t="s">
        <v>7492</v>
      </c>
      <c r="L105" s="500" t="s">
        <v>7492</v>
      </c>
      <c r="M105" s="500" t="s">
        <v>7492</v>
      </c>
      <c r="N105" s="506" t="s">
        <v>7491</v>
      </c>
      <c r="O105" s="506" t="s">
        <v>7491</v>
      </c>
      <c r="P105" s="506" t="s">
        <v>7489</v>
      </c>
      <c r="Q105" s="506" t="s">
        <v>7489</v>
      </c>
      <c r="R105" s="506" t="s">
        <v>7489</v>
      </c>
      <c r="S105" s="506"/>
      <c r="T105" s="506"/>
      <c r="U105" s="507">
        <f>IFERROR(VLOOKUP(A105,Sheet2!$A:$A,1,FALSE),)</f>
        <v>0</v>
      </c>
    </row>
    <row r="106" spans="1:21" s="507" customFormat="1">
      <c r="A106" s="503" t="s">
        <v>1062</v>
      </c>
      <c r="B106" s="504" t="s">
        <v>1221</v>
      </c>
      <c r="C106" s="505" t="s">
        <v>7474</v>
      </c>
      <c r="D106" s="485" t="s">
        <v>207</v>
      </c>
      <c r="E106" s="485">
        <v>1</v>
      </c>
      <c r="F106" s="485"/>
      <c r="G106" s="485" t="s">
        <v>7515</v>
      </c>
      <c r="H106" s="506" t="s">
        <v>7489</v>
      </c>
      <c r="I106" s="506" t="s">
        <v>7489</v>
      </c>
      <c r="J106" s="506" t="s">
        <v>7489</v>
      </c>
      <c r="K106" s="506" t="s">
        <v>7491</v>
      </c>
      <c r="L106" s="506" t="s">
        <v>7491</v>
      </c>
      <c r="M106" s="506" t="s">
        <v>7491</v>
      </c>
      <c r="N106" s="506" t="s">
        <v>7491</v>
      </c>
      <c r="O106" s="506" t="s">
        <v>7491</v>
      </c>
      <c r="P106" s="506" t="s">
        <v>7489</v>
      </c>
      <c r="Q106" s="506" t="s">
        <v>7489</v>
      </c>
      <c r="R106" s="506" t="s">
        <v>7489</v>
      </c>
      <c r="S106" s="506"/>
      <c r="T106" s="506"/>
      <c r="U106" s="507">
        <f>IFERROR(VLOOKUP(A106,Sheet2!$A:$A,1,FALSE),)</f>
        <v>0</v>
      </c>
    </row>
    <row r="107" spans="1:21" s="507" customFormat="1">
      <c r="A107" s="503" t="s">
        <v>1063</v>
      </c>
      <c r="B107" s="504" t="s">
        <v>1225</v>
      </c>
      <c r="C107" s="505" t="s">
        <v>7474</v>
      </c>
      <c r="D107" s="485" t="s">
        <v>207</v>
      </c>
      <c r="E107" s="485">
        <v>1</v>
      </c>
      <c r="F107" s="485"/>
      <c r="G107" s="485" t="s">
        <v>7491</v>
      </c>
      <c r="H107" s="506" t="s">
        <v>7489</v>
      </c>
      <c r="I107" s="506" t="s">
        <v>7489</v>
      </c>
      <c r="J107" s="506" t="s">
        <v>7489</v>
      </c>
      <c r="K107" s="506" t="s">
        <v>7491</v>
      </c>
      <c r="L107" s="506" t="s">
        <v>7491</v>
      </c>
      <c r="M107" s="506" t="s">
        <v>7491</v>
      </c>
      <c r="N107" s="506" t="s">
        <v>7491</v>
      </c>
      <c r="O107" s="506" t="s">
        <v>7491</v>
      </c>
      <c r="P107" s="506" t="s">
        <v>7489</v>
      </c>
      <c r="Q107" s="506" t="s">
        <v>7489</v>
      </c>
      <c r="R107" s="506" t="s">
        <v>7489</v>
      </c>
      <c r="S107" s="506"/>
      <c r="T107" s="506"/>
      <c r="U107" s="507">
        <f>IFERROR(VLOOKUP(A107,Sheet2!$A:$A,1,FALSE),)</f>
        <v>0</v>
      </c>
    </row>
    <row r="108" spans="1:21" s="507" customFormat="1">
      <c r="A108" s="503" t="s">
        <v>1066</v>
      </c>
      <c r="B108" s="504" t="s">
        <v>1217</v>
      </c>
      <c r="C108" s="505" t="s">
        <v>7474</v>
      </c>
      <c r="D108" s="485" t="s">
        <v>606</v>
      </c>
      <c r="E108" s="485">
        <v>1</v>
      </c>
      <c r="F108" s="485"/>
      <c r="G108" s="485" t="s">
        <v>7503</v>
      </c>
      <c r="H108" s="506" t="s">
        <v>7489</v>
      </c>
      <c r="I108" s="506" t="s">
        <v>7489</v>
      </c>
      <c r="J108" s="506" t="s">
        <v>7489</v>
      </c>
      <c r="K108" s="506" t="s">
        <v>7491</v>
      </c>
      <c r="L108" s="506" t="s">
        <v>7491</v>
      </c>
      <c r="M108" s="506" t="s">
        <v>7491</v>
      </c>
      <c r="N108" s="500" t="s">
        <v>7492</v>
      </c>
      <c r="O108" s="506" t="s">
        <v>7497</v>
      </c>
      <c r="P108" s="506" t="s">
        <v>7489</v>
      </c>
      <c r="Q108" s="506" t="s">
        <v>7489</v>
      </c>
      <c r="R108" s="506" t="s">
        <v>7489</v>
      </c>
      <c r="S108" s="506"/>
      <c r="T108" s="506"/>
      <c r="U108" s="507">
        <f>IFERROR(VLOOKUP(A108,Sheet2!$A:$A,1,FALSE),)</f>
        <v>0</v>
      </c>
    </row>
    <row r="109" spans="1:21" s="507" customFormat="1">
      <c r="A109" s="503" t="s">
        <v>1072</v>
      </c>
      <c r="B109" s="504" t="s">
        <v>1225</v>
      </c>
      <c r="C109" s="505" t="s">
        <v>7474</v>
      </c>
      <c r="D109" s="485" t="s">
        <v>207</v>
      </c>
      <c r="E109" s="485">
        <v>1</v>
      </c>
      <c r="F109" s="485"/>
      <c r="G109" s="485" t="s">
        <v>7503</v>
      </c>
      <c r="H109" s="506" t="s">
        <v>7489</v>
      </c>
      <c r="I109" s="506" t="s">
        <v>7489</v>
      </c>
      <c r="J109" s="506" t="s">
        <v>7489</v>
      </c>
      <c r="K109" s="506" t="s">
        <v>7491</v>
      </c>
      <c r="L109" s="506" t="s">
        <v>7491</v>
      </c>
      <c r="M109" s="506" t="s">
        <v>7491</v>
      </c>
      <c r="N109" s="506" t="s">
        <v>7491</v>
      </c>
      <c r="O109" s="506" t="s">
        <v>7497</v>
      </c>
      <c r="P109" s="506" t="s">
        <v>7489</v>
      </c>
      <c r="Q109" s="506" t="s">
        <v>7489</v>
      </c>
      <c r="R109" s="506" t="s">
        <v>7489</v>
      </c>
      <c r="S109" s="506"/>
      <c r="T109" s="506"/>
      <c r="U109" s="507">
        <f>IFERROR(VLOOKUP(A109,Sheet2!$A:$A,1,FALSE),)</f>
        <v>0</v>
      </c>
    </row>
    <row r="110" spans="1:21" s="507" customFormat="1">
      <c r="A110" s="503" t="s">
        <v>1076</v>
      </c>
      <c r="B110" s="504" t="s">
        <v>1229</v>
      </c>
      <c r="C110" s="505" t="s">
        <v>7474</v>
      </c>
      <c r="D110" s="516" t="s">
        <v>362</v>
      </c>
      <c r="E110" s="485">
        <v>1</v>
      </c>
      <c r="F110" s="485" t="s">
        <v>7526</v>
      </c>
      <c r="G110" s="485"/>
      <c r="H110" s="506" t="s">
        <v>7489</v>
      </c>
      <c r="I110" s="506" t="s">
        <v>7489</v>
      </c>
      <c r="J110" s="506" t="s">
        <v>7489</v>
      </c>
      <c r="K110" s="506" t="s">
        <v>7491</v>
      </c>
      <c r="L110" s="506" t="s">
        <v>7491</v>
      </c>
      <c r="M110" s="506" t="s">
        <v>7491</v>
      </c>
      <c r="N110" s="506" t="s">
        <v>7491</v>
      </c>
      <c r="O110" s="506" t="s">
        <v>7491</v>
      </c>
      <c r="P110" s="506" t="s">
        <v>7489</v>
      </c>
      <c r="Q110" s="506" t="s">
        <v>7489</v>
      </c>
      <c r="R110" s="506" t="s">
        <v>7489</v>
      </c>
      <c r="S110" s="506"/>
      <c r="T110" s="506"/>
      <c r="U110" s="507">
        <f>IFERROR(VLOOKUP(A110,Sheet2!$A:$A,1,FALSE),)</f>
        <v>0</v>
      </c>
    </row>
    <row r="111" spans="1:21" s="507" customFormat="1">
      <c r="A111" s="503" t="s">
        <v>1080</v>
      </c>
      <c r="B111" s="504" t="s">
        <v>1232</v>
      </c>
      <c r="C111" s="505" t="s">
        <v>7474</v>
      </c>
      <c r="D111" s="485" t="s">
        <v>618</v>
      </c>
      <c r="E111" s="485">
        <v>1</v>
      </c>
      <c r="F111" s="485"/>
      <c r="G111" s="485" t="s">
        <v>7515</v>
      </c>
      <c r="H111" s="506" t="s">
        <v>7489</v>
      </c>
      <c r="I111" s="506" t="s">
        <v>7489</v>
      </c>
      <c r="J111" s="506" t="s">
        <v>7489</v>
      </c>
      <c r="K111" s="506" t="s">
        <v>7491</v>
      </c>
      <c r="L111" s="506" t="s">
        <v>7491</v>
      </c>
      <c r="M111" s="506" t="s">
        <v>7491</v>
      </c>
      <c r="N111" s="506" t="s">
        <v>7491</v>
      </c>
      <c r="O111" s="506" t="s">
        <v>7491</v>
      </c>
      <c r="P111" s="506" t="s">
        <v>7489</v>
      </c>
      <c r="Q111" s="506" t="s">
        <v>7489</v>
      </c>
      <c r="R111" s="506" t="s">
        <v>7489</v>
      </c>
      <c r="S111" s="506"/>
      <c r="T111" s="506"/>
      <c r="U111" s="507">
        <f>IFERROR(VLOOKUP(A111,Sheet2!$A:$A,1,FALSE),)</f>
        <v>0</v>
      </c>
    </row>
    <row r="112" spans="1:21" s="507" customFormat="1">
      <c r="A112" s="503" t="s">
        <v>1090</v>
      </c>
      <c r="B112" s="504" t="s">
        <v>1229</v>
      </c>
      <c r="C112" s="505" t="s">
        <v>7474</v>
      </c>
      <c r="D112" s="485" t="s">
        <v>207</v>
      </c>
      <c r="E112" s="485">
        <v>1</v>
      </c>
      <c r="F112" s="485"/>
      <c r="G112" s="485" t="s">
        <v>7503</v>
      </c>
      <c r="H112" s="506" t="s">
        <v>7489</v>
      </c>
      <c r="I112" s="506" t="s">
        <v>7489</v>
      </c>
      <c r="J112" s="506" t="s">
        <v>7489</v>
      </c>
      <c r="K112" s="506" t="s">
        <v>7491</v>
      </c>
      <c r="L112" s="506" t="s">
        <v>7491</v>
      </c>
      <c r="M112" s="506" t="s">
        <v>7491</v>
      </c>
      <c r="N112" s="500" t="s">
        <v>7492</v>
      </c>
      <c r="O112" s="506" t="s">
        <v>7496</v>
      </c>
      <c r="P112" s="506" t="s">
        <v>7489</v>
      </c>
      <c r="Q112" s="506" t="s">
        <v>7489</v>
      </c>
      <c r="R112" s="506" t="s">
        <v>7489</v>
      </c>
      <c r="S112" s="506"/>
      <c r="T112" s="506"/>
      <c r="U112" s="507">
        <f>IFERROR(VLOOKUP(A112,Sheet2!$A:$A,1,FALSE),)</f>
        <v>0</v>
      </c>
    </row>
    <row r="113" spans="1:22" s="507" customFormat="1">
      <c r="A113" s="503" t="s">
        <v>1092</v>
      </c>
      <c r="B113" s="504" t="s">
        <v>1229</v>
      </c>
      <c r="C113" s="505" t="s">
        <v>7474</v>
      </c>
      <c r="D113" s="485" t="s">
        <v>7410</v>
      </c>
      <c r="E113" s="485">
        <v>1</v>
      </c>
      <c r="F113" s="485"/>
      <c r="G113" s="485" t="s">
        <v>7503</v>
      </c>
      <c r="H113" s="506" t="s">
        <v>7489</v>
      </c>
      <c r="I113" s="506" t="s">
        <v>7489</v>
      </c>
      <c r="J113" s="506" t="s">
        <v>7489</v>
      </c>
      <c r="K113" s="506" t="s">
        <v>7491</v>
      </c>
      <c r="L113" s="506" t="s">
        <v>7491</v>
      </c>
      <c r="M113" s="506" t="s">
        <v>7491</v>
      </c>
      <c r="N113" s="506" t="s">
        <v>7491</v>
      </c>
      <c r="O113" s="506" t="s">
        <v>7491</v>
      </c>
      <c r="P113" s="506" t="s">
        <v>7489</v>
      </c>
      <c r="Q113" s="506" t="s">
        <v>7489</v>
      </c>
      <c r="R113" s="506" t="s">
        <v>7489</v>
      </c>
      <c r="S113" s="506"/>
      <c r="T113" s="506"/>
      <c r="U113" s="507">
        <f>IFERROR(VLOOKUP(A113,Sheet2!$A:$A,1,FALSE),)</f>
        <v>0</v>
      </c>
    </row>
    <row r="114" spans="1:22" s="507" customFormat="1">
      <c r="A114" s="503" t="s">
        <v>1096</v>
      </c>
      <c r="B114" s="504" t="s">
        <v>1229</v>
      </c>
      <c r="C114" s="505" t="s">
        <v>7474</v>
      </c>
      <c r="D114" s="485" t="s">
        <v>618</v>
      </c>
      <c r="E114" s="485">
        <v>1</v>
      </c>
      <c r="F114" s="485"/>
      <c r="G114" s="485" t="s">
        <v>7503</v>
      </c>
      <c r="H114" s="506" t="s">
        <v>7489</v>
      </c>
      <c r="I114" s="506" t="s">
        <v>7489</v>
      </c>
      <c r="J114" s="506" t="s">
        <v>7489</v>
      </c>
      <c r="K114" s="506" t="s">
        <v>7491</v>
      </c>
      <c r="L114" s="506" t="s">
        <v>7491</v>
      </c>
      <c r="M114" s="506" t="s">
        <v>7491</v>
      </c>
      <c r="N114" s="506" t="s">
        <v>7491</v>
      </c>
      <c r="O114" s="506" t="s">
        <v>7491</v>
      </c>
      <c r="P114" s="506" t="s">
        <v>7489</v>
      </c>
      <c r="Q114" s="506" t="s">
        <v>7489</v>
      </c>
      <c r="R114" s="506" t="s">
        <v>7489</v>
      </c>
      <c r="S114" s="506"/>
      <c r="T114" s="506"/>
      <c r="U114" s="507">
        <f>IFERROR(VLOOKUP(A114,Sheet2!$A:$A,1,FALSE),)</f>
        <v>0</v>
      </c>
    </row>
    <row r="115" spans="1:22" s="499" customFormat="1">
      <c r="A115" s="494" t="s">
        <v>1100</v>
      </c>
      <c r="B115" s="495" t="s">
        <v>1246</v>
      </c>
      <c r="C115" s="496" t="s">
        <v>7474</v>
      </c>
      <c r="D115" s="497" t="s">
        <v>7506</v>
      </c>
      <c r="E115" s="497">
        <v>1</v>
      </c>
      <c r="F115" s="497"/>
      <c r="G115" s="497" t="s">
        <v>7503</v>
      </c>
      <c r="H115" s="498" t="s">
        <v>7489</v>
      </c>
      <c r="I115" s="498" t="s">
        <v>7489</v>
      </c>
      <c r="J115" s="498" t="s">
        <v>7489</v>
      </c>
      <c r="K115" s="498" t="s">
        <v>7491</v>
      </c>
      <c r="L115" s="498" t="s">
        <v>7491</v>
      </c>
      <c r="M115" s="498" t="s">
        <v>7491</v>
      </c>
      <c r="N115" s="498" t="s">
        <v>7491</v>
      </c>
      <c r="O115" s="498" t="s">
        <v>7491</v>
      </c>
      <c r="P115" s="498" t="s">
        <v>7489</v>
      </c>
      <c r="Q115" s="498" t="s">
        <v>7489</v>
      </c>
      <c r="R115" s="498" t="s">
        <v>7489</v>
      </c>
      <c r="S115" s="498"/>
      <c r="T115" s="498"/>
      <c r="U115" s="499">
        <f>IFERROR(VLOOKUP(A115,Sheet2!$A:$A,1,FALSE),)</f>
        <v>0</v>
      </c>
    </row>
    <row r="116" spans="1:22" s="507" customFormat="1">
      <c r="A116" s="503" t="s">
        <v>1101</v>
      </c>
      <c r="B116" s="504" t="s">
        <v>1225</v>
      </c>
      <c r="C116" s="505" t="s">
        <v>7474</v>
      </c>
      <c r="D116" s="485" t="s">
        <v>7410</v>
      </c>
      <c r="E116" s="485">
        <v>1</v>
      </c>
      <c r="F116" s="485"/>
      <c r="G116" s="485" t="s">
        <v>7503</v>
      </c>
      <c r="H116" s="506" t="s">
        <v>7489</v>
      </c>
      <c r="I116" s="506" t="s">
        <v>7489</v>
      </c>
      <c r="J116" s="506" t="s">
        <v>7489</v>
      </c>
      <c r="K116" s="506" t="s">
        <v>7491</v>
      </c>
      <c r="L116" s="506" t="s">
        <v>7491</v>
      </c>
      <c r="M116" s="506" t="s">
        <v>7491</v>
      </c>
      <c r="N116" s="506" t="s">
        <v>7491</v>
      </c>
      <c r="O116" s="506" t="s">
        <v>7496</v>
      </c>
      <c r="P116" s="506" t="s">
        <v>7489</v>
      </c>
      <c r="Q116" s="506" t="s">
        <v>7489</v>
      </c>
      <c r="R116" s="506" t="s">
        <v>7489</v>
      </c>
      <c r="S116" s="506"/>
      <c r="T116" s="506"/>
      <c r="U116" s="507">
        <f>IFERROR(VLOOKUP(A116,Sheet2!$A:$A,1,FALSE),)</f>
        <v>0</v>
      </c>
    </row>
    <row r="117" spans="1:22" s="507" customFormat="1">
      <c r="A117" s="503" t="s">
        <v>1103</v>
      </c>
      <c r="B117" s="504" t="s">
        <v>1232</v>
      </c>
      <c r="C117" s="505" t="s">
        <v>7474</v>
      </c>
      <c r="D117" s="485" t="s">
        <v>7410</v>
      </c>
      <c r="E117" s="485">
        <v>1</v>
      </c>
      <c r="F117" s="485"/>
      <c r="G117" s="485" t="s">
        <v>7503</v>
      </c>
      <c r="H117" s="506" t="s">
        <v>7489</v>
      </c>
      <c r="I117" s="506" t="s">
        <v>7489</v>
      </c>
      <c r="J117" s="506" t="s">
        <v>7489</v>
      </c>
      <c r="K117" s="506" t="s">
        <v>7491</v>
      </c>
      <c r="L117" s="506" t="s">
        <v>7491</v>
      </c>
      <c r="M117" s="506" t="s">
        <v>7491</v>
      </c>
      <c r="N117" s="506" t="s">
        <v>7491</v>
      </c>
      <c r="O117" s="506" t="s">
        <v>7491</v>
      </c>
      <c r="P117" s="506" t="s">
        <v>7489</v>
      </c>
      <c r="Q117" s="506" t="s">
        <v>7489</v>
      </c>
      <c r="R117" s="506" t="s">
        <v>7489</v>
      </c>
      <c r="S117" s="506"/>
      <c r="T117" s="506"/>
      <c r="U117" s="507">
        <f>IFERROR(VLOOKUP(A117,Sheet2!$A:$A,1,FALSE),)</f>
        <v>0</v>
      </c>
    </row>
    <row r="118" spans="1:22" s="507" customFormat="1">
      <c r="A118" s="503" t="s">
        <v>1106</v>
      </c>
      <c r="B118" s="504" t="s">
        <v>1226</v>
      </c>
      <c r="C118" s="505" t="s">
        <v>7474</v>
      </c>
      <c r="D118" s="485" t="s">
        <v>606</v>
      </c>
      <c r="E118" s="485">
        <v>1</v>
      </c>
      <c r="F118" s="485"/>
      <c r="G118" s="485" t="s">
        <v>7515</v>
      </c>
      <c r="H118" s="506" t="s">
        <v>7489</v>
      </c>
      <c r="I118" s="506" t="s">
        <v>7489</v>
      </c>
      <c r="J118" s="506" t="s">
        <v>7489</v>
      </c>
      <c r="K118" s="506" t="s">
        <v>7491</v>
      </c>
      <c r="L118" s="506" t="s">
        <v>7491</v>
      </c>
      <c r="M118" s="506" t="s">
        <v>7491</v>
      </c>
      <c r="N118" s="506" t="s">
        <v>7491</v>
      </c>
      <c r="O118" s="506" t="s">
        <v>7491</v>
      </c>
      <c r="P118" s="506" t="s">
        <v>7489</v>
      </c>
      <c r="Q118" s="506" t="s">
        <v>7489</v>
      </c>
      <c r="R118" s="506" t="s">
        <v>7489</v>
      </c>
      <c r="S118" s="506"/>
      <c r="T118" s="506"/>
      <c r="U118" s="507">
        <f>IFERROR(VLOOKUP(A118,Sheet2!$A:$A,1,FALSE),)</f>
        <v>0</v>
      </c>
    </row>
    <row r="119" spans="1:22" s="507" customFormat="1">
      <c r="A119" s="503" t="s">
        <v>1110</v>
      </c>
      <c r="B119" s="504" t="s">
        <v>1249</v>
      </c>
      <c r="C119" s="505" t="s">
        <v>7474</v>
      </c>
      <c r="D119" s="485" t="s">
        <v>3074</v>
      </c>
      <c r="E119" s="485">
        <v>1</v>
      </c>
      <c r="F119" s="485"/>
      <c r="G119" s="485" t="s">
        <v>7491</v>
      </c>
      <c r="H119" s="506" t="s">
        <v>7489</v>
      </c>
      <c r="I119" s="506" t="s">
        <v>7489</v>
      </c>
      <c r="J119" s="506" t="s">
        <v>7489</v>
      </c>
      <c r="K119" s="506" t="s">
        <v>7491</v>
      </c>
      <c r="L119" s="506" t="s">
        <v>7491</v>
      </c>
      <c r="M119" s="506" t="s">
        <v>7491</v>
      </c>
      <c r="N119" s="506" t="s">
        <v>7491</v>
      </c>
      <c r="O119" s="506" t="s">
        <v>7491</v>
      </c>
      <c r="P119" s="506" t="s">
        <v>7489</v>
      </c>
      <c r="Q119" s="506" t="s">
        <v>7489</v>
      </c>
      <c r="R119" s="506" t="s">
        <v>7489</v>
      </c>
      <c r="S119" s="506"/>
      <c r="T119" s="506"/>
      <c r="U119" s="507">
        <f>IFERROR(VLOOKUP(A119,Sheet2!$A:$A,1,FALSE),)</f>
        <v>0</v>
      </c>
    </row>
    <row r="120" spans="1:22" s="507" customFormat="1">
      <c r="A120" s="503" t="s">
        <v>1117</v>
      </c>
      <c r="B120" s="504" t="s">
        <v>1225</v>
      </c>
      <c r="C120" s="505" t="s">
        <v>7474</v>
      </c>
      <c r="D120" s="485" t="s">
        <v>207</v>
      </c>
      <c r="E120" s="485">
        <v>1</v>
      </c>
      <c r="F120" s="485"/>
      <c r="G120" s="485" t="s">
        <v>7503</v>
      </c>
      <c r="H120" s="506" t="s">
        <v>7489</v>
      </c>
      <c r="I120" s="506" t="s">
        <v>7489</v>
      </c>
      <c r="J120" s="506" t="s">
        <v>7489</v>
      </c>
      <c r="K120" s="506" t="s">
        <v>7491</v>
      </c>
      <c r="L120" s="506" t="s">
        <v>7491</v>
      </c>
      <c r="M120" s="506" t="s">
        <v>7491</v>
      </c>
      <c r="N120" s="506" t="s">
        <v>7491</v>
      </c>
      <c r="O120" s="506" t="s">
        <v>7496</v>
      </c>
      <c r="P120" s="506" t="s">
        <v>7489</v>
      </c>
      <c r="Q120" s="506" t="s">
        <v>7489</v>
      </c>
      <c r="R120" s="506" t="s">
        <v>7489</v>
      </c>
      <c r="S120" s="506"/>
      <c r="T120" s="506"/>
      <c r="U120" s="507">
        <f>IFERROR(VLOOKUP(A120,Sheet2!$A:$A,1,FALSE),)</f>
        <v>0</v>
      </c>
    </row>
    <row r="121" spans="1:22" s="507" customFormat="1">
      <c r="A121" s="503" t="s">
        <v>1126</v>
      </c>
      <c r="B121" s="504" t="s">
        <v>1265</v>
      </c>
      <c r="C121" s="505" t="s">
        <v>7474</v>
      </c>
      <c r="D121" s="485" t="s">
        <v>207</v>
      </c>
      <c r="E121" s="485">
        <v>1</v>
      </c>
      <c r="F121" s="485"/>
      <c r="G121" s="485" t="s">
        <v>7515</v>
      </c>
      <c r="H121" s="506" t="s">
        <v>7489</v>
      </c>
      <c r="I121" s="506" t="s">
        <v>7489</v>
      </c>
      <c r="J121" s="506" t="s">
        <v>7489</v>
      </c>
      <c r="K121" s="506" t="s">
        <v>7491</v>
      </c>
      <c r="L121" s="506" t="s">
        <v>7491</v>
      </c>
      <c r="M121" s="506" t="s">
        <v>7491</v>
      </c>
      <c r="N121" s="506" t="s">
        <v>7491</v>
      </c>
      <c r="O121" s="506" t="s">
        <v>7491</v>
      </c>
      <c r="P121" s="506" t="s">
        <v>7489</v>
      </c>
      <c r="Q121" s="506" t="s">
        <v>7489</v>
      </c>
      <c r="R121" s="506" t="s">
        <v>7489</v>
      </c>
      <c r="S121" s="506"/>
      <c r="T121" s="506"/>
      <c r="U121" s="507">
        <f>IFERROR(VLOOKUP(A121,Sheet2!$A:$A,1,FALSE),)</f>
        <v>0</v>
      </c>
    </row>
    <row r="122" spans="1:22" s="499" customFormat="1">
      <c r="A122" s="494" t="s">
        <v>1130</v>
      </c>
      <c r="B122" s="495" t="s">
        <v>1217</v>
      </c>
      <c r="C122" s="496" t="s">
        <v>7474</v>
      </c>
      <c r="D122" s="497" t="s">
        <v>7506</v>
      </c>
      <c r="E122" s="497"/>
      <c r="F122" s="485"/>
      <c r="G122" s="497"/>
      <c r="H122" s="498" t="s">
        <v>7489</v>
      </c>
      <c r="I122" s="498" t="s">
        <v>7489</v>
      </c>
      <c r="J122" s="498" t="s">
        <v>7489</v>
      </c>
      <c r="K122" s="498" t="s">
        <v>7491</v>
      </c>
      <c r="L122" s="498" t="s">
        <v>7491</v>
      </c>
      <c r="M122" s="498" t="s">
        <v>7491</v>
      </c>
      <c r="N122" s="498" t="s">
        <v>7491</v>
      </c>
      <c r="O122" s="498" t="s">
        <v>7491</v>
      </c>
      <c r="P122" s="498" t="s">
        <v>7489</v>
      </c>
      <c r="Q122" s="498" t="s">
        <v>7489</v>
      </c>
      <c r="R122" s="498" t="s">
        <v>7489</v>
      </c>
      <c r="S122" s="498"/>
      <c r="T122" s="498"/>
      <c r="U122" s="499" t="str">
        <f>IFERROR(VLOOKUP(A122,Sheet2!$A:$A,1,FALSE),)</f>
        <v>R-1211</v>
      </c>
      <c r="V122" s="499" t="s">
        <v>7525</v>
      </c>
    </row>
    <row r="123" spans="1:22" s="499" customFormat="1">
      <c r="A123" s="494" t="s">
        <v>1131</v>
      </c>
      <c r="B123" s="495" t="s">
        <v>1223</v>
      </c>
      <c r="C123" s="496" t="s">
        <v>7474</v>
      </c>
      <c r="D123" s="497" t="s">
        <v>7506</v>
      </c>
      <c r="E123" s="497"/>
      <c r="F123" s="485"/>
      <c r="G123" s="497"/>
      <c r="H123" s="498" t="s">
        <v>7489</v>
      </c>
      <c r="I123" s="498" t="s">
        <v>7489</v>
      </c>
      <c r="J123" s="498" t="s">
        <v>7489</v>
      </c>
      <c r="K123" s="498" t="s">
        <v>7491</v>
      </c>
      <c r="L123" s="498" t="s">
        <v>7491</v>
      </c>
      <c r="M123" s="498" t="s">
        <v>7491</v>
      </c>
      <c r="N123" s="498" t="s">
        <v>7491</v>
      </c>
      <c r="O123" s="498" t="s">
        <v>7491</v>
      </c>
      <c r="P123" s="498" t="s">
        <v>7489</v>
      </c>
      <c r="Q123" s="498" t="s">
        <v>7489</v>
      </c>
      <c r="R123" s="498" t="s">
        <v>7489</v>
      </c>
      <c r="S123" s="498"/>
      <c r="T123" s="498"/>
      <c r="U123" s="499" t="str">
        <f>IFERROR(VLOOKUP(A123,Sheet2!$A:$A,1,FALSE),)</f>
        <v>R-1212</v>
      </c>
      <c r="V123" s="499" t="s">
        <v>7525</v>
      </c>
    </row>
    <row r="124" spans="1:22" s="499" customFormat="1">
      <c r="A124" s="494" t="s">
        <v>1136</v>
      </c>
      <c r="B124" s="495" t="s">
        <v>1239</v>
      </c>
      <c r="C124" s="496" t="s">
        <v>7474</v>
      </c>
      <c r="D124" s="497" t="s">
        <v>7506</v>
      </c>
      <c r="E124" s="497">
        <v>1</v>
      </c>
      <c r="F124" s="497"/>
      <c r="G124" s="497" t="s">
        <v>7491</v>
      </c>
      <c r="H124" s="498" t="s">
        <v>7489</v>
      </c>
      <c r="I124" s="498" t="s">
        <v>7489</v>
      </c>
      <c r="J124" s="498" t="s">
        <v>7489</v>
      </c>
      <c r="K124" s="498" t="s">
        <v>7491</v>
      </c>
      <c r="L124" s="498" t="s">
        <v>7491</v>
      </c>
      <c r="M124" s="498" t="s">
        <v>7491</v>
      </c>
      <c r="N124" s="498" t="s">
        <v>7491</v>
      </c>
      <c r="O124" s="498" t="s">
        <v>7491</v>
      </c>
      <c r="P124" s="498" t="s">
        <v>7489</v>
      </c>
      <c r="Q124" s="498" t="s">
        <v>7489</v>
      </c>
      <c r="R124" s="498" t="s">
        <v>7489</v>
      </c>
      <c r="S124" s="498"/>
      <c r="T124" s="498"/>
      <c r="U124" s="499">
        <f>IFERROR(VLOOKUP(A124,Sheet2!$A:$A,1,FALSE),)</f>
        <v>0</v>
      </c>
    </row>
    <row r="125" spans="1:22" s="507" customFormat="1">
      <c r="A125" s="503" t="s">
        <v>1137</v>
      </c>
      <c r="B125" s="504" t="s">
        <v>1363</v>
      </c>
      <c r="C125" s="505" t="s">
        <v>7474</v>
      </c>
      <c r="D125" s="485" t="s">
        <v>7435</v>
      </c>
      <c r="E125" s="485">
        <v>3</v>
      </c>
      <c r="F125" s="485"/>
      <c r="G125" s="485" t="s">
        <v>7503</v>
      </c>
      <c r="H125" s="506" t="s">
        <v>7489</v>
      </c>
      <c r="I125" s="506" t="s">
        <v>7489</v>
      </c>
      <c r="J125" s="506" t="s">
        <v>7489</v>
      </c>
      <c r="K125" s="506" t="s">
        <v>7491</v>
      </c>
      <c r="L125" s="506" t="s">
        <v>7491</v>
      </c>
      <c r="M125" s="506" t="s">
        <v>7491</v>
      </c>
      <c r="N125" s="506" t="s">
        <v>7491</v>
      </c>
      <c r="O125" s="506" t="s">
        <v>7491</v>
      </c>
      <c r="P125" s="506" t="s">
        <v>7489</v>
      </c>
      <c r="Q125" s="506" t="s">
        <v>7489</v>
      </c>
      <c r="R125" s="506" t="s">
        <v>7489</v>
      </c>
      <c r="S125" s="506"/>
      <c r="T125" s="506"/>
      <c r="U125" s="507">
        <f>IFERROR(VLOOKUP(A125,Sheet2!$A:$A,1,FALSE),)</f>
        <v>0</v>
      </c>
    </row>
    <row r="126" spans="1:22" s="507" customFormat="1">
      <c r="A126" s="503" t="s">
        <v>1138</v>
      </c>
      <c r="B126" s="504" t="s">
        <v>1225</v>
      </c>
      <c r="C126" s="505" t="s">
        <v>7474</v>
      </c>
      <c r="D126" s="485" t="s">
        <v>3078</v>
      </c>
      <c r="E126" s="485">
        <v>1</v>
      </c>
      <c r="F126" s="485"/>
      <c r="G126" s="485" t="s">
        <v>7491</v>
      </c>
      <c r="H126" s="506" t="s">
        <v>7489</v>
      </c>
      <c r="I126" s="506" t="s">
        <v>7489</v>
      </c>
      <c r="J126" s="506" t="s">
        <v>7489</v>
      </c>
      <c r="K126" s="506" t="s">
        <v>7491</v>
      </c>
      <c r="L126" s="506" t="s">
        <v>7491</v>
      </c>
      <c r="M126" s="506" t="s">
        <v>7491</v>
      </c>
      <c r="N126" s="506" t="s">
        <v>7491</v>
      </c>
      <c r="O126" s="506" t="s">
        <v>7491</v>
      </c>
      <c r="P126" s="506" t="s">
        <v>7489</v>
      </c>
      <c r="Q126" s="506" t="s">
        <v>7489</v>
      </c>
      <c r="R126" s="506" t="s">
        <v>7489</v>
      </c>
      <c r="S126" s="506"/>
      <c r="T126" s="506"/>
      <c r="U126" s="507">
        <f>IFERROR(VLOOKUP(A126,Sheet2!$A:$A,1,FALSE),)</f>
        <v>0</v>
      </c>
    </row>
    <row r="127" spans="1:22" s="507" customFormat="1">
      <c r="A127" s="503" t="s">
        <v>1143</v>
      </c>
      <c r="B127" s="504" t="s">
        <v>1217</v>
      </c>
      <c r="C127" s="505" t="s">
        <v>7474</v>
      </c>
      <c r="D127" s="485" t="s">
        <v>207</v>
      </c>
      <c r="E127" s="485">
        <v>1</v>
      </c>
      <c r="F127" s="485"/>
      <c r="G127" s="485" t="s">
        <v>7491</v>
      </c>
      <c r="H127" s="506" t="s">
        <v>7489</v>
      </c>
      <c r="I127" s="506" t="s">
        <v>7489</v>
      </c>
      <c r="J127" s="506" t="s">
        <v>7489</v>
      </c>
      <c r="K127" s="506" t="s">
        <v>7491</v>
      </c>
      <c r="L127" s="506" t="s">
        <v>7491</v>
      </c>
      <c r="M127" s="506" t="s">
        <v>7491</v>
      </c>
      <c r="N127" s="506" t="s">
        <v>7491</v>
      </c>
      <c r="O127" s="506" t="s">
        <v>7491</v>
      </c>
      <c r="P127" s="506" t="s">
        <v>7489</v>
      </c>
      <c r="Q127" s="506" t="s">
        <v>7489</v>
      </c>
      <c r="R127" s="506" t="s">
        <v>7489</v>
      </c>
      <c r="S127" s="506"/>
      <c r="T127" s="506"/>
      <c r="U127" s="507">
        <f>IFERROR(VLOOKUP(A127,Sheet2!$A:$A,1,FALSE),)</f>
        <v>0</v>
      </c>
    </row>
    <row r="128" spans="1:22">
      <c r="A128" s="503" t="s">
        <v>1146</v>
      </c>
      <c r="B128" s="504" t="s">
        <v>1220</v>
      </c>
      <c r="C128" s="505" t="s">
        <v>7474</v>
      </c>
      <c r="D128" s="485" t="s">
        <v>207</v>
      </c>
      <c r="E128" s="497">
        <v>1</v>
      </c>
      <c r="F128" s="485"/>
      <c r="G128" s="485" t="s">
        <v>7515</v>
      </c>
      <c r="H128" s="500" t="s">
        <v>7492</v>
      </c>
      <c r="I128" s="506" t="s">
        <v>7489</v>
      </c>
      <c r="J128" s="506" t="s">
        <v>7489</v>
      </c>
      <c r="K128" s="506" t="s">
        <v>7491</v>
      </c>
      <c r="L128" s="506" t="s">
        <v>7491</v>
      </c>
      <c r="M128" s="506" t="s">
        <v>7491</v>
      </c>
      <c r="N128" s="506" t="s">
        <v>7491</v>
      </c>
      <c r="O128" s="506" t="s">
        <v>7491</v>
      </c>
      <c r="P128" s="506" t="s">
        <v>7489</v>
      </c>
      <c r="Q128" s="506" t="s">
        <v>7489</v>
      </c>
      <c r="R128" s="506" t="s">
        <v>7489</v>
      </c>
      <c r="S128" s="506"/>
      <c r="T128" s="506"/>
      <c r="U128" s="507">
        <f>IFERROR(VLOOKUP(A128,Sheet2!$A:$A,1,FALSE),)</f>
        <v>0</v>
      </c>
    </row>
    <row r="129" spans="1:22" s="507" customFormat="1">
      <c r="A129" s="503" t="s">
        <v>1148</v>
      </c>
      <c r="B129" s="504" t="s">
        <v>1217</v>
      </c>
      <c r="C129" s="505" t="s">
        <v>7474</v>
      </c>
      <c r="D129" s="485" t="s">
        <v>207</v>
      </c>
      <c r="E129" s="485">
        <v>1</v>
      </c>
      <c r="F129" s="485"/>
      <c r="G129" s="485" t="s">
        <v>7514</v>
      </c>
      <c r="H129" s="500" t="s">
        <v>7492</v>
      </c>
      <c r="I129" s="506" t="s">
        <v>7489</v>
      </c>
      <c r="J129" s="506" t="s">
        <v>7489</v>
      </c>
      <c r="K129" s="506" t="s">
        <v>7491</v>
      </c>
      <c r="L129" s="506" t="s">
        <v>7491</v>
      </c>
      <c r="M129" s="506" t="s">
        <v>7491</v>
      </c>
      <c r="N129" s="506" t="s">
        <v>7491</v>
      </c>
      <c r="O129" s="506" t="s">
        <v>7491</v>
      </c>
      <c r="P129" s="506" t="s">
        <v>7489</v>
      </c>
      <c r="Q129" s="506" t="s">
        <v>7489</v>
      </c>
      <c r="R129" s="506" t="s">
        <v>7489</v>
      </c>
      <c r="S129" s="506"/>
      <c r="T129" s="506"/>
      <c r="U129" s="507">
        <f>IFERROR(VLOOKUP(A129,Sheet2!$A:$A,1,FALSE),)</f>
        <v>0</v>
      </c>
    </row>
    <row r="130" spans="1:22" s="507" customFormat="1">
      <c r="A130" s="503" t="s">
        <v>1156</v>
      </c>
      <c r="B130" s="504" t="s">
        <v>1288</v>
      </c>
      <c r="C130" s="505" t="s">
        <v>7474</v>
      </c>
      <c r="D130" s="485" t="s">
        <v>7410</v>
      </c>
      <c r="E130" s="485">
        <v>1</v>
      </c>
      <c r="F130" s="485"/>
      <c r="G130" s="485" t="s">
        <v>7518</v>
      </c>
      <c r="H130" s="506" t="s">
        <v>7489</v>
      </c>
      <c r="I130" s="506" t="s">
        <v>7489</v>
      </c>
      <c r="J130" s="506" t="s">
        <v>7489</v>
      </c>
      <c r="K130" s="506" t="s">
        <v>7491</v>
      </c>
      <c r="L130" s="506" t="s">
        <v>7491</v>
      </c>
      <c r="M130" s="506" t="s">
        <v>7491</v>
      </c>
      <c r="N130" s="506" t="s">
        <v>7491</v>
      </c>
      <c r="O130" s="506" t="s">
        <v>7491</v>
      </c>
      <c r="P130" s="506" t="s">
        <v>7489</v>
      </c>
      <c r="Q130" s="506" t="s">
        <v>7489</v>
      </c>
      <c r="R130" s="506" t="s">
        <v>7489</v>
      </c>
      <c r="S130" s="506"/>
      <c r="T130" s="506"/>
      <c r="U130" s="137">
        <f>IFERROR(VLOOKUP(A130,Sheet2!$A:$A,1,FALSE),)</f>
        <v>0</v>
      </c>
    </row>
    <row r="131" spans="1:22" s="507" customFormat="1">
      <c r="A131" s="503" t="s">
        <v>1163</v>
      </c>
      <c r="B131" s="504" t="s">
        <v>1252</v>
      </c>
      <c r="C131" s="505" t="s">
        <v>7474</v>
      </c>
      <c r="D131" s="485" t="s">
        <v>7410</v>
      </c>
      <c r="E131" s="485">
        <v>1</v>
      </c>
      <c r="F131" s="485"/>
      <c r="G131" s="485" t="s">
        <v>7514</v>
      </c>
      <c r="H131" s="506" t="s">
        <v>7489</v>
      </c>
      <c r="I131" s="506" t="s">
        <v>7489</v>
      </c>
      <c r="J131" s="506" t="s">
        <v>7489</v>
      </c>
      <c r="K131" s="506" t="s">
        <v>7491</v>
      </c>
      <c r="L131" s="506" t="s">
        <v>7491</v>
      </c>
      <c r="M131" s="506" t="s">
        <v>7491</v>
      </c>
      <c r="N131" s="506" t="s">
        <v>7491</v>
      </c>
      <c r="O131" s="506" t="s">
        <v>7491</v>
      </c>
      <c r="P131" s="506" t="s">
        <v>7489</v>
      </c>
      <c r="Q131" s="506" t="s">
        <v>7489</v>
      </c>
      <c r="R131" s="506" t="s">
        <v>7489</v>
      </c>
      <c r="S131" s="506"/>
      <c r="T131" s="506"/>
      <c r="U131" s="137">
        <f>IFERROR(VLOOKUP(A131,Sheet2!$A:$A,1,FALSE),)</f>
        <v>0</v>
      </c>
    </row>
    <row r="132" spans="1:22" s="499" customFormat="1">
      <c r="A132" s="494" t="s">
        <v>1169</v>
      </c>
      <c r="B132" s="495" t="s">
        <v>1226</v>
      </c>
      <c r="C132" s="496" t="s">
        <v>7474</v>
      </c>
      <c r="D132" s="497" t="s">
        <v>7506</v>
      </c>
      <c r="E132" s="497">
        <v>1</v>
      </c>
      <c r="F132" s="497"/>
      <c r="G132" s="497" t="s">
        <v>7514</v>
      </c>
      <c r="H132" s="498" t="s">
        <v>7489</v>
      </c>
      <c r="I132" s="498" t="s">
        <v>7489</v>
      </c>
      <c r="J132" s="498" t="s">
        <v>7489</v>
      </c>
      <c r="K132" s="498" t="s">
        <v>7491</v>
      </c>
      <c r="L132" s="498" t="s">
        <v>7491</v>
      </c>
      <c r="M132" s="498" t="s">
        <v>7491</v>
      </c>
      <c r="N132" s="498" t="s">
        <v>7491</v>
      </c>
      <c r="O132" s="498" t="s">
        <v>7491</v>
      </c>
      <c r="P132" s="498" t="s">
        <v>7489</v>
      </c>
      <c r="Q132" s="498" t="s">
        <v>7489</v>
      </c>
      <c r="R132" s="498" t="s">
        <v>7489</v>
      </c>
      <c r="S132" s="498"/>
      <c r="T132" s="498"/>
      <c r="U132" s="499">
        <f>IFERROR(VLOOKUP(A132,Sheet2!$A:$A,1,FALSE),)</f>
        <v>0</v>
      </c>
    </row>
    <row r="133" spans="1:22" s="507" customFormat="1">
      <c r="A133" s="503" t="s">
        <v>1181</v>
      </c>
      <c r="B133" s="504" t="s">
        <v>1229</v>
      </c>
      <c r="C133" s="505" t="s">
        <v>7474</v>
      </c>
      <c r="D133" s="485" t="s">
        <v>3078</v>
      </c>
      <c r="E133" s="485">
        <v>1</v>
      </c>
      <c r="F133" s="485"/>
      <c r="G133" s="485" t="s">
        <v>7515</v>
      </c>
      <c r="H133" s="506" t="s">
        <v>7489</v>
      </c>
      <c r="I133" s="506" t="s">
        <v>7489</v>
      </c>
      <c r="J133" s="506" t="s">
        <v>7489</v>
      </c>
      <c r="K133" s="506" t="s">
        <v>7491</v>
      </c>
      <c r="L133" s="506" t="s">
        <v>7491</v>
      </c>
      <c r="M133" s="506" t="s">
        <v>7491</v>
      </c>
      <c r="N133" s="506" t="s">
        <v>7491</v>
      </c>
      <c r="O133" s="506" t="s">
        <v>7491</v>
      </c>
      <c r="P133" s="506" t="s">
        <v>7489</v>
      </c>
      <c r="Q133" s="506" t="s">
        <v>7489</v>
      </c>
      <c r="R133" s="506" t="s">
        <v>7489</v>
      </c>
      <c r="S133" s="506"/>
      <c r="T133" s="506"/>
      <c r="U133" s="137">
        <f>IFERROR(VLOOKUP(A133,Sheet2!$A:$A,1,FALSE),)</f>
        <v>0</v>
      </c>
    </row>
    <row r="134" spans="1:22" s="507" customFormat="1">
      <c r="A134" s="503" t="s">
        <v>1185</v>
      </c>
      <c r="B134" s="504" t="s">
        <v>1289</v>
      </c>
      <c r="C134" s="505" t="s">
        <v>7474</v>
      </c>
      <c r="D134" s="485" t="s">
        <v>207</v>
      </c>
      <c r="E134" s="485">
        <v>1</v>
      </c>
      <c r="F134" s="485"/>
      <c r="G134" s="485" t="s">
        <v>7518</v>
      </c>
      <c r="H134" s="506" t="s">
        <v>7489</v>
      </c>
      <c r="I134" s="506" t="s">
        <v>7489</v>
      </c>
      <c r="J134" s="506" t="s">
        <v>7489</v>
      </c>
      <c r="K134" s="506" t="s">
        <v>7491</v>
      </c>
      <c r="L134" s="506" t="s">
        <v>7491</v>
      </c>
      <c r="M134" s="506" t="s">
        <v>7491</v>
      </c>
      <c r="N134" s="506" t="s">
        <v>7491</v>
      </c>
      <c r="O134" s="506" t="s">
        <v>7491</v>
      </c>
      <c r="P134" s="506" t="s">
        <v>7489</v>
      </c>
      <c r="Q134" s="506" t="s">
        <v>7489</v>
      </c>
      <c r="R134" s="506" t="s">
        <v>7489</v>
      </c>
      <c r="S134" s="506"/>
      <c r="T134" s="506"/>
      <c r="U134" s="137">
        <f>IFERROR(VLOOKUP(A134,Sheet2!$A:$A,1,FALSE),)</f>
        <v>0</v>
      </c>
    </row>
    <row r="135" spans="1:22" s="507" customFormat="1">
      <c r="A135" s="503" t="s">
        <v>1186</v>
      </c>
      <c r="B135" s="504" t="s">
        <v>1221</v>
      </c>
      <c r="C135" s="505" t="s">
        <v>7474</v>
      </c>
      <c r="D135" s="485" t="s">
        <v>207</v>
      </c>
      <c r="E135" s="485">
        <v>1</v>
      </c>
      <c r="F135" s="485"/>
      <c r="G135" s="485" t="s">
        <v>7515</v>
      </c>
      <c r="H135" s="506" t="s">
        <v>7489</v>
      </c>
      <c r="I135" s="506" t="s">
        <v>7489</v>
      </c>
      <c r="J135" s="506" t="s">
        <v>7489</v>
      </c>
      <c r="K135" s="506" t="s">
        <v>7491</v>
      </c>
      <c r="L135" s="506" t="s">
        <v>7491</v>
      </c>
      <c r="M135" s="506" t="s">
        <v>7491</v>
      </c>
      <c r="N135" s="506" t="s">
        <v>7491</v>
      </c>
      <c r="O135" s="506" t="s">
        <v>7491</v>
      </c>
      <c r="P135" s="506" t="s">
        <v>7489</v>
      </c>
      <c r="Q135" s="506" t="s">
        <v>7489</v>
      </c>
      <c r="R135" s="506" t="s">
        <v>7489</v>
      </c>
      <c r="S135" s="506"/>
      <c r="T135" s="506"/>
      <c r="U135" s="137">
        <f>IFERROR(VLOOKUP(A135,Sheet2!$A:$A,1,FALSE),)</f>
        <v>0</v>
      </c>
    </row>
    <row r="136" spans="1:22" s="507" customFormat="1">
      <c r="A136" s="503" t="s">
        <v>1190</v>
      </c>
      <c r="B136" s="504" t="s">
        <v>1244</v>
      </c>
      <c r="C136" s="505" t="s">
        <v>7474</v>
      </c>
      <c r="D136" s="485" t="s">
        <v>3074</v>
      </c>
      <c r="E136" s="485">
        <v>1</v>
      </c>
      <c r="F136" s="485"/>
      <c r="G136" s="485" t="s">
        <v>7518</v>
      </c>
      <c r="H136" s="506" t="s">
        <v>7489</v>
      </c>
      <c r="I136" s="506" t="s">
        <v>7489</v>
      </c>
      <c r="J136" s="506" t="s">
        <v>7489</v>
      </c>
      <c r="K136" s="506" t="s">
        <v>7491</v>
      </c>
      <c r="L136" s="506" t="s">
        <v>7491</v>
      </c>
      <c r="M136" s="506" t="s">
        <v>7491</v>
      </c>
      <c r="N136" s="506" t="s">
        <v>7491</v>
      </c>
      <c r="O136" s="506" t="s">
        <v>7491</v>
      </c>
      <c r="P136" s="506" t="s">
        <v>7489</v>
      </c>
      <c r="Q136" s="506" t="s">
        <v>7489</v>
      </c>
      <c r="R136" s="506" t="s">
        <v>7489</v>
      </c>
      <c r="S136" s="506"/>
      <c r="T136" s="506"/>
      <c r="U136" s="137">
        <f>IFERROR(VLOOKUP(A136,Sheet2!$A:$A,1,FALSE),)</f>
        <v>0</v>
      </c>
    </row>
    <row r="137" spans="1:22" s="507" customFormat="1">
      <c r="A137" s="503" t="s">
        <v>1199</v>
      </c>
      <c r="B137" s="504" t="s">
        <v>1351</v>
      </c>
      <c r="C137" s="505" t="s">
        <v>7474</v>
      </c>
      <c r="D137" s="485" t="s">
        <v>362</v>
      </c>
      <c r="E137" s="485">
        <v>1</v>
      </c>
      <c r="F137" s="485"/>
      <c r="G137" s="485"/>
      <c r="H137" s="506" t="s">
        <v>7489</v>
      </c>
      <c r="I137" s="506" t="s">
        <v>7489</v>
      </c>
      <c r="J137" s="506" t="s">
        <v>7489</v>
      </c>
      <c r="K137" s="506" t="s">
        <v>7491</v>
      </c>
      <c r="L137" s="506" t="s">
        <v>7491</v>
      </c>
      <c r="M137" s="506" t="s">
        <v>7491</v>
      </c>
      <c r="N137" s="506" t="s">
        <v>7491</v>
      </c>
      <c r="O137" s="506" t="s">
        <v>7491</v>
      </c>
      <c r="P137" s="506" t="s">
        <v>7489</v>
      </c>
      <c r="Q137" s="506" t="s">
        <v>7489</v>
      </c>
      <c r="R137" s="506" t="s">
        <v>7489</v>
      </c>
      <c r="S137" s="506"/>
      <c r="T137" s="506"/>
      <c r="U137" s="137">
        <f>IFERROR(VLOOKUP(A137,Sheet2!$A:$A,1,FALSE),)</f>
        <v>0</v>
      </c>
    </row>
    <row r="138" spans="1:22">
      <c r="A138" s="503" t="s">
        <v>1208</v>
      </c>
      <c r="B138" s="504" t="s">
        <v>1225</v>
      </c>
      <c r="C138" s="505" t="s">
        <v>7474</v>
      </c>
      <c r="D138" s="485" t="s">
        <v>7462</v>
      </c>
      <c r="E138" s="497">
        <v>6</v>
      </c>
      <c r="F138" s="485"/>
      <c r="G138" s="485"/>
      <c r="H138" s="500" t="s">
        <v>7492</v>
      </c>
      <c r="I138" s="506" t="s">
        <v>7489</v>
      </c>
      <c r="J138" s="506" t="s">
        <v>7489</v>
      </c>
      <c r="K138" s="506" t="s">
        <v>7491</v>
      </c>
      <c r="L138" s="506" t="s">
        <v>7491</v>
      </c>
      <c r="M138" s="506" t="s">
        <v>7491</v>
      </c>
      <c r="N138" s="506" t="s">
        <v>7491</v>
      </c>
      <c r="O138" s="506" t="s">
        <v>7495</v>
      </c>
      <c r="P138" s="483" t="s">
        <v>7489</v>
      </c>
      <c r="Q138" s="483" t="s">
        <v>7489</v>
      </c>
      <c r="R138" s="483" t="s">
        <v>7489</v>
      </c>
      <c r="S138" s="483"/>
      <c r="T138" s="483"/>
      <c r="U138" s="137">
        <f>IFERROR(VLOOKUP(A138,Sheet2!$A:$A,1,FALSE),)</f>
        <v>0</v>
      </c>
    </row>
    <row r="139" spans="1:22" s="507" customFormat="1">
      <c r="A139" s="503" t="s">
        <v>1211</v>
      </c>
      <c r="B139" s="504" t="s">
        <v>1225</v>
      </c>
      <c r="C139" s="505" t="s">
        <v>7474</v>
      </c>
      <c r="D139" s="485" t="s">
        <v>207</v>
      </c>
      <c r="E139" s="485">
        <v>1</v>
      </c>
      <c r="F139" s="485"/>
      <c r="G139" s="485" t="s">
        <v>7518</v>
      </c>
      <c r="H139" s="506" t="s">
        <v>7489</v>
      </c>
      <c r="I139" s="506" t="s">
        <v>7489</v>
      </c>
      <c r="J139" s="506" t="s">
        <v>7489</v>
      </c>
      <c r="K139" s="506" t="s">
        <v>7491</v>
      </c>
      <c r="L139" s="506" t="s">
        <v>7491</v>
      </c>
      <c r="M139" s="506" t="s">
        <v>7491</v>
      </c>
      <c r="N139" s="506" t="s">
        <v>7491</v>
      </c>
      <c r="O139" s="506" t="s">
        <v>7499</v>
      </c>
      <c r="P139" s="506" t="s">
        <v>7489</v>
      </c>
      <c r="Q139" s="506" t="s">
        <v>7489</v>
      </c>
      <c r="R139" s="506" t="s">
        <v>7489</v>
      </c>
      <c r="S139" s="506"/>
      <c r="T139" s="506"/>
      <c r="U139" s="137">
        <f>IFERROR(VLOOKUP(A139,Sheet2!$A:$A,1,FALSE),)</f>
        <v>0</v>
      </c>
    </row>
    <row r="140" spans="1:22">
      <c r="A140" s="503" t="s">
        <v>1212</v>
      </c>
      <c r="B140" s="504" t="s">
        <v>1292</v>
      </c>
      <c r="C140" s="505" t="s">
        <v>7474</v>
      </c>
      <c r="D140" s="485" t="s">
        <v>296</v>
      </c>
      <c r="E140" s="497">
        <v>1</v>
      </c>
      <c r="F140" s="485"/>
      <c r="G140" s="485" t="s">
        <v>7518</v>
      </c>
      <c r="H140" s="506" t="s">
        <v>7489</v>
      </c>
      <c r="I140" s="506" t="s">
        <v>7489</v>
      </c>
      <c r="J140" s="506" t="s">
        <v>7489</v>
      </c>
      <c r="K140" s="506" t="s">
        <v>7491</v>
      </c>
      <c r="L140" s="500" t="s">
        <v>7492</v>
      </c>
      <c r="M140" s="500" t="s">
        <v>7492</v>
      </c>
      <c r="N140" s="506" t="s">
        <v>7491</v>
      </c>
      <c r="O140" s="506" t="s">
        <v>7499</v>
      </c>
      <c r="P140" s="483" t="s">
        <v>7489</v>
      </c>
      <c r="Q140" s="483" t="s">
        <v>7489</v>
      </c>
      <c r="R140" s="483" t="s">
        <v>7489</v>
      </c>
      <c r="S140" s="483"/>
      <c r="T140" s="483"/>
      <c r="U140" s="137">
        <f>IFERROR(VLOOKUP(A140,Sheet2!$A:$A,1,FALSE),)</f>
        <v>0</v>
      </c>
      <c r="V140" s="137" t="s">
        <v>7505</v>
      </c>
    </row>
    <row r="141" spans="1:22">
      <c r="A141" s="503" t="s">
        <v>1213</v>
      </c>
      <c r="B141" s="504" t="s">
        <v>1229</v>
      </c>
      <c r="C141" s="505" t="s">
        <v>7474</v>
      </c>
      <c r="D141" s="485" t="s">
        <v>606</v>
      </c>
      <c r="E141" s="497">
        <v>1</v>
      </c>
      <c r="F141" s="485"/>
      <c r="G141" s="485"/>
      <c r="H141" s="506"/>
      <c r="I141" s="506"/>
      <c r="J141" s="506"/>
      <c r="K141" s="506"/>
      <c r="L141" s="506"/>
      <c r="M141" s="506"/>
      <c r="N141" s="506"/>
      <c r="O141" s="506" t="s">
        <v>7499</v>
      </c>
      <c r="P141" s="483"/>
      <c r="Q141" s="483"/>
      <c r="R141" s="483"/>
      <c r="S141" s="483"/>
      <c r="T141" s="483"/>
      <c r="U141" s="137">
        <f>IFERROR(VLOOKUP(A141,Sheet2!$A:$A,1,FALSE),)</f>
        <v>0</v>
      </c>
    </row>
    <row r="142" spans="1:22">
      <c r="A142" s="503" t="s">
        <v>3645</v>
      </c>
      <c r="B142" s="504" t="s">
        <v>1345</v>
      </c>
      <c r="C142" s="505" t="s">
        <v>7474</v>
      </c>
      <c r="D142" s="485" t="s">
        <v>7471</v>
      </c>
      <c r="E142" s="497">
        <v>2</v>
      </c>
      <c r="F142" s="485"/>
      <c r="G142" s="485" t="s">
        <v>7518</v>
      </c>
      <c r="H142" s="506" t="s">
        <v>7489</v>
      </c>
      <c r="I142" s="506" t="s">
        <v>7489</v>
      </c>
      <c r="J142" s="506"/>
      <c r="K142" s="500" t="s">
        <v>7492</v>
      </c>
      <c r="L142" s="500" t="s">
        <v>7492</v>
      </c>
      <c r="M142" s="500" t="s">
        <v>7492</v>
      </c>
      <c r="N142" s="500" t="s">
        <v>7492</v>
      </c>
      <c r="O142" s="506" t="s">
        <v>7499</v>
      </c>
      <c r="P142" s="483"/>
      <c r="Q142" s="483"/>
      <c r="R142" s="483"/>
      <c r="S142" s="483"/>
      <c r="T142" s="483"/>
      <c r="U142" s="137">
        <f>IFERROR(VLOOKUP(A142,Sheet2!$A:$A,1,FALSE),)</f>
        <v>0</v>
      </c>
    </row>
    <row r="145" spans="2:6">
      <c r="B145" s="137" t="s">
        <v>7522</v>
      </c>
      <c r="C145" s="137">
        <v>140</v>
      </c>
    </row>
    <row r="146" spans="2:6">
      <c r="B146" s="137" t="s">
        <v>7523</v>
      </c>
      <c r="C146" s="137">
        <v>18</v>
      </c>
      <c r="D146" s="137">
        <v>18</v>
      </c>
    </row>
    <row r="147" spans="2:6">
      <c r="B147" s="137" t="s">
        <v>7524</v>
      </c>
      <c r="C147" s="137">
        <f>C145-C146</f>
        <v>122</v>
      </c>
      <c r="F147" s="514" t="s">
        <v>661</v>
      </c>
    </row>
    <row r="148" spans="2:6">
      <c r="F148" s="514" t="s">
        <v>669</v>
      </c>
    </row>
    <row r="149" spans="2:6">
      <c r="F149" s="514" t="s">
        <v>705</v>
      </c>
    </row>
    <row r="150" spans="2:6">
      <c r="D150" s="514" t="s">
        <v>1100</v>
      </c>
      <c r="F150" s="514" t="s">
        <v>741</v>
      </c>
    </row>
    <row r="151" spans="2:6">
      <c r="D151" s="514" t="s">
        <v>1136</v>
      </c>
      <c r="F151" s="514" t="s">
        <v>790</v>
      </c>
    </row>
    <row r="152" spans="2:6">
      <c r="D152" s="514" t="s">
        <v>1169</v>
      </c>
      <c r="F152" s="514" t="s">
        <v>798</v>
      </c>
    </row>
    <row r="153" spans="2:6">
      <c r="D153" s="514" t="s">
        <v>917</v>
      </c>
      <c r="F153" s="514" t="s">
        <v>832</v>
      </c>
    </row>
    <row r="154" spans="2:6">
      <c r="D154" s="137">
        <v>228</v>
      </c>
      <c r="F154" s="514" t="s">
        <v>841</v>
      </c>
    </row>
    <row r="155" spans="2:6">
      <c r="F155" s="514" t="s">
        <v>865</v>
      </c>
    </row>
    <row r="156" spans="2:6">
      <c r="F156" s="514" t="s">
        <v>917</v>
      </c>
    </row>
    <row r="157" spans="2:6">
      <c r="F157" s="514" t="s">
        <v>954</v>
      </c>
    </row>
    <row r="158" spans="2:6">
      <c r="F158" s="514" t="s">
        <v>960</v>
      </c>
    </row>
    <row r="159" spans="2:6">
      <c r="F159" s="514" t="s">
        <v>1000</v>
      </c>
    </row>
    <row r="160" spans="2:6">
      <c r="F160" s="514" t="s">
        <v>1100</v>
      </c>
    </row>
    <row r="161" spans="6:6">
      <c r="F161" s="514" t="s">
        <v>1130</v>
      </c>
    </row>
    <row r="162" spans="6:6">
      <c r="F162" s="514" t="s">
        <v>1131</v>
      </c>
    </row>
    <row r="163" spans="6:6">
      <c r="F163" s="514" t="s">
        <v>1136</v>
      </c>
    </row>
    <row r="164" spans="6:6">
      <c r="F164" s="514" t="s">
        <v>1169</v>
      </c>
    </row>
  </sheetData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/>
  <sheetData/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filterMode="1">
    <pageSetUpPr autoPageBreaks="0"/>
  </sheetPr>
  <dimension ref="A1:S588"/>
  <sheetViews>
    <sheetView showGridLines="0" topLeftCell="A91" zoomScale="90" zoomScaleNormal="90" workbookViewId="0">
      <selection activeCell="G151" sqref="G151"/>
    </sheetView>
  </sheetViews>
  <sheetFormatPr defaultColWidth="9" defaultRowHeight="17"/>
  <cols>
    <col min="1" max="1" width="1.58203125" style="20" customWidth="1"/>
    <col min="2" max="4" width="7.58203125" style="20" customWidth="1"/>
    <col min="5" max="5" width="12.08203125" style="20" bestFit="1" customWidth="1"/>
    <col min="6" max="7" width="25.58203125" customWidth="1"/>
    <col min="8" max="10" width="10.6640625" style="20" customWidth="1"/>
    <col min="11" max="18" width="18.58203125" style="20" customWidth="1"/>
    <col min="19" max="19" width="40.6640625" style="20" customWidth="1"/>
    <col min="20" max="16349" width="9" style="20"/>
    <col min="16350" max="16351" width="9" style="20" bestFit="1"/>
    <col min="16352" max="16384" width="9" style="20"/>
  </cols>
  <sheetData>
    <row r="1" spans="1:19" s="2" customFormat="1" ht="15" customHeight="1">
      <c r="A1" s="1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9" s="2" customFormat="1" ht="28.25" customHeight="1">
      <c r="A2" s="5" t="str">
        <f>Description!A2</f>
        <v>SHB 2025-8 Program</v>
      </c>
      <c r="H2" s="3"/>
      <c r="I2" s="3"/>
      <c r="J2" s="184"/>
      <c r="K2" s="3"/>
      <c r="M2" s="3"/>
      <c r="N2" s="184"/>
      <c r="O2" s="3"/>
      <c r="P2" s="3"/>
      <c r="Q2" s="3"/>
      <c r="R2" s="3"/>
      <c r="S2" s="184"/>
    </row>
    <row r="3" spans="1:19" s="2" customFormat="1" ht="8" customHeight="1">
      <c r="H3" s="3"/>
      <c r="I3" s="3"/>
      <c r="J3" s="3"/>
      <c r="K3" s="3"/>
      <c r="L3" s="3"/>
      <c r="M3" s="3"/>
      <c r="N3" s="184"/>
      <c r="O3" s="3"/>
      <c r="P3" s="3"/>
      <c r="Q3" s="3"/>
      <c r="R3" s="3"/>
    </row>
    <row r="4" spans="1:19" s="2" customFormat="1" ht="25.25" customHeight="1">
      <c r="A4" s="8" t="s">
        <v>4</v>
      </c>
      <c r="B4" s="9"/>
      <c r="C4" s="9"/>
      <c r="D4" s="9"/>
      <c r="E4" s="9"/>
      <c r="F4" s="9"/>
      <c r="G4" s="9"/>
      <c r="H4" s="3"/>
      <c r="I4" s="3"/>
      <c r="J4" s="3"/>
      <c r="K4" s="3"/>
      <c r="M4" s="3"/>
      <c r="N4" s="184"/>
      <c r="O4" s="3"/>
      <c r="P4" s="3"/>
      <c r="S4" s="184"/>
    </row>
    <row r="5" spans="1:19" s="2" customFormat="1" ht="5" customHeight="1">
      <c r="A5" s="10"/>
      <c r="B5" s="9"/>
      <c r="C5" s="9"/>
      <c r="D5" s="9"/>
      <c r="E5" s="9"/>
      <c r="F5" s="9"/>
      <c r="G5" s="9"/>
      <c r="H5" s="3"/>
      <c r="I5" s="3"/>
      <c r="J5" s="3"/>
      <c r="K5" s="3"/>
      <c r="L5" s="3"/>
      <c r="M5" s="3"/>
      <c r="N5" s="3"/>
      <c r="O5" s="3"/>
      <c r="P5" s="9"/>
      <c r="Q5" s="9"/>
      <c r="R5" s="9"/>
    </row>
    <row r="6" spans="1:19" s="2" customFormat="1" ht="18" customHeight="1">
      <c r="A6" s="10" t="s">
        <v>23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19" t="s">
        <v>24</v>
      </c>
    </row>
    <row r="7" spans="1:19" s="2" customFormat="1" ht="8" customHeight="1" thickBot="1">
      <c r="K7" s="4"/>
      <c r="L7" s="4"/>
      <c r="M7" s="4"/>
      <c r="N7" s="4"/>
      <c r="O7" s="4"/>
      <c r="P7" s="4"/>
      <c r="Q7" s="4"/>
      <c r="R7" s="4"/>
    </row>
    <row r="8" spans="1:19" ht="18" customHeight="1">
      <c r="B8" s="21" t="s">
        <v>25</v>
      </c>
      <c r="C8" s="22"/>
      <c r="D8" s="22"/>
      <c r="E8" s="22"/>
      <c r="F8" s="22"/>
      <c r="G8" s="22"/>
      <c r="H8" s="22"/>
      <c r="I8" s="22"/>
      <c r="J8" s="22"/>
      <c r="K8" s="23" t="s">
        <v>26</v>
      </c>
      <c r="L8" s="24"/>
      <c r="M8" s="24"/>
      <c r="N8" s="24"/>
      <c r="O8" s="24"/>
      <c r="P8" s="24"/>
      <c r="Q8" s="23" t="s">
        <v>642</v>
      </c>
      <c r="R8" s="391"/>
      <c r="S8" s="25" t="s">
        <v>27</v>
      </c>
    </row>
    <row r="9" spans="1:19" ht="18" customHeight="1">
      <c r="B9" s="26" t="str">
        <f>"Field "&amp;COLUMN()-1</f>
        <v>Field 1</v>
      </c>
      <c r="C9" s="27" t="str">
        <f>"Field "&amp;(COLUMN()-COUNTIF($B$9:B9,"")-1)</f>
        <v>Field 2</v>
      </c>
      <c r="D9" s="27" t="str">
        <f>"Field "&amp;(COLUMN()-COUNTIF($B$9:C9,"")-1)</f>
        <v>Field 3</v>
      </c>
      <c r="E9" s="27" t="str">
        <f>"Field "&amp;(COLUMN()-COUNTIF($B$9:D9,"")-1)</f>
        <v>Field 4</v>
      </c>
      <c r="F9" s="27" t="str">
        <f>"Field "&amp;(COLUMN()-COUNTIF($B$9:E9,"")-1)</f>
        <v>Field 5</v>
      </c>
      <c r="G9" s="481"/>
      <c r="H9" s="27" t="str">
        <f>"Field "&amp;(COLUMN()-COUNTIF($B$9:F9,"")-1)</f>
        <v>Field 7</v>
      </c>
      <c r="I9" s="27" t="str">
        <f>"Field "&amp;(COLUMN()-COUNTIF($B$9:H9,"")-1)</f>
        <v>Field 7</v>
      </c>
      <c r="J9" s="27" t="str">
        <f>"Field "&amp;(COLUMN()-COUNTIF($B$9:I9,"")-1)</f>
        <v>Field 8</v>
      </c>
      <c r="K9" s="26" t="str">
        <f>"Field "&amp;(COLUMN()-COUNTIF($B$9:J9,"")-1)</f>
        <v>Field 9</v>
      </c>
      <c r="L9" s="27" t="str">
        <f>"Field "&amp;(COLUMN()-COUNTIF($B$9:K9,"")-1)</f>
        <v>Field 10</v>
      </c>
      <c r="M9" s="27" t="str">
        <f>"Field "&amp;(COLUMN()-COUNTIF($B$9:L9,"")-1)</f>
        <v>Field 11</v>
      </c>
      <c r="N9" s="27" t="str">
        <f>"Field "&amp;(COLUMN()-COUNTIF($B$9:M9,"")-1)</f>
        <v>Field 12</v>
      </c>
      <c r="O9" s="50" t="str">
        <f>"Field "&amp;(COLUMN()-COUNTIF($B$9:N9,"")-1)</f>
        <v>Field 13</v>
      </c>
      <c r="P9" s="50" t="str">
        <f>"Field "&amp;(COLUMN()-COUNTIF($B$9:O9,"")-1)</f>
        <v>Field 14</v>
      </c>
      <c r="Q9" s="392" t="str">
        <f>"Field "&amp;(COLUMN()-COUNTIF($B$9:P9,"")-1)</f>
        <v>Field 15</v>
      </c>
      <c r="R9" s="48" t="str">
        <f>"Field "&amp;(COLUMN()-COUNTIF($B$9:Q9,"")-1)</f>
        <v>Field 16</v>
      </c>
      <c r="S9" s="28" t="str">
        <f>"Field "&amp;(COLUMN()-COUNTIF($B$9:O9,"")-1)</f>
        <v>Field 17</v>
      </c>
    </row>
    <row r="10" spans="1:19" s="308" customFormat="1" ht="30" customHeight="1" thickBot="1">
      <c r="B10" s="138" t="s">
        <v>28</v>
      </c>
      <c r="C10" s="139" t="s">
        <v>29</v>
      </c>
      <c r="D10" s="139" t="s">
        <v>30</v>
      </c>
      <c r="E10" s="159" t="s">
        <v>2</v>
      </c>
      <c r="F10" s="159" t="s">
        <v>31</v>
      </c>
      <c r="G10" s="482" t="s">
        <v>7473</v>
      </c>
      <c r="H10" s="159" t="s">
        <v>32</v>
      </c>
      <c r="I10" s="159" t="s">
        <v>33</v>
      </c>
      <c r="J10" s="159" t="s">
        <v>34</v>
      </c>
      <c r="K10" s="140" t="s">
        <v>35</v>
      </c>
      <c r="L10" s="139" t="s">
        <v>36</v>
      </c>
      <c r="M10" s="141" t="s">
        <v>629</v>
      </c>
      <c r="N10" s="139" t="s">
        <v>37</v>
      </c>
      <c r="O10" s="139" t="s">
        <v>38</v>
      </c>
      <c r="P10" s="141" t="s">
        <v>641</v>
      </c>
      <c r="Q10" s="138" t="s">
        <v>643</v>
      </c>
      <c r="R10" s="393" t="s">
        <v>644</v>
      </c>
      <c r="S10" s="309" t="s">
        <v>39</v>
      </c>
    </row>
    <row r="11" spans="1:19" ht="19.5" hidden="1" customHeight="1">
      <c r="B11" s="29">
        <f t="shared" ref="B11:B74" si="0">ROW()-10</f>
        <v>1</v>
      </c>
      <c r="C11" s="30" t="s">
        <v>206</v>
      </c>
      <c r="D11" s="30" t="s">
        <v>225</v>
      </c>
      <c r="E11" s="163" t="s">
        <v>645</v>
      </c>
      <c r="F11" s="284" t="s">
        <v>1294</v>
      </c>
      <c r="G11" s="284">
        <f>IFERROR(VLOOKUP(E11,Assign!$C$2:$J$142,8,FALSE),)</f>
        <v>0</v>
      </c>
      <c r="H11" s="372" t="s">
        <v>3870</v>
      </c>
      <c r="I11" s="445" t="s">
        <v>3860</v>
      </c>
      <c r="J11" s="446"/>
      <c r="K11" s="386">
        <v>8500000000</v>
      </c>
      <c r="L11" s="387"/>
      <c r="M11" s="388">
        <f t="shared" ref="M11:M74" si="1">SUM(K11:L11)</f>
        <v>8500000000</v>
      </c>
      <c r="N11" s="388"/>
      <c r="O11" s="388">
        <f t="shared" ref="O11:O74" si="2">SUM(M11:N11)</f>
        <v>8500000000</v>
      </c>
      <c r="P11" s="390"/>
      <c r="Q11" s="395">
        <v>12000000000</v>
      </c>
      <c r="R11" s="396">
        <v>1800000000</v>
      </c>
      <c r="S11" s="447"/>
    </row>
    <row r="12" spans="1:19" ht="19.5" hidden="1" customHeight="1">
      <c r="B12" s="29">
        <f t="shared" si="0"/>
        <v>2</v>
      </c>
      <c r="C12" s="30" t="s">
        <v>206</v>
      </c>
      <c r="D12" s="30" t="s">
        <v>225</v>
      </c>
      <c r="E12" s="163" t="s">
        <v>646</v>
      </c>
      <c r="F12" s="284" t="s">
        <v>1217</v>
      </c>
      <c r="G12" s="284">
        <f>IFERROR(VLOOKUP(E12,Assign!$C$2:$J$142,8,FALSE),)</f>
        <v>0</v>
      </c>
      <c r="H12" s="372" t="s">
        <v>3868</v>
      </c>
      <c r="I12" s="445" t="s">
        <v>3859</v>
      </c>
      <c r="J12" s="446" t="s">
        <v>3637</v>
      </c>
      <c r="K12" s="386">
        <v>6750000000</v>
      </c>
      <c r="L12" s="387"/>
      <c r="M12" s="388">
        <f t="shared" si="1"/>
        <v>6750000000</v>
      </c>
      <c r="N12" s="388"/>
      <c r="O12" s="388">
        <f t="shared" si="2"/>
        <v>6750000000</v>
      </c>
      <c r="P12" s="390"/>
      <c r="Q12" s="386">
        <v>8100000000</v>
      </c>
      <c r="R12" s="394">
        <v>0</v>
      </c>
      <c r="S12" s="447"/>
    </row>
    <row r="13" spans="1:19" ht="19.5" hidden="1" customHeight="1">
      <c r="B13" s="29">
        <f t="shared" si="0"/>
        <v>3</v>
      </c>
      <c r="C13" s="30" t="s">
        <v>206</v>
      </c>
      <c r="D13" s="30" t="s">
        <v>225</v>
      </c>
      <c r="E13" s="163" t="s">
        <v>647</v>
      </c>
      <c r="F13" s="284" t="s">
        <v>1244</v>
      </c>
      <c r="G13" s="284">
        <f>IFERROR(VLOOKUP(E13,Assign!$C$2:$J$142,8,FALSE),)</f>
        <v>0</v>
      </c>
      <c r="H13" s="372" t="s">
        <v>3868</v>
      </c>
      <c r="I13" s="445" t="s">
        <v>3859</v>
      </c>
      <c r="J13" s="446"/>
      <c r="K13" s="386">
        <v>5504000000</v>
      </c>
      <c r="L13" s="387"/>
      <c r="M13" s="388">
        <f t="shared" si="1"/>
        <v>5504000000</v>
      </c>
      <c r="N13" s="388"/>
      <c r="O13" s="388">
        <f t="shared" si="2"/>
        <v>5504000000</v>
      </c>
      <c r="P13" s="390"/>
      <c r="Q13" s="386">
        <v>6658800000</v>
      </c>
      <c r="R13" s="394">
        <v>324000000</v>
      </c>
      <c r="S13" s="447"/>
    </row>
    <row r="14" spans="1:19" ht="19.5" hidden="1" customHeight="1">
      <c r="B14" s="29">
        <f t="shared" si="0"/>
        <v>4</v>
      </c>
      <c r="C14" s="30" t="s">
        <v>206</v>
      </c>
      <c r="D14" s="30" t="s">
        <v>225</v>
      </c>
      <c r="E14" s="163" t="s">
        <v>648</v>
      </c>
      <c r="F14" s="284" t="s">
        <v>1295</v>
      </c>
      <c r="G14" s="284">
        <f>IFERROR(VLOOKUP(E14,Assign!$C$2:$J$142,8,FALSE),)</f>
        <v>0</v>
      </c>
      <c r="H14" s="372" t="s">
        <v>3870</v>
      </c>
      <c r="I14" s="445" t="s">
        <v>3859</v>
      </c>
      <c r="J14" s="446"/>
      <c r="K14" s="386">
        <v>5197462051</v>
      </c>
      <c r="L14" s="387"/>
      <c r="M14" s="388">
        <f t="shared" si="1"/>
        <v>5197462051</v>
      </c>
      <c r="N14" s="388"/>
      <c r="O14" s="388">
        <f t="shared" si="2"/>
        <v>5197462051</v>
      </c>
      <c r="P14" s="390"/>
      <c r="Q14" s="386">
        <v>6240000000</v>
      </c>
      <c r="R14" s="394">
        <v>0</v>
      </c>
      <c r="S14" s="447"/>
    </row>
    <row r="15" spans="1:19" ht="19.5" hidden="1" customHeight="1">
      <c r="B15" s="29">
        <f t="shared" si="0"/>
        <v>5</v>
      </c>
      <c r="C15" s="30" t="s">
        <v>206</v>
      </c>
      <c r="D15" s="30" t="s">
        <v>225</v>
      </c>
      <c r="E15" s="163" t="s">
        <v>649</v>
      </c>
      <c r="F15" s="284" t="s">
        <v>1296</v>
      </c>
      <c r="G15" s="284">
        <f>IFERROR(VLOOKUP(E15,Assign!$C$2:$J$142,8,FALSE),)</f>
        <v>0</v>
      </c>
      <c r="H15" s="372" t="s">
        <v>3870</v>
      </c>
      <c r="I15" s="445" t="s">
        <v>3859</v>
      </c>
      <c r="J15" s="446"/>
      <c r="K15" s="386">
        <v>4747875824</v>
      </c>
      <c r="L15" s="387"/>
      <c r="M15" s="388">
        <f t="shared" si="1"/>
        <v>4747875824</v>
      </c>
      <c r="N15" s="388"/>
      <c r="O15" s="388">
        <f t="shared" si="2"/>
        <v>4747875824</v>
      </c>
      <c r="P15" s="390"/>
      <c r="Q15" s="386">
        <v>6710400000</v>
      </c>
      <c r="R15" s="394">
        <v>0</v>
      </c>
      <c r="S15" s="447"/>
    </row>
    <row r="16" spans="1:19" ht="19.5" hidden="1" customHeight="1">
      <c r="B16" s="29">
        <f t="shared" si="0"/>
        <v>6</v>
      </c>
      <c r="C16" s="30" t="s">
        <v>206</v>
      </c>
      <c r="D16" s="30" t="s">
        <v>225</v>
      </c>
      <c r="E16" s="163" t="s">
        <v>650</v>
      </c>
      <c r="F16" s="284" t="s">
        <v>1297</v>
      </c>
      <c r="G16" s="284">
        <f>IFERROR(VLOOKUP(E16,Assign!$C$2:$J$142,8,FALSE),)</f>
        <v>0</v>
      </c>
      <c r="H16" s="372" t="s">
        <v>3870</v>
      </c>
      <c r="I16" s="445" t="s">
        <v>3859</v>
      </c>
      <c r="J16" s="446"/>
      <c r="K16" s="386">
        <v>4476000000</v>
      </c>
      <c r="L16" s="387"/>
      <c r="M16" s="388">
        <f t="shared" si="1"/>
        <v>4476000000</v>
      </c>
      <c r="N16" s="388"/>
      <c r="O16" s="388">
        <f t="shared" si="2"/>
        <v>4476000000</v>
      </c>
      <c r="P16" s="390"/>
      <c r="Q16" s="386">
        <v>5400000000</v>
      </c>
      <c r="R16" s="394">
        <v>0</v>
      </c>
      <c r="S16" s="447"/>
    </row>
    <row r="17" spans="2:19" ht="19.5" hidden="1" customHeight="1">
      <c r="B17" s="29">
        <f t="shared" si="0"/>
        <v>7</v>
      </c>
      <c r="C17" s="30" t="s">
        <v>206</v>
      </c>
      <c r="D17" s="30" t="s">
        <v>225</v>
      </c>
      <c r="E17" s="163" t="s">
        <v>651</v>
      </c>
      <c r="F17" s="284" t="s">
        <v>1298</v>
      </c>
      <c r="G17" s="284">
        <f>IFERROR(VLOOKUP(E17,Assign!$C$2:$J$142,8,FALSE),)</f>
        <v>0</v>
      </c>
      <c r="H17" s="372" t="s">
        <v>3870</v>
      </c>
      <c r="I17" s="445" t="s">
        <v>3859</v>
      </c>
      <c r="J17" s="446"/>
      <c r="K17" s="386">
        <v>3773297264</v>
      </c>
      <c r="L17" s="387"/>
      <c r="M17" s="388">
        <f t="shared" si="1"/>
        <v>3773297264</v>
      </c>
      <c r="N17" s="388"/>
      <c r="O17" s="388">
        <f t="shared" si="2"/>
        <v>3773297264</v>
      </c>
      <c r="P17" s="390"/>
      <c r="Q17" s="386">
        <v>4761600000</v>
      </c>
      <c r="R17" s="394">
        <v>367650000</v>
      </c>
      <c r="S17" s="447"/>
    </row>
    <row r="18" spans="2:19" ht="19.5" hidden="1" customHeight="1">
      <c r="B18" s="29">
        <f t="shared" si="0"/>
        <v>8</v>
      </c>
      <c r="C18" s="30" t="s">
        <v>206</v>
      </c>
      <c r="D18" s="30" t="s">
        <v>225</v>
      </c>
      <c r="E18" s="163" t="s">
        <v>652</v>
      </c>
      <c r="F18" s="284" t="s">
        <v>1299</v>
      </c>
      <c r="G18" s="284">
        <f>IFERROR(VLOOKUP(E18,Assign!$C$2:$J$142,8,FALSE),)</f>
        <v>0</v>
      </c>
      <c r="H18" s="372" t="s">
        <v>3870</v>
      </c>
      <c r="I18" s="445" t="s">
        <v>3859</v>
      </c>
      <c r="J18" s="446"/>
      <c r="K18" s="386">
        <v>3489666333</v>
      </c>
      <c r="L18" s="387"/>
      <c r="M18" s="388">
        <f t="shared" si="1"/>
        <v>3489666333</v>
      </c>
      <c r="N18" s="388"/>
      <c r="O18" s="388">
        <f t="shared" si="2"/>
        <v>3489666333</v>
      </c>
      <c r="P18" s="390"/>
      <c r="Q18" s="386">
        <v>4344000000</v>
      </c>
      <c r="R18" s="394">
        <v>0</v>
      </c>
      <c r="S18" s="447"/>
    </row>
    <row r="19" spans="2:19" ht="19.5" hidden="1" customHeight="1">
      <c r="B19" s="29">
        <f t="shared" si="0"/>
        <v>9</v>
      </c>
      <c r="C19" s="30" t="s">
        <v>206</v>
      </c>
      <c r="D19" s="30" t="s">
        <v>225</v>
      </c>
      <c r="E19" s="163" t="s">
        <v>653</v>
      </c>
      <c r="F19" s="284" t="s">
        <v>1219</v>
      </c>
      <c r="G19" s="284">
        <f>IFERROR(VLOOKUP(E19,Assign!$C$2:$J$142,8,FALSE),)</f>
        <v>0</v>
      </c>
      <c r="H19" s="372" t="s">
        <v>3868</v>
      </c>
      <c r="I19" s="445" t="s">
        <v>3859</v>
      </c>
      <c r="J19" s="446"/>
      <c r="K19" s="386">
        <v>3282000000</v>
      </c>
      <c r="L19" s="387"/>
      <c r="M19" s="388">
        <f t="shared" si="1"/>
        <v>3282000000</v>
      </c>
      <c r="N19" s="388"/>
      <c r="O19" s="388">
        <f t="shared" si="2"/>
        <v>3282000000</v>
      </c>
      <c r="P19" s="390"/>
      <c r="Q19" s="386">
        <v>3996000000</v>
      </c>
      <c r="R19" s="394">
        <v>0</v>
      </c>
      <c r="S19" s="447"/>
    </row>
    <row r="20" spans="2:19" ht="19.5" hidden="1" customHeight="1">
      <c r="B20" s="29">
        <f t="shared" si="0"/>
        <v>10</v>
      </c>
      <c r="C20" s="30" t="s">
        <v>206</v>
      </c>
      <c r="D20" s="30" t="s">
        <v>225</v>
      </c>
      <c r="E20" s="163" t="s">
        <v>654</v>
      </c>
      <c r="F20" s="284" t="s">
        <v>1217</v>
      </c>
      <c r="G20" s="284">
        <f>IFERROR(VLOOKUP(E20,Assign!$C$2:$J$142,8,FALSE),)</f>
        <v>0</v>
      </c>
      <c r="H20" s="372" t="s">
        <v>3868</v>
      </c>
      <c r="I20" s="445" t="s">
        <v>3859</v>
      </c>
      <c r="J20" s="446"/>
      <c r="K20" s="386">
        <v>3253846122</v>
      </c>
      <c r="L20" s="387"/>
      <c r="M20" s="388">
        <f t="shared" si="1"/>
        <v>3253846122</v>
      </c>
      <c r="N20" s="388"/>
      <c r="O20" s="388">
        <f t="shared" si="2"/>
        <v>3253846122</v>
      </c>
      <c r="P20" s="390"/>
      <c r="Q20" s="386">
        <v>3960000000</v>
      </c>
      <c r="R20" s="394">
        <v>0</v>
      </c>
      <c r="S20" s="447"/>
    </row>
    <row r="21" spans="2:19" ht="19.5" hidden="1" customHeight="1">
      <c r="B21" s="29">
        <f t="shared" si="0"/>
        <v>11</v>
      </c>
      <c r="C21" s="30" t="s">
        <v>206</v>
      </c>
      <c r="D21" s="30" t="s">
        <v>225</v>
      </c>
      <c r="E21" s="163" t="s">
        <v>655</v>
      </c>
      <c r="F21" s="284" t="s">
        <v>1220</v>
      </c>
      <c r="G21" s="284">
        <f>IFERROR(VLOOKUP(E21,Assign!$C$2:$J$142,8,FALSE),)</f>
        <v>0</v>
      </c>
      <c r="H21" s="372" t="s">
        <v>3868</v>
      </c>
      <c r="I21" s="445" t="s">
        <v>3859</v>
      </c>
      <c r="J21" s="446"/>
      <c r="K21" s="386">
        <v>2983260000</v>
      </c>
      <c r="L21" s="387"/>
      <c r="M21" s="388">
        <f t="shared" si="1"/>
        <v>2983260000</v>
      </c>
      <c r="N21" s="388"/>
      <c r="O21" s="388">
        <f t="shared" si="2"/>
        <v>2983260000</v>
      </c>
      <c r="P21" s="390"/>
      <c r="Q21" s="386">
        <v>3180000000</v>
      </c>
      <c r="R21" s="394">
        <v>0</v>
      </c>
      <c r="S21" s="447"/>
    </row>
    <row r="22" spans="2:19" ht="19.5" hidden="1" customHeight="1">
      <c r="B22" s="29">
        <f t="shared" si="0"/>
        <v>12</v>
      </c>
      <c r="C22" s="30" t="s">
        <v>206</v>
      </c>
      <c r="D22" s="30" t="s">
        <v>225</v>
      </c>
      <c r="E22" s="163" t="s">
        <v>656</v>
      </c>
      <c r="F22" s="284" t="s">
        <v>1217</v>
      </c>
      <c r="G22" s="284">
        <f>IFERROR(VLOOKUP(E22,Assign!$C$2:$J$142,8,FALSE),)</f>
        <v>0</v>
      </c>
      <c r="H22" s="372" t="s">
        <v>3868</v>
      </c>
      <c r="I22" s="445" t="s">
        <v>3859</v>
      </c>
      <c r="J22" s="446"/>
      <c r="K22" s="386">
        <v>2282735387</v>
      </c>
      <c r="L22" s="387"/>
      <c r="M22" s="388">
        <f t="shared" si="1"/>
        <v>2282735387</v>
      </c>
      <c r="N22" s="388"/>
      <c r="O22" s="388">
        <f t="shared" si="2"/>
        <v>2282735387</v>
      </c>
      <c r="P22" s="390"/>
      <c r="Q22" s="386">
        <v>2260000000</v>
      </c>
      <c r="R22" s="394">
        <v>0</v>
      </c>
      <c r="S22" s="447"/>
    </row>
    <row r="23" spans="2:19" ht="19.5" hidden="1" customHeight="1">
      <c r="B23" s="29">
        <f t="shared" si="0"/>
        <v>13</v>
      </c>
      <c r="C23" s="30" t="s">
        <v>206</v>
      </c>
      <c r="D23" s="30" t="s">
        <v>225</v>
      </c>
      <c r="E23" s="163" t="s">
        <v>657</v>
      </c>
      <c r="F23" s="284" t="s">
        <v>1300</v>
      </c>
      <c r="G23" s="284">
        <f>IFERROR(VLOOKUP(E23,Assign!$C$2:$J$142,8,FALSE),)</f>
        <v>0</v>
      </c>
      <c r="H23" s="372" t="s">
        <v>3870</v>
      </c>
      <c r="I23" s="445" t="s">
        <v>3859</v>
      </c>
      <c r="J23" s="446"/>
      <c r="K23" s="386">
        <v>2051744096</v>
      </c>
      <c r="L23" s="387"/>
      <c r="M23" s="388">
        <f t="shared" si="1"/>
        <v>2051744096</v>
      </c>
      <c r="N23" s="388"/>
      <c r="O23" s="388">
        <f t="shared" si="2"/>
        <v>2051744096</v>
      </c>
      <c r="P23" s="390"/>
      <c r="Q23" s="386">
        <v>2479200000</v>
      </c>
      <c r="R23" s="394">
        <v>0</v>
      </c>
      <c r="S23" s="447"/>
    </row>
    <row r="24" spans="2:19" ht="19.5" hidden="1" customHeight="1">
      <c r="B24" s="29">
        <f t="shared" si="0"/>
        <v>14</v>
      </c>
      <c r="C24" s="30" t="s">
        <v>206</v>
      </c>
      <c r="D24" s="30" t="s">
        <v>225</v>
      </c>
      <c r="E24" s="163" t="s">
        <v>658</v>
      </c>
      <c r="F24" s="284" t="s">
        <v>1301</v>
      </c>
      <c r="G24" s="284">
        <f>IFERROR(VLOOKUP(E24,Assign!$C$2:$J$142,8,FALSE),)</f>
        <v>0</v>
      </c>
      <c r="H24" s="372" t="s">
        <v>3870</v>
      </c>
      <c r="I24" s="445" t="s">
        <v>3859</v>
      </c>
      <c r="J24" s="446"/>
      <c r="K24" s="386">
        <v>1362000000</v>
      </c>
      <c r="L24" s="387"/>
      <c r="M24" s="388">
        <f t="shared" si="1"/>
        <v>1362000000</v>
      </c>
      <c r="N24" s="388"/>
      <c r="O24" s="388">
        <f t="shared" si="2"/>
        <v>1362000000</v>
      </c>
      <c r="P24" s="390"/>
      <c r="Q24" s="386">
        <v>2124000000</v>
      </c>
      <c r="R24" s="394">
        <v>0</v>
      </c>
      <c r="S24" s="447"/>
    </row>
    <row r="25" spans="2:19" ht="19.5" customHeight="1">
      <c r="B25" s="29">
        <f t="shared" si="0"/>
        <v>15</v>
      </c>
      <c r="C25" s="30" t="s">
        <v>206</v>
      </c>
      <c r="D25" s="30" t="s">
        <v>225</v>
      </c>
      <c r="E25" s="491" t="s">
        <v>659</v>
      </c>
      <c r="F25" s="284" t="s">
        <v>1218</v>
      </c>
      <c r="G25" s="284" t="str">
        <f>IFERROR(VLOOKUP(E25,Assign!$C$2:$J$142,8,FALSE),)</f>
        <v>문선영</v>
      </c>
      <c r="H25" s="372" t="s">
        <v>3868</v>
      </c>
      <c r="I25" s="445" t="s">
        <v>3859</v>
      </c>
      <c r="J25" s="446"/>
      <c r="K25" s="386">
        <v>1610000000</v>
      </c>
      <c r="L25" s="387"/>
      <c r="M25" s="388">
        <f t="shared" si="1"/>
        <v>1610000000</v>
      </c>
      <c r="N25" s="388"/>
      <c r="O25" s="388">
        <f t="shared" si="2"/>
        <v>1610000000</v>
      </c>
      <c r="P25" s="390"/>
      <c r="Q25" s="386">
        <v>1968000000</v>
      </c>
      <c r="R25" s="394">
        <v>0</v>
      </c>
      <c r="S25" s="447"/>
    </row>
    <row r="26" spans="2:19" ht="19.5" hidden="1" customHeight="1">
      <c r="B26" s="29">
        <f t="shared" si="0"/>
        <v>16</v>
      </c>
      <c r="C26" s="30" t="s">
        <v>206</v>
      </c>
      <c r="D26" s="30" t="s">
        <v>225</v>
      </c>
      <c r="E26" s="163" t="s">
        <v>660</v>
      </c>
      <c r="F26" s="284" t="s">
        <v>1221</v>
      </c>
      <c r="G26" s="284">
        <f>IFERROR(VLOOKUP(E26,Assign!$C$2:$J$142,8,FALSE),)</f>
        <v>0</v>
      </c>
      <c r="H26" s="372" t="s">
        <v>3868</v>
      </c>
      <c r="I26" s="445" t="s">
        <v>3859</v>
      </c>
      <c r="J26" s="446"/>
      <c r="K26" s="386">
        <v>1570000000</v>
      </c>
      <c r="L26" s="387"/>
      <c r="M26" s="388">
        <f t="shared" si="1"/>
        <v>1570000000</v>
      </c>
      <c r="N26" s="388"/>
      <c r="O26" s="388">
        <f t="shared" si="2"/>
        <v>1570000000</v>
      </c>
      <c r="P26" s="390"/>
      <c r="Q26" s="386">
        <v>1980000000</v>
      </c>
      <c r="R26" s="394">
        <v>0</v>
      </c>
      <c r="S26" s="447"/>
    </row>
    <row r="27" spans="2:19" ht="19.5" customHeight="1">
      <c r="B27" s="29">
        <f t="shared" si="0"/>
        <v>17</v>
      </c>
      <c r="C27" s="30" t="s">
        <v>206</v>
      </c>
      <c r="D27" s="30" t="s">
        <v>225</v>
      </c>
      <c r="E27" s="491" t="s">
        <v>661</v>
      </c>
      <c r="F27" s="284" t="s">
        <v>1302</v>
      </c>
      <c r="G27" s="284" t="str">
        <f>IFERROR(VLOOKUP(E27,Assign!$C$2:$J$142,8,FALSE),)</f>
        <v>문선영</v>
      </c>
      <c r="H27" s="372" t="s">
        <v>3870</v>
      </c>
      <c r="I27" s="445" t="s">
        <v>3859</v>
      </c>
      <c r="J27" s="446"/>
      <c r="K27" s="386">
        <v>1520000000</v>
      </c>
      <c r="L27" s="387"/>
      <c r="M27" s="388">
        <f t="shared" si="1"/>
        <v>1520000000</v>
      </c>
      <c r="N27" s="388"/>
      <c r="O27" s="388">
        <f t="shared" si="2"/>
        <v>1520000000</v>
      </c>
      <c r="P27" s="390"/>
      <c r="Q27" s="386">
        <v>1824000000</v>
      </c>
      <c r="R27" s="394">
        <v>0</v>
      </c>
      <c r="S27" s="447"/>
    </row>
    <row r="28" spans="2:19" ht="19.5" hidden="1" customHeight="1">
      <c r="B28" s="29">
        <f t="shared" si="0"/>
        <v>18</v>
      </c>
      <c r="C28" s="30" t="s">
        <v>206</v>
      </c>
      <c r="D28" s="30" t="s">
        <v>225</v>
      </c>
      <c r="E28" s="163" t="s">
        <v>662</v>
      </c>
      <c r="F28" s="284" t="s">
        <v>1222</v>
      </c>
      <c r="G28" s="284">
        <f>IFERROR(VLOOKUP(E28,Assign!$C$2:$J$142,8,FALSE),)</f>
        <v>0</v>
      </c>
      <c r="H28" s="372" t="s">
        <v>3868</v>
      </c>
      <c r="I28" s="445" t="s">
        <v>3859</v>
      </c>
      <c r="J28" s="446"/>
      <c r="K28" s="386">
        <v>1434500000</v>
      </c>
      <c r="L28" s="387"/>
      <c r="M28" s="388">
        <f t="shared" si="1"/>
        <v>1434500000</v>
      </c>
      <c r="N28" s="388"/>
      <c r="O28" s="388">
        <f t="shared" si="2"/>
        <v>1434500000</v>
      </c>
      <c r="P28" s="390"/>
      <c r="Q28" s="386">
        <v>1860000000</v>
      </c>
      <c r="R28" s="394">
        <v>0</v>
      </c>
      <c r="S28" s="447"/>
    </row>
    <row r="29" spans="2:19" ht="19.5" hidden="1" customHeight="1">
      <c r="B29" s="29">
        <f t="shared" si="0"/>
        <v>19</v>
      </c>
      <c r="C29" s="30" t="s">
        <v>206</v>
      </c>
      <c r="D29" s="30" t="s">
        <v>225</v>
      </c>
      <c r="E29" s="163" t="s">
        <v>663</v>
      </c>
      <c r="F29" s="284" t="s">
        <v>1303</v>
      </c>
      <c r="G29" s="284">
        <f>IFERROR(VLOOKUP(E29,Assign!$C$2:$J$142,8,FALSE),)</f>
        <v>0</v>
      </c>
      <c r="H29" s="372" t="s">
        <v>3870</v>
      </c>
      <c r="I29" s="445" t="s">
        <v>3859</v>
      </c>
      <c r="J29" s="446"/>
      <c r="K29" s="386">
        <v>1251111095</v>
      </c>
      <c r="L29" s="387"/>
      <c r="M29" s="388">
        <f t="shared" si="1"/>
        <v>1251111095</v>
      </c>
      <c r="N29" s="388"/>
      <c r="O29" s="388">
        <f t="shared" si="2"/>
        <v>1251111095</v>
      </c>
      <c r="P29" s="390"/>
      <c r="Q29" s="386">
        <v>1308000000</v>
      </c>
      <c r="R29" s="394">
        <v>0</v>
      </c>
      <c r="S29" s="447"/>
    </row>
    <row r="30" spans="2:19" ht="19.5" customHeight="1">
      <c r="B30" s="29">
        <f t="shared" si="0"/>
        <v>20</v>
      </c>
      <c r="C30" s="30" t="s">
        <v>206</v>
      </c>
      <c r="D30" s="30" t="s">
        <v>225</v>
      </c>
      <c r="E30" s="491" t="s">
        <v>664</v>
      </c>
      <c r="F30" s="284" t="s">
        <v>1223</v>
      </c>
      <c r="G30" s="284" t="str">
        <f>IFERROR(VLOOKUP(E30,Assign!$C$2:$J$142,8,FALSE),)</f>
        <v>문선영</v>
      </c>
      <c r="H30" s="372" t="s">
        <v>3868</v>
      </c>
      <c r="I30" s="445" t="s">
        <v>3859</v>
      </c>
      <c r="J30" s="446"/>
      <c r="K30" s="386">
        <v>1222499814</v>
      </c>
      <c r="L30" s="387"/>
      <c r="M30" s="388">
        <f t="shared" si="1"/>
        <v>1222499814</v>
      </c>
      <c r="N30" s="388"/>
      <c r="O30" s="388">
        <f t="shared" si="2"/>
        <v>1222499814</v>
      </c>
      <c r="P30" s="390"/>
      <c r="Q30" s="386">
        <v>1628400000</v>
      </c>
      <c r="R30" s="394">
        <v>0</v>
      </c>
      <c r="S30" s="447"/>
    </row>
    <row r="31" spans="2:19" ht="19.5" customHeight="1">
      <c r="B31" s="29">
        <f t="shared" si="0"/>
        <v>21</v>
      </c>
      <c r="C31" s="30" t="s">
        <v>206</v>
      </c>
      <c r="D31" s="30" t="s">
        <v>225</v>
      </c>
      <c r="E31" s="491" t="s">
        <v>665</v>
      </c>
      <c r="F31" s="284" t="s">
        <v>1224</v>
      </c>
      <c r="G31" s="284" t="str">
        <f>IFERROR(VLOOKUP(E31,Assign!$C$2:$J$142,8,FALSE),)</f>
        <v>문선영</v>
      </c>
      <c r="H31" s="372" t="s">
        <v>3868</v>
      </c>
      <c r="I31" s="445" t="s">
        <v>3859</v>
      </c>
      <c r="J31" s="446"/>
      <c r="K31" s="386">
        <v>1150000000</v>
      </c>
      <c r="L31" s="387"/>
      <c r="M31" s="388">
        <f t="shared" si="1"/>
        <v>1150000000</v>
      </c>
      <c r="N31" s="388"/>
      <c r="O31" s="388">
        <f t="shared" si="2"/>
        <v>1150000000</v>
      </c>
      <c r="P31" s="390"/>
      <c r="Q31" s="386">
        <v>1380000000</v>
      </c>
      <c r="R31" s="394">
        <v>0</v>
      </c>
      <c r="S31" s="447"/>
    </row>
    <row r="32" spans="2:19" ht="19.5" hidden="1" customHeight="1">
      <c r="B32" s="29">
        <f t="shared" si="0"/>
        <v>22</v>
      </c>
      <c r="C32" s="30" t="s">
        <v>206</v>
      </c>
      <c r="D32" s="30" t="s">
        <v>225</v>
      </c>
      <c r="E32" s="163" t="s">
        <v>666</v>
      </c>
      <c r="F32" s="284" t="s">
        <v>1217</v>
      </c>
      <c r="G32" s="284">
        <f>IFERROR(VLOOKUP(E32,Assign!$C$2:$J$142,8,FALSE),)</f>
        <v>0</v>
      </c>
      <c r="H32" s="372" t="s">
        <v>3868</v>
      </c>
      <c r="I32" s="445" t="s">
        <v>3859</v>
      </c>
      <c r="J32" s="446"/>
      <c r="K32" s="386">
        <v>1095000000</v>
      </c>
      <c r="L32" s="387"/>
      <c r="M32" s="388">
        <f t="shared" si="1"/>
        <v>1095000000</v>
      </c>
      <c r="N32" s="388"/>
      <c r="O32" s="388">
        <f t="shared" si="2"/>
        <v>1095000000</v>
      </c>
      <c r="P32" s="390"/>
      <c r="Q32" s="386">
        <v>1680000000</v>
      </c>
      <c r="R32" s="394">
        <v>0</v>
      </c>
      <c r="S32" s="447"/>
    </row>
    <row r="33" spans="2:19" ht="19.5" hidden="1" customHeight="1">
      <c r="B33" s="29">
        <f t="shared" si="0"/>
        <v>23</v>
      </c>
      <c r="C33" s="30" t="s">
        <v>206</v>
      </c>
      <c r="D33" s="30" t="s">
        <v>225</v>
      </c>
      <c r="E33" s="163" t="s">
        <v>667</v>
      </c>
      <c r="F33" s="284" t="s">
        <v>1225</v>
      </c>
      <c r="G33" s="284">
        <f>IFERROR(VLOOKUP(E33,Assign!$C$2:$J$142,8,FALSE),)</f>
        <v>0</v>
      </c>
      <c r="H33" s="372" t="s">
        <v>3868</v>
      </c>
      <c r="I33" s="445" t="s">
        <v>3859</v>
      </c>
      <c r="J33" s="446"/>
      <c r="K33" s="386">
        <v>1040499844</v>
      </c>
      <c r="L33" s="387"/>
      <c r="M33" s="388">
        <f t="shared" si="1"/>
        <v>1040499844</v>
      </c>
      <c r="N33" s="388"/>
      <c r="O33" s="388">
        <f t="shared" si="2"/>
        <v>1040499844</v>
      </c>
      <c r="P33" s="390"/>
      <c r="Q33" s="386">
        <v>1128000000</v>
      </c>
      <c r="R33" s="394">
        <v>0</v>
      </c>
      <c r="S33" s="447"/>
    </row>
    <row r="34" spans="2:19" ht="19.5" hidden="1" customHeight="1">
      <c r="B34" s="29">
        <f t="shared" si="0"/>
        <v>24</v>
      </c>
      <c r="C34" s="30" t="s">
        <v>206</v>
      </c>
      <c r="D34" s="30" t="s">
        <v>225</v>
      </c>
      <c r="E34" s="163" t="s">
        <v>668</v>
      </c>
      <c r="F34" s="284" t="s">
        <v>1225</v>
      </c>
      <c r="G34" s="284">
        <f>IFERROR(VLOOKUP(E34,Assign!$C$2:$J$142,8,FALSE),)</f>
        <v>0</v>
      </c>
      <c r="H34" s="372" t="s">
        <v>3868</v>
      </c>
      <c r="I34" s="445" t="s">
        <v>3859</v>
      </c>
      <c r="J34" s="446"/>
      <c r="K34" s="386">
        <v>931306058</v>
      </c>
      <c r="L34" s="387"/>
      <c r="M34" s="388">
        <f t="shared" si="1"/>
        <v>931306058</v>
      </c>
      <c r="N34" s="388"/>
      <c r="O34" s="388">
        <f t="shared" si="2"/>
        <v>931306058</v>
      </c>
      <c r="P34" s="390"/>
      <c r="Q34" s="386">
        <v>781200000</v>
      </c>
      <c r="R34" s="394">
        <v>0</v>
      </c>
      <c r="S34" s="447"/>
    </row>
    <row r="35" spans="2:19" ht="19.5" customHeight="1">
      <c r="B35" s="29">
        <f t="shared" si="0"/>
        <v>25</v>
      </c>
      <c r="C35" s="30" t="s">
        <v>206</v>
      </c>
      <c r="D35" s="30" t="s">
        <v>225</v>
      </c>
      <c r="E35" s="491" t="s">
        <v>669</v>
      </c>
      <c r="F35" s="284" t="s">
        <v>1226</v>
      </c>
      <c r="G35" s="284" t="str">
        <f>IFERROR(VLOOKUP(E35,Assign!$C$2:$J$142,8,FALSE),)</f>
        <v>문선영</v>
      </c>
      <c r="H35" s="372" t="s">
        <v>3869</v>
      </c>
      <c r="I35" s="445" t="s">
        <v>3859</v>
      </c>
      <c r="J35" s="446"/>
      <c r="K35" s="386">
        <v>999000000</v>
      </c>
      <c r="L35" s="387"/>
      <c r="M35" s="388">
        <f t="shared" si="1"/>
        <v>999000000</v>
      </c>
      <c r="N35" s="388"/>
      <c r="O35" s="388">
        <f t="shared" si="2"/>
        <v>999000000</v>
      </c>
      <c r="P35" s="390"/>
      <c r="Q35" s="386">
        <v>1200000000</v>
      </c>
      <c r="R35" s="394">
        <v>0</v>
      </c>
      <c r="S35" s="447"/>
    </row>
    <row r="36" spans="2:19" ht="19.5" customHeight="1">
      <c r="B36" s="29">
        <f t="shared" si="0"/>
        <v>26</v>
      </c>
      <c r="C36" s="30" t="s">
        <v>206</v>
      </c>
      <c r="D36" s="30" t="s">
        <v>225</v>
      </c>
      <c r="E36" s="491" t="s">
        <v>670</v>
      </c>
      <c r="F36" s="284" t="s">
        <v>1304</v>
      </c>
      <c r="G36" s="284" t="str">
        <f>IFERROR(VLOOKUP(E36,Assign!$C$2:$J$142,8,FALSE),)</f>
        <v>문선영</v>
      </c>
      <c r="H36" s="372" t="s">
        <v>3870</v>
      </c>
      <c r="I36" s="445" t="s">
        <v>3859</v>
      </c>
      <c r="J36" s="446"/>
      <c r="K36" s="386">
        <v>992499998</v>
      </c>
      <c r="L36" s="387"/>
      <c r="M36" s="388">
        <f t="shared" si="1"/>
        <v>992499998</v>
      </c>
      <c r="N36" s="388"/>
      <c r="O36" s="388">
        <f t="shared" si="2"/>
        <v>992499998</v>
      </c>
      <c r="P36" s="390"/>
      <c r="Q36" s="386">
        <v>780000000</v>
      </c>
      <c r="R36" s="394">
        <v>0</v>
      </c>
      <c r="S36" s="447"/>
    </row>
    <row r="37" spans="2:19" ht="19.5" hidden="1" customHeight="1">
      <c r="B37" s="29">
        <f t="shared" si="0"/>
        <v>27</v>
      </c>
      <c r="C37" s="30" t="s">
        <v>206</v>
      </c>
      <c r="D37" s="30" t="s">
        <v>225</v>
      </c>
      <c r="E37" s="163" t="s">
        <v>671</v>
      </c>
      <c r="F37" s="284" t="s">
        <v>1227</v>
      </c>
      <c r="G37" s="284">
        <f>IFERROR(VLOOKUP(E37,Assign!$C$2:$J$142,8,FALSE),)</f>
        <v>0</v>
      </c>
      <c r="H37" s="372" t="s">
        <v>3868</v>
      </c>
      <c r="I37" s="445" t="s">
        <v>3859</v>
      </c>
      <c r="J37" s="446" t="s">
        <v>3635</v>
      </c>
      <c r="K37" s="386">
        <v>988243218</v>
      </c>
      <c r="L37" s="387"/>
      <c r="M37" s="388">
        <f t="shared" si="1"/>
        <v>988243218</v>
      </c>
      <c r="N37" s="388"/>
      <c r="O37" s="388">
        <f t="shared" si="2"/>
        <v>988243218</v>
      </c>
      <c r="P37" s="390"/>
      <c r="Q37" s="386">
        <v>1150000000</v>
      </c>
      <c r="R37" s="394">
        <v>0</v>
      </c>
      <c r="S37" s="447"/>
    </row>
    <row r="38" spans="2:19" ht="19.5" hidden="1" customHeight="1">
      <c r="B38" s="29">
        <f t="shared" si="0"/>
        <v>28</v>
      </c>
      <c r="C38" s="30" t="s">
        <v>206</v>
      </c>
      <c r="D38" s="30" t="s">
        <v>225</v>
      </c>
      <c r="E38" s="163" t="s">
        <v>672</v>
      </c>
      <c r="F38" s="284" t="s">
        <v>1228</v>
      </c>
      <c r="G38" s="284">
        <f>IFERROR(VLOOKUP(E38,Assign!$C$2:$J$142,8,FALSE),)</f>
        <v>0</v>
      </c>
      <c r="H38" s="372" t="s">
        <v>3870</v>
      </c>
      <c r="I38" s="445" t="s">
        <v>3859</v>
      </c>
      <c r="J38" s="446"/>
      <c r="K38" s="386">
        <v>935000000</v>
      </c>
      <c r="L38" s="387"/>
      <c r="M38" s="388">
        <f t="shared" si="1"/>
        <v>935000000</v>
      </c>
      <c r="N38" s="388"/>
      <c r="O38" s="388">
        <f t="shared" si="2"/>
        <v>935000000</v>
      </c>
      <c r="P38" s="390"/>
      <c r="Q38" s="386">
        <v>732000000</v>
      </c>
      <c r="R38" s="394">
        <v>0</v>
      </c>
      <c r="S38" s="447"/>
    </row>
    <row r="39" spans="2:19" ht="19.5" hidden="1" customHeight="1">
      <c r="B39" s="29">
        <f t="shared" si="0"/>
        <v>29</v>
      </c>
      <c r="C39" s="30" t="s">
        <v>206</v>
      </c>
      <c r="D39" s="30" t="s">
        <v>225</v>
      </c>
      <c r="E39" s="163" t="s">
        <v>673</v>
      </c>
      <c r="F39" s="284" t="s">
        <v>1229</v>
      </c>
      <c r="G39" s="284">
        <f>IFERROR(VLOOKUP(E39,Assign!$C$2:$J$142,8,FALSE),)</f>
        <v>0</v>
      </c>
      <c r="H39" s="372" t="s">
        <v>3868</v>
      </c>
      <c r="I39" s="445" t="s">
        <v>3859</v>
      </c>
      <c r="J39" s="446"/>
      <c r="K39" s="386">
        <v>900000000</v>
      </c>
      <c r="L39" s="387"/>
      <c r="M39" s="388">
        <f t="shared" si="1"/>
        <v>900000000</v>
      </c>
      <c r="N39" s="388"/>
      <c r="O39" s="388">
        <f t="shared" si="2"/>
        <v>900000000</v>
      </c>
      <c r="P39" s="390"/>
      <c r="Q39" s="386">
        <v>1080000000</v>
      </c>
      <c r="R39" s="394">
        <v>0</v>
      </c>
      <c r="S39" s="447"/>
    </row>
    <row r="40" spans="2:19" ht="19.5" hidden="1" customHeight="1">
      <c r="B40" s="29">
        <f t="shared" si="0"/>
        <v>30</v>
      </c>
      <c r="C40" s="30" t="s">
        <v>206</v>
      </c>
      <c r="D40" s="30" t="s">
        <v>225</v>
      </c>
      <c r="E40" s="163" t="s">
        <v>674</v>
      </c>
      <c r="F40" s="284" t="s">
        <v>1225</v>
      </c>
      <c r="G40" s="284">
        <f>IFERROR(VLOOKUP(E40,Assign!$C$2:$J$142,8,FALSE),)</f>
        <v>0</v>
      </c>
      <c r="H40" s="372" t="s">
        <v>3868</v>
      </c>
      <c r="I40" s="445" t="s">
        <v>3859</v>
      </c>
      <c r="J40" s="446"/>
      <c r="K40" s="386">
        <v>897500000</v>
      </c>
      <c r="L40" s="387"/>
      <c r="M40" s="388">
        <f t="shared" si="1"/>
        <v>897500000</v>
      </c>
      <c r="N40" s="388"/>
      <c r="O40" s="388">
        <f t="shared" si="2"/>
        <v>897500000</v>
      </c>
      <c r="P40" s="390"/>
      <c r="Q40" s="386">
        <v>1089600000</v>
      </c>
      <c r="R40" s="394">
        <v>0</v>
      </c>
      <c r="S40" s="447"/>
    </row>
    <row r="41" spans="2:19" ht="19.5" hidden="1" customHeight="1">
      <c r="B41" s="29">
        <f t="shared" si="0"/>
        <v>31</v>
      </c>
      <c r="C41" s="30" t="s">
        <v>206</v>
      </c>
      <c r="D41" s="30" t="s">
        <v>225</v>
      </c>
      <c r="E41" s="163" t="s">
        <v>675</v>
      </c>
      <c r="F41" s="284" t="s">
        <v>1226</v>
      </c>
      <c r="G41" s="284">
        <f>IFERROR(VLOOKUP(E41,Assign!$C$2:$J$142,8,FALSE),)</f>
        <v>0</v>
      </c>
      <c r="H41" s="372" t="s">
        <v>3868</v>
      </c>
      <c r="I41" s="445" t="s">
        <v>3859</v>
      </c>
      <c r="J41" s="446"/>
      <c r="K41" s="386">
        <v>880000000</v>
      </c>
      <c r="L41" s="387"/>
      <c r="M41" s="388">
        <f t="shared" si="1"/>
        <v>880000000</v>
      </c>
      <c r="N41" s="388"/>
      <c r="O41" s="388">
        <f t="shared" si="2"/>
        <v>880000000</v>
      </c>
      <c r="P41" s="390"/>
      <c r="Q41" s="386">
        <v>1056000000</v>
      </c>
      <c r="R41" s="394">
        <v>0</v>
      </c>
      <c r="S41" s="447"/>
    </row>
    <row r="42" spans="2:19" ht="19.5" hidden="1" customHeight="1">
      <c r="B42" s="29">
        <f t="shared" si="0"/>
        <v>32</v>
      </c>
      <c r="C42" s="30" t="s">
        <v>206</v>
      </c>
      <c r="D42" s="30" t="s">
        <v>225</v>
      </c>
      <c r="E42" s="163" t="s">
        <v>676</v>
      </c>
      <c r="F42" s="284" t="s">
        <v>1217</v>
      </c>
      <c r="G42" s="284">
        <f>IFERROR(VLOOKUP(E42,Assign!$C$2:$J$142,8,FALSE),)</f>
        <v>0</v>
      </c>
      <c r="H42" s="372" t="s">
        <v>3868</v>
      </c>
      <c r="I42" s="445" t="s">
        <v>3859</v>
      </c>
      <c r="J42" s="446"/>
      <c r="K42" s="386">
        <v>803533716</v>
      </c>
      <c r="L42" s="387"/>
      <c r="M42" s="388">
        <f t="shared" si="1"/>
        <v>803533716</v>
      </c>
      <c r="N42" s="388"/>
      <c r="O42" s="388">
        <f t="shared" si="2"/>
        <v>803533716</v>
      </c>
      <c r="P42" s="390"/>
      <c r="Q42" s="386">
        <v>1033000000</v>
      </c>
      <c r="R42" s="394">
        <v>1200000000</v>
      </c>
      <c r="S42" s="447"/>
    </row>
    <row r="43" spans="2:19" ht="19.5" hidden="1" customHeight="1">
      <c r="B43" s="29">
        <f t="shared" si="0"/>
        <v>33</v>
      </c>
      <c r="C43" s="30" t="s">
        <v>206</v>
      </c>
      <c r="D43" s="30" t="s">
        <v>225</v>
      </c>
      <c r="E43" s="163" t="s">
        <v>677</v>
      </c>
      <c r="F43" s="284" t="s">
        <v>1221</v>
      </c>
      <c r="G43" s="284">
        <f>IFERROR(VLOOKUP(E43,Assign!$C$2:$J$142,8,FALSE),)</f>
        <v>0</v>
      </c>
      <c r="H43" s="372" t="s">
        <v>3868</v>
      </c>
      <c r="I43" s="445" t="s">
        <v>3859</v>
      </c>
      <c r="J43" s="446"/>
      <c r="K43" s="386">
        <v>778801620</v>
      </c>
      <c r="L43" s="387"/>
      <c r="M43" s="388">
        <f t="shared" si="1"/>
        <v>778801620</v>
      </c>
      <c r="N43" s="388"/>
      <c r="O43" s="388">
        <f t="shared" si="2"/>
        <v>778801620</v>
      </c>
      <c r="P43" s="390"/>
      <c r="Q43" s="386">
        <v>1056000000</v>
      </c>
      <c r="R43" s="394">
        <v>0</v>
      </c>
      <c r="S43" s="447"/>
    </row>
    <row r="44" spans="2:19" ht="19.5" hidden="1" customHeight="1">
      <c r="B44" s="29">
        <f t="shared" si="0"/>
        <v>34</v>
      </c>
      <c r="C44" s="30" t="s">
        <v>206</v>
      </c>
      <c r="D44" s="30" t="s">
        <v>225</v>
      </c>
      <c r="E44" s="163" t="s">
        <v>678</v>
      </c>
      <c r="F44" s="284" t="s">
        <v>1230</v>
      </c>
      <c r="G44" s="284">
        <f>IFERROR(VLOOKUP(E44,Assign!$C$2:$J$142,8,FALSE),)</f>
        <v>0</v>
      </c>
      <c r="H44" s="372" t="s">
        <v>3870</v>
      </c>
      <c r="I44" s="445" t="s">
        <v>3859</v>
      </c>
      <c r="J44" s="446"/>
      <c r="K44" s="386">
        <v>770000000</v>
      </c>
      <c r="L44" s="387"/>
      <c r="M44" s="388">
        <f t="shared" si="1"/>
        <v>770000000</v>
      </c>
      <c r="N44" s="388"/>
      <c r="O44" s="388">
        <f t="shared" si="2"/>
        <v>770000000</v>
      </c>
      <c r="P44" s="390"/>
      <c r="Q44" s="386">
        <v>960000000</v>
      </c>
      <c r="R44" s="394">
        <v>60000000</v>
      </c>
      <c r="S44" s="447"/>
    </row>
    <row r="45" spans="2:19" ht="19.5" hidden="1" customHeight="1">
      <c r="B45" s="29">
        <f t="shared" si="0"/>
        <v>35</v>
      </c>
      <c r="C45" s="30" t="s">
        <v>206</v>
      </c>
      <c r="D45" s="30" t="s">
        <v>225</v>
      </c>
      <c r="E45" s="163" t="s">
        <v>679</v>
      </c>
      <c r="F45" s="284" t="s">
        <v>1229</v>
      </c>
      <c r="G45" s="284">
        <f>IFERROR(VLOOKUP(E45,Assign!$C$2:$J$142,8,FALSE),)</f>
        <v>0</v>
      </c>
      <c r="H45" s="372" t="s">
        <v>3868</v>
      </c>
      <c r="I45" s="445" t="s">
        <v>3859</v>
      </c>
      <c r="J45" s="446"/>
      <c r="K45" s="386">
        <v>715000000</v>
      </c>
      <c r="L45" s="387"/>
      <c r="M45" s="388">
        <f t="shared" si="1"/>
        <v>715000000</v>
      </c>
      <c r="N45" s="388"/>
      <c r="O45" s="388">
        <f t="shared" si="2"/>
        <v>715000000</v>
      </c>
      <c r="P45" s="390"/>
      <c r="Q45" s="386">
        <v>960000000</v>
      </c>
      <c r="R45" s="394">
        <v>0</v>
      </c>
      <c r="S45" s="447"/>
    </row>
    <row r="46" spans="2:19" ht="19.5" hidden="1" customHeight="1">
      <c r="B46" s="29">
        <f t="shared" si="0"/>
        <v>36</v>
      </c>
      <c r="C46" s="30" t="s">
        <v>206</v>
      </c>
      <c r="D46" s="30" t="s">
        <v>225</v>
      </c>
      <c r="E46" s="163" t="s">
        <v>680</v>
      </c>
      <c r="F46" s="284" t="s">
        <v>1231</v>
      </c>
      <c r="G46" s="284">
        <f>IFERROR(VLOOKUP(E46,Assign!$C$2:$J$142,8,FALSE),)</f>
        <v>0</v>
      </c>
      <c r="H46" s="372" t="s">
        <v>3868</v>
      </c>
      <c r="I46" s="445" t="s">
        <v>3859</v>
      </c>
      <c r="J46" s="446"/>
      <c r="K46" s="386">
        <v>672000000</v>
      </c>
      <c r="L46" s="387"/>
      <c r="M46" s="388">
        <f t="shared" si="1"/>
        <v>672000000</v>
      </c>
      <c r="N46" s="388"/>
      <c r="O46" s="388">
        <f t="shared" si="2"/>
        <v>672000000</v>
      </c>
      <c r="P46" s="390"/>
      <c r="Q46" s="386">
        <v>720000000</v>
      </c>
      <c r="R46" s="394">
        <v>0</v>
      </c>
      <c r="S46" s="447"/>
    </row>
    <row r="47" spans="2:19" ht="19.5" hidden="1" customHeight="1">
      <c r="B47" s="29">
        <f t="shared" si="0"/>
        <v>37</v>
      </c>
      <c r="C47" s="30" t="s">
        <v>206</v>
      </c>
      <c r="D47" s="30" t="s">
        <v>225</v>
      </c>
      <c r="E47" s="163" t="s">
        <v>681</v>
      </c>
      <c r="F47" s="284" t="s">
        <v>1232</v>
      </c>
      <c r="G47" s="284">
        <f>IFERROR(VLOOKUP(E47,Assign!$C$2:$J$142,8,FALSE),)</f>
        <v>0</v>
      </c>
      <c r="H47" s="372" t="s">
        <v>3868</v>
      </c>
      <c r="I47" s="445" t="s">
        <v>3859</v>
      </c>
      <c r="J47" s="446"/>
      <c r="K47" s="386">
        <v>650000000</v>
      </c>
      <c r="L47" s="387"/>
      <c r="M47" s="388">
        <f t="shared" si="1"/>
        <v>650000000</v>
      </c>
      <c r="N47" s="388"/>
      <c r="O47" s="388">
        <f t="shared" si="2"/>
        <v>650000000</v>
      </c>
      <c r="P47" s="390"/>
      <c r="Q47" s="386">
        <v>780000000</v>
      </c>
      <c r="R47" s="394">
        <v>0</v>
      </c>
      <c r="S47" s="447"/>
    </row>
    <row r="48" spans="2:19" ht="19.5" hidden="1" customHeight="1">
      <c r="B48" s="29">
        <f t="shared" si="0"/>
        <v>38</v>
      </c>
      <c r="C48" s="30" t="s">
        <v>206</v>
      </c>
      <c r="D48" s="30" t="s">
        <v>225</v>
      </c>
      <c r="E48" s="163" t="s">
        <v>682</v>
      </c>
      <c r="F48" s="284" t="s">
        <v>1227</v>
      </c>
      <c r="G48" s="284">
        <f>IFERROR(VLOOKUP(E48,Assign!$C$2:$J$142,8,FALSE),)</f>
        <v>0</v>
      </c>
      <c r="H48" s="372" t="s">
        <v>3868</v>
      </c>
      <c r="I48" s="445" t="s">
        <v>3859</v>
      </c>
      <c r="J48" s="446"/>
      <c r="K48" s="386">
        <v>642000000</v>
      </c>
      <c r="L48" s="387"/>
      <c r="M48" s="388">
        <f t="shared" si="1"/>
        <v>642000000</v>
      </c>
      <c r="N48" s="388"/>
      <c r="O48" s="388">
        <f t="shared" si="2"/>
        <v>642000000</v>
      </c>
      <c r="P48" s="390"/>
      <c r="Q48" s="386">
        <v>720000000</v>
      </c>
      <c r="R48" s="394">
        <v>0</v>
      </c>
      <c r="S48" s="447"/>
    </row>
    <row r="49" spans="2:19" ht="19.5" hidden="1" customHeight="1">
      <c r="B49" s="29">
        <f t="shared" si="0"/>
        <v>39</v>
      </c>
      <c r="C49" s="30" t="s">
        <v>206</v>
      </c>
      <c r="D49" s="30" t="s">
        <v>225</v>
      </c>
      <c r="E49" s="163" t="s">
        <v>683</v>
      </c>
      <c r="F49" s="284" t="s">
        <v>1223</v>
      </c>
      <c r="G49" s="284">
        <f>IFERROR(VLOOKUP(E49,Assign!$C$2:$J$142,8,FALSE),)</f>
        <v>0</v>
      </c>
      <c r="H49" s="372" t="s">
        <v>3868</v>
      </c>
      <c r="I49" s="445" t="s">
        <v>3859</v>
      </c>
      <c r="J49" s="446"/>
      <c r="K49" s="386">
        <v>623422442</v>
      </c>
      <c r="L49" s="387"/>
      <c r="M49" s="388">
        <f t="shared" si="1"/>
        <v>623422442</v>
      </c>
      <c r="N49" s="388"/>
      <c r="O49" s="388">
        <f t="shared" si="2"/>
        <v>623422442</v>
      </c>
      <c r="P49" s="390"/>
      <c r="Q49" s="386">
        <v>756000000</v>
      </c>
      <c r="R49" s="394">
        <v>0</v>
      </c>
      <c r="S49" s="447"/>
    </row>
    <row r="50" spans="2:19" ht="19.5" hidden="1" customHeight="1">
      <c r="B50" s="29">
        <f t="shared" si="0"/>
        <v>40</v>
      </c>
      <c r="C50" s="30" t="s">
        <v>206</v>
      </c>
      <c r="D50" s="30" t="s">
        <v>225</v>
      </c>
      <c r="E50" s="163" t="s">
        <v>684</v>
      </c>
      <c r="F50" s="284" t="s">
        <v>1305</v>
      </c>
      <c r="G50" s="284">
        <f>IFERROR(VLOOKUP(E50,Assign!$C$2:$J$142,8,FALSE),)</f>
        <v>0</v>
      </c>
      <c r="H50" s="372" t="s">
        <v>3870</v>
      </c>
      <c r="I50" s="445" t="s">
        <v>3859</v>
      </c>
      <c r="J50" s="446"/>
      <c r="K50" s="386">
        <v>599000000</v>
      </c>
      <c r="L50" s="387"/>
      <c r="M50" s="388">
        <f t="shared" si="1"/>
        <v>599000000</v>
      </c>
      <c r="N50" s="388"/>
      <c r="O50" s="388">
        <f t="shared" si="2"/>
        <v>599000000</v>
      </c>
      <c r="P50" s="390"/>
      <c r="Q50" s="386">
        <v>960000000</v>
      </c>
      <c r="R50" s="394">
        <v>0</v>
      </c>
      <c r="S50" s="447"/>
    </row>
    <row r="51" spans="2:19" ht="19.5" hidden="1" customHeight="1">
      <c r="B51" s="29">
        <f t="shared" si="0"/>
        <v>41</v>
      </c>
      <c r="C51" s="30" t="s">
        <v>206</v>
      </c>
      <c r="D51" s="30" t="s">
        <v>225</v>
      </c>
      <c r="E51" s="163" t="s">
        <v>685</v>
      </c>
      <c r="F51" s="284" t="s">
        <v>1221</v>
      </c>
      <c r="G51" s="284">
        <f>IFERROR(VLOOKUP(E51,Assign!$C$2:$J$142,8,FALSE),)</f>
        <v>0</v>
      </c>
      <c r="H51" s="372" t="s">
        <v>3868</v>
      </c>
      <c r="I51" s="445" t="s">
        <v>3859</v>
      </c>
      <c r="J51" s="446"/>
      <c r="K51" s="386">
        <v>595128584</v>
      </c>
      <c r="L51" s="387"/>
      <c r="M51" s="388">
        <f t="shared" si="1"/>
        <v>595128584</v>
      </c>
      <c r="N51" s="388"/>
      <c r="O51" s="388">
        <f t="shared" si="2"/>
        <v>595128584</v>
      </c>
      <c r="P51" s="390"/>
      <c r="Q51" s="386">
        <v>784800000</v>
      </c>
      <c r="R51" s="394">
        <v>0</v>
      </c>
      <c r="S51" s="447"/>
    </row>
    <row r="52" spans="2:19" ht="19.5" hidden="1" customHeight="1">
      <c r="B52" s="29">
        <f t="shared" si="0"/>
        <v>42</v>
      </c>
      <c r="C52" s="30" t="s">
        <v>206</v>
      </c>
      <c r="D52" s="30" t="s">
        <v>225</v>
      </c>
      <c r="E52" s="163" t="s">
        <v>686</v>
      </c>
      <c r="F52" s="284" t="s">
        <v>1217</v>
      </c>
      <c r="G52" s="284">
        <f>IFERROR(VLOOKUP(E52,Assign!$C$2:$J$142,8,FALSE),)</f>
        <v>0</v>
      </c>
      <c r="H52" s="372" t="s">
        <v>3868</v>
      </c>
      <c r="I52" s="445" t="s">
        <v>3859</v>
      </c>
      <c r="J52" s="446"/>
      <c r="K52" s="386">
        <v>589718176</v>
      </c>
      <c r="L52" s="387"/>
      <c r="M52" s="388">
        <f t="shared" si="1"/>
        <v>589718176</v>
      </c>
      <c r="N52" s="388"/>
      <c r="O52" s="388">
        <f t="shared" si="2"/>
        <v>589718176</v>
      </c>
      <c r="P52" s="390"/>
      <c r="Q52" s="386">
        <v>729100000</v>
      </c>
      <c r="R52" s="394">
        <v>0</v>
      </c>
      <c r="S52" s="447"/>
    </row>
    <row r="53" spans="2:19" ht="19.5" hidden="1" customHeight="1">
      <c r="B53" s="29">
        <f t="shared" si="0"/>
        <v>43</v>
      </c>
      <c r="C53" s="30" t="s">
        <v>206</v>
      </c>
      <c r="D53" s="30" t="s">
        <v>225</v>
      </c>
      <c r="E53" s="163" t="s">
        <v>687</v>
      </c>
      <c r="F53" s="284" t="s">
        <v>1233</v>
      </c>
      <c r="G53" s="284">
        <f>IFERROR(VLOOKUP(E53,Assign!$C$2:$J$142,8,FALSE),)</f>
        <v>0</v>
      </c>
      <c r="H53" s="372" t="s">
        <v>3868</v>
      </c>
      <c r="I53" s="445" t="s">
        <v>3859</v>
      </c>
      <c r="J53" s="446"/>
      <c r="K53" s="386">
        <v>547750000</v>
      </c>
      <c r="L53" s="387"/>
      <c r="M53" s="388">
        <f t="shared" si="1"/>
        <v>547750000</v>
      </c>
      <c r="N53" s="388"/>
      <c r="O53" s="388">
        <f t="shared" si="2"/>
        <v>547750000</v>
      </c>
      <c r="P53" s="390"/>
      <c r="Q53" s="386">
        <v>730800000</v>
      </c>
      <c r="R53" s="394">
        <v>0</v>
      </c>
      <c r="S53" s="447"/>
    </row>
    <row r="54" spans="2:19" ht="19.5" customHeight="1">
      <c r="B54" s="29">
        <f t="shared" si="0"/>
        <v>44</v>
      </c>
      <c r="C54" s="30" t="s">
        <v>206</v>
      </c>
      <c r="D54" s="30" t="s">
        <v>225</v>
      </c>
      <c r="E54" s="491" t="s">
        <v>688</v>
      </c>
      <c r="F54" s="284" t="s">
        <v>1306</v>
      </c>
      <c r="G54" s="284" t="str">
        <f>IFERROR(VLOOKUP(E54,Assign!$C$2:$J$142,8,FALSE),)</f>
        <v>문선영</v>
      </c>
      <c r="H54" s="372" t="s">
        <v>3870</v>
      </c>
      <c r="I54" s="445" t="s">
        <v>3859</v>
      </c>
      <c r="J54" s="446"/>
      <c r="K54" s="386">
        <v>524000000</v>
      </c>
      <c r="L54" s="387"/>
      <c r="M54" s="388">
        <f t="shared" si="1"/>
        <v>524000000</v>
      </c>
      <c r="N54" s="388"/>
      <c r="O54" s="388">
        <f t="shared" si="2"/>
        <v>524000000</v>
      </c>
      <c r="P54" s="390"/>
      <c r="Q54" s="386">
        <v>648000000</v>
      </c>
      <c r="R54" s="394">
        <v>0</v>
      </c>
      <c r="S54" s="447"/>
    </row>
    <row r="55" spans="2:19" ht="19.5" hidden="1" customHeight="1">
      <c r="B55" s="29">
        <f t="shared" si="0"/>
        <v>45</v>
      </c>
      <c r="C55" s="30" t="s">
        <v>206</v>
      </c>
      <c r="D55" s="30" t="s">
        <v>225</v>
      </c>
      <c r="E55" s="163" t="s">
        <v>689</v>
      </c>
      <c r="F55" s="284" t="s">
        <v>1234</v>
      </c>
      <c r="G55" s="284">
        <f>IFERROR(VLOOKUP(E55,Assign!$C$2:$J$142,8,FALSE),)</f>
        <v>0</v>
      </c>
      <c r="H55" s="372" t="s">
        <v>3868</v>
      </c>
      <c r="I55" s="445" t="s">
        <v>3859</v>
      </c>
      <c r="J55" s="446"/>
      <c r="K55" s="386">
        <v>522000000</v>
      </c>
      <c r="L55" s="387"/>
      <c r="M55" s="388">
        <f t="shared" si="1"/>
        <v>522000000</v>
      </c>
      <c r="N55" s="388"/>
      <c r="O55" s="388">
        <f t="shared" si="2"/>
        <v>522000000</v>
      </c>
      <c r="P55" s="390"/>
      <c r="Q55" s="386">
        <v>626400000</v>
      </c>
      <c r="R55" s="394">
        <v>0</v>
      </c>
      <c r="S55" s="447"/>
    </row>
    <row r="56" spans="2:19" ht="19.5" hidden="1" customHeight="1">
      <c r="B56" s="29">
        <f t="shared" si="0"/>
        <v>46</v>
      </c>
      <c r="C56" s="30" t="s">
        <v>206</v>
      </c>
      <c r="D56" s="30" t="s">
        <v>225</v>
      </c>
      <c r="E56" s="163" t="s">
        <v>690</v>
      </c>
      <c r="F56" s="284" t="s">
        <v>1307</v>
      </c>
      <c r="G56" s="284">
        <f>IFERROR(VLOOKUP(E56,Assign!$C$2:$J$142,8,FALSE),)</f>
        <v>0</v>
      </c>
      <c r="H56" s="372" t="s">
        <v>3870</v>
      </c>
      <c r="I56" s="445" t="s">
        <v>3859</v>
      </c>
      <c r="J56" s="446" t="s">
        <v>3637</v>
      </c>
      <c r="K56" s="386">
        <v>514166644</v>
      </c>
      <c r="L56" s="387"/>
      <c r="M56" s="388">
        <f t="shared" si="1"/>
        <v>514166644</v>
      </c>
      <c r="N56" s="388"/>
      <c r="O56" s="388">
        <f t="shared" si="2"/>
        <v>514166644</v>
      </c>
      <c r="P56" s="390"/>
      <c r="Q56" s="386">
        <v>600000000</v>
      </c>
      <c r="R56" s="394">
        <v>14880000000</v>
      </c>
      <c r="S56" s="447"/>
    </row>
    <row r="57" spans="2:19" ht="19.5" hidden="1" customHeight="1">
      <c r="B57" s="29">
        <f t="shared" si="0"/>
        <v>47</v>
      </c>
      <c r="C57" s="30" t="s">
        <v>206</v>
      </c>
      <c r="D57" s="30" t="s">
        <v>225</v>
      </c>
      <c r="E57" s="163" t="s">
        <v>691</v>
      </c>
      <c r="F57" s="284" t="s">
        <v>1308</v>
      </c>
      <c r="G57" s="284">
        <f>IFERROR(VLOOKUP(E57,Assign!$C$2:$J$142,8,FALSE),)</f>
        <v>0</v>
      </c>
      <c r="H57" s="372" t="s">
        <v>3870</v>
      </c>
      <c r="I57" s="445" t="s">
        <v>3859</v>
      </c>
      <c r="J57" s="446" t="s">
        <v>3635</v>
      </c>
      <c r="K57" s="386">
        <v>498000000</v>
      </c>
      <c r="L57" s="387"/>
      <c r="M57" s="388">
        <f t="shared" si="1"/>
        <v>498000000</v>
      </c>
      <c r="N57" s="388"/>
      <c r="O57" s="388">
        <f t="shared" si="2"/>
        <v>498000000</v>
      </c>
      <c r="P57" s="390"/>
      <c r="Q57" s="386">
        <v>597600000</v>
      </c>
      <c r="R57" s="394">
        <v>1270000000</v>
      </c>
      <c r="S57" s="447"/>
    </row>
    <row r="58" spans="2:19" ht="19.5" hidden="1" customHeight="1">
      <c r="B58" s="29">
        <f t="shared" si="0"/>
        <v>48</v>
      </c>
      <c r="C58" s="30" t="s">
        <v>206</v>
      </c>
      <c r="D58" s="30" t="s">
        <v>225</v>
      </c>
      <c r="E58" s="163" t="s">
        <v>692</v>
      </c>
      <c r="F58" s="284" t="s">
        <v>1309</v>
      </c>
      <c r="G58" s="284">
        <f>IFERROR(VLOOKUP(E58,Assign!$C$2:$J$142,8,FALSE),)</f>
        <v>0</v>
      </c>
      <c r="H58" s="372" t="s">
        <v>3868</v>
      </c>
      <c r="I58" s="445" t="s">
        <v>3859</v>
      </c>
      <c r="J58" s="446"/>
      <c r="K58" s="386">
        <v>495200000</v>
      </c>
      <c r="L58" s="387"/>
      <c r="M58" s="388">
        <f t="shared" si="1"/>
        <v>495200000</v>
      </c>
      <c r="N58" s="388"/>
      <c r="O58" s="388">
        <f t="shared" si="2"/>
        <v>495200000</v>
      </c>
      <c r="P58" s="390"/>
      <c r="Q58" s="386">
        <v>600000000</v>
      </c>
      <c r="R58" s="394">
        <v>0</v>
      </c>
      <c r="S58" s="447"/>
    </row>
    <row r="59" spans="2:19" ht="19.5" hidden="1" customHeight="1">
      <c r="B59" s="29">
        <f t="shared" si="0"/>
        <v>49</v>
      </c>
      <c r="C59" s="30" t="s">
        <v>206</v>
      </c>
      <c r="D59" s="30" t="s">
        <v>225</v>
      </c>
      <c r="E59" s="163" t="s">
        <v>693</v>
      </c>
      <c r="F59" s="284" t="s">
        <v>1310</v>
      </c>
      <c r="G59" s="284">
        <f>IFERROR(VLOOKUP(E59,Assign!$C$2:$J$142,8,FALSE),)</f>
        <v>0</v>
      </c>
      <c r="H59" s="372" t="s">
        <v>3868</v>
      </c>
      <c r="I59" s="445" t="s">
        <v>3859</v>
      </c>
      <c r="J59" s="446"/>
      <c r="K59" s="386">
        <v>489000000</v>
      </c>
      <c r="L59" s="387"/>
      <c r="M59" s="388">
        <f t="shared" si="1"/>
        <v>489000000</v>
      </c>
      <c r="N59" s="388"/>
      <c r="O59" s="388">
        <f t="shared" si="2"/>
        <v>489000000</v>
      </c>
      <c r="P59" s="390"/>
      <c r="Q59" s="386">
        <v>586800000</v>
      </c>
      <c r="R59" s="394">
        <v>0</v>
      </c>
      <c r="S59" s="447"/>
    </row>
    <row r="60" spans="2:19" ht="19.5" customHeight="1">
      <c r="B60" s="29">
        <f t="shared" si="0"/>
        <v>50</v>
      </c>
      <c r="C60" s="30" t="s">
        <v>206</v>
      </c>
      <c r="D60" s="30" t="s">
        <v>225</v>
      </c>
      <c r="E60" s="491" t="s">
        <v>694</v>
      </c>
      <c r="F60" s="284" t="s">
        <v>1235</v>
      </c>
      <c r="G60" s="284" t="str">
        <f>IFERROR(VLOOKUP(E60,Assign!$C$2:$J$142,8,FALSE),)</f>
        <v>문선영</v>
      </c>
      <c r="H60" s="372" t="s">
        <v>3868</v>
      </c>
      <c r="I60" s="445" t="s">
        <v>3859</v>
      </c>
      <c r="J60" s="446"/>
      <c r="K60" s="386">
        <v>480000000</v>
      </c>
      <c r="L60" s="387"/>
      <c r="M60" s="388">
        <f t="shared" si="1"/>
        <v>480000000</v>
      </c>
      <c r="N60" s="388"/>
      <c r="O60" s="388">
        <f t="shared" si="2"/>
        <v>480000000</v>
      </c>
      <c r="P60" s="390"/>
      <c r="Q60" s="386">
        <v>552000000</v>
      </c>
      <c r="R60" s="394">
        <v>0</v>
      </c>
      <c r="S60" s="447"/>
    </row>
    <row r="61" spans="2:19" ht="19.5" customHeight="1">
      <c r="B61" s="29">
        <f t="shared" si="0"/>
        <v>51</v>
      </c>
      <c r="C61" s="30" t="s">
        <v>206</v>
      </c>
      <c r="D61" s="30" t="s">
        <v>225</v>
      </c>
      <c r="E61" s="491" t="s">
        <v>695</v>
      </c>
      <c r="F61" s="284" t="s">
        <v>1236</v>
      </c>
      <c r="G61" s="284" t="str">
        <f>IFERROR(VLOOKUP(E61,Assign!$C$2:$J$142,8,FALSE),)</f>
        <v>문선영</v>
      </c>
      <c r="H61" s="372" t="s">
        <v>3868</v>
      </c>
      <c r="I61" s="445" t="s">
        <v>3859</v>
      </c>
      <c r="J61" s="446"/>
      <c r="K61" s="386">
        <v>467692296</v>
      </c>
      <c r="L61" s="387"/>
      <c r="M61" s="388">
        <f t="shared" si="1"/>
        <v>467692296</v>
      </c>
      <c r="N61" s="388"/>
      <c r="O61" s="388">
        <f t="shared" si="2"/>
        <v>467692296</v>
      </c>
      <c r="P61" s="390"/>
      <c r="Q61" s="386">
        <v>528000000</v>
      </c>
      <c r="R61" s="394">
        <v>0</v>
      </c>
      <c r="S61" s="447"/>
    </row>
    <row r="62" spans="2:19" ht="19.5" hidden="1" customHeight="1">
      <c r="B62" s="29">
        <f t="shared" si="0"/>
        <v>52</v>
      </c>
      <c r="C62" s="30" t="s">
        <v>206</v>
      </c>
      <c r="D62" s="30" t="s">
        <v>225</v>
      </c>
      <c r="E62" s="163" t="s">
        <v>696</v>
      </c>
      <c r="F62" s="284" t="s">
        <v>1234</v>
      </c>
      <c r="G62" s="284">
        <f>IFERROR(VLOOKUP(E62,Assign!$C$2:$J$142,8,FALSE),)</f>
        <v>0</v>
      </c>
      <c r="H62" s="372" t="s">
        <v>3868</v>
      </c>
      <c r="I62" s="445" t="s">
        <v>3859</v>
      </c>
      <c r="J62" s="446"/>
      <c r="K62" s="386">
        <v>459166943</v>
      </c>
      <c r="L62" s="387"/>
      <c r="M62" s="388">
        <f t="shared" si="1"/>
        <v>459166943</v>
      </c>
      <c r="N62" s="388"/>
      <c r="O62" s="388">
        <f t="shared" si="2"/>
        <v>459166943</v>
      </c>
      <c r="P62" s="390"/>
      <c r="Q62" s="386">
        <v>534500000</v>
      </c>
      <c r="R62" s="394">
        <v>0</v>
      </c>
      <c r="S62" s="447"/>
    </row>
    <row r="63" spans="2:19" ht="19.5" hidden="1" customHeight="1">
      <c r="B63" s="29">
        <f t="shared" si="0"/>
        <v>53</v>
      </c>
      <c r="C63" s="30" t="s">
        <v>206</v>
      </c>
      <c r="D63" s="30" t="s">
        <v>225</v>
      </c>
      <c r="E63" s="163" t="s">
        <v>697</v>
      </c>
      <c r="F63" s="284" t="s">
        <v>1229</v>
      </c>
      <c r="G63" s="284">
        <f>IFERROR(VLOOKUP(E63,Assign!$C$2:$J$142,8,FALSE),)</f>
        <v>0</v>
      </c>
      <c r="H63" s="372" t="s">
        <v>3868</v>
      </c>
      <c r="I63" s="445" t="s">
        <v>3859</v>
      </c>
      <c r="J63" s="446"/>
      <c r="K63" s="386">
        <v>444163000</v>
      </c>
      <c r="L63" s="387"/>
      <c r="M63" s="388">
        <f t="shared" si="1"/>
        <v>444163000</v>
      </c>
      <c r="N63" s="388"/>
      <c r="O63" s="388">
        <f t="shared" si="2"/>
        <v>444163000</v>
      </c>
      <c r="P63" s="390"/>
      <c r="Q63" s="386">
        <v>540000000</v>
      </c>
      <c r="R63" s="394">
        <v>60000000</v>
      </c>
      <c r="S63" s="447"/>
    </row>
    <row r="64" spans="2:19" ht="19.5" customHeight="1">
      <c r="B64" s="29">
        <f t="shared" si="0"/>
        <v>54</v>
      </c>
      <c r="C64" s="30" t="s">
        <v>206</v>
      </c>
      <c r="D64" s="30" t="s">
        <v>225</v>
      </c>
      <c r="E64" s="491" t="s">
        <v>698</v>
      </c>
      <c r="F64" s="284" t="s">
        <v>1231</v>
      </c>
      <c r="G64" s="284" t="str">
        <f>IFERROR(VLOOKUP(E64,Assign!$C$2:$J$142,8,FALSE),)</f>
        <v>문선영</v>
      </c>
      <c r="H64" s="372" t="s">
        <v>3868</v>
      </c>
      <c r="I64" s="445" t="s">
        <v>3859</v>
      </c>
      <c r="J64" s="446"/>
      <c r="K64" s="386">
        <v>442000000</v>
      </c>
      <c r="L64" s="387"/>
      <c r="M64" s="388">
        <f t="shared" si="1"/>
        <v>442000000</v>
      </c>
      <c r="N64" s="388"/>
      <c r="O64" s="388">
        <f t="shared" si="2"/>
        <v>442000000</v>
      </c>
      <c r="P64" s="390"/>
      <c r="Q64" s="386">
        <v>530400000</v>
      </c>
      <c r="R64" s="394">
        <v>0</v>
      </c>
      <c r="S64" s="447"/>
    </row>
    <row r="65" spans="2:19" ht="19.5" hidden="1" customHeight="1">
      <c r="B65" s="29">
        <f t="shared" si="0"/>
        <v>55</v>
      </c>
      <c r="C65" s="30" t="s">
        <v>206</v>
      </c>
      <c r="D65" s="30" t="s">
        <v>225</v>
      </c>
      <c r="E65" s="163" t="s">
        <v>699</v>
      </c>
      <c r="F65" s="284" t="s">
        <v>1225</v>
      </c>
      <c r="G65" s="284">
        <f>IFERROR(VLOOKUP(E65,Assign!$C$2:$J$142,8,FALSE),)</f>
        <v>0</v>
      </c>
      <c r="H65" s="372" t="s">
        <v>3868</v>
      </c>
      <c r="I65" s="445" t="s">
        <v>3859</v>
      </c>
      <c r="J65" s="446"/>
      <c r="K65" s="386">
        <v>433299741</v>
      </c>
      <c r="L65" s="387"/>
      <c r="M65" s="388">
        <f t="shared" si="1"/>
        <v>433299741</v>
      </c>
      <c r="N65" s="388"/>
      <c r="O65" s="388">
        <f t="shared" si="2"/>
        <v>433299741</v>
      </c>
      <c r="P65" s="390"/>
      <c r="Q65" s="386">
        <v>540000000</v>
      </c>
      <c r="R65" s="394">
        <v>0</v>
      </c>
      <c r="S65" s="447"/>
    </row>
    <row r="66" spans="2:19" ht="19.5" customHeight="1">
      <c r="B66" s="29">
        <f t="shared" si="0"/>
        <v>56</v>
      </c>
      <c r="C66" s="30" t="s">
        <v>206</v>
      </c>
      <c r="D66" s="30" t="s">
        <v>225</v>
      </c>
      <c r="E66" s="491" t="s">
        <v>700</v>
      </c>
      <c r="F66" s="284" t="s">
        <v>1311</v>
      </c>
      <c r="G66" s="284" t="str">
        <f>IFERROR(VLOOKUP(E66,Assign!$C$2:$J$142,8,FALSE),)</f>
        <v>문선영</v>
      </c>
      <c r="H66" s="372" t="s">
        <v>3870</v>
      </c>
      <c r="I66" s="445" t="s">
        <v>3859</v>
      </c>
      <c r="J66" s="446"/>
      <c r="K66" s="386">
        <v>429500000</v>
      </c>
      <c r="L66" s="387"/>
      <c r="M66" s="388">
        <f t="shared" si="1"/>
        <v>429500000</v>
      </c>
      <c r="N66" s="388"/>
      <c r="O66" s="388">
        <f t="shared" si="2"/>
        <v>429500000</v>
      </c>
      <c r="P66" s="390"/>
      <c r="Q66" s="386">
        <v>516000000</v>
      </c>
      <c r="R66" s="394">
        <v>350000000</v>
      </c>
      <c r="S66" s="447"/>
    </row>
    <row r="67" spans="2:19" ht="19.5" hidden="1" customHeight="1">
      <c r="B67" s="29">
        <f t="shared" si="0"/>
        <v>57</v>
      </c>
      <c r="C67" s="30" t="s">
        <v>206</v>
      </c>
      <c r="D67" s="30" t="s">
        <v>225</v>
      </c>
      <c r="E67" s="163" t="s">
        <v>701</v>
      </c>
      <c r="F67" s="284" t="s">
        <v>1237</v>
      </c>
      <c r="G67" s="284">
        <f>IFERROR(VLOOKUP(E67,Assign!$C$2:$J$142,8,FALSE),)</f>
        <v>0</v>
      </c>
      <c r="H67" s="372" t="s">
        <v>3870</v>
      </c>
      <c r="I67" s="445" t="s">
        <v>3859</v>
      </c>
      <c r="J67" s="446"/>
      <c r="K67" s="386">
        <v>410000000</v>
      </c>
      <c r="L67" s="387"/>
      <c r="M67" s="388">
        <f t="shared" si="1"/>
        <v>410000000</v>
      </c>
      <c r="N67" s="388"/>
      <c r="O67" s="388">
        <f t="shared" si="2"/>
        <v>410000000</v>
      </c>
      <c r="P67" s="390"/>
      <c r="Q67" s="386">
        <v>492000000</v>
      </c>
      <c r="R67" s="394">
        <v>0</v>
      </c>
      <c r="S67" s="447"/>
    </row>
    <row r="68" spans="2:19" ht="19.5" hidden="1" customHeight="1">
      <c r="B68" s="29">
        <f t="shared" si="0"/>
        <v>58</v>
      </c>
      <c r="C68" s="30" t="s">
        <v>206</v>
      </c>
      <c r="D68" s="30" t="s">
        <v>225</v>
      </c>
      <c r="E68" s="163" t="s">
        <v>702</v>
      </c>
      <c r="F68" s="284" t="s">
        <v>1238</v>
      </c>
      <c r="G68" s="284">
        <f>IFERROR(VLOOKUP(E68,Assign!$C$2:$J$142,8,FALSE),)</f>
        <v>0</v>
      </c>
      <c r="H68" s="372" t="s">
        <v>3869</v>
      </c>
      <c r="I68" s="445" t="s">
        <v>3859</v>
      </c>
      <c r="J68" s="446"/>
      <c r="K68" s="386">
        <v>400000000</v>
      </c>
      <c r="L68" s="387"/>
      <c r="M68" s="388">
        <f t="shared" si="1"/>
        <v>400000000</v>
      </c>
      <c r="N68" s="388"/>
      <c r="O68" s="388">
        <f t="shared" si="2"/>
        <v>400000000</v>
      </c>
      <c r="P68" s="390"/>
      <c r="Q68" s="386">
        <v>636000000</v>
      </c>
      <c r="R68" s="394">
        <v>0</v>
      </c>
      <c r="S68" s="447"/>
    </row>
    <row r="69" spans="2:19" ht="19.5" hidden="1" customHeight="1">
      <c r="B69" s="29">
        <f t="shared" si="0"/>
        <v>59</v>
      </c>
      <c r="C69" s="30" t="s">
        <v>206</v>
      </c>
      <c r="D69" s="30" t="s">
        <v>225</v>
      </c>
      <c r="E69" s="163" t="s">
        <v>703</v>
      </c>
      <c r="F69" s="284" t="s">
        <v>1239</v>
      </c>
      <c r="G69" s="284">
        <f>IFERROR(VLOOKUP(E69,Assign!$C$2:$J$142,8,FALSE),)</f>
        <v>0</v>
      </c>
      <c r="H69" s="372" t="s">
        <v>3868</v>
      </c>
      <c r="I69" s="445" t="s">
        <v>3859</v>
      </c>
      <c r="J69" s="446"/>
      <c r="K69" s="386">
        <v>395384669</v>
      </c>
      <c r="L69" s="387"/>
      <c r="M69" s="388">
        <f t="shared" si="1"/>
        <v>395384669</v>
      </c>
      <c r="N69" s="388"/>
      <c r="O69" s="388">
        <f t="shared" si="2"/>
        <v>395384669</v>
      </c>
      <c r="P69" s="390"/>
      <c r="Q69" s="386">
        <v>500400000</v>
      </c>
      <c r="R69" s="394">
        <v>0</v>
      </c>
      <c r="S69" s="447"/>
    </row>
    <row r="70" spans="2:19" ht="19.5" customHeight="1">
      <c r="B70" s="29">
        <f t="shared" si="0"/>
        <v>60</v>
      </c>
      <c r="C70" s="30" t="s">
        <v>206</v>
      </c>
      <c r="D70" s="30" t="s">
        <v>225</v>
      </c>
      <c r="E70" s="491" t="s">
        <v>704</v>
      </c>
      <c r="F70" s="284" t="s">
        <v>1312</v>
      </c>
      <c r="G70" s="284" t="str">
        <f>IFERROR(VLOOKUP(E70,Assign!$C$2:$J$142,8,FALSE),)</f>
        <v>문선영</v>
      </c>
      <c r="H70" s="372" t="s">
        <v>3870</v>
      </c>
      <c r="I70" s="445" t="s">
        <v>3859</v>
      </c>
      <c r="J70" s="446"/>
      <c r="K70" s="386">
        <v>394930494</v>
      </c>
      <c r="L70" s="387"/>
      <c r="M70" s="388">
        <f t="shared" si="1"/>
        <v>394930494</v>
      </c>
      <c r="N70" s="388"/>
      <c r="O70" s="388">
        <f t="shared" si="2"/>
        <v>394930494</v>
      </c>
      <c r="P70" s="390"/>
      <c r="Q70" s="386">
        <v>474000000</v>
      </c>
      <c r="R70" s="394">
        <v>0</v>
      </c>
      <c r="S70" s="447"/>
    </row>
    <row r="71" spans="2:19" ht="19.5" customHeight="1">
      <c r="B71" s="29">
        <f t="shared" si="0"/>
        <v>61</v>
      </c>
      <c r="C71" s="30" t="s">
        <v>206</v>
      </c>
      <c r="D71" s="30" t="s">
        <v>225</v>
      </c>
      <c r="E71" s="491" t="s">
        <v>705</v>
      </c>
      <c r="F71" s="284" t="s">
        <v>1236</v>
      </c>
      <c r="G71" s="284" t="str">
        <f>IFERROR(VLOOKUP(E71,Assign!$C$2:$J$142,8,FALSE),)</f>
        <v>문선영</v>
      </c>
      <c r="H71" s="372" t="s">
        <v>3869</v>
      </c>
      <c r="I71" s="445" t="s">
        <v>3859</v>
      </c>
      <c r="J71" s="446"/>
      <c r="K71" s="386">
        <v>391708149</v>
      </c>
      <c r="L71" s="387"/>
      <c r="M71" s="388">
        <f t="shared" si="1"/>
        <v>391708149</v>
      </c>
      <c r="N71" s="388"/>
      <c r="O71" s="388">
        <f t="shared" si="2"/>
        <v>391708149</v>
      </c>
      <c r="P71" s="390"/>
      <c r="Q71" s="386">
        <v>571200000</v>
      </c>
      <c r="R71" s="394">
        <v>0</v>
      </c>
      <c r="S71" s="447"/>
    </row>
    <row r="72" spans="2:19" ht="19.5" hidden="1" customHeight="1">
      <c r="B72" s="29">
        <f t="shared" si="0"/>
        <v>62</v>
      </c>
      <c r="C72" s="30" t="s">
        <v>206</v>
      </c>
      <c r="D72" s="30" t="s">
        <v>225</v>
      </c>
      <c r="E72" s="163" t="s">
        <v>706</v>
      </c>
      <c r="F72" s="284" t="s">
        <v>1236</v>
      </c>
      <c r="G72" s="284">
        <f>IFERROR(VLOOKUP(E72,Assign!$C$2:$J$142,8,FALSE),)</f>
        <v>0</v>
      </c>
      <c r="H72" s="372" t="s">
        <v>3868</v>
      </c>
      <c r="I72" s="445" t="s">
        <v>3859</v>
      </c>
      <c r="J72" s="446"/>
      <c r="K72" s="386">
        <v>380000000</v>
      </c>
      <c r="L72" s="387"/>
      <c r="M72" s="388">
        <f t="shared" si="1"/>
        <v>380000000</v>
      </c>
      <c r="N72" s="388"/>
      <c r="O72" s="388">
        <f t="shared" si="2"/>
        <v>380000000</v>
      </c>
      <c r="P72" s="390"/>
      <c r="Q72" s="386">
        <v>456000000</v>
      </c>
      <c r="R72" s="394">
        <v>0</v>
      </c>
      <c r="S72" s="447"/>
    </row>
    <row r="73" spans="2:19" ht="19.5" hidden="1" customHeight="1">
      <c r="B73" s="29">
        <f t="shared" si="0"/>
        <v>63</v>
      </c>
      <c r="C73" s="30" t="s">
        <v>206</v>
      </c>
      <c r="D73" s="30" t="s">
        <v>225</v>
      </c>
      <c r="E73" s="163" t="s">
        <v>707</v>
      </c>
      <c r="F73" s="284" t="s">
        <v>1225</v>
      </c>
      <c r="G73" s="284">
        <f>IFERROR(VLOOKUP(E73,Assign!$C$2:$J$142,8,FALSE),)</f>
        <v>0</v>
      </c>
      <c r="H73" s="372" t="s">
        <v>3869</v>
      </c>
      <c r="I73" s="445" t="s">
        <v>3859</v>
      </c>
      <c r="J73" s="446"/>
      <c r="K73" s="386">
        <v>378772700</v>
      </c>
      <c r="L73" s="387"/>
      <c r="M73" s="388">
        <f t="shared" si="1"/>
        <v>378772700</v>
      </c>
      <c r="N73" s="388"/>
      <c r="O73" s="388">
        <f t="shared" si="2"/>
        <v>378772700</v>
      </c>
      <c r="P73" s="390"/>
      <c r="Q73" s="386">
        <v>440000000</v>
      </c>
      <c r="R73" s="394">
        <v>0</v>
      </c>
      <c r="S73" s="447"/>
    </row>
    <row r="74" spans="2:19" ht="19.5" hidden="1" customHeight="1">
      <c r="B74" s="29">
        <f t="shared" si="0"/>
        <v>64</v>
      </c>
      <c r="C74" s="30" t="s">
        <v>206</v>
      </c>
      <c r="D74" s="30" t="s">
        <v>225</v>
      </c>
      <c r="E74" s="163" t="s">
        <v>708</v>
      </c>
      <c r="F74" s="284" t="s">
        <v>1231</v>
      </c>
      <c r="G74" s="284">
        <f>IFERROR(VLOOKUP(E74,Assign!$C$2:$J$142,8,FALSE),)</f>
        <v>0</v>
      </c>
      <c r="H74" s="372" t="s">
        <v>3868</v>
      </c>
      <c r="I74" s="445" t="s">
        <v>3859</v>
      </c>
      <c r="J74" s="446"/>
      <c r="K74" s="386">
        <v>369800000</v>
      </c>
      <c r="L74" s="387"/>
      <c r="M74" s="388">
        <f t="shared" si="1"/>
        <v>369800000</v>
      </c>
      <c r="N74" s="388"/>
      <c r="O74" s="388">
        <f t="shared" si="2"/>
        <v>369800000</v>
      </c>
      <c r="P74" s="390"/>
      <c r="Q74" s="386">
        <v>448600000</v>
      </c>
      <c r="R74" s="394">
        <v>0</v>
      </c>
      <c r="S74" s="447"/>
    </row>
    <row r="75" spans="2:19" ht="19.5" hidden="1" customHeight="1">
      <c r="B75" s="29">
        <f t="shared" ref="B75:B138" si="3">ROW()-10</f>
        <v>65</v>
      </c>
      <c r="C75" s="30" t="s">
        <v>206</v>
      </c>
      <c r="D75" s="30" t="s">
        <v>225</v>
      </c>
      <c r="E75" s="163" t="s">
        <v>709</v>
      </c>
      <c r="F75" s="284" t="s">
        <v>1240</v>
      </c>
      <c r="G75" s="284">
        <f>IFERROR(VLOOKUP(E75,Assign!$C$2:$J$142,8,FALSE),)</f>
        <v>0</v>
      </c>
      <c r="H75" s="372" t="s">
        <v>3870</v>
      </c>
      <c r="I75" s="445" t="s">
        <v>3859</v>
      </c>
      <c r="J75" s="446"/>
      <c r="K75" s="386">
        <v>367071890</v>
      </c>
      <c r="L75" s="387"/>
      <c r="M75" s="388">
        <f t="shared" ref="M75:M138" si="4">SUM(K75:L75)</f>
        <v>367071890</v>
      </c>
      <c r="N75" s="388"/>
      <c r="O75" s="388">
        <f t="shared" ref="O75:O138" si="5">SUM(M75:N75)</f>
        <v>367071890</v>
      </c>
      <c r="P75" s="390"/>
      <c r="Q75" s="386">
        <v>448800000</v>
      </c>
      <c r="R75" s="394">
        <v>0</v>
      </c>
      <c r="S75" s="447"/>
    </row>
    <row r="76" spans="2:19" ht="19.5" hidden="1" customHeight="1">
      <c r="B76" s="29">
        <f t="shared" si="3"/>
        <v>66</v>
      </c>
      <c r="C76" s="30" t="s">
        <v>206</v>
      </c>
      <c r="D76" s="30" t="s">
        <v>225</v>
      </c>
      <c r="E76" s="163" t="s">
        <v>710</v>
      </c>
      <c r="F76" s="284" t="s">
        <v>1226</v>
      </c>
      <c r="G76" s="284">
        <f>IFERROR(VLOOKUP(E76,Assign!$C$2:$J$142,8,FALSE),)</f>
        <v>0</v>
      </c>
      <c r="H76" s="372" t="s">
        <v>3868</v>
      </c>
      <c r="I76" s="445" t="s">
        <v>3859</v>
      </c>
      <c r="J76" s="446"/>
      <c r="K76" s="386">
        <v>350850000</v>
      </c>
      <c r="L76" s="387"/>
      <c r="M76" s="388">
        <f t="shared" si="4"/>
        <v>350850000</v>
      </c>
      <c r="N76" s="388"/>
      <c r="O76" s="388">
        <f t="shared" si="5"/>
        <v>350850000</v>
      </c>
      <c r="P76" s="390"/>
      <c r="Q76" s="386">
        <v>456000000</v>
      </c>
      <c r="R76" s="394">
        <v>0</v>
      </c>
      <c r="S76" s="447"/>
    </row>
    <row r="77" spans="2:19" ht="19.5" customHeight="1">
      <c r="B77" s="29">
        <f t="shared" si="3"/>
        <v>67</v>
      </c>
      <c r="C77" s="30" t="s">
        <v>206</v>
      </c>
      <c r="D77" s="30" t="s">
        <v>225</v>
      </c>
      <c r="E77" s="491" t="s">
        <v>711</v>
      </c>
      <c r="F77" s="284" t="s">
        <v>1313</v>
      </c>
      <c r="G77" s="284" t="str">
        <f>IFERROR(VLOOKUP(E77,Assign!$C$2:$J$142,8,FALSE),)</f>
        <v>문선영</v>
      </c>
      <c r="H77" s="372" t="s">
        <v>3870</v>
      </c>
      <c r="I77" s="445" t="s">
        <v>3859</v>
      </c>
      <c r="J77" s="446"/>
      <c r="K77" s="386">
        <v>339166300</v>
      </c>
      <c r="L77" s="387"/>
      <c r="M77" s="388">
        <f t="shared" si="4"/>
        <v>339166300</v>
      </c>
      <c r="N77" s="388"/>
      <c r="O77" s="388">
        <f t="shared" si="5"/>
        <v>339166300</v>
      </c>
      <c r="P77" s="390"/>
      <c r="Q77" s="386">
        <v>336000000</v>
      </c>
      <c r="R77" s="394">
        <v>0</v>
      </c>
      <c r="S77" s="447"/>
    </row>
    <row r="78" spans="2:19" ht="19.5" hidden="1" customHeight="1">
      <c r="B78" s="29">
        <f t="shared" si="3"/>
        <v>68</v>
      </c>
      <c r="C78" s="30" t="s">
        <v>206</v>
      </c>
      <c r="D78" s="30" t="s">
        <v>225</v>
      </c>
      <c r="E78" s="163" t="s">
        <v>712</v>
      </c>
      <c r="F78" s="284" t="s">
        <v>1226</v>
      </c>
      <c r="G78" s="284">
        <f>IFERROR(VLOOKUP(E78,Assign!$C$2:$J$142,8,FALSE),)</f>
        <v>0</v>
      </c>
      <c r="H78" s="372" t="s">
        <v>3868</v>
      </c>
      <c r="I78" s="445" t="s">
        <v>3859</v>
      </c>
      <c r="J78" s="446"/>
      <c r="K78" s="386">
        <v>334990000</v>
      </c>
      <c r="L78" s="387"/>
      <c r="M78" s="388">
        <f t="shared" si="4"/>
        <v>334990000</v>
      </c>
      <c r="N78" s="388"/>
      <c r="O78" s="388">
        <f t="shared" si="5"/>
        <v>334990000</v>
      </c>
      <c r="P78" s="390"/>
      <c r="Q78" s="386">
        <v>432000000</v>
      </c>
      <c r="R78" s="394">
        <v>0</v>
      </c>
      <c r="S78" s="447"/>
    </row>
    <row r="79" spans="2:19" ht="19.5" customHeight="1">
      <c r="B79" s="29">
        <f t="shared" si="3"/>
        <v>69</v>
      </c>
      <c r="C79" s="30" t="s">
        <v>206</v>
      </c>
      <c r="D79" s="30" t="s">
        <v>225</v>
      </c>
      <c r="E79" s="491" t="s">
        <v>713</v>
      </c>
      <c r="F79" s="284" t="s">
        <v>1231</v>
      </c>
      <c r="G79" s="284" t="str">
        <f>IFERROR(VLOOKUP(E79,Assign!$C$2:$J$142,8,FALSE),)</f>
        <v>문선영</v>
      </c>
      <c r="H79" s="372" t="s">
        <v>3868</v>
      </c>
      <c r="I79" s="445" t="s">
        <v>3859</v>
      </c>
      <c r="J79" s="446"/>
      <c r="K79" s="386">
        <v>330000000</v>
      </c>
      <c r="L79" s="387"/>
      <c r="M79" s="388">
        <f t="shared" si="4"/>
        <v>330000000</v>
      </c>
      <c r="N79" s="388"/>
      <c r="O79" s="388">
        <f t="shared" si="5"/>
        <v>330000000</v>
      </c>
      <c r="P79" s="390"/>
      <c r="Q79" s="386">
        <v>432000000</v>
      </c>
      <c r="R79" s="394">
        <v>432000000</v>
      </c>
      <c r="S79" s="447"/>
    </row>
    <row r="80" spans="2:19" ht="19.5" customHeight="1">
      <c r="B80" s="29">
        <f t="shared" si="3"/>
        <v>70</v>
      </c>
      <c r="C80" s="30" t="s">
        <v>206</v>
      </c>
      <c r="D80" s="30" t="s">
        <v>225</v>
      </c>
      <c r="E80" s="491" t="s">
        <v>714</v>
      </c>
      <c r="F80" s="284" t="s">
        <v>1229</v>
      </c>
      <c r="G80" s="284" t="str">
        <f>IFERROR(VLOOKUP(E80,Assign!$C$2:$J$142,8,FALSE),)</f>
        <v>문선영</v>
      </c>
      <c r="H80" s="372" t="s">
        <v>3869</v>
      </c>
      <c r="I80" s="445" t="s">
        <v>3859</v>
      </c>
      <c r="J80" s="446"/>
      <c r="K80" s="386">
        <v>324219042</v>
      </c>
      <c r="L80" s="387"/>
      <c r="M80" s="388">
        <f t="shared" si="4"/>
        <v>324219042</v>
      </c>
      <c r="N80" s="388"/>
      <c r="O80" s="388">
        <f t="shared" si="5"/>
        <v>324219042</v>
      </c>
      <c r="P80" s="390"/>
      <c r="Q80" s="386">
        <v>504000000</v>
      </c>
      <c r="R80" s="394">
        <v>0</v>
      </c>
      <c r="S80" s="447"/>
    </row>
    <row r="81" spans="2:19" ht="19.5" hidden="1" customHeight="1">
      <c r="B81" s="29">
        <f t="shared" si="3"/>
        <v>71</v>
      </c>
      <c r="C81" s="30" t="s">
        <v>206</v>
      </c>
      <c r="D81" s="30" t="s">
        <v>225</v>
      </c>
      <c r="E81" s="163" t="s">
        <v>715</v>
      </c>
      <c r="F81" s="284" t="s">
        <v>1223</v>
      </c>
      <c r="G81" s="284">
        <f>IFERROR(VLOOKUP(E81,Assign!$C$2:$J$142,8,FALSE),)</f>
        <v>0</v>
      </c>
      <c r="H81" s="372" t="s">
        <v>3869</v>
      </c>
      <c r="I81" s="445" t="s">
        <v>3859</v>
      </c>
      <c r="J81" s="446"/>
      <c r="K81" s="386">
        <v>317722523</v>
      </c>
      <c r="L81" s="387"/>
      <c r="M81" s="388">
        <f t="shared" si="4"/>
        <v>317722523</v>
      </c>
      <c r="N81" s="388"/>
      <c r="O81" s="388">
        <f t="shared" si="5"/>
        <v>317722523</v>
      </c>
      <c r="P81" s="390"/>
      <c r="Q81" s="386">
        <v>363000000</v>
      </c>
      <c r="R81" s="394">
        <v>0</v>
      </c>
      <c r="S81" s="447"/>
    </row>
    <row r="82" spans="2:19" ht="19.5" hidden="1" customHeight="1">
      <c r="B82" s="29">
        <f t="shared" si="3"/>
        <v>72</v>
      </c>
      <c r="C82" s="30" t="s">
        <v>206</v>
      </c>
      <c r="D82" s="30" t="s">
        <v>225</v>
      </c>
      <c r="E82" s="163" t="s">
        <v>716</v>
      </c>
      <c r="F82" s="284" t="s">
        <v>1225</v>
      </c>
      <c r="G82" s="284">
        <f>IFERROR(VLOOKUP(E82,Assign!$C$2:$J$142,8,FALSE),)</f>
        <v>0</v>
      </c>
      <c r="H82" s="372" t="s">
        <v>3868</v>
      </c>
      <c r="I82" s="445" t="s">
        <v>3859</v>
      </c>
      <c r="J82" s="446"/>
      <c r="K82" s="386">
        <v>317000000</v>
      </c>
      <c r="L82" s="387"/>
      <c r="M82" s="388">
        <f t="shared" si="4"/>
        <v>317000000</v>
      </c>
      <c r="N82" s="388"/>
      <c r="O82" s="388">
        <f t="shared" si="5"/>
        <v>317000000</v>
      </c>
      <c r="P82" s="390"/>
      <c r="Q82" s="386">
        <v>380400000</v>
      </c>
      <c r="R82" s="394">
        <v>444000000</v>
      </c>
      <c r="S82" s="447"/>
    </row>
    <row r="83" spans="2:19" ht="19.5" hidden="1" customHeight="1">
      <c r="B83" s="29">
        <f t="shared" si="3"/>
        <v>73</v>
      </c>
      <c r="C83" s="30" t="s">
        <v>206</v>
      </c>
      <c r="D83" s="30" t="s">
        <v>225</v>
      </c>
      <c r="E83" s="163" t="s">
        <v>717</v>
      </c>
      <c r="F83" s="284" t="s">
        <v>1225</v>
      </c>
      <c r="G83" s="284">
        <f>IFERROR(VLOOKUP(E83,Assign!$C$2:$J$142,8,FALSE),)</f>
        <v>0</v>
      </c>
      <c r="H83" s="372" t="s">
        <v>3868</v>
      </c>
      <c r="I83" s="445" t="s">
        <v>3859</v>
      </c>
      <c r="J83" s="446"/>
      <c r="K83" s="386">
        <v>183277988</v>
      </c>
      <c r="L83" s="387"/>
      <c r="M83" s="388">
        <f t="shared" si="4"/>
        <v>183277988</v>
      </c>
      <c r="N83" s="388"/>
      <c r="O83" s="388">
        <f t="shared" si="5"/>
        <v>183277988</v>
      </c>
      <c r="P83" s="390"/>
      <c r="Q83" s="386">
        <v>836400000</v>
      </c>
      <c r="R83" s="394">
        <v>0</v>
      </c>
      <c r="S83" s="447"/>
    </row>
    <row r="84" spans="2:19" ht="19.5" customHeight="1">
      <c r="B84" s="29">
        <f t="shared" si="3"/>
        <v>74</v>
      </c>
      <c r="C84" s="30" t="s">
        <v>206</v>
      </c>
      <c r="D84" s="30" t="s">
        <v>225</v>
      </c>
      <c r="E84" s="491" t="s">
        <v>718</v>
      </c>
      <c r="F84" s="284" t="s">
        <v>1229</v>
      </c>
      <c r="G84" s="284" t="str">
        <f>IFERROR(VLOOKUP(E84,Assign!$C$2:$J$142,8,FALSE),)</f>
        <v>문선영</v>
      </c>
      <c r="H84" s="372" t="s">
        <v>3868</v>
      </c>
      <c r="I84" s="445" t="s">
        <v>3859</v>
      </c>
      <c r="J84" s="446"/>
      <c r="K84" s="386">
        <v>310000000</v>
      </c>
      <c r="L84" s="387"/>
      <c r="M84" s="388">
        <f t="shared" si="4"/>
        <v>310000000</v>
      </c>
      <c r="N84" s="388"/>
      <c r="O84" s="388">
        <f t="shared" si="5"/>
        <v>310000000</v>
      </c>
      <c r="P84" s="390"/>
      <c r="Q84" s="386">
        <v>630000000</v>
      </c>
      <c r="R84" s="394">
        <v>0</v>
      </c>
      <c r="S84" s="447"/>
    </row>
    <row r="85" spans="2:19" ht="19.5" customHeight="1">
      <c r="B85" s="29">
        <f t="shared" si="3"/>
        <v>75</v>
      </c>
      <c r="C85" s="30" t="s">
        <v>206</v>
      </c>
      <c r="D85" s="30" t="s">
        <v>225</v>
      </c>
      <c r="E85" s="491" t="s">
        <v>719</v>
      </c>
      <c r="F85" s="284" t="s">
        <v>1225</v>
      </c>
      <c r="G85" s="284" t="str">
        <f>IFERROR(VLOOKUP(E85,Assign!$C$2:$J$142,8,FALSE),)</f>
        <v>문선영</v>
      </c>
      <c r="H85" s="372" t="s">
        <v>3868</v>
      </c>
      <c r="I85" s="445" t="s">
        <v>3859</v>
      </c>
      <c r="J85" s="446"/>
      <c r="K85" s="386">
        <v>309000000</v>
      </c>
      <c r="L85" s="387"/>
      <c r="M85" s="388">
        <f t="shared" si="4"/>
        <v>309000000</v>
      </c>
      <c r="N85" s="388"/>
      <c r="O85" s="388">
        <f t="shared" si="5"/>
        <v>309000000</v>
      </c>
      <c r="P85" s="390"/>
      <c r="Q85" s="386">
        <v>315000000</v>
      </c>
      <c r="R85" s="394">
        <v>0</v>
      </c>
      <c r="S85" s="447"/>
    </row>
    <row r="86" spans="2:19" ht="19.5" hidden="1" customHeight="1">
      <c r="B86" s="29">
        <f t="shared" si="3"/>
        <v>76</v>
      </c>
      <c r="C86" s="30" t="s">
        <v>206</v>
      </c>
      <c r="D86" s="30" t="s">
        <v>225</v>
      </c>
      <c r="E86" s="163" t="s">
        <v>720</v>
      </c>
      <c r="F86" s="284" t="s">
        <v>1225</v>
      </c>
      <c r="G86" s="284">
        <f>IFERROR(VLOOKUP(E86,Assign!$C$2:$J$142,8,FALSE),)</f>
        <v>0</v>
      </c>
      <c r="H86" s="372" t="s">
        <v>3868</v>
      </c>
      <c r="I86" s="445" t="s">
        <v>3859</v>
      </c>
      <c r="J86" s="446"/>
      <c r="K86" s="386">
        <v>307199938</v>
      </c>
      <c r="L86" s="387"/>
      <c r="M86" s="388">
        <f t="shared" si="4"/>
        <v>307199938</v>
      </c>
      <c r="N86" s="388"/>
      <c r="O86" s="388">
        <f t="shared" si="5"/>
        <v>307199938</v>
      </c>
      <c r="P86" s="390"/>
      <c r="Q86" s="386">
        <v>442600000</v>
      </c>
      <c r="R86" s="394">
        <v>0</v>
      </c>
      <c r="S86" s="447"/>
    </row>
    <row r="87" spans="2:19" ht="19.5" hidden="1" customHeight="1">
      <c r="B87" s="29">
        <f t="shared" si="3"/>
        <v>77</v>
      </c>
      <c r="C87" s="30" t="s">
        <v>206</v>
      </c>
      <c r="D87" s="30" t="s">
        <v>225</v>
      </c>
      <c r="E87" s="163" t="s">
        <v>721</v>
      </c>
      <c r="F87" s="284" t="s">
        <v>1236</v>
      </c>
      <c r="G87" s="284">
        <f>IFERROR(VLOOKUP(E87,Assign!$C$2:$J$142,8,FALSE),)</f>
        <v>0</v>
      </c>
      <c r="H87" s="372" t="s">
        <v>3868</v>
      </c>
      <c r="I87" s="445" t="s">
        <v>3859</v>
      </c>
      <c r="J87" s="446"/>
      <c r="K87" s="386">
        <v>300000000</v>
      </c>
      <c r="L87" s="387"/>
      <c r="M87" s="388">
        <f t="shared" si="4"/>
        <v>300000000</v>
      </c>
      <c r="N87" s="388"/>
      <c r="O87" s="388">
        <f t="shared" si="5"/>
        <v>300000000</v>
      </c>
      <c r="P87" s="390"/>
      <c r="Q87" s="386">
        <v>360000000</v>
      </c>
      <c r="R87" s="394">
        <v>0</v>
      </c>
      <c r="S87" s="447"/>
    </row>
    <row r="88" spans="2:19" ht="19.5" hidden="1" customHeight="1">
      <c r="B88" s="29">
        <f t="shared" si="3"/>
        <v>78</v>
      </c>
      <c r="C88" s="30" t="s">
        <v>206</v>
      </c>
      <c r="D88" s="30" t="s">
        <v>225</v>
      </c>
      <c r="E88" s="163" t="s">
        <v>722</v>
      </c>
      <c r="F88" s="284" t="s">
        <v>1220</v>
      </c>
      <c r="G88" s="284">
        <f>IFERROR(VLOOKUP(E88,Assign!$C$2:$J$142,8,FALSE),)</f>
        <v>0</v>
      </c>
      <c r="H88" s="372" t="s">
        <v>3869</v>
      </c>
      <c r="I88" s="445" t="s">
        <v>3859</v>
      </c>
      <c r="J88" s="446"/>
      <c r="K88" s="386">
        <v>299558504</v>
      </c>
      <c r="L88" s="387"/>
      <c r="M88" s="388">
        <f t="shared" si="4"/>
        <v>299558504</v>
      </c>
      <c r="N88" s="388"/>
      <c r="O88" s="388">
        <f t="shared" si="5"/>
        <v>299558504</v>
      </c>
      <c r="P88" s="390"/>
      <c r="Q88" s="386">
        <v>346500000</v>
      </c>
      <c r="R88" s="394">
        <v>0</v>
      </c>
      <c r="S88" s="447"/>
    </row>
    <row r="89" spans="2:19" ht="19.5" customHeight="1">
      <c r="B89" s="29">
        <f t="shared" si="3"/>
        <v>79</v>
      </c>
      <c r="C89" s="30" t="s">
        <v>206</v>
      </c>
      <c r="D89" s="30" t="s">
        <v>225</v>
      </c>
      <c r="E89" s="491" t="s">
        <v>723</v>
      </c>
      <c r="F89" s="284" t="s">
        <v>1314</v>
      </c>
      <c r="G89" s="284" t="str">
        <f>IFERROR(VLOOKUP(E89,Assign!$C$2:$J$142,8,FALSE),)</f>
        <v>문선영</v>
      </c>
      <c r="H89" s="372" t="s">
        <v>3870</v>
      </c>
      <c r="I89" s="445" t="s">
        <v>3859</v>
      </c>
      <c r="J89" s="446"/>
      <c r="K89" s="386">
        <v>293000000</v>
      </c>
      <c r="L89" s="387"/>
      <c r="M89" s="388">
        <f t="shared" si="4"/>
        <v>293000000</v>
      </c>
      <c r="N89" s="388"/>
      <c r="O89" s="388">
        <f t="shared" si="5"/>
        <v>293000000</v>
      </c>
      <c r="P89" s="390"/>
      <c r="Q89" s="386">
        <v>414000000</v>
      </c>
      <c r="R89" s="394">
        <v>0</v>
      </c>
      <c r="S89" s="447"/>
    </row>
    <row r="90" spans="2:19" ht="19.5" hidden="1" customHeight="1">
      <c r="B90" s="29">
        <f t="shared" si="3"/>
        <v>80</v>
      </c>
      <c r="C90" s="30" t="s">
        <v>206</v>
      </c>
      <c r="D90" s="30" t="s">
        <v>225</v>
      </c>
      <c r="E90" s="163" t="s">
        <v>724</v>
      </c>
      <c r="F90" s="284" t="s">
        <v>1229</v>
      </c>
      <c r="G90" s="284">
        <f>IFERROR(VLOOKUP(E90,Assign!$C$2:$J$142,8,FALSE),)</f>
        <v>0</v>
      </c>
      <c r="H90" s="372" t="s">
        <v>3868</v>
      </c>
      <c r="I90" s="445" t="s">
        <v>3859</v>
      </c>
      <c r="J90" s="446"/>
      <c r="K90" s="386">
        <v>289500000</v>
      </c>
      <c r="L90" s="387"/>
      <c r="M90" s="388">
        <f t="shared" si="4"/>
        <v>289500000</v>
      </c>
      <c r="N90" s="388"/>
      <c r="O90" s="388">
        <f t="shared" si="5"/>
        <v>289500000</v>
      </c>
      <c r="P90" s="390"/>
      <c r="Q90" s="386">
        <v>366000000</v>
      </c>
      <c r="R90" s="394">
        <v>0</v>
      </c>
      <c r="S90" s="447"/>
    </row>
    <row r="91" spans="2:19" ht="19.5" customHeight="1">
      <c r="B91" s="29">
        <f t="shared" si="3"/>
        <v>81</v>
      </c>
      <c r="C91" s="30" t="s">
        <v>206</v>
      </c>
      <c r="D91" s="30" t="s">
        <v>225</v>
      </c>
      <c r="E91" s="491" t="s">
        <v>725</v>
      </c>
      <c r="F91" s="284" t="s">
        <v>1229</v>
      </c>
      <c r="G91" s="284" t="str">
        <f>IFERROR(VLOOKUP(E91,Assign!$C$2:$J$142,8,FALSE),)</f>
        <v>문선영</v>
      </c>
      <c r="H91" s="372" t="s">
        <v>3868</v>
      </c>
      <c r="I91" s="445" t="s">
        <v>3859</v>
      </c>
      <c r="J91" s="446"/>
      <c r="K91" s="386">
        <v>286719521</v>
      </c>
      <c r="L91" s="387"/>
      <c r="M91" s="388">
        <f t="shared" si="4"/>
        <v>286719521</v>
      </c>
      <c r="N91" s="388"/>
      <c r="O91" s="388">
        <f t="shared" si="5"/>
        <v>286719521</v>
      </c>
      <c r="P91" s="390"/>
      <c r="Q91" s="386">
        <v>316800000</v>
      </c>
      <c r="R91" s="394">
        <v>0</v>
      </c>
      <c r="S91" s="447"/>
    </row>
    <row r="92" spans="2:19" ht="19.5" hidden="1" customHeight="1">
      <c r="B92" s="29">
        <f t="shared" si="3"/>
        <v>82</v>
      </c>
      <c r="C92" s="30" t="s">
        <v>206</v>
      </c>
      <c r="D92" s="30" t="s">
        <v>225</v>
      </c>
      <c r="E92" s="163" t="s">
        <v>726</v>
      </c>
      <c r="F92" s="284" t="s">
        <v>1241</v>
      </c>
      <c r="G92" s="284">
        <f>IFERROR(VLOOKUP(E92,Assign!$C$2:$J$142,8,FALSE),)</f>
        <v>0</v>
      </c>
      <c r="H92" s="372" t="s">
        <v>3868</v>
      </c>
      <c r="I92" s="445" t="s">
        <v>3859</v>
      </c>
      <c r="J92" s="446"/>
      <c r="K92" s="386">
        <v>281318583</v>
      </c>
      <c r="L92" s="387"/>
      <c r="M92" s="388">
        <f t="shared" si="4"/>
        <v>281318583</v>
      </c>
      <c r="N92" s="388"/>
      <c r="O92" s="388">
        <f t="shared" si="5"/>
        <v>281318583</v>
      </c>
      <c r="P92" s="390"/>
      <c r="Q92" s="386">
        <v>436800000</v>
      </c>
      <c r="R92" s="394">
        <v>0</v>
      </c>
      <c r="S92" s="447"/>
    </row>
    <row r="93" spans="2:19" ht="19.5" hidden="1" customHeight="1">
      <c r="B93" s="29">
        <f t="shared" si="3"/>
        <v>83</v>
      </c>
      <c r="C93" s="30" t="s">
        <v>206</v>
      </c>
      <c r="D93" s="30" t="s">
        <v>225</v>
      </c>
      <c r="E93" s="163" t="s">
        <v>727</v>
      </c>
      <c r="F93" s="284" t="s">
        <v>1242</v>
      </c>
      <c r="G93" s="284">
        <f>IFERROR(VLOOKUP(E93,Assign!$C$2:$J$142,8,FALSE),)</f>
        <v>0</v>
      </c>
      <c r="H93" s="372" t="s">
        <v>3868</v>
      </c>
      <c r="I93" s="445" t="s">
        <v>3859</v>
      </c>
      <c r="J93" s="446"/>
      <c r="K93" s="386">
        <v>277930000</v>
      </c>
      <c r="L93" s="387"/>
      <c r="M93" s="388">
        <f t="shared" si="4"/>
        <v>277930000</v>
      </c>
      <c r="N93" s="388"/>
      <c r="O93" s="388">
        <f t="shared" si="5"/>
        <v>277930000</v>
      </c>
      <c r="P93" s="390"/>
      <c r="Q93" s="386">
        <v>336000000</v>
      </c>
      <c r="R93" s="394">
        <v>0</v>
      </c>
      <c r="S93" s="447"/>
    </row>
    <row r="94" spans="2:19" ht="19.5" customHeight="1">
      <c r="B94" s="29">
        <f t="shared" si="3"/>
        <v>84</v>
      </c>
      <c r="C94" s="30" t="s">
        <v>206</v>
      </c>
      <c r="D94" s="30" t="s">
        <v>225</v>
      </c>
      <c r="E94" s="492" t="s">
        <v>728</v>
      </c>
      <c r="F94" s="284" t="s">
        <v>1225</v>
      </c>
      <c r="G94" s="284" t="str">
        <f>IFERROR(VLOOKUP(E94,Assign!$C$2:$J$142,8,FALSE),)</f>
        <v>문선영</v>
      </c>
      <c r="H94" s="372" t="s">
        <v>3869</v>
      </c>
      <c r="I94" s="445" t="s">
        <v>3859</v>
      </c>
      <c r="J94" s="446"/>
      <c r="K94" s="386">
        <v>270882443</v>
      </c>
      <c r="L94" s="387"/>
      <c r="M94" s="388">
        <f t="shared" si="4"/>
        <v>270882443</v>
      </c>
      <c r="N94" s="388"/>
      <c r="O94" s="388">
        <f t="shared" si="5"/>
        <v>270882443</v>
      </c>
      <c r="P94" s="390"/>
      <c r="Q94" s="386">
        <v>308000000</v>
      </c>
      <c r="R94" s="394">
        <v>0</v>
      </c>
      <c r="S94" s="447"/>
    </row>
    <row r="95" spans="2:19" ht="19.5" hidden="1" customHeight="1">
      <c r="B95" s="29">
        <f t="shared" si="3"/>
        <v>85</v>
      </c>
      <c r="C95" s="30" t="s">
        <v>206</v>
      </c>
      <c r="D95" s="30" t="s">
        <v>225</v>
      </c>
      <c r="E95" s="163" t="s">
        <v>729</v>
      </c>
      <c r="F95" s="284" t="s">
        <v>1218</v>
      </c>
      <c r="G95" s="284">
        <f>IFERROR(VLOOKUP(E95,Assign!$C$2:$J$142,8,FALSE),)</f>
        <v>0</v>
      </c>
      <c r="H95" s="372" t="s">
        <v>3869</v>
      </c>
      <c r="I95" s="445" t="s">
        <v>3859</v>
      </c>
      <c r="J95" s="446"/>
      <c r="K95" s="386">
        <v>264511461</v>
      </c>
      <c r="L95" s="387"/>
      <c r="M95" s="388">
        <f t="shared" si="4"/>
        <v>264511461</v>
      </c>
      <c r="N95" s="388"/>
      <c r="O95" s="388">
        <f t="shared" si="5"/>
        <v>264511461</v>
      </c>
      <c r="P95" s="390"/>
      <c r="Q95" s="386">
        <v>384000000</v>
      </c>
      <c r="R95" s="394">
        <v>0</v>
      </c>
      <c r="S95" s="447"/>
    </row>
    <row r="96" spans="2:19" ht="19.5" customHeight="1">
      <c r="B96" s="29">
        <f t="shared" si="3"/>
        <v>86</v>
      </c>
      <c r="C96" s="30" t="s">
        <v>206</v>
      </c>
      <c r="D96" s="30" t="s">
        <v>225</v>
      </c>
      <c r="E96" s="492" t="s">
        <v>730</v>
      </c>
      <c r="F96" s="284" t="s">
        <v>611</v>
      </c>
      <c r="G96" s="284" t="str">
        <f>IFERROR(VLOOKUP(E96,Assign!$C$2:$J$142,8,FALSE),)</f>
        <v>문선영</v>
      </c>
      <c r="H96" s="372" t="s">
        <v>3868</v>
      </c>
      <c r="I96" s="445" t="s">
        <v>3859</v>
      </c>
      <c r="J96" s="446"/>
      <c r="K96" s="386">
        <v>258806984</v>
      </c>
      <c r="L96" s="387"/>
      <c r="M96" s="388">
        <f t="shared" si="4"/>
        <v>258806984</v>
      </c>
      <c r="N96" s="388"/>
      <c r="O96" s="388">
        <f t="shared" si="5"/>
        <v>258806984</v>
      </c>
      <c r="P96" s="390"/>
      <c r="Q96" s="386">
        <v>297000000</v>
      </c>
      <c r="R96" s="394">
        <v>0</v>
      </c>
      <c r="S96" s="447"/>
    </row>
    <row r="97" spans="2:19" ht="19.5" hidden="1" customHeight="1">
      <c r="B97" s="29">
        <f t="shared" si="3"/>
        <v>87</v>
      </c>
      <c r="C97" s="30" t="s">
        <v>206</v>
      </c>
      <c r="D97" s="30" t="s">
        <v>225</v>
      </c>
      <c r="E97" s="163" t="s">
        <v>731</v>
      </c>
      <c r="F97" s="284" t="s">
        <v>1229</v>
      </c>
      <c r="G97" s="284">
        <f>IFERROR(VLOOKUP(E97,Assign!$C$2:$J$142,8,FALSE),)</f>
        <v>0</v>
      </c>
      <c r="H97" s="372" t="s">
        <v>3868</v>
      </c>
      <c r="I97" s="445" t="s">
        <v>3859</v>
      </c>
      <c r="J97" s="446"/>
      <c r="K97" s="386">
        <v>252440000</v>
      </c>
      <c r="L97" s="387"/>
      <c r="M97" s="388">
        <f t="shared" si="4"/>
        <v>252440000</v>
      </c>
      <c r="N97" s="388"/>
      <c r="O97" s="388">
        <f t="shared" si="5"/>
        <v>252440000</v>
      </c>
      <c r="P97" s="390"/>
      <c r="Q97" s="386">
        <v>336000000</v>
      </c>
      <c r="R97" s="394">
        <v>0</v>
      </c>
      <c r="S97" s="447"/>
    </row>
    <row r="98" spans="2:19" ht="19.5" hidden="1" customHeight="1">
      <c r="B98" s="29">
        <f t="shared" si="3"/>
        <v>88</v>
      </c>
      <c r="C98" s="30" t="s">
        <v>206</v>
      </c>
      <c r="D98" s="30" t="s">
        <v>225</v>
      </c>
      <c r="E98" s="163" t="s">
        <v>732</v>
      </c>
      <c r="F98" s="284" t="s">
        <v>1315</v>
      </c>
      <c r="G98" s="284">
        <f>IFERROR(VLOOKUP(E98,Assign!$C$2:$J$142,8,FALSE),)</f>
        <v>0</v>
      </c>
      <c r="H98" s="372" t="s">
        <v>3870</v>
      </c>
      <c r="I98" s="445" t="s">
        <v>3859</v>
      </c>
      <c r="J98" s="446"/>
      <c r="K98" s="386">
        <v>249512568</v>
      </c>
      <c r="L98" s="387"/>
      <c r="M98" s="388">
        <f t="shared" si="4"/>
        <v>249512568</v>
      </c>
      <c r="N98" s="388"/>
      <c r="O98" s="388">
        <f t="shared" si="5"/>
        <v>249512568</v>
      </c>
      <c r="P98" s="390"/>
      <c r="Q98" s="386">
        <v>600000000</v>
      </c>
      <c r="R98" s="394">
        <v>254400000</v>
      </c>
      <c r="S98" s="447"/>
    </row>
    <row r="99" spans="2:19" ht="19.5" hidden="1" customHeight="1">
      <c r="B99" s="29">
        <f t="shared" si="3"/>
        <v>89</v>
      </c>
      <c r="C99" s="30" t="s">
        <v>206</v>
      </c>
      <c r="D99" s="30" t="s">
        <v>225</v>
      </c>
      <c r="E99" s="163" t="s">
        <v>733</v>
      </c>
      <c r="F99" s="284" t="s">
        <v>1238</v>
      </c>
      <c r="G99" s="284">
        <f>IFERROR(VLOOKUP(E99,Assign!$C$2:$J$142,8,FALSE),)</f>
        <v>0</v>
      </c>
      <c r="H99" s="372" t="s">
        <v>3869</v>
      </c>
      <c r="I99" s="445" t="s">
        <v>3859</v>
      </c>
      <c r="J99" s="446"/>
      <c r="K99" s="386">
        <v>247931212</v>
      </c>
      <c r="L99" s="387"/>
      <c r="M99" s="388">
        <f t="shared" si="4"/>
        <v>247931212</v>
      </c>
      <c r="N99" s="388"/>
      <c r="O99" s="388">
        <f t="shared" si="5"/>
        <v>247931212</v>
      </c>
      <c r="P99" s="390"/>
      <c r="Q99" s="386">
        <v>284900000</v>
      </c>
      <c r="R99" s="394">
        <v>0</v>
      </c>
      <c r="S99" s="447"/>
    </row>
    <row r="100" spans="2:19" ht="19.5" hidden="1" customHeight="1">
      <c r="B100" s="29">
        <f t="shared" si="3"/>
        <v>90</v>
      </c>
      <c r="C100" s="30" t="s">
        <v>206</v>
      </c>
      <c r="D100" s="30" t="s">
        <v>225</v>
      </c>
      <c r="E100" s="163" t="s">
        <v>734</v>
      </c>
      <c r="F100" s="284" t="s">
        <v>1316</v>
      </c>
      <c r="G100" s="284">
        <f>IFERROR(VLOOKUP(E100,Assign!$C$2:$J$142,8,FALSE),)</f>
        <v>0</v>
      </c>
      <c r="H100" s="372" t="s">
        <v>3870</v>
      </c>
      <c r="I100" s="445" t="s">
        <v>3859</v>
      </c>
      <c r="J100" s="446"/>
      <c r="K100" s="386">
        <v>245600000</v>
      </c>
      <c r="L100" s="387"/>
      <c r="M100" s="388">
        <f t="shared" si="4"/>
        <v>245600000</v>
      </c>
      <c r="N100" s="388"/>
      <c r="O100" s="388">
        <f t="shared" si="5"/>
        <v>245600000</v>
      </c>
      <c r="P100" s="390"/>
      <c r="Q100" s="386">
        <v>294720000</v>
      </c>
      <c r="R100" s="394">
        <v>0</v>
      </c>
      <c r="S100" s="447"/>
    </row>
    <row r="101" spans="2:19" ht="19.5" hidden="1" customHeight="1">
      <c r="B101" s="29">
        <f t="shared" si="3"/>
        <v>91</v>
      </c>
      <c r="C101" s="30" t="s">
        <v>206</v>
      </c>
      <c r="D101" s="30" t="s">
        <v>225</v>
      </c>
      <c r="E101" s="163" t="s">
        <v>735</v>
      </c>
      <c r="F101" s="284" t="s">
        <v>1243</v>
      </c>
      <c r="G101" s="284">
        <f>IFERROR(VLOOKUP(E101,Assign!$C$2:$J$142,8,FALSE),)</f>
        <v>0</v>
      </c>
      <c r="H101" s="372" t="s">
        <v>3870</v>
      </c>
      <c r="I101" s="445" t="s">
        <v>3859</v>
      </c>
      <c r="J101" s="446"/>
      <c r="K101" s="386">
        <v>240000000</v>
      </c>
      <c r="L101" s="387"/>
      <c r="M101" s="388">
        <f t="shared" si="4"/>
        <v>240000000</v>
      </c>
      <c r="N101" s="388"/>
      <c r="O101" s="388">
        <f t="shared" si="5"/>
        <v>240000000</v>
      </c>
      <c r="P101" s="390"/>
      <c r="Q101" s="386">
        <v>294000000</v>
      </c>
      <c r="R101" s="394">
        <v>0</v>
      </c>
      <c r="S101" s="447"/>
    </row>
    <row r="102" spans="2:19" ht="19.5" hidden="1" customHeight="1">
      <c r="B102" s="29">
        <f t="shared" si="3"/>
        <v>92</v>
      </c>
      <c r="C102" s="30" t="s">
        <v>206</v>
      </c>
      <c r="D102" s="30" t="s">
        <v>225</v>
      </c>
      <c r="E102" s="163" t="s">
        <v>736</v>
      </c>
      <c r="F102" s="284" t="s">
        <v>1235</v>
      </c>
      <c r="G102" s="284">
        <f>IFERROR(VLOOKUP(E102,Assign!$C$2:$J$142,8,FALSE),)</f>
        <v>0</v>
      </c>
      <c r="H102" s="372" t="s">
        <v>3868</v>
      </c>
      <c r="I102" s="445" t="s">
        <v>3859</v>
      </c>
      <c r="J102" s="446"/>
      <c r="K102" s="386">
        <v>228727370</v>
      </c>
      <c r="L102" s="387"/>
      <c r="M102" s="388">
        <f t="shared" si="4"/>
        <v>228727370</v>
      </c>
      <c r="N102" s="388"/>
      <c r="O102" s="388">
        <f t="shared" si="5"/>
        <v>228727370</v>
      </c>
      <c r="P102" s="390"/>
      <c r="Q102" s="386">
        <v>292800000</v>
      </c>
      <c r="R102" s="394">
        <v>0</v>
      </c>
      <c r="S102" s="447"/>
    </row>
    <row r="103" spans="2:19" ht="19.5" customHeight="1">
      <c r="B103" s="29">
        <f t="shared" si="3"/>
        <v>93</v>
      </c>
      <c r="C103" s="30" t="s">
        <v>206</v>
      </c>
      <c r="D103" s="30" t="s">
        <v>225</v>
      </c>
      <c r="E103" s="492" t="s">
        <v>737</v>
      </c>
      <c r="F103" s="284" t="s">
        <v>1245</v>
      </c>
      <c r="G103" s="284" t="str">
        <f>IFERROR(VLOOKUP(E103,Assign!$C$2:$J$142,8,FALSE),)</f>
        <v>문선영</v>
      </c>
      <c r="H103" s="372" t="s">
        <v>3870</v>
      </c>
      <c r="I103" s="445" t="s">
        <v>3859</v>
      </c>
      <c r="J103" s="446"/>
      <c r="K103" s="386">
        <v>228000000</v>
      </c>
      <c r="L103" s="387"/>
      <c r="M103" s="388">
        <f t="shared" si="4"/>
        <v>228000000</v>
      </c>
      <c r="N103" s="388"/>
      <c r="O103" s="388">
        <f t="shared" si="5"/>
        <v>228000000</v>
      </c>
      <c r="P103" s="390"/>
      <c r="Q103" s="386">
        <v>288000000</v>
      </c>
      <c r="R103" s="394">
        <v>0</v>
      </c>
      <c r="S103" s="447"/>
    </row>
    <row r="104" spans="2:19" ht="19.5" hidden="1" customHeight="1">
      <c r="B104" s="29">
        <f t="shared" si="3"/>
        <v>94</v>
      </c>
      <c r="C104" s="30" t="s">
        <v>206</v>
      </c>
      <c r="D104" s="30" t="s">
        <v>225</v>
      </c>
      <c r="E104" s="163" t="s">
        <v>738</v>
      </c>
      <c r="F104" s="284" t="s">
        <v>1226</v>
      </c>
      <c r="G104" s="284">
        <f>IFERROR(VLOOKUP(E104,Assign!$C$2:$J$142,8,FALSE),)</f>
        <v>0</v>
      </c>
      <c r="H104" s="372" t="s">
        <v>3868</v>
      </c>
      <c r="I104" s="445" t="s">
        <v>3859</v>
      </c>
      <c r="J104" s="446"/>
      <c r="K104" s="386">
        <v>222270520</v>
      </c>
      <c r="L104" s="387"/>
      <c r="M104" s="388">
        <f t="shared" si="4"/>
        <v>222270520</v>
      </c>
      <c r="N104" s="388"/>
      <c r="O104" s="388">
        <f t="shared" si="5"/>
        <v>222270520</v>
      </c>
      <c r="P104" s="390"/>
      <c r="Q104" s="386">
        <v>249700000</v>
      </c>
      <c r="R104" s="394">
        <v>0</v>
      </c>
      <c r="S104" s="447"/>
    </row>
    <row r="105" spans="2:19" ht="19.5" hidden="1" customHeight="1">
      <c r="B105" s="29">
        <f t="shared" si="3"/>
        <v>95</v>
      </c>
      <c r="C105" s="30" t="s">
        <v>206</v>
      </c>
      <c r="D105" s="30" t="s">
        <v>225</v>
      </c>
      <c r="E105" s="163" t="s">
        <v>739</v>
      </c>
      <c r="F105" s="284" t="s">
        <v>1246</v>
      </c>
      <c r="G105" s="284">
        <f>IFERROR(VLOOKUP(E105,Assign!$C$2:$J$142,8,FALSE),)</f>
        <v>0</v>
      </c>
      <c r="H105" s="372" t="s">
        <v>3868</v>
      </c>
      <c r="I105" s="445" t="s">
        <v>3859</v>
      </c>
      <c r="J105" s="446"/>
      <c r="K105" s="386">
        <v>222019630</v>
      </c>
      <c r="L105" s="387"/>
      <c r="M105" s="388">
        <f t="shared" si="4"/>
        <v>222019630</v>
      </c>
      <c r="N105" s="388"/>
      <c r="O105" s="388">
        <f t="shared" si="5"/>
        <v>222019630</v>
      </c>
      <c r="P105" s="390"/>
      <c r="Q105" s="386">
        <v>259600000</v>
      </c>
      <c r="R105" s="394">
        <v>0</v>
      </c>
      <c r="S105" s="447"/>
    </row>
    <row r="106" spans="2:19" ht="19.5" hidden="1" customHeight="1">
      <c r="B106" s="29">
        <f t="shared" si="3"/>
        <v>96</v>
      </c>
      <c r="C106" s="30" t="s">
        <v>206</v>
      </c>
      <c r="D106" s="30" t="s">
        <v>225</v>
      </c>
      <c r="E106" s="163" t="s">
        <v>740</v>
      </c>
      <c r="F106" s="284" t="s">
        <v>1217</v>
      </c>
      <c r="G106" s="284">
        <f>IFERROR(VLOOKUP(E106,Assign!$C$2:$J$142,8,FALSE),)</f>
        <v>0</v>
      </c>
      <c r="H106" s="372" t="s">
        <v>3868</v>
      </c>
      <c r="I106" s="445" t="s">
        <v>3859</v>
      </c>
      <c r="J106" s="446"/>
      <c r="K106" s="386">
        <v>217999782</v>
      </c>
      <c r="L106" s="387"/>
      <c r="M106" s="388">
        <f t="shared" si="4"/>
        <v>217999782</v>
      </c>
      <c r="N106" s="388"/>
      <c r="O106" s="388">
        <f t="shared" si="5"/>
        <v>217999782</v>
      </c>
      <c r="P106" s="390"/>
      <c r="Q106" s="386">
        <v>264000000</v>
      </c>
      <c r="R106" s="394">
        <v>0</v>
      </c>
      <c r="S106" s="447"/>
    </row>
    <row r="107" spans="2:19" ht="19.5" customHeight="1">
      <c r="B107" s="29">
        <f t="shared" si="3"/>
        <v>97</v>
      </c>
      <c r="C107" s="30" t="s">
        <v>206</v>
      </c>
      <c r="D107" s="30" t="s">
        <v>225</v>
      </c>
      <c r="E107" s="492" t="s">
        <v>741</v>
      </c>
      <c r="F107" s="284" t="s">
        <v>1218</v>
      </c>
      <c r="G107" s="284" t="str">
        <f>IFERROR(VLOOKUP(E107,Assign!$C$2:$J$142,8,FALSE),)</f>
        <v>문선영</v>
      </c>
      <c r="H107" s="372" t="s">
        <v>3868</v>
      </c>
      <c r="I107" s="445" t="s">
        <v>3859</v>
      </c>
      <c r="J107" s="446"/>
      <c r="K107" s="386">
        <v>212474941</v>
      </c>
      <c r="L107" s="387"/>
      <c r="M107" s="388">
        <f t="shared" si="4"/>
        <v>212474941</v>
      </c>
      <c r="N107" s="388"/>
      <c r="O107" s="388">
        <f t="shared" si="5"/>
        <v>212474941</v>
      </c>
      <c r="P107" s="390"/>
      <c r="Q107" s="386">
        <v>242000000</v>
      </c>
      <c r="R107" s="394">
        <v>0</v>
      </c>
      <c r="S107" s="447"/>
    </row>
    <row r="108" spans="2:19" ht="19.5" hidden="1" customHeight="1">
      <c r="B108" s="29">
        <f t="shared" si="3"/>
        <v>98</v>
      </c>
      <c r="C108" s="30" t="s">
        <v>206</v>
      </c>
      <c r="D108" s="30" t="s">
        <v>225</v>
      </c>
      <c r="E108" s="163" t="s">
        <v>742</v>
      </c>
      <c r="F108" s="284" t="s">
        <v>1225</v>
      </c>
      <c r="G108" s="284">
        <f>IFERROR(VLOOKUP(E108,Assign!$C$2:$J$142,8,FALSE),)</f>
        <v>0</v>
      </c>
      <c r="H108" s="372" t="s">
        <v>3868</v>
      </c>
      <c r="I108" s="445" t="s">
        <v>3859</v>
      </c>
      <c r="J108" s="446"/>
      <c r="K108" s="386">
        <v>211523520</v>
      </c>
      <c r="L108" s="387"/>
      <c r="M108" s="388">
        <f t="shared" si="4"/>
        <v>211523520</v>
      </c>
      <c r="N108" s="388"/>
      <c r="O108" s="388">
        <f t="shared" si="5"/>
        <v>211523520</v>
      </c>
      <c r="P108" s="390"/>
      <c r="Q108" s="386">
        <v>261600000</v>
      </c>
      <c r="R108" s="394">
        <v>0</v>
      </c>
      <c r="S108" s="447"/>
    </row>
    <row r="109" spans="2:19" ht="19.5" customHeight="1">
      <c r="B109" s="29">
        <f t="shared" si="3"/>
        <v>99</v>
      </c>
      <c r="C109" s="30" t="s">
        <v>206</v>
      </c>
      <c r="D109" s="30" t="s">
        <v>225</v>
      </c>
      <c r="E109" s="492" t="s">
        <v>743</v>
      </c>
      <c r="F109" s="284" t="s">
        <v>1229</v>
      </c>
      <c r="G109" s="284" t="str">
        <f>IFERROR(VLOOKUP(E109,Assign!$C$2:$J$142,8,FALSE),)</f>
        <v>문선영</v>
      </c>
      <c r="H109" s="372" t="s">
        <v>3869</v>
      </c>
      <c r="I109" s="445" t="s">
        <v>3859</v>
      </c>
      <c r="J109" s="446"/>
      <c r="K109" s="386">
        <v>207952816</v>
      </c>
      <c r="L109" s="387"/>
      <c r="M109" s="388">
        <f t="shared" si="4"/>
        <v>207952816</v>
      </c>
      <c r="N109" s="388"/>
      <c r="O109" s="388">
        <f t="shared" si="5"/>
        <v>207952816</v>
      </c>
      <c r="P109" s="390"/>
      <c r="Q109" s="386">
        <v>242000000</v>
      </c>
      <c r="R109" s="394">
        <v>0</v>
      </c>
      <c r="S109" s="447"/>
    </row>
    <row r="110" spans="2:19" ht="19.5" hidden="1" customHeight="1">
      <c r="B110" s="29">
        <f t="shared" si="3"/>
        <v>100</v>
      </c>
      <c r="C110" s="30" t="s">
        <v>206</v>
      </c>
      <c r="D110" s="30" t="s">
        <v>225</v>
      </c>
      <c r="E110" s="163" t="s">
        <v>744</v>
      </c>
      <c r="F110" s="284" t="s">
        <v>1225</v>
      </c>
      <c r="G110" s="284">
        <f>IFERROR(VLOOKUP(E110,Assign!$C$2:$J$142,8,FALSE),)</f>
        <v>0</v>
      </c>
      <c r="H110" s="372" t="s">
        <v>3869</v>
      </c>
      <c r="I110" s="445" t="s">
        <v>3859</v>
      </c>
      <c r="J110" s="446"/>
      <c r="K110" s="386">
        <v>204814575</v>
      </c>
      <c r="L110" s="387"/>
      <c r="M110" s="388">
        <f t="shared" si="4"/>
        <v>204814575</v>
      </c>
      <c r="N110" s="388"/>
      <c r="O110" s="388">
        <f t="shared" si="5"/>
        <v>204814575</v>
      </c>
      <c r="P110" s="390"/>
      <c r="Q110" s="386">
        <v>285600000</v>
      </c>
      <c r="R110" s="394">
        <v>0</v>
      </c>
      <c r="S110" s="447"/>
    </row>
    <row r="111" spans="2:19" ht="19.5" hidden="1" customHeight="1">
      <c r="B111" s="29">
        <f t="shared" si="3"/>
        <v>101</v>
      </c>
      <c r="C111" s="30" t="s">
        <v>206</v>
      </c>
      <c r="D111" s="30" t="s">
        <v>225</v>
      </c>
      <c r="E111" s="163" t="s">
        <v>745</v>
      </c>
      <c r="F111" s="284" t="s">
        <v>1225</v>
      </c>
      <c r="G111" s="284">
        <f>IFERROR(VLOOKUP(E111,Assign!$C$2:$J$142,8,FALSE),)</f>
        <v>0</v>
      </c>
      <c r="H111" s="372" t="s">
        <v>3869</v>
      </c>
      <c r="I111" s="445" t="s">
        <v>3859</v>
      </c>
      <c r="J111" s="446"/>
      <c r="K111" s="386">
        <v>203000000</v>
      </c>
      <c r="L111" s="387"/>
      <c r="M111" s="388">
        <f t="shared" si="4"/>
        <v>203000000</v>
      </c>
      <c r="N111" s="388"/>
      <c r="O111" s="388">
        <f t="shared" si="5"/>
        <v>203000000</v>
      </c>
      <c r="P111" s="390"/>
      <c r="Q111" s="386">
        <v>243600000</v>
      </c>
      <c r="R111" s="394">
        <v>0</v>
      </c>
      <c r="S111" s="447"/>
    </row>
    <row r="112" spans="2:19" ht="19.5" hidden="1" customHeight="1">
      <c r="B112" s="29">
        <f t="shared" si="3"/>
        <v>102</v>
      </c>
      <c r="C112" s="30" t="s">
        <v>206</v>
      </c>
      <c r="D112" s="30" t="s">
        <v>225</v>
      </c>
      <c r="E112" s="163" t="s">
        <v>746</v>
      </c>
      <c r="F112" s="284" t="s">
        <v>1247</v>
      </c>
      <c r="G112" s="284">
        <f>IFERROR(VLOOKUP(E112,Assign!$C$2:$J$142,8,FALSE),)</f>
        <v>0</v>
      </c>
      <c r="H112" s="372" t="s">
        <v>3868</v>
      </c>
      <c r="I112" s="445" t="s">
        <v>3859</v>
      </c>
      <c r="J112" s="446"/>
      <c r="K112" s="386">
        <v>200000000</v>
      </c>
      <c r="L112" s="387"/>
      <c r="M112" s="388">
        <f t="shared" si="4"/>
        <v>200000000</v>
      </c>
      <c r="N112" s="388"/>
      <c r="O112" s="388">
        <f t="shared" si="5"/>
        <v>200000000</v>
      </c>
      <c r="P112" s="390"/>
      <c r="Q112" s="386">
        <v>384000000</v>
      </c>
      <c r="R112" s="394">
        <v>0</v>
      </c>
      <c r="S112" s="447"/>
    </row>
    <row r="113" spans="2:19" ht="19.5" hidden="1" customHeight="1">
      <c r="B113" s="29">
        <f t="shared" si="3"/>
        <v>103</v>
      </c>
      <c r="C113" s="30" t="s">
        <v>206</v>
      </c>
      <c r="D113" s="30" t="s">
        <v>225</v>
      </c>
      <c r="E113" s="163" t="s">
        <v>747</v>
      </c>
      <c r="F113" s="284" t="s">
        <v>1217</v>
      </c>
      <c r="G113" s="284">
        <f>IFERROR(VLOOKUP(E113,Assign!$C$2:$J$142,8,FALSE),)</f>
        <v>0</v>
      </c>
      <c r="H113" s="372" t="s">
        <v>3869</v>
      </c>
      <c r="I113" s="445" t="s">
        <v>3859</v>
      </c>
      <c r="J113" s="446"/>
      <c r="K113" s="386">
        <v>198012168</v>
      </c>
      <c r="L113" s="387"/>
      <c r="M113" s="388">
        <f t="shared" si="4"/>
        <v>198012168</v>
      </c>
      <c r="N113" s="388"/>
      <c r="O113" s="388">
        <f t="shared" si="5"/>
        <v>198012168</v>
      </c>
      <c r="P113" s="390"/>
      <c r="Q113" s="386">
        <v>231000000</v>
      </c>
      <c r="R113" s="394">
        <v>0</v>
      </c>
      <c r="S113" s="447"/>
    </row>
    <row r="114" spans="2:19" ht="19.5" hidden="1" customHeight="1">
      <c r="B114" s="29">
        <f t="shared" si="3"/>
        <v>104</v>
      </c>
      <c r="C114" s="30" t="s">
        <v>206</v>
      </c>
      <c r="D114" s="30" t="s">
        <v>225</v>
      </c>
      <c r="E114" s="163" t="s">
        <v>748</v>
      </c>
      <c r="F114" s="284" t="s">
        <v>1226</v>
      </c>
      <c r="G114" s="284">
        <f>IFERROR(VLOOKUP(E114,Assign!$C$2:$J$142,8,FALSE),)</f>
        <v>0</v>
      </c>
      <c r="H114" s="372" t="s">
        <v>3868</v>
      </c>
      <c r="I114" s="445" t="s">
        <v>3859</v>
      </c>
      <c r="J114" s="446"/>
      <c r="K114" s="386">
        <v>196428375</v>
      </c>
      <c r="L114" s="387"/>
      <c r="M114" s="388">
        <f t="shared" si="4"/>
        <v>196428375</v>
      </c>
      <c r="N114" s="388"/>
      <c r="O114" s="388">
        <f t="shared" si="5"/>
        <v>196428375</v>
      </c>
      <c r="P114" s="390"/>
      <c r="Q114" s="386">
        <v>222500000</v>
      </c>
      <c r="R114" s="394">
        <v>0</v>
      </c>
      <c r="S114" s="447"/>
    </row>
    <row r="115" spans="2:19" ht="19.5" hidden="1" customHeight="1">
      <c r="B115" s="29">
        <f t="shared" si="3"/>
        <v>105</v>
      </c>
      <c r="C115" s="30" t="s">
        <v>206</v>
      </c>
      <c r="D115" s="30" t="s">
        <v>225</v>
      </c>
      <c r="E115" s="163" t="s">
        <v>749</v>
      </c>
      <c r="F115" s="284" t="s">
        <v>1225</v>
      </c>
      <c r="G115" s="284">
        <f>IFERROR(VLOOKUP(E115,Assign!$C$2:$J$142,8,FALSE),)</f>
        <v>0</v>
      </c>
      <c r="H115" s="372" t="s">
        <v>3868</v>
      </c>
      <c r="I115" s="445" t="s">
        <v>3859</v>
      </c>
      <c r="J115" s="446"/>
      <c r="K115" s="386">
        <v>194000000</v>
      </c>
      <c r="L115" s="387"/>
      <c r="M115" s="388">
        <f t="shared" si="4"/>
        <v>194000000</v>
      </c>
      <c r="N115" s="388"/>
      <c r="O115" s="388">
        <f t="shared" si="5"/>
        <v>194000000</v>
      </c>
      <c r="P115" s="390"/>
      <c r="Q115" s="386">
        <v>240000000</v>
      </c>
      <c r="R115" s="394">
        <v>654500000</v>
      </c>
      <c r="S115" s="447"/>
    </row>
    <row r="116" spans="2:19" ht="19.5" customHeight="1">
      <c r="B116" s="29">
        <f t="shared" si="3"/>
        <v>106</v>
      </c>
      <c r="C116" s="30" t="s">
        <v>206</v>
      </c>
      <c r="D116" s="30" t="s">
        <v>225</v>
      </c>
      <c r="E116" s="492" t="s">
        <v>750</v>
      </c>
      <c r="F116" s="284" t="s">
        <v>3729</v>
      </c>
      <c r="G116" s="284" t="str">
        <f>IFERROR(VLOOKUP(E116,Assign!$C$2:$J$142,8,FALSE),)</f>
        <v>문선영</v>
      </c>
      <c r="H116" s="372" t="s">
        <v>3869</v>
      </c>
      <c r="I116" s="445" t="s">
        <v>3859</v>
      </c>
      <c r="J116" s="446"/>
      <c r="K116" s="386">
        <v>193050000</v>
      </c>
      <c r="L116" s="387"/>
      <c r="M116" s="388">
        <f t="shared" si="4"/>
        <v>193050000</v>
      </c>
      <c r="N116" s="388"/>
      <c r="O116" s="388">
        <f t="shared" si="5"/>
        <v>193050000</v>
      </c>
      <c r="P116" s="390"/>
      <c r="Q116" s="386">
        <v>217800000</v>
      </c>
      <c r="R116" s="394">
        <v>0</v>
      </c>
      <c r="S116" s="447"/>
    </row>
    <row r="117" spans="2:19" ht="19.5" hidden="1" customHeight="1">
      <c r="B117" s="29">
        <f t="shared" si="3"/>
        <v>107</v>
      </c>
      <c r="C117" s="30" t="s">
        <v>206</v>
      </c>
      <c r="D117" s="30" t="s">
        <v>225</v>
      </c>
      <c r="E117" s="163" t="s">
        <v>751</v>
      </c>
      <c r="F117" s="284" t="s">
        <v>1231</v>
      </c>
      <c r="G117" s="284">
        <f>IFERROR(VLOOKUP(E117,Assign!$C$2:$J$142,8,FALSE),)</f>
        <v>0</v>
      </c>
      <c r="H117" s="372" t="s">
        <v>3869</v>
      </c>
      <c r="I117" s="445" t="s">
        <v>3859</v>
      </c>
      <c r="J117" s="446"/>
      <c r="K117" s="386">
        <v>190633460</v>
      </c>
      <c r="L117" s="387"/>
      <c r="M117" s="388">
        <f t="shared" si="4"/>
        <v>190633460</v>
      </c>
      <c r="N117" s="388"/>
      <c r="O117" s="388">
        <f t="shared" si="5"/>
        <v>190633460</v>
      </c>
      <c r="P117" s="390"/>
      <c r="Q117" s="386">
        <v>273600000</v>
      </c>
      <c r="R117" s="394">
        <v>0</v>
      </c>
      <c r="S117" s="447"/>
    </row>
    <row r="118" spans="2:19" ht="19.5" hidden="1" customHeight="1">
      <c r="B118" s="29">
        <f t="shared" si="3"/>
        <v>108</v>
      </c>
      <c r="C118" s="30" t="s">
        <v>206</v>
      </c>
      <c r="D118" s="30" t="s">
        <v>225</v>
      </c>
      <c r="E118" s="163" t="s">
        <v>752</v>
      </c>
      <c r="F118" s="284" t="s">
        <v>1217</v>
      </c>
      <c r="G118" s="284">
        <f>IFERROR(VLOOKUP(E118,Assign!$C$2:$J$142,8,FALSE),)</f>
        <v>0</v>
      </c>
      <c r="H118" s="372" t="s">
        <v>3868</v>
      </c>
      <c r="I118" s="445" t="s">
        <v>3859</v>
      </c>
      <c r="J118" s="446"/>
      <c r="K118" s="386">
        <v>190671512</v>
      </c>
      <c r="L118" s="387"/>
      <c r="M118" s="388">
        <f t="shared" si="4"/>
        <v>190671512</v>
      </c>
      <c r="N118" s="388"/>
      <c r="O118" s="388">
        <f t="shared" si="5"/>
        <v>190671512</v>
      </c>
      <c r="P118" s="390"/>
      <c r="Q118" s="386">
        <v>325000000</v>
      </c>
      <c r="R118" s="394">
        <v>0</v>
      </c>
      <c r="S118" s="447"/>
    </row>
    <row r="119" spans="2:19" ht="19.5" customHeight="1">
      <c r="B119" s="29">
        <f t="shared" si="3"/>
        <v>109</v>
      </c>
      <c r="C119" s="30" t="s">
        <v>206</v>
      </c>
      <c r="D119" s="30" t="s">
        <v>225</v>
      </c>
      <c r="E119" s="492" t="s">
        <v>753</v>
      </c>
      <c r="F119" s="284" t="s">
        <v>1221</v>
      </c>
      <c r="G119" s="284" t="str">
        <f>IFERROR(VLOOKUP(E119,Assign!$C$2:$J$142,8,FALSE),)</f>
        <v>문선영</v>
      </c>
      <c r="H119" s="372" t="s">
        <v>3868</v>
      </c>
      <c r="I119" s="445" t="s">
        <v>3859</v>
      </c>
      <c r="J119" s="446"/>
      <c r="K119" s="386">
        <v>186860870</v>
      </c>
      <c r="L119" s="387"/>
      <c r="M119" s="388">
        <f t="shared" si="4"/>
        <v>186860870</v>
      </c>
      <c r="N119" s="388"/>
      <c r="O119" s="388">
        <f t="shared" si="5"/>
        <v>186860870</v>
      </c>
      <c r="P119" s="390"/>
      <c r="Q119" s="386">
        <v>260400000</v>
      </c>
      <c r="R119" s="394">
        <v>0</v>
      </c>
      <c r="S119" s="447"/>
    </row>
    <row r="120" spans="2:19" ht="19.5" hidden="1" customHeight="1">
      <c r="B120" s="29">
        <f t="shared" si="3"/>
        <v>110</v>
      </c>
      <c r="C120" s="30" t="s">
        <v>206</v>
      </c>
      <c r="D120" s="30" t="s">
        <v>225</v>
      </c>
      <c r="E120" s="163" t="s">
        <v>754</v>
      </c>
      <c r="F120" s="284" t="s">
        <v>1229</v>
      </c>
      <c r="G120" s="284">
        <f>IFERROR(VLOOKUP(E120,Assign!$C$2:$J$142,8,FALSE),)</f>
        <v>0</v>
      </c>
      <c r="H120" s="372" t="s">
        <v>3869</v>
      </c>
      <c r="I120" s="445" t="s">
        <v>3859</v>
      </c>
      <c r="J120" s="446"/>
      <c r="K120" s="386">
        <v>186187778</v>
      </c>
      <c r="L120" s="387"/>
      <c r="M120" s="388">
        <f t="shared" si="4"/>
        <v>186187778</v>
      </c>
      <c r="N120" s="388"/>
      <c r="O120" s="388">
        <f t="shared" si="5"/>
        <v>186187778</v>
      </c>
      <c r="P120" s="390"/>
      <c r="Q120" s="386">
        <v>235200000</v>
      </c>
      <c r="R120" s="394">
        <v>0</v>
      </c>
      <c r="S120" s="447"/>
    </row>
    <row r="121" spans="2:19" ht="19.5" customHeight="1">
      <c r="B121" s="29">
        <f t="shared" si="3"/>
        <v>111</v>
      </c>
      <c r="C121" s="30" t="s">
        <v>206</v>
      </c>
      <c r="D121" s="30" t="s">
        <v>225</v>
      </c>
      <c r="E121" s="492" t="s">
        <v>755</v>
      </c>
      <c r="F121" s="284" t="s">
        <v>1226</v>
      </c>
      <c r="G121" s="284" t="str">
        <f>IFERROR(VLOOKUP(E121,Assign!$C$2:$J$142,8,FALSE),)</f>
        <v>문선영</v>
      </c>
      <c r="H121" s="372" t="s">
        <v>3869</v>
      </c>
      <c r="I121" s="445" t="s">
        <v>3859</v>
      </c>
      <c r="J121" s="446"/>
      <c r="K121" s="386">
        <v>183035625</v>
      </c>
      <c r="L121" s="387"/>
      <c r="M121" s="388">
        <f t="shared" si="4"/>
        <v>183035625</v>
      </c>
      <c r="N121" s="388"/>
      <c r="O121" s="388">
        <f t="shared" si="5"/>
        <v>183035625</v>
      </c>
      <c r="P121" s="390"/>
      <c r="Q121" s="386">
        <v>223500000</v>
      </c>
      <c r="R121" s="394">
        <v>0</v>
      </c>
      <c r="S121" s="447"/>
    </row>
    <row r="122" spans="2:19" ht="19.5" customHeight="1">
      <c r="B122" s="29">
        <f t="shared" si="3"/>
        <v>112</v>
      </c>
      <c r="C122" s="30" t="s">
        <v>206</v>
      </c>
      <c r="D122" s="30" t="s">
        <v>225</v>
      </c>
      <c r="E122" s="492" t="s">
        <v>756</v>
      </c>
      <c r="F122" s="284" t="s">
        <v>1229</v>
      </c>
      <c r="G122" s="284" t="str">
        <f>IFERROR(VLOOKUP(E122,Assign!$C$2:$J$142,8,FALSE),)</f>
        <v>문선영</v>
      </c>
      <c r="H122" s="372" t="s">
        <v>3868</v>
      </c>
      <c r="I122" s="445" t="s">
        <v>3859</v>
      </c>
      <c r="J122" s="446"/>
      <c r="K122" s="386">
        <v>182278074</v>
      </c>
      <c r="L122" s="387"/>
      <c r="M122" s="388">
        <f t="shared" si="4"/>
        <v>182278074</v>
      </c>
      <c r="N122" s="388"/>
      <c r="O122" s="388">
        <f t="shared" si="5"/>
        <v>182278074</v>
      </c>
      <c r="P122" s="390"/>
      <c r="Q122" s="386">
        <v>252000000</v>
      </c>
      <c r="R122" s="394">
        <v>0</v>
      </c>
      <c r="S122" s="447"/>
    </row>
    <row r="123" spans="2:19" ht="19.5" hidden="1" customHeight="1">
      <c r="B123" s="29">
        <f t="shared" si="3"/>
        <v>113</v>
      </c>
      <c r="C123" s="30" t="s">
        <v>206</v>
      </c>
      <c r="D123" s="30" t="s">
        <v>225</v>
      </c>
      <c r="E123" s="163" t="s">
        <v>757</v>
      </c>
      <c r="F123" s="284" t="s">
        <v>1317</v>
      </c>
      <c r="G123" s="284">
        <f>IFERROR(VLOOKUP(E123,Assign!$C$2:$J$142,8,FALSE),)</f>
        <v>0</v>
      </c>
      <c r="H123" s="372" t="s">
        <v>3870</v>
      </c>
      <c r="I123" s="445" t="s">
        <v>3859</v>
      </c>
      <c r="J123" s="446"/>
      <c r="K123" s="386">
        <v>180000000</v>
      </c>
      <c r="L123" s="387"/>
      <c r="M123" s="388">
        <f t="shared" si="4"/>
        <v>180000000</v>
      </c>
      <c r="N123" s="388"/>
      <c r="O123" s="388">
        <f t="shared" si="5"/>
        <v>180000000</v>
      </c>
      <c r="P123" s="390"/>
      <c r="Q123" s="386">
        <v>216000000</v>
      </c>
      <c r="R123" s="394">
        <v>420000000</v>
      </c>
      <c r="S123" s="447"/>
    </row>
    <row r="124" spans="2:19" ht="19.5" customHeight="1">
      <c r="B124" s="29">
        <f t="shared" si="3"/>
        <v>114</v>
      </c>
      <c r="C124" s="30" t="s">
        <v>206</v>
      </c>
      <c r="D124" s="30" t="s">
        <v>225</v>
      </c>
      <c r="E124" s="492" t="s">
        <v>758</v>
      </c>
      <c r="F124" s="284" t="s">
        <v>1234</v>
      </c>
      <c r="G124" s="284" t="str">
        <f>IFERROR(VLOOKUP(E124,Assign!$C$2:$J$142,8,FALSE),)</f>
        <v>문선영</v>
      </c>
      <c r="H124" s="372" t="s">
        <v>3869</v>
      </c>
      <c r="I124" s="445" t="s">
        <v>3859</v>
      </c>
      <c r="J124" s="446"/>
      <c r="K124" s="386">
        <v>178621051</v>
      </c>
      <c r="L124" s="387"/>
      <c r="M124" s="388">
        <f t="shared" si="4"/>
        <v>178621051</v>
      </c>
      <c r="N124" s="388"/>
      <c r="O124" s="388">
        <f t="shared" si="5"/>
        <v>178621051</v>
      </c>
      <c r="P124" s="390"/>
      <c r="Q124" s="386">
        <v>252000000</v>
      </c>
      <c r="R124" s="394">
        <v>0</v>
      </c>
      <c r="S124" s="447"/>
    </row>
    <row r="125" spans="2:19" ht="19.5" hidden="1" customHeight="1">
      <c r="B125" s="29">
        <f t="shared" si="3"/>
        <v>115</v>
      </c>
      <c r="C125" s="30" t="s">
        <v>206</v>
      </c>
      <c r="D125" s="30" t="s">
        <v>225</v>
      </c>
      <c r="E125" s="163" t="s">
        <v>759</v>
      </c>
      <c r="F125" s="284" t="s">
        <v>1229</v>
      </c>
      <c r="G125" s="284">
        <f>IFERROR(VLOOKUP(E125,Assign!$C$2:$J$142,8,FALSE),)</f>
        <v>0</v>
      </c>
      <c r="H125" s="372" t="s">
        <v>3868</v>
      </c>
      <c r="I125" s="445" t="s">
        <v>3859</v>
      </c>
      <c r="J125" s="446"/>
      <c r="K125" s="386">
        <v>176000000</v>
      </c>
      <c r="L125" s="387"/>
      <c r="M125" s="388">
        <f t="shared" si="4"/>
        <v>176000000</v>
      </c>
      <c r="N125" s="388"/>
      <c r="O125" s="388">
        <f t="shared" si="5"/>
        <v>176000000</v>
      </c>
      <c r="P125" s="390"/>
      <c r="Q125" s="386">
        <v>218400000</v>
      </c>
      <c r="R125" s="394">
        <v>0</v>
      </c>
      <c r="S125" s="447"/>
    </row>
    <row r="126" spans="2:19" ht="19.5" customHeight="1">
      <c r="B126" s="29">
        <f t="shared" si="3"/>
        <v>116</v>
      </c>
      <c r="C126" s="30" t="s">
        <v>206</v>
      </c>
      <c r="D126" s="30" t="s">
        <v>225</v>
      </c>
      <c r="E126" s="492" t="s">
        <v>760</v>
      </c>
      <c r="F126" s="284" t="s">
        <v>1225</v>
      </c>
      <c r="G126" s="284" t="str">
        <f>IFERROR(VLOOKUP(E126,Assign!$C$2:$J$142,8,FALSE),)</f>
        <v>문선영</v>
      </c>
      <c r="H126" s="372" t="s">
        <v>3869</v>
      </c>
      <c r="I126" s="445" t="s">
        <v>3859</v>
      </c>
      <c r="J126" s="446"/>
      <c r="K126" s="386">
        <v>173714680</v>
      </c>
      <c r="L126" s="387"/>
      <c r="M126" s="388">
        <f t="shared" si="4"/>
        <v>173714680</v>
      </c>
      <c r="N126" s="388"/>
      <c r="O126" s="388">
        <f t="shared" si="5"/>
        <v>173714680</v>
      </c>
      <c r="P126" s="390"/>
      <c r="Q126" s="386">
        <v>255600000</v>
      </c>
      <c r="R126" s="394">
        <v>0</v>
      </c>
      <c r="S126" s="447"/>
    </row>
    <row r="127" spans="2:19" ht="19.5" customHeight="1">
      <c r="B127" s="29">
        <f t="shared" si="3"/>
        <v>117</v>
      </c>
      <c r="C127" s="30" t="s">
        <v>206</v>
      </c>
      <c r="D127" s="30" t="s">
        <v>225</v>
      </c>
      <c r="E127" s="492" t="s">
        <v>761</v>
      </c>
      <c r="F127" s="284" t="s">
        <v>1239</v>
      </c>
      <c r="G127" s="284" t="str">
        <f>IFERROR(VLOOKUP(E127,Assign!$C$2:$J$142,8,FALSE),)</f>
        <v>문선영</v>
      </c>
      <c r="H127" s="372" t="s">
        <v>3868</v>
      </c>
      <c r="I127" s="445" t="s">
        <v>3859</v>
      </c>
      <c r="J127" s="446"/>
      <c r="K127" s="386">
        <v>172396800</v>
      </c>
      <c r="L127" s="387"/>
      <c r="M127" s="388">
        <f t="shared" si="4"/>
        <v>172396800</v>
      </c>
      <c r="N127" s="388"/>
      <c r="O127" s="388">
        <f t="shared" si="5"/>
        <v>172396800</v>
      </c>
      <c r="P127" s="390"/>
      <c r="Q127" s="386">
        <v>336600000</v>
      </c>
      <c r="R127" s="394">
        <v>0</v>
      </c>
      <c r="S127" s="447"/>
    </row>
    <row r="128" spans="2:19" ht="19.5" hidden="1" customHeight="1">
      <c r="B128" s="29">
        <f t="shared" si="3"/>
        <v>118</v>
      </c>
      <c r="C128" s="30" t="s">
        <v>206</v>
      </c>
      <c r="D128" s="30" t="s">
        <v>225</v>
      </c>
      <c r="E128" s="163" t="s">
        <v>762</v>
      </c>
      <c r="F128" s="284" t="s">
        <v>1235</v>
      </c>
      <c r="G128" s="284">
        <f>IFERROR(VLOOKUP(E128,Assign!$C$2:$J$142,8,FALSE),)</f>
        <v>0</v>
      </c>
      <c r="H128" s="372" t="s">
        <v>3869</v>
      </c>
      <c r="I128" s="445" t="s">
        <v>3859</v>
      </c>
      <c r="J128" s="446"/>
      <c r="K128" s="386">
        <v>169552820</v>
      </c>
      <c r="L128" s="387"/>
      <c r="M128" s="388">
        <f t="shared" si="4"/>
        <v>169552820</v>
      </c>
      <c r="N128" s="388"/>
      <c r="O128" s="388">
        <f t="shared" si="5"/>
        <v>169552820</v>
      </c>
      <c r="P128" s="390"/>
      <c r="Q128" s="386">
        <v>188100000</v>
      </c>
      <c r="R128" s="394">
        <v>0</v>
      </c>
      <c r="S128" s="447"/>
    </row>
    <row r="129" spans="2:19" ht="19.5" hidden="1" customHeight="1">
      <c r="B129" s="29">
        <f t="shared" si="3"/>
        <v>119</v>
      </c>
      <c r="C129" s="30" t="s">
        <v>206</v>
      </c>
      <c r="D129" s="30" t="s">
        <v>225</v>
      </c>
      <c r="E129" s="163" t="s">
        <v>763</v>
      </c>
      <c r="F129" s="284" t="s">
        <v>1221</v>
      </c>
      <c r="G129" s="284">
        <f>IFERROR(VLOOKUP(E129,Assign!$C$2:$J$142,8,FALSE),)</f>
        <v>0</v>
      </c>
      <c r="H129" s="372" t="s">
        <v>3869</v>
      </c>
      <c r="I129" s="445" t="s">
        <v>3859</v>
      </c>
      <c r="J129" s="446"/>
      <c r="K129" s="386">
        <v>168446658</v>
      </c>
      <c r="L129" s="387"/>
      <c r="M129" s="388">
        <f t="shared" si="4"/>
        <v>168446658</v>
      </c>
      <c r="N129" s="388"/>
      <c r="O129" s="388">
        <f t="shared" si="5"/>
        <v>168446658</v>
      </c>
      <c r="P129" s="390"/>
      <c r="Q129" s="386">
        <v>230400000</v>
      </c>
      <c r="R129" s="394">
        <v>0</v>
      </c>
      <c r="S129" s="447"/>
    </row>
    <row r="130" spans="2:19" ht="19.5" hidden="1" customHeight="1">
      <c r="B130" s="29">
        <f t="shared" si="3"/>
        <v>120</v>
      </c>
      <c r="C130" s="30" t="s">
        <v>206</v>
      </c>
      <c r="D130" s="30" t="s">
        <v>225</v>
      </c>
      <c r="E130" s="163" t="s">
        <v>764</v>
      </c>
      <c r="F130" s="284" t="s">
        <v>1217</v>
      </c>
      <c r="G130" s="284">
        <f>IFERROR(VLOOKUP(E130,Assign!$C$2:$J$142,8,FALSE),)</f>
        <v>0</v>
      </c>
      <c r="H130" s="372" t="s">
        <v>3869</v>
      </c>
      <c r="I130" s="445" t="s">
        <v>3859</v>
      </c>
      <c r="J130" s="446"/>
      <c r="K130" s="386">
        <v>167278846</v>
      </c>
      <c r="L130" s="387"/>
      <c r="M130" s="388">
        <f t="shared" si="4"/>
        <v>167278846</v>
      </c>
      <c r="N130" s="388"/>
      <c r="O130" s="388">
        <f t="shared" si="5"/>
        <v>167278846</v>
      </c>
      <c r="P130" s="390"/>
      <c r="Q130" s="386">
        <v>226800000</v>
      </c>
      <c r="R130" s="394">
        <v>0</v>
      </c>
      <c r="S130" s="447"/>
    </row>
    <row r="131" spans="2:19" ht="19.5" customHeight="1">
      <c r="B131" s="29">
        <f t="shared" si="3"/>
        <v>121</v>
      </c>
      <c r="C131" s="30" t="s">
        <v>206</v>
      </c>
      <c r="D131" s="30" t="s">
        <v>225</v>
      </c>
      <c r="E131" s="492" t="s">
        <v>765</v>
      </c>
      <c r="F131" s="284" t="s">
        <v>1223</v>
      </c>
      <c r="G131" s="284" t="str">
        <f>IFERROR(VLOOKUP(E131,Assign!$C$2:$J$142,8,FALSE),)</f>
        <v>문선영</v>
      </c>
      <c r="H131" s="372" t="s">
        <v>3869</v>
      </c>
      <c r="I131" s="445" t="s">
        <v>3859</v>
      </c>
      <c r="J131" s="446"/>
      <c r="K131" s="386">
        <v>165224788</v>
      </c>
      <c r="L131" s="387"/>
      <c r="M131" s="388">
        <f t="shared" si="4"/>
        <v>165224788</v>
      </c>
      <c r="N131" s="388"/>
      <c r="O131" s="388">
        <f t="shared" si="5"/>
        <v>165224788</v>
      </c>
      <c r="P131" s="390"/>
      <c r="Q131" s="386">
        <v>187000000</v>
      </c>
      <c r="R131" s="394">
        <v>0</v>
      </c>
      <c r="S131" s="447"/>
    </row>
    <row r="132" spans="2:19" ht="19.5" customHeight="1">
      <c r="B132" s="29">
        <f t="shared" si="3"/>
        <v>122</v>
      </c>
      <c r="C132" s="30" t="s">
        <v>206</v>
      </c>
      <c r="D132" s="30" t="s">
        <v>225</v>
      </c>
      <c r="E132" s="492" t="s">
        <v>766</v>
      </c>
      <c r="F132" s="284" t="s">
        <v>1229</v>
      </c>
      <c r="G132" s="284" t="str">
        <f>IFERROR(VLOOKUP(E132,Assign!$C$2:$J$142,8,FALSE),)</f>
        <v>문선영</v>
      </c>
      <c r="H132" s="372" t="s">
        <v>3869</v>
      </c>
      <c r="I132" s="445" t="s">
        <v>3859</v>
      </c>
      <c r="J132" s="446"/>
      <c r="K132" s="386">
        <v>161966466</v>
      </c>
      <c r="L132" s="387"/>
      <c r="M132" s="388">
        <f t="shared" si="4"/>
        <v>161966466</v>
      </c>
      <c r="N132" s="388"/>
      <c r="O132" s="388">
        <f t="shared" si="5"/>
        <v>161966466</v>
      </c>
      <c r="P132" s="390"/>
      <c r="Q132" s="386">
        <v>271200000</v>
      </c>
      <c r="R132" s="394">
        <v>0</v>
      </c>
      <c r="S132" s="447"/>
    </row>
    <row r="133" spans="2:19" ht="19.5" customHeight="1">
      <c r="B133" s="29">
        <f t="shared" si="3"/>
        <v>123</v>
      </c>
      <c r="C133" s="30" t="s">
        <v>206</v>
      </c>
      <c r="D133" s="30" t="s">
        <v>225</v>
      </c>
      <c r="E133" s="492" t="s">
        <v>767</v>
      </c>
      <c r="F133" s="284" t="s">
        <v>1225</v>
      </c>
      <c r="G133" s="284" t="str">
        <f>IFERROR(VLOOKUP(E133,Assign!$C$2:$J$142,8,FALSE),)</f>
        <v>문선영</v>
      </c>
      <c r="H133" s="372" t="s">
        <v>3869</v>
      </c>
      <c r="I133" s="445" t="s">
        <v>3859</v>
      </c>
      <c r="J133" s="446"/>
      <c r="K133" s="386">
        <v>160083258</v>
      </c>
      <c r="L133" s="387"/>
      <c r="M133" s="388">
        <f t="shared" si="4"/>
        <v>160083258</v>
      </c>
      <c r="N133" s="388"/>
      <c r="O133" s="388">
        <f t="shared" si="5"/>
        <v>160083258</v>
      </c>
      <c r="P133" s="390"/>
      <c r="Q133" s="386">
        <v>187000000</v>
      </c>
      <c r="R133" s="394">
        <v>0</v>
      </c>
      <c r="S133" s="447"/>
    </row>
    <row r="134" spans="2:19" ht="19.5" hidden="1" customHeight="1">
      <c r="B134" s="29">
        <f t="shared" si="3"/>
        <v>124</v>
      </c>
      <c r="C134" s="30" t="s">
        <v>206</v>
      </c>
      <c r="D134" s="30" t="s">
        <v>225</v>
      </c>
      <c r="E134" s="163" t="s">
        <v>768</v>
      </c>
      <c r="F134" s="284" t="s">
        <v>1226</v>
      </c>
      <c r="G134" s="284">
        <f>IFERROR(VLOOKUP(E134,Assign!$C$2:$J$142,8,FALSE),)</f>
        <v>0</v>
      </c>
      <c r="H134" s="372" t="s">
        <v>3868</v>
      </c>
      <c r="I134" s="445" t="s">
        <v>3859</v>
      </c>
      <c r="J134" s="446"/>
      <c r="K134" s="386">
        <v>159135616</v>
      </c>
      <c r="L134" s="387"/>
      <c r="M134" s="388">
        <f t="shared" si="4"/>
        <v>159135616</v>
      </c>
      <c r="N134" s="388"/>
      <c r="O134" s="388">
        <f t="shared" si="5"/>
        <v>159135616</v>
      </c>
      <c r="P134" s="390"/>
      <c r="Q134" s="386">
        <v>176000000</v>
      </c>
      <c r="R134" s="394">
        <v>0</v>
      </c>
      <c r="S134" s="447"/>
    </row>
    <row r="135" spans="2:19" ht="19.5" hidden="1" customHeight="1">
      <c r="B135" s="29">
        <f t="shared" si="3"/>
        <v>125</v>
      </c>
      <c r="C135" s="30" t="s">
        <v>206</v>
      </c>
      <c r="D135" s="30" t="s">
        <v>225</v>
      </c>
      <c r="E135" s="163" t="s">
        <v>769</v>
      </c>
      <c r="F135" s="284" t="s">
        <v>1238</v>
      </c>
      <c r="G135" s="284">
        <f>IFERROR(VLOOKUP(E135,Assign!$C$2:$J$142,8,FALSE),)</f>
        <v>0</v>
      </c>
      <c r="H135" s="372" t="s">
        <v>3869</v>
      </c>
      <c r="I135" s="445" t="s">
        <v>3859</v>
      </c>
      <c r="J135" s="446"/>
      <c r="K135" s="386">
        <v>158472331</v>
      </c>
      <c r="L135" s="387"/>
      <c r="M135" s="388">
        <f t="shared" si="4"/>
        <v>158472331</v>
      </c>
      <c r="N135" s="388"/>
      <c r="O135" s="388">
        <f t="shared" si="5"/>
        <v>158472331</v>
      </c>
      <c r="P135" s="390"/>
      <c r="Q135" s="386">
        <v>176000000</v>
      </c>
      <c r="R135" s="394">
        <v>0</v>
      </c>
      <c r="S135" s="447"/>
    </row>
    <row r="136" spans="2:19" ht="19.5" hidden="1" customHeight="1">
      <c r="B136" s="29">
        <f t="shared" si="3"/>
        <v>126</v>
      </c>
      <c r="C136" s="30" t="s">
        <v>206</v>
      </c>
      <c r="D136" s="30" t="s">
        <v>225</v>
      </c>
      <c r="E136" s="163" t="s">
        <v>770</v>
      </c>
      <c r="F136" s="284" t="s">
        <v>1217</v>
      </c>
      <c r="G136" s="284">
        <f>IFERROR(VLOOKUP(E136,Assign!$C$2:$J$142,8,FALSE),)</f>
        <v>0</v>
      </c>
      <c r="H136" s="372" t="s">
        <v>3868</v>
      </c>
      <c r="I136" s="445" t="s">
        <v>3859</v>
      </c>
      <c r="J136" s="446"/>
      <c r="K136" s="386">
        <v>157000000</v>
      </c>
      <c r="L136" s="387"/>
      <c r="M136" s="388">
        <f t="shared" si="4"/>
        <v>157000000</v>
      </c>
      <c r="N136" s="388"/>
      <c r="O136" s="388">
        <f t="shared" si="5"/>
        <v>157000000</v>
      </c>
      <c r="P136" s="390"/>
      <c r="Q136" s="386">
        <v>201000000</v>
      </c>
      <c r="R136" s="394">
        <v>0</v>
      </c>
      <c r="S136" s="447"/>
    </row>
    <row r="137" spans="2:19" ht="19.5" hidden="1" customHeight="1">
      <c r="B137" s="29">
        <f t="shared" si="3"/>
        <v>127</v>
      </c>
      <c r="C137" s="30" t="s">
        <v>206</v>
      </c>
      <c r="D137" s="30" t="s">
        <v>225</v>
      </c>
      <c r="E137" s="163" t="s">
        <v>771</v>
      </c>
      <c r="F137" s="284" t="s">
        <v>1229</v>
      </c>
      <c r="G137" s="284">
        <f>IFERROR(VLOOKUP(E137,Assign!$C$2:$J$142,8,FALSE),)</f>
        <v>0</v>
      </c>
      <c r="H137" s="372" t="s">
        <v>3869</v>
      </c>
      <c r="I137" s="445" t="s">
        <v>3859</v>
      </c>
      <c r="J137" s="446"/>
      <c r="K137" s="386">
        <v>156220995</v>
      </c>
      <c r="L137" s="387"/>
      <c r="M137" s="388">
        <f t="shared" si="4"/>
        <v>156220995</v>
      </c>
      <c r="N137" s="388"/>
      <c r="O137" s="388">
        <f t="shared" si="5"/>
        <v>156220995</v>
      </c>
      <c r="P137" s="390"/>
      <c r="Q137" s="386">
        <v>236400000</v>
      </c>
      <c r="R137" s="394">
        <v>0</v>
      </c>
      <c r="S137" s="447"/>
    </row>
    <row r="138" spans="2:19" ht="19.5" customHeight="1">
      <c r="B138" s="29">
        <f t="shared" si="3"/>
        <v>128</v>
      </c>
      <c r="C138" s="30" t="s">
        <v>206</v>
      </c>
      <c r="D138" s="30" t="s">
        <v>225</v>
      </c>
      <c r="E138" s="492" t="s">
        <v>772</v>
      </c>
      <c r="F138" s="284" t="s">
        <v>1229</v>
      </c>
      <c r="G138" s="284" t="str">
        <f>IFERROR(VLOOKUP(E138,Assign!$C$2:$J$142,8,FALSE),)</f>
        <v>문선영</v>
      </c>
      <c r="H138" s="372" t="s">
        <v>3868</v>
      </c>
      <c r="I138" s="445" t="s">
        <v>3859</v>
      </c>
      <c r="J138" s="446"/>
      <c r="K138" s="386">
        <v>156183636</v>
      </c>
      <c r="L138" s="387"/>
      <c r="M138" s="388">
        <f t="shared" si="4"/>
        <v>156183636</v>
      </c>
      <c r="N138" s="388"/>
      <c r="O138" s="388">
        <f t="shared" si="5"/>
        <v>156183636</v>
      </c>
      <c r="P138" s="390"/>
      <c r="Q138" s="386">
        <v>198000000</v>
      </c>
      <c r="R138" s="394">
        <v>0</v>
      </c>
      <c r="S138" s="447"/>
    </row>
    <row r="139" spans="2:19" ht="19.5" hidden="1" customHeight="1">
      <c r="B139" s="29">
        <f t="shared" ref="B139:B202" si="6">ROW()-10</f>
        <v>129</v>
      </c>
      <c r="C139" s="30" t="s">
        <v>206</v>
      </c>
      <c r="D139" s="30" t="s">
        <v>225</v>
      </c>
      <c r="E139" s="163" t="s">
        <v>773</v>
      </c>
      <c r="F139" s="284" t="s">
        <v>1229</v>
      </c>
      <c r="G139" s="284">
        <f>IFERROR(VLOOKUP(E139,Assign!$C$2:$J$142,8,FALSE),)</f>
        <v>0</v>
      </c>
      <c r="H139" s="372" t="s">
        <v>3869</v>
      </c>
      <c r="I139" s="445" t="s">
        <v>3859</v>
      </c>
      <c r="J139" s="446"/>
      <c r="K139" s="386">
        <v>155802281</v>
      </c>
      <c r="L139" s="387"/>
      <c r="M139" s="388">
        <f t="shared" ref="M139:M202" si="7">SUM(K139:L139)</f>
        <v>155802281</v>
      </c>
      <c r="N139" s="388"/>
      <c r="O139" s="388">
        <f t="shared" ref="O139:O202" si="8">SUM(M139:N139)</f>
        <v>155802281</v>
      </c>
      <c r="P139" s="390"/>
      <c r="Q139" s="386">
        <v>184800000</v>
      </c>
      <c r="R139" s="394">
        <v>0</v>
      </c>
      <c r="S139" s="447"/>
    </row>
    <row r="140" spans="2:19" ht="19.5" hidden="1" customHeight="1">
      <c r="B140" s="29">
        <f t="shared" si="6"/>
        <v>130</v>
      </c>
      <c r="C140" s="30" t="s">
        <v>206</v>
      </c>
      <c r="D140" s="30" t="s">
        <v>225</v>
      </c>
      <c r="E140" s="163" t="s">
        <v>774</v>
      </c>
      <c r="F140" s="284" t="s">
        <v>1217</v>
      </c>
      <c r="G140" s="284">
        <f>IFERROR(VLOOKUP(E140,Assign!$C$2:$J$142,8,FALSE),)</f>
        <v>0</v>
      </c>
      <c r="H140" s="372" t="s">
        <v>3869</v>
      </c>
      <c r="I140" s="445" t="s">
        <v>3859</v>
      </c>
      <c r="J140" s="446"/>
      <c r="K140" s="386">
        <v>154400000</v>
      </c>
      <c r="L140" s="387"/>
      <c r="M140" s="388">
        <f t="shared" si="7"/>
        <v>154400000</v>
      </c>
      <c r="N140" s="388"/>
      <c r="O140" s="388">
        <f t="shared" si="8"/>
        <v>154400000</v>
      </c>
      <c r="P140" s="390"/>
      <c r="Q140" s="386">
        <v>185280000</v>
      </c>
      <c r="R140" s="394">
        <v>0</v>
      </c>
      <c r="S140" s="447"/>
    </row>
    <row r="141" spans="2:19" ht="19.5" hidden="1" customHeight="1">
      <c r="B141" s="29">
        <f t="shared" si="6"/>
        <v>131</v>
      </c>
      <c r="C141" s="30" t="s">
        <v>206</v>
      </c>
      <c r="D141" s="30" t="s">
        <v>225</v>
      </c>
      <c r="E141" s="163" t="s">
        <v>775</v>
      </c>
      <c r="F141" s="284" t="s">
        <v>1238</v>
      </c>
      <c r="G141" s="284">
        <f>IFERROR(VLOOKUP(E141,Assign!$C$2:$J$142,8,FALSE),)</f>
        <v>0</v>
      </c>
      <c r="H141" s="372" t="s">
        <v>3869</v>
      </c>
      <c r="I141" s="445" t="s">
        <v>3859</v>
      </c>
      <c r="J141" s="446"/>
      <c r="K141" s="386">
        <v>152096109</v>
      </c>
      <c r="L141" s="387"/>
      <c r="M141" s="388">
        <f t="shared" si="7"/>
        <v>152096109</v>
      </c>
      <c r="N141" s="388"/>
      <c r="O141" s="388">
        <f t="shared" si="8"/>
        <v>152096109</v>
      </c>
      <c r="P141" s="390"/>
      <c r="Q141" s="386">
        <v>222000000</v>
      </c>
      <c r="R141" s="394">
        <v>0</v>
      </c>
      <c r="S141" s="447"/>
    </row>
    <row r="142" spans="2:19" ht="19.5" hidden="1" customHeight="1">
      <c r="B142" s="29">
        <f t="shared" si="6"/>
        <v>132</v>
      </c>
      <c r="C142" s="30" t="s">
        <v>206</v>
      </c>
      <c r="D142" s="30" t="s">
        <v>225</v>
      </c>
      <c r="E142" s="163" t="s">
        <v>776</v>
      </c>
      <c r="F142" s="284" t="s">
        <v>1248</v>
      </c>
      <c r="G142" s="284">
        <f>IFERROR(VLOOKUP(E142,Assign!$C$2:$J$142,8,FALSE),)</f>
        <v>0</v>
      </c>
      <c r="H142" s="372" t="s">
        <v>3869</v>
      </c>
      <c r="I142" s="445" t="s">
        <v>3859</v>
      </c>
      <c r="J142" s="446"/>
      <c r="K142" s="386">
        <v>150000000</v>
      </c>
      <c r="L142" s="387"/>
      <c r="M142" s="388">
        <f t="shared" si="7"/>
        <v>150000000</v>
      </c>
      <c r="N142" s="388"/>
      <c r="O142" s="388">
        <f t="shared" si="8"/>
        <v>150000000</v>
      </c>
      <c r="P142" s="390"/>
      <c r="Q142" s="386">
        <v>180000000</v>
      </c>
      <c r="R142" s="394">
        <v>0</v>
      </c>
      <c r="S142" s="447"/>
    </row>
    <row r="143" spans="2:19" ht="19.5" customHeight="1">
      <c r="B143" s="29">
        <f t="shared" si="6"/>
        <v>133</v>
      </c>
      <c r="C143" s="30" t="s">
        <v>206</v>
      </c>
      <c r="D143" s="30" t="s">
        <v>225</v>
      </c>
      <c r="E143" s="492" t="s">
        <v>777</v>
      </c>
      <c r="F143" s="284" t="s">
        <v>1217</v>
      </c>
      <c r="G143" s="284" t="str">
        <f>IFERROR(VLOOKUP(E143,Assign!$C$2:$J$142,8,FALSE),)</f>
        <v>문선영</v>
      </c>
      <c r="H143" s="372" t="s">
        <v>3868</v>
      </c>
      <c r="I143" s="445" t="s">
        <v>3859</v>
      </c>
      <c r="J143" s="446"/>
      <c r="K143" s="386">
        <v>149488237</v>
      </c>
      <c r="L143" s="387"/>
      <c r="M143" s="388">
        <f t="shared" si="7"/>
        <v>149488237</v>
      </c>
      <c r="N143" s="388"/>
      <c r="O143" s="388">
        <f t="shared" si="8"/>
        <v>149488237</v>
      </c>
      <c r="P143" s="390"/>
      <c r="Q143" s="386">
        <v>204000000</v>
      </c>
      <c r="R143" s="394">
        <v>0</v>
      </c>
      <c r="S143" s="447"/>
    </row>
    <row r="144" spans="2:19" ht="19.5" customHeight="1">
      <c r="B144" s="29">
        <f t="shared" si="6"/>
        <v>134</v>
      </c>
      <c r="C144" s="30" t="s">
        <v>206</v>
      </c>
      <c r="D144" s="30" t="s">
        <v>225</v>
      </c>
      <c r="E144" s="492" t="s">
        <v>778</v>
      </c>
      <c r="F144" s="284" t="s">
        <v>1229</v>
      </c>
      <c r="G144" s="284" t="str">
        <f>IFERROR(VLOOKUP(E144,Assign!$C$2:$J$142,8,FALSE),)</f>
        <v>문선영</v>
      </c>
      <c r="H144" s="372" t="s">
        <v>3868</v>
      </c>
      <c r="I144" s="445" t="s">
        <v>3859</v>
      </c>
      <c r="J144" s="446"/>
      <c r="K144" s="386">
        <v>148047429</v>
      </c>
      <c r="L144" s="387"/>
      <c r="M144" s="388">
        <f t="shared" si="7"/>
        <v>148047429</v>
      </c>
      <c r="N144" s="388"/>
      <c r="O144" s="388">
        <f t="shared" si="8"/>
        <v>148047429</v>
      </c>
      <c r="P144" s="390"/>
      <c r="Q144" s="386">
        <v>186000000</v>
      </c>
      <c r="R144" s="394">
        <v>0</v>
      </c>
      <c r="S144" s="447"/>
    </row>
    <row r="145" spans="2:19" ht="19.5" customHeight="1">
      <c r="B145" s="29">
        <f t="shared" si="6"/>
        <v>135</v>
      </c>
      <c r="C145" s="30" t="s">
        <v>206</v>
      </c>
      <c r="D145" s="30" t="s">
        <v>225</v>
      </c>
      <c r="E145" s="492" t="s">
        <v>779</v>
      </c>
      <c r="F145" s="284" t="s">
        <v>1229</v>
      </c>
      <c r="G145" s="284" t="str">
        <f>IFERROR(VLOOKUP(E145,Assign!$C$2:$J$142,8,FALSE),)</f>
        <v>문선영</v>
      </c>
      <c r="H145" s="372" t="s">
        <v>3868</v>
      </c>
      <c r="I145" s="445" t="s">
        <v>3859</v>
      </c>
      <c r="J145" s="446"/>
      <c r="K145" s="386">
        <v>147667323</v>
      </c>
      <c r="L145" s="387"/>
      <c r="M145" s="388">
        <f t="shared" si="7"/>
        <v>147667323</v>
      </c>
      <c r="N145" s="388"/>
      <c r="O145" s="388">
        <f t="shared" si="8"/>
        <v>147667323</v>
      </c>
      <c r="P145" s="390"/>
      <c r="Q145" s="386">
        <v>188400000</v>
      </c>
      <c r="R145" s="394">
        <v>0</v>
      </c>
      <c r="S145" s="447"/>
    </row>
    <row r="146" spans="2:19" ht="19.5" hidden="1" customHeight="1">
      <c r="B146" s="29">
        <f t="shared" si="6"/>
        <v>136</v>
      </c>
      <c r="C146" s="30" t="s">
        <v>206</v>
      </c>
      <c r="D146" s="30" t="s">
        <v>225</v>
      </c>
      <c r="E146" s="163" t="s">
        <v>780</v>
      </c>
      <c r="F146" s="284" t="s">
        <v>1229</v>
      </c>
      <c r="G146" s="284">
        <f>IFERROR(VLOOKUP(E146,Assign!$C$2:$J$142,8,FALSE),)</f>
        <v>0</v>
      </c>
      <c r="H146" s="372" t="s">
        <v>3868</v>
      </c>
      <c r="I146" s="445" t="s">
        <v>3859</v>
      </c>
      <c r="J146" s="446"/>
      <c r="K146" s="386">
        <v>147000000</v>
      </c>
      <c r="L146" s="387"/>
      <c r="M146" s="388">
        <f t="shared" si="7"/>
        <v>147000000</v>
      </c>
      <c r="N146" s="388"/>
      <c r="O146" s="388">
        <f t="shared" si="8"/>
        <v>147000000</v>
      </c>
      <c r="P146" s="390"/>
      <c r="Q146" s="386">
        <v>180000000</v>
      </c>
      <c r="R146" s="394">
        <v>0</v>
      </c>
      <c r="S146" s="447"/>
    </row>
    <row r="147" spans="2:19" ht="19.5" hidden="1" customHeight="1">
      <c r="B147" s="29">
        <f t="shared" si="6"/>
        <v>137</v>
      </c>
      <c r="C147" s="30" t="s">
        <v>206</v>
      </c>
      <c r="D147" s="30" t="s">
        <v>225</v>
      </c>
      <c r="E147" s="163" t="s">
        <v>781</v>
      </c>
      <c r="F147" s="284" t="s">
        <v>1318</v>
      </c>
      <c r="G147" s="284">
        <f>IFERROR(VLOOKUP(E147,Assign!$C$2:$J$142,8,FALSE),)</f>
        <v>0</v>
      </c>
      <c r="H147" s="372" t="s">
        <v>3869</v>
      </c>
      <c r="I147" s="445" t="s">
        <v>3859</v>
      </c>
      <c r="J147" s="446"/>
      <c r="K147" s="386">
        <v>145384159</v>
      </c>
      <c r="L147" s="387"/>
      <c r="M147" s="388">
        <f t="shared" si="7"/>
        <v>145384159</v>
      </c>
      <c r="N147" s="388"/>
      <c r="O147" s="388">
        <f t="shared" si="8"/>
        <v>145384159</v>
      </c>
      <c r="P147" s="390"/>
      <c r="Q147" s="386">
        <v>189600000</v>
      </c>
      <c r="R147" s="394">
        <v>0</v>
      </c>
      <c r="S147" s="447"/>
    </row>
    <row r="148" spans="2:19" ht="19.5" customHeight="1">
      <c r="B148" s="29">
        <f t="shared" si="6"/>
        <v>138</v>
      </c>
      <c r="C148" s="30" t="s">
        <v>206</v>
      </c>
      <c r="D148" s="30" t="s">
        <v>225</v>
      </c>
      <c r="E148" s="492" t="s">
        <v>782</v>
      </c>
      <c r="F148" s="284" t="s">
        <v>1236</v>
      </c>
      <c r="G148" s="284" t="str">
        <f>IFERROR(VLOOKUP(E148,Assign!$C$2:$J$142,8,FALSE),)</f>
        <v>문선영</v>
      </c>
      <c r="H148" s="372" t="s">
        <v>3869</v>
      </c>
      <c r="I148" s="445" t="s">
        <v>3859</v>
      </c>
      <c r="J148" s="446"/>
      <c r="K148" s="386">
        <v>143199936</v>
      </c>
      <c r="L148" s="387"/>
      <c r="M148" s="388">
        <f t="shared" si="7"/>
        <v>143199936</v>
      </c>
      <c r="N148" s="388"/>
      <c r="O148" s="388">
        <f t="shared" si="8"/>
        <v>143199936</v>
      </c>
      <c r="P148" s="390"/>
      <c r="Q148" s="386">
        <v>214800000</v>
      </c>
      <c r="R148" s="394">
        <v>0</v>
      </c>
      <c r="S148" s="447"/>
    </row>
    <row r="149" spans="2:19" ht="19.5" hidden="1" customHeight="1">
      <c r="B149" s="29">
        <f t="shared" si="6"/>
        <v>139</v>
      </c>
      <c r="C149" s="30" t="s">
        <v>206</v>
      </c>
      <c r="D149" s="30" t="s">
        <v>225</v>
      </c>
      <c r="E149" s="163" t="s">
        <v>783</v>
      </c>
      <c r="F149" s="284" t="s">
        <v>1249</v>
      </c>
      <c r="G149" s="284">
        <f>IFERROR(VLOOKUP(E149,Assign!$C$2:$J$142,8,FALSE),)</f>
        <v>0</v>
      </c>
      <c r="H149" s="372" t="s">
        <v>3868</v>
      </c>
      <c r="I149" s="445" t="s">
        <v>3859</v>
      </c>
      <c r="J149" s="446"/>
      <c r="K149" s="386">
        <v>142000000</v>
      </c>
      <c r="L149" s="387"/>
      <c r="M149" s="388">
        <f t="shared" si="7"/>
        <v>142000000</v>
      </c>
      <c r="N149" s="388"/>
      <c r="O149" s="388">
        <f t="shared" si="8"/>
        <v>142000000</v>
      </c>
      <c r="P149" s="390"/>
      <c r="Q149" s="386">
        <v>187017600</v>
      </c>
      <c r="R149" s="394">
        <v>0</v>
      </c>
      <c r="S149" s="447"/>
    </row>
    <row r="150" spans="2:19" ht="19.5" hidden="1" customHeight="1">
      <c r="B150" s="29">
        <f t="shared" si="6"/>
        <v>140</v>
      </c>
      <c r="C150" s="30" t="s">
        <v>206</v>
      </c>
      <c r="D150" s="30" t="s">
        <v>225</v>
      </c>
      <c r="E150" s="163" t="s">
        <v>784</v>
      </c>
      <c r="F150" s="284" t="s">
        <v>1229</v>
      </c>
      <c r="G150" s="284">
        <f>IFERROR(VLOOKUP(E150,Assign!$C$2:$J$142,8,FALSE),)</f>
        <v>0</v>
      </c>
      <c r="H150" s="372" t="s">
        <v>3869</v>
      </c>
      <c r="I150" s="445" t="s">
        <v>3859</v>
      </c>
      <c r="J150" s="446"/>
      <c r="K150" s="386">
        <v>139600000</v>
      </c>
      <c r="L150" s="387"/>
      <c r="M150" s="388">
        <f t="shared" si="7"/>
        <v>139600000</v>
      </c>
      <c r="N150" s="388"/>
      <c r="O150" s="388">
        <f t="shared" si="8"/>
        <v>139600000</v>
      </c>
      <c r="P150" s="390"/>
      <c r="Q150" s="386">
        <v>338000000</v>
      </c>
      <c r="R150" s="394">
        <v>0</v>
      </c>
      <c r="S150" s="447"/>
    </row>
    <row r="151" spans="2:19" ht="19.5" customHeight="1">
      <c r="B151" s="29">
        <f t="shared" si="6"/>
        <v>141</v>
      </c>
      <c r="C151" s="30" t="s">
        <v>206</v>
      </c>
      <c r="D151" s="30" t="s">
        <v>225</v>
      </c>
      <c r="E151" s="491" t="s">
        <v>785</v>
      </c>
      <c r="F151" s="284" t="s">
        <v>1250</v>
      </c>
      <c r="G151" s="284" t="str">
        <f>IFERROR(VLOOKUP(E151,Assign!$C$2:$J$142,8,FALSE),)</f>
        <v>문선영</v>
      </c>
      <c r="H151" s="372" t="s">
        <v>3869</v>
      </c>
      <c r="I151" s="445" t="s">
        <v>3859</v>
      </c>
      <c r="J151" s="446"/>
      <c r="K151" s="386">
        <v>136963731</v>
      </c>
      <c r="L151" s="387"/>
      <c r="M151" s="388">
        <f t="shared" si="7"/>
        <v>136963731</v>
      </c>
      <c r="N151" s="388"/>
      <c r="O151" s="388">
        <f t="shared" si="8"/>
        <v>136963731</v>
      </c>
      <c r="P151" s="390"/>
      <c r="Q151" s="386">
        <v>172060000</v>
      </c>
      <c r="R151" s="394">
        <v>0</v>
      </c>
      <c r="S151" s="447"/>
    </row>
    <row r="152" spans="2:19" ht="19.5" hidden="1" customHeight="1">
      <c r="B152" s="29">
        <f t="shared" si="6"/>
        <v>142</v>
      </c>
      <c r="C152" s="30" t="s">
        <v>206</v>
      </c>
      <c r="D152" s="30" t="s">
        <v>225</v>
      </c>
      <c r="E152" s="163" t="s">
        <v>786</v>
      </c>
      <c r="F152" s="284" t="s">
        <v>1225</v>
      </c>
      <c r="G152" s="284">
        <f>IFERROR(VLOOKUP(E152,Assign!$C$2:$J$142,8,FALSE),)</f>
        <v>0</v>
      </c>
      <c r="H152" s="372" t="s">
        <v>3868</v>
      </c>
      <c r="I152" s="445" t="s">
        <v>3859</v>
      </c>
      <c r="J152" s="446"/>
      <c r="K152" s="386">
        <v>136100000</v>
      </c>
      <c r="L152" s="387"/>
      <c r="M152" s="388">
        <f t="shared" si="7"/>
        <v>136100000</v>
      </c>
      <c r="N152" s="388"/>
      <c r="O152" s="388">
        <f t="shared" si="8"/>
        <v>136100000</v>
      </c>
      <c r="P152" s="390"/>
      <c r="Q152" s="386">
        <v>168000000</v>
      </c>
      <c r="R152" s="394">
        <v>181100000</v>
      </c>
      <c r="S152" s="447"/>
    </row>
    <row r="153" spans="2:19" ht="19.5" hidden="1" customHeight="1">
      <c r="B153" s="29">
        <f t="shared" si="6"/>
        <v>143</v>
      </c>
      <c r="C153" s="30" t="s">
        <v>206</v>
      </c>
      <c r="D153" s="30" t="s">
        <v>225</v>
      </c>
      <c r="E153" s="163" t="s">
        <v>787</v>
      </c>
      <c r="F153" s="284" t="s">
        <v>1217</v>
      </c>
      <c r="G153" s="284">
        <f>IFERROR(VLOOKUP(E153,Assign!$C$2:$J$142,8,FALSE),)</f>
        <v>0</v>
      </c>
      <c r="H153" s="372" t="s">
        <v>3869</v>
      </c>
      <c r="I153" s="445" t="s">
        <v>3859</v>
      </c>
      <c r="J153" s="446"/>
      <c r="K153" s="386">
        <v>134862699</v>
      </c>
      <c r="L153" s="387"/>
      <c r="M153" s="388">
        <f t="shared" si="7"/>
        <v>134862699</v>
      </c>
      <c r="N153" s="388"/>
      <c r="O153" s="388">
        <f t="shared" si="8"/>
        <v>134862699</v>
      </c>
      <c r="P153" s="390"/>
      <c r="Q153" s="386">
        <v>172800000</v>
      </c>
      <c r="R153" s="394">
        <v>0</v>
      </c>
      <c r="S153" s="447"/>
    </row>
    <row r="154" spans="2:19" ht="19.5" hidden="1" customHeight="1">
      <c r="B154" s="29">
        <f t="shared" si="6"/>
        <v>144</v>
      </c>
      <c r="C154" s="30" t="s">
        <v>206</v>
      </c>
      <c r="D154" s="30" t="s">
        <v>225</v>
      </c>
      <c r="E154" s="163" t="s">
        <v>788</v>
      </c>
      <c r="F154" s="284" t="s">
        <v>1238</v>
      </c>
      <c r="G154" s="284">
        <f>IFERROR(VLOOKUP(E154,Assign!$C$2:$J$142,8,FALSE),)</f>
        <v>0</v>
      </c>
      <c r="H154" s="372" t="s">
        <v>3869</v>
      </c>
      <c r="I154" s="445" t="s">
        <v>3859</v>
      </c>
      <c r="J154" s="446"/>
      <c r="K154" s="386">
        <v>134133864</v>
      </c>
      <c r="L154" s="387"/>
      <c r="M154" s="388">
        <f t="shared" si="7"/>
        <v>134133864</v>
      </c>
      <c r="N154" s="388"/>
      <c r="O154" s="388">
        <f t="shared" si="8"/>
        <v>134133864</v>
      </c>
      <c r="P154" s="390"/>
      <c r="Q154" s="386">
        <v>199200000</v>
      </c>
      <c r="R154" s="394">
        <v>0</v>
      </c>
      <c r="S154" s="447"/>
    </row>
    <row r="155" spans="2:19" ht="19.5" hidden="1" customHeight="1">
      <c r="B155" s="29">
        <f t="shared" si="6"/>
        <v>145</v>
      </c>
      <c r="C155" s="30" t="s">
        <v>206</v>
      </c>
      <c r="D155" s="30" t="s">
        <v>225</v>
      </c>
      <c r="E155" s="163" t="s">
        <v>789</v>
      </c>
      <c r="F155" s="284" t="s">
        <v>1225</v>
      </c>
      <c r="G155" s="284">
        <f>IFERROR(VLOOKUP(E155,Assign!$C$2:$J$142,8,FALSE),)</f>
        <v>0</v>
      </c>
      <c r="H155" s="372" t="s">
        <v>3868</v>
      </c>
      <c r="I155" s="445" t="s">
        <v>3859</v>
      </c>
      <c r="J155" s="446"/>
      <c r="K155" s="386">
        <v>133415187</v>
      </c>
      <c r="L155" s="387"/>
      <c r="M155" s="388">
        <f t="shared" si="7"/>
        <v>133415187</v>
      </c>
      <c r="N155" s="388"/>
      <c r="O155" s="388">
        <f t="shared" si="8"/>
        <v>133415187</v>
      </c>
      <c r="P155" s="390"/>
      <c r="Q155" s="386">
        <v>154000000</v>
      </c>
      <c r="R155" s="394">
        <v>0</v>
      </c>
      <c r="S155" s="447"/>
    </row>
    <row r="156" spans="2:19" ht="19.5" customHeight="1">
      <c r="B156" s="29">
        <f t="shared" si="6"/>
        <v>146</v>
      </c>
      <c r="C156" s="30" t="s">
        <v>206</v>
      </c>
      <c r="D156" s="30" t="s">
        <v>225</v>
      </c>
      <c r="E156" s="491" t="s">
        <v>790</v>
      </c>
      <c r="F156" s="284" t="s">
        <v>1229</v>
      </c>
      <c r="G156" s="284" t="str">
        <f>IFERROR(VLOOKUP(E156,Assign!$C$2:$J$142,8,FALSE),)</f>
        <v>문선영</v>
      </c>
      <c r="H156" s="372" t="s">
        <v>3869</v>
      </c>
      <c r="I156" s="445" t="s">
        <v>3859</v>
      </c>
      <c r="J156" s="446"/>
      <c r="K156" s="386">
        <v>131182723</v>
      </c>
      <c r="L156" s="387"/>
      <c r="M156" s="388">
        <f t="shared" si="7"/>
        <v>131182723</v>
      </c>
      <c r="N156" s="388"/>
      <c r="O156" s="388">
        <f t="shared" si="8"/>
        <v>131182723</v>
      </c>
      <c r="P156" s="390"/>
      <c r="Q156" s="386">
        <v>180000000</v>
      </c>
      <c r="R156" s="394">
        <v>0</v>
      </c>
      <c r="S156" s="447"/>
    </row>
    <row r="157" spans="2:19" ht="19.5" hidden="1" customHeight="1">
      <c r="B157" s="29">
        <f t="shared" si="6"/>
        <v>147</v>
      </c>
      <c r="C157" s="30" t="s">
        <v>206</v>
      </c>
      <c r="D157" s="30" t="s">
        <v>225</v>
      </c>
      <c r="E157" s="163" t="s">
        <v>791</v>
      </c>
      <c r="F157" s="284" t="s">
        <v>1251</v>
      </c>
      <c r="G157" s="284">
        <f>IFERROR(VLOOKUP(E157,Assign!$C$2:$J$142,8,FALSE),)</f>
        <v>0</v>
      </c>
      <c r="H157" s="372" t="s">
        <v>3869</v>
      </c>
      <c r="I157" s="445" t="s">
        <v>3859</v>
      </c>
      <c r="J157" s="446"/>
      <c r="K157" s="386">
        <v>130000000</v>
      </c>
      <c r="L157" s="387"/>
      <c r="M157" s="388">
        <f t="shared" si="7"/>
        <v>130000000</v>
      </c>
      <c r="N157" s="388"/>
      <c r="O157" s="388">
        <f t="shared" si="8"/>
        <v>130000000</v>
      </c>
      <c r="P157" s="390"/>
      <c r="Q157" s="386">
        <v>180000000</v>
      </c>
      <c r="R157" s="394">
        <v>0</v>
      </c>
      <c r="S157" s="447"/>
    </row>
    <row r="158" spans="2:19" ht="19.5" hidden="1" customHeight="1">
      <c r="B158" s="29">
        <f t="shared" si="6"/>
        <v>148</v>
      </c>
      <c r="C158" s="30" t="s">
        <v>206</v>
      </c>
      <c r="D158" s="30" t="s">
        <v>225</v>
      </c>
      <c r="E158" s="163" t="s">
        <v>792</v>
      </c>
      <c r="F158" s="284" t="s">
        <v>1229</v>
      </c>
      <c r="G158" s="284">
        <f>IFERROR(VLOOKUP(E158,Assign!$C$2:$J$142,8,FALSE),)</f>
        <v>0</v>
      </c>
      <c r="H158" s="372" t="s">
        <v>3868</v>
      </c>
      <c r="I158" s="445" t="s">
        <v>3859</v>
      </c>
      <c r="J158" s="446"/>
      <c r="K158" s="386">
        <v>128974692</v>
      </c>
      <c r="L158" s="387"/>
      <c r="M158" s="388">
        <f t="shared" si="7"/>
        <v>128974692</v>
      </c>
      <c r="N158" s="388"/>
      <c r="O158" s="388">
        <f t="shared" si="8"/>
        <v>128974692</v>
      </c>
      <c r="P158" s="390"/>
      <c r="Q158" s="386">
        <v>147400000</v>
      </c>
      <c r="R158" s="394">
        <v>0</v>
      </c>
      <c r="S158" s="447"/>
    </row>
    <row r="159" spans="2:19" ht="19.5" customHeight="1">
      <c r="B159" s="29">
        <f t="shared" si="6"/>
        <v>149</v>
      </c>
      <c r="C159" s="30" t="s">
        <v>206</v>
      </c>
      <c r="D159" s="30" t="s">
        <v>225</v>
      </c>
      <c r="E159" s="491" t="s">
        <v>793</v>
      </c>
      <c r="F159" s="284" t="s">
        <v>1231</v>
      </c>
      <c r="G159" s="284" t="str">
        <f>IFERROR(VLOOKUP(E159,Assign!$C$2:$J$142,8,FALSE),)</f>
        <v>문선영</v>
      </c>
      <c r="H159" s="372" t="s">
        <v>3869</v>
      </c>
      <c r="I159" s="445" t="s">
        <v>3859</v>
      </c>
      <c r="J159" s="446"/>
      <c r="K159" s="386">
        <v>128871186</v>
      </c>
      <c r="L159" s="387"/>
      <c r="M159" s="388">
        <f t="shared" si="7"/>
        <v>128871186</v>
      </c>
      <c r="N159" s="388"/>
      <c r="O159" s="388">
        <f t="shared" si="8"/>
        <v>128871186</v>
      </c>
      <c r="P159" s="390"/>
      <c r="Q159" s="386">
        <v>177600000</v>
      </c>
      <c r="R159" s="394">
        <v>0</v>
      </c>
      <c r="S159" s="447"/>
    </row>
    <row r="160" spans="2:19" ht="19.5" hidden="1" customHeight="1">
      <c r="B160" s="29">
        <f t="shared" si="6"/>
        <v>150</v>
      </c>
      <c r="C160" s="30" t="s">
        <v>206</v>
      </c>
      <c r="D160" s="30" t="s">
        <v>225</v>
      </c>
      <c r="E160" s="163" t="s">
        <v>794</v>
      </c>
      <c r="F160" s="284" t="s">
        <v>1223</v>
      </c>
      <c r="G160" s="284">
        <f>IFERROR(VLOOKUP(E160,Assign!$C$2:$J$142,8,FALSE),)</f>
        <v>0</v>
      </c>
      <c r="H160" s="372" t="s">
        <v>3869</v>
      </c>
      <c r="I160" s="445" t="s">
        <v>3859</v>
      </c>
      <c r="J160" s="446"/>
      <c r="K160" s="386">
        <v>127875000</v>
      </c>
      <c r="L160" s="387"/>
      <c r="M160" s="388">
        <f t="shared" si="7"/>
        <v>127875000</v>
      </c>
      <c r="N160" s="388"/>
      <c r="O160" s="388">
        <f t="shared" si="8"/>
        <v>127875000</v>
      </c>
      <c r="P160" s="390"/>
      <c r="Q160" s="386">
        <v>223200000</v>
      </c>
      <c r="R160" s="394">
        <v>0</v>
      </c>
      <c r="S160" s="447"/>
    </row>
    <row r="161" spans="2:19" ht="19.5" customHeight="1">
      <c r="B161" s="29">
        <f t="shared" si="6"/>
        <v>151</v>
      </c>
      <c r="C161" s="30" t="s">
        <v>206</v>
      </c>
      <c r="D161" s="30" t="s">
        <v>225</v>
      </c>
      <c r="E161" s="491" t="s">
        <v>795</v>
      </c>
      <c r="F161" s="284" t="s">
        <v>1252</v>
      </c>
      <c r="G161" s="284" t="str">
        <f>IFERROR(VLOOKUP(E161,Assign!$C$2:$J$142,8,FALSE),)</f>
        <v>문선영</v>
      </c>
      <c r="H161" s="372" t="s">
        <v>3868</v>
      </c>
      <c r="I161" s="445" t="s">
        <v>3859</v>
      </c>
      <c r="J161" s="446"/>
      <c r="K161" s="386">
        <v>127320640</v>
      </c>
      <c r="L161" s="387"/>
      <c r="M161" s="388">
        <f t="shared" si="7"/>
        <v>127320640</v>
      </c>
      <c r="N161" s="388"/>
      <c r="O161" s="388">
        <f t="shared" si="8"/>
        <v>127320640</v>
      </c>
      <c r="P161" s="390"/>
      <c r="Q161" s="386">
        <v>156000000</v>
      </c>
      <c r="R161" s="394">
        <v>0</v>
      </c>
      <c r="S161" s="447"/>
    </row>
    <row r="162" spans="2:19" ht="19.5" hidden="1" customHeight="1">
      <c r="B162" s="29">
        <f t="shared" si="6"/>
        <v>152</v>
      </c>
      <c r="C162" s="30" t="s">
        <v>206</v>
      </c>
      <c r="D162" s="30" t="s">
        <v>225</v>
      </c>
      <c r="E162" s="163" t="s">
        <v>796</v>
      </c>
      <c r="F162" s="284" t="s">
        <v>1231</v>
      </c>
      <c r="G162" s="284">
        <f>IFERROR(VLOOKUP(E162,Assign!$C$2:$J$142,8,FALSE),)</f>
        <v>0</v>
      </c>
      <c r="H162" s="372" t="s">
        <v>3868</v>
      </c>
      <c r="I162" s="445" t="s">
        <v>3859</v>
      </c>
      <c r="J162" s="446"/>
      <c r="K162" s="386">
        <v>125684935</v>
      </c>
      <c r="L162" s="387"/>
      <c r="M162" s="388">
        <f t="shared" si="7"/>
        <v>125684935</v>
      </c>
      <c r="N162" s="388"/>
      <c r="O162" s="388">
        <f t="shared" si="8"/>
        <v>125684935</v>
      </c>
      <c r="P162" s="390"/>
      <c r="Q162" s="386">
        <v>177600000</v>
      </c>
      <c r="R162" s="394">
        <v>0</v>
      </c>
      <c r="S162" s="447"/>
    </row>
    <row r="163" spans="2:19" ht="19.5" hidden="1" customHeight="1">
      <c r="B163" s="29">
        <f t="shared" si="6"/>
        <v>153</v>
      </c>
      <c r="C163" s="30" t="s">
        <v>206</v>
      </c>
      <c r="D163" s="30" t="s">
        <v>225</v>
      </c>
      <c r="E163" s="163" t="s">
        <v>797</v>
      </c>
      <c r="F163" s="284" t="s">
        <v>1253</v>
      </c>
      <c r="G163" s="284">
        <f>IFERROR(VLOOKUP(E163,Assign!$C$2:$J$142,8,FALSE),)</f>
        <v>0</v>
      </c>
      <c r="H163" s="372" t="s">
        <v>3869</v>
      </c>
      <c r="I163" s="445" t="s">
        <v>3859</v>
      </c>
      <c r="J163" s="446"/>
      <c r="K163" s="386">
        <v>125214868</v>
      </c>
      <c r="L163" s="387"/>
      <c r="M163" s="388">
        <f t="shared" si="7"/>
        <v>125214868</v>
      </c>
      <c r="N163" s="388"/>
      <c r="O163" s="388">
        <f t="shared" si="8"/>
        <v>125214868</v>
      </c>
      <c r="P163" s="390"/>
      <c r="Q163" s="386">
        <v>143000000</v>
      </c>
      <c r="R163" s="394">
        <v>0</v>
      </c>
      <c r="S163" s="447"/>
    </row>
    <row r="164" spans="2:19" ht="19.5" customHeight="1">
      <c r="B164" s="29">
        <f t="shared" si="6"/>
        <v>154</v>
      </c>
      <c r="C164" s="30" t="s">
        <v>206</v>
      </c>
      <c r="D164" s="30" t="s">
        <v>225</v>
      </c>
      <c r="E164" s="491" t="s">
        <v>798</v>
      </c>
      <c r="F164" s="284" t="s">
        <v>1231</v>
      </c>
      <c r="G164" s="284" t="str">
        <f>IFERROR(VLOOKUP(E164,Assign!$C$2:$J$142,8,FALSE),)</f>
        <v>문선영</v>
      </c>
      <c r="H164" s="372" t="s">
        <v>3869</v>
      </c>
      <c r="I164" s="445" t="s">
        <v>3859</v>
      </c>
      <c r="J164" s="446"/>
      <c r="K164" s="386">
        <v>123485056</v>
      </c>
      <c r="L164" s="387"/>
      <c r="M164" s="388">
        <f t="shared" si="7"/>
        <v>123485056</v>
      </c>
      <c r="N164" s="388"/>
      <c r="O164" s="388">
        <f t="shared" si="8"/>
        <v>123485056</v>
      </c>
      <c r="P164" s="390"/>
      <c r="Q164" s="386">
        <v>142670000</v>
      </c>
      <c r="R164" s="394">
        <v>0</v>
      </c>
      <c r="S164" s="447"/>
    </row>
    <row r="165" spans="2:19" ht="19.5" hidden="1" customHeight="1">
      <c r="B165" s="29">
        <f t="shared" si="6"/>
        <v>155</v>
      </c>
      <c r="C165" s="30" t="s">
        <v>206</v>
      </c>
      <c r="D165" s="30" t="s">
        <v>225</v>
      </c>
      <c r="E165" s="163" t="s">
        <v>799</v>
      </c>
      <c r="F165" s="284" t="s">
        <v>1229</v>
      </c>
      <c r="G165" s="284">
        <f>IFERROR(VLOOKUP(E165,Assign!$C$2:$J$142,8,FALSE),)</f>
        <v>0</v>
      </c>
      <c r="H165" s="372" t="s">
        <v>3869</v>
      </c>
      <c r="I165" s="445" t="s">
        <v>3859</v>
      </c>
      <c r="J165" s="446"/>
      <c r="K165" s="386">
        <v>123119787</v>
      </c>
      <c r="L165" s="387"/>
      <c r="M165" s="388">
        <f t="shared" si="7"/>
        <v>123119787</v>
      </c>
      <c r="N165" s="388"/>
      <c r="O165" s="388">
        <f t="shared" si="8"/>
        <v>123119787</v>
      </c>
      <c r="P165" s="390"/>
      <c r="Q165" s="386">
        <v>171600000</v>
      </c>
      <c r="R165" s="394">
        <v>0</v>
      </c>
      <c r="S165" s="447"/>
    </row>
    <row r="166" spans="2:19" ht="19.5" hidden="1" customHeight="1">
      <c r="B166" s="29">
        <f t="shared" si="6"/>
        <v>156</v>
      </c>
      <c r="C166" s="30" t="s">
        <v>206</v>
      </c>
      <c r="D166" s="30" t="s">
        <v>225</v>
      </c>
      <c r="E166" s="163" t="s">
        <v>800</v>
      </c>
      <c r="F166" s="284" t="s">
        <v>1226</v>
      </c>
      <c r="G166" s="284">
        <f>IFERROR(VLOOKUP(E166,Assign!$C$2:$J$142,8,FALSE),)</f>
        <v>0</v>
      </c>
      <c r="H166" s="372" t="s">
        <v>3869</v>
      </c>
      <c r="I166" s="445" t="s">
        <v>3859</v>
      </c>
      <c r="J166" s="446"/>
      <c r="K166" s="386">
        <v>122890773</v>
      </c>
      <c r="L166" s="387"/>
      <c r="M166" s="388">
        <f t="shared" si="7"/>
        <v>122890773</v>
      </c>
      <c r="N166" s="388"/>
      <c r="O166" s="388">
        <f t="shared" si="8"/>
        <v>122890773</v>
      </c>
      <c r="P166" s="390"/>
      <c r="Q166" s="386">
        <v>145200000</v>
      </c>
      <c r="R166" s="394">
        <v>0</v>
      </c>
      <c r="S166" s="447"/>
    </row>
    <row r="167" spans="2:19" ht="19.5" hidden="1" customHeight="1">
      <c r="B167" s="29">
        <f t="shared" si="6"/>
        <v>157</v>
      </c>
      <c r="C167" s="30" t="s">
        <v>206</v>
      </c>
      <c r="D167" s="30" t="s">
        <v>225</v>
      </c>
      <c r="E167" s="163" t="s">
        <v>801</v>
      </c>
      <c r="F167" s="284" t="s">
        <v>1254</v>
      </c>
      <c r="G167" s="284">
        <f>IFERROR(VLOOKUP(E167,Assign!$C$2:$J$142,8,FALSE),)</f>
        <v>0</v>
      </c>
      <c r="H167" s="372" t="s">
        <v>3868</v>
      </c>
      <c r="I167" s="445" t="s">
        <v>3859</v>
      </c>
      <c r="J167" s="446"/>
      <c r="K167" s="386">
        <v>122391139</v>
      </c>
      <c r="L167" s="387"/>
      <c r="M167" s="388">
        <f t="shared" si="7"/>
        <v>122391139</v>
      </c>
      <c r="N167" s="388"/>
      <c r="O167" s="388">
        <f t="shared" si="8"/>
        <v>122391139</v>
      </c>
      <c r="P167" s="390"/>
      <c r="Q167" s="386">
        <v>168000000</v>
      </c>
      <c r="R167" s="394">
        <v>0</v>
      </c>
      <c r="S167" s="447"/>
    </row>
    <row r="168" spans="2:19" ht="19.5" hidden="1" customHeight="1">
      <c r="B168" s="29">
        <f t="shared" si="6"/>
        <v>158</v>
      </c>
      <c r="C168" s="30" t="s">
        <v>206</v>
      </c>
      <c r="D168" s="30" t="s">
        <v>225</v>
      </c>
      <c r="E168" s="163" t="s">
        <v>802</v>
      </c>
      <c r="F168" s="284" t="s">
        <v>1217</v>
      </c>
      <c r="G168" s="284">
        <f>IFERROR(VLOOKUP(E168,Assign!$C$2:$J$142,8,FALSE),)</f>
        <v>0</v>
      </c>
      <c r="H168" s="372" t="s">
        <v>3869</v>
      </c>
      <c r="I168" s="445" t="s">
        <v>3859</v>
      </c>
      <c r="J168" s="446"/>
      <c r="K168" s="386">
        <v>120714108</v>
      </c>
      <c r="L168" s="387"/>
      <c r="M168" s="388">
        <f t="shared" si="7"/>
        <v>120714108</v>
      </c>
      <c r="N168" s="388"/>
      <c r="O168" s="388">
        <f t="shared" si="8"/>
        <v>120714108</v>
      </c>
      <c r="P168" s="390"/>
      <c r="Q168" s="386">
        <v>162000000</v>
      </c>
      <c r="R168" s="394">
        <v>0</v>
      </c>
      <c r="S168" s="447"/>
    </row>
    <row r="169" spans="2:19" ht="19.5" hidden="1" customHeight="1">
      <c r="B169" s="29">
        <f t="shared" si="6"/>
        <v>159</v>
      </c>
      <c r="C169" s="30" t="s">
        <v>206</v>
      </c>
      <c r="D169" s="30" t="s">
        <v>225</v>
      </c>
      <c r="E169" s="163" t="s">
        <v>803</v>
      </c>
      <c r="F169" s="284" t="s">
        <v>1319</v>
      </c>
      <c r="G169" s="284">
        <f>IFERROR(VLOOKUP(E169,Assign!$C$2:$J$142,8,FALSE),)</f>
        <v>0</v>
      </c>
      <c r="H169" s="372" t="s">
        <v>3870</v>
      </c>
      <c r="I169" s="445" t="s">
        <v>3859</v>
      </c>
      <c r="J169" s="446"/>
      <c r="K169" s="386">
        <v>119984626</v>
      </c>
      <c r="L169" s="387"/>
      <c r="M169" s="388">
        <f t="shared" si="7"/>
        <v>119984626</v>
      </c>
      <c r="N169" s="388"/>
      <c r="O169" s="388">
        <f t="shared" si="8"/>
        <v>119984626</v>
      </c>
      <c r="P169" s="390"/>
      <c r="Q169" s="386">
        <v>180000000</v>
      </c>
      <c r="R169" s="394">
        <v>198000000</v>
      </c>
      <c r="S169" s="447"/>
    </row>
    <row r="170" spans="2:19" ht="19.5" hidden="1" customHeight="1">
      <c r="B170" s="29">
        <f t="shared" si="6"/>
        <v>160</v>
      </c>
      <c r="C170" s="30" t="s">
        <v>206</v>
      </c>
      <c r="D170" s="30" t="s">
        <v>225</v>
      </c>
      <c r="E170" s="163" t="s">
        <v>804</v>
      </c>
      <c r="F170" s="284" t="s">
        <v>1225</v>
      </c>
      <c r="G170" s="284">
        <f>IFERROR(VLOOKUP(E170,Assign!$C$2:$J$142,8,FALSE),)</f>
        <v>0</v>
      </c>
      <c r="H170" s="372" t="s">
        <v>3869</v>
      </c>
      <c r="I170" s="445" t="s">
        <v>3859</v>
      </c>
      <c r="J170" s="446"/>
      <c r="K170" s="386">
        <v>119230915</v>
      </c>
      <c r="L170" s="387"/>
      <c r="M170" s="388">
        <f t="shared" si="7"/>
        <v>119230915</v>
      </c>
      <c r="N170" s="388"/>
      <c r="O170" s="388">
        <f t="shared" si="8"/>
        <v>119230915</v>
      </c>
      <c r="P170" s="390"/>
      <c r="Q170" s="386">
        <v>162000000</v>
      </c>
      <c r="R170" s="394">
        <v>0</v>
      </c>
      <c r="S170" s="447"/>
    </row>
    <row r="171" spans="2:19" ht="19.5" hidden="1" customHeight="1">
      <c r="B171" s="29">
        <f t="shared" si="6"/>
        <v>161</v>
      </c>
      <c r="C171" s="30" t="s">
        <v>206</v>
      </c>
      <c r="D171" s="30" t="s">
        <v>225</v>
      </c>
      <c r="E171" s="163" t="s">
        <v>805</v>
      </c>
      <c r="F171" s="284" t="s">
        <v>1231</v>
      </c>
      <c r="G171" s="284">
        <f>IFERROR(VLOOKUP(E171,Assign!$C$2:$J$142,8,FALSE),)</f>
        <v>0</v>
      </c>
      <c r="H171" s="372" t="s">
        <v>3869</v>
      </c>
      <c r="I171" s="445" t="s">
        <v>3859</v>
      </c>
      <c r="J171" s="446"/>
      <c r="K171" s="386">
        <v>118138019</v>
      </c>
      <c r="L171" s="387"/>
      <c r="M171" s="388">
        <f t="shared" si="7"/>
        <v>118138019</v>
      </c>
      <c r="N171" s="388"/>
      <c r="O171" s="388">
        <f t="shared" si="8"/>
        <v>118138019</v>
      </c>
      <c r="P171" s="390"/>
      <c r="Q171" s="386">
        <v>159600000</v>
      </c>
      <c r="R171" s="394">
        <v>0</v>
      </c>
      <c r="S171" s="447"/>
    </row>
    <row r="172" spans="2:19" ht="19.5" hidden="1" customHeight="1">
      <c r="B172" s="29">
        <f t="shared" si="6"/>
        <v>162</v>
      </c>
      <c r="C172" s="30" t="s">
        <v>206</v>
      </c>
      <c r="D172" s="30" t="s">
        <v>225</v>
      </c>
      <c r="E172" s="163" t="s">
        <v>806</v>
      </c>
      <c r="F172" s="284" t="s">
        <v>1229</v>
      </c>
      <c r="G172" s="284">
        <f>IFERROR(VLOOKUP(E172,Assign!$C$2:$J$142,8,FALSE),)</f>
        <v>0</v>
      </c>
      <c r="H172" s="372" t="s">
        <v>3868</v>
      </c>
      <c r="I172" s="445" t="s">
        <v>3859</v>
      </c>
      <c r="J172" s="446"/>
      <c r="K172" s="386">
        <v>116093823</v>
      </c>
      <c r="L172" s="387"/>
      <c r="M172" s="388">
        <f t="shared" si="7"/>
        <v>116093823</v>
      </c>
      <c r="N172" s="388"/>
      <c r="O172" s="388">
        <f t="shared" si="8"/>
        <v>116093823</v>
      </c>
      <c r="P172" s="390"/>
      <c r="Q172" s="386">
        <v>163800000</v>
      </c>
      <c r="R172" s="394">
        <v>0</v>
      </c>
      <c r="S172" s="447"/>
    </row>
    <row r="173" spans="2:19" ht="19.5" hidden="1" customHeight="1">
      <c r="B173" s="29">
        <f t="shared" si="6"/>
        <v>163</v>
      </c>
      <c r="C173" s="30" t="s">
        <v>206</v>
      </c>
      <c r="D173" s="30" t="s">
        <v>225</v>
      </c>
      <c r="E173" s="163" t="s">
        <v>807</v>
      </c>
      <c r="F173" s="284" t="s">
        <v>1229</v>
      </c>
      <c r="G173" s="284">
        <f>IFERROR(VLOOKUP(E173,Assign!$C$2:$J$142,8,FALSE),)</f>
        <v>0</v>
      </c>
      <c r="H173" s="372" t="s">
        <v>3869</v>
      </c>
      <c r="I173" s="445" t="s">
        <v>3859</v>
      </c>
      <c r="J173" s="446"/>
      <c r="K173" s="386">
        <v>115929749</v>
      </c>
      <c r="L173" s="387"/>
      <c r="M173" s="388">
        <f t="shared" si="7"/>
        <v>115929749</v>
      </c>
      <c r="N173" s="388"/>
      <c r="O173" s="388">
        <f t="shared" si="8"/>
        <v>115929749</v>
      </c>
      <c r="P173" s="390"/>
      <c r="Q173" s="386">
        <v>132000000</v>
      </c>
      <c r="R173" s="394">
        <v>0</v>
      </c>
      <c r="S173" s="447"/>
    </row>
    <row r="174" spans="2:19" ht="19.5" customHeight="1">
      <c r="B174" s="29">
        <f t="shared" si="6"/>
        <v>164</v>
      </c>
      <c r="C174" s="30" t="s">
        <v>206</v>
      </c>
      <c r="D174" s="30" t="s">
        <v>225</v>
      </c>
      <c r="E174" s="491" t="s">
        <v>808</v>
      </c>
      <c r="F174" s="284" t="s">
        <v>1225</v>
      </c>
      <c r="G174" s="284" t="str">
        <f>IFERROR(VLOOKUP(E174,Assign!$C$2:$J$142,8,FALSE),)</f>
        <v>문선영</v>
      </c>
      <c r="H174" s="372" t="s">
        <v>3869</v>
      </c>
      <c r="I174" s="445" t="s">
        <v>3859</v>
      </c>
      <c r="J174" s="446"/>
      <c r="K174" s="386">
        <v>114567110</v>
      </c>
      <c r="L174" s="387"/>
      <c r="M174" s="388">
        <f t="shared" si="7"/>
        <v>114567110</v>
      </c>
      <c r="N174" s="388"/>
      <c r="O174" s="388">
        <f t="shared" si="8"/>
        <v>114567110</v>
      </c>
      <c r="P174" s="390"/>
      <c r="Q174" s="386">
        <v>240000000</v>
      </c>
      <c r="R174" s="394">
        <v>0</v>
      </c>
      <c r="S174" s="447"/>
    </row>
    <row r="175" spans="2:19" ht="19.5" hidden="1" customHeight="1">
      <c r="B175" s="29">
        <f t="shared" si="6"/>
        <v>165</v>
      </c>
      <c r="C175" s="30" t="s">
        <v>206</v>
      </c>
      <c r="D175" s="30" t="s">
        <v>225</v>
      </c>
      <c r="E175" s="163" t="s">
        <v>809</v>
      </c>
      <c r="F175" s="284" t="s">
        <v>1224</v>
      </c>
      <c r="G175" s="284">
        <f>IFERROR(VLOOKUP(E175,Assign!$C$2:$J$142,8,FALSE),)</f>
        <v>0</v>
      </c>
      <c r="H175" s="372" t="s">
        <v>3868</v>
      </c>
      <c r="I175" s="445" t="s">
        <v>3859</v>
      </c>
      <c r="J175" s="446"/>
      <c r="K175" s="386">
        <v>112938033</v>
      </c>
      <c r="L175" s="387"/>
      <c r="M175" s="388">
        <f t="shared" si="7"/>
        <v>112938033</v>
      </c>
      <c r="N175" s="388"/>
      <c r="O175" s="388">
        <f t="shared" si="8"/>
        <v>112938033</v>
      </c>
      <c r="P175" s="390"/>
      <c r="Q175" s="386">
        <v>156000000</v>
      </c>
      <c r="R175" s="394">
        <v>0</v>
      </c>
      <c r="S175" s="447"/>
    </row>
    <row r="176" spans="2:19" ht="19.5" hidden="1" customHeight="1">
      <c r="B176" s="29">
        <f t="shared" si="6"/>
        <v>166</v>
      </c>
      <c r="C176" s="30" t="s">
        <v>206</v>
      </c>
      <c r="D176" s="30" t="s">
        <v>225</v>
      </c>
      <c r="E176" s="163" t="s">
        <v>810</v>
      </c>
      <c r="F176" s="284" t="s">
        <v>1229</v>
      </c>
      <c r="G176" s="284">
        <f>IFERROR(VLOOKUP(E176,Assign!$C$2:$J$142,8,FALSE),)</f>
        <v>0</v>
      </c>
      <c r="H176" s="372" t="s">
        <v>3868</v>
      </c>
      <c r="I176" s="445" t="s">
        <v>3859</v>
      </c>
      <c r="J176" s="446"/>
      <c r="K176" s="386">
        <v>113199568</v>
      </c>
      <c r="L176" s="387"/>
      <c r="M176" s="388">
        <f t="shared" si="7"/>
        <v>113199568</v>
      </c>
      <c r="N176" s="388"/>
      <c r="O176" s="388">
        <f t="shared" si="8"/>
        <v>113199568</v>
      </c>
      <c r="P176" s="390"/>
      <c r="Q176" s="386">
        <v>136800000</v>
      </c>
      <c r="R176" s="394">
        <v>0</v>
      </c>
      <c r="S176" s="447"/>
    </row>
    <row r="177" spans="2:19" ht="19.5" customHeight="1">
      <c r="B177" s="29">
        <f t="shared" si="6"/>
        <v>167</v>
      </c>
      <c r="C177" s="30" t="s">
        <v>206</v>
      </c>
      <c r="D177" s="30" t="s">
        <v>225</v>
      </c>
      <c r="E177" s="491" t="s">
        <v>811</v>
      </c>
      <c r="F177" s="284" t="s">
        <v>1255</v>
      </c>
      <c r="G177" s="284" t="str">
        <f>IFERROR(VLOOKUP(E177,Assign!$C$2:$J$142,8,FALSE),)</f>
        <v>문선영</v>
      </c>
      <c r="H177" s="372" t="s">
        <v>3868</v>
      </c>
      <c r="I177" s="445" t="s">
        <v>3859</v>
      </c>
      <c r="J177" s="446"/>
      <c r="K177" s="386">
        <v>113000000</v>
      </c>
      <c r="L177" s="387"/>
      <c r="M177" s="388">
        <f t="shared" si="7"/>
        <v>113000000</v>
      </c>
      <c r="N177" s="388"/>
      <c r="O177" s="388">
        <f t="shared" si="8"/>
        <v>113000000</v>
      </c>
      <c r="P177" s="390"/>
      <c r="Q177" s="386">
        <v>120000000</v>
      </c>
      <c r="R177" s="394">
        <v>0</v>
      </c>
      <c r="S177" s="447"/>
    </row>
    <row r="178" spans="2:19" ht="19.5" hidden="1" customHeight="1">
      <c r="B178" s="29">
        <f t="shared" si="6"/>
        <v>168</v>
      </c>
      <c r="C178" s="30" t="s">
        <v>206</v>
      </c>
      <c r="D178" s="30" t="s">
        <v>225</v>
      </c>
      <c r="E178" s="163" t="s">
        <v>812</v>
      </c>
      <c r="F178" s="284" t="s">
        <v>1235</v>
      </c>
      <c r="G178" s="284">
        <f>IFERROR(VLOOKUP(E178,Assign!$C$2:$J$142,8,FALSE),)</f>
        <v>0</v>
      </c>
      <c r="H178" s="372" t="s">
        <v>3868</v>
      </c>
      <c r="I178" s="445" t="s">
        <v>3859</v>
      </c>
      <c r="J178" s="446"/>
      <c r="K178" s="386">
        <v>112383347</v>
      </c>
      <c r="L178" s="387"/>
      <c r="M178" s="388">
        <f t="shared" si="7"/>
        <v>112383347</v>
      </c>
      <c r="N178" s="388"/>
      <c r="O178" s="388">
        <f t="shared" si="8"/>
        <v>112383347</v>
      </c>
      <c r="P178" s="390"/>
      <c r="Q178" s="386">
        <v>133000000</v>
      </c>
      <c r="R178" s="394">
        <v>0</v>
      </c>
      <c r="S178" s="447"/>
    </row>
    <row r="179" spans="2:19" ht="19.5" hidden="1" customHeight="1">
      <c r="B179" s="29">
        <f t="shared" si="6"/>
        <v>169</v>
      </c>
      <c r="C179" s="30" t="s">
        <v>206</v>
      </c>
      <c r="D179" s="30" t="s">
        <v>225</v>
      </c>
      <c r="E179" s="163" t="s">
        <v>813</v>
      </c>
      <c r="F179" s="284" t="s">
        <v>1225</v>
      </c>
      <c r="G179" s="284">
        <f>IFERROR(VLOOKUP(E179,Assign!$C$2:$J$142,8,FALSE),)</f>
        <v>0</v>
      </c>
      <c r="H179" s="372" t="s">
        <v>3869</v>
      </c>
      <c r="I179" s="445" t="s">
        <v>3859</v>
      </c>
      <c r="J179" s="446"/>
      <c r="K179" s="386">
        <v>111780000</v>
      </c>
      <c r="L179" s="387"/>
      <c r="M179" s="388">
        <f t="shared" si="7"/>
        <v>111780000</v>
      </c>
      <c r="N179" s="388"/>
      <c r="O179" s="388">
        <f t="shared" si="8"/>
        <v>111780000</v>
      </c>
      <c r="P179" s="390"/>
      <c r="Q179" s="386">
        <v>194400000</v>
      </c>
      <c r="R179" s="394">
        <v>0</v>
      </c>
      <c r="S179" s="447"/>
    </row>
    <row r="180" spans="2:19" ht="19.5" hidden="1" customHeight="1">
      <c r="B180" s="29">
        <f t="shared" si="6"/>
        <v>170</v>
      </c>
      <c r="C180" s="30" t="s">
        <v>206</v>
      </c>
      <c r="D180" s="30" t="s">
        <v>225</v>
      </c>
      <c r="E180" s="163" t="s">
        <v>814</v>
      </c>
      <c r="F180" s="284" t="s">
        <v>1217</v>
      </c>
      <c r="G180" s="284">
        <f>IFERROR(VLOOKUP(E180,Assign!$C$2:$J$142,8,FALSE),)</f>
        <v>0</v>
      </c>
      <c r="H180" s="372" t="s">
        <v>3868</v>
      </c>
      <c r="I180" s="445" t="s">
        <v>3859</v>
      </c>
      <c r="J180" s="446"/>
      <c r="K180" s="386">
        <v>110490000</v>
      </c>
      <c r="L180" s="387"/>
      <c r="M180" s="388">
        <f t="shared" si="7"/>
        <v>110490000</v>
      </c>
      <c r="N180" s="388"/>
      <c r="O180" s="388">
        <f t="shared" si="8"/>
        <v>110490000</v>
      </c>
      <c r="P180" s="390"/>
      <c r="Q180" s="386">
        <v>136800000</v>
      </c>
      <c r="R180" s="394">
        <v>0</v>
      </c>
      <c r="S180" s="447"/>
    </row>
    <row r="181" spans="2:19" ht="19.5" customHeight="1">
      <c r="B181" s="29">
        <f t="shared" si="6"/>
        <v>171</v>
      </c>
      <c r="C181" s="30" t="s">
        <v>206</v>
      </c>
      <c r="D181" s="30" t="s">
        <v>225</v>
      </c>
      <c r="E181" s="491" t="s">
        <v>815</v>
      </c>
      <c r="F181" s="284" t="s">
        <v>1249</v>
      </c>
      <c r="G181" s="284" t="str">
        <f>IFERROR(VLOOKUP(E181,Assign!$C$2:$J$142,8,FALSE),)</f>
        <v>문선영</v>
      </c>
      <c r="H181" s="372" t="s">
        <v>3869</v>
      </c>
      <c r="I181" s="445" t="s">
        <v>3859</v>
      </c>
      <c r="J181" s="446"/>
      <c r="K181" s="386">
        <v>109141773</v>
      </c>
      <c r="L181" s="387"/>
      <c r="M181" s="388">
        <f t="shared" si="7"/>
        <v>109141773</v>
      </c>
      <c r="N181" s="388"/>
      <c r="O181" s="388">
        <f t="shared" si="8"/>
        <v>109141773</v>
      </c>
      <c r="P181" s="390"/>
      <c r="Q181" s="386">
        <v>140400000</v>
      </c>
      <c r="R181" s="394">
        <v>0</v>
      </c>
      <c r="S181" s="447"/>
    </row>
    <row r="182" spans="2:19" ht="19.5" hidden="1" customHeight="1">
      <c r="B182" s="29">
        <f t="shared" si="6"/>
        <v>172</v>
      </c>
      <c r="C182" s="30" t="s">
        <v>206</v>
      </c>
      <c r="D182" s="30" t="s">
        <v>225</v>
      </c>
      <c r="E182" s="163" t="s">
        <v>816</v>
      </c>
      <c r="F182" s="284" t="s">
        <v>1249</v>
      </c>
      <c r="G182" s="284">
        <f>IFERROR(VLOOKUP(E182,Assign!$C$2:$J$142,8,FALSE),)</f>
        <v>0</v>
      </c>
      <c r="H182" s="372" t="s">
        <v>3869</v>
      </c>
      <c r="I182" s="445" t="s">
        <v>3859</v>
      </c>
      <c r="J182" s="446"/>
      <c r="K182" s="386">
        <v>106755495</v>
      </c>
      <c r="L182" s="387"/>
      <c r="M182" s="388">
        <f t="shared" si="7"/>
        <v>106755495</v>
      </c>
      <c r="N182" s="388"/>
      <c r="O182" s="388">
        <f t="shared" si="8"/>
        <v>106755495</v>
      </c>
      <c r="P182" s="390"/>
      <c r="Q182" s="386">
        <v>151200000</v>
      </c>
      <c r="R182" s="394">
        <v>0</v>
      </c>
      <c r="S182" s="447"/>
    </row>
    <row r="183" spans="2:19" ht="19.5" hidden="1" customHeight="1">
      <c r="B183" s="29">
        <f t="shared" si="6"/>
        <v>173</v>
      </c>
      <c r="C183" s="30" t="s">
        <v>206</v>
      </c>
      <c r="D183" s="30" t="s">
        <v>225</v>
      </c>
      <c r="E183" s="163" t="s">
        <v>817</v>
      </c>
      <c r="F183" s="284" t="s">
        <v>1256</v>
      </c>
      <c r="G183" s="284">
        <f>IFERROR(VLOOKUP(E183,Assign!$C$2:$J$142,8,FALSE),)</f>
        <v>0</v>
      </c>
      <c r="H183" s="372" t="s">
        <v>3869</v>
      </c>
      <c r="I183" s="445" t="s">
        <v>3859</v>
      </c>
      <c r="J183" s="446"/>
      <c r="K183" s="386">
        <v>107000000</v>
      </c>
      <c r="L183" s="387"/>
      <c r="M183" s="388">
        <f t="shared" si="7"/>
        <v>107000000</v>
      </c>
      <c r="N183" s="388"/>
      <c r="O183" s="388">
        <f t="shared" si="8"/>
        <v>107000000</v>
      </c>
      <c r="P183" s="390"/>
      <c r="Q183" s="386">
        <v>128400000</v>
      </c>
      <c r="R183" s="394">
        <v>0</v>
      </c>
      <c r="S183" s="447"/>
    </row>
    <row r="184" spans="2:19" ht="19.5" customHeight="1">
      <c r="B184" s="29">
        <f t="shared" si="6"/>
        <v>174</v>
      </c>
      <c r="C184" s="30" t="s">
        <v>206</v>
      </c>
      <c r="D184" s="30" t="s">
        <v>225</v>
      </c>
      <c r="E184" s="491" t="s">
        <v>818</v>
      </c>
      <c r="F184" s="284" t="s">
        <v>1244</v>
      </c>
      <c r="G184" s="284" t="str">
        <f>IFERROR(VLOOKUP(E184,Assign!$C$2:$J$142,8,FALSE),)</f>
        <v>문선영</v>
      </c>
      <c r="H184" s="372" t="s">
        <v>3869</v>
      </c>
      <c r="I184" s="445" t="s">
        <v>3859</v>
      </c>
      <c r="J184" s="446"/>
      <c r="K184" s="386">
        <v>104872791</v>
      </c>
      <c r="L184" s="387"/>
      <c r="M184" s="388">
        <f t="shared" si="7"/>
        <v>104872791</v>
      </c>
      <c r="N184" s="388"/>
      <c r="O184" s="388">
        <f t="shared" si="8"/>
        <v>104872791</v>
      </c>
      <c r="P184" s="390"/>
      <c r="Q184" s="386">
        <v>144000000</v>
      </c>
      <c r="R184" s="394">
        <v>0</v>
      </c>
      <c r="S184" s="447"/>
    </row>
    <row r="185" spans="2:19" ht="19.5" hidden="1" customHeight="1">
      <c r="B185" s="29">
        <f t="shared" si="6"/>
        <v>175</v>
      </c>
      <c r="C185" s="30" t="s">
        <v>206</v>
      </c>
      <c r="D185" s="30" t="s">
        <v>225</v>
      </c>
      <c r="E185" s="163" t="s">
        <v>819</v>
      </c>
      <c r="F185" s="284" t="s">
        <v>1231</v>
      </c>
      <c r="G185" s="284">
        <f>IFERROR(VLOOKUP(E185,Assign!$C$2:$J$142,8,FALSE),)</f>
        <v>0</v>
      </c>
      <c r="H185" s="372" t="s">
        <v>3869</v>
      </c>
      <c r="I185" s="445" t="s">
        <v>3859</v>
      </c>
      <c r="J185" s="446"/>
      <c r="K185" s="386">
        <v>102722417</v>
      </c>
      <c r="L185" s="387"/>
      <c r="M185" s="388">
        <f t="shared" si="7"/>
        <v>102722417</v>
      </c>
      <c r="N185" s="388"/>
      <c r="O185" s="388">
        <f t="shared" si="8"/>
        <v>102722417</v>
      </c>
      <c r="P185" s="390"/>
      <c r="Q185" s="386">
        <v>138840000</v>
      </c>
      <c r="R185" s="394">
        <v>0</v>
      </c>
      <c r="S185" s="447"/>
    </row>
    <row r="186" spans="2:19" ht="19.5" hidden="1" customHeight="1">
      <c r="B186" s="29">
        <f t="shared" si="6"/>
        <v>176</v>
      </c>
      <c r="C186" s="30" t="s">
        <v>206</v>
      </c>
      <c r="D186" s="30" t="s">
        <v>225</v>
      </c>
      <c r="E186" s="163" t="s">
        <v>820</v>
      </c>
      <c r="F186" s="284" t="s">
        <v>1229</v>
      </c>
      <c r="G186" s="284">
        <f>IFERROR(VLOOKUP(E186,Assign!$C$2:$J$142,8,FALSE),)</f>
        <v>0</v>
      </c>
      <c r="H186" s="372" t="s">
        <v>3869</v>
      </c>
      <c r="I186" s="445" t="s">
        <v>3859</v>
      </c>
      <c r="J186" s="446"/>
      <c r="K186" s="386">
        <v>100050000</v>
      </c>
      <c r="L186" s="387"/>
      <c r="M186" s="388">
        <f t="shared" si="7"/>
        <v>100050000</v>
      </c>
      <c r="N186" s="388"/>
      <c r="O186" s="388">
        <f t="shared" si="8"/>
        <v>100050000</v>
      </c>
      <c r="P186" s="390"/>
      <c r="Q186" s="386">
        <v>144000000</v>
      </c>
      <c r="R186" s="394">
        <v>0</v>
      </c>
      <c r="S186" s="447"/>
    </row>
    <row r="187" spans="2:19" ht="19.5" hidden="1" customHeight="1">
      <c r="B187" s="29">
        <f t="shared" si="6"/>
        <v>177</v>
      </c>
      <c r="C187" s="30" t="s">
        <v>206</v>
      </c>
      <c r="D187" s="30" t="s">
        <v>225</v>
      </c>
      <c r="E187" s="163" t="s">
        <v>821</v>
      </c>
      <c r="F187" s="284" t="s">
        <v>611</v>
      </c>
      <c r="G187" s="284">
        <f>IFERROR(VLOOKUP(E187,Assign!$C$2:$J$142,8,FALSE),)</f>
        <v>0</v>
      </c>
      <c r="H187" s="372" t="s">
        <v>3868</v>
      </c>
      <c r="I187" s="445" t="s">
        <v>3859</v>
      </c>
      <c r="J187" s="446"/>
      <c r="K187" s="386">
        <v>100000000</v>
      </c>
      <c r="L187" s="387"/>
      <c r="M187" s="388">
        <f t="shared" si="7"/>
        <v>100000000</v>
      </c>
      <c r="N187" s="388"/>
      <c r="O187" s="388">
        <f t="shared" si="8"/>
        <v>100000000</v>
      </c>
      <c r="P187" s="390"/>
      <c r="Q187" s="386">
        <v>120000000</v>
      </c>
      <c r="R187" s="394">
        <v>261600000</v>
      </c>
      <c r="S187" s="447"/>
    </row>
    <row r="188" spans="2:19" ht="19.5" hidden="1" customHeight="1">
      <c r="B188" s="29">
        <f t="shared" si="6"/>
        <v>178</v>
      </c>
      <c r="C188" s="30" t="s">
        <v>206</v>
      </c>
      <c r="D188" s="30" t="s">
        <v>225</v>
      </c>
      <c r="E188" s="163" t="s">
        <v>822</v>
      </c>
      <c r="F188" s="284" t="s">
        <v>1225</v>
      </c>
      <c r="G188" s="284">
        <f>IFERROR(VLOOKUP(E188,Assign!$C$2:$J$142,8,FALSE),)</f>
        <v>0</v>
      </c>
      <c r="H188" s="372" t="s">
        <v>3868</v>
      </c>
      <c r="I188" s="445" t="s">
        <v>3859</v>
      </c>
      <c r="J188" s="446"/>
      <c r="K188" s="386">
        <v>100000000</v>
      </c>
      <c r="L188" s="387"/>
      <c r="M188" s="388">
        <f t="shared" si="7"/>
        <v>100000000</v>
      </c>
      <c r="N188" s="388"/>
      <c r="O188" s="388">
        <f t="shared" si="8"/>
        <v>100000000</v>
      </c>
      <c r="P188" s="390"/>
      <c r="Q188" s="386">
        <v>120000000</v>
      </c>
      <c r="R188" s="394">
        <v>147600000</v>
      </c>
      <c r="S188" s="447"/>
    </row>
    <row r="189" spans="2:19" ht="19.5" hidden="1" customHeight="1">
      <c r="B189" s="29">
        <f t="shared" si="6"/>
        <v>179</v>
      </c>
      <c r="C189" s="30" t="s">
        <v>206</v>
      </c>
      <c r="D189" s="30" t="s">
        <v>225</v>
      </c>
      <c r="E189" s="163" t="s">
        <v>823</v>
      </c>
      <c r="F189" s="284" t="s">
        <v>1257</v>
      </c>
      <c r="G189" s="284">
        <f>IFERROR(VLOOKUP(E189,Assign!$C$2:$J$142,8,FALSE),)</f>
        <v>0</v>
      </c>
      <c r="H189" s="372" t="s">
        <v>3868</v>
      </c>
      <c r="I189" s="445" t="s">
        <v>3859</v>
      </c>
      <c r="J189" s="446"/>
      <c r="K189" s="386">
        <v>100000000</v>
      </c>
      <c r="L189" s="387"/>
      <c r="M189" s="388">
        <f t="shared" si="7"/>
        <v>100000000</v>
      </c>
      <c r="N189" s="388"/>
      <c r="O189" s="388">
        <f t="shared" si="8"/>
        <v>100000000</v>
      </c>
      <c r="P189" s="390"/>
      <c r="Q189" s="386">
        <v>120000000</v>
      </c>
      <c r="R189" s="394">
        <v>151200000</v>
      </c>
      <c r="S189" s="447"/>
    </row>
    <row r="190" spans="2:19" ht="19.5" hidden="1" customHeight="1">
      <c r="B190" s="29">
        <f t="shared" si="6"/>
        <v>180</v>
      </c>
      <c r="C190" s="30" t="s">
        <v>206</v>
      </c>
      <c r="D190" s="30" t="s">
        <v>225</v>
      </c>
      <c r="E190" s="163" t="s">
        <v>824</v>
      </c>
      <c r="F190" s="284" t="s">
        <v>1258</v>
      </c>
      <c r="G190" s="284">
        <f>IFERROR(VLOOKUP(E190,Assign!$C$2:$J$142,8,FALSE),)</f>
        <v>0</v>
      </c>
      <c r="H190" s="372" t="s">
        <v>3870</v>
      </c>
      <c r="I190" s="445" t="s">
        <v>3859</v>
      </c>
      <c r="J190" s="446" t="s">
        <v>3635</v>
      </c>
      <c r="K190" s="386">
        <v>99824868</v>
      </c>
      <c r="L190" s="387"/>
      <c r="M190" s="388">
        <f t="shared" si="7"/>
        <v>99824868</v>
      </c>
      <c r="N190" s="388"/>
      <c r="O190" s="388">
        <f t="shared" si="8"/>
        <v>99824868</v>
      </c>
      <c r="P190" s="390"/>
      <c r="Q190" s="386">
        <v>120000000</v>
      </c>
      <c r="R190" s="394">
        <v>1510000000</v>
      </c>
      <c r="S190" s="447"/>
    </row>
    <row r="191" spans="2:19" ht="19.5" hidden="1" customHeight="1">
      <c r="B191" s="29">
        <f t="shared" si="6"/>
        <v>181</v>
      </c>
      <c r="C191" s="30" t="s">
        <v>206</v>
      </c>
      <c r="D191" s="30" t="s">
        <v>225</v>
      </c>
      <c r="E191" s="163" t="s">
        <v>825</v>
      </c>
      <c r="F191" s="284" t="s">
        <v>1221</v>
      </c>
      <c r="G191" s="284">
        <f>IFERROR(VLOOKUP(E191,Assign!$C$2:$J$142,8,FALSE),)</f>
        <v>0</v>
      </c>
      <c r="H191" s="372" t="s">
        <v>3868</v>
      </c>
      <c r="I191" s="445" t="s">
        <v>3859</v>
      </c>
      <c r="J191" s="446"/>
      <c r="K191" s="386">
        <v>98500000</v>
      </c>
      <c r="L191" s="387"/>
      <c r="M191" s="388">
        <f t="shared" si="7"/>
        <v>98500000</v>
      </c>
      <c r="N191" s="388"/>
      <c r="O191" s="388">
        <f t="shared" si="8"/>
        <v>98500000</v>
      </c>
      <c r="P191" s="390"/>
      <c r="Q191" s="386">
        <v>120000000</v>
      </c>
      <c r="R191" s="394">
        <v>0</v>
      </c>
      <c r="S191" s="447"/>
    </row>
    <row r="192" spans="2:19" ht="19.5" hidden="1" customHeight="1">
      <c r="B192" s="29">
        <f t="shared" si="6"/>
        <v>182</v>
      </c>
      <c r="C192" s="30" t="s">
        <v>206</v>
      </c>
      <c r="D192" s="30" t="s">
        <v>225</v>
      </c>
      <c r="E192" s="163" t="s">
        <v>826</v>
      </c>
      <c r="F192" s="284" t="s">
        <v>1217</v>
      </c>
      <c r="G192" s="284">
        <f>IFERROR(VLOOKUP(E192,Assign!$C$2:$J$142,8,FALSE),)</f>
        <v>0</v>
      </c>
      <c r="H192" s="372" t="s">
        <v>3869</v>
      </c>
      <c r="I192" s="445" t="s">
        <v>3859</v>
      </c>
      <c r="J192" s="446"/>
      <c r="K192" s="386">
        <v>96494930</v>
      </c>
      <c r="L192" s="387"/>
      <c r="M192" s="388">
        <f t="shared" si="7"/>
        <v>96494930</v>
      </c>
      <c r="N192" s="388"/>
      <c r="O192" s="388">
        <f t="shared" si="8"/>
        <v>96494930</v>
      </c>
      <c r="P192" s="390"/>
      <c r="Q192" s="386">
        <v>110000000</v>
      </c>
      <c r="R192" s="394">
        <v>0</v>
      </c>
      <c r="S192" s="447"/>
    </row>
    <row r="193" spans="2:19" ht="19.5" customHeight="1">
      <c r="B193" s="29">
        <f t="shared" si="6"/>
        <v>183</v>
      </c>
      <c r="C193" s="30" t="s">
        <v>206</v>
      </c>
      <c r="D193" s="30" t="s">
        <v>225</v>
      </c>
      <c r="E193" s="491" t="s">
        <v>827</v>
      </c>
      <c r="F193" s="284" t="s">
        <v>1225</v>
      </c>
      <c r="G193" s="284" t="str">
        <f>IFERROR(VLOOKUP(E193,Assign!$C$2:$J$142,8,FALSE),)</f>
        <v>문선영</v>
      </c>
      <c r="H193" s="372" t="s">
        <v>3868</v>
      </c>
      <c r="I193" s="445" t="s">
        <v>3859</v>
      </c>
      <c r="J193" s="446"/>
      <c r="K193" s="386">
        <v>95973252</v>
      </c>
      <c r="L193" s="387"/>
      <c r="M193" s="388">
        <f t="shared" si="7"/>
        <v>95973252</v>
      </c>
      <c r="N193" s="388"/>
      <c r="O193" s="388">
        <f t="shared" si="8"/>
        <v>95973252</v>
      </c>
      <c r="P193" s="390"/>
      <c r="Q193" s="386">
        <v>141600000</v>
      </c>
      <c r="R193" s="394">
        <v>0</v>
      </c>
      <c r="S193" s="447"/>
    </row>
    <row r="194" spans="2:19" ht="19.5" hidden="1" customHeight="1">
      <c r="B194" s="29">
        <f t="shared" si="6"/>
        <v>184</v>
      </c>
      <c r="C194" s="30" t="s">
        <v>206</v>
      </c>
      <c r="D194" s="30" t="s">
        <v>225</v>
      </c>
      <c r="E194" s="163" t="s">
        <v>828</v>
      </c>
      <c r="F194" s="284" t="s">
        <v>1229</v>
      </c>
      <c r="G194" s="284">
        <f>IFERROR(VLOOKUP(E194,Assign!$C$2:$J$142,8,FALSE),)</f>
        <v>0</v>
      </c>
      <c r="H194" s="372" t="s">
        <v>3869</v>
      </c>
      <c r="I194" s="445" t="s">
        <v>3859</v>
      </c>
      <c r="J194" s="446"/>
      <c r="K194" s="386">
        <v>95678417</v>
      </c>
      <c r="L194" s="387"/>
      <c r="M194" s="388">
        <f t="shared" si="7"/>
        <v>95678417</v>
      </c>
      <c r="N194" s="388"/>
      <c r="O194" s="388">
        <f t="shared" si="8"/>
        <v>95678417</v>
      </c>
      <c r="P194" s="390"/>
      <c r="Q194" s="386">
        <v>144000000</v>
      </c>
      <c r="R194" s="394">
        <v>0</v>
      </c>
      <c r="S194" s="447"/>
    </row>
    <row r="195" spans="2:19" ht="19.5" hidden="1" customHeight="1">
      <c r="B195" s="29">
        <f t="shared" si="6"/>
        <v>185</v>
      </c>
      <c r="C195" s="30" t="s">
        <v>206</v>
      </c>
      <c r="D195" s="30" t="s">
        <v>225</v>
      </c>
      <c r="E195" s="163" t="s">
        <v>829</v>
      </c>
      <c r="F195" s="284" t="s">
        <v>1217</v>
      </c>
      <c r="G195" s="284">
        <f>IFERROR(VLOOKUP(E195,Assign!$C$2:$J$142,8,FALSE),)</f>
        <v>0</v>
      </c>
      <c r="H195" s="372" t="s">
        <v>3869</v>
      </c>
      <c r="I195" s="445" t="s">
        <v>3859</v>
      </c>
      <c r="J195" s="446"/>
      <c r="K195" s="386">
        <v>95367282</v>
      </c>
      <c r="L195" s="387"/>
      <c r="M195" s="388">
        <f t="shared" si="7"/>
        <v>95367282</v>
      </c>
      <c r="N195" s="388"/>
      <c r="O195" s="388">
        <f t="shared" si="8"/>
        <v>95367282</v>
      </c>
      <c r="P195" s="390"/>
      <c r="Q195" s="386">
        <v>134400000</v>
      </c>
      <c r="R195" s="394">
        <v>0</v>
      </c>
      <c r="S195" s="447"/>
    </row>
    <row r="196" spans="2:19" ht="19.5" hidden="1" customHeight="1">
      <c r="B196" s="29">
        <f t="shared" si="6"/>
        <v>186</v>
      </c>
      <c r="C196" s="30" t="s">
        <v>206</v>
      </c>
      <c r="D196" s="30" t="s">
        <v>225</v>
      </c>
      <c r="E196" s="163" t="s">
        <v>830</v>
      </c>
      <c r="F196" s="284" t="s">
        <v>1229</v>
      </c>
      <c r="G196" s="284">
        <f>IFERROR(VLOOKUP(E196,Assign!$C$2:$J$142,8,FALSE),)</f>
        <v>0</v>
      </c>
      <c r="H196" s="372" t="s">
        <v>3868</v>
      </c>
      <c r="I196" s="445" t="s">
        <v>3859</v>
      </c>
      <c r="J196" s="446"/>
      <c r="K196" s="386">
        <v>95000000</v>
      </c>
      <c r="L196" s="387"/>
      <c r="M196" s="388">
        <f t="shared" si="7"/>
        <v>95000000</v>
      </c>
      <c r="N196" s="388"/>
      <c r="O196" s="388">
        <f t="shared" si="8"/>
        <v>95000000</v>
      </c>
      <c r="P196" s="390"/>
      <c r="Q196" s="386">
        <v>120000000</v>
      </c>
      <c r="R196" s="394">
        <v>0</v>
      </c>
      <c r="S196" s="447"/>
    </row>
    <row r="197" spans="2:19" ht="19.5" hidden="1" customHeight="1">
      <c r="B197" s="29">
        <f t="shared" si="6"/>
        <v>187</v>
      </c>
      <c r="C197" s="30" t="s">
        <v>206</v>
      </c>
      <c r="D197" s="30" t="s">
        <v>225</v>
      </c>
      <c r="E197" s="163" t="s">
        <v>831</v>
      </c>
      <c r="F197" s="284" t="s">
        <v>1223</v>
      </c>
      <c r="G197" s="284">
        <f>IFERROR(VLOOKUP(E197,Assign!$C$2:$J$142,8,FALSE),)</f>
        <v>0</v>
      </c>
      <c r="H197" s="372" t="s">
        <v>3869</v>
      </c>
      <c r="I197" s="445" t="s">
        <v>3859</v>
      </c>
      <c r="J197" s="446" t="s">
        <v>3636</v>
      </c>
      <c r="K197" s="386">
        <v>94999848</v>
      </c>
      <c r="L197" s="387"/>
      <c r="M197" s="388">
        <f t="shared" si="7"/>
        <v>94999848</v>
      </c>
      <c r="N197" s="388"/>
      <c r="O197" s="388">
        <f t="shared" si="8"/>
        <v>94999848</v>
      </c>
      <c r="P197" s="390"/>
      <c r="Q197" s="386">
        <v>110000000</v>
      </c>
      <c r="R197" s="394">
        <v>450000000</v>
      </c>
      <c r="S197" s="447"/>
    </row>
    <row r="198" spans="2:19" ht="19.5" customHeight="1">
      <c r="B198" s="29">
        <f t="shared" si="6"/>
        <v>188</v>
      </c>
      <c r="C198" s="30" t="s">
        <v>206</v>
      </c>
      <c r="D198" s="30" t="s">
        <v>225</v>
      </c>
      <c r="E198" s="491" t="s">
        <v>832</v>
      </c>
      <c r="F198" s="284" t="s">
        <v>1259</v>
      </c>
      <c r="G198" s="284" t="str">
        <f>IFERROR(VLOOKUP(E198,Assign!$C$2:$J$142,8,FALSE),)</f>
        <v>문선영</v>
      </c>
      <c r="H198" s="372" t="s">
        <v>3869</v>
      </c>
      <c r="I198" s="445" t="s">
        <v>3859</v>
      </c>
      <c r="J198" s="446"/>
      <c r="K198" s="386">
        <v>93935738</v>
      </c>
      <c r="L198" s="387"/>
      <c r="M198" s="388">
        <f t="shared" si="7"/>
        <v>93935738</v>
      </c>
      <c r="N198" s="388"/>
      <c r="O198" s="388">
        <f t="shared" si="8"/>
        <v>93935738</v>
      </c>
      <c r="P198" s="390"/>
      <c r="Q198" s="386">
        <v>121200000</v>
      </c>
      <c r="R198" s="394">
        <v>0</v>
      </c>
      <c r="S198" s="447"/>
    </row>
    <row r="199" spans="2:19" ht="19.5" hidden="1" customHeight="1">
      <c r="B199" s="29">
        <f t="shared" si="6"/>
        <v>189</v>
      </c>
      <c r="C199" s="30" t="s">
        <v>206</v>
      </c>
      <c r="D199" s="30" t="s">
        <v>225</v>
      </c>
      <c r="E199" s="163" t="s">
        <v>833</v>
      </c>
      <c r="F199" s="284" t="s">
        <v>1217</v>
      </c>
      <c r="G199" s="284">
        <f>IFERROR(VLOOKUP(E199,Assign!$C$2:$J$142,8,FALSE),)</f>
        <v>0</v>
      </c>
      <c r="H199" s="372" t="s">
        <v>3869</v>
      </c>
      <c r="I199" s="445" t="s">
        <v>3859</v>
      </c>
      <c r="J199" s="446"/>
      <c r="K199" s="386">
        <v>93210142</v>
      </c>
      <c r="L199" s="387"/>
      <c r="M199" s="388">
        <f t="shared" si="7"/>
        <v>93210142</v>
      </c>
      <c r="N199" s="388"/>
      <c r="O199" s="388">
        <f t="shared" si="8"/>
        <v>93210142</v>
      </c>
      <c r="P199" s="390"/>
      <c r="Q199" s="386">
        <v>105600000</v>
      </c>
      <c r="R199" s="394">
        <v>0</v>
      </c>
      <c r="S199" s="447"/>
    </row>
    <row r="200" spans="2:19" ht="19.5" hidden="1" customHeight="1">
      <c r="B200" s="29">
        <f t="shared" si="6"/>
        <v>190</v>
      </c>
      <c r="C200" s="30" t="s">
        <v>206</v>
      </c>
      <c r="D200" s="30" t="s">
        <v>225</v>
      </c>
      <c r="E200" s="163" t="s">
        <v>834</v>
      </c>
      <c r="F200" s="284" t="s">
        <v>1219</v>
      </c>
      <c r="G200" s="284">
        <f>IFERROR(VLOOKUP(E200,Assign!$C$2:$J$142,8,FALSE),)</f>
        <v>0</v>
      </c>
      <c r="H200" s="372" t="s">
        <v>3868</v>
      </c>
      <c r="I200" s="445" t="s">
        <v>3859</v>
      </c>
      <c r="J200" s="446"/>
      <c r="K200" s="386">
        <v>92885955</v>
      </c>
      <c r="L200" s="387"/>
      <c r="M200" s="388">
        <f t="shared" si="7"/>
        <v>92885955</v>
      </c>
      <c r="N200" s="388"/>
      <c r="O200" s="388">
        <f t="shared" si="8"/>
        <v>92885955</v>
      </c>
      <c r="P200" s="390"/>
      <c r="Q200" s="386">
        <v>142800000</v>
      </c>
      <c r="R200" s="394">
        <v>0</v>
      </c>
      <c r="S200" s="447"/>
    </row>
    <row r="201" spans="2:19" ht="19.5" hidden="1" customHeight="1">
      <c r="B201" s="29">
        <f t="shared" si="6"/>
        <v>191</v>
      </c>
      <c r="C201" s="30" t="s">
        <v>206</v>
      </c>
      <c r="D201" s="30" t="s">
        <v>225</v>
      </c>
      <c r="E201" s="163" t="s">
        <v>835</v>
      </c>
      <c r="F201" s="284" t="s">
        <v>1225</v>
      </c>
      <c r="G201" s="284">
        <f>IFERROR(VLOOKUP(E201,Assign!$C$2:$J$142,8,FALSE),)</f>
        <v>0</v>
      </c>
      <c r="H201" s="372" t="s">
        <v>3868</v>
      </c>
      <c r="I201" s="445" t="s">
        <v>3859</v>
      </c>
      <c r="J201" s="446"/>
      <c r="K201" s="386">
        <v>91000000</v>
      </c>
      <c r="L201" s="387"/>
      <c r="M201" s="388">
        <f t="shared" si="7"/>
        <v>91000000</v>
      </c>
      <c r="N201" s="388"/>
      <c r="O201" s="388">
        <f t="shared" si="8"/>
        <v>91000000</v>
      </c>
      <c r="P201" s="390"/>
      <c r="Q201" s="386">
        <v>109320000</v>
      </c>
      <c r="R201" s="394">
        <v>0</v>
      </c>
      <c r="S201" s="447"/>
    </row>
    <row r="202" spans="2:19" ht="19.5" hidden="1" customHeight="1">
      <c r="B202" s="29">
        <f t="shared" si="6"/>
        <v>192</v>
      </c>
      <c r="C202" s="30" t="s">
        <v>206</v>
      </c>
      <c r="D202" s="30" t="s">
        <v>225</v>
      </c>
      <c r="E202" s="163" t="s">
        <v>836</v>
      </c>
      <c r="F202" s="284" t="s">
        <v>1231</v>
      </c>
      <c r="G202" s="284">
        <f>IFERROR(VLOOKUP(E202,Assign!$C$2:$J$142,8,FALSE),)</f>
        <v>0</v>
      </c>
      <c r="H202" s="372" t="s">
        <v>3868</v>
      </c>
      <c r="I202" s="445" t="s">
        <v>3859</v>
      </c>
      <c r="J202" s="446"/>
      <c r="K202" s="386">
        <v>89000000</v>
      </c>
      <c r="L202" s="387"/>
      <c r="M202" s="388">
        <f t="shared" si="7"/>
        <v>89000000</v>
      </c>
      <c r="N202" s="388"/>
      <c r="O202" s="388">
        <f t="shared" si="8"/>
        <v>89000000</v>
      </c>
      <c r="P202" s="390"/>
      <c r="Q202" s="386">
        <v>110400000</v>
      </c>
      <c r="R202" s="394">
        <v>0</v>
      </c>
      <c r="S202" s="447"/>
    </row>
    <row r="203" spans="2:19" ht="19.5" hidden="1" customHeight="1">
      <c r="B203" s="29">
        <f t="shared" ref="B203:B266" si="9">ROW()-10</f>
        <v>193</v>
      </c>
      <c r="C203" s="30" t="s">
        <v>206</v>
      </c>
      <c r="D203" s="30" t="s">
        <v>225</v>
      </c>
      <c r="E203" s="163" t="s">
        <v>837</v>
      </c>
      <c r="F203" s="284" t="s">
        <v>1218</v>
      </c>
      <c r="G203" s="284">
        <f>IFERROR(VLOOKUP(E203,Assign!$C$2:$J$142,8,FALSE),)</f>
        <v>0</v>
      </c>
      <c r="H203" s="372" t="s">
        <v>3869</v>
      </c>
      <c r="I203" s="445" t="s">
        <v>3859</v>
      </c>
      <c r="J203" s="446"/>
      <c r="K203" s="386">
        <v>88374798</v>
      </c>
      <c r="L203" s="387"/>
      <c r="M203" s="388">
        <f t="shared" ref="M203:M266" si="10">SUM(K203:L203)</f>
        <v>88374798</v>
      </c>
      <c r="N203" s="388"/>
      <c r="O203" s="388">
        <f t="shared" ref="O203:O266" si="11">SUM(M203:N203)</f>
        <v>88374798</v>
      </c>
      <c r="P203" s="390"/>
      <c r="Q203" s="386">
        <v>126000000</v>
      </c>
      <c r="R203" s="394">
        <v>0</v>
      </c>
      <c r="S203" s="447"/>
    </row>
    <row r="204" spans="2:19" ht="19.5" hidden="1" customHeight="1">
      <c r="B204" s="29">
        <f t="shared" si="9"/>
        <v>194</v>
      </c>
      <c r="C204" s="30" t="s">
        <v>206</v>
      </c>
      <c r="D204" s="30" t="s">
        <v>225</v>
      </c>
      <c r="E204" s="163" t="s">
        <v>838</v>
      </c>
      <c r="F204" s="284" t="s">
        <v>1223</v>
      </c>
      <c r="G204" s="284">
        <f>IFERROR(VLOOKUP(E204,Assign!$C$2:$J$142,8,FALSE),)</f>
        <v>0</v>
      </c>
      <c r="H204" s="372" t="s">
        <v>3869</v>
      </c>
      <c r="I204" s="445" t="s">
        <v>3859</v>
      </c>
      <c r="J204" s="446"/>
      <c r="K204" s="386">
        <v>87609998</v>
      </c>
      <c r="L204" s="387"/>
      <c r="M204" s="388">
        <f t="shared" si="10"/>
        <v>87609998</v>
      </c>
      <c r="N204" s="388"/>
      <c r="O204" s="388">
        <f t="shared" si="11"/>
        <v>87609998</v>
      </c>
      <c r="P204" s="390"/>
      <c r="Q204" s="386">
        <v>122400000</v>
      </c>
      <c r="R204" s="394">
        <v>0</v>
      </c>
      <c r="S204" s="447"/>
    </row>
    <row r="205" spans="2:19" ht="19.5" hidden="1" customHeight="1">
      <c r="B205" s="29">
        <f t="shared" si="9"/>
        <v>195</v>
      </c>
      <c r="C205" s="30" t="s">
        <v>206</v>
      </c>
      <c r="D205" s="30" t="s">
        <v>225</v>
      </c>
      <c r="E205" s="163" t="s">
        <v>839</v>
      </c>
      <c r="F205" s="284" t="s">
        <v>1260</v>
      </c>
      <c r="G205" s="284">
        <f>IFERROR(VLOOKUP(E205,Assign!$C$2:$J$142,8,FALSE),)</f>
        <v>0</v>
      </c>
      <c r="H205" s="372" t="s">
        <v>3869</v>
      </c>
      <c r="I205" s="445" t="s">
        <v>3859</v>
      </c>
      <c r="J205" s="446"/>
      <c r="K205" s="386">
        <v>86500952</v>
      </c>
      <c r="L205" s="387"/>
      <c r="M205" s="388">
        <f t="shared" si="10"/>
        <v>86500952</v>
      </c>
      <c r="N205" s="388"/>
      <c r="O205" s="388">
        <f t="shared" si="11"/>
        <v>86500952</v>
      </c>
      <c r="P205" s="390"/>
      <c r="Q205" s="386">
        <v>117600000</v>
      </c>
      <c r="R205" s="394">
        <v>0</v>
      </c>
      <c r="S205" s="447"/>
    </row>
    <row r="206" spans="2:19" ht="19.5" customHeight="1">
      <c r="B206" s="29">
        <f t="shared" si="9"/>
        <v>196</v>
      </c>
      <c r="C206" s="30" t="s">
        <v>206</v>
      </c>
      <c r="D206" s="30" t="s">
        <v>225</v>
      </c>
      <c r="E206" s="491" t="s">
        <v>840</v>
      </c>
      <c r="F206" s="284" t="s">
        <v>1219</v>
      </c>
      <c r="G206" s="284" t="str">
        <f>IFERROR(VLOOKUP(E206,Assign!$C$2:$J$142,8,FALSE),)</f>
        <v>문선영</v>
      </c>
      <c r="H206" s="372" t="s">
        <v>3868</v>
      </c>
      <c r="I206" s="445" t="s">
        <v>3859</v>
      </c>
      <c r="J206" s="446"/>
      <c r="K206" s="386">
        <v>85999944</v>
      </c>
      <c r="L206" s="387"/>
      <c r="M206" s="388">
        <f t="shared" si="10"/>
        <v>85999944</v>
      </c>
      <c r="N206" s="388"/>
      <c r="O206" s="388">
        <f t="shared" si="11"/>
        <v>85999944</v>
      </c>
      <c r="P206" s="390"/>
      <c r="Q206" s="386">
        <v>102000000</v>
      </c>
      <c r="R206" s="394">
        <v>168300000</v>
      </c>
      <c r="S206" s="447"/>
    </row>
    <row r="207" spans="2:19" ht="19.5" customHeight="1">
      <c r="B207" s="29">
        <f t="shared" si="9"/>
        <v>197</v>
      </c>
      <c r="C207" s="30" t="s">
        <v>206</v>
      </c>
      <c r="D207" s="30" t="s">
        <v>225</v>
      </c>
      <c r="E207" s="491" t="s">
        <v>841</v>
      </c>
      <c r="F207" s="284" t="s">
        <v>1217</v>
      </c>
      <c r="G207" s="284" t="str">
        <f>IFERROR(VLOOKUP(E207,Assign!$C$2:$J$142,8,FALSE),)</f>
        <v>문선영</v>
      </c>
      <c r="H207" s="372" t="s">
        <v>3868</v>
      </c>
      <c r="I207" s="445" t="s">
        <v>3859</v>
      </c>
      <c r="J207" s="446"/>
      <c r="K207" s="386">
        <v>85500000</v>
      </c>
      <c r="L207" s="387"/>
      <c r="M207" s="388">
        <f t="shared" si="10"/>
        <v>85500000</v>
      </c>
      <c r="N207" s="388"/>
      <c r="O207" s="388">
        <f t="shared" si="11"/>
        <v>85500000</v>
      </c>
      <c r="P207" s="390"/>
      <c r="Q207" s="386">
        <v>99000000</v>
      </c>
      <c r="R207" s="394">
        <v>158400000</v>
      </c>
      <c r="S207" s="447"/>
    </row>
    <row r="208" spans="2:19" ht="19.5" hidden="1" customHeight="1">
      <c r="B208" s="29">
        <f t="shared" si="9"/>
        <v>198</v>
      </c>
      <c r="C208" s="30" t="s">
        <v>206</v>
      </c>
      <c r="D208" s="30" t="s">
        <v>225</v>
      </c>
      <c r="E208" s="163" t="s">
        <v>842</v>
      </c>
      <c r="F208" s="284" t="s">
        <v>1238</v>
      </c>
      <c r="G208" s="284">
        <f>IFERROR(VLOOKUP(E208,Assign!$C$2:$J$142,8,FALSE),)</f>
        <v>0</v>
      </c>
      <c r="H208" s="372" t="s">
        <v>3869</v>
      </c>
      <c r="I208" s="445" t="s">
        <v>3859</v>
      </c>
      <c r="J208" s="446"/>
      <c r="K208" s="386">
        <v>84500000</v>
      </c>
      <c r="L208" s="387"/>
      <c r="M208" s="388">
        <f t="shared" si="10"/>
        <v>84500000</v>
      </c>
      <c r="N208" s="388"/>
      <c r="O208" s="388">
        <f t="shared" si="11"/>
        <v>84500000</v>
      </c>
      <c r="P208" s="390"/>
      <c r="Q208" s="386">
        <v>103200000</v>
      </c>
      <c r="R208" s="394">
        <v>0</v>
      </c>
      <c r="S208" s="447"/>
    </row>
    <row r="209" spans="2:19" ht="19.5" hidden="1" customHeight="1">
      <c r="B209" s="29">
        <f t="shared" si="9"/>
        <v>199</v>
      </c>
      <c r="C209" s="30" t="s">
        <v>206</v>
      </c>
      <c r="D209" s="30" t="s">
        <v>225</v>
      </c>
      <c r="E209" s="163" t="s">
        <v>843</v>
      </c>
      <c r="F209" s="284" t="s">
        <v>1257</v>
      </c>
      <c r="G209" s="284">
        <f>IFERROR(VLOOKUP(E209,Assign!$C$2:$J$142,8,FALSE),)</f>
        <v>0</v>
      </c>
      <c r="H209" s="372" t="s">
        <v>3869</v>
      </c>
      <c r="I209" s="445" t="s">
        <v>3859</v>
      </c>
      <c r="J209" s="446"/>
      <c r="K209" s="386">
        <v>83503774</v>
      </c>
      <c r="L209" s="387"/>
      <c r="M209" s="388">
        <f t="shared" si="10"/>
        <v>83503774</v>
      </c>
      <c r="N209" s="388"/>
      <c r="O209" s="388">
        <f t="shared" si="11"/>
        <v>83503774</v>
      </c>
      <c r="P209" s="390"/>
      <c r="Q209" s="386">
        <v>98000000</v>
      </c>
      <c r="R209" s="394">
        <v>0</v>
      </c>
      <c r="S209" s="447"/>
    </row>
    <row r="210" spans="2:19" ht="19.5" hidden="1" customHeight="1">
      <c r="B210" s="29">
        <f t="shared" si="9"/>
        <v>200</v>
      </c>
      <c r="C210" s="30" t="s">
        <v>206</v>
      </c>
      <c r="D210" s="30" t="s">
        <v>225</v>
      </c>
      <c r="E210" s="163" t="s">
        <v>844</v>
      </c>
      <c r="F210" s="284" t="s">
        <v>1261</v>
      </c>
      <c r="G210" s="284">
        <f>IFERROR(VLOOKUP(E210,Assign!$C$2:$J$142,8,FALSE),)</f>
        <v>0</v>
      </c>
      <c r="H210" s="372" t="s">
        <v>3868</v>
      </c>
      <c r="I210" s="445" t="s">
        <v>3859</v>
      </c>
      <c r="J210" s="446"/>
      <c r="K210" s="386">
        <v>83000000</v>
      </c>
      <c r="L210" s="387"/>
      <c r="M210" s="388">
        <f t="shared" si="10"/>
        <v>83000000</v>
      </c>
      <c r="N210" s="388"/>
      <c r="O210" s="388">
        <f t="shared" si="11"/>
        <v>83000000</v>
      </c>
      <c r="P210" s="390"/>
      <c r="Q210" s="386">
        <v>99600000</v>
      </c>
      <c r="R210" s="394">
        <v>0</v>
      </c>
      <c r="S210" s="447"/>
    </row>
    <row r="211" spans="2:19" ht="19.5" hidden="1" customHeight="1">
      <c r="B211" s="29">
        <f t="shared" si="9"/>
        <v>201</v>
      </c>
      <c r="C211" s="30" t="s">
        <v>206</v>
      </c>
      <c r="D211" s="30" t="s">
        <v>225</v>
      </c>
      <c r="E211" s="163" t="s">
        <v>845</v>
      </c>
      <c r="F211" s="284" t="s">
        <v>1262</v>
      </c>
      <c r="G211" s="284">
        <f>IFERROR(VLOOKUP(E211,Assign!$C$2:$J$142,8,FALSE),)</f>
        <v>0</v>
      </c>
      <c r="H211" s="372" t="s">
        <v>3869</v>
      </c>
      <c r="I211" s="445" t="s">
        <v>3859</v>
      </c>
      <c r="J211" s="446"/>
      <c r="K211" s="386">
        <v>82970915</v>
      </c>
      <c r="L211" s="387"/>
      <c r="M211" s="388">
        <f t="shared" si="10"/>
        <v>82970915</v>
      </c>
      <c r="N211" s="388"/>
      <c r="O211" s="388">
        <f t="shared" si="11"/>
        <v>82970915</v>
      </c>
      <c r="P211" s="390"/>
      <c r="Q211" s="386">
        <v>168000000</v>
      </c>
      <c r="R211" s="394">
        <v>0</v>
      </c>
      <c r="S211" s="447"/>
    </row>
    <row r="212" spans="2:19" ht="19.5" hidden="1" customHeight="1">
      <c r="B212" s="29">
        <f t="shared" si="9"/>
        <v>202</v>
      </c>
      <c r="C212" s="30" t="s">
        <v>206</v>
      </c>
      <c r="D212" s="30" t="s">
        <v>225</v>
      </c>
      <c r="E212" s="163" t="s">
        <v>846</v>
      </c>
      <c r="F212" s="284" t="s">
        <v>1217</v>
      </c>
      <c r="G212" s="284">
        <f>IFERROR(VLOOKUP(E212,Assign!$C$2:$J$142,8,FALSE),)</f>
        <v>0</v>
      </c>
      <c r="H212" s="372" t="s">
        <v>3868</v>
      </c>
      <c r="I212" s="445" t="s">
        <v>3859</v>
      </c>
      <c r="J212" s="446"/>
      <c r="K212" s="386">
        <v>81750000</v>
      </c>
      <c r="L212" s="387"/>
      <c r="M212" s="388">
        <f t="shared" si="10"/>
        <v>81750000</v>
      </c>
      <c r="N212" s="388"/>
      <c r="O212" s="388">
        <f t="shared" si="11"/>
        <v>81750000</v>
      </c>
      <c r="P212" s="390"/>
      <c r="Q212" s="386">
        <v>120000000</v>
      </c>
      <c r="R212" s="394">
        <v>162800000</v>
      </c>
      <c r="S212" s="447"/>
    </row>
    <row r="213" spans="2:19" ht="19.5" hidden="1" customHeight="1">
      <c r="B213" s="29">
        <f t="shared" si="9"/>
        <v>203</v>
      </c>
      <c r="C213" s="30" t="s">
        <v>206</v>
      </c>
      <c r="D213" s="30" t="s">
        <v>225</v>
      </c>
      <c r="E213" s="163" t="s">
        <v>847</v>
      </c>
      <c r="F213" s="284" t="s">
        <v>1232</v>
      </c>
      <c r="G213" s="284">
        <f>IFERROR(VLOOKUP(E213,Assign!$C$2:$J$142,8,FALSE),)</f>
        <v>0</v>
      </c>
      <c r="H213" s="372" t="s">
        <v>3868</v>
      </c>
      <c r="I213" s="445" t="s">
        <v>3859</v>
      </c>
      <c r="J213" s="446"/>
      <c r="K213" s="386">
        <v>81550000</v>
      </c>
      <c r="L213" s="387"/>
      <c r="M213" s="388">
        <f t="shared" si="10"/>
        <v>81550000</v>
      </c>
      <c r="N213" s="388"/>
      <c r="O213" s="388">
        <f t="shared" si="11"/>
        <v>81550000</v>
      </c>
      <c r="P213" s="390"/>
      <c r="Q213" s="386">
        <v>118800000</v>
      </c>
      <c r="R213" s="394">
        <v>0</v>
      </c>
      <c r="S213" s="447"/>
    </row>
    <row r="214" spans="2:19" ht="19.5" hidden="1" customHeight="1">
      <c r="B214" s="29">
        <f t="shared" si="9"/>
        <v>204</v>
      </c>
      <c r="C214" s="30" t="s">
        <v>206</v>
      </c>
      <c r="D214" s="30" t="s">
        <v>225</v>
      </c>
      <c r="E214" s="163" t="s">
        <v>848</v>
      </c>
      <c r="F214" s="284" t="s">
        <v>1231</v>
      </c>
      <c r="G214" s="284">
        <f>IFERROR(VLOOKUP(E214,Assign!$C$2:$J$142,8,FALSE),)</f>
        <v>0</v>
      </c>
      <c r="H214" s="372" t="s">
        <v>3868</v>
      </c>
      <c r="I214" s="445" t="s">
        <v>3859</v>
      </c>
      <c r="J214" s="446"/>
      <c r="K214" s="386">
        <v>77893293</v>
      </c>
      <c r="L214" s="387"/>
      <c r="M214" s="388">
        <f t="shared" si="10"/>
        <v>77893293</v>
      </c>
      <c r="N214" s="388"/>
      <c r="O214" s="388">
        <f t="shared" si="11"/>
        <v>77893293</v>
      </c>
      <c r="P214" s="390"/>
      <c r="Q214" s="386">
        <v>180000000</v>
      </c>
      <c r="R214" s="394">
        <v>0</v>
      </c>
      <c r="S214" s="447"/>
    </row>
    <row r="215" spans="2:19" ht="19.5" customHeight="1">
      <c r="B215" s="29">
        <f t="shared" si="9"/>
        <v>205</v>
      </c>
      <c r="C215" s="30" t="s">
        <v>206</v>
      </c>
      <c r="D215" s="30" t="s">
        <v>225</v>
      </c>
      <c r="E215" s="491" t="s">
        <v>849</v>
      </c>
      <c r="F215" s="284" t="s">
        <v>1217</v>
      </c>
      <c r="G215" s="284" t="str">
        <f>IFERROR(VLOOKUP(E215,Assign!$C$2:$J$142,8,FALSE),)</f>
        <v>문선영</v>
      </c>
      <c r="H215" s="372" t="s">
        <v>3868</v>
      </c>
      <c r="I215" s="445" t="s">
        <v>3859</v>
      </c>
      <c r="J215" s="446"/>
      <c r="K215" s="386">
        <v>77900000</v>
      </c>
      <c r="L215" s="387"/>
      <c r="M215" s="388">
        <f t="shared" si="10"/>
        <v>77900000</v>
      </c>
      <c r="N215" s="388"/>
      <c r="O215" s="388">
        <f t="shared" si="11"/>
        <v>77900000</v>
      </c>
      <c r="P215" s="390"/>
      <c r="Q215" s="386">
        <v>65000000</v>
      </c>
      <c r="R215" s="394">
        <v>0</v>
      </c>
      <c r="S215" s="447"/>
    </row>
    <row r="216" spans="2:19" ht="19.5" hidden="1" customHeight="1">
      <c r="B216" s="29">
        <f t="shared" si="9"/>
        <v>206</v>
      </c>
      <c r="C216" s="30" t="s">
        <v>206</v>
      </c>
      <c r="D216" s="30" t="s">
        <v>225</v>
      </c>
      <c r="E216" s="163" t="s">
        <v>850</v>
      </c>
      <c r="F216" s="284" t="s">
        <v>1229</v>
      </c>
      <c r="G216" s="284">
        <f>IFERROR(VLOOKUP(E216,Assign!$C$2:$J$142,8,FALSE),)</f>
        <v>0</v>
      </c>
      <c r="H216" s="372" t="s">
        <v>3869</v>
      </c>
      <c r="I216" s="445" t="s">
        <v>3859</v>
      </c>
      <c r="J216" s="446"/>
      <c r="K216" s="386">
        <v>75366262</v>
      </c>
      <c r="L216" s="387"/>
      <c r="M216" s="388">
        <f t="shared" si="10"/>
        <v>75366262</v>
      </c>
      <c r="N216" s="388"/>
      <c r="O216" s="388">
        <f t="shared" si="11"/>
        <v>75366262</v>
      </c>
      <c r="P216" s="390"/>
      <c r="Q216" s="386">
        <v>123600000</v>
      </c>
      <c r="R216" s="394">
        <v>0</v>
      </c>
      <c r="S216" s="447"/>
    </row>
    <row r="217" spans="2:19" ht="19.5" customHeight="1">
      <c r="B217" s="29">
        <f t="shared" si="9"/>
        <v>207</v>
      </c>
      <c r="C217" s="30" t="s">
        <v>206</v>
      </c>
      <c r="D217" s="30" t="s">
        <v>225</v>
      </c>
      <c r="E217" s="491" t="s">
        <v>851</v>
      </c>
      <c r="F217" s="284" t="s">
        <v>1225</v>
      </c>
      <c r="G217" s="284" t="str">
        <f>IFERROR(VLOOKUP(E217,Assign!$C$2:$J$142,8,FALSE),)</f>
        <v>문선영</v>
      </c>
      <c r="H217" s="372" t="s">
        <v>3868</v>
      </c>
      <c r="I217" s="445" t="s">
        <v>3859</v>
      </c>
      <c r="J217" s="446"/>
      <c r="K217" s="386">
        <v>74000000</v>
      </c>
      <c r="L217" s="387"/>
      <c r="M217" s="388">
        <f t="shared" si="10"/>
        <v>74000000</v>
      </c>
      <c r="N217" s="388"/>
      <c r="O217" s="388">
        <f t="shared" si="11"/>
        <v>74000000</v>
      </c>
      <c r="P217" s="390"/>
      <c r="Q217" s="386">
        <v>126000000</v>
      </c>
      <c r="R217" s="394">
        <v>197100000</v>
      </c>
      <c r="S217" s="447"/>
    </row>
    <row r="218" spans="2:19" ht="19.5" hidden="1" customHeight="1">
      <c r="B218" s="29">
        <f t="shared" si="9"/>
        <v>208</v>
      </c>
      <c r="C218" s="30" t="s">
        <v>206</v>
      </c>
      <c r="D218" s="30" t="s">
        <v>225</v>
      </c>
      <c r="E218" s="163" t="s">
        <v>852</v>
      </c>
      <c r="F218" s="284" t="s">
        <v>1263</v>
      </c>
      <c r="G218" s="284">
        <f>IFERROR(VLOOKUP(E218,Assign!$C$2:$J$142,8,FALSE),)</f>
        <v>0</v>
      </c>
      <c r="H218" s="372" t="s">
        <v>3869</v>
      </c>
      <c r="I218" s="445" t="s">
        <v>3859</v>
      </c>
      <c r="J218" s="446"/>
      <c r="K218" s="386">
        <v>71677493</v>
      </c>
      <c r="L218" s="387"/>
      <c r="M218" s="388">
        <f t="shared" si="10"/>
        <v>71677493</v>
      </c>
      <c r="N218" s="388"/>
      <c r="O218" s="388">
        <f t="shared" si="11"/>
        <v>71677493</v>
      </c>
      <c r="P218" s="390"/>
      <c r="Q218" s="386">
        <v>109200000</v>
      </c>
      <c r="R218" s="394">
        <v>0</v>
      </c>
      <c r="S218" s="447"/>
    </row>
    <row r="219" spans="2:19" ht="19.5" customHeight="1">
      <c r="B219" s="29">
        <f t="shared" si="9"/>
        <v>209</v>
      </c>
      <c r="C219" s="30" t="s">
        <v>206</v>
      </c>
      <c r="D219" s="30" t="s">
        <v>225</v>
      </c>
      <c r="E219" s="491" t="s">
        <v>853</v>
      </c>
      <c r="F219" s="284" t="s">
        <v>1264</v>
      </c>
      <c r="G219" s="284" t="str">
        <f>IFERROR(VLOOKUP(E219,Assign!$C$2:$J$142,8,FALSE),)</f>
        <v>문선영</v>
      </c>
      <c r="H219" s="372" t="s">
        <v>3869</v>
      </c>
      <c r="I219" s="445" t="s">
        <v>3859</v>
      </c>
      <c r="J219" s="446"/>
      <c r="K219" s="386">
        <v>71272198</v>
      </c>
      <c r="L219" s="387"/>
      <c r="M219" s="388">
        <f t="shared" si="10"/>
        <v>71272198</v>
      </c>
      <c r="N219" s="388"/>
      <c r="O219" s="388">
        <f t="shared" si="11"/>
        <v>71272198</v>
      </c>
      <c r="P219" s="390"/>
      <c r="Q219" s="386">
        <v>86400000</v>
      </c>
      <c r="R219" s="394">
        <v>0</v>
      </c>
      <c r="S219" s="447"/>
    </row>
    <row r="220" spans="2:19" ht="19.5" hidden="1" customHeight="1">
      <c r="B220" s="29">
        <f t="shared" si="9"/>
        <v>210</v>
      </c>
      <c r="C220" s="30" t="s">
        <v>206</v>
      </c>
      <c r="D220" s="30" t="s">
        <v>225</v>
      </c>
      <c r="E220" s="163" t="s">
        <v>854</v>
      </c>
      <c r="F220" s="284" t="s">
        <v>1229</v>
      </c>
      <c r="G220" s="284">
        <f>IFERROR(VLOOKUP(E220,Assign!$C$2:$J$142,8,FALSE),)</f>
        <v>0</v>
      </c>
      <c r="H220" s="372" t="s">
        <v>3868</v>
      </c>
      <c r="I220" s="445" t="s">
        <v>3859</v>
      </c>
      <c r="J220" s="446"/>
      <c r="K220" s="386">
        <v>70000000</v>
      </c>
      <c r="L220" s="387"/>
      <c r="M220" s="388">
        <f t="shared" si="10"/>
        <v>70000000</v>
      </c>
      <c r="N220" s="388"/>
      <c r="O220" s="388">
        <f t="shared" si="11"/>
        <v>70000000</v>
      </c>
      <c r="P220" s="390"/>
      <c r="Q220" s="386">
        <v>84000000</v>
      </c>
      <c r="R220" s="394">
        <v>0</v>
      </c>
      <c r="S220" s="447"/>
    </row>
    <row r="221" spans="2:19" ht="19.5" hidden="1" customHeight="1">
      <c r="B221" s="29">
        <f t="shared" si="9"/>
        <v>211</v>
      </c>
      <c r="C221" s="30" t="s">
        <v>206</v>
      </c>
      <c r="D221" s="30" t="s">
        <v>225</v>
      </c>
      <c r="E221" s="163" t="s">
        <v>855</v>
      </c>
      <c r="F221" s="284" t="s">
        <v>1235</v>
      </c>
      <c r="G221" s="284">
        <f>IFERROR(VLOOKUP(E221,Assign!$C$2:$J$142,8,FALSE),)</f>
        <v>0</v>
      </c>
      <c r="H221" s="372" t="s">
        <v>3868</v>
      </c>
      <c r="I221" s="445" t="s">
        <v>3859</v>
      </c>
      <c r="J221" s="446"/>
      <c r="K221" s="386">
        <v>70000000</v>
      </c>
      <c r="L221" s="387"/>
      <c r="M221" s="388">
        <f t="shared" si="10"/>
        <v>70000000</v>
      </c>
      <c r="N221" s="388"/>
      <c r="O221" s="388">
        <f t="shared" si="11"/>
        <v>70000000</v>
      </c>
      <c r="P221" s="390"/>
      <c r="Q221" s="386">
        <v>84000000</v>
      </c>
      <c r="R221" s="394">
        <v>0</v>
      </c>
      <c r="S221" s="447"/>
    </row>
    <row r="222" spans="2:19" ht="19.5" hidden="1" customHeight="1">
      <c r="B222" s="29">
        <f t="shared" si="9"/>
        <v>212</v>
      </c>
      <c r="C222" s="30" t="s">
        <v>206</v>
      </c>
      <c r="D222" s="30" t="s">
        <v>225</v>
      </c>
      <c r="E222" s="163" t="s">
        <v>856</v>
      </c>
      <c r="F222" s="284" t="s">
        <v>1263</v>
      </c>
      <c r="G222" s="284">
        <f>IFERROR(VLOOKUP(E222,Assign!$C$2:$J$142,8,FALSE),)</f>
        <v>0</v>
      </c>
      <c r="H222" s="372" t="s">
        <v>3869</v>
      </c>
      <c r="I222" s="445" t="s">
        <v>3859</v>
      </c>
      <c r="J222" s="446"/>
      <c r="K222" s="386">
        <v>69999804</v>
      </c>
      <c r="L222" s="387"/>
      <c r="M222" s="388">
        <f t="shared" si="10"/>
        <v>69999804</v>
      </c>
      <c r="N222" s="388"/>
      <c r="O222" s="388">
        <f t="shared" si="11"/>
        <v>69999804</v>
      </c>
      <c r="P222" s="390"/>
      <c r="Q222" s="386">
        <v>120000000</v>
      </c>
      <c r="R222" s="394">
        <v>0</v>
      </c>
      <c r="S222" s="447"/>
    </row>
    <row r="223" spans="2:19" ht="19.5" hidden="1" customHeight="1">
      <c r="B223" s="29">
        <f t="shared" si="9"/>
        <v>213</v>
      </c>
      <c r="C223" s="30" t="s">
        <v>206</v>
      </c>
      <c r="D223" s="30" t="s">
        <v>225</v>
      </c>
      <c r="E223" s="163" t="s">
        <v>857</v>
      </c>
      <c r="F223" s="284" t="s">
        <v>1251</v>
      </c>
      <c r="G223" s="284">
        <f>IFERROR(VLOOKUP(E223,Assign!$C$2:$J$142,8,FALSE),)</f>
        <v>0</v>
      </c>
      <c r="H223" s="372" t="s">
        <v>3869</v>
      </c>
      <c r="I223" s="445" t="s">
        <v>3859</v>
      </c>
      <c r="J223" s="446"/>
      <c r="K223" s="386">
        <v>69770576</v>
      </c>
      <c r="L223" s="387"/>
      <c r="M223" s="388">
        <f t="shared" si="10"/>
        <v>69770576</v>
      </c>
      <c r="N223" s="388"/>
      <c r="O223" s="388">
        <f t="shared" si="11"/>
        <v>69770576</v>
      </c>
      <c r="P223" s="390"/>
      <c r="Q223" s="386">
        <v>79800000</v>
      </c>
      <c r="R223" s="394">
        <v>0</v>
      </c>
      <c r="S223" s="447"/>
    </row>
    <row r="224" spans="2:19" ht="19.5" hidden="1" customHeight="1">
      <c r="B224" s="29">
        <f t="shared" si="9"/>
        <v>214</v>
      </c>
      <c r="C224" s="30" t="s">
        <v>206</v>
      </c>
      <c r="D224" s="30" t="s">
        <v>225</v>
      </c>
      <c r="E224" s="163" t="s">
        <v>858</v>
      </c>
      <c r="F224" s="284" t="s">
        <v>1225</v>
      </c>
      <c r="G224" s="284">
        <f>IFERROR(VLOOKUP(E224,Assign!$C$2:$J$142,8,FALSE),)</f>
        <v>0</v>
      </c>
      <c r="H224" s="372" t="s">
        <v>3869</v>
      </c>
      <c r="I224" s="445" t="s">
        <v>3859</v>
      </c>
      <c r="J224" s="446"/>
      <c r="K224" s="386">
        <v>68736226</v>
      </c>
      <c r="L224" s="387"/>
      <c r="M224" s="388">
        <f t="shared" si="10"/>
        <v>68736226</v>
      </c>
      <c r="N224" s="388"/>
      <c r="O224" s="388">
        <f t="shared" si="11"/>
        <v>68736226</v>
      </c>
      <c r="P224" s="390"/>
      <c r="Q224" s="386">
        <v>77990000</v>
      </c>
      <c r="R224" s="394">
        <v>0</v>
      </c>
      <c r="S224" s="447"/>
    </row>
    <row r="225" spans="2:19" ht="19.5" hidden="1" customHeight="1">
      <c r="B225" s="29">
        <f t="shared" si="9"/>
        <v>215</v>
      </c>
      <c r="C225" s="30" t="s">
        <v>206</v>
      </c>
      <c r="D225" s="30" t="s">
        <v>225</v>
      </c>
      <c r="E225" s="163" t="s">
        <v>859</v>
      </c>
      <c r="F225" s="284" t="s">
        <v>1223</v>
      </c>
      <c r="G225" s="284">
        <f>IFERROR(VLOOKUP(E225,Assign!$C$2:$J$142,8,FALSE),)</f>
        <v>0</v>
      </c>
      <c r="H225" s="372" t="s">
        <v>3869</v>
      </c>
      <c r="I225" s="445" t="s">
        <v>3859</v>
      </c>
      <c r="J225" s="446" t="s">
        <v>3636</v>
      </c>
      <c r="K225" s="386">
        <v>67443873</v>
      </c>
      <c r="L225" s="387"/>
      <c r="M225" s="388">
        <f t="shared" si="10"/>
        <v>67443873</v>
      </c>
      <c r="N225" s="388"/>
      <c r="O225" s="388">
        <f t="shared" si="11"/>
        <v>67443873</v>
      </c>
      <c r="P225" s="390"/>
      <c r="Q225" s="386">
        <v>120000000</v>
      </c>
      <c r="R225" s="394">
        <v>150000000</v>
      </c>
      <c r="S225" s="447"/>
    </row>
    <row r="226" spans="2:19" ht="19.5" hidden="1" customHeight="1">
      <c r="B226" s="29">
        <f t="shared" si="9"/>
        <v>216</v>
      </c>
      <c r="C226" s="30" t="s">
        <v>206</v>
      </c>
      <c r="D226" s="30" t="s">
        <v>225</v>
      </c>
      <c r="E226" s="163" t="s">
        <v>860</v>
      </c>
      <c r="F226" s="284" t="s">
        <v>1229</v>
      </c>
      <c r="G226" s="284">
        <f>IFERROR(VLOOKUP(E226,Assign!$C$2:$J$142,8,FALSE),)</f>
        <v>0</v>
      </c>
      <c r="H226" s="372" t="s">
        <v>3869</v>
      </c>
      <c r="I226" s="445" t="s">
        <v>3859</v>
      </c>
      <c r="J226" s="446"/>
      <c r="K226" s="386">
        <v>67071744</v>
      </c>
      <c r="L226" s="387"/>
      <c r="M226" s="388">
        <f t="shared" si="10"/>
        <v>67071744</v>
      </c>
      <c r="N226" s="388"/>
      <c r="O226" s="388">
        <f t="shared" si="11"/>
        <v>67071744</v>
      </c>
      <c r="P226" s="390"/>
      <c r="Q226" s="386">
        <v>76000000</v>
      </c>
      <c r="R226" s="394">
        <v>0</v>
      </c>
      <c r="S226" s="447"/>
    </row>
    <row r="227" spans="2:19" ht="19.5" hidden="1" customHeight="1">
      <c r="B227" s="29">
        <f t="shared" si="9"/>
        <v>217</v>
      </c>
      <c r="C227" s="30" t="s">
        <v>206</v>
      </c>
      <c r="D227" s="30" t="s">
        <v>225</v>
      </c>
      <c r="E227" s="163" t="s">
        <v>861</v>
      </c>
      <c r="F227" s="284" t="s">
        <v>1229</v>
      </c>
      <c r="G227" s="284">
        <f>IFERROR(VLOOKUP(E227,Assign!$C$2:$J$142,8,FALSE),)</f>
        <v>0</v>
      </c>
      <c r="H227" s="372" t="s">
        <v>3868</v>
      </c>
      <c r="I227" s="445" t="s">
        <v>3859</v>
      </c>
      <c r="J227" s="446"/>
      <c r="K227" s="386">
        <v>65480110</v>
      </c>
      <c r="L227" s="387"/>
      <c r="M227" s="388">
        <f t="shared" si="10"/>
        <v>65480110</v>
      </c>
      <c r="N227" s="388"/>
      <c r="O227" s="388">
        <f t="shared" si="11"/>
        <v>65480110</v>
      </c>
      <c r="P227" s="390"/>
      <c r="Q227" s="386">
        <v>84000000</v>
      </c>
      <c r="R227" s="394">
        <v>0</v>
      </c>
      <c r="S227" s="447"/>
    </row>
    <row r="228" spans="2:19" ht="19.5" customHeight="1">
      <c r="B228" s="29">
        <f t="shared" si="9"/>
        <v>218</v>
      </c>
      <c r="C228" s="30" t="s">
        <v>206</v>
      </c>
      <c r="D228" s="30" t="s">
        <v>225</v>
      </c>
      <c r="E228" s="491" t="s">
        <v>862</v>
      </c>
      <c r="F228" s="284" t="s">
        <v>1231</v>
      </c>
      <c r="G228" s="284" t="str">
        <f>IFERROR(VLOOKUP(E228,Assign!$C$2:$J$142,8,FALSE),)</f>
        <v>문선영</v>
      </c>
      <c r="H228" s="372" t="s">
        <v>3868</v>
      </c>
      <c r="I228" s="445" t="s">
        <v>3859</v>
      </c>
      <c r="J228" s="446"/>
      <c r="K228" s="386">
        <v>64742832</v>
      </c>
      <c r="L228" s="387"/>
      <c r="M228" s="388">
        <f t="shared" si="10"/>
        <v>64742832</v>
      </c>
      <c r="N228" s="388"/>
      <c r="O228" s="388">
        <f t="shared" si="11"/>
        <v>64742832</v>
      </c>
      <c r="P228" s="390"/>
      <c r="Q228" s="386">
        <v>148320000</v>
      </c>
      <c r="R228" s="394">
        <v>0</v>
      </c>
      <c r="S228" s="447"/>
    </row>
    <row r="229" spans="2:19" ht="19.5" customHeight="1">
      <c r="B229" s="29">
        <f t="shared" si="9"/>
        <v>219</v>
      </c>
      <c r="C229" s="30" t="s">
        <v>206</v>
      </c>
      <c r="D229" s="30" t="s">
        <v>225</v>
      </c>
      <c r="E229" s="491" t="s">
        <v>863</v>
      </c>
      <c r="F229" s="284" t="s">
        <v>1265</v>
      </c>
      <c r="G229" s="284" t="str">
        <f>IFERROR(VLOOKUP(E229,Assign!$C$2:$J$142,8,FALSE),)</f>
        <v>문선영</v>
      </c>
      <c r="H229" s="372" t="s">
        <v>3869</v>
      </c>
      <c r="I229" s="445" t="s">
        <v>3859</v>
      </c>
      <c r="J229" s="446"/>
      <c r="K229" s="386">
        <v>64400000</v>
      </c>
      <c r="L229" s="387"/>
      <c r="M229" s="388">
        <f t="shared" si="10"/>
        <v>64400000</v>
      </c>
      <c r="N229" s="388"/>
      <c r="O229" s="388">
        <f t="shared" si="11"/>
        <v>64400000</v>
      </c>
      <c r="P229" s="390"/>
      <c r="Q229" s="386">
        <v>77280000</v>
      </c>
      <c r="R229" s="394">
        <v>0</v>
      </c>
      <c r="S229" s="447"/>
    </row>
    <row r="230" spans="2:19" ht="19.5" hidden="1" customHeight="1">
      <c r="B230" s="29">
        <f t="shared" si="9"/>
        <v>220</v>
      </c>
      <c r="C230" s="30" t="s">
        <v>206</v>
      </c>
      <c r="D230" s="30" t="s">
        <v>225</v>
      </c>
      <c r="E230" s="163" t="s">
        <v>864</v>
      </c>
      <c r="F230" s="284" t="s">
        <v>1244</v>
      </c>
      <c r="G230" s="284">
        <f>IFERROR(VLOOKUP(E230,Assign!$C$2:$J$142,8,FALSE),)</f>
        <v>0</v>
      </c>
      <c r="H230" s="372" t="s">
        <v>3868</v>
      </c>
      <c r="I230" s="445" t="s">
        <v>3859</v>
      </c>
      <c r="J230" s="446"/>
      <c r="K230" s="386">
        <v>61200000</v>
      </c>
      <c r="L230" s="387"/>
      <c r="M230" s="388">
        <f t="shared" si="10"/>
        <v>61200000</v>
      </c>
      <c r="N230" s="388"/>
      <c r="O230" s="388">
        <f t="shared" si="11"/>
        <v>61200000</v>
      </c>
      <c r="P230" s="390"/>
      <c r="Q230" s="386">
        <v>81600000</v>
      </c>
      <c r="R230" s="394">
        <v>0</v>
      </c>
      <c r="S230" s="447"/>
    </row>
    <row r="231" spans="2:19" ht="19.5" customHeight="1">
      <c r="B231" s="29">
        <f t="shared" si="9"/>
        <v>221</v>
      </c>
      <c r="C231" s="30" t="s">
        <v>206</v>
      </c>
      <c r="D231" s="30" t="s">
        <v>225</v>
      </c>
      <c r="E231" s="491" t="s">
        <v>865</v>
      </c>
      <c r="F231" s="284" t="s">
        <v>1235</v>
      </c>
      <c r="G231" s="284" t="str">
        <f>IFERROR(VLOOKUP(E231,Assign!$C$2:$J$142,8,FALSE),)</f>
        <v>문선영</v>
      </c>
      <c r="H231" s="372" t="s">
        <v>3868</v>
      </c>
      <c r="I231" s="445" t="s">
        <v>3859</v>
      </c>
      <c r="J231" s="446"/>
      <c r="K231" s="386">
        <v>60000000</v>
      </c>
      <c r="L231" s="387"/>
      <c r="M231" s="388">
        <f t="shared" si="10"/>
        <v>60000000</v>
      </c>
      <c r="N231" s="388"/>
      <c r="O231" s="388">
        <f t="shared" si="11"/>
        <v>60000000</v>
      </c>
      <c r="P231" s="390"/>
      <c r="Q231" s="386">
        <v>108000000</v>
      </c>
      <c r="R231" s="394">
        <v>0</v>
      </c>
      <c r="S231" s="447"/>
    </row>
    <row r="232" spans="2:19" ht="19.5" hidden="1" customHeight="1">
      <c r="B232" s="29">
        <f t="shared" si="9"/>
        <v>222</v>
      </c>
      <c r="C232" s="30" t="s">
        <v>206</v>
      </c>
      <c r="D232" s="30" t="s">
        <v>225</v>
      </c>
      <c r="E232" s="163" t="s">
        <v>866</v>
      </c>
      <c r="F232" s="284" t="s">
        <v>1252</v>
      </c>
      <c r="G232" s="284">
        <f>IFERROR(VLOOKUP(E232,Assign!$C$2:$J$142,8,FALSE),)</f>
        <v>0</v>
      </c>
      <c r="H232" s="372" t="s">
        <v>3868</v>
      </c>
      <c r="I232" s="445" t="s">
        <v>3859</v>
      </c>
      <c r="J232" s="446"/>
      <c r="K232" s="386">
        <v>60000000</v>
      </c>
      <c r="L232" s="387"/>
      <c r="M232" s="388">
        <f t="shared" si="10"/>
        <v>60000000</v>
      </c>
      <c r="N232" s="388"/>
      <c r="O232" s="388">
        <f t="shared" si="11"/>
        <v>60000000</v>
      </c>
      <c r="P232" s="390"/>
      <c r="Q232" s="386">
        <v>120000000</v>
      </c>
      <c r="R232" s="394">
        <v>0</v>
      </c>
      <c r="S232" s="447"/>
    </row>
    <row r="233" spans="2:19" ht="19.5" hidden="1" customHeight="1">
      <c r="B233" s="29">
        <f t="shared" si="9"/>
        <v>223</v>
      </c>
      <c r="C233" s="30" t="s">
        <v>206</v>
      </c>
      <c r="D233" s="30" t="s">
        <v>225</v>
      </c>
      <c r="E233" s="163" t="s">
        <v>867</v>
      </c>
      <c r="F233" s="284" t="s">
        <v>1249</v>
      </c>
      <c r="G233" s="284">
        <f>IFERROR(VLOOKUP(E233,Assign!$C$2:$J$142,8,FALSE),)</f>
        <v>0</v>
      </c>
      <c r="H233" s="372" t="s">
        <v>3868</v>
      </c>
      <c r="I233" s="445" t="s">
        <v>3859</v>
      </c>
      <c r="J233" s="446"/>
      <c r="K233" s="386">
        <v>59000000</v>
      </c>
      <c r="L233" s="387"/>
      <c r="M233" s="388">
        <f t="shared" si="10"/>
        <v>59000000</v>
      </c>
      <c r="N233" s="388"/>
      <c r="O233" s="388">
        <f t="shared" si="11"/>
        <v>59000000</v>
      </c>
      <c r="P233" s="390"/>
      <c r="Q233" s="386">
        <v>75600000</v>
      </c>
      <c r="R233" s="394">
        <v>0</v>
      </c>
      <c r="S233" s="447"/>
    </row>
    <row r="234" spans="2:19" ht="19.5" hidden="1" customHeight="1">
      <c r="B234" s="29">
        <f t="shared" si="9"/>
        <v>224</v>
      </c>
      <c r="C234" s="30" t="s">
        <v>206</v>
      </c>
      <c r="D234" s="30" t="s">
        <v>225</v>
      </c>
      <c r="E234" s="163" t="s">
        <v>868</v>
      </c>
      <c r="F234" s="284" t="s">
        <v>1229</v>
      </c>
      <c r="G234" s="284">
        <f>IFERROR(VLOOKUP(E234,Assign!$C$2:$J$142,8,FALSE),)</f>
        <v>0</v>
      </c>
      <c r="H234" s="372" t="s">
        <v>3869</v>
      </c>
      <c r="I234" s="445" t="s">
        <v>3859</v>
      </c>
      <c r="J234" s="446"/>
      <c r="K234" s="386">
        <v>57875000</v>
      </c>
      <c r="L234" s="387"/>
      <c r="M234" s="388">
        <f t="shared" si="10"/>
        <v>57875000</v>
      </c>
      <c r="N234" s="388"/>
      <c r="O234" s="388">
        <f t="shared" si="11"/>
        <v>57875000</v>
      </c>
      <c r="P234" s="390"/>
      <c r="Q234" s="386">
        <v>253000000</v>
      </c>
      <c r="R234" s="394">
        <v>0</v>
      </c>
      <c r="S234" s="447"/>
    </row>
    <row r="235" spans="2:19" ht="19.5" customHeight="1">
      <c r="B235" s="29">
        <f t="shared" si="9"/>
        <v>225</v>
      </c>
      <c r="C235" s="30" t="s">
        <v>206</v>
      </c>
      <c r="D235" s="30" t="s">
        <v>225</v>
      </c>
      <c r="E235" s="491" t="s">
        <v>869</v>
      </c>
      <c r="F235" s="284" t="s">
        <v>1229</v>
      </c>
      <c r="G235" s="284" t="str">
        <f>IFERROR(VLOOKUP(E235,Assign!$C$2:$J$142,8,FALSE),)</f>
        <v>문선영</v>
      </c>
      <c r="H235" s="372" t="s">
        <v>3869</v>
      </c>
      <c r="I235" s="445" t="s">
        <v>3859</v>
      </c>
      <c r="J235" s="446"/>
      <c r="K235" s="386">
        <v>57111054</v>
      </c>
      <c r="L235" s="387"/>
      <c r="M235" s="388">
        <f t="shared" si="10"/>
        <v>57111054</v>
      </c>
      <c r="N235" s="388"/>
      <c r="O235" s="388">
        <f t="shared" si="11"/>
        <v>57111054</v>
      </c>
      <c r="P235" s="390"/>
      <c r="Q235" s="386">
        <v>96000000</v>
      </c>
      <c r="R235" s="394">
        <v>0</v>
      </c>
      <c r="S235" s="447"/>
    </row>
    <row r="236" spans="2:19" ht="19.5" hidden="1" customHeight="1">
      <c r="B236" s="29">
        <f t="shared" si="9"/>
        <v>226</v>
      </c>
      <c r="C236" s="30" t="s">
        <v>206</v>
      </c>
      <c r="D236" s="30" t="s">
        <v>225</v>
      </c>
      <c r="E236" s="163" t="s">
        <v>870</v>
      </c>
      <c r="F236" s="284" t="s">
        <v>1220</v>
      </c>
      <c r="G236" s="284">
        <f>IFERROR(VLOOKUP(E236,Assign!$C$2:$J$142,8,FALSE),)</f>
        <v>0</v>
      </c>
      <c r="H236" s="372" t="s">
        <v>3869</v>
      </c>
      <c r="I236" s="445" t="s">
        <v>3859</v>
      </c>
      <c r="J236" s="446"/>
      <c r="K236" s="386">
        <v>56010244</v>
      </c>
      <c r="L236" s="387"/>
      <c r="M236" s="388">
        <f t="shared" si="10"/>
        <v>56010244</v>
      </c>
      <c r="N236" s="388"/>
      <c r="O236" s="388">
        <f t="shared" si="11"/>
        <v>56010244</v>
      </c>
      <c r="P236" s="390"/>
      <c r="Q236" s="386">
        <v>76000000</v>
      </c>
      <c r="R236" s="394">
        <v>0</v>
      </c>
      <c r="S236" s="447"/>
    </row>
    <row r="237" spans="2:19" ht="19.5" hidden="1" customHeight="1">
      <c r="B237" s="29">
        <f t="shared" si="9"/>
        <v>227</v>
      </c>
      <c r="C237" s="30" t="s">
        <v>206</v>
      </c>
      <c r="D237" s="30" t="s">
        <v>225</v>
      </c>
      <c r="E237" s="163" t="s">
        <v>871</v>
      </c>
      <c r="F237" s="284" t="s">
        <v>1229</v>
      </c>
      <c r="G237" s="284">
        <f>IFERROR(VLOOKUP(E237,Assign!$C$2:$J$142,8,FALSE),)</f>
        <v>0</v>
      </c>
      <c r="H237" s="372" t="s">
        <v>3868</v>
      </c>
      <c r="I237" s="445" t="s">
        <v>3859</v>
      </c>
      <c r="J237" s="446"/>
      <c r="K237" s="386">
        <v>55615537</v>
      </c>
      <c r="L237" s="387"/>
      <c r="M237" s="388">
        <f t="shared" si="10"/>
        <v>55615537</v>
      </c>
      <c r="N237" s="388"/>
      <c r="O237" s="388">
        <f t="shared" si="11"/>
        <v>55615537</v>
      </c>
      <c r="P237" s="390"/>
      <c r="Q237" s="386">
        <v>78000000</v>
      </c>
      <c r="R237" s="394">
        <v>0</v>
      </c>
      <c r="S237" s="447"/>
    </row>
    <row r="238" spans="2:19" ht="19.5" hidden="1" customHeight="1">
      <c r="B238" s="29">
        <f t="shared" si="9"/>
        <v>228</v>
      </c>
      <c r="C238" s="30" t="s">
        <v>206</v>
      </c>
      <c r="D238" s="30" t="s">
        <v>225</v>
      </c>
      <c r="E238" s="163" t="s">
        <v>872</v>
      </c>
      <c r="F238" s="284" t="s">
        <v>1220</v>
      </c>
      <c r="G238" s="284">
        <f>IFERROR(VLOOKUP(E238,Assign!$C$2:$J$142,8,FALSE),)</f>
        <v>0</v>
      </c>
      <c r="H238" s="372" t="s">
        <v>3869</v>
      </c>
      <c r="I238" s="445" t="s">
        <v>3859</v>
      </c>
      <c r="J238" s="446"/>
      <c r="K238" s="386">
        <v>55154624</v>
      </c>
      <c r="L238" s="387"/>
      <c r="M238" s="388">
        <f t="shared" si="10"/>
        <v>55154624</v>
      </c>
      <c r="N238" s="388"/>
      <c r="O238" s="388">
        <f t="shared" si="11"/>
        <v>55154624</v>
      </c>
      <c r="P238" s="390"/>
      <c r="Q238" s="386">
        <v>72000000</v>
      </c>
      <c r="R238" s="394">
        <v>0</v>
      </c>
      <c r="S238" s="447"/>
    </row>
    <row r="239" spans="2:19" ht="19.5" hidden="1" customHeight="1">
      <c r="B239" s="29">
        <f t="shared" si="9"/>
        <v>229</v>
      </c>
      <c r="C239" s="30" t="s">
        <v>206</v>
      </c>
      <c r="D239" s="30" t="s">
        <v>225</v>
      </c>
      <c r="E239" s="163" t="s">
        <v>873</v>
      </c>
      <c r="F239" s="284" t="s">
        <v>1225</v>
      </c>
      <c r="G239" s="284">
        <f>IFERROR(VLOOKUP(E239,Assign!$C$2:$J$142,8,FALSE),)</f>
        <v>0</v>
      </c>
      <c r="H239" s="372" t="s">
        <v>3869</v>
      </c>
      <c r="I239" s="445" t="s">
        <v>3859</v>
      </c>
      <c r="J239" s="446"/>
      <c r="K239" s="386">
        <v>54101069</v>
      </c>
      <c r="L239" s="387"/>
      <c r="M239" s="388">
        <f t="shared" si="10"/>
        <v>54101069</v>
      </c>
      <c r="N239" s="388"/>
      <c r="O239" s="388">
        <f t="shared" si="11"/>
        <v>54101069</v>
      </c>
      <c r="P239" s="390"/>
      <c r="Q239" s="386">
        <v>80400000</v>
      </c>
      <c r="R239" s="394">
        <v>0</v>
      </c>
      <c r="S239" s="447"/>
    </row>
    <row r="240" spans="2:19" ht="19.5" hidden="1" customHeight="1">
      <c r="B240" s="29">
        <f t="shared" si="9"/>
        <v>230</v>
      </c>
      <c r="C240" s="30" t="s">
        <v>206</v>
      </c>
      <c r="D240" s="30" t="s">
        <v>225</v>
      </c>
      <c r="E240" s="163" t="s">
        <v>874</v>
      </c>
      <c r="F240" s="284" t="s">
        <v>1257</v>
      </c>
      <c r="G240" s="284">
        <f>IFERROR(VLOOKUP(E240,Assign!$C$2:$J$142,8,FALSE),)</f>
        <v>0</v>
      </c>
      <c r="H240" s="372" t="s">
        <v>3869</v>
      </c>
      <c r="I240" s="445" t="s">
        <v>3859</v>
      </c>
      <c r="J240" s="446"/>
      <c r="K240" s="386">
        <v>53664276</v>
      </c>
      <c r="L240" s="387"/>
      <c r="M240" s="388">
        <f t="shared" si="10"/>
        <v>53664276</v>
      </c>
      <c r="N240" s="388"/>
      <c r="O240" s="388">
        <f t="shared" si="11"/>
        <v>53664276</v>
      </c>
      <c r="P240" s="390"/>
      <c r="Q240" s="386">
        <v>76800000</v>
      </c>
      <c r="R240" s="394">
        <v>0</v>
      </c>
      <c r="S240" s="447"/>
    </row>
    <row r="241" spans="2:19" ht="19.5" hidden="1" customHeight="1">
      <c r="B241" s="29">
        <f t="shared" si="9"/>
        <v>231</v>
      </c>
      <c r="C241" s="30" t="s">
        <v>206</v>
      </c>
      <c r="D241" s="30" t="s">
        <v>225</v>
      </c>
      <c r="E241" s="163" t="s">
        <v>875</v>
      </c>
      <c r="F241" s="284" t="s">
        <v>1226</v>
      </c>
      <c r="G241" s="284">
        <f>IFERROR(VLOOKUP(E241,Assign!$C$2:$J$142,8,FALSE),)</f>
        <v>0</v>
      </c>
      <c r="H241" s="372" t="s">
        <v>3869</v>
      </c>
      <c r="I241" s="445" t="s">
        <v>3859</v>
      </c>
      <c r="J241" s="446"/>
      <c r="K241" s="386">
        <v>52934301</v>
      </c>
      <c r="L241" s="387"/>
      <c r="M241" s="388">
        <f t="shared" si="10"/>
        <v>52934301</v>
      </c>
      <c r="N241" s="388"/>
      <c r="O241" s="388">
        <f t="shared" si="11"/>
        <v>52934301</v>
      </c>
      <c r="P241" s="390"/>
      <c r="Q241" s="386">
        <v>66000000</v>
      </c>
      <c r="R241" s="394">
        <v>90200000</v>
      </c>
      <c r="S241" s="447"/>
    </row>
    <row r="242" spans="2:19" ht="19.5" hidden="1" customHeight="1">
      <c r="B242" s="29">
        <f t="shared" si="9"/>
        <v>232</v>
      </c>
      <c r="C242" s="30" t="s">
        <v>206</v>
      </c>
      <c r="D242" s="30" t="s">
        <v>225</v>
      </c>
      <c r="E242" s="163" t="s">
        <v>876</v>
      </c>
      <c r="F242" s="284" t="s">
        <v>1233</v>
      </c>
      <c r="G242" s="284">
        <f>IFERROR(VLOOKUP(E242,Assign!$C$2:$J$142,8,FALSE),)</f>
        <v>0</v>
      </c>
      <c r="H242" s="372" t="s">
        <v>3869</v>
      </c>
      <c r="I242" s="445" t="s">
        <v>3859</v>
      </c>
      <c r="J242" s="446"/>
      <c r="K242" s="386">
        <v>52500000</v>
      </c>
      <c r="L242" s="387"/>
      <c r="M242" s="388">
        <f t="shared" si="10"/>
        <v>52500000</v>
      </c>
      <c r="N242" s="388"/>
      <c r="O242" s="388">
        <f t="shared" si="11"/>
        <v>52500000</v>
      </c>
      <c r="P242" s="390"/>
      <c r="Q242" s="386">
        <v>72000000</v>
      </c>
      <c r="R242" s="394">
        <v>0</v>
      </c>
      <c r="S242" s="447"/>
    </row>
    <row r="243" spans="2:19" ht="19.5" hidden="1" customHeight="1">
      <c r="B243" s="29">
        <f t="shared" si="9"/>
        <v>233</v>
      </c>
      <c r="C243" s="30" t="s">
        <v>206</v>
      </c>
      <c r="D243" s="30" t="s">
        <v>225</v>
      </c>
      <c r="E243" s="163" t="s">
        <v>877</v>
      </c>
      <c r="F243" s="284" t="s">
        <v>1217</v>
      </c>
      <c r="G243" s="284">
        <f>IFERROR(VLOOKUP(E243,Assign!$C$2:$J$142,8,FALSE),)</f>
        <v>0</v>
      </c>
      <c r="H243" s="372" t="s">
        <v>3869</v>
      </c>
      <c r="I243" s="445" t="s">
        <v>3859</v>
      </c>
      <c r="J243" s="446"/>
      <c r="K243" s="386">
        <v>52093077</v>
      </c>
      <c r="L243" s="387"/>
      <c r="M243" s="388">
        <f t="shared" si="10"/>
        <v>52093077</v>
      </c>
      <c r="N243" s="388"/>
      <c r="O243" s="388">
        <f t="shared" si="11"/>
        <v>52093077</v>
      </c>
      <c r="P243" s="390"/>
      <c r="Q243" s="386">
        <v>103400000</v>
      </c>
      <c r="R243" s="394">
        <v>0</v>
      </c>
      <c r="S243" s="447"/>
    </row>
    <row r="244" spans="2:19" ht="19.5" hidden="1" customHeight="1">
      <c r="B244" s="29">
        <f t="shared" si="9"/>
        <v>234</v>
      </c>
      <c r="C244" s="30" t="s">
        <v>206</v>
      </c>
      <c r="D244" s="30" t="s">
        <v>225</v>
      </c>
      <c r="E244" s="163" t="s">
        <v>878</v>
      </c>
      <c r="F244" s="284" t="s">
        <v>1236</v>
      </c>
      <c r="G244" s="284">
        <f>IFERROR(VLOOKUP(E244,Assign!$C$2:$J$142,8,FALSE),)</f>
        <v>0</v>
      </c>
      <c r="H244" s="372" t="s">
        <v>3869</v>
      </c>
      <c r="I244" s="445" t="s">
        <v>3859</v>
      </c>
      <c r="J244" s="446"/>
      <c r="K244" s="386">
        <v>51750000</v>
      </c>
      <c r="L244" s="387"/>
      <c r="M244" s="388">
        <f t="shared" si="10"/>
        <v>51750000</v>
      </c>
      <c r="N244" s="388"/>
      <c r="O244" s="388">
        <f t="shared" si="11"/>
        <v>51750000</v>
      </c>
      <c r="P244" s="390"/>
      <c r="Q244" s="386">
        <v>81600000</v>
      </c>
      <c r="R244" s="394">
        <v>0</v>
      </c>
      <c r="S244" s="447"/>
    </row>
    <row r="245" spans="2:19" ht="19.5" hidden="1" customHeight="1">
      <c r="B245" s="29">
        <f t="shared" si="9"/>
        <v>235</v>
      </c>
      <c r="C245" s="30" t="s">
        <v>206</v>
      </c>
      <c r="D245" s="30" t="s">
        <v>225</v>
      </c>
      <c r="E245" s="163" t="s">
        <v>879</v>
      </c>
      <c r="F245" s="284" t="s">
        <v>1229</v>
      </c>
      <c r="G245" s="284">
        <f>IFERROR(VLOOKUP(E245,Assign!$C$2:$J$142,8,FALSE),)</f>
        <v>0</v>
      </c>
      <c r="H245" s="372" t="s">
        <v>3869</v>
      </c>
      <c r="I245" s="445" t="s">
        <v>3859</v>
      </c>
      <c r="J245" s="446"/>
      <c r="K245" s="386">
        <v>51602251</v>
      </c>
      <c r="L245" s="387"/>
      <c r="M245" s="388">
        <f t="shared" si="10"/>
        <v>51602251</v>
      </c>
      <c r="N245" s="388"/>
      <c r="O245" s="388">
        <f t="shared" si="11"/>
        <v>51602251</v>
      </c>
      <c r="P245" s="390"/>
      <c r="Q245" s="386">
        <v>93600000</v>
      </c>
      <c r="R245" s="394">
        <v>0</v>
      </c>
      <c r="S245" s="447"/>
    </row>
    <row r="246" spans="2:19" ht="19.5" hidden="1" customHeight="1">
      <c r="B246" s="29">
        <f t="shared" si="9"/>
        <v>236</v>
      </c>
      <c r="C246" s="30" t="s">
        <v>206</v>
      </c>
      <c r="D246" s="30" t="s">
        <v>225</v>
      </c>
      <c r="E246" s="163" t="s">
        <v>880</v>
      </c>
      <c r="F246" s="284" t="s">
        <v>1239</v>
      </c>
      <c r="G246" s="284">
        <f>IFERROR(VLOOKUP(E246,Assign!$C$2:$J$142,8,FALSE),)</f>
        <v>0</v>
      </c>
      <c r="H246" s="372" t="s">
        <v>3869</v>
      </c>
      <c r="I246" s="445" t="s">
        <v>3859</v>
      </c>
      <c r="J246" s="446"/>
      <c r="K246" s="386">
        <v>50557059</v>
      </c>
      <c r="L246" s="387"/>
      <c r="M246" s="388">
        <f t="shared" si="10"/>
        <v>50557059</v>
      </c>
      <c r="N246" s="388"/>
      <c r="O246" s="388">
        <f t="shared" si="11"/>
        <v>50557059</v>
      </c>
      <c r="P246" s="390"/>
      <c r="Q246" s="386">
        <v>57000000</v>
      </c>
      <c r="R246" s="394">
        <v>0</v>
      </c>
      <c r="S246" s="447"/>
    </row>
    <row r="247" spans="2:19" ht="19.5" hidden="1" customHeight="1">
      <c r="B247" s="29">
        <f t="shared" si="9"/>
        <v>237</v>
      </c>
      <c r="C247" s="30" t="s">
        <v>206</v>
      </c>
      <c r="D247" s="30" t="s">
        <v>225</v>
      </c>
      <c r="E247" s="163" t="s">
        <v>881</v>
      </c>
      <c r="F247" s="284" t="s">
        <v>1247</v>
      </c>
      <c r="G247" s="284">
        <f>IFERROR(VLOOKUP(E247,Assign!$C$2:$J$142,8,FALSE),)</f>
        <v>0</v>
      </c>
      <c r="H247" s="372" t="s">
        <v>3868</v>
      </c>
      <c r="I247" s="445" t="s">
        <v>3859</v>
      </c>
      <c r="J247" s="446"/>
      <c r="K247" s="386">
        <v>50000000</v>
      </c>
      <c r="L247" s="387"/>
      <c r="M247" s="388">
        <f t="shared" si="10"/>
        <v>50000000</v>
      </c>
      <c r="N247" s="388"/>
      <c r="O247" s="388">
        <f t="shared" si="11"/>
        <v>50000000</v>
      </c>
      <c r="P247" s="390"/>
      <c r="Q247" s="386">
        <v>60000000</v>
      </c>
      <c r="R247" s="394">
        <v>326400000</v>
      </c>
      <c r="S247" s="447"/>
    </row>
    <row r="248" spans="2:19" ht="19.5" hidden="1" customHeight="1">
      <c r="B248" s="29">
        <f t="shared" si="9"/>
        <v>238</v>
      </c>
      <c r="C248" s="30" t="s">
        <v>206</v>
      </c>
      <c r="D248" s="30" t="s">
        <v>225</v>
      </c>
      <c r="E248" s="163" t="s">
        <v>882</v>
      </c>
      <c r="F248" s="284" t="s">
        <v>1320</v>
      </c>
      <c r="G248" s="284">
        <f>IFERROR(VLOOKUP(E248,Assign!$C$2:$J$142,8,FALSE),)</f>
        <v>0</v>
      </c>
      <c r="H248" s="372" t="s">
        <v>3870</v>
      </c>
      <c r="I248" s="445" t="s">
        <v>3859</v>
      </c>
      <c r="J248" s="446"/>
      <c r="K248" s="386">
        <v>50000000</v>
      </c>
      <c r="L248" s="387"/>
      <c r="M248" s="388">
        <f t="shared" si="10"/>
        <v>50000000</v>
      </c>
      <c r="N248" s="388"/>
      <c r="O248" s="388">
        <f t="shared" si="11"/>
        <v>50000000</v>
      </c>
      <c r="P248" s="390"/>
      <c r="Q248" s="386">
        <v>60000000</v>
      </c>
      <c r="R248" s="394">
        <v>144000000</v>
      </c>
      <c r="S248" s="447"/>
    </row>
    <row r="249" spans="2:19" ht="19.5" hidden="1" customHeight="1">
      <c r="B249" s="29">
        <f t="shared" si="9"/>
        <v>239</v>
      </c>
      <c r="C249" s="30" t="s">
        <v>206</v>
      </c>
      <c r="D249" s="30" t="s">
        <v>225</v>
      </c>
      <c r="E249" s="163" t="s">
        <v>883</v>
      </c>
      <c r="F249" s="284" t="s">
        <v>1229</v>
      </c>
      <c r="G249" s="284">
        <f>IFERROR(VLOOKUP(E249,Assign!$C$2:$J$142,8,FALSE),)</f>
        <v>0</v>
      </c>
      <c r="H249" s="372" t="s">
        <v>3869</v>
      </c>
      <c r="I249" s="445" t="s">
        <v>3859</v>
      </c>
      <c r="J249" s="446"/>
      <c r="K249" s="386">
        <v>48253920</v>
      </c>
      <c r="L249" s="387"/>
      <c r="M249" s="388">
        <f t="shared" si="10"/>
        <v>48253920</v>
      </c>
      <c r="N249" s="388"/>
      <c r="O249" s="388">
        <f t="shared" si="11"/>
        <v>48253920</v>
      </c>
      <c r="P249" s="390"/>
      <c r="Q249" s="386">
        <v>96000000</v>
      </c>
      <c r="R249" s="394">
        <v>0</v>
      </c>
      <c r="S249" s="447"/>
    </row>
    <row r="250" spans="2:19" ht="19.5" customHeight="1">
      <c r="B250" s="29">
        <f t="shared" si="9"/>
        <v>240</v>
      </c>
      <c r="C250" s="30" t="s">
        <v>206</v>
      </c>
      <c r="D250" s="30" t="s">
        <v>225</v>
      </c>
      <c r="E250" s="493" t="s">
        <v>884</v>
      </c>
      <c r="F250" s="284" t="s">
        <v>1266</v>
      </c>
      <c r="G250" s="284" t="str">
        <f>IFERROR(VLOOKUP(E250,Assign!$C$2:$J$142,8,FALSE),)</f>
        <v>문선영</v>
      </c>
      <c r="H250" s="372" t="s">
        <v>3869</v>
      </c>
      <c r="I250" s="445" t="s">
        <v>3859</v>
      </c>
      <c r="J250" s="446"/>
      <c r="K250" s="386">
        <v>47819928</v>
      </c>
      <c r="L250" s="387"/>
      <c r="M250" s="388">
        <f t="shared" si="10"/>
        <v>47819928</v>
      </c>
      <c r="N250" s="388"/>
      <c r="O250" s="388">
        <f t="shared" si="11"/>
        <v>47819928</v>
      </c>
      <c r="P250" s="390"/>
      <c r="Q250" s="386">
        <v>72000000</v>
      </c>
      <c r="R250" s="394">
        <v>0</v>
      </c>
      <c r="S250" s="447"/>
    </row>
    <row r="251" spans="2:19" ht="19.5" hidden="1" customHeight="1">
      <c r="B251" s="29">
        <f t="shared" si="9"/>
        <v>241</v>
      </c>
      <c r="C251" s="30" t="s">
        <v>206</v>
      </c>
      <c r="D251" s="30" t="s">
        <v>225</v>
      </c>
      <c r="E251" s="163" t="s">
        <v>885</v>
      </c>
      <c r="F251" s="284" t="s">
        <v>1221</v>
      </c>
      <c r="G251" s="284">
        <f>IFERROR(VLOOKUP(E251,Assign!$C$2:$J$142,8,FALSE),)</f>
        <v>0</v>
      </c>
      <c r="H251" s="372" t="s">
        <v>3868</v>
      </c>
      <c r="I251" s="445" t="s">
        <v>3859</v>
      </c>
      <c r="J251" s="446"/>
      <c r="K251" s="386">
        <v>44277429</v>
      </c>
      <c r="L251" s="387"/>
      <c r="M251" s="388">
        <f t="shared" si="10"/>
        <v>44277429</v>
      </c>
      <c r="N251" s="388"/>
      <c r="O251" s="388">
        <f t="shared" si="11"/>
        <v>44277429</v>
      </c>
      <c r="P251" s="390"/>
      <c r="Q251" s="386">
        <v>92400000</v>
      </c>
      <c r="R251" s="394">
        <v>0</v>
      </c>
      <c r="S251" s="447"/>
    </row>
    <row r="252" spans="2:19" ht="19.5" hidden="1" customHeight="1">
      <c r="B252" s="29">
        <f t="shared" si="9"/>
        <v>242</v>
      </c>
      <c r="C252" s="30" t="s">
        <v>206</v>
      </c>
      <c r="D252" s="30" t="s">
        <v>225</v>
      </c>
      <c r="E252" s="163" t="s">
        <v>886</v>
      </c>
      <c r="F252" s="284" t="s">
        <v>1252</v>
      </c>
      <c r="G252" s="284">
        <f>IFERROR(VLOOKUP(E252,Assign!$C$2:$J$142,8,FALSE),)</f>
        <v>0</v>
      </c>
      <c r="H252" s="372" t="s">
        <v>3868</v>
      </c>
      <c r="I252" s="445" t="s">
        <v>3859</v>
      </c>
      <c r="J252" s="446"/>
      <c r="K252" s="386">
        <v>44000000</v>
      </c>
      <c r="L252" s="387"/>
      <c r="M252" s="388">
        <f t="shared" si="10"/>
        <v>44000000</v>
      </c>
      <c r="N252" s="388"/>
      <c r="O252" s="388">
        <f t="shared" si="11"/>
        <v>44000000</v>
      </c>
      <c r="P252" s="390"/>
      <c r="Q252" s="386">
        <v>55200000</v>
      </c>
      <c r="R252" s="394">
        <v>0</v>
      </c>
      <c r="S252" s="447"/>
    </row>
    <row r="253" spans="2:19" ht="19.5" hidden="1" customHeight="1">
      <c r="B253" s="29">
        <f t="shared" si="9"/>
        <v>243</v>
      </c>
      <c r="C253" s="30" t="s">
        <v>206</v>
      </c>
      <c r="D253" s="30" t="s">
        <v>225</v>
      </c>
      <c r="E253" s="163" t="s">
        <v>887</v>
      </c>
      <c r="F253" s="284" t="s">
        <v>1225</v>
      </c>
      <c r="G253" s="284">
        <f>IFERROR(VLOOKUP(E253,Assign!$C$2:$J$142,8,FALSE),)</f>
        <v>0</v>
      </c>
      <c r="H253" s="372" t="s">
        <v>3869</v>
      </c>
      <c r="I253" s="445" t="s">
        <v>3859</v>
      </c>
      <c r="J253" s="446"/>
      <c r="K253" s="386">
        <v>43091850</v>
      </c>
      <c r="L253" s="387"/>
      <c r="M253" s="388">
        <f t="shared" si="10"/>
        <v>43091850</v>
      </c>
      <c r="N253" s="388"/>
      <c r="O253" s="388">
        <f t="shared" si="11"/>
        <v>43091850</v>
      </c>
      <c r="P253" s="390"/>
      <c r="Q253" s="386">
        <v>60000000</v>
      </c>
      <c r="R253" s="394">
        <v>0</v>
      </c>
      <c r="S253" s="447"/>
    </row>
    <row r="254" spans="2:19" ht="19.5" hidden="1" customHeight="1">
      <c r="B254" s="29">
        <f t="shared" si="9"/>
        <v>244</v>
      </c>
      <c r="C254" s="30" t="s">
        <v>206</v>
      </c>
      <c r="D254" s="30" t="s">
        <v>225</v>
      </c>
      <c r="E254" s="163" t="s">
        <v>888</v>
      </c>
      <c r="F254" s="284" t="s">
        <v>1217</v>
      </c>
      <c r="G254" s="284">
        <f>IFERROR(VLOOKUP(E254,Assign!$C$2:$J$142,8,FALSE),)</f>
        <v>0</v>
      </c>
      <c r="H254" s="372" t="s">
        <v>3868</v>
      </c>
      <c r="I254" s="445" t="s">
        <v>3859</v>
      </c>
      <c r="J254" s="446"/>
      <c r="K254" s="386">
        <v>42093423</v>
      </c>
      <c r="L254" s="387"/>
      <c r="M254" s="388">
        <f t="shared" si="10"/>
        <v>42093423</v>
      </c>
      <c r="N254" s="388"/>
      <c r="O254" s="388">
        <f t="shared" si="11"/>
        <v>42093423</v>
      </c>
      <c r="P254" s="390"/>
      <c r="Q254" s="386">
        <v>62400000</v>
      </c>
      <c r="R254" s="394">
        <v>0</v>
      </c>
      <c r="S254" s="447"/>
    </row>
    <row r="255" spans="2:19" ht="19.5" hidden="1" customHeight="1">
      <c r="B255" s="29">
        <f t="shared" si="9"/>
        <v>245</v>
      </c>
      <c r="C255" s="30" t="s">
        <v>206</v>
      </c>
      <c r="D255" s="30" t="s">
        <v>225</v>
      </c>
      <c r="E255" s="163" t="s">
        <v>889</v>
      </c>
      <c r="F255" s="284" t="s">
        <v>1225</v>
      </c>
      <c r="G255" s="284">
        <f>IFERROR(VLOOKUP(E255,Assign!$C$2:$J$142,8,FALSE),)</f>
        <v>0</v>
      </c>
      <c r="H255" s="372" t="s">
        <v>3869</v>
      </c>
      <c r="I255" s="445" t="s">
        <v>3859</v>
      </c>
      <c r="J255" s="446"/>
      <c r="K255" s="386">
        <v>41499834</v>
      </c>
      <c r="L255" s="387"/>
      <c r="M255" s="388">
        <f t="shared" si="10"/>
        <v>41499834</v>
      </c>
      <c r="N255" s="388"/>
      <c r="O255" s="388">
        <f t="shared" si="11"/>
        <v>41499834</v>
      </c>
      <c r="P255" s="390"/>
      <c r="Q255" s="386">
        <v>72000000</v>
      </c>
      <c r="R255" s="394">
        <v>0</v>
      </c>
      <c r="S255" s="447"/>
    </row>
    <row r="256" spans="2:19" ht="19.5" hidden="1" customHeight="1">
      <c r="B256" s="29">
        <f t="shared" si="9"/>
        <v>246</v>
      </c>
      <c r="C256" s="30" t="s">
        <v>206</v>
      </c>
      <c r="D256" s="30" t="s">
        <v>225</v>
      </c>
      <c r="E256" s="163" t="s">
        <v>890</v>
      </c>
      <c r="F256" s="284" t="s">
        <v>1229</v>
      </c>
      <c r="G256" s="284">
        <f>IFERROR(VLOOKUP(E256,Assign!$C$2:$J$142,8,FALSE),)</f>
        <v>0</v>
      </c>
      <c r="H256" s="372" t="s">
        <v>3868</v>
      </c>
      <c r="I256" s="445" t="s">
        <v>3859</v>
      </c>
      <c r="J256" s="446"/>
      <c r="K256" s="386">
        <v>41356580</v>
      </c>
      <c r="L256" s="387"/>
      <c r="M256" s="388">
        <f t="shared" si="10"/>
        <v>41356580</v>
      </c>
      <c r="N256" s="388"/>
      <c r="O256" s="388">
        <f t="shared" si="11"/>
        <v>41356580</v>
      </c>
      <c r="P256" s="390"/>
      <c r="Q256" s="386">
        <v>57600000</v>
      </c>
      <c r="R256" s="394">
        <v>0</v>
      </c>
      <c r="S256" s="447"/>
    </row>
    <row r="257" spans="2:19" ht="19.5" hidden="1" customHeight="1">
      <c r="B257" s="29">
        <f t="shared" si="9"/>
        <v>247</v>
      </c>
      <c r="C257" s="30" t="s">
        <v>206</v>
      </c>
      <c r="D257" s="30" t="s">
        <v>225</v>
      </c>
      <c r="E257" s="163" t="s">
        <v>891</v>
      </c>
      <c r="F257" s="284" t="s">
        <v>1220</v>
      </c>
      <c r="G257" s="284">
        <f>IFERROR(VLOOKUP(E257,Assign!$C$2:$J$142,8,FALSE),)</f>
        <v>0</v>
      </c>
      <c r="H257" s="372" t="s">
        <v>3869</v>
      </c>
      <c r="I257" s="445" t="s">
        <v>3859</v>
      </c>
      <c r="J257" s="446"/>
      <c r="K257" s="386">
        <v>40743409</v>
      </c>
      <c r="L257" s="387"/>
      <c r="M257" s="388">
        <f t="shared" si="10"/>
        <v>40743409</v>
      </c>
      <c r="N257" s="388"/>
      <c r="O257" s="388">
        <f t="shared" si="11"/>
        <v>40743409</v>
      </c>
      <c r="P257" s="390"/>
      <c r="Q257" s="386">
        <v>49680000</v>
      </c>
      <c r="R257" s="394">
        <v>0</v>
      </c>
      <c r="S257" s="447"/>
    </row>
    <row r="258" spans="2:19" ht="19.5" hidden="1" customHeight="1">
      <c r="B258" s="29">
        <f t="shared" si="9"/>
        <v>248</v>
      </c>
      <c r="C258" s="30" t="s">
        <v>206</v>
      </c>
      <c r="D258" s="30" t="s">
        <v>225</v>
      </c>
      <c r="E258" s="163" t="s">
        <v>892</v>
      </c>
      <c r="F258" s="284" t="s">
        <v>1267</v>
      </c>
      <c r="G258" s="284">
        <f>IFERROR(VLOOKUP(E258,Assign!$C$2:$J$142,8,FALSE),)</f>
        <v>0</v>
      </c>
      <c r="H258" s="372" t="s">
        <v>3869</v>
      </c>
      <c r="I258" s="445" t="s">
        <v>3859</v>
      </c>
      <c r="J258" s="446"/>
      <c r="K258" s="386">
        <v>40666627</v>
      </c>
      <c r="L258" s="387"/>
      <c r="M258" s="388">
        <f t="shared" si="10"/>
        <v>40666627</v>
      </c>
      <c r="N258" s="388"/>
      <c r="O258" s="388">
        <f t="shared" si="11"/>
        <v>40666627</v>
      </c>
      <c r="P258" s="390"/>
      <c r="Q258" s="386">
        <v>47300000</v>
      </c>
      <c r="R258" s="394">
        <v>22000000</v>
      </c>
      <c r="S258" s="447"/>
    </row>
    <row r="259" spans="2:19" ht="19.5" hidden="1" customHeight="1">
      <c r="B259" s="29">
        <f t="shared" si="9"/>
        <v>249</v>
      </c>
      <c r="C259" s="30" t="s">
        <v>206</v>
      </c>
      <c r="D259" s="30" t="s">
        <v>225</v>
      </c>
      <c r="E259" s="163" t="s">
        <v>893</v>
      </c>
      <c r="F259" s="284" t="s">
        <v>1229</v>
      </c>
      <c r="G259" s="284">
        <f>IFERROR(VLOOKUP(E259,Assign!$C$2:$J$142,8,FALSE),)</f>
        <v>0</v>
      </c>
      <c r="H259" s="372" t="s">
        <v>3868</v>
      </c>
      <c r="I259" s="445" t="s">
        <v>3859</v>
      </c>
      <c r="J259" s="446"/>
      <c r="K259" s="386">
        <v>40000000</v>
      </c>
      <c r="L259" s="387"/>
      <c r="M259" s="388">
        <f t="shared" si="10"/>
        <v>40000000</v>
      </c>
      <c r="N259" s="388"/>
      <c r="O259" s="388">
        <f t="shared" si="11"/>
        <v>40000000</v>
      </c>
      <c r="P259" s="390"/>
      <c r="Q259" s="386">
        <v>60000000</v>
      </c>
      <c r="R259" s="394">
        <v>0</v>
      </c>
      <c r="S259" s="447"/>
    </row>
    <row r="260" spans="2:19" ht="19.5" hidden="1" customHeight="1">
      <c r="B260" s="29">
        <f t="shared" si="9"/>
        <v>250</v>
      </c>
      <c r="C260" s="30" t="s">
        <v>206</v>
      </c>
      <c r="D260" s="30" t="s">
        <v>225</v>
      </c>
      <c r="E260" s="163" t="s">
        <v>894</v>
      </c>
      <c r="F260" s="284" t="s">
        <v>1268</v>
      </c>
      <c r="G260" s="284">
        <f>IFERROR(VLOOKUP(E260,Assign!$C$2:$J$142,8,FALSE),)</f>
        <v>0</v>
      </c>
      <c r="H260" s="372" t="s">
        <v>3869</v>
      </c>
      <c r="I260" s="445" t="s">
        <v>3859</v>
      </c>
      <c r="J260" s="446"/>
      <c r="K260" s="386">
        <v>39497008</v>
      </c>
      <c r="L260" s="387"/>
      <c r="M260" s="388">
        <f t="shared" si="10"/>
        <v>39497008</v>
      </c>
      <c r="N260" s="388"/>
      <c r="O260" s="388">
        <f t="shared" si="11"/>
        <v>39497008</v>
      </c>
      <c r="P260" s="390"/>
      <c r="Q260" s="386">
        <v>70800000</v>
      </c>
      <c r="R260" s="394">
        <v>0</v>
      </c>
      <c r="S260" s="447"/>
    </row>
    <row r="261" spans="2:19" ht="19.5" customHeight="1">
      <c r="B261" s="29">
        <f t="shared" si="9"/>
        <v>251</v>
      </c>
      <c r="C261" s="30" t="s">
        <v>206</v>
      </c>
      <c r="D261" s="30" t="s">
        <v>225</v>
      </c>
      <c r="E261" s="493" t="s">
        <v>895</v>
      </c>
      <c r="F261" s="284" t="s">
        <v>1225</v>
      </c>
      <c r="G261" s="284" t="str">
        <f>IFERROR(VLOOKUP(E261,Assign!$C$2:$J$142,8,FALSE),)</f>
        <v>문선영</v>
      </c>
      <c r="H261" s="372" t="s">
        <v>3869</v>
      </c>
      <c r="I261" s="445" t="s">
        <v>3859</v>
      </c>
      <c r="J261" s="446"/>
      <c r="K261" s="386">
        <v>37932112</v>
      </c>
      <c r="L261" s="387"/>
      <c r="M261" s="388">
        <f t="shared" si="10"/>
        <v>37932112</v>
      </c>
      <c r="N261" s="388"/>
      <c r="O261" s="388">
        <f t="shared" si="11"/>
        <v>37932112</v>
      </c>
      <c r="P261" s="390"/>
      <c r="Q261" s="386">
        <v>55000000</v>
      </c>
      <c r="R261" s="394">
        <v>0</v>
      </c>
      <c r="S261" s="447"/>
    </row>
    <row r="262" spans="2:19" ht="19.5" hidden="1" customHeight="1">
      <c r="B262" s="29">
        <f t="shared" si="9"/>
        <v>252</v>
      </c>
      <c r="C262" s="30" t="s">
        <v>206</v>
      </c>
      <c r="D262" s="30" t="s">
        <v>225</v>
      </c>
      <c r="E262" s="163" t="s">
        <v>896</v>
      </c>
      <c r="F262" s="284" t="s">
        <v>1223</v>
      </c>
      <c r="G262" s="284">
        <f>IFERROR(VLOOKUP(E262,Assign!$C$2:$J$142,8,FALSE),)</f>
        <v>0</v>
      </c>
      <c r="H262" s="372" t="s">
        <v>3869</v>
      </c>
      <c r="I262" s="445" t="s">
        <v>3859</v>
      </c>
      <c r="J262" s="446"/>
      <c r="K262" s="386">
        <v>37599906</v>
      </c>
      <c r="L262" s="387"/>
      <c r="M262" s="388">
        <f t="shared" si="10"/>
        <v>37599906</v>
      </c>
      <c r="N262" s="388"/>
      <c r="O262" s="388">
        <f t="shared" si="11"/>
        <v>37599906</v>
      </c>
      <c r="P262" s="390"/>
      <c r="Q262" s="386">
        <v>57600000</v>
      </c>
      <c r="R262" s="394">
        <v>0</v>
      </c>
      <c r="S262" s="447"/>
    </row>
    <row r="263" spans="2:19" ht="19.5" hidden="1" customHeight="1">
      <c r="B263" s="29">
        <f t="shared" si="9"/>
        <v>253</v>
      </c>
      <c r="C263" s="30" t="s">
        <v>206</v>
      </c>
      <c r="D263" s="30" t="s">
        <v>225</v>
      </c>
      <c r="E263" s="163" t="s">
        <v>897</v>
      </c>
      <c r="F263" s="284" t="s">
        <v>1225</v>
      </c>
      <c r="G263" s="284">
        <f>IFERROR(VLOOKUP(E263,Assign!$C$2:$J$142,8,FALSE),)</f>
        <v>0</v>
      </c>
      <c r="H263" s="372" t="s">
        <v>3869</v>
      </c>
      <c r="I263" s="445" t="s">
        <v>3859</v>
      </c>
      <c r="J263" s="446"/>
      <c r="K263" s="386">
        <v>37276738</v>
      </c>
      <c r="L263" s="387"/>
      <c r="M263" s="388">
        <f t="shared" si="10"/>
        <v>37276738</v>
      </c>
      <c r="N263" s="388"/>
      <c r="O263" s="388">
        <f t="shared" si="11"/>
        <v>37276738</v>
      </c>
      <c r="P263" s="390"/>
      <c r="Q263" s="386">
        <v>57600000</v>
      </c>
      <c r="R263" s="394">
        <v>0</v>
      </c>
      <c r="S263" s="447"/>
    </row>
    <row r="264" spans="2:19" ht="19.5" hidden="1" customHeight="1">
      <c r="B264" s="29">
        <f t="shared" si="9"/>
        <v>254</v>
      </c>
      <c r="C264" s="30" t="s">
        <v>206</v>
      </c>
      <c r="D264" s="30" t="s">
        <v>225</v>
      </c>
      <c r="E264" s="163" t="s">
        <v>898</v>
      </c>
      <c r="F264" s="284" t="s">
        <v>1229</v>
      </c>
      <c r="G264" s="284">
        <f>IFERROR(VLOOKUP(E264,Assign!$C$2:$J$142,8,FALSE),)</f>
        <v>0</v>
      </c>
      <c r="H264" s="372" t="s">
        <v>3868</v>
      </c>
      <c r="I264" s="445" t="s">
        <v>3859</v>
      </c>
      <c r="J264" s="446"/>
      <c r="K264" s="386">
        <v>35937500</v>
      </c>
      <c r="L264" s="387"/>
      <c r="M264" s="388">
        <f t="shared" si="10"/>
        <v>35937500</v>
      </c>
      <c r="N264" s="388"/>
      <c r="O264" s="388">
        <f t="shared" si="11"/>
        <v>35937500</v>
      </c>
      <c r="P264" s="390"/>
      <c r="Q264" s="386">
        <v>90000000</v>
      </c>
      <c r="R264" s="394">
        <v>0</v>
      </c>
      <c r="S264" s="447"/>
    </row>
    <row r="265" spans="2:19" ht="19.5" hidden="1" customHeight="1">
      <c r="B265" s="29">
        <f t="shared" si="9"/>
        <v>255</v>
      </c>
      <c r="C265" s="30" t="s">
        <v>206</v>
      </c>
      <c r="D265" s="30" t="s">
        <v>225</v>
      </c>
      <c r="E265" s="163" t="s">
        <v>899</v>
      </c>
      <c r="F265" s="284" t="s">
        <v>1217</v>
      </c>
      <c r="G265" s="284">
        <f>IFERROR(VLOOKUP(E265,Assign!$C$2:$J$142,8,FALSE),)</f>
        <v>0</v>
      </c>
      <c r="H265" s="372" t="s">
        <v>3869</v>
      </c>
      <c r="I265" s="445" t="s">
        <v>3859</v>
      </c>
      <c r="J265" s="446"/>
      <c r="K265" s="386">
        <v>35797193</v>
      </c>
      <c r="L265" s="387"/>
      <c r="M265" s="388">
        <f t="shared" si="10"/>
        <v>35797193</v>
      </c>
      <c r="N265" s="388"/>
      <c r="O265" s="388">
        <f t="shared" si="11"/>
        <v>35797193</v>
      </c>
      <c r="P265" s="390"/>
      <c r="Q265" s="386">
        <v>58800000</v>
      </c>
      <c r="R265" s="394">
        <v>0</v>
      </c>
      <c r="S265" s="447"/>
    </row>
    <row r="266" spans="2:19" ht="19.5" hidden="1" customHeight="1">
      <c r="B266" s="29">
        <f t="shared" si="9"/>
        <v>256</v>
      </c>
      <c r="C266" s="30" t="s">
        <v>206</v>
      </c>
      <c r="D266" s="30" t="s">
        <v>225</v>
      </c>
      <c r="E266" s="163" t="s">
        <v>900</v>
      </c>
      <c r="F266" s="284" t="s">
        <v>1221</v>
      </c>
      <c r="G266" s="284">
        <f>IFERROR(VLOOKUP(E266,Assign!$C$2:$J$142,8,FALSE),)</f>
        <v>0</v>
      </c>
      <c r="H266" s="372" t="s">
        <v>3869</v>
      </c>
      <c r="I266" s="445" t="s">
        <v>3859</v>
      </c>
      <c r="J266" s="446"/>
      <c r="K266" s="386">
        <v>34666640</v>
      </c>
      <c r="L266" s="387"/>
      <c r="M266" s="388">
        <f t="shared" si="10"/>
        <v>34666640</v>
      </c>
      <c r="N266" s="388"/>
      <c r="O266" s="388">
        <f t="shared" si="11"/>
        <v>34666640</v>
      </c>
      <c r="P266" s="390"/>
      <c r="Q266" s="386">
        <v>62400000</v>
      </c>
      <c r="R266" s="394">
        <v>0</v>
      </c>
      <c r="S266" s="447"/>
    </row>
    <row r="267" spans="2:19" ht="19.5" hidden="1" customHeight="1">
      <c r="B267" s="29">
        <f t="shared" ref="B267:B330" si="12">ROW()-10</f>
        <v>257</v>
      </c>
      <c r="C267" s="30" t="s">
        <v>206</v>
      </c>
      <c r="D267" s="30" t="s">
        <v>225</v>
      </c>
      <c r="E267" s="163" t="s">
        <v>901</v>
      </c>
      <c r="F267" s="284" t="s">
        <v>1226</v>
      </c>
      <c r="G267" s="284">
        <f>IFERROR(VLOOKUP(E267,Assign!$C$2:$J$142,8,FALSE),)</f>
        <v>0</v>
      </c>
      <c r="H267" s="372" t="s">
        <v>3869</v>
      </c>
      <c r="I267" s="445" t="s">
        <v>3859</v>
      </c>
      <c r="J267" s="446"/>
      <c r="K267" s="386">
        <v>34222188</v>
      </c>
      <c r="L267" s="387"/>
      <c r="M267" s="388">
        <f t="shared" ref="M267:M330" si="13">SUM(K267:L267)</f>
        <v>34222188</v>
      </c>
      <c r="N267" s="388"/>
      <c r="O267" s="388">
        <f t="shared" ref="O267:O330" si="14">SUM(M267:N267)</f>
        <v>34222188</v>
      </c>
      <c r="P267" s="390"/>
      <c r="Q267" s="386">
        <v>48000000</v>
      </c>
      <c r="R267" s="394">
        <v>0</v>
      </c>
      <c r="S267" s="447"/>
    </row>
    <row r="268" spans="2:19" ht="19.5" hidden="1" customHeight="1">
      <c r="B268" s="29">
        <f t="shared" si="12"/>
        <v>258</v>
      </c>
      <c r="C268" s="30" t="s">
        <v>206</v>
      </c>
      <c r="D268" s="30" t="s">
        <v>225</v>
      </c>
      <c r="E268" s="163" t="s">
        <v>902</v>
      </c>
      <c r="F268" s="284" t="s">
        <v>1321</v>
      </c>
      <c r="G268" s="284">
        <f>IFERROR(VLOOKUP(E268,Assign!$C$2:$J$142,8,FALSE),)</f>
        <v>0</v>
      </c>
      <c r="H268" s="372" t="s">
        <v>3870</v>
      </c>
      <c r="I268" s="445" t="s">
        <v>3859</v>
      </c>
      <c r="J268" s="446"/>
      <c r="K268" s="386">
        <v>32000000</v>
      </c>
      <c r="L268" s="387"/>
      <c r="M268" s="388">
        <f t="shared" si="13"/>
        <v>32000000</v>
      </c>
      <c r="N268" s="388"/>
      <c r="O268" s="388">
        <f t="shared" si="14"/>
        <v>32000000</v>
      </c>
      <c r="P268" s="390"/>
      <c r="Q268" s="386">
        <v>132000000</v>
      </c>
      <c r="R268" s="394">
        <v>91200000</v>
      </c>
      <c r="S268" s="447"/>
    </row>
    <row r="269" spans="2:19" ht="19.5" hidden="1" customHeight="1">
      <c r="B269" s="29">
        <f t="shared" si="12"/>
        <v>259</v>
      </c>
      <c r="C269" s="30" t="s">
        <v>206</v>
      </c>
      <c r="D269" s="30" t="s">
        <v>225</v>
      </c>
      <c r="E269" s="163" t="s">
        <v>903</v>
      </c>
      <c r="F269" s="284" t="s">
        <v>1266</v>
      </c>
      <c r="G269" s="284">
        <f>IFERROR(VLOOKUP(E269,Assign!$C$2:$J$142,8,FALSE),)</f>
        <v>0</v>
      </c>
      <c r="H269" s="372" t="s">
        <v>3869</v>
      </c>
      <c r="I269" s="445" t="s">
        <v>3859</v>
      </c>
      <c r="J269" s="446"/>
      <c r="K269" s="386">
        <v>29870078</v>
      </c>
      <c r="L269" s="387"/>
      <c r="M269" s="388">
        <f t="shared" si="13"/>
        <v>29870078</v>
      </c>
      <c r="N269" s="388"/>
      <c r="O269" s="388">
        <f t="shared" si="14"/>
        <v>29870078</v>
      </c>
      <c r="P269" s="390"/>
      <c r="Q269" s="386">
        <v>37400000</v>
      </c>
      <c r="R269" s="394">
        <v>113850000</v>
      </c>
      <c r="S269" s="447"/>
    </row>
    <row r="270" spans="2:19" ht="19.5" hidden="1" customHeight="1">
      <c r="B270" s="29">
        <f t="shared" si="12"/>
        <v>260</v>
      </c>
      <c r="C270" s="30" t="s">
        <v>206</v>
      </c>
      <c r="D270" s="30" t="s">
        <v>225</v>
      </c>
      <c r="E270" s="163" t="s">
        <v>904</v>
      </c>
      <c r="F270" s="284" t="s">
        <v>1221</v>
      </c>
      <c r="G270" s="284">
        <f>IFERROR(VLOOKUP(E270,Assign!$C$2:$J$142,8,FALSE),)</f>
        <v>0</v>
      </c>
      <c r="H270" s="372" t="s">
        <v>3869</v>
      </c>
      <c r="I270" s="445" t="s">
        <v>3859</v>
      </c>
      <c r="J270" s="446"/>
      <c r="K270" s="386">
        <v>29170465</v>
      </c>
      <c r="L270" s="387"/>
      <c r="M270" s="388">
        <f t="shared" si="13"/>
        <v>29170465</v>
      </c>
      <c r="N270" s="388"/>
      <c r="O270" s="388">
        <f t="shared" si="14"/>
        <v>29170465</v>
      </c>
      <c r="P270" s="390"/>
      <c r="Q270" s="386">
        <v>33000000</v>
      </c>
      <c r="R270" s="394">
        <v>55000000</v>
      </c>
      <c r="S270" s="447"/>
    </row>
    <row r="271" spans="2:19" ht="19.5" hidden="1" customHeight="1">
      <c r="B271" s="29">
        <f t="shared" si="12"/>
        <v>261</v>
      </c>
      <c r="C271" s="30" t="s">
        <v>206</v>
      </c>
      <c r="D271" s="30" t="s">
        <v>225</v>
      </c>
      <c r="E271" s="163" t="s">
        <v>905</v>
      </c>
      <c r="F271" s="284" t="s">
        <v>1229</v>
      </c>
      <c r="G271" s="284">
        <f>IFERROR(VLOOKUP(E271,Assign!$C$2:$J$142,8,FALSE),)</f>
        <v>0</v>
      </c>
      <c r="H271" s="372" t="s">
        <v>3868</v>
      </c>
      <c r="I271" s="445" t="s">
        <v>3859</v>
      </c>
      <c r="J271" s="446"/>
      <c r="K271" s="386">
        <v>27950100</v>
      </c>
      <c r="L271" s="387"/>
      <c r="M271" s="388">
        <f t="shared" si="13"/>
        <v>27950100</v>
      </c>
      <c r="N271" s="388"/>
      <c r="O271" s="388">
        <f t="shared" si="14"/>
        <v>27950100</v>
      </c>
      <c r="P271" s="390"/>
      <c r="Q271" s="386">
        <v>33000000</v>
      </c>
      <c r="R271" s="394">
        <v>0</v>
      </c>
      <c r="S271" s="447"/>
    </row>
    <row r="272" spans="2:19" ht="19.5" hidden="1" customHeight="1">
      <c r="B272" s="29">
        <f t="shared" si="12"/>
        <v>262</v>
      </c>
      <c r="C272" s="30" t="s">
        <v>206</v>
      </c>
      <c r="D272" s="30" t="s">
        <v>225</v>
      </c>
      <c r="E272" s="163" t="s">
        <v>906</v>
      </c>
      <c r="F272" s="284" t="s">
        <v>1222</v>
      </c>
      <c r="G272" s="284">
        <f>IFERROR(VLOOKUP(E272,Assign!$C$2:$J$142,8,FALSE),)</f>
        <v>0</v>
      </c>
      <c r="H272" s="372" t="s">
        <v>3868</v>
      </c>
      <c r="I272" s="445" t="s">
        <v>3859</v>
      </c>
      <c r="J272" s="446"/>
      <c r="K272" s="386">
        <v>27741981</v>
      </c>
      <c r="L272" s="387"/>
      <c r="M272" s="388">
        <f t="shared" si="13"/>
        <v>27741981</v>
      </c>
      <c r="N272" s="388"/>
      <c r="O272" s="388">
        <f t="shared" si="14"/>
        <v>27741981</v>
      </c>
      <c r="P272" s="390"/>
      <c r="Q272" s="386">
        <v>32400000</v>
      </c>
      <c r="R272" s="394">
        <v>117200000</v>
      </c>
      <c r="S272" s="447"/>
    </row>
    <row r="273" spans="2:19" ht="19.5" hidden="1" customHeight="1">
      <c r="B273" s="29">
        <f t="shared" si="12"/>
        <v>263</v>
      </c>
      <c r="C273" s="30" t="s">
        <v>206</v>
      </c>
      <c r="D273" s="30" t="s">
        <v>225</v>
      </c>
      <c r="E273" s="163" t="s">
        <v>907</v>
      </c>
      <c r="F273" s="284" t="s">
        <v>1252</v>
      </c>
      <c r="G273" s="284">
        <f>IFERROR(VLOOKUP(E273,Assign!$C$2:$J$142,8,FALSE),)</f>
        <v>0</v>
      </c>
      <c r="H273" s="372" t="s">
        <v>3869</v>
      </c>
      <c r="I273" s="445" t="s">
        <v>3859</v>
      </c>
      <c r="J273" s="446"/>
      <c r="K273" s="386">
        <v>27249891</v>
      </c>
      <c r="L273" s="387"/>
      <c r="M273" s="388">
        <f t="shared" si="13"/>
        <v>27249891</v>
      </c>
      <c r="N273" s="388"/>
      <c r="O273" s="388">
        <f t="shared" si="14"/>
        <v>27249891</v>
      </c>
      <c r="P273" s="390"/>
      <c r="Q273" s="386">
        <v>33000000</v>
      </c>
      <c r="R273" s="394">
        <v>0</v>
      </c>
      <c r="S273" s="447"/>
    </row>
    <row r="274" spans="2:19" ht="19.5" hidden="1" customHeight="1">
      <c r="B274" s="29">
        <f t="shared" si="12"/>
        <v>264</v>
      </c>
      <c r="C274" s="30" t="s">
        <v>206</v>
      </c>
      <c r="D274" s="30" t="s">
        <v>225</v>
      </c>
      <c r="E274" s="163" t="s">
        <v>908</v>
      </c>
      <c r="F274" s="284" t="s">
        <v>1225</v>
      </c>
      <c r="G274" s="284">
        <f>IFERROR(VLOOKUP(E274,Assign!$C$2:$J$142,8,FALSE),)</f>
        <v>0</v>
      </c>
      <c r="H274" s="372" t="s">
        <v>3869</v>
      </c>
      <c r="I274" s="445" t="s">
        <v>3859</v>
      </c>
      <c r="J274" s="446"/>
      <c r="K274" s="386">
        <v>26575928</v>
      </c>
      <c r="L274" s="387"/>
      <c r="M274" s="388">
        <f t="shared" si="13"/>
        <v>26575928</v>
      </c>
      <c r="N274" s="388"/>
      <c r="O274" s="388">
        <f t="shared" si="14"/>
        <v>26575928</v>
      </c>
      <c r="P274" s="390"/>
      <c r="Q274" s="386">
        <v>36000000</v>
      </c>
      <c r="R274" s="394">
        <v>0</v>
      </c>
      <c r="S274" s="447"/>
    </row>
    <row r="275" spans="2:19" ht="19.5" hidden="1" customHeight="1">
      <c r="B275" s="29">
        <f t="shared" si="12"/>
        <v>265</v>
      </c>
      <c r="C275" s="30" t="s">
        <v>206</v>
      </c>
      <c r="D275" s="30" t="s">
        <v>225</v>
      </c>
      <c r="E275" s="163" t="s">
        <v>909</v>
      </c>
      <c r="F275" s="284" t="s">
        <v>1269</v>
      </c>
      <c r="G275" s="284">
        <f>IFERROR(VLOOKUP(E275,Assign!$C$2:$J$142,8,FALSE),)</f>
        <v>0</v>
      </c>
      <c r="H275" s="372" t="s">
        <v>3869</v>
      </c>
      <c r="I275" s="445" t="s">
        <v>3859</v>
      </c>
      <c r="J275" s="446"/>
      <c r="K275" s="386">
        <v>26347162</v>
      </c>
      <c r="L275" s="387"/>
      <c r="M275" s="388">
        <f t="shared" si="13"/>
        <v>26347162</v>
      </c>
      <c r="N275" s="388"/>
      <c r="O275" s="388">
        <f t="shared" si="14"/>
        <v>26347162</v>
      </c>
      <c r="P275" s="390"/>
      <c r="Q275" s="386">
        <v>42000000</v>
      </c>
      <c r="R275" s="394">
        <v>0</v>
      </c>
      <c r="S275" s="447"/>
    </row>
    <row r="276" spans="2:19" ht="19.5" hidden="1" customHeight="1">
      <c r="B276" s="29">
        <f t="shared" si="12"/>
        <v>266</v>
      </c>
      <c r="C276" s="30" t="s">
        <v>206</v>
      </c>
      <c r="D276" s="30" t="s">
        <v>225</v>
      </c>
      <c r="E276" s="163" t="s">
        <v>910</v>
      </c>
      <c r="F276" s="284" t="s">
        <v>1226</v>
      </c>
      <c r="G276" s="284">
        <f>IFERROR(VLOOKUP(E276,Assign!$C$2:$J$142,8,FALSE),)</f>
        <v>0</v>
      </c>
      <c r="H276" s="372" t="s">
        <v>3868</v>
      </c>
      <c r="I276" s="445" t="s">
        <v>3859</v>
      </c>
      <c r="J276" s="446"/>
      <c r="K276" s="386">
        <v>24895617</v>
      </c>
      <c r="L276" s="387"/>
      <c r="M276" s="388">
        <f t="shared" si="13"/>
        <v>24895617</v>
      </c>
      <c r="N276" s="388"/>
      <c r="O276" s="388">
        <f t="shared" si="14"/>
        <v>24895617</v>
      </c>
      <c r="P276" s="390"/>
      <c r="Q276" s="386">
        <v>60000000</v>
      </c>
      <c r="R276" s="394">
        <v>192000000</v>
      </c>
      <c r="S276" s="447"/>
    </row>
    <row r="277" spans="2:19" ht="19.5" hidden="1" customHeight="1">
      <c r="B277" s="29">
        <f t="shared" si="12"/>
        <v>267</v>
      </c>
      <c r="C277" s="30" t="s">
        <v>206</v>
      </c>
      <c r="D277" s="30" t="s">
        <v>225</v>
      </c>
      <c r="E277" s="163" t="s">
        <v>911</v>
      </c>
      <c r="F277" s="284" t="s">
        <v>1234</v>
      </c>
      <c r="G277" s="284">
        <f>IFERROR(VLOOKUP(E277,Assign!$C$2:$J$142,8,FALSE),)</f>
        <v>0</v>
      </c>
      <c r="H277" s="372" t="s">
        <v>3869</v>
      </c>
      <c r="I277" s="445" t="s">
        <v>3859</v>
      </c>
      <c r="J277" s="446"/>
      <c r="K277" s="386">
        <v>23333310</v>
      </c>
      <c r="L277" s="387"/>
      <c r="M277" s="388">
        <f t="shared" si="13"/>
        <v>23333310</v>
      </c>
      <c r="N277" s="388"/>
      <c r="O277" s="388">
        <f t="shared" si="14"/>
        <v>23333310</v>
      </c>
      <c r="P277" s="390"/>
      <c r="Q277" s="386">
        <v>33000000</v>
      </c>
      <c r="R277" s="394">
        <v>0</v>
      </c>
      <c r="S277" s="447"/>
    </row>
    <row r="278" spans="2:19" ht="19.5" hidden="1" customHeight="1">
      <c r="B278" s="29">
        <f t="shared" si="12"/>
        <v>268</v>
      </c>
      <c r="C278" s="30" t="s">
        <v>206</v>
      </c>
      <c r="D278" s="30" t="s">
        <v>225</v>
      </c>
      <c r="E278" s="163" t="s">
        <v>912</v>
      </c>
      <c r="F278" s="284" t="s">
        <v>1246</v>
      </c>
      <c r="G278" s="284">
        <f>IFERROR(VLOOKUP(E278,Assign!$C$2:$J$142,8,FALSE),)</f>
        <v>0</v>
      </c>
      <c r="H278" s="372" t="s">
        <v>3869</v>
      </c>
      <c r="I278" s="445" t="s">
        <v>3859</v>
      </c>
      <c r="J278" s="446"/>
      <c r="K278" s="386">
        <v>21333248</v>
      </c>
      <c r="L278" s="387"/>
      <c r="M278" s="388">
        <f t="shared" si="13"/>
        <v>21333248</v>
      </c>
      <c r="N278" s="388"/>
      <c r="O278" s="388">
        <f t="shared" si="14"/>
        <v>21333248</v>
      </c>
      <c r="P278" s="390"/>
      <c r="Q278" s="386">
        <v>36000000</v>
      </c>
      <c r="R278" s="394">
        <v>0</v>
      </c>
      <c r="S278" s="447"/>
    </row>
    <row r="279" spans="2:19" ht="19.5" hidden="1" customHeight="1">
      <c r="B279" s="29">
        <f t="shared" si="12"/>
        <v>269</v>
      </c>
      <c r="C279" s="30" t="s">
        <v>206</v>
      </c>
      <c r="D279" s="30" t="s">
        <v>225</v>
      </c>
      <c r="E279" s="163" t="s">
        <v>913</v>
      </c>
      <c r="F279" s="284" t="s">
        <v>1260</v>
      </c>
      <c r="G279" s="284">
        <f>IFERROR(VLOOKUP(E279,Assign!$C$2:$J$142,8,FALSE),)</f>
        <v>0</v>
      </c>
      <c r="H279" s="372" t="s">
        <v>3869</v>
      </c>
      <c r="I279" s="445" t="s">
        <v>3859</v>
      </c>
      <c r="J279" s="446"/>
      <c r="K279" s="386">
        <v>16507482</v>
      </c>
      <c r="L279" s="387"/>
      <c r="M279" s="388">
        <f t="shared" si="13"/>
        <v>16507482</v>
      </c>
      <c r="N279" s="388"/>
      <c r="O279" s="388">
        <f t="shared" si="14"/>
        <v>16507482</v>
      </c>
      <c r="P279" s="390"/>
      <c r="Q279" s="386">
        <v>36000000</v>
      </c>
      <c r="R279" s="394">
        <v>0</v>
      </c>
      <c r="S279" s="447"/>
    </row>
    <row r="280" spans="2:19" ht="19.5" hidden="1" customHeight="1">
      <c r="B280" s="29">
        <f t="shared" si="12"/>
        <v>270</v>
      </c>
      <c r="C280" s="30" t="s">
        <v>206</v>
      </c>
      <c r="D280" s="30" t="s">
        <v>225</v>
      </c>
      <c r="E280" s="163" t="s">
        <v>914</v>
      </c>
      <c r="F280" s="284" t="s">
        <v>1270</v>
      </c>
      <c r="G280" s="284">
        <f>IFERROR(VLOOKUP(E280,Assign!$C$2:$J$142,8,FALSE),)</f>
        <v>0</v>
      </c>
      <c r="H280" s="372" t="s">
        <v>3869</v>
      </c>
      <c r="I280" s="445" t="s">
        <v>3859</v>
      </c>
      <c r="J280" s="446"/>
      <c r="K280" s="386">
        <v>11306649</v>
      </c>
      <c r="L280" s="387"/>
      <c r="M280" s="388">
        <f t="shared" si="13"/>
        <v>11306649</v>
      </c>
      <c r="N280" s="388"/>
      <c r="O280" s="388">
        <f t="shared" si="14"/>
        <v>11306649</v>
      </c>
      <c r="P280" s="390"/>
      <c r="Q280" s="386">
        <v>29280000</v>
      </c>
      <c r="R280" s="394">
        <v>0</v>
      </c>
      <c r="S280" s="447"/>
    </row>
    <row r="281" spans="2:19" ht="19.5" hidden="1" customHeight="1">
      <c r="B281" s="29">
        <f t="shared" si="12"/>
        <v>271</v>
      </c>
      <c r="C281" s="30" t="s">
        <v>206</v>
      </c>
      <c r="D281" s="30" t="s">
        <v>225</v>
      </c>
      <c r="E281" s="163" t="s">
        <v>915</v>
      </c>
      <c r="F281" s="284" t="s">
        <v>1229</v>
      </c>
      <c r="G281" s="284">
        <f>IFERROR(VLOOKUP(E281,Assign!$C$2:$J$142,8,FALSE),)</f>
        <v>0</v>
      </c>
      <c r="H281" s="372" t="s">
        <v>3869</v>
      </c>
      <c r="I281" s="445" t="s">
        <v>3859</v>
      </c>
      <c r="J281" s="446"/>
      <c r="K281" s="386">
        <v>5145661</v>
      </c>
      <c r="L281" s="387"/>
      <c r="M281" s="388">
        <f t="shared" si="13"/>
        <v>5145661</v>
      </c>
      <c r="N281" s="388"/>
      <c r="O281" s="388">
        <f t="shared" si="14"/>
        <v>5145661</v>
      </c>
      <c r="P281" s="390"/>
      <c r="Q281" s="386">
        <v>48000000</v>
      </c>
      <c r="R281" s="394">
        <v>0</v>
      </c>
      <c r="S281" s="447"/>
    </row>
    <row r="282" spans="2:19" ht="19.5" customHeight="1">
      <c r="B282" s="29">
        <f t="shared" si="12"/>
        <v>272</v>
      </c>
      <c r="C282" s="30" t="s">
        <v>206</v>
      </c>
      <c r="D282" s="30" t="s">
        <v>225</v>
      </c>
      <c r="E282" s="493" t="s">
        <v>916</v>
      </c>
      <c r="F282" s="284" t="s">
        <v>1271</v>
      </c>
      <c r="G282" s="284" t="str">
        <f>IFERROR(VLOOKUP(E282,Assign!$C$2:$J$142,8,FALSE),)</f>
        <v>문선영</v>
      </c>
      <c r="H282" s="372" t="s">
        <v>3868</v>
      </c>
      <c r="I282" s="445" t="s">
        <v>3859</v>
      </c>
      <c r="J282" s="446"/>
      <c r="K282" s="386">
        <v>3994180</v>
      </c>
      <c r="L282" s="387"/>
      <c r="M282" s="388">
        <f t="shared" si="13"/>
        <v>3994180</v>
      </c>
      <c r="N282" s="388"/>
      <c r="O282" s="388">
        <f t="shared" si="14"/>
        <v>3994180</v>
      </c>
      <c r="P282" s="390"/>
      <c r="Q282" s="386">
        <v>7700000</v>
      </c>
      <c r="R282" s="394">
        <v>0</v>
      </c>
      <c r="S282" s="447"/>
    </row>
    <row r="283" spans="2:19" ht="19.5" customHeight="1">
      <c r="B283" s="29">
        <f t="shared" si="12"/>
        <v>273</v>
      </c>
      <c r="C283" s="30" t="s">
        <v>206</v>
      </c>
      <c r="D283" s="30" t="s">
        <v>225</v>
      </c>
      <c r="E283" s="493" t="s">
        <v>917</v>
      </c>
      <c r="F283" s="284" t="s">
        <v>1221</v>
      </c>
      <c r="G283" s="284" t="str">
        <f>IFERROR(VLOOKUP(E283,Assign!$C$2:$J$142,8,FALSE),)</f>
        <v>문선영</v>
      </c>
      <c r="H283" s="372" t="s">
        <v>3869</v>
      </c>
      <c r="I283" s="445" t="s">
        <v>3859</v>
      </c>
      <c r="J283" s="446"/>
      <c r="K283" s="386">
        <v>2744531</v>
      </c>
      <c r="L283" s="387"/>
      <c r="M283" s="388">
        <f t="shared" si="13"/>
        <v>2744531</v>
      </c>
      <c r="N283" s="388"/>
      <c r="O283" s="388">
        <f t="shared" si="14"/>
        <v>2744531</v>
      </c>
      <c r="P283" s="390"/>
      <c r="Q283" s="386">
        <v>42700000</v>
      </c>
      <c r="R283" s="394">
        <v>0</v>
      </c>
      <c r="S283" s="447"/>
    </row>
    <row r="284" spans="2:19" ht="19.5" hidden="1" customHeight="1">
      <c r="B284" s="29">
        <f t="shared" si="12"/>
        <v>274</v>
      </c>
      <c r="C284" s="30" t="s">
        <v>206</v>
      </c>
      <c r="D284" s="30" t="s">
        <v>359</v>
      </c>
      <c r="E284" s="163" t="s">
        <v>918</v>
      </c>
      <c r="F284" s="284" t="s">
        <v>1322</v>
      </c>
      <c r="G284" s="284">
        <f>IFERROR(VLOOKUP(E284,Assign!$C$2:$J$142,8,FALSE),)</f>
        <v>0</v>
      </c>
      <c r="H284" s="372" t="s">
        <v>3870</v>
      </c>
      <c r="I284" s="445" t="s">
        <v>3859</v>
      </c>
      <c r="J284" s="446"/>
      <c r="K284" s="386">
        <v>6500000000</v>
      </c>
      <c r="L284" s="387"/>
      <c r="M284" s="388">
        <f t="shared" si="13"/>
        <v>6500000000</v>
      </c>
      <c r="N284" s="388"/>
      <c r="O284" s="388">
        <f t="shared" si="14"/>
        <v>6500000000</v>
      </c>
      <c r="P284" s="390"/>
      <c r="Q284" s="386">
        <v>7800000000</v>
      </c>
      <c r="R284" s="394">
        <v>9000000000</v>
      </c>
      <c r="S284" s="447"/>
    </row>
    <row r="285" spans="2:19" ht="19.5" hidden="1" customHeight="1">
      <c r="B285" s="29">
        <f t="shared" si="12"/>
        <v>275</v>
      </c>
      <c r="C285" s="30" t="s">
        <v>206</v>
      </c>
      <c r="D285" s="30" t="s">
        <v>359</v>
      </c>
      <c r="E285" s="163" t="s">
        <v>919</v>
      </c>
      <c r="F285" s="284" t="s">
        <v>1323</v>
      </c>
      <c r="G285" s="284">
        <f>IFERROR(VLOOKUP(E285,Assign!$C$2:$J$142,8,FALSE),)</f>
        <v>0</v>
      </c>
      <c r="H285" s="372" t="s">
        <v>3870</v>
      </c>
      <c r="I285" s="445" t="s">
        <v>3859</v>
      </c>
      <c r="J285" s="446"/>
      <c r="K285" s="386">
        <v>4118449116</v>
      </c>
      <c r="L285" s="387"/>
      <c r="M285" s="388">
        <f t="shared" si="13"/>
        <v>4118449116</v>
      </c>
      <c r="N285" s="388"/>
      <c r="O285" s="388">
        <f t="shared" si="14"/>
        <v>4118449116</v>
      </c>
      <c r="P285" s="390"/>
      <c r="Q285" s="386">
        <v>4089000000</v>
      </c>
      <c r="R285" s="394">
        <v>0</v>
      </c>
      <c r="S285" s="447"/>
    </row>
    <row r="286" spans="2:19" ht="19.5" hidden="1" customHeight="1">
      <c r="B286" s="29">
        <f t="shared" si="12"/>
        <v>276</v>
      </c>
      <c r="C286" s="30" t="s">
        <v>206</v>
      </c>
      <c r="D286" s="30" t="s">
        <v>359</v>
      </c>
      <c r="E286" s="163" t="s">
        <v>920</v>
      </c>
      <c r="F286" s="284" t="s">
        <v>1272</v>
      </c>
      <c r="G286" s="284">
        <f>IFERROR(VLOOKUP(E286,Assign!$C$2:$J$142,8,FALSE),)</f>
        <v>0</v>
      </c>
      <c r="H286" s="372" t="s">
        <v>3870</v>
      </c>
      <c r="I286" s="445" t="s">
        <v>3859</v>
      </c>
      <c r="J286" s="446"/>
      <c r="K286" s="386">
        <v>4003333326</v>
      </c>
      <c r="L286" s="387"/>
      <c r="M286" s="388">
        <f t="shared" si="13"/>
        <v>4003333326</v>
      </c>
      <c r="N286" s="388"/>
      <c r="O286" s="388">
        <f t="shared" si="14"/>
        <v>4003333326</v>
      </c>
      <c r="P286" s="390"/>
      <c r="Q286" s="386">
        <v>4560000000</v>
      </c>
      <c r="R286" s="394">
        <v>0</v>
      </c>
      <c r="S286" s="447"/>
    </row>
    <row r="287" spans="2:19" ht="19.5" hidden="1" customHeight="1">
      <c r="B287" s="29">
        <f t="shared" si="12"/>
        <v>277</v>
      </c>
      <c r="C287" s="30" t="s">
        <v>206</v>
      </c>
      <c r="D287" s="30" t="s">
        <v>359</v>
      </c>
      <c r="E287" s="163" t="s">
        <v>921</v>
      </c>
      <c r="F287" s="284" t="s">
        <v>1273</v>
      </c>
      <c r="G287" s="284">
        <f>IFERROR(VLOOKUP(E287,Assign!$C$2:$J$142,8,FALSE),)</f>
        <v>0</v>
      </c>
      <c r="H287" s="372" t="s">
        <v>3870</v>
      </c>
      <c r="I287" s="445" t="s">
        <v>3859</v>
      </c>
      <c r="J287" s="446"/>
      <c r="K287" s="386">
        <v>3891000000</v>
      </c>
      <c r="L287" s="387"/>
      <c r="M287" s="388">
        <f t="shared" si="13"/>
        <v>3891000000</v>
      </c>
      <c r="N287" s="388"/>
      <c r="O287" s="388">
        <f t="shared" si="14"/>
        <v>3891000000</v>
      </c>
      <c r="P287" s="390"/>
      <c r="Q287" s="386">
        <v>4335600000</v>
      </c>
      <c r="R287" s="394">
        <v>1570400000</v>
      </c>
      <c r="S287" s="447"/>
    </row>
    <row r="288" spans="2:19" ht="19.5" hidden="1" customHeight="1">
      <c r="B288" s="29">
        <f t="shared" si="12"/>
        <v>278</v>
      </c>
      <c r="C288" s="30" t="s">
        <v>206</v>
      </c>
      <c r="D288" s="30" t="s">
        <v>359</v>
      </c>
      <c r="E288" s="163" t="s">
        <v>922</v>
      </c>
      <c r="F288" s="284" t="s">
        <v>1324</v>
      </c>
      <c r="G288" s="284">
        <f>IFERROR(VLOOKUP(E288,Assign!$C$2:$J$142,8,FALSE),)</f>
        <v>0</v>
      </c>
      <c r="H288" s="372" t="s">
        <v>3870</v>
      </c>
      <c r="I288" s="445" t="s">
        <v>3859</v>
      </c>
      <c r="J288" s="446"/>
      <c r="K288" s="386">
        <v>2145000000</v>
      </c>
      <c r="L288" s="387"/>
      <c r="M288" s="388">
        <f t="shared" si="13"/>
        <v>2145000000</v>
      </c>
      <c r="N288" s="388"/>
      <c r="O288" s="388">
        <f t="shared" si="14"/>
        <v>2145000000</v>
      </c>
      <c r="P288" s="390"/>
      <c r="Q288" s="386">
        <v>2598000000</v>
      </c>
      <c r="R288" s="394">
        <v>0</v>
      </c>
      <c r="S288" s="447"/>
    </row>
    <row r="289" spans="2:19" ht="19.5" hidden="1" customHeight="1">
      <c r="B289" s="29">
        <f t="shared" si="12"/>
        <v>279</v>
      </c>
      <c r="C289" s="30" t="s">
        <v>206</v>
      </c>
      <c r="D289" s="30" t="s">
        <v>359</v>
      </c>
      <c r="E289" s="163" t="s">
        <v>923</v>
      </c>
      <c r="F289" s="284" t="s">
        <v>1325</v>
      </c>
      <c r="G289" s="284">
        <f>IFERROR(VLOOKUP(E289,Assign!$C$2:$J$142,8,FALSE),)</f>
        <v>0</v>
      </c>
      <c r="H289" s="372" t="s">
        <v>3870</v>
      </c>
      <c r="I289" s="445" t="s">
        <v>3859</v>
      </c>
      <c r="J289" s="446"/>
      <c r="K289" s="386">
        <v>530988866</v>
      </c>
      <c r="L289" s="387"/>
      <c r="M289" s="388">
        <f t="shared" si="13"/>
        <v>530988866</v>
      </c>
      <c r="N289" s="388"/>
      <c r="O289" s="388">
        <f t="shared" si="14"/>
        <v>530988866</v>
      </c>
      <c r="P289" s="390"/>
      <c r="Q289" s="386">
        <v>1136000000</v>
      </c>
      <c r="R289" s="394">
        <v>1124170000</v>
      </c>
      <c r="S289" s="447"/>
    </row>
    <row r="290" spans="2:19" ht="19.5" customHeight="1">
      <c r="B290" s="29">
        <f t="shared" si="12"/>
        <v>280</v>
      </c>
      <c r="C290" s="30" t="s">
        <v>206</v>
      </c>
      <c r="D290" s="30" t="s">
        <v>359</v>
      </c>
      <c r="E290" s="493" t="s">
        <v>924</v>
      </c>
      <c r="F290" s="284" t="s">
        <v>1247</v>
      </c>
      <c r="G290" s="284" t="str">
        <f>IFERROR(VLOOKUP(E290,Assign!$C$2:$J$142,8,FALSE),)</f>
        <v>문선영</v>
      </c>
      <c r="H290" s="372" t="s">
        <v>3868</v>
      </c>
      <c r="I290" s="445" t="s">
        <v>3859</v>
      </c>
      <c r="J290" s="446"/>
      <c r="K290" s="386">
        <v>970000000</v>
      </c>
      <c r="L290" s="387"/>
      <c r="M290" s="388">
        <f t="shared" si="13"/>
        <v>970000000</v>
      </c>
      <c r="N290" s="388"/>
      <c r="O290" s="388">
        <f t="shared" si="14"/>
        <v>970000000</v>
      </c>
      <c r="P290" s="390"/>
      <c r="Q290" s="386">
        <v>1164000000</v>
      </c>
      <c r="R290" s="394">
        <v>0</v>
      </c>
      <c r="S290" s="447"/>
    </row>
    <row r="291" spans="2:19" ht="19.5" hidden="1" customHeight="1">
      <c r="B291" s="29">
        <f t="shared" si="12"/>
        <v>281</v>
      </c>
      <c r="C291" s="30" t="s">
        <v>206</v>
      </c>
      <c r="D291" s="30" t="s">
        <v>359</v>
      </c>
      <c r="E291" s="163" t="s">
        <v>925</v>
      </c>
      <c r="F291" s="284" t="s">
        <v>1326</v>
      </c>
      <c r="G291" s="284">
        <f>IFERROR(VLOOKUP(E291,Assign!$C$2:$J$142,8,FALSE),)</f>
        <v>0</v>
      </c>
      <c r="H291" s="372" t="s">
        <v>3870</v>
      </c>
      <c r="I291" s="445" t="s">
        <v>3859</v>
      </c>
      <c r="J291" s="446"/>
      <c r="K291" s="386">
        <v>300000000</v>
      </c>
      <c r="L291" s="387"/>
      <c r="M291" s="388">
        <f t="shared" si="13"/>
        <v>300000000</v>
      </c>
      <c r="N291" s="388"/>
      <c r="O291" s="388">
        <f t="shared" si="14"/>
        <v>300000000</v>
      </c>
      <c r="P291" s="390"/>
      <c r="Q291" s="386">
        <v>360000000</v>
      </c>
      <c r="R291" s="394">
        <v>0</v>
      </c>
      <c r="S291" s="447"/>
    </row>
    <row r="292" spans="2:19" ht="19.5" customHeight="1">
      <c r="B292" s="29">
        <f t="shared" si="12"/>
        <v>282</v>
      </c>
      <c r="C292" s="30" t="s">
        <v>206</v>
      </c>
      <c r="D292" s="30" t="s">
        <v>359</v>
      </c>
      <c r="E292" s="493" t="s">
        <v>926</v>
      </c>
      <c r="F292" s="284" t="s">
        <v>1225</v>
      </c>
      <c r="G292" s="284" t="str">
        <f>IFERROR(VLOOKUP(E292,Assign!$C$2:$J$142,8,FALSE),)</f>
        <v>문선영</v>
      </c>
      <c r="H292" s="372" t="s">
        <v>3868</v>
      </c>
      <c r="I292" s="445" t="s">
        <v>3859</v>
      </c>
      <c r="J292" s="446"/>
      <c r="K292" s="386">
        <v>229260115</v>
      </c>
      <c r="L292" s="387"/>
      <c r="M292" s="388">
        <f t="shared" si="13"/>
        <v>229260115</v>
      </c>
      <c r="N292" s="388"/>
      <c r="O292" s="388">
        <f t="shared" si="14"/>
        <v>229260115</v>
      </c>
      <c r="P292" s="390"/>
      <c r="Q292" s="386">
        <v>276000000</v>
      </c>
      <c r="R292" s="394">
        <v>0</v>
      </c>
      <c r="S292" s="447"/>
    </row>
    <row r="293" spans="2:19" ht="19.5" hidden="1" customHeight="1">
      <c r="B293" s="29">
        <f t="shared" si="12"/>
        <v>283</v>
      </c>
      <c r="C293" s="30" t="s">
        <v>206</v>
      </c>
      <c r="D293" s="30" t="s">
        <v>359</v>
      </c>
      <c r="E293" s="163" t="s">
        <v>927</v>
      </c>
      <c r="F293" s="284" t="s">
        <v>1232</v>
      </c>
      <c r="G293" s="284">
        <f>IFERROR(VLOOKUP(E293,Assign!$C$2:$J$142,8,FALSE),)</f>
        <v>0</v>
      </c>
      <c r="H293" s="372" t="s">
        <v>3868</v>
      </c>
      <c r="I293" s="445" t="s">
        <v>3859</v>
      </c>
      <c r="J293" s="446"/>
      <c r="K293" s="386">
        <v>212333268</v>
      </c>
      <c r="L293" s="387"/>
      <c r="M293" s="388">
        <f t="shared" si="13"/>
        <v>212333268</v>
      </c>
      <c r="N293" s="388"/>
      <c r="O293" s="388">
        <f t="shared" si="14"/>
        <v>212333268</v>
      </c>
      <c r="P293" s="390"/>
      <c r="Q293" s="386">
        <v>234400000</v>
      </c>
      <c r="R293" s="394">
        <v>0</v>
      </c>
      <c r="S293" s="447"/>
    </row>
    <row r="294" spans="2:19" ht="19.5" customHeight="1">
      <c r="B294" s="29">
        <f t="shared" si="12"/>
        <v>284</v>
      </c>
      <c r="C294" s="30" t="s">
        <v>3666</v>
      </c>
      <c r="D294" s="30" t="s">
        <v>3640</v>
      </c>
      <c r="E294" s="493" t="s">
        <v>3667</v>
      </c>
      <c r="F294" s="284" t="s">
        <v>3663</v>
      </c>
      <c r="G294" s="284" t="str">
        <f>IFERROR(VLOOKUP(E294,Assign!$C$2:$J$142,8,FALSE),)</f>
        <v>문선영</v>
      </c>
      <c r="H294" s="372" t="s">
        <v>3870</v>
      </c>
      <c r="I294" s="445" t="s">
        <v>3859</v>
      </c>
      <c r="J294" s="446"/>
      <c r="K294" s="386">
        <v>1570379100</v>
      </c>
      <c r="L294" s="387"/>
      <c r="M294" s="388">
        <f t="shared" si="13"/>
        <v>1570379100</v>
      </c>
      <c r="N294" s="388"/>
      <c r="O294" s="388">
        <f t="shared" si="14"/>
        <v>1570379100</v>
      </c>
      <c r="P294" s="390"/>
      <c r="Q294" s="386">
        <v>1104000000</v>
      </c>
      <c r="R294" s="394">
        <v>99000000</v>
      </c>
      <c r="S294" s="447"/>
    </row>
    <row r="295" spans="2:19" ht="19.5" hidden="1" customHeight="1">
      <c r="B295" s="29">
        <f t="shared" si="12"/>
        <v>285</v>
      </c>
      <c r="C295" s="30" t="s">
        <v>202</v>
      </c>
      <c r="D295" s="30" t="s">
        <v>225</v>
      </c>
      <c r="E295" s="163" t="s">
        <v>928</v>
      </c>
      <c r="F295" s="284" t="s">
        <v>1327</v>
      </c>
      <c r="G295" s="284">
        <f>IFERROR(VLOOKUP(E295,Assign!$C$2:$J$142,8,FALSE),)</f>
        <v>0</v>
      </c>
      <c r="H295" s="372" t="s">
        <v>3870</v>
      </c>
      <c r="I295" s="445" t="s">
        <v>3859</v>
      </c>
      <c r="J295" s="446"/>
      <c r="K295" s="386">
        <v>9000000000</v>
      </c>
      <c r="L295" s="387"/>
      <c r="M295" s="388">
        <f t="shared" si="13"/>
        <v>9000000000</v>
      </c>
      <c r="N295" s="388"/>
      <c r="O295" s="388">
        <f t="shared" si="14"/>
        <v>9000000000</v>
      </c>
      <c r="P295" s="390"/>
      <c r="Q295" s="386">
        <v>10800000000</v>
      </c>
      <c r="R295" s="394">
        <v>18750000000</v>
      </c>
      <c r="S295" s="447"/>
    </row>
    <row r="296" spans="2:19" ht="19.5" hidden="1" customHeight="1">
      <c r="B296" s="29">
        <f t="shared" si="12"/>
        <v>286</v>
      </c>
      <c r="C296" s="30" t="s">
        <v>202</v>
      </c>
      <c r="D296" s="30" t="s">
        <v>225</v>
      </c>
      <c r="E296" s="163" t="s">
        <v>929</v>
      </c>
      <c r="F296" s="284" t="s">
        <v>1329</v>
      </c>
      <c r="G296" s="284">
        <f>IFERROR(VLOOKUP(E296,Assign!$C$2:$J$142,8,FALSE),)</f>
        <v>0</v>
      </c>
      <c r="H296" s="372" t="s">
        <v>3870</v>
      </c>
      <c r="I296" s="445" t="s">
        <v>3859</v>
      </c>
      <c r="J296" s="446"/>
      <c r="K296" s="386">
        <v>7018170941.3100004</v>
      </c>
      <c r="L296" s="387"/>
      <c r="M296" s="388">
        <f t="shared" si="13"/>
        <v>7018170941.3100004</v>
      </c>
      <c r="N296" s="388"/>
      <c r="O296" s="388">
        <f t="shared" si="14"/>
        <v>7018170941.3100004</v>
      </c>
      <c r="P296" s="390"/>
      <c r="Q296" s="386">
        <v>10200000000</v>
      </c>
      <c r="R296" s="394">
        <v>2160000000</v>
      </c>
      <c r="S296" s="447"/>
    </row>
    <row r="297" spans="2:19" ht="19.5" hidden="1" customHeight="1">
      <c r="B297" s="29">
        <f t="shared" si="12"/>
        <v>287</v>
      </c>
      <c r="C297" s="30" t="s">
        <v>202</v>
      </c>
      <c r="D297" s="30" t="s">
        <v>225</v>
      </c>
      <c r="E297" s="163" t="s">
        <v>930</v>
      </c>
      <c r="F297" s="284" t="s">
        <v>1330</v>
      </c>
      <c r="G297" s="284">
        <f>IFERROR(VLOOKUP(E297,Assign!$C$2:$J$142,8,FALSE),)</f>
        <v>0</v>
      </c>
      <c r="H297" s="372" t="s">
        <v>3870</v>
      </c>
      <c r="I297" s="445" t="s">
        <v>3859</v>
      </c>
      <c r="J297" s="446"/>
      <c r="K297" s="386">
        <v>5235991811</v>
      </c>
      <c r="L297" s="387"/>
      <c r="M297" s="388">
        <f t="shared" si="13"/>
        <v>5235991811</v>
      </c>
      <c r="N297" s="388"/>
      <c r="O297" s="388">
        <f t="shared" si="14"/>
        <v>5235991811</v>
      </c>
      <c r="P297" s="390"/>
      <c r="Q297" s="386">
        <v>6450000000</v>
      </c>
      <c r="R297" s="394">
        <v>0</v>
      </c>
      <c r="S297" s="447"/>
    </row>
    <row r="298" spans="2:19" ht="19.5" hidden="1" customHeight="1">
      <c r="B298" s="29">
        <f t="shared" si="12"/>
        <v>288</v>
      </c>
      <c r="C298" s="30" t="s">
        <v>202</v>
      </c>
      <c r="D298" s="30" t="s">
        <v>225</v>
      </c>
      <c r="E298" s="163" t="s">
        <v>931</v>
      </c>
      <c r="F298" s="284" t="s">
        <v>1331</v>
      </c>
      <c r="G298" s="284">
        <f>IFERROR(VLOOKUP(E298,Assign!$C$2:$J$142,8,FALSE),)</f>
        <v>0</v>
      </c>
      <c r="H298" s="372" t="s">
        <v>3870</v>
      </c>
      <c r="I298" s="445" t="s">
        <v>3859</v>
      </c>
      <c r="J298" s="446"/>
      <c r="K298" s="386">
        <v>5180000000</v>
      </c>
      <c r="L298" s="387"/>
      <c r="M298" s="388">
        <f t="shared" si="13"/>
        <v>5180000000</v>
      </c>
      <c r="N298" s="388"/>
      <c r="O298" s="388">
        <f t="shared" si="14"/>
        <v>5180000000</v>
      </c>
      <c r="P298" s="390"/>
      <c r="Q298" s="386">
        <v>6600000000</v>
      </c>
      <c r="R298" s="394">
        <v>0</v>
      </c>
      <c r="S298" s="447"/>
    </row>
    <row r="299" spans="2:19" ht="19.5" hidden="1" customHeight="1">
      <c r="B299" s="29">
        <f t="shared" si="12"/>
        <v>289</v>
      </c>
      <c r="C299" s="30" t="s">
        <v>202</v>
      </c>
      <c r="D299" s="30" t="s">
        <v>225</v>
      </c>
      <c r="E299" s="163" t="s">
        <v>932</v>
      </c>
      <c r="F299" s="284" t="s">
        <v>1332</v>
      </c>
      <c r="G299" s="284">
        <f>IFERROR(VLOOKUP(E299,Assign!$C$2:$J$142,8,FALSE),)</f>
        <v>0</v>
      </c>
      <c r="H299" s="372" t="s">
        <v>3870</v>
      </c>
      <c r="I299" s="445" t="s">
        <v>3859</v>
      </c>
      <c r="J299" s="446"/>
      <c r="K299" s="386">
        <v>4965226764</v>
      </c>
      <c r="L299" s="387"/>
      <c r="M299" s="388">
        <f t="shared" si="13"/>
        <v>4965226764</v>
      </c>
      <c r="N299" s="388"/>
      <c r="O299" s="388">
        <f t="shared" si="14"/>
        <v>4965226764</v>
      </c>
      <c r="P299" s="390"/>
      <c r="Q299" s="386">
        <v>4724400000</v>
      </c>
      <c r="R299" s="394">
        <v>0</v>
      </c>
      <c r="S299" s="447"/>
    </row>
    <row r="300" spans="2:19" ht="19.5" hidden="1" customHeight="1">
      <c r="B300" s="29">
        <f t="shared" si="12"/>
        <v>290</v>
      </c>
      <c r="C300" s="30" t="s">
        <v>202</v>
      </c>
      <c r="D300" s="30" t="s">
        <v>225</v>
      </c>
      <c r="E300" s="163" t="s">
        <v>933</v>
      </c>
      <c r="F300" s="284" t="s">
        <v>1266</v>
      </c>
      <c r="G300" s="284">
        <f>IFERROR(VLOOKUP(E300,Assign!$C$2:$J$142,8,FALSE),)</f>
        <v>0</v>
      </c>
      <c r="H300" s="372" t="s">
        <v>3868</v>
      </c>
      <c r="I300" s="445" t="s">
        <v>3859</v>
      </c>
      <c r="J300" s="446"/>
      <c r="K300" s="386">
        <v>4700007994</v>
      </c>
      <c r="L300" s="387"/>
      <c r="M300" s="388">
        <f t="shared" si="13"/>
        <v>4700007994</v>
      </c>
      <c r="N300" s="388"/>
      <c r="O300" s="388">
        <f t="shared" si="14"/>
        <v>4700007994</v>
      </c>
      <c r="P300" s="390"/>
      <c r="Q300" s="386">
        <v>6370000000</v>
      </c>
      <c r="R300" s="394">
        <v>0</v>
      </c>
      <c r="S300" s="447"/>
    </row>
    <row r="301" spans="2:19" ht="19.5" hidden="1" customHeight="1">
      <c r="B301" s="29">
        <f t="shared" si="12"/>
        <v>291</v>
      </c>
      <c r="C301" s="30" t="s">
        <v>202</v>
      </c>
      <c r="D301" s="30" t="s">
        <v>225</v>
      </c>
      <c r="E301" s="163" t="s">
        <v>934</v>
      </c>
      <c r="F301" s="284" t="s">
        <v>1333</v>
      </c>
      <c r="G301" s="284">
        <f>IFERROR(VLOOKUP(E301,Assign!$C$2:$J$142,8,FALSE),)</f>
        <v>0</v>
      </c>
      <c r="H301" s="372" t="s">
        <v>3870</v>
      </c>
      <c r="I301" s="445" t="s">
        <v>3859</v>
      </c>
      <c r="J301" s="446"/>
      <c r="K301" s="386">
        <v>3919101902</v>
      </c>
      <c r="L301" s="387"/>
      <c r="M301" s="388">
        <f t="shared" si="13"/>
        <v>3919101902</v>
      </c>
      <c r="N301" s="388"/>
      <c r="O301" s="388">
        <f t="shared" si="14"/>
        <v>3919101902</v>
      </c>
      <c r="P301" s="390"/>
      <c r="Q301" s="386">
        <v>3470640000</v>
      </c>
      <c r="R301" s="394">
        <v>0</v>
      </c>
      <c r="S301" s="447"/>
    </row>
    <row r="302" spans="2:19" ht="19.5" hidden="1" customHeight="1">
      <c r="B302" s="29">
        <f t="shared" si="12"/>
        <v>292</v>
      </c>
      <c r="C302" s="30" t="s">
        <v>202</v>
      </c>
      <c r="D302" s="30" t="s">
        <v>225</v>
      </c>
      <c r="E302" s="163" t="s">
        <v>935</v>
      </c>
      <c r="F302" s="284" t="s">
        <v>1334</v>
      </c>
      <c r="G302" s="284">
        <f>IFERROR(VLOOKUP(E302,Assign!$C$2:$J$142,8,FALSE),)</f>
        <v>0</v>
      </c>
      <c r="H302" s="372" t="s">
        <v>3870</v>
      </c>
      <c r="I302" s="445" t="s">
        <v>3859</v>
      </c>
      <c r="J302" s="446"/>
      <c r="K302" s="386">
        <v>3713200000</v>
      </c>
      <c r="L302" s="387"/>
      <c r="M302" s="388">
        <f t="shared" si="13"/>
        <v>3713200000</v>
      </c>
      <c r="N302" s="388"/>
      <c r="O302" s="388">
        <f t="shared" si="14"/>
        <v>3713200000</v>
      </c>
      <c r="P302" s="390"/>
      <c r="Q302" s="386">
        <v>5880000000</v>
      </c>
      <c r="R302" s="394">
        <v>0</v>
      </c>
      <c r="S302" s="447"/>
    </row>
    <row r="303" spans="2:19" ht="19.5" hidden="1" customHeight="1">
      <c r="B303" s="29">
        <f t="shared" si="12"/>
        <v>293</v>
      </c>
      <c r="C303" s="30" t="s">
        <v>202</v>
      </c>
      <c r="D303" s="30" t="s">
        <v>225</v>
      </c>
      <c r="E303" s="163" t="s">
        <v>936</v>
      </c>
      <c r="F303" s="284" t="s">
        <v>1335</v>
      </c>
      <c r="G303" s="284">
        <f>IFERROR(VLOOKUP(E303,Assign!$C$2:$J$142,8,FALSE),)</f>
        <v>0</v>
      </c>
      <c r="H303" s="372" t="s">
        <v>3870</v>
      </c>
      <c r="I303" s="445" t="s">
        <v>3859</v>
      </c>
      <c r="J303" s="446"/>
      <c r="K303" s="386">
        <v>3122186778</v>
      </c>
      <c r="L303" s="387"/>
      <c r="M303" s="388">
        <f t="shared" si="13"/>
        <v>3122186778</v>
      </c>
      <c r="N303" s="388"/>
      <c r="O303" s="388">
        <f t="shared" si="14"/>
        <v>3122186778</v>
      </c>
      <c r="P303" s="390"/>
      <c r="Q303" s="386">
        <v>3951090000</v>
      </c>
      <c r="R303" s="394">
        <v>0</v>
      </c>
      <c r="S303" s="447"/>
    </row>
    <row r="304" spans="2:19" ht="19.5" hidden="1" customHeight="1">
      <c r="B304" s="29">
        <f t="shared" si="12"/>
        <v>294</v>
      </c>
      <c r="C304" s="30" t="s">
        <v>202</v>
      </c>
      <c r="D304" s="30" t="s">
        <v>225</v>
      </c>
      <c r="E304" s="163" t="s">
        <v>937</v>
      </c>
      <c r="F304" s="284" t="s">
        <v>1336</v>
      </c>
      <c r="G304" s="284">
        <f>IFERROR(VLOOKUP(E304,Assign!$C$2:$J$142,8,FALSE),)</f>
        <v>0</v>
      </c>
      <c r="H304" s="372" t="s">
        <v>3870</v>
      </c>
      <c r="I304" s="445" t="s">
        <v>3859</v>
      </c>
      <c r="J304" s="446"/>
      <c r="K304" s="386">
        <v>3063000000</v>
      </c>
      <c r="L304" s="387"/>
      <c r="M304" s="388">
        <f t="shared" si="13"/>
        <v>3063000000</v>
      </c>
      <c r="N304" s="388"/>
      <c r="O304" s="388">
        <f t="shared" si="14"/>
        <v>3063000000</v>
      </c>
      <c r="P304" s="390"/>
      <c r="Q304" s="386">
        <v>3708000000</v>
      </c>
      <c r="R304" s="394">
        <v>0</v>
      </c>
      <c r="S304" s="447"/>
    </row>
    <row r="305" spans="2:19" ht="19.5" hidden="1" customHeight="1">
      <c r="B305" s="29">
        <f t="shared" si="12"/>
        <v>295</v>
      </c>
      <c r="C305" s="30" t="s">
        <v>202</v>
      </c>
      <c r="D305" s="30" t="s">
        <v>225</v>
      </c>
      <c r="E305" s="163" t="s">
        <v>938</v>
      </c>
      <c r="F305" s="284" t="s">
        <v>1231</v>
      </c>
      <c r="G305" s="284">
        <f>IFERROR(VLOOKUP(E305,Assign!$C$2:$J$142,8,FALSE),)</f>
        <v>0</v>
      </c>
      <c r="H305" s="372" t="s">
        <v>3868</v>
      </c>
      <c r="I305" s="445" t="s">
        <v>3859</v>
      </c>
      <c r="J305" s="446"/>
      <c r="K305" s="386">
        <v>2930000000</v>
      </c>
      <c r="L305" s="387"/>
      <c r="M305" s="388">
        <f t="shared" si="13"/>
        <v>2930000000</v>
      </c>
      <c r="N305" s="388"/>
      <c r="O305" s="388">
        <f t="shared" si="14"/>
        <v>2930000000</v>
      </c>
      <c r="P305" s="390"/>
      <c r="Q305" s="386">
        <v>3552000000</v>
      </c>
      <c r="R305" s="394">
        <v>0</v>
      </c>
      <c r="S305" s="447"/>
    </row>
    <row r="306" spans="2:19" ht="19.5" hidden="1" customHeight="1">
      <c r="B306" s="29">
        <f t="shared" si="12"/>
        <v>296</v>
      </c>
      <c r="C306" s="30" t="s">
        <v>202</v>
      </c>
      <c r="D306" s="30" t="s">
        <v>225</v>
      </c>
      <c r="E306" s="163" t="s">
        <v>939</v>
      </c>
      <c r="F306" s="284" t="s">
        <v>1338</v>
      </c>
      <c r="G306" s="284">
        <f>IFERROR(VLOOKUP(E306,Assign!$C$2:$J$142,8,FALSE),)</f>
        <v>0</v>
      </c>
      <c r="H306" s="372" t="s">
        <v>3870</v>
      </c>
      <c r="I306" s="445" t="s">
        <v>3859</v>
      </c>
      <c r="J306" s="446"/>
      <c r="K306" s="386">
        <v>2695000000</v>
      </c>
      <c r="L306" s="387"/>
      <c r="M306" s="388">
        <f t="shared" si="13"/>
        <v>2695000000</v>
      </c>
      <c r="N306" s="388"/>
      <c r="O306" s="388">
        <f t="shared" si="14"/>
        <v>2695000000</v>
      </c>
      <c r="P306" s="390"/>
      <c r="Q306" s="386">
        <v>3774000000</v>
      </c>
      <c r="R306" s="394">
        <v>0</v>
      </c>
      <c r="S306" s="447"/>
    </row>
    <row r="307" spans="2:19" ht="19.5" hidden="1" customHeight="1">
      <c r="B307" s="29">
        <f t="shared" si="12"/>
        <v>297</v>
      </c>
      <c r="C307" s="30" t="s">
        <v>202</v>
      </c>
      <c r="D307" s="30" t="s">
        <v>225</v>
      </c>
      <c r="E307" s="163" t="s">
        <v>940</v>
      </c>
      <c r="F307" s="284" t="s">
        <v>1339</v>
      </c>
      <c r="G307" s="284">
        <f>IFERROR(VLOOKUP(E307,Assign!$C$2:$J$142,8,FALSE),)</f>
        <v>0</v>
      </c>
      <c r="H307" s="372" t="s">
        <v>3870</v>
      </c>
      <c r="I307" s="445" t="s">
        <v>3859</v>
      </c>
      <c r="J307" s="446"/>
      <c r="K307" s="386">
        <v>2300000000</v>
      </c>
      <c r="L307" s="387"/>
      <c r="M307" s="388">
        <f t="shared" si="13"/>
        <v>2300000000</v>
      </c>
      <c r="N307" s="388"/>
      <c r="O307" s="388">
        <f t="shared" si="14"/>
        <v>2300000000</v>
      </c>
      <c r="P307" s="390"/>
      <c r="Q307" s="386">
        <v>2760000000</v>
      </c>
      <c r="R307" s="394">
        <v>0</v>
      </c>
      <c r="S307" s="447"/>
    </row>
    <row r="308" spans="2:19" ht="19.5" hidden="1" customHeight="1">
      <c r="B308" s="29">
        <f t="shared" si="12"/>
        <v>298</v>
      </c>
      <c r="C308" s="30" t="s">
        <v>202</v>
      </c>
      <c r="D308" s="30" t="s">
        <v>225</v>
      </c>
      <c r="E308" s="163" t="s">
        <v>941</v>
      </c>
      <c r="F308" s="284" t="s">
        <v>1229</v>
      </c>
      <c r="G308" s="284">
        <f>IFERROR(VLOOKUP(E308,Assign!$C$2:$J$142,8,FALSE),)</f>
        <v>0</v>
      </c>
      <c r="H308" s="372" t="s">
        <v>3868</v>
      </c>
      <c r="I308" s="445" t="s">
        <v>3859</v>
      </c>
      <c r="J308" s="446"/>
      <c r="K308" s="386">
        <v>1871666452</v>
      </c>
      <c r="L308" s="387"/>
      <c r="M308" s="388">
        <f t="shared" si="13"/>
        <v>1871666452</v>
      </c>
      <c r="N308" s="388"/>
      <c r="O308" s="388">
        <f t="shared" si="14"/>
        <v>1871666452</v>
      </c>
      <c r="P308" s="390"/>
      <c r="Q308" s="386">
        <v>2520000000</v>
      </c>
      <c r="R308" s="394">
        <v>0</v>
      </c>
      <c r="S308" s="447"/>
    </row>
    <row r="309" spans="2:19" ht="19.5" hidden="1" customHeight="1">
      <c r="B309" s="29">
        <f t="shared" si="12"/>
        <v>299</v>
      </c>
      <c r="C309" s="30" t="s">
        <v>202</v>
      </c>
      <c r="D309" s="30" t="s">
        <v>225</v>
      </c>
      <c r="E309" s="163" t="s">
        <v>942</v>
      </c>
      <c r="F309" s="284" t="s">
        <v>1340</v>
      </c>
      <c r="G309" s="284">
        <f>IFERROR(VLOOKUP(E309,Assign!$C$2:$J$142,8,FALSE),)</f>
        <v>0</v>
      </c>
      <c r="H309" s="372" t="s">
        <v>3870</v>
      </c>
      <c r="I309" s="445" t="s">
        <v>3859</v>
      </c>
      <c r="J309" s="446"/>
      <c r="K309" s="386">
        <v>1750000000</v>
      </c>
      <c r="L309" s="387"/>
      <c r="M309" s="388">
        <f t="shared" si="13"/>
        <v>1750000000</v>
      </c>
      <c r="N309" s="388"/>
      <c r="O309" s="388">
        <f t="shared" si="14"/>
        <v>1750000000</v>
      </c>
      <c r="P309" s="390"/>
      <c r="Q309" s="386">
        <v>2100000000</v>
      </c>
      <c r="R309" s="394">
        <v>0</v>
      </c>
      <c r="S309" s="447"/>
    </row>
    <row r="310" spans="2:19" ht="19.5" customHeight="1">
      <c r="B310" s="29">
        <f t="shared" si="12"/>
        <v>300</v>
      </c>
      <c r="C310" s="30" t="s">
        <v>202</v>
      </c>
      <c r="D310" s="30" t="s">
        <v>225</v>
      </c>
      <c r="E310" s="489" t="s">
        <v>943</v>
      </c>
      <c r="F310" s="284" t="s">
        <v>1341</v>
      </c>
      <c r="G310" s="284" t="str">
        <f>IFERROR(VLOOKUP(E310,Assign!$C$2:$J$142,8,FALSE),)</f>
        <v>문선영</v>
      </c>
      <c r="H310" s="372" t="s">
        <v>3870</v>
      </c>
      <c r="I310" s="445" t="s">
        <v>3859</v>
      </c>
      <c r="J310" s="446"/>
      <c r="K310" s="386">
        <v>1497800000</v>
      </c>
      <c r="L310" s="387"/>
      <c r="M310" s="388">
        <f t="shared" si="13"/>
        <v>1497800000</v>
      </c>
      <c r="N310" s="388"/>
      <c r="O310" s="388">
        <f t="shared" si="14"/>
        <v>1497800000</v>
      </c>
      <c r="P310" s="390"/>
      <c r="Q310" s="386">
        <v>1835000000</v>
      </c>
      <c r="R310" s="394">
        <v>0</v>
      </c>
      <c r="S310" s="447"/>
    </row>
    <row r="311" spans="2:19" ht="19.5" hidden="1" customHeight="1">
      <c r="B311" s="29">
        <f t="shared" si="12"/>
        <v>301</v>
      </c>
      <c r="C311" s="30" t="s">
        <v>202</v>
      </c>
      <c r="D311" s="30" t="s">
        <v>225</v>
      </c>
      <c r="E311" s="163" t="s">
        <v>944</v>
      </c>
      <c r="F311" s="284" t="s">
        <v>1342</v>
      </c>
      <c r="G311" s="284">
        <f>IFERROR(VLOOKUP(E311,Assign!$C$2:$J$142,8,FALSE),)</f>
        <v>0</v>
      </c>
      <c r="H311" s="372" t="s">
        <v>3870</v>
      </c>
      <c r="I311" s="445" t="s">
        <v>3859</v>
      </c>
      <c r="J311" s="446"/>
      <c r="K311" s="386">
        <v>1400000000</v>
      </c>
      <c r="L311" s="387"/>
      <c r="M311" s="388">
        <f t="shared" si="13"/>
        <v>1400000000</v>
      </c>
      <c r="N311" s="388"/>
      <c r="O311" s="388">
        <f t="shared" si="14"/>
        <v>1400000000</v>
      </c>
      <c r="P311" s="390"/>
      <c r="Q311" s="386">
        <v>1680000000</v>
      </c>
      <c r="R311" s="394">
        <v>0</v>
      </c>
      <c r="S311" s="447"/>
    </row>
    <row r="312" spans="2:19" ht="19.5" hidden="1" customHeight="1">
      <c r="B312" s="29">
        <f t="shared" si="12"/>
        <v>302</v>
      </c>
      <c r="C312" s="30" t="s">
        <v>202</v>
      </c>
      <c r="D312" s="30" t="s">
        <v>225</v>
      </c>
      <c r="E312" s="163" t="s">
        <v>945</v>
      </c>
      <c r="F312" s="284" t="s">
        <v>1235</v>
      </c>
      <c r="G312" s="284">
        <f>IFERROR(VLOOKUP(E312,Assign!$C$2:$J$142,8,FALSE),)</f>
        <v>0</v>
      </c>
      <c r="H312" s="372" t="s">
        <v>3868</v>
      </c>
      <c r="I312" s="445" t="s">
        <v>3859</v>
      </c>
      <c r="J312" s="446"/>
      <c r="K312" s="386">
        <v>1399999256</v>
      </c>
      <c r="L312" s="387"/>
      <c r="M312" s="388">
        <f t="shared" si="13"/>
        <v>1399999256</v>
      </c>
      <c r="N312" s="388"/>
      <c r="O312" s="388">
        <f t="shared" si="14"/>
        <v>1399999256</v>
      </c>
      <c r="P312" s="390"/>
      <c r="Q312" s="386">
        <v>1680000000</v>
      </c>
      <c r="R312" s="394">
        <v>0</v>
      </c>
      <c r="S312" s="447"/>
    </row>
    <row r="313" spans="2:19" ht="19.5" hidden="1" customHeight="1">
      <c r="B313" s="29">
        <f t="shared" si="12"/>
        <v>303</v>
      </c>
      <c r="C313" s="30" t="s">
        <v>202</v>
      </c>
      <c r="D313" s="30" t="s">
        <v>225</v>
      </c>
      <c r="E313" s="163" t="s">
        <v>946</v>
      </c>
      <c r="F313" s="284" t="s">
        <v>1343</v>
      </c>
      <c r="G313" s="284">
        <f>IFERROR(VLOOKUP(E313,Assign!$C$2:$J$142,8,FALSE),)</f>
        <v>0</v>
      </c>
      <c r="H313" s="372" t="s">
        <v>3870</v>
      </c>
      <c r="I313" s="445" t="s">
        <v>3859</v>
      </c>
      <c r="J313" s="446"/>
      <c r="K313" s="386">
        <v>1359000000</v>
      </c>
      <c r="L313" s="387"/>
      <c r="M313" s="388">
        <f t="shared" si="13"/>
        <v>1359000000</v>
      </c>
      <c r="N313" s="388"/>
      <c r="O313" s="388">
        <f t="shared" si="14"/>
        <v>1359000000</v>
      </c>
      <c r="P313" s="390"/>
      <c r="Q313" s="386">
        <v>1886800000</v>
      </c>
      <c r="R313" s="394">
        <v>273350000</v>
      </c>
      <c r="S313" s="447"/>
    </row>
    <row r="314" spans="2:19" ht="19.5" hidden="1" customHeight="1">
      <c r="B314" s="29">
        <f t="shared" si="12"/>
        <v>304</v>
      </c>
      <c r="C314" s="30" t="s">
        <v>202</v>
      </c>
      <c r="D314" s="30" t="s">
        <v>225</v>
      </c>
      <c r="E314" s="163" t="s">
        <v>947</v>
      </c>
      <c r="F314" s="284" t="s">
        <v>1244</v>
      </c>
      <c r="G314" s="284">
        <f>IFERROR(VLOOKUP(E314,Assign!$C$2:$J$142,8,FALSE),)</f>
        <v>0</v>
      </c>
      <c r="H314" s="372" t="s">
        <v>3869</v>
      </c>
      <c r="I314" s="445" t="s">
        <v>3859</v>
      </c>
      <c r="J314" s="446"/>
      <c r="K314" s="386">
        <v>1293888595</v>
      </c>
      <c r="L314" s="387"/>
      <c r="M314" s="388">
        <f t="shared" si="13"/>
        <v>1293888595</v>
      </c>
      <c r="N314" s="388"/>
      <c r="O314" s="388">
        <f t="shared" si="14"/>
        <v>1293888595</v>
      </c>
      <c r="P314" s="390"/>
      <c r="Q314" s="386">
        <v>1480000000</v>
      </c>
      <c r="R314" s="394">
        <v>0</v>
      </c>
      <c r="S314" s="447"/>
    </row>
    <row r="315" spans="2:19" ht="19.5" hidden="1" customHeight="1">
      <c r="B315" s="29">
        <f t="shared" si="12"/>
        <v>305</v>
      </c>
      <c r="C315" s="30" t="s">
        <v>202</v>
      </c>
      <c r="D315" s="30" t="s">
        <v>225</v>
      </c>
      <c r="E315" s="163" t="s">
        <v>948</v>
      </c>
      <c r="F315" s="284" t="s">
        <v>1344</v>
      </c>
      <c r="G315" s="284">
        <f>IFERROR(VLOOKUP(E315,Assign!$C$2:$J$142,8,FALSE),)</f>
        <v>0</v>
      </c>
      <c r="H315" s="372" t="s">
        <v>3870</v>
      </c>
      <c r="I315" s="445" t="s">
        <v>3859</v>
      </c>
      <c r="J315" s="446"/>
      <c r="K315" s="386">
        <v>1250521992</v>
      </c>
      <c r="L315" s="387"/>
      <c r="M315" s="388">
        <f t="shared" si="13"/>
        <v>1250521992</v>
      </c>
      <c r="N315" s="388"/>
      <c r="O315" s="388">
        <f t="shared" si="14"/>
        <v>1250521992</v>
      </c>
      <c r="P315" s="390"/>
      <c r="Q315" s="386">
        <v>1935000000</v>
      </c>
      <c r="R315" s="394">
        <v>0</v>
      </c>
      <c r="S315" s="447"/>
    </row>
    <row r="316" spans="2:19" ht="19.5" customHeight="1">
      <c r="B316" s="29">
        <f t="shared" si="12"/>
        <v>306</v>
      </c>
      <c r="C316" s="30" t="s">
        <v>202</v>
      </c>
      <c r="D316" s="30" t="s">
        <v>225</v>
      </c>
      <c r="E316" s="489" t="s">
        <v>949</v>
      </c>
      <c r="F316" s="284" t="s">
        <v>1252</v>
      </c>
      <c r="G316" s="284" t="str">
        <f>IFERROR(VLOOKUP(E316,Assign!$C$2:$J$142,8,FALSE),)</f>
        <v>문선영</v>
      </c>
      <c r="H316" s="372" t="s">
        <v>3868</v>
      </c>
      <c r="I316" s="445" t="s">
        <v>3859</v>
      </c>
      <c r="J316" s="446"/>
      <c r="K316" s="386">
        <v>1153180980</v>
      </c>
      <c r="L316" s="387"/>
      <c r="M316" s="388">
        <f t="shared" si="13"/>
        <v>1153180980</v>
      </c>
      <c r="N316" s="388"/>
      <c r="O316" s="388">
        <f t="shared" si="14"/>
        <v>1153180980</v>
      </c>
      <c r="P316" s="390"/>
      <c r="Q316" s="386">
        <v>1416000000</v>
      </c>
      <c r="R316" s="394">
        <v>0</v>
      </c>
      <c r="S316" s="447"/>
    </row>
    <row r="317" spans="2:19" ht="19.5" customHeight="1">
      <c r="B317" s="29">
        <f t="shared" si="12"/>
        <v>307</v>
      </c>
      <c r="C317" s="30" t="s">
        <v>202</v>
      </c>
      <c r="D317" s="30" t="s">
        <v>225</v>
      </c>
      <c r="E317" s="489" t="s">
        <v>950</v>
      </c>
      <c r="F317" s="284" t="s">
        <v>1271</v>
      </c>
      <c r="G317" s="284" t="str">
        <f>IFERROR(VLOOKUP(E317,Assign!$C$2:$J$142,8,FALSE),)</f>
        <v>문선영</v>
      </c>
      <c r="H317" s="372" t="s">
        <v>3868</v>
      </c>
      <c r="I317" s="445" t="s">
        <v>3859</v>
      </c>
      <c r="J317" s="446"/>
      <c r="K317" s="386">
        <v>1108113668</v>
      </c>
      <c r="L317" s="387"/>
      <c r="M317" s="388">
        <f t="shared" si="13"/>
        <v>1108113668</v>
      </c>
      <c r="N317" s="388"/>
      <c r="O317" s="388">
        <f t="shared" si="14"/>
        <v>1108113668</v>
      </c>
      <c r="P317" s="390"/>
      <c r="Q317" s="386">
        <v>1380000000</v>
      </c>
      <c r="R317" s="394">
        <v>163000000</v>
      </c>
      <c r="S317" s="447"/>
    </row>
    <row r="318" spans="2:19" ht="19.5" hidden="1" customHeight="1">
      <c r="B318" s="29">
        <f t="shared" si="12"/>
        <v>308</v>
      </c>
      <c r="C318" s="30" t="s">
        <v>202</v>
      </c>
      <c r="D318" s="30" t="s">
        <v>225</v>
      </c>
      <c r="E318" s="163" t="s">
        <v>951</v>
      </c>
      <c r="F318" s="284" t="s">
        <v>1217</v>
      </c>
      <c r="G318" s="284">
        <f>IFERROR(VLOOKUP(E318,Assign!$C$2:$J$142,8,FALSE),)</f>
        <v>0</v>
      </c>
      <c r="H318" s="372" t="s">
        <v>3868</v>
      </c>
      <c r="I318" s="445" t="s">
        <v>3859</v>
      </c>
      <c r="J318" s="446"/>
      <c r="K318" s="386">
        <v>1050000000</v>
      </c>
      <c r="L318" s="387"/>
      <c r="M318" s="388">
        <f t="shared" si="13"/>
        <v>1050000000</v>
      </c>
      <c r="N318" s="388"/>
      <c r="O318" s="388">
        <f t="shared" si="14"/>
        <v>1050000000</v>
      </c>
      <c r="P318" s="390"/>
      <c r="Q318" s="386">
        <v>1680000000</v>
      </c>
      <c r="R318" s="394">
        <v>0</v>
      </c>
      <c r="S318" s="447"/>
    </row>
    <row r="319" spans="2:19" ht="19.5" hidden="1" customHeight="1">
      <c r="B319" s="29">
        <f t="shared" si="12"/>
        <v>309</v>
      </c>
      <c r="C319" s="30" t="s">
        <v>202</v>
      </c>
      <c r="D319" s="30" t="s">
        <v>225</v>
      </c>
      <c r="E319" s="163" t="s">
        <v>952</v>
      </c>
      <c r="F319" s="284" t="s">
        <v>1231</v>
      </c>
      <c r="G319" s="284">
        <f>IFERROR(VLOOKUP(E319,Assign!$C$2:$J$142,8,FALSE),)</f>
        <v>0</v>
      </c>
      <c r="H319" s="372" t="s">
        <v>3868</v>
      </c>
      <c r="I319" s="445" t="s">
        <v>3859</v>
      </c>
      <c r="J319" s="446"/>
      <c r="K319" s="386">
        <v>916931845</v>
      </c>
      <c r="L319" s="387"/>
      <c r="M319" s="388">
        <f t="shared" si="13"/>
        <v>916931845</v>
      </c>
      <c r="N319" s="388"/>
      <c r="O319" s="388">
        <f t="shared" si="14"/>
        <v>916931845</v>
      </c>
      <c r="P319" s="390"/>
      <c r="Q319" s="386">
        <v>1251600000</v>
      </c>
      <c r="R319" s="394">
        <v>0</v>
      </c>
      <c r="S319" s="447"/>
    </row>
    <row r="320" spans="2:19" ht="19.5" customHeight="1">
      <c r="B320" s="29">
        <f t="shared" si="12"/>
        <v>310</v>
      </c>
      <c r="C320" s="30" t="s">
        <v>202</v>
      </c>
      <c r="D320" s="30" t="s">
        <v>225</v>
      </c>
      <c r="E320" s="489" t="s">
        <v>954</v>
      </c>
      <c r="F320" s="284" t="s">
        <v>1346</v>
      </c>
      <c r="G320" s="284" t="str">
        <f>IFERROR(VLOOKUP(E320,Assign!$C$2:$J$142,8,FALSE),)</f>
        <v>문선영</v>
      </c>
      <c r="H320" s="372" t="s">
        <v>3870</v>
      </c>
      <c r="I320" s="445" t="s">
        <v>3859</v>
      </c>
      <c r="J320" s="446"/>
      <c r="K320" s="386">
        <v>993632180</v>
      </c>
      <c r="L320" s="387"/>
      <c r="M320" s="388">
        <f t="shared" si="13"/>
        <v>993632180</v>
      </c>
      <c r="N320" s="388"/>
      <c r="O320" s="388">
        <f t="shared" si="14"/>
        <v>993632180</v>
      </c>
      <c r="P320" s="390"/>
      <c r="Q320" s="386">
        <v>119834399.99999999</v>
      </c>
      <c r="R320" s="394">
        <v>1302384000</v>
      </c>
      <c r="S320" s="447"/>
    </row>
    <row r="321" spans="2:19" ht="19.5" customHeight="1">
      <c r="B321" s="29">
        <f t="shared" si="12"/>
        <v>311</v>
      </c>
      <c r="C321" s="30" t="s">
        <v>202</v>
      </c>
      <c r="D321" s="30" t="s">
        <v>225</v>
      </c>
      <c r="E321" s="489" t="s">
        <v>955</v>
      </c>
      <c r="F321" s="284" t="s">
        <v>1347</v>
      </c>
      <c r="G321" s="284" t="str">
        <f>IFERROR(VLOOKUP(E321,Assign!$C$2:$J$142,8,FALSE),)</f>
        <v>문선영</v>
      </c>
      <c r="H321" s="372" t="s">
        <v>3870</v>
      </c>
      <c r="I321" s="445" t="s">
        <v>3859</v>
      </c>
      <c r="J321" s="446"/>
      <c r="K321" s="386">
        <v>912000000</v>
      </c>
      <c r="L321" s="387"/>
      <c r="M321" s="388">
        <f t="shared" si="13"/>
        <v>912000000</v>
      </c>
      <c r="N321" s="388"/>
      <c r="O321" s="388">
        <f t="shared" si="14"/>
        <v>912000000</v>
      </c>
      <c r="P321" s="390"/>
      <c r="Q321" s="386">
        <v>1248000000</v>
      </c>
      <c r="R321" s="394">
        <v>48000000</v>
      </c>
      <c r="S321" s="447"/>
    </row>
    <row r="322" spans="2:19" ht="19.5" hidden="1" customHeight="1">
      <c r="B322" s="29">
        <f t="shared" si="12"/>
        <v>312</v>
      </c>
      <c r="C322" s="30" t="s">
        <v>202</v>
      </c>
      <c r="D322" s="30" t="s">
        <v>225</v>
      </c>
      <c r="E322" s="163" t="s">
        <v>956</v>
      </c>
      <c r="F322" s="284" t="s">
        <v>1348</v>
      </c>
      <c r="G322" s="284">
        <f>IFERROR(VLOOKUP(E322,Assign!$C$2:$J$142,8,FALSE),)</f>
        <v>0</v>
      </c>
      <c r="H322" s="372" t="s">
        <v>3870</v>
      </c>
      <c r="I322" s="445" t="s">
        <v>3859</v>
      </c>
      <c r="J322" s="446"/>
      <c r="K322" s="386">
        <v>900000000</v>
      </c>
      <c r="L322" s="387"/>
      <c r="M322" s="388">
        <f t="shared" si="13"/>
        <v>900000000</v>
      </c>
      <c r="N322" s="388"/>
      <c r="O322" s="388">
        <f t="shared" si="14"/>
        <v>900000000</v>
      </c>
      <c r="P322" s="390"/>
      <c r="Q322" s="386">
        <v>1080000000</v>
      </c>
      <c r="R322" s="394">
        <v>0</v>
      </c>
      <c r="S322" s="447"/>
    </row>
    <row r="323" spans="2:19" ht="19.5" hidden="1" customHeight="1">
      <c r="B323" s="29">
        <f t="shared" si="12"/>
        <v>313</v>
      </c>
      <c r="C323" s="30" t="s">
        <v>202</v>
      </c>
      <c r="D323" s="30" t="s">
        <v>225</v>
      </c>
      <c r="E323" s="163" t="s">
        <v>957</v>
      </c>
      <c r="F323" s="284" t="s">
        <v>1220</v>
      </c>
      <c r="G323" s="284">
        <f>IFERROR(VLOOKUP(E323,Assign!$C$2:$J$142,8,FALSE),)</f>
        <v>0</v>
      </c>
      <c r="H323" s="372" t="s">
        <v>3868</v>
      </c>
      <c r="I323" s="445" t="s">
        <v>3859</v>
      </c>
      <c r="J323" s="446"/>
      <c r="K323" s="386">
        <v>880000000</v>
      </c>
      <c r="L323" s="387"/>
      <c r="M323" s="388">
        <f t="shared" si="13"/>
        <v>880000000</v>
      </c>
      <c r="N323" s="388"/>
      <c r="O323" s="388">
        <f t="shared" si="14"/>
        <v>880000000</v>
      </c>
      <c r="P323" s="390"/>
      <c r="Q323" s="386">
        <v>1056000000</v>
      </c>
      <c r="R323" s="394">
        <v>0</v>
      </c>
      <c r="S323" s="447"/>
    </row>
    <row r="324" spans="2:19" ht="19.5" customHeight="1">
      <c r="B324" s="29">
        <f t="shared" si="12"/>
        <v>314</v>
      </c>
      <c r="C324" s="30" t="s">
        <v>202</v>
      </c>
      <c r="D324" s="30" t="s">
        <v>225</v>
      </c>
      <c r="E324" s="489" t="s">
        <v>958</v>
      </c>
      <c r="F324" s="284" t="s">
        <v>1274</v>
      </c>
      <c r="G324" s="284" t="str">
        <f>IFERROR(VLOOKUP(E324,Assign!$C$2:$J$142,8,FALSE),)</f>
        <v>문선영</v>
      </c>
      <c r="H324" s="372" t="s">
        <v>3870</v>
      </c>
      <c r="I324" s="445" t="s">
        <v>3859</v>
      </c>
      <c r="J324" s="446"/>
      <c r="K324" s="386">
        <v>827926405</v>
      </c>
      <c r="L324" s="387"/>
      <c r="M324" s="388">
        <f t="shared" si="13"/>
        <v>827926405</v>
      </c>
      <c r="N324" s="388"/>
      <c r="O324" s="388">
        <f t="shared" si="14"/>
        <v>827926405</v>
      </c>
      <c r="P324" s="390"/>
      <c r="Q324" s="386">
        <v>984000000</v>
      </c>
      <c r="R324" s="394">
        <v>0</v>
      </c>
      <c r="S324" s="447"/>
    </row>
    <row r="325" spans="2:19" ht="19.5" customHeight="1">
      <c r="B325" s="29">
        <f t="shared" si="12"/>
        <v>315</v>
      </c>
      <c r="C325" s="30" t="s">
        <v>202</v>
      </c>
      <c r="D325" s="30" t="s">
        <v>225</v>
      </c>
      <c r="E325" s="489" t="s">
        <v>959</v>
      </c>
      <c r="F325" s="284" t="s">
        <v>1221</v>
      </c>
      <c r="G325" s="284" t="str">
        <f>IFERROR(VLOOKUP(E325,Assign!$C$2:$J$142,8,FALSE),)</f>
        <v>문선영</v>
      </c>
      <c r="H325" s="372" t="s">
        <v>3868</v>
      </c>
      <c r="I325" s="445" t="s">
        <v>3859</v>
      </c>
      <c r="J325" s="446"/>
      <c r="K325" s="386">
        <v>800000000</v>
      </c>
      <c r="L325" s="387"/>
      <c r="M325" s="388">
        <f t="shared" si="13"/>
        <v>800000000</v>
      </c>
      <c r="N325" s="388"/>
      <c r="O325" s="388">
        <f t="shared" si="14"/>
        <v>800000000</v>
      </c>
      <c r="P325" s="390"/>
      <c r="Q325" s="386">
        <v>960000000</v>
      </c>
      <c r="R325" s="394">
        <v>0</v>
      </c>
      <c r="S325" s="447"/>
    </row>
    <row r="326" spans="2:19" ht="19.5" customHeight="1">
      <c r="B326" s="29">
        <f t="shared" si="12"/>
        <v>316</v>
      </c>
      <c r="C326" s="30" t="s">
        <v>202</v>
      </c>
      <c r="D326" s="30" t="s">
        <v>225</v>
      </c>
      <c r="E326" s="489" t="s">
        <v>960</v>
      </c>
      <c r="F326" s="284" t="s">
        <v>1349</v>
      </c>
      <c r="G326" s="284" t="str">
        <f>IFERROR(VLOOKUP(E326,Assign!$C$2:$J$142,8,FALSE),)</f>
        <v>문선영</v>
      </c>
      <c r="H326" s="372" t="s">
        <v>3870</v>
      </c>
      <c r="I326" s="445" t="s">
        <v>3859</v>
      </c>
      <c r="J326" s="446"/>
      <c r="K326" s="386">
        <v>774600000</v>
      </c>
      <c r="L326" s="387"/>
      <c r="M326" s="388">
        <f t="shared" si="13"/>
        <v>774600000</v>
      </c>
      <c r="N326" s="388"/>
      <c r="O326" s="388">
        <f t="shared" si="14"/>
        <v>774600000</v>
      </c>
      <c r="P326" s="390"/>
      <c r="Q326" s="386">
        <v>900000000</v>
      </c>
      <c r="R326" s="394">
        <v>0</v>
      </c>
      <c r="S326" s="447"/>
    </row>
    <row r="327" spans="2:19" ht="19.5" hidden="1" customHeight="1">
      <c r="B327" s="29">
        <f t="shared" si="12"/>
        <v>317</v>
      </c>
      <c r="C327" s="30" t="s">
        <v>202</v>
      </c>
      <c r="D327" s="30" t="s">
        <v>225</v>
      </c>
      <c r="E327" s="163" t="s">
        <v>961</v>
      </c>
      <c r="F327" s="284" t="s">
        <v>1275</v>
      </c>
      <c r="G327" s="284">
        <f>IFERROR(VLOOKUP(E327,Assign!$C$2:$J$142,8,FALSE),)</f>
        <v>0</v>
      </c>
      <c r="H327" s="372" t="s">
        <v>3870</v>
      </c>
      <c r="I327" s="445" t="s">
        <v>3859</v>
      </c>
      <c r="J327" s="446"/>
      <c r="K327" s="386">
        <v>742000000</v>
      </c>
      <c r="L327" s="387"/>
      <c r="M327" s="388">
        <f t="shared" si="13"/>
        <v>742000000</v>
      </c>
      <c r="N327" s="388"/>
      <c r="O327" s="388">
        <f t="shared" si="14"/>
        <v>742000000</v>
      </c>
      <c r="P327" s="390"/>
      <c r="Q327" s="386">
        <v>914400000</v>
      </c>
      <c r="R327" s="394">
        <v>0</v>
      </c>
      <c r="S327" s="447"/>
    </row>
    <row r="328" spans="2:19" ht="19.5" hidden="1" customHeight="1">
      <c r="B328" s="29">
        <f t="shared" si="12"/>
        <v>318</v>
      </c>
      <c r="C328" s="30" t="s">
        <v>202</v>
      </c>
      <c r="D328" s="30" t="s">
        <v>225</v>
      </c>
      <c r="E328" s="163" t="s">
        <v>962</v>
      </c>
      <c r="F328" s="284" t="s">
        <v>1229</v>
      </c>
      <c r="G328" s="284">
        <f>IFERROR(VLOOKUP(E328,Assign!$C$2:$J$142,8,FALSE),)</f>
        <v>0</v>
      </c>
      <c r="H328" s="372" t="s">
        <v>3868</v>
      </c>
      <c r="I328" s="445" t="s">
        <v>3859</v>
      </c>
      <c r="J328" s="446"/>
      <c r="K328" s="386">
        <v>684040000</v>
      </c>
      <c r="L328" s="387"/>
      <c r="M328" s="388">
        <f t="shared" si="13"/>
        <v>684040000</v>
      </c>
      <c r="N328" s="388"/>
      <c r="O328" s="388">
        <f t="shared" si="14"/>
        <v>684040000</v>
      </c>
      <c r="P328" s="390"/>
      <c r="Q328" s="386">
        <v>840000000</v>
      </c>
      <c r="R328" s="394">
        <v>0</v>
      </c>
      <c r="S328" s="447"/>
    </row>
    <row r="329" spans="2:19" ht="19.5" customHeight="1">
      <c r="B329" s="29">
        <f t="shared" si="12"/>
        <v>319</v>
      </c>
      <c r="C329" s="30" t="s">
        <v>202</v>
      </c>
      <c r="D329" s="30" t="s">
        <v>225</v>
      </c>
      <c r="E329" s="489" t="s">
        <v>963</v>
      </c>
      <c r="F329" s="284" t="s">
        <v>1276</v>
      </c>
      <c r="G329" s="284" t="str">
        <f>IFERROR(VLOOKUP(E329,Assign!$C$2:$J$142,8,FALSE),)</f>
        <v>문선영</v>
      </c>
      <c r="H329" s="372" t="s">
        <v>3870</v>
      </c>
      <c r="I329" s="445" t="s">
        <v>3859</v>
      </c>
      <c r="J329" s="446"/>
      <c r="K329" s="386">
        <v>665559104</v>
      </c>
      <c r="L329" s="387"/>
      <c r="M329" s="388">
        <f t="shared" si="13"/>
        <v>665559104</v>
      </c>
      <c r="N329" s="388"/>
      <c r="O329" s="388">
        <f t="shared" si="14"/>
        <v>665559104</v>
      </c>
      <c r="P329" s="390"/>
      <c r="Q329" s="386">
        <v>845592000</v>
      </c>
      <c r="R329" s="394">
        <v>118800000</v>
      </c>
      <c r="S329" s="447"/>
    </row>
    <row r="330" spans="2:19" ht="19.5" customHeight="1">
      <c r="B330" s="29">
        <f t="shared" si="12"/>
        <v>320</v>
      </c>
      <c r="C330" s="30" t="s">
        <v>202</v>
      </c>
      <c r="D330" s="30" t="s">
        <v>225</v>
      </c>
      <c r="E330" s="489" t="s">
        <v>964</v>
      </c>
      <c r="F330" s="284" t="s">
        <v>1225</v>
      </c>
      <c r="G330" s="284" t="str">
        <f>IFERROR(VLOOKUP(E330,Assign!$C$2:$J$142,8,FALSE),)</f>
        <v>문선영</v>
      </c>
      <c r="H330" s="372" t="s">
        <v>3868</v>
      </c>
      <c r="I330" s="445" t="s">
        <v>3859</v>
      </c>
      <c r="J330" s="446"/>
      <c r="K330" s="386">
        <v>652365916</v>
      </c>
      <c r="L330" s="387"/>
      <c r="M330" s="388">
        <f t="shared" si="13"/>
        <v>652365916</v>
      </c>
      <c r="N330" s="388"/>
      <c r="O330" s="388">
        <f t="shared" si="14"/>
        <v>652365916</v>
      </c>
      <c r="P330" s="390"/>
      <c r="Q330" s="386">
        <v>697200000</v>
      </c>
      <c r="R330" s="394">
        <v>0</v>
      </c>
      <c r="S330" s="447"/>
    </row>
    <row r="331" spans="2:19" ht="19.5" customHeight="1">
      <c r="B331" s="29">
        <f t="shared" ref="B331:B394" si="15">ROW()-10</f>
        <v>321</v>
      </c>
      <c r="C331" s="30" t="s">
        <v>202</v>
      </c>
      <c r="D331" s="30" t="s">
        <v>225</v>
      </c>
      <c r="E331" s="489" t="s">
        <v>965</v>
      </c>
      <c r="F331" s="284" t="s">
        <v>1224</v>
      </c>
      <c r="G331" s="284" t="str">
        <f>IFERROR(VLOOKUP(E331,Assign!$C$2:$J$142,8,FALSE),)</f>
        <v>문선영</v>
      </c>
      <c r="H331" s="372" t="s">
        <v>3868</v>
      </c>
      <c r="I331" s="445" t="s">
        <v>3859</v>
      </c>
      <c r="J331" s="446"/>
      <c r="K331" s="386">
        <v>645672590</v>
      </c>
      <c r="L331" s="387"/>
      <c r="M331" s="388">
        <f t="shared" ref="M331:M394" si="16">SUM(K331:L331)</f>
        <v>645672590</v>
      </c>
      <c r="N331" s="388"/>
      <c r="O331" s="388">
        <f t="shared" ref="O331:O394" si="17">SUM(M331:N331)</f>
        <v>645672590</v>
      </c>
      <c r="P331" s="390"/>
      <c r="Q331" s="386">
        <v>826800000</v>
      </c>
      <c r="R331" s="394">
        <v>0</v>
      </c>
      <c r="S331" s="447"/>
    </row>
    <row r="332" spans="2:19" ht="19.5" hidden="1" customHeight="1">
      <c r="B332" s="29">
        <f t="shared" si="15"/>
        <v>322</v>
      </c>
      <c r="C332" s="30" t="s">
        <v>202</v>
      </c>
      <c r="D332" s="30" t="s">
        <v>225</v>
      </c>
      <c r="E332" s="163" t="s">
        <v>966</v>
      </c>
      <c r="F332" s="284" t="s">
        <v>1247</v>
      </c>
      <c r="G332" s="284">
        <f>IFERROR(VLOOKUP(E332,Assign!$C$2:$J$142,8,FALSE),)</f>
        <v>0</v>
      </c>
      <c r="H332" s="372" t="s">
        <v>3868</v>
      </c>
      <c r="I332" s="445" t="s">
        <v>3859</v>
      </c>
      <c r="J332" s="446"/>
      <c r="K332" s="386">
        <v>635000000</v>
      </c>
      <c r="L332" s="387"/>
      <c r="M332" s="388">
        <f t="shared" si="16"/>
        <v>635000000</v>
      </c>
      <c r="N332" s="388"/>
      <c r="O332" s="388">
        <f t="shared" si="17"/>
        <v>635000000</v>
      </c>
      <c r="P332" s="390"/>
      <c r="Q332" s="386">
        <v>768000000</v>
      </c>
      <c r="R332" s="394">
        <v>0</v>
      </c>
      <c r="S332" s="447"/>
    </row>
    <row r="333" spans="2:19" ht="19.5" hidden="1" customHeight="1">
      <c r="B333" s="29">
        <f t="shared" si="15"/>
        <v>323</v>
      </c>
      <c r="C333" s="30" t="s">
        <v>202</v>
      </c>
      <c r="D333" s="30" t="s">
        <v>225</v>
      </c>
      <c r="E333" s="163" t="s">
        <v>967</v>
      </c>
      <c r="F333" s="284" t="s">
        <v>1225</v>
      </c>
      <c r="G333" s="284">
        <f>IFERROR(VLOOKUP(E333,Assign!$C$2:$J$142,8,FALSE),)</f>
        <v>0</v>
      </c>
      <c r="H333" s="372" t="s">
        <v>3868</v>
      </c>
      <c r="I333" s="445" t="s">
        <v>3859</v>
      </c>
      <c r="J333" s="446"/>
      <c r="K333" s="386">
        <v>609991600</v>
      </c>
      <c r="L333" s="387"/>
      <c r="M333" s="388">
        <f t="shared" si="16"/>
        <v>609991600</v>
      </c>
      <c r="N333" s="388"/>
      <c r="O333" s="388">
        <f t="shared" si="17"/>
        <v>609991600</v>
      </c>
      <c r="P333" s="390"/>
      <c r="Q333" s="386">
        <v>612000000</v>
      </c>
      <c r="R333" s="394">
        <v>0</v>
      </c>
      <c r="S333" s="447"/>
    </row>
    <row r="334" spans="2:19" ht="19.5" hidden="1" customHeight="1">
      <c r="B334" s="29">
        <f t="shared" si="15"/>
        <v>324</v>
      </c>
      <c r="C334" s="30" t="s">
        <v>202</v>
      </c>
      <c r="D334" s="30" t="s">
        <v>225</v>
      </c>
      <c r="E334" s="163" t="s">
        <v>968</v>
      </c>
      <c r="F334" s="284" t="s">
        <v>1252</v>
      </c>
      <c r="G334" s="284">
        <f>IFERROR(VLOOKUP(E334,Assign!$C$2:$J$142,8,FALSE),)</f>
        <v>0</v>
      </c>
      <c r="H334" s="372" t="s">
        <v>3868</v>
      </c>
      <c r="I334" s="445" t="s">
        <v>3859</v>
      </c>
      <c r="J334" s="446"/>
      <c r="K334" s="386">
        <v>590000000</v>
      </c>
      <c r="L334" s="387"/>
      <c r="M334" s="388">
        <f t="shared" si="16"/>
        <v>590000000</v>
      </c>
      <c r="N334" s="388"/>
      <c r="O334" s="388">
        <f t="shared" si="17"/>
        <v>590000000</v>
      </c>
      <c r="P334" s="390"/>
      <c r="Q334" s="386">
        <v>708000000</v>
      </c>
      <c r="R334" s="394">
        <v>276000000</v>
      </c>
      <c r="S334" s="447"/>
    </row>
    <row r="335" spans="2:19" ht="19.5" hidden="1" customHeight="1">
      <c r="B335" s="29">
        <f t="shared" si="15"/>
        <v>325</v>
      </c>
      <c r="C335" s="30" t="s">
        <v>202</v>
      </c>
      <c r="D335" s="30" t="s">
        <v>225</v>
      </c>
      <c r="E335" s="163" t="s">
        <v>969</v>
      </c>
      <c r="F335" s="284" t="s">
        <v>1229</v>
      </c>
      <c r="G335" s="284">
        <f>IFERROR(VLOOKUP(E335,Assign!$C$2:$J$142,8,FALSE),)</f>
        <v>0</v>
      </c>
      <c r="H335" s="372" t="s">
        <v>3869</v>
      </c>
      <c r="I335" s="445" t="s">
        <v>3859</v>
      </c>
      <c r="J335" s="446"/>
      <c r="K335" s="386">
        <v>554403245</v>
      </c>
      <c r="L335" s="387"/>
      <c r="M335" s="388">
        <f t="shared" si="16"/>
        <v>554403245</v>
      </c>
      <c r="N335" s="388"/>
      <c r="O335" s="388">
        <f t="shared" si="17"/>
        <v>554403245</v>
      </c>
      <c r="P335" s="390"/>
      <c r="Q335" s="386">
        <v>714000000</v>
      </c>
      <c r="R335" s="394">
        <v>0</v>
      </c>
      <c r="S335" s="447"/>
    </row>
    <row r="336" spans="2:19" ht="19.5" hidden="1" customHeight="1">
      <c r="B336" s="29">
        <f t="shared" si="15"/>
        <v>326</v>
      </c>
      <c r="C336" s="30" t="s">
        <v>202</v>
      </c>
      <c r="D336" s="30" t="s">
        <v>225</v>
      </c>
      <c r="E336" s="163" t="s">
        <v>970</v>
      </c>
      <c r="F336" s="284" t="s">
        <v>1350</v>
      </c>
      <c r="G336" s="284">
        <f>IFERROR(VLOOKUP(E336,Assign!$C$2:$J$142,8,FALSE),)</f>
        <v>0</v>
      </c>
      <c r="H336" s="372" t="s">
        <v>3870</v>
      </c>
      <c r="I336" s="445" t="s">
        <v>3859</v>
      </c>
      <c r="J336" s="446"/>
      <c r="K336" s="386">
        <v>535000000</v>
      </c>
      <c r="L336" s="387"/>
      <c r="M336" s="388">
        <f t="shared" si="16"/>
        <v>535000000</v>
      </c>
      <c r="N336" s="388"/>
      <c r="O336" s="388">
        <f t="shared" si="17"/>
        <v>535000000</v>
      </c>
      <c r="P336" s="390"/>
      <c r="Q336" s="386">
        <v>642000000</v>
      </c>
      <c r="R336" s="394">
        <v>0</v>
      </c>
      <c r="S336" s="447"/>
    </row>
    <row r="337" spans="2:19" ht="19.5" hidden="1" customHeight="1">
      <c r="B337" s="29">
        <f t="shared" si="15"/>
        <v>327</v>
      </c>
      <c r="C337" s="30" t="s">
        <v>202</v>
      </c>
      <c r="D337" s="30" t="s">
        <v>225</v>
      </c>
      <c r="E337" s="163" t="s">
        <v>971</v>
      </c>
      <c r="F337" s="284" t="s">
        <v>1352</v>
      </c>
      <c r="G337" s="284">
        <f>IFERROR(VLOOKUP(E337,Assign!$C$2:$J$142,8,FALSE),)</f>
        <v>0</v>
      </c>
      <c r="H337" s="372" t="s">
        <v>3870</v>
      </c>
      <c r="I337" s="445" t="s">
        <v>3859</v>
      </c>
      <c r="J337" s="446"/>
      <c r="K337" s="386">
        <v>516000000</v>
      </c>
      <c r="L337" s="387"/>
      <c r="M337" s="388">
        <f t="shared" si="16"/>
        <v>516000000</v>
      </c>
      <c r="N337" s="388"/>
      <c r="O337" s="388">
        <f t="shared" si="17"/>
        <v>516000000</v>
      </c>
      <c r="P337" s="390"/>
      <c r="Q337" s="386">
        <v>708000000</v>
      </c>
      <c r="R337" s="394">
        <v>0</v>
      </c>
      <c r="S337" s="447"/>
    </row>
    <row r="338" spans="2:19" ht="19.5" hidden="1" customHeight="1">
      <c r="B338" s="29">
        <f t="shared" si="15"/>
        <v>328</v>
      </c>
      <c r="C338" s="30" t="s">
        <v>202</v>
      </c>
      <c r="D338" s="30" t="s">
        <v>225</v>
      </c>
      <c r="E338" s="163" t="s">
        <v>972</v>
      </c>
      <c r="F338" s="284" t="s">
        <v>1225</v>
      </c>
      <c r="G338" s="284">
        <f>IFERROR(VLOOKUP(E338,Assign!$C$2:$J$142,8,FALSE),)</f>
        <v>0</v>
      </c>
      <c r="H338" s="372" t="s">
        <v>3868</v>
      </c>
      <c r="I338" s="445" t="s">
        <v>3859</v>
      </c>
      <c r="J338" s="446"/>
      <c r="K338" s="386">
        <v>510000000</v>
      </c>
      <c r="L338" s="387"/>
      <c r="M338" s="388">
        <f t="shared" si="16"/>
        <v>510000000</v>
      </c>
      <c r="N338" s="388"/>
      <c r="O338" s="388">
        <f t="shared" si="17"/>
        <v>510000000</v>
      </c>
      <c r="P338" s="390"/>
      <c r="Q338" s="386">
        <v>612000000</v>
      </c>
      <c r="R338" s="394">
        <v>0</v>
      </c>
      <c r="S338" s="447"/>
    </row>
    <row r="339" spans="2:19" ht="19.5" hidden="1" customHeight="1">
      <c r="B339" s="29">
        <f t="shared" si="15"/>
        <v>329</v>
      </c>
      <c r="C339" s="30" t="s">
        <v>202</v>
      </c>
      <c r="D339" s="30" t="s">
        <v>225</v>
      </c>
      <c r="E339" s="163" t="s">
        <v>973</v>
      </c>
      <c r="F339" s="284" t="s">
        <v>1277</v>
      </c>
      <c r="G339" s="284">
        <f>IFERROR(VLOOKUP(E339,Assign!$C$2:$J$142,8,FALSE),)</f>
        <v>0</v>
      </c>
      <c r="H339" s="372" t="s">
        <v>3870</v>
      </c>
      <c r="I339" s="445" t="s">
        <v>3859</v>
      </c>
      <c r="J339" s="446"/>
      <c r="K339" s="386">
        <v>496000000</v>
      </c>
      <c r="L339" s="387"/>
      <c r="M339" s="388">
        <f t="shared" si="16"/>
        <v>496000000</v>
      </c>
      <c r="N339" s="388"/>
      <c r="O339" s="388">
        <f t="shared" si="17"/>
        <v>496000000</v>
      </c>
      <c r="P339" s="390"/>
      <c r="Q339" s="386">
        <v>600000000</v>
      </c>
      <c r="R339" s="394">
        <v>0</v>
      </c>
      <c r="S339" s="447"/>
    </row>
    <row r="340" spans="2:19" ht="19.5" hidden="1" customHeight="1">
      <c r="B340" s="29">
        <f t="shared" si="15"/>
        <v>330</v>
      </c>
      <c r="C340" s="30" t="s">
        <v>202</v>
      </c>
      <c r="D340" s="30" t="s">
        <v>225</v>
      </c>
      <c r="E340" s="163" t="s">
        <v>974</v>
      </c>
      <c r="F340" s="284" t="s">
        <v>1353</v>
      </c>
      <c r="G340" s="284">
        <f>IFERROR(VLOOKUP(E340,Assign!$C$2:$J$142,8,FALSE),)</f>
        <v>0</v>
      </c>
      <c r="H340" s="372" t="s">
        <v>3870</v>
      </c>
      <c r="I340" s="445" t="s">
        <v>3859</v>
      </c>
      <c r="J340" s="446"/>
      <c r="K340" s="386">
        <v>490000000</v>
      </c>
      <c r="L340" s="387"/>
      <c r="M340" s="388">
        <f t="shared" si="16"/>
        <v>490000000</v>
      </c>
      <c r="N340" s="388"/>
      <c r="O340" s="388">
        <f t="shared" si="17"/>
        <v>490000000</v>
      </c>
      <c r="P340" s="390"/>
      <c r="Q340" s="386">
        <v>1200000000</v>
      </c>
      <c r="R340" s="394">
        <v>2268000000</v>
      </c>
      <c r="S340" s="447"/>
    </row>
    <row r="341" spans="2:19" ht="19.5" hidden="1" customHeight="1">
      <c r="B341" s="29">
        <f t="shared" si="15"/>
        <v>331</v>
      </c>
      <c r="C341" s="30" t="s">
        <v>202</v>
      </c>
      <c r="D341" s="30" t="s">
        <v>225</v>
      </c>
      <c r="E341" s="163" t="s">
        <v>975</v>
      </c>
      <c r="F341" s="284" t="s">
        <v>1225</v>
      </c>
      <c r="G341" s="284">
        <f>IFERROR(VLOOKUP(E341,Assign!$C$2:$J$142,8,FALSE),)</f>
        <v>0</v>
      </c>
      <c r="H341" s="372" t="s">
        <v>3868</v>
      </c>
      <c r="I341" s="445" t="s">
        <v>3859</v>
      </c>
      <c r="J341" s="446"/>
      <c r="K341" s="386">
        <v>487500000</v>
      </c>
      <c r="L341" s="387"/>
      <c r="M341" s="388">
        <f t="shared" si="16"/>
        <v>487500000</v>
      </c>
      <c r="N341" s="388"/>
      <c r="O341" s="388">
        <f t="shared" si="17"/>
        <v>487500000</v>
      </c>
      <c r="P341" s="390"/>
      <c r="Q341" s="386">
        <v>588000000</v>
      </c>
      <c r="R341" s="394">
        <v>0</v>
      </c>
      <c r="S341" s="447"/>
    </row>
    <row r="342" spans="2:19" ht="19.5" customHeight="1">
      <c r="B342" s="29">
        <f t="shared" si="15"/>
        <v>332</v>
      </c>
      <c r="C342" s="30" t="s">
        <v>202</v>
      </c>
      <c r="D342" s="30" t="s">
        <v>225</v>
      </c>
      <c r="E342" s="489" t="s">
        <v>976</v>
      </c>
      <c r="F342" s="284" t="s">
        <v>1354</v>
      </c>
      <c r="G342" s="284" t="str">
        <f>IFERROR(VLOOKUP(E342,Assign!$C$2:$J$142,8,FALSE),)</f>
        <v>문선영</v>
      </c>
      <c r="H342" s="372" t="s">
        <v>3870</v>
      </c>
      <c r="I342" s="445" t="s">
        <v>3859</v>
      </c>
      <c r="J342" s="446"/>
      <c r="K342" s="386">
        <v>472000000</v>
      </c>
      <c r="L342" s="387"/>
      <c r="M342" s="388">
        <f t="shared" si="16"/>
        <v>472000000</v>
      </c>
      <c r="N342" s="388"/>
      <c r="O342" s="388">
        <f t="shared" si="17"/>
        <v>472000000</v>
      </c>
      <c r="P342" s="390"/>
      <c r="Q342" s="386">
        <v>566400000</v>
      </c>
      <c r="R342" s="394">
        <v>97400000</v>
      </c>
      <c r="S342" s="447"/>
    </row>
    <row r="343" spans="2:19" ht="19.5" hidden="1" customHeight="1">
      <c r="B343" s="29">
        <f t="shared" si="15"/>
        <v>333</v>
      </c>
      <c r="C343" s="30" t="s">
        <v>202</v>
      </c>
      <c r="D343" s="30" t="s">
        <v>225</v>
      </c>
      <c r="E343" s="163" t="s">
        <v>977</v>
      </c>
      <c r="F343" s="284" t="s">
        <v>1226</v>
      </c>
      <c r="G343" s="284">
        <f>IFERROR(VLOOKUP(E343,Assign!$C$2:$J$142,8,FALSE),)</f>
        <v>0</v>
      </c>
      <c r="H343" s="372" t="s">
        <v>3869</v>
      </c>
      <c r="I343" s="445" t="s">
        <v>3859</v>
      </c>
      <c r="J343" s="446"/>
      <c r="K343" s="386">
        <v>467071410</v>
      </c>
      <c r="L343" s="387"/>
      <c r="M343" s="388">
        <f t="shared" si="16"/>
        <v>467071410</v>
      </c>
      <c r="N343" s="388"/>
      <c r="O343" s="388">
        <f t="shared" si="17"/>
        <v>467071410</v>
      </c>
      <c r="P343" s="390"/>
      <c r="Q343" s="386">
        <v>519100000</v>
      </c>
      <c r="R343" s="394">
        <v>0</v>
      </c>
      <c r="S343" s="447"/>
    </row>
    <row r="344" spans="2:19" ht="19.5" hidden="1" customHeight="1">
      <c r="B344" s="29">
        <f t="shared" si="15"/>
        <v>334</v>
      </c>
      <c r="C344" s="30" t="s">
        <v>202</v>
      </c>
      <c r="D344" s="30" t="s">
        <v>225</v>
      </c>
      <c r="E344" s="163" t="s">
        <v>978</v>
      </c>
      <c r="F344" s="284" t="s">
        <v>1234</v>
      </c>
      <c r="G344" s="284">
        <f>IFERROR(VLOOKUP(E344,Assign!$C$2:$J$142,8,FALSE),)</f>
        <v>0</v>
      </c>
      <c r="H344" s="372" t="s">
        <v>3868</v>
      </c>
      <c r="I344" s="445" t="s">
        <v>3859</v>
      </c>
      <c r="J344" s="446"/>
      <c r="K344" s="386">
        <v>431490000</v>
      </c>
      <c r="L344" s="387"/>
      <c r="M344" s="388">
        <f t="shared" si="16"/>
        <v>431490000</v>
      </c>
      <c r="N344" s="388"/>
      <c r="O344" s="388">
        <f t="shared" si="17"/>
        <v>431490000</v>
      </c>
      <c r="P344" s="390"/>
      <c r="Q344" s="386">
        <v>576000000</v>
      </c>
      <c r="R344" s="394">
        <v>0</v>
      </c>
      <c r="S344" s="447"/>
    </row>
    <row r="345" spans="2:19" ht="19.5" hidden="1" customHeight="1">
      <c r="B345" s="29">
        <f t="shared" si="15"/>
        <v>335</v>
      </c>
      <c r="C345" s="30" t="s">
        <v>202</v>
      </c>
      <c r="D345" s="30" t="s">
        <v>225</v>
      </c>
      <c r="E345" s="163" t="s">
        <v>979</v>
      </c>
      <c r="F345" s="284" t="s">
        <v>1225</v>
      </c>
      <c r="G345" s="284">
        <f>IFERROR(VLOOKUP(E345,Assign!$C$2:$J$142,8,FALSE),)</f>
        <v>0</v>
      </c>
      <c r="H345" s="372" t="s">
        <v>3869</v>
      </c>
      <c r="I345" s="445" t="s">
        <v>3859</v>
      </c>
      <c r="J345" s="446"/>
      <c r="K345" s="386">
        <v>412777021</v>
      </c>
      <c r="L345" s="387"/>
      <c r="M345" s="388">
        <f t="shared" si="16"/>
        <v>412777021</v>
      </c>
      <c r="N345" s="388"/>
      <c r="O345" s="388">
        <f t="shared" si="17"/>
        <v>412777021</v>
      </c>
      <c r="P345" s="390"/>
      <c r="Q345" s="386">
        <v>454300000</v>
      </c>
      <c r="R345" s="394">
        <v>0</v>
      </c>
      <c r="S345" s="447"/>
    </row>
    <row r="346" spans="2:19" ht="19.5" hidden="1" customHeight="1">
      <c r="B346" s="29">
        <f t="shared" si="15"/>
        <v>336</v>
      </c>
      <c r="C346" s="30" t="s">
        <v>202</v>
      </c>
      <c r="D346" s="30" t="s">
        <v>225</v>
      </c>
      <c r="E346" s="163" t="s">
        <v>980</v>
      </c>
      <c r="F346" s="284" t="s">
        <v>1248</v>
      </c>
      <c r="G346" s="284">
        <f>IFERROR(VLOOKUP(E346,Assign!$C$2:$J$142,8,FALSE),)</f>
        <v>0</v>
      </c>
      <c r="H346" s="372" t="s">
        <v>3868</v>
      </c>
      <c r="I346" s="445" t="s">
        <v>3859</v>
      </c>
      <c r="J346" s="446"/>
      <c r="K346" s="386">
        <v>409452766</v>
      </c>
      <c r="L346" s="387"/>
      <c r="M346" s="388">
        <f t="shared" si="16"/>
        <v>409452766</v>
      </c>
      <c r="N346" s="388"/>
      <c r="O346" s="388">
        <f t="shared" si="17"/>
        <v>409452766</v>
      </c>
      <c r="P346" s="390"/>
      <c r="Q346" s="386">
        <v>563600000</v>
      </c>
      <c r="R346" s="394">
        <v>0</v>
      </c>
      <c r="S346" s="447"/>
    </row>
    <row r="347" spans="2:19" ht="19.5" hidden="1" customHeight="1">
      <c r="B347" s="29">
        <f t="shared" si="15"/>
        <v>337</v>
      </c>
      <c r="C347" s="30" t="s">
        <v>202</v>
      </c>
      <c r="D347" s="30" t="s">
        <v>225</v>
      </c>
      <c r="E347" s="163" t="s">
        <v>981</v>
      </c>
      <c r="F347" s="284" t="s">
        <v>1356</v>
      </c>
      <c r="G347" s="284">
        <f>IFERROR(VLOOKUP(E347,Assign!$C$2:$J$142,8,FALSE),)</f>
        <v>0</v>
      </c>
      <c r="H347" s="372" t="s">
        <v>3870</v>
      </c>
      <c r="I347" s="445" t="s">
        <v>3859</v>
      </c>
      <c r="J347" s="446"/>
      <c r="K347" s="386">
        <v>396408567</v>
      </c>
      <c r="L347" s="387"/>
      <c r="M347" s="388">
        <f t="shared" si="16"/>
        <v>396408567</v>
      </c>
      <c r="N347" s="388"/>
      <c r="O347" s="388">
        <f t="shared" si="17"/>
        <v>396408567</v>
      </c>
      <c r="P347" s="390"/>
      <c r="Q347" s="386">
        <v>480000000</v>
      </c>
      <c r="R347" s="394">
        <v>0</v>
      </c>
      <c r="S347" s="447"/>
    </row>
    <row r="348" spans="2:19" ht="19.5" hidden="1" customHeight="1">
      <c r="B348" s="29">
        <f t="shared" si="15"/>
        <v>338</v>
      </c>
      <c r="C348" s="30" t="s">
        <v>202</v>
      </c>
      <c r="D348" s="30" t="s">
        <v>225</v>
      </c>
      <c r="E348" s="163" t="s">
        <v>982</v>
      </c>
      <c r="F348" s="284" t="s">
        <v>1235</v>
      </c>
      <c r="G348" s="284">
        <f>IFERROR(VLOOKUP(E348,Assign!$C$2:$J$142,8,FALSE),)</f>
        <v>0</v>
      </c>
      <c r="H348" s="372" t="s">
        <v>3869</v>
      </c>
      <c r="I348" s="445" t="s">
        <v>3859</v>
      </c>
      <c r="J348" s="446"/>
      <c r="K348" s="386">
        <v>393519861</v>
      </c>
      <c r="L348" s="387"/>
      <c r="M348" s="388">
        <f t="shared" si="16"/>
        <v>393519861</v>
      </c>
      <c r="N348" s="388"/>
      <c r="O348" s="388">
        <f t="shared" si="17"/>
        <v>393519861</v>
      </c>
      <c r="P348" s="390"/>
      <c r="Q348" s="386">
        <v>571200000</v>
      </c>
      <c r="R348" s="394">
        <v>0</v>
      </c>
      <c r="S348" s="447"/>
    </row>
    <row r="349" spans="2:19" ht="19.5" hidden="1" customHeight="1">
      <c r="B349" s="29">
        <f t="shared" si="15"/>
        <v>339</v>
      </c>
      <c r="C349" s="30" t="s">
        <v>202</v>
      </c>
      <c r="D349" s="30" t="s">
        <v>225</v>
      </c>
      <c r="E349" s="163" t="s">
        <v>983</v>
      </c>
      <c r="F349" s="284" t="s">
        <v>1252</v>
      </c>
      <c r="G349" s="284">
        <f>IFERROR(VLOOKUP(E349,Assign!$C$2:$J$142,8,FALSE),)</f>
        <v>0</v>
      </c>
      <c r="H349" s="372" t="s">
        <v>3868</v>
      </c>
      <c r="I349" s="445" t="s">
        <v>3859</v>
      </c>
      <c r="J349" s="446"/>
      <c r="K349" s="386">
        <v>388000000</v>
      </c>
      <c r="L349" s="387"/>
      <c r="M349" s="388">
        <f t="shared" si="16"/>
        <v>388000000</v>
      </c>
      <c r="N349" s="388"/>
      <c r="O349" s="388">
        <f t="shared" si="17"/>
        <v>388000000</v>
      </c>
      <c r="P349" s="390"/>
      <c r="Q349" s="386">
        <v>465600000</v>
      </c>
      <c r="R349" s="394">
        <v>0</v>
      </c>
      <c r="S349" s="447"/>
    </row>
    <row r="350" spans="2:19" ht="19.5" hidden="1" customHeight="1">
      <c r="B350" s="29">
        <f t="shared" si="15"/>
        <v>340</v>
      </c>
      <c r="C350" s="30" t="s">
        <v>202</v>
      </c>
      <c r="D350" s="30" t="s">
        <v>225</v>
      </c>
      <c r="E350" s="163" t="s">
        <v>984</v>
      </c>
      <c r="F350" s="284" t="s">
        <v>1357</v>
      </c>
      <c r="G350" s="284">
        <f>IFERROR(VLOOKUP(E350,Assign!$C$2:$J$142,8,FALSE),)</f>
        <v>0</v>
      </c>
      <c r="H350" s="372" t="s">
        <v>3870</v>
      </c>
      <c r="I350" s="445" t="s">
        <v>3859</v>
      </c>
      <c r="J350" s="446"/>
      <c r="K350" s="386">
        <v>386000000</v>
      </c>
      <c r="L350" s="387"/>
      <c r="M350" s="388">
        <f t="shared" si="16"/>
        <v>386000000</v>
      </c>
      <c r="N350" s="388"/>
      <c r="O350" s="388">
        <f t="shared" si="17"/>
        <v>386000000</v>
      </c>
      <c r="P350" s="390"/>
      <c r="Q350" s="386">
        <v>715200000</v>
      </c>
      <c r="R350" s="394">
        <v>0</v>
      </c>
      <c r="S350" s="447"/>
    </row>
    <row r="351" spans="2:19" ht="19.5" hidden="1" customHeight="1">
      <c r="B351" s="29">
        <f t="shared" si="15"/>
        <v>341</v>
      </c>
      <c r="C351" s="30" t="s">
        <v>202</v>
      </c>
      <c r="D351" s="30" t="s">
        <v>225</v>
      </c>
      <c r="E351" s="163" t="s">
        <v>985</v>
      </c>
      <c r="F351" s="284" t="s">
        <v>1229</v>
      </c>
      <c r="G351" s="284">
        <f>IFERROR(VLOOKUP(E351,Assign!$C$2:$J$142,8,FALSE),)</f>
        <v>0</v>
      </c>
      <c r="H351" s="372" t="s">
        <v>3869</v>
      </c>
      <c r="I351" s="445" t="s">
        <v>3859</v>
      </c>
      <c r="J351" s="446"/>
      <c r="K351" s="386">
        <v>383520908</v>
      </c>
      <c r="L351" s="387"/>
      <c r="M351" s="388">
        <f t="shared" si="16"/>
        <v>383520908</v>
      </c>
      <c r="N351" s="388"/>
      <c r="O351" s="388">
        <f t="shared" si="17"/>
        <v>383520908</v>
      </c>
      <c r="P351" s="390"/>
      <c r="Q351" s="386">
        <v>424270000</v>
      </c>
      <c r="R351" s="394">
        <v>0</v>
      </c>
      <c r="S351" s="447"/>
    </row>
    <row r="352" spans="2:19" ht="19.5" hidden="1" customHeight="1">
      <c r="B352" s="29">
        <f t="shared" si="15"/>
        <v>342</v>
      </c>
      <c r="C352" s="30" t="s">
        <v>202</v>
      </c>
      <c r="D352" s="30" t="s">
        <v>225</v>
      </c>
      <c r="E352" s="163" t="s">
        <v>986</v>
      </c>
      <c r="F352" s="284" t="s">
        <v>1229</v>
      </c>
      <c r="G352" s="284">
        <f>IFERROR(VLOOKUP(E352,Assign!$C$2:$J$142,8,FALSE),)</f>
        <v>0</v>
      </c>
      <c r="H352" s="372" t="s">
        <v>3868</v>
      </c>
      <c r="I352" s="445" t="s">
        <v>3859</v>
      </c>
      <c r="J352" s="446"/>
      <c r="K352" s="386">
        <v>380176511</v>
      </c>
      <c r="L352" s="387"/>
      <c r="M352" s="388">
        <f t="shared" si="16"/>
        <v>380176511</v>
      </c>
      <c r="N352" s="388"/>
      <c r="O352" s="388">
        <f t="shared" si="17"/>
        <v>380176511</v>
      </c>
      <c r="P352" s="390"/>
      <c r="Q352" s="386">
        <v>470400000</v>
      </c>
      <c r="R352" s="394">
        <v>0</v>
      </c>
      <c r="S352" s="447"/>
    </row>
    <row r="353" spans="2:19" ht="19.5" hidden="1" customHeight="1">
      <c r="B353" s="29">
        <f t="shared" si="15"/>
        <v>343</v>
      </c>
      <c r="C353" s="30" t="s">
        <v>202</v>
      </c>
      <c r="D353" s="30" t="s">
        <v>225</v>
      </c>
      <c r="E353" s="163" t="s">
        <v>987</v>
      </c>
      <c r="F353" s="284" t="s">
        <v>1255</v>
      </c>
      <c r="G353" s="284">
        <f>IFERROR(VLOOKUP(E353,Assign!$C$2:$J$142,8,FALSE),)</f>
        <v>0</v>
      </c>
      <c r="H353" s="372" t="s">
        <v>3868</v>
      </c>
      <c r="I353" s="445" t="s">
        <v>3859</v>
      </c>
      <c r="J353" s="446"/>
      <c r="K353" s="386">
        <v>379700000</v>
      </c>
      <c r="L353" s="387"/>
      <c r="M353" s="388">
        <f t="shared" si="16"/>
        <v>379700000</v>
      </c>
      <c r="N353" s="388"/>
      <c r="O353" s="388">
        <f t="shared" si="17"/>
        <v>379700000</v>
      </c>
      <c r="P353" s="390"/>
      <c r="Q353" s="386">
        <v>504000000</v>
      </c>
      <c r="R353" s="394">
        <v>295900000</v>
      </c>
      <c r="S353" s="447"/>
    </row>
    <row r="354" spans="2:19" ht="19.5" customHeight="1">
      <c r="B354" s="29">
        <f t="shared" si="15"/>
        <v>344</v>
      </c>
      <c r="C354" s="30" t="s">
        <v>202</v>
      </c>
      <c r="D354" s="30" t="s">
        <v>225</v>
      </c>
      <c r="E354" s="489" t="s">
        <v>988</v>
      </c>
      <c r="F354" s="284" t="s">
        <v>1252</v>
      </c>
      <c r="G354" s="284" t="str">
        <f>IFERROR(VLOOKUP(E354,Assign!$C$2:$J$142,8,FALSE),)</f>
        <v>문선영</v>
      </c>
      <c r="H354" s="372" t="s">
        <v>3869</v>
      </c>
      <c r="I354" s="445" t="s">
        <v>3859</v>
      </c>
      <c r="J354" s="446"/>
      <c r="K354" s="386">
        <v>366002481</v>
      </c>
      <c r="L354" s="387"/>
      <c r="M354" s="388">
        <f t="shared" si="16"/>
        <v>366002481</v>
      </c>
      <c r="N354" s="388"/>
      <c r="O354" s="388">
        <f t="shared" si="17"/>
        <v>366002481</v>
      </c>
      <c r="P354" s="390"/>
      <c r="Q354" s="386">
        <v>657600000</v>
      </c>
      <c r="R354" s="394">
        <v>0</v>
      </c>
      <c r="S354" s="447"/>
    </row>
    <row r="355" spans="2:19" ht="19.5" hidden="1" customHeight="1">
      <c r="B355" s="29">
        <f t="shared" si="15"/>
        <v>345</v>
      </c>
      <c r="C355" s="30" t="s">
        <v>202</v>
      </c>
      <c r="D355" s="30" t="s">
        <v>225</v>
      </c>
      <c r="E355" s="163" t="s">
        <v>989</v>
      </c>
      <c r="F355" s="284" t="s">
        <v>611</v>
      </c>
      <c r="G355" s="284">
        <f>IFERROR(VLOOKUP(E355,Assign!$C$2:$J$142,8,FALSE),)</f>
        <v>0</v>
      </c>
      <c r="H355" s="372" t="s">
        <v>3868</v>
      </c>
      <c r="I355" s="445" t="s">
        <v>3859</v>
      </c>
      <c r="J355" s="446"/>
      <c r="K355" s="386">
        <v>361400000</v>
      </c>
      <c r="L355" s="387"/>
      <c r="M355" s="388">
        <f t="shared" si="16"/>
        <v>361400000</v>
      </c>
      <c r="N355" s="388"/>
      <c r="O355" s="388">
        <f t="shared" si="17"/>
        <v>361400000</v>
      </c>
      <c r="P355" s="390"/>
      <c r="Q355" s="386">
        <v>420000000</v>
      </c>
      <c r="R355" s="394">
        <v>153000000</v>
      </c>
      <c r="S355" s="447"/>
    </row>
    <row r="356" spans="2:19" ht="19.5" hidden="1" customHeight="1">
      <c r="B356" s="29">
        <f t="shared" si="15"/>
        <v>346</v>
      </c>
      <c r="C356" s="30" t="s">
        <v>202</v>
      </c>
      <c r="D356" s="30" t="s">
        <v>225</v>
      </c>
      <c r="E356" s="163" t="s">
        <v>990</v>
      </c>
      <c r="F356" s="284" t="s">
        <v>1229</v>
      </c>
      <c r="G356" s="284">
        <f>IFERROR(VLOOKUP(E356,Assign!$C$2:$J$142,8,FALSE),)</f>
        <v>0</v>
      </c>
      <c r="H356" s="372" t="s">
        <v>3869</v>
      </c>
      <c r="I356" s="445" t="s">
        <v>3859</v>
      </c>
      <c r="J356" s="446"/>
      <c r="K356" s="386">
        <v>355966584</v>
      </c>
      <c r="L356" s="387"/>
      <c r="M356" s="388">
        <f t="shared" si="16"/>
        <v>355966584</v>
      </c>
      <c r="N356" s="388"/>
      <c r="O356" s="388">
        <f t="shared" si="17"/>
        <v>355966584</v>
      </c>
      <c r="P356" s="390"/>
      <c r="Q356" s="386">
        <v>408100000</v>
      </c>
      <c r="R356" s="394">
        <v>0</v>
      </c>
      <c r="S356" s="447"/>
    </row>
    <row r="357" spans="2:19" ht="19.5" customHeight="1">
      <c r="B357" s="29">
        <f t="shared" si="15"/>
        <v>347</v>
      </c>
      <c r="C357" s="30" t="s">
        <v>202</v>
      </c>
      <c r="D357" s="30" t="s">
        <v>225</v>
      </c>
      <c r="E357" s="489" t="s">
        <v>991</v>
      </c>
      <c r="F357" s="284" t="s">
        <v>1358</v>
      </c>
      <c r="G357" s="284" t="str">
        <f>IFERROR(VLOOKUP(E357,Assign!$C$2:$J$142,8,FALSE),)</f>
        <v>문선영</v>
      </c>
      <c r="H357" s="372" t="s">
        <v>3870</v>
      </c>
      <c r="I357" s="445" t="s">
        <v>3859</v>
      </c>
      <c r="J357" s="446"/>
      <c r="K357" s="386">
        <v>340000000</v>
      </c>
      <c r="L357" s="387"/>
      <c r="M357" s="388">
        <f t="shared" si="16"/>
        <v>340000000</v>
      </c>
      <c r="N357" s="388"/>
      <c r="O357" s="388">
        <f t="shared" si="17"/>
        <v>340000000</v>
      </c>
      <c r="P357" s="390"/>
      <c r="Q357" s="386">
        <v>420000000</v>
      </c>
      <c r="R357" s="394">
        <v>0</v>
      </c>
      <c r="S357" s="447"/>
    </row>
    <row r="358" spans="2:19" ht="19.5" hidden="1" customHeight="1">
      <c r="B358" s="29">
        <f t="shared" si="15"/>
        <v>348</v>
      </c>
      <c r="C358" s="30" t="s">
        <v>202</v>
      </c>
      <c r="D358" s="30" t="s">
        <v>225</v>
      </c>
      <c r="E358" s="163" t="s">
        <v>992</v>
      </c>
      <c r="F358" s="284" t="s">
        <v>611</v>
      </c>
      <c r="G358" s="284">
        <f>IFERROR(VLOOKUP(E358,Assign!$C$2:$J$142,8,FALSE),)</f>
        <v>0</v>
      </c>
      <c r="H358" s="372" t="s">
        <v>3868</v>
      </c>
      <c r="I358" s="445" t="s">
        <v>3859</v>
      </c>
      <c r="J358" s="446"/>
      <c r="K358" s="386">
        <v>334000000</v>
      </c>
      <c r="L358" s="387"/>
      <c r="M358" s="388">
        <f t="shared" si="16"/>
        <v>334000000</v>
      </c>
      <c r="N358" s="388"/>
      <c r="O358" s="388">
        <f t="shared" si="17"/>
        <v>334000000</v>
      </c>
      <c r="P358" s="390"/>
      <c r="Q358" s="386">
        <v>400800000</v>
      </c>
      <c r="R358" s="394">
        <v>0</v>
      </c>
      <c r="S358" s="447"/>
    </row>
    <row r="359" spans="2:19" ht="19.5" hidden="1" customHeight="1">
      <c r="B359" s="29">
        <f t="shared" si="15"/>
        <v>349</v>
      </c>
      <c r="C359" s="30" t="s">
        <v>202</v>
      </c>
      <c r="D359" s="30" t="s">
        <v>225</v>
      </c>
      <c r="E359" s="163" t="s">
        <v>993</v>
      </c>
      <c r="F359" s="284" t="s">
        <v>1217</v>
      </c>
      <c r="G359" s="284">
        <f>IFERROR(VLOOKUP(E359,Assign!$C$2:$J$142,8,FALSE),)</f>
        <v>0</v>
      </c>
      <c r="H359" s="372" t="s">
        <v>3868</v>
      </c>
      <c r="I359" s="445" t="s">
        <v>3859</v>
      </c>
      <c r="J359" s="446"/>
      <c r="K359" s="386">
        <v>327292466</v>
      </c>
      <c r="L359" s="387"/>
      <c r="M359" s="388">
        <f t="shared" si="16"/>
        <v>327292466</v>
      </c>
      <c r="N359" s="388"/>
      <c r="O359" s="388">
        <f t="shared" si="17"/>
        <v>327292466</v>
      </c>
      <c r="P359" s="390"/>
      <c r="Q359" s="386">
        <v>420000000</v>
      </c>
      <c r="R359" s="394">
        <v>120000000</v>
      </c>
      <c r="S359" s="447"/>
    </row>
    <row r="360" spans="2:19" ht="19.5" customHeight="1">
      <c r="B360" s="29">
        <f t="shared" si="15"/>
        <v>350</v>
      </c>
      <c r="C360" s="30" t="s">
        <v>202</v>
      </c>
      <c r="D360" s="30" t="s">
        <v>225</v>
      </c>
      <c r="E360" s="489" t="s">
        <v>994</v>
      </c>
      <c r="F360" s="284" t="s">
        <v>1217</v>
      </c>
      <c r="G360" s="284" t="str">
        <f>IFERROR(VLOOKUP(E360,Assign!$C$2:$J$142,8,FALSE),)</f>
        <v>문선영</v>
      </c>
      <c r="H360" s="372" t="s">
        <v>3869</v>
      </c>
      <c r="I360" s="445" t="s">
        <v>3859</v>
      </c>
      <c r="J360" s="446"/>
      <c r="K360" s="386">
        <v>324557633</v>
      </c>
      <c r="L360" s="387"/>
      <c r="M360" s="388">
        <f t="shared" si="16"/>
        <v>324557633</v>
      </c>
      <c r="N360" s="388"/>
      <c r="O360" s="388">
        <f t="shared" si="17"/>
        <v>324557633</v>
      </c>
      <c r="P360" s="390"/>
      <c r="Q360" s="386">
        <v>357940000</v>
      </c>
      <c r="R360" s="394">
        <v>0</v>
      </c>
      <c r="S360" s="447"/>
    </row>
    <row r="361" spans="2:19" ht="19.5" hidden="1" customHeight="1">
      <c r="B361" s="29">
        <f t="shared" si="15"/>
        <v>351</v>
      </c>
      <c r="C361" s="30" t="s">
        <v>202</v>
      </c>
      <c r="D361" s="30" t="s">
        <v>225</v>
      </c>
      <c r="E361" s="163" t="s">
        <v>995</v>
      </c>
      <c r="F361" s="284" t="s">
        <v>1229</v>
      </c>
      <c r="G361" s="284">
        <f>IFERROR(VLOOKUP(E361,Assign!$C$2:$J$142,8,FALSE),)</f>
        <v>0</v>
      </c>
      <c r="H361" s="372" t="s">
        <v>3869</v>
      </c>
      <c r="I361" s="445" t="s">
        <v>3859</v>
      </c>
      <c r="J361" s="446"/>
      <c r="K361" s="386">
        <v>322180180</v>
      </c>
      <c r="L361" s="387"/>
      <c r="M361" s="388">
        <f t="shared" si="16"/>
        <v>322180180</v>
      </c>
      <c r="N361" s="388"/>
      <c r="O361" s="388">
        <f t="shared" si="17"/>
        <v>322180180</v>
      </c>
      <c r="P361" s="390"/>
      <c r="Q361" s="386">
        <v>540000000</v>
      </c>
      <c r="R361" s="394">
        <v>0</v>
      </c>
      <c r="S361" s="447"/>
    </row>
    <row r="362" spans="2:19" ht="19.5" customHeight="1">
      <c r="B362" s="29">
        <f t="shared" si="15"/>
        <v>352</v>
      </c>
      <c r="C362" s="30" t="s">
        <v>202</v>
      </c>
      <c r="D362" s="30" t="s">
        <v>225</v>
      </c>
      <c r="E362" s="489" t="s">
        <v>996</v>
      </c>
      <c r="F362" s="284" t="s">
        <v>1359</v>
      </c>
      <c r="G362" s="284" t="str">
        <f>IFERROR(VLOOKUP(E362,Assign!$C$2:$J$142,8,FALSE),)</f>
        <v>문선영</v>
      </c>
      <c r="H362" s="372" t="s">
        <v>3870</v>
      </c>
      <c r="I362" s="445" t="s">
        <v>3859</v>
      </c>
      <c r="J362" s="446"/>
      <c r="K362" s="386">
        <v>320000000</v>
      </c>
      <c r="L362" s="387"/>
      <c r="M362" s="388">
        <f t="shared" si="16"/>
        <v>320000000</v>
      </c>
      <c r="N362" s="388"/>
      <c r="O362" s="388">
        <f t="shared" si="17"/>
        <v>320000000</v>
      </c>
      <c r="P362" s="390"/>
      <c r="Q362" s="386">
        <v>438000000</v>
      </c>
      <c r="R362" s="394">
        <v>0</v>
      </c>
      <c r="S362" s="447"/>
    </row>
    <row r="363" spans="2:19" ht="19.5" hidden="1" customHeight="1">
      <c r="B363" s="29">
        <f t="shared" si="15"/>
        <v>353</v>
      </c>
      <c r="C363" s="30" t="s">
        <v>202</v>
      </c>
      <c r="D363" s="30" t="s">
        <v>225</v>
      </c>
      <c r="E363" s="163" t="s">
        <v>997</v>
      </c>
      <c r="F363" s="284" t="s">
        <v>1229</v>
      </c>
      <c r="G363" s="284">
        <f>IFERROR(VLOOKUP(E363,Assign!$C$2:$J$142,8,FALSE),)</f>
        <v>0</v>
      </c>
      <c r="H363" s="372" t="s">
        <v>3869</v>
      </c>
      <c r="I363" s="445" t="s">
        <v>3859</v>
      </c>
      <c r="J363" s="446"/>
      <c r="K363" s="386">
        <v>314920224</v>
      </c>
      <c r="L363" s="387"/>
      <c r="M363" s="388">
        <f t="shared" si="16"/>
        <v>314920224</v>
      </c>
      <c r="N363" s="388"/>
      <c r="O363" s="388">
        <f t="shared" si="17"/>
        <v>314920224</v>
      </c>
      <c r="P363" s="390"/>
      <c r="Q363" s="386">
        <v>350900000</v>
      </c>
      <c r="R363" s="394">
        <v>0</v>
      </c>
      <c r="S363" s="447"/>
    </row>
    <row r="364" spans="2:19" ht="19.5" hidden="1" customHeight="1">
      <c r="B364" s="29">
        <f t="shared" si="15"/>
        <v>354</v>
      </c>
      <c r="C364" s="30" t="s">
        <v>202</v>
      </c>
      <c r="D364" s="30" t="s">
        <v>225</v>
      </c>
      <c r="E364" s="163" t="s">
        <v>998</v>
      </c>
      <c r="F364" s="284" t="s">
        <v>1221</v>
      </c>
      <c r="G364" s="284">
        <f>IFERROR(VLOOKUP(E364,Assign!$C$2:$J$142,8,FALSE),)</f>
        <v>0</v>
      </c>
      <c r="H364" s="372" t="s">
        <v>3868</v>
      </c>
      <c r="I364" s="445" t="s">
        <v>3859</v>
      </c>
      <c r="J364" s="446"/>
      <c r="K364" s="386">
        <v>311792770</v>
      </c>
      <c r="L364" s="387"/>
      <c r="M364" s="388">
        <f t="shared" si="16"/>
        <v>311792770</v>
      </c>
      <c r="N364" s="388"/>
      <c r="O364" s="388">
        <f t="shared" si="17"/>
        <v>311792770</v>
      </c>
      <c r="P364" s="390"/>
      <c r="Q364" s="386">
        <v>357500000</v>
      </c>
      <c r="R364" s="394">
        <v>0</v>
      </c>
      <c r="S364" s="447"/>
    </row>
    <row r="365" spans="2:19" ht="19.5" hidden="1" customHeight="1">
      <c r="B365" s="29">
        <f t="shared" si="15"/>
        <v>355</v>
      </c>
      <c r="C365" s="30" t="s">
        <v>202</v>
      </c>
      <c r="D365" s="30" t="s">
        <v>225</v>
      </c>
      <c r="E365" s="163" t="s">
        <v>999</v>
      </c>
      <c r="F365" s="284" t="s">
        <v>1232</v>
      </c>
      <c r="G365" s="284">
        <f>IFERROR(VLOOKUP(E365,Assign!$C$2:$J$142,8,FALSE),)</f>
        <v>0</v>
      </c>
      <c r="H365" s="372" t="s">
        <v>3868</v>
      </c>
      <c r="I365" s="445" t="s">
        <v>3859</v>
      </c>
      <c r="J365" s="446"/>
      <c r="K365" s="386">
        <v>309612514</v>
      </c>
      <c r="L365" s="387"/>
      <c r="M365" s="388">
        <f t="shared" si="16"/>
        <v>309612514</v>
      </c>
      <c r="N365" s="388"/>
      <c r="O365" s="388">
        <f t="shared" si="17"/>
        <v>309612514</v>
      </c>
      <c r="P365" s="390"/>
      <c r="Q365" s="386">
        <v>478600000</v>
      </c>
      <c r="R365" s="394">
        <v>0</v>
      </c>
      <c r="S365" s="447"/>
    </row>
    <row r="366" spans="2:19" ht="19.5" customHeight="1">
      <c r="B366" s="29">
        <f t="shared" si="15"/>
        <v>356</v>
      </c>
      <c r="C366" s="30" t="s">
        <v>202</v>
      </c>
      <c r="D366" s="30" t="s">
        <v>225</v>
      </c>
      <c r="E366" s="489" t="s">
        <v>1000</v>
      </c>
      <c r="F366" s="284" t="s">
        <v>1256</v>
      </c>
      <c r="G366" s="284" t="str">
        <f>IFERROR(VLOOKUP(E366,Assign!$C$2:$J$142,8,FALSE),)</f>
        <v>문선영</v>
      </c>
      <c r="H366" s="372" t="s">
        <v>3868</v>
      </c>
      <c r="I366" s="445" t="s">
        <v>3859</v>
      </c>
      <c r="J366" s="446"/>
      <c r="K366" s="386">
        <v>308000000</v>
      </c>
      <c r="L366" s="387"/>
      <c r="M366" s="388">
        <f t="shared" si="16"/>
        <v>308000000</v>
      </c>
      <c r="N366" s="388"/>
      <c r="O366" s="388">
        <f t="shared" si="17"/>
        <v>308000000</v>
      </c>
      <c r="P366" s="390"/>
      <c r="Q366" s="386">
        <v>372000000</v>
      </c>
      <c r="R366" s="394">
        <v>0</v>
      </c>
      <c r="S366" s="447"/>
    </row>
    <row r="367" spans="2:19" ht="19.5" hidden="1" customHeight="1">
      <c r="B367" s="29">
        <f t="shared" si="15"/>
        <v>357</v>
      </c>
      <c r="C367" s="30" t="s">
        <v>202</v>
      </c>
      <c r="D367" s="30" t="s">
        <v>225</v>
      </c>
      <c r="E367" s="163" t="s">
        <v>1001</v>
      </c>
      <c r="F367" s="284" t="s">
        <v>1217</v>
      </c>
      <c r="G367" s="284">
        <f>IFERROR(VLOOKUP(E367,Assign!$C$2:$J$142,8,FALSE),)</f>
        <v>0</v>
      </c>
      <c r="H367" s="372" t="s">
        <v>3868</v>
      </c>
      <c r="I367" s="445" t="s">
        <v>3859</v>
      </c>
      <c r="J367" s="446"/>
      <c r="K367" s="386">
        <v>300000000</v>
      </c>
      <c r="L367" s="387"/>
      <c r="M367" s="388">
        <f t="shared" si="16"/>
        <v>300000000</v>
      </c>
      <c r="N367" s="388"/>
      <c r="O367" s="388">
        <f t="shared" si="17"/>
        <v>300000000</v>
      </c>
      <c r="P367" s="390"/>
      <c r="Q367" s="386">
        <v>480000000</v>
      </c>
      <c r="R367" s="394">
        <v>0</v>
      </c>
      <c r="S367" s="447"/>
    </row>
    <row r="368" spans="2:19" ht="19.5" hidden="1" customHeight="1">
      <c r="B368" s="29">
        <f t="shared" si="15"/>
        <v>358</v>
      </c>
      <c r="C368" s="30" t="s">
        <v>202</v>
      </c>
      <c r="D368" s="30" t="s">
        <v>225</v>
      </c>
      <c r="E368" s="163" t="s">
        <v>1002</v>
      </c>
      <c r="F368" s="284" t="s">
        <v>1360</v>
      </c>
      <c r="G368" s="284">
        <f>IFERROR(VLOOKUP(E368,Assign!$C$2:$J$142,8,FALSE),)</f>
        <v>0</v>
      </c>
      <c r="H368" s="372" t="s">
        <v>3870</v>
      </c>
      <c r="I368" s="445" t="s">
        <v>3859</v>
      </c>
      <c r="J368" s="446"/>
      <c r="K368" s="386">
        <v>300000000</v>
      </c>
      <c r="L368" s="387"/>
      <c r="M368" s="388">
        <f t="shared" si="16"/>
        <v>300000000</v>
      </c>
      <c r="N368" s="388"/>
      <c r="O368" s="388">
        <f t="shared" si="17"/>
        <v>300000000</v>
      </c>
      <c r="P368" s="390"/>
      <c r="Q368" s="386">
        <v>360000000</v>
      </c>
      <c r="R368" s="394">
        <v>360000000</v>
      </c>
      <c r="S368" s="447"/>
    </row>
    <row r="369" spans="2:19" ht="19.5" hidden="1" customHeight="1">
      <c r="B369" s="29">
        <f t="shared" si="15"/>
        <v>359</v>
      </c>
      <c r="C369" s="30" t="s">
        <v>202</v>
      </c>
      <c r="D369" s="30" t="s">
        <v>225</v>
      </c>
      <c r="E369" s="163" t="s">
        <v>1003</v>
      </c>
      <c r="F369" s="284" t="s">
        <v>1231</v>
      </c>
      <c r="G369" s="284">
        <f>IFERROR(VLOOKUP(E369,Assign!$C$2:$J$142,8,FALSE),)</f>
        <v>0</v>
      </c>
      <c r="H369" s="372" t="s">
        <v>3868</v>
      </c>
      <c r="I369" s="445" t="s">
        <v>3859</v>
      </c>
      <c r="J369" s="446"/>
      <c r="K369" s="386">
        <v>299633636</v>
      </c>
      <c r="L369" s="387"/>
      <c r="M369" s="388">
        <f t="shared" si="16"/>
        <v>299633636</v>
      </c>
      <c r="N369" s="388"/>
      <c r="O369" s="388">
        <f t="shared" si="17"/>
        <v>299633636</v>
      </c>
      <c r="P369" s="390"/>
      <c r="Q369" s="386">
        <v>333300000</v>
      </c>
      <c r="R369" s="394">
        <v>0</v>
      </c>
      <c r="S369" s="447"/>
    </row>
    <row r="370" spans="2:19" ht="19.5" customHeight="1">
      <c r="B370" s="29">
        <f t="shared" si="15"/>
        <v>360</v>
      </c>
      <c r="C370" s="30" t="s">
        <v>202</v>
      </c>
      <c r="D370" s="30" t="s">
        <v>225</v>
      </c>
      <c r="E370" s="489" t="s">
        <v>1004</v>
      </c>
      <c r="F370" s="284" t="s">
        <v>1361</v>
      </c>
      <c r="G370" s="284" t="str">
        <f>IFERROR(VLOOKUP(E370,Assign!$C$2:$J$142,8,FALSE),)</f>
        <v>문선영</v>
      </c>
      <c r="H370" s="372" t="s">
        <v>3870</v>
      </c>
      <c r="I370" s="445" t="s">
        <v>3859</v>
      </c>
      <c r="J370" s="446"/>
      <c r="K370" s="386">
        <v>290000000</v>
      </c>
      <c r="L370" s="387"/>
      <c r="M370" s="388">
        <f t="shared" si="16"/>
        <v>290000000</v>
      </c>
      <c r="N370" s="388"/>
      <c r="O370" s="388">
        <f t="shared" si="17"/>
        <v>290000000</v>
      </c>
      <c r="P370" s="390"/>
      <c r="Q370" s="386">
        <v>1200000000</v>
      </c>
      <c r="R370" s="394">
        <v>0</v>
      </c>
      <c r="S370" s="447"/>
    </row>
    <row r="371" spans="2:19" ht="19.5" customHeight="1">
      <c r="B371" s="29">
        <f t="shared" si="15"/>
        <v>361</v>
      </c>
      <c r="C371" s="30" t="s">
        <v>202</v>
      </c>
      <c r="D371" s="30" t="s">
        <v>225</v>
      </c>
      <c r="E371" s="489" t="s">
        <v>1005</v>
      </c>
      <c r="F371" s="284" t="s">
        <v>1226</v>
      </c>
      <c r="G371" s="284" t="str">
        <f>IFERROR(VLOOKUP(E371,Assign!$C$2:$J$142,8,FALSE),)</f>
        <v>문선영</v>
      </c>
      <c r="H371" s="372" t="s">
        <v>3869</v>
      </c>
      <c r="I371" s="445" t="s">
        <v>3859</v>
      </c>
      <c r="J371" s="446"/>
      <c r="K371" s="386">
        <v>289056660</v>
      </c>
      <c r="L371" s="387"/>
      <c r="M371" s="388">
        <f t="shared" si="16"/>
        <v>289056660</v>
      </c>
      <c r="N371" s="388"/>
      <c r="O371" s="388">
        <f t="shared" si="17"/>
        <v>289056660</v>
      </c>
      <c r="P371" s="390"/>
      <c r="Q371" s="386">
        <v>319000000</v>
      </c>
      <c r="R371" s="394">
        <v>0</v>
      </c>
      <c r="S371" s="447"/>
    </row>
    <row r="372" spans="2:19" ht="19.5" customHeight="1">
      <c r="B372" s="29">
        <f t="shared" si="15"/>
        <v>362</v>
      </c>
      <c r="C372" s="30" t="s">
        <v>202</v>
      </c>
      <c r="D372" s="30" t="s">
        <v>225</v>
      </c>
      <c r="E372" s="489" t="s">
        <v>1006</v>
      </c>
      <c r="F372" s="284" t="s">
        <v>1231</v>
      </c>
      <c r="G372" s="284" t="str">
        <f>IFERROR(VLOOKUP(E372,Assign!$C$2:$J$142,8,FALSE),)</f>
        <v>문선영</v>
      </c>
      <c r="H372" s="372" t="s">
        <v>3869</v>
      </c>
      <c r="I372" s="445" t="s">
        <v>3859</v>
      </c>
      <c r="J372" s="446"/>
      <c r="K372" s="386">
        <v>289000000</v>
      </c>
      <c r="L372" s="387"/>
      <c r="M372" s="388">
        <f t="shared" si="16"/>
        <v>289000000</v>
      </c>
      <c r="N372" s="388"/>
      <c r="O372" s="388">
        <f t="shared" si="17"/>
        <v>289000000</v>
      </c>
      <c r="P372" s="390"/>
      <c r="Q372" s="386">
        <v>432000000</v>
      </c>
      <c r="R372" s="394">
        <v>0</v>
      </c>
      <c r="S372" s="447"/>
    </row>
    <row r="373" spans="2:19" ht="19.5" hidden="1" customHeight="1">
      <c r="B373" s="29">
        <f t="shared" si="15"/>
        <v>363</v>
      </c>
      <c r="C373" s="30" t="s">
        <v>202</v>
      </c>
      <c r="D373" s="30" t="s">
        <v>225</v>
      </c>
      <c r="E373" s="163" t="s">
        <v>1007</v>
      </c>
      <c r="F373" s="284" t="s">
        <v>1229</v>
      </c>
      <c r="G373" s="284">
        <f>IFERROR(VLOOKUP(E373,Assign!$C$2:$J$142,8,FALSE),)</f>
        <v>0</v>
      </c>
      <c r="H373" s="372" t="s">
        <v>3869</v>
      </c>
      <c r="I373" s="445" t="s">
        <v>3859</v>
      </c>
      <c r="J373" s="446"/>
      <c r="K373" s="386">
        <v>285760398</v>
      </c>
      <c r="L373" s="387"/>
      <c r="M373" s="388">
        <f t="shared" si="16"/>
        <v>285760398</v>
      </c>
      <c r="N373" s="388"/>
      <c r="O373" s="388">
        <f t="shared" si="17"/>
        <v>285760398</v>
      </c>
      <c r="P373" s="390"/>
      <c r="Q373" s="386">
        <v>321200000</v>
      </c>
      <c r="R373" s="394">
        <v>0</v>
      </c>
      <c r="S373" s="447"/>
    </row>
    <row r="374" spans="2:19" ht="19.5" hidden="1" customHeight="1">
      <c r="B374" s="29">
        <f t="shared" si="15"/>
        <v>364</v>
      </c>
      <c r="C374" s="30" t="s">
        <v>202</v>
      </c>
      <c r="D374" s="30" t="s">
        <v>225</v>
      </c>
      <c r="E374" s="163" t="s">
        <v>1008</v>
      </c>
      <c r="F374" s="284" t="s">
        <v>1229</v>
      </c>
      <c r="G374" s="284">
        <f>IFERROR(VLOOKUP(E374,Assign!$C$2:$J$142,8,FALSE),)</f>
        <v>0</v>
      </c>
      <c r="H374" s="372" t="s">
        <v>3869</v>
      </c>
      <c r="I374" s="445" t="s">
        <v>3859</v>
      </c>
      <c r="J374" s="446"/>
      <c r="K374" s="386">
        <v>278670520</v>
      </c>
      <c r="L374" s="387"/>
      <c r="M374" s="388">
        <f t="shared" si="16"/>
        <v>278670520</v>
      </c>
      <c r="N374" s="388"/>
      <c r="O374" s="388">
        <f t="shared" si="17"/>
        <v>278670520</v>
      </c>
      <c r="P374" s="390"/>
      <c r="Q374" s="386">
        <v>306600000</v>
      </c>
      <c r="R374" s="394">
        <v>0</v>
      </c>
      <c r="S374" s="447"/>
    </row>
    <row r="375" spans="2:19" ht="19.5" customHeight="1">
      <c r="B375" s="29">
        <f t="shared" si="15"/>
        <v>365</v>
      </c>
      <c r="C375" s="30" t="s">
        <v>202</v>
      </c>
      <c r="D375" s="30" t="s">
        <v>225</v>
      </c>
      <c r="E375" s="491" t="s">
        <v>1009</v>
      </c>
      <c r="F375" s="284" t="s">
        <v>1221</v>
      </c>
      <c r="G375" s="284" t="str">
        <f>IFERROR(VLOOKUP(E375,Assign!$C$2:$J$142,8,FALSE),)</f>
        <v>문선영</v>
      </c>
      <c r="H375" s="372" t="s">
        <v>3868</v>
      </c>
      <c r="I375" s="445" t="s">
        <v>3859</v>
      </c>
      <c r="J375" s="446"/>
      <c r="K375" s="386">
        <v>274023609</v>
      </c>
      <c r="L375" s="387"/>
      <c r="M375" s="388">
        <f t="shared" si="16"/>
        <v>274023609</v>
      </c>
      <c r="N375" s="388"/>
      <c r="O375" s="388">
        <f t="shared" si="17"/>
        <v>274023609</v>
      </c>
      <c r="P375" s="390"/>
      <c r="Q375" s="386">
        <v>339600000</v>
      </c>
      <c r="R375" s="394">
        <v>0</v>
      </c>
      <c r="S375" s="447"/>
    </row>
    <row r="376" spans="2:19" ht="19.5" hidden="1" customHeight="1">
      <c r="B376" s="29">
        <f t="shared" si="15"/>
        <v>366</v>
      </c>
      <c r="C376" s="30" t="s">
        <v>202</v>
      </c>
      <c r="D376" s="30" t="s">
        <v>225</v>
      </c>
      <c r="E376" s="163" t="s">
        <v>1010</v>
      </c>
      <c r="F376" s="284" t="s">
        <v>1217</v>
      </c>
      <c r="G376" s="284">
        <f>IFERROR(VLOOKUP(E376,Assign!$C$2:$J$142,8,FALSE),)</f>
        <v>0</v>
      </c>
      <c r="H376" s="372" t="s">
        <v>3869</v>
      </c>
      <c r="I376" s="445" t="s">
        <v>3859</v>
      </c>
      <c r="J376" s="446"/>
      <c r="K376" s="386">
        <v>263761011</v>
      </c>
      <c r="L376" s="387"/>
      <c r="M376" s="388">
        <f t="shared" si="16"/>
        <v>263761011</v>
      </c>
      <c r="N376" s="388"/>
      <c r="O376" s="388">
        <f t="shared" si="17"/>
        <v>263761011</v>
      </c>
      <c r="P376" s="390"/>
      <c r="Q376" s="386">
        <v>293700000</v>
      </c>
      <c r="R376" s="394">
        <v>0</v>
      </c>
      <c r="S376" s="447"/>
    </row>
    <row r="377" spans="2:19" ht="19.5" hidden="1" customHeight="1">
      <c r="B377" s="29">
        <f t="shared" si="15"/>
        <v>367</v>
      </c>
      <c r="C377" s="30" t="s">
        <v>202</v>
      </c>
      <c r="D377" s="30" t="s">
        <v>225</v>
      </c>
      <c r="E377" s="163" t="s">
        <v>1011</v>
      </c>
      <c r="F377" s="284" t="s">
        <v>1220</v>
      </c>
      <c r="G377" s="284">
        <f>IFERROR(VLOOKUP(E377,Assign!$C$2:$J$142,8,FALSE),)</f>
        <v>0</v>
      </c>
      <c r="H377" s="372" t="s">
        <v>3869</v>
      </c>
      <c r="I377" s="445" t="s">
        <v>3859</v>
      </c>
      <c r="J377" s="446"/>
      <c r="K377" s="386">
        <v>257143765</v>
      </c>
      <c r="L377" s="387"/>
      <c r="M377" s="388">
        <f t="shared" si="16"/>
        <v>257143765</v>
      </c>
      <c r="N377" s="388"/>
      <c r="O377" s="388">
        <f t="shared" si="17"/>
        <v>257143765</v>
      </c>
      <c r="P377" s="390"/>
      <c r="Q377" s="386">
        <v>284900000</v>
      </c>
      <c r="R377" s="394">
        <v>0</v>
      </c>
      <c r="S377" s="447"/>
    </row>
    <row r="378" spans="2:19" ht="19.5" hidden="1" customHeight="1">
      <c r="B378" s="29">
        <f t="shared" si="15"/>
        <v>368</v>
      </c>
      <c r="C378" s="30" t="s">
        <v>202</v>
      </c>
      <c r="D378" s="30" t="s">
        <v>225</v>
      </c>
      <c r="E378" s="163" t="s">
        <v>1012</v>
      </c>
      <c r="F378" s="284" t="s">
        <v>1218</v>
      </c>
      <c r="G378" s="284">
        <f>IFERROR(VLOOKUP(E378,Assign!$C$2:$J$142,8,FALSE),)</f>
        <v>0</v>
      </c>
      <c r="H378" s="372" t="s">
        <v>3869</v>
      </c>
      <c r="I378" s="445" t="s">
        <v>3859</v>
      </c>
      <c r="J378" s="446"/>
      <c r="K378" s="386">
        <v>250000000</v>
      </c>
      <c r="L378" s="387"/>
      <c r="M378" s="388">
        <f t="shared" si="16"/>
        <v>250000000</v>
      </c>
      <c r="N378" s="388"/>
      <c r="O378" s="388">
        <f t="shared" si="17"/>
        <v>250000000</v>
      </c>
      <c r="P378" s="390"/>
      <c r="Q378" s="386">
        <v>275000000</v>
      </c>
      <c r="R378" s="394">
        <v>0</v>
      </c>
      <c r="S378" s="447"/>
    </row>
    <row r="379" spans="2:19" ht="19.5" customHeight="1">
      <c r="B379" s="29">
        <f t="shared" si="15"/>
        <v>369</v>
      </c>
      <c r="C379" s="30" t="s">
        <v>202</v>
      </c>
      <c r="D379" s="30" t="s">
        <v>225</v>
      </c>
      <c r="E379" s="491" t="s">
        <v>1013</v>
      </c>
      <c r="F379" s="284" t="s">
        <v>1278</v>
      </c>
      <c r="G379" s="284" t="str">
        <f>IFERROR(VLOOKUP(E379,Assign!$C$2:$J$142,8,FALSE),)</f>
        <v>문선영</v>
      </c>
      <c r="H379" s="372" t="s">
        <v>3868</v>
      </c>
      <c r="I379" s="445" t="s">
        <v>3859</v>
      </c>
      <c r="J379" s="446"/>
      <c r="K379" s="386">
        <v>248684545</v>
      </c>
      <c r="L379" s="387"/>
      <c r="M379" s="388">
        <f t="shared" si="16"/>
        <v>248684545</v>
      </c>
      <c r="N379" s="388"/>
      <c r="O379" s="388">
        <f t="shared" si="17"/>
        <v>248684545</v>
      </c>
      <c r="P379" s="390"/>
      <c r="Q379" s="386">
        <v>333600000</v>
      </c>
      <c r="R379" s="394">
        <v>0</v>
      </c>
      <c r="S379" s="447"/>
    </row>
    <row r="380" spans="2:19" ht="19.5" customHeight="1">
      <c r="B380" s="29">
        <f t="shared" si="15"/>
        <v>370</v>
      </c>
      <c r="C380" s="30" t="s">
        <v>202</v>
      </c>
      <c r="D380" s="30" t="s">
        <v>225</v>
      </c>
      <c r="E380" s="491" t="s">
        <v>1014</v>
      </c>
      <c r="F380" s="284" t="s">
        <v>1221</v>
      </c>
      <c r="G380" s="284" t="str">
        <f>IFERROR(VLOOKUP(E380,Assign!$C$2:$J$142,8,FALSE),)</f>
        <v>문선영</v>
      </c>
      <c r="H380" s="372" t="s">
        <v>3868</v>
      </c>
      <c r="I380" s="445" t="s">
        <v>3859</v>
      </c>
      <c r="J380" s="446"/>
      <c r="K380" s="386">
        <v>246645777</v>
      </c>
      <c r="L380" s="387"/>
      <c r="M380" s="388">
        <f t="shared" si="16"/>
        <v>246645777</v>
      </c>
      <c r="N380" s="388"/>
      <c r="O380" s="388">
        <f t="shared" si="17"/>
        <v>246645777</v>
      </c>
      <c r="P380" s="390"/>
      <c r="Q380" s="386">
        <v>331200000</v>
      </c>
      <c r="R380" s="394">
        <v>0</v>
      </c>
      <c r="S380" s="447"/>
    </row>
    <row r="381" spans="2:19" ht="19.5" hidden="1" customHeight="1">
      <c r="B381" s="29">
        <f t="shared" si="15"/>
        <v>371</v>
      </c>
      <c r="C381" s="30" t="s">
        <v>202</v>
      </c>
      <c r="D381" s="30" t="s">
        <v>225</v>
      </c>
      <c r="E381" s="163" t="s">
        <v>1015</v>
      </c>
      <c r="F381" s="284" t="s">
        <v>1217</v>
      </c>
      <c r="G381" s="284">
        <f>IFERROR(VLOOKUP(E381,Assign!$C$2:$J$142,8,FALSE),)</f>
        <v>0</v>
      </c>
      <c r="H381" s="372" t="s">
        <v>3868</v>
      </c>
      <c r="I381" s="445" t="s">
        <v>3859</v>
      </c>
      <c r="J381" s="446"/>
      <c r="K381" s="386">
        <v>243000000</v>
      </c>
      <c r="L381" s="387"/>
      <c r="M381" s="388">
        <f t="shared" si="16"/>
        <v>243000000</v>
      </c>
      <c r="N381" s="388"/>
      <c r="O381" s="388">
        <f t="shared" si="17"/>
        <v>243000000</v>
      </c>
      <c r="P381" s="390"/>
      <c r="Q381" s="386">
        <v>360000000</v>
      </c>
      <c r="R381" s="394">
        <v>0</v>
      </c>
      <c r="S381" s="447"/>
    </row>
    <row r="382" spans="2:19" ht="19.5" hidden="1" customHeight="1">
      <c r="B382" s="29">
        <f t="shared" si="15"/>
        <v>372</v>
      </c>
      <c r="C382" s="30" t="s">
        <v>202</v>
      </c>
      <c r="D382" s="30" t="s">
        <v>225</v>
      </c>
      <c r="E382" s="163" t="s">
        <v>1016</v>
      </c>
      <c r="F382" s="284" t="s">
        <v>1221</v>
      </c>
      <c r="G382" s="284">
        <f>IFERROR(VLOOKUP(E382,Assign!$C$2:$J$142,8,FALSE),)</f>
        <v>0</v>
      </c>
      <c r="H382" s="372" t="s">
        <v>3868</v>
      </c>
      <c r="I382" s="445" t="s">
        <v>3859</v>
      </c>
      <c r="J382" s="446"/>
      <c r="K382" s="386">
        <v>236400000</v>
      </c>
      <c r="L382" s="387"/>
      <c r="M382" s="388">
        <f t="shared" si="16"/>
        <v>236400000</v>
      </c>
      <c r="N382" s="388"/>
      <c r="O382" s="388">
        <f t="shared" si="17"/>
        <v>236400000</v>
      </c>
      <c r="P382" s="390"/>
      <c r="Q382" s="386">
        <v>300000000</v>
      </c>
      <c r="R382" s="394">
        <v>0</v>
      </c>
      <c r="S382" s="447"/>
    </row>
    <row r="383" spans="2:19" ht="19.5" customHeight="1">
      <c r="B383" s="29">
        <f t="shared" si="15"/>
        <v>373</v>
      </c>
      <c r="C383" s="30" t="s">
        <v>202</v>
      </c>
      <c r="D383" s="30" t="s">
        <v>225</v>
      </c>
      <c r="E383" s="491" t="s">
        <v>1017</v>
      </c>
      <c r="F383" s="284" t="s">
        <v>1229</v>
      </c>
      <c r="G383" s="284" t="str">
        <f>IFERROR(VLOOKUP(E383,Assign!$C$2:$J$142,8,FALSE),)</f>
        <v>문선영</v>
      </c>
      <c r="H383" s="372" t="s">
        <v>3868</v>
      </c>
      <c r="I383" s="445" t="s">
        <v>3859</v>
      </c>
      <c r="J383" s="446"/>
      <c r="K383" s="386">
        <v>230000000</v>
      </c>
      <c r="L383" s="387"/>
      <c r="M383" s="388">
        <f t="shared" si="16"/>
        <v>230000000</v>
      </c>
      <c r="N383" s="388"/>
      <c r="O383" s="388">
        <f t="shared" si="17"/>
        <v>230000000</v>
      </c>
      <c r="P383" s="390"/>
      <c r="Q383" s="386">
        <v>276000000</v>
      </c>
      <c r="R383" s="394">
        <v>0</v>
      </c>
      <c r="S383" s="447"/>
    </row>
    <row r="384" spans="2:19" ht="19.5" hidden="1" customHeight="1">
      <c r="B384" s="29">
        <f t="shared" si="15"/>
        <v>374</v>
      </c>
      <c r="C384" s="30" t="s">
        <v>202</v>
      </c>
      <c r="D384" s="30" t="s">
        <v>225</v>
      </c>
      <c r="E384" s="163" t="s">
        <v>1018</v>
      </c>
      <c r="F384" s="284" t="s">
        <v>1229</v>
      </c>
      <c r="G384" s="284">
        <f>IFERROR(VLOOKUP(E384,Assign!$C$2:$J$142,8,FALSE),)</f>
        <v>0</v>
      </c>
      <c r="H384" s="372" t="s">
        <v>3868</v>
      </c>
      <c r="I384" s="445" t="s">
        <v>3859</v>
      </c>
      <c r="J384" s="446"/>
      <c r="K384" s="386">
        <v>228904804</v>
      </c>
      <c r="L384" s="387"/>
      <c r="M384" s="388">
        <f t="shared" si="16"/>
        <v>228904804</v>
      </c>
      <c r="N384" s="388"/>
      <c r="O384" s="388">
        <f t="shared" si="17"/>
        <v>228904804</v>
      </c>
      <c r="P384" s="390"/>
      <c r="Q384" s="386">
        <v>312000000</v>
      </c>
      <c r="R384" s="394">
        <v>0</v>
      </c>
      <c r="S384" s="447"/>
    </row>
    <row r="385" spans="2:19" ht="19.5" customHeight="1">
      <c r="B385" s="29">
        <f t="shared" si="15"/>
        <v>375</v>
      </c>
      <c r="C385" s="30" t="s">
        <v>202</v>
      </c>
      <c r="D385" s="30" t="s">
        <v>225</v>
      </c>
      <c r="E385" s="491" t="s">
        <v>1019</v>
      </c>
      <c r="F385" s="284" t="s">
        <v>1219</v>
      </c>
      <c r="G385" s="284" t="str">
        <f>IFERROR(VLOOKUP(E385,Assign!$C$2:$J$142,8,FALSE),)</f>
        <v>문선영</v>
      </c>
      <c r="H385" s="372" t="s">
        <v>3868</v>
      </c>
      <c r="I385" s="445" t="s">
        <v>3859</v>
      </c>
      <c r="J385" s="446"/>
      <c r="K385" s="386">
        <v>228727365</v>
      </c>
      <c r="L385" s="387"/>
      <c r="M385" s="388">
        <f t="shared" si="16"/>
        <v>228727365</v>
      </c>
      <c r="N385" s="388"/>
      <c r="O385" s="388">
        <f t="shared" si="17"/>
        <v>228727365</v>
      </c>
      <c r="P385" s="390"/>
      <c r="Q385" s="386">
        <v>320400000</v>
      </c>
      <c r="R385" s="394">
        <v>0</v>
      </c>
      <c r="S385" s="447"/>
    </row>
    <row r="386" spans="2:19" ht="19.5" hidden="1" customHeight="1">
      <c r="B386" s="29">
        <f t="shared" si="15"/>
        <v>376</v>
      </c>
      <c r="C386" s="30" t="s">
        <v>202</v>
      </c>
      <c r="D386" s="30" t="s">
        <v>225</v>
      </c>
      <c r="E386" s="163" t="s">
        <v>1020</v>
      </c>
      <c r="F386" s="284" t="s">
        <v>1247</v>
      </c>
      <c r="G386" s="284">
        <f>IFERROR(VLOOKUP(E386,Assign!$C$2:$J$142,8,FALSE),)</f>
        <v>0</v>
      </c>
      <c r="H386" s="372" t="s">
        <v>3869</v>
      </c>
      <c r="I386" s="445" t="s">
        <v>3859</v>
      </c>
      <c r="J386" s="446"/>
      <c r="K386" s="386">
        <v>222300223</v>
      </c>
      <c r="L386" s="387"/>
      <c r="M386" s="388">
        <f t="shared" si="16"/>
        <v>222300223</v>
      </c>
      <c r="N386" s="388"/>
      <c r="O386" s="388">
        <f t="shared" si="17"/>
        <v>222300223</v>
      </c>
      <c r="P386" s="390"/>
      <c r="Q386" s="386">
        <v>247200000</v>
      </c>
      <c r="R386" s="394">
        <v>0</v>
      </c>
      <c r="S386" s="447"/>
    </row>
    <row r="387" spans="2:19" ht="19.5" hidden="1" customHeight="1">
      <c r="B387" s="29">
        <f t="shared" si="15"/>
        <v>377</v>
      </c>
      <c r="C387" s="30" t="s">
        <v>202</v>
      </c>
      <c r="D387" s="30" t="s">
        <v>225</v>
      </c>
      <c r="E387" s="163" t="s">
        <v>1021</v>
      </c>
      <c r="F387" s="284" t="s">
        <v>1229</v>
      </c>
      <c r="G387" s="284">
        <f>IFERROR(VLOOKUP(E387,Assign!$C$2:$J$142,8,FALSE),)</f>
        <v>0</v>
      </c>
      <c r="H387" s="372" t="s">
        <v>3868</v>
      </c>
      <c r="I387" s="445" t="s">
        <v>3859</v>
      </c>
      <c r="J387" s="446"/>
      <c r="K387" s="386">
        <v>222235146</v>
      </c>
      <c r="L387" s="387"/>
      <c r="M387" s="388">
        <f t="shared" si="16"/>
        <v>222235146</v>
      </c>
      <c r="N387" s="388"/>
      <c r="O387" s="388">
        <f t="shared" si="17"/>
        <v>222235146</v>
      </c>
      <c r="P387" s="390"/>
      <c r="Q387" s="386">
        <v>245400000</v>
      </c>
      <c r="R387" s="394">
        <v>0</v>
      </c>
      <c r="S387" s="447"/>
    </row>
    <row r="388" spans="2:19" ht="19.5" hidden="1" customHeight="1">
      <c r="B388" s="29">
        <f t="shared" si="15"/>
        <v>378</v>
      </c>
      <c r="C388" s="30" t="s">
        <v>202</v>
      </c>
      <c r="D388" s="30" t="s">
        <v>225</v>
      </c>
      <c r="E388" s="163" t="s">
        <v>1022</v>
      </c>
      <c r="F388" s="284" t="s">
        <v>1225</v>
      </c>
      <c r="G388" s="284">
        <f>IFERROR(VLOOKUP(E388,Assign!$C$2:$J$142,8,FALSE),)</f>
        <v>0</v>
      </c>
      <c r="H388" s="372" t="s">
        <v>3868</v>
      </c>
      <c r="I388" s="445" t="s">
        <v>3859</v>
      </c>
      <c r="J388" s="446"/>
      <c r="K388" s="386">
        <v>218166542</v>
      </c>
      <c r="L388" s="387"/>
      <c r="M388" s="388">
        <f t="shared" si="16"/>
        <v>218166542</v>
      </c>
      <c r="N388" s="388"/>
      <c r="O388" s="388">
        <f t="shared" si="17"/>
        <v>218166542</v>
      </c>
      <c r="P388" s="390"/>
      <c r="Q388" s="386">
        <v>285600000</v>
      </c>
      <c r="R388" s="394">
        <v>0</v>
      </c>
      <c r="S388" s="447"/>
    </row>
    <row r="389" spans="2:19" ht="19.5" hidden="1" customHeight="1">
      <c r="B389" s="29">
        <f t="shared" si="15"/>
        <v>379</v>
      </c>
      <c r="C389" s="30" t="s">
        <v>202</v>
      </c>
      <c r="D389" s="30" t="s">
        <v>225</v>
      </c>
      <c r="E389" s="163" t="s">
        <v>1023</v>
      </c>
      <c r="F389" s="284" t="s">
        <v>1279</v>
      </c>
      <c r="G389" s="284">
        <f>IFERROR(VLOOKUP(E389,Assign!$C$2:$J$142,8,FALSE),)</f>
        <v>0</v>
      </c>
      <c r="H389" s="372" t="s">
        <v>3868</v>
      </c>
      <c r="I389" s="445" t="s">
        <v>3859</v>
      </c>
      <c r="J389" s="446"/>
      <c r="K389" s="386">
        <v>211833306</v>
      </c>
      <c r="L389" s="387"/>
      <c r="M389" s="388">
        <f t="shared" si="16"/>
        <v>211833306</v>
      </c>
      <c r="N389" s="388"/>
      <c r="O389" s="388">
        <f t="shared" si="17"/>
        <v>211833306</v>
      </c>
      <c r="P389" s="390"/>
      <c r="Q389" s="386">
        <v>237754000</v>
      </c>
      <c r="R389" s="394">
        <v>0</v>
      </c>
      <c r="S389" s="447"/>
    </row>
    <row r="390" spans="2:19" ht="19.5" hidden="1" customHeight="1">
      <c r="B390" s="29">
        <f t="shared" si="15"/>
        <v>380</v>
      </c>
      <c r="C390" s="30" t="s">
        <v>202</v>
      </c>
      <c r="D390" s="30" t="s">
        <v>225</v>
      </c>
      <c r="E390" s="163" t="s">
        <v>1024</v>
      </c>
      <c r="F390" s="284" t="s">
        <v>1226</v>
      </c>
      <c r="G390" s="284">
        <f>IFERROR(VLOOKUP(E390,Assign!$C$2:$J$142,8,FALSE),)</f>
        <v>0</v>
      </c>
      <c r="H390" s="372" t="s">
        <v>3869</v>
      </c>
      <c r="I390" s="445" t="s">
        <v>3859</v>
      </c>
      <c r="J390" s="446"/>
      <c r="K390" s="386">
        <v>208274820</v>
      </c>
      <c r="L390" s="387"/>
      <c r="M390" s="388">
        <f t="shared" si="16"/>
        <v>208274820</v>
      </c>
      <c r="N390" s="388"/>
      <c r="O390" s="388">
        <f t="shared" si="17"/>
        <v>208274820</v>
      </c>
      <c r="P390" s="390"/>
      <c r="Q390" s="386">
        <v>271200000</v>
      </c>
      <c r="R390" s="394">
        <v>0</v>
      </c>
      <c r="S390" s="447"/>
    </row>
    <row r="391" spans="2:19" ht="19.5" hidden="1" customHeight="1">
      <c r="B391" s="29">
        <f t="shared" si="15"/>
        <v>381</v>
      </c>
      <c r="C391" s="30" t="s">
        <v>202</v>
      </c>
      <c r="D391" s="30" t="s">
        <v>225</v>
      </c>
      <c r="E391" s="163" t="s">
        <v>1025</v>
      </c>
      <c r="F391" s="284" t="s">
        <v>1232</v>
      </c>
      <c r="G391" s="284">
        <f>IFERROR(VLOOKUP(E391,Assign!$C$2:$J$142,8,FALSE),)</f>
        <v>0</v>
      </c>
      <c r="H391" s="372" t="s">
        <v>3868</v>
      </c>
      <c r="I391" s="445" t="s">
        <v>3859</v>
      </c>
      <c r="J391" s="446"/>
      <c r="K391" s="386">
        <v>205652632</v>
      </c>
      <c r="L391" s="387"/>
      <c r="M391" s="388">
        <f t="shared" si="16"/>
        <v>205652632</v>
      </c>
      <c r="N391" s="388"/>
      <c r="O391" s="388">
        <f t="shared" si="17"/>
        <v>205652632</v>
      </c>
      <c r="P391" s="390"/>
      <c r="Q391" s="386">
        <v>235400000</v>
      </c>
      <c r="R391" s="394">
        <v>0</v>
      </c>
      <c r="S391" s="447"/>
    </row>
    <row r="392" spans="2:19" ht="19.5" hidden="1" customHeight="1">
      <c r="B392" s="29">
        <f t="shared" si="15"/>
        <v>382</v>
      </c>
      <c r="C392" s="30" t="s">
        <v>202</v>
      </c>
      <c r="D392" s="30" t="s">
        <v>225</v>
      </c>
      <c r="E392" s="163" t="s">
        <v>1026</v>
      </c>
      <c r="F392" s="284" t="s">
        <v>1232</v>
      </c>
      <c r="G392" s="284">
        <f>IFERROR(VLOOKUP(E392,Assign!$C$2:$J$142,8,FALSE),)</f>
        <v>0</v>
      </c>
      <c r="H392" s="372" t="s">
        <v>3868</v>
      </c>
      <c r="I392" s="445" t="s">
        <v>3859</v>
      </c>
      <c r="J392" s="446"/>
      <c r="K392" s="386">
        <v>204074060</v>
      </c>
      <c r="L392" s="387"/>
      <c r="M392" s="388">
        <f t="shared" si="16"/>
        <v>204074060</v>
      </c>
      <c r="N392" s="388"/>
      <c r="O392" s="388">
        <f t="shared" si="17"/>
        <v>204074060</v>
      </c>
      <c r="P392" s="390"/>
      <c r="Q392" s="386">
        <v>360000000</v>
      </c>
      <c r="R392" s="394">
        <v>0</v>
      </c>
      <c r="S392" s="447"/>
    </row>
    <row r="393" spans="2:19" ht="19.5" hidden="1" customHeight="1">
      <c r="B393" s="29">
        <f t="shared" si="15"/>
        <v>383</v>
      </c>
      <c r="C393" s="30" t="s">
        <v>202</v>
      </c>
      <c r="D393" s="30" t="s">
        <v>225</v>
      </c>
      <c r="E393" s="163" t="s">
        <v>1027</v>
      </c>
      <c r="F393" s="284" t="s">
        <v>1271</v>
      </c>
      <c r="G393" s="284">
        <f>IFERROR(VLOOKUP(E393,Assign!$C$2:$J$142,8,FALSE),)</f>
        <v>0</v>
      </c>
      <c r="H393" s="372" t="s">
        <v>3868</v>
      </c>
      <c r="I393" s="445" t="s">
        <v>3859</v>
      </c>
      <c r="J393" s="446"/>
      <c r="K393" s="386">
        <v>200000000</v>
      </c>
      <c r="L393" s="387"/>
      <c r="M393" s="388">
        <f t="shared" si="16"/>
        <v>200000000</v>
      </c>
      <c r="N393" s="388"/>
      <c r="O393" s="388">
        <f t="shared" si="17"/>
        <v>200000000</v>
      </c>
      <c r="P393" s="390"/>
      <c r="Q393" s="386">
        <v>360000000</v>
      </c>
      <c r="R393" s="394">
        <v>0</v>
      </c>
      <c r="S393" s="447"/>
    </row>
    <row r="394" spans="2:19" ht="19.5" customHeight="1">
      <c r="B394" s="29">
        <f t="shared" si="15"/>
        <v>384</v>
      </c>
      <c r="C394" s="30" t="s">
        <v>202</v>
      </c>
      <c r="D394" s="30" t="s">
        <v>225</v>
      </c>
      <c r="E394" s="491" t="s">
        <v>1028</v>
      </c>
      <c r="F394" s="284" t="s">
        <v>1218</v>
      </c>
      <c r="G394" s="284" t="str">
        <f>IFERROR(VLOOKUP(E394,Assign!$C$2:$J$142,8,FALSE),)</f>
        <v>문선영</v>
      </c>
      <c r="H394" s="372" t="s">
        <v>3869</v>
      </c>
      <c r="I394" s="445" t="s">
        <v>3859</v>
      </c>
      <c r="J394" s="446"/>
      <c r="K394" s="386">
        <v>198490579</v>
      </c>
      <c r="L394" s="387"/>
      <c r="M394" s="388">
        <f t="shared" si="16"/>
        <v>198490579</v>
      </c>
      <c r="N394" s="388"/>
      <c r="O394" s="388">
        <f t="shared" si="17"/>
        <v>198490579</v>
      </c>
      <c r="P394" s="390"/>
      <c r="Q394" s="386">
        <v>220000000</v>
      </c>
      <c r="R394" s="394">
        <v>0</v>
      </c>
      <c r="S394" s="447"/>
    </row>
    <row r="395" spans="2:19" ht="19.5" hidden="1" customHeight="1">
      <c r="B395" s="29">
        <f t="shared" ref="B395:B458" si="18">ROW()-10</f>
        <v>385</v>
      </c>
      <c r="C395" s="30" t="s">
        <v>202</v>
      </c>
      <c r="D395" s="30" t="s">
        <v>225</v>
      </c>
      <c r="E395" s="163" t="s">
        <v>1029</v>
      </c>
      <c r="F395" s="284" t="s">
        <v>1280</v>
      </c>
      <c r="G395" s="284">
        <f>IFERROR(VLOOKUP(E395,Assign!$C$2:$J$142,8,FALSE),)</f>
        <v>0</v>
      </c>
      <c r="H395" s="372" t="s">
        <v>3868</v>
      </c>
      <c r="I395" s="445" t="s">
        <v>3859</v>
      </c>
      <c r="J395" s="446"/>
      <c r="K395" s="386">
        <v>197288368</v>
      </c>
      <c r="L395" s="387"/>
      <c r="M395" s="388">
        <f t="shared" ref="M395:M458" si="19">SUM(K395:L395)</f>
        <v>197288368</v>
      </c>
      <c r="N395" s="388"/>
      <c r="O395" s="388">
        <f t="shared" ref="O395:O458" si="20">SUM(M395:N395)</f>
        <v>197288368</v>
      </c>
      <c r="P395" s="390"/>
      <c r="Q395" s="386">
        <v>240000000</v>
      </c>
      <c r="R395" s="394">
        <v>0</v>
      </c>
      <c r="S395" s="447"/>
    </row>
    <row r="396" spans="2:19" ht="19.5" hidden="1" customHeight="1">
      <c r="B396" s="29">
        <f t="shared" si="18"/>
        <v>386</v>
      </c>
      <c r="C396" s="30" t="s">
        <v>202</v>
      </c>
      <c r="D396" s="30" t="s">
        <v>225</v>
      </c>
      <c r="E396" s="163" t="s">
        <v>1030</v>
      </c>
      <c r="F396" s="284" t="s">
        <v>1231</v>
      </c>
      <c r="G396" s="284">
        <f>IFERROR(VLOOKUP(E396,Assign!$C$2:$J$142,8,FALSE),)</f>
        <v>0</v>
      </c>
      <c r="H396" s="372" t="s">
        <v>3869</v>
      </c>
      <c r="I396" s="445" t="s">
        <v>3859</v>
      </c>
      <c r="J396" s="446"/>
      <c r="K396" s="386">
        <v>196153650</v>
      </c>
      <c r="L396" s="387"/>
      <c r="M396" s="388">
        <f t="shared" si="19"/>
        <v>196153650</v>
      </c>
      <c r="N396" s="388"/>
      <c r="O396" s="388">
        <f t="shared" si="20"/>
        <v>196153650</v>
      </c>
      <c r="P396" s="390"/>
      <c r="Q396" s="386">
        <v>220000000</v>
      </c>
      <c r="R396" s="394">
        <v>0</v>
      </c>
      <c r="S396" s="447"/>
    </row>
    <row r="397" spans="2:19" ht="19.5" customHeight="1">
      <c r="B397" s="29">
        <f t="shared" si="18"/>
        <v>387</v>
      </c>
      <c r="C397" s="30" t="s">
        <v>202</v>
      </c>
      <c r="D397" s="30" t="s">
        <v>225</v>
      </c>
      <c r="E397" s="491" t="s">
        <v>1031</v>
      </c>
      <c r="F397" s="284" t="s">
        <v>1238</v>
      </c>
      <c r="G397" s="284" t="str">
        <f>IFERROR(VLOOKUP(E397,Assign!$C$2:$J$142,8,FALSE),)</f>
        <v>문선영</v>
      </c>
      <c r="H397" s="372" t="s">
        <v>3868</v>
      </c>
      <c r="I397" s="445" t="s">
        <v>3859</v>
      </c>
      <c r="J397" s="446"/>
      <c r="K397" s="386">
        <v>192000000</v>
      </c>
      <c r="L397" s="387"/>
      <c r="M397" s="388">
        <f t="shared" si="19"/>
        <v>192000000</v>
      </c>
      <c r="N397" s="388"/>
      <c r="O397" s="388">
        <f t="shared" si="20"/>
        <v>192000000</v>
      </c>
      <c r="P397" s="390"/>
      <c r="Q397" s="386">
        <v>402800000</v>
      </c>
      <c r="R397" s="394">
        <v>0</v>
      </c>
      <c r="S397" s="447"/>
    </row>
    <row r="398" spans="2:19" ht="19.5" customHeight="1">
      <c r="B398" s="29">
        <f t="shared" si="18"/>
        <v>388</v>
      </c>
      <c r="C398" s="30" t="s">
        <v>202</v>
      </c>
      <c r="D398" s="30" t="s">
        <v>225</v>
      </c>
      <c r="E398" s="491" t="s">
        <v>1032</v>
      </c>
      <c r="F398" s="284" t="s">
        <v>1231</v>
      </c>
      <c r="G398" s="284" t="str">
        <f>IFERROR(VLOOKUP(E398,Assign!$C$2:$J$142,8,FALSE),)</f>
        <v>문선영</v>
      </c>
      <c r="H398" s="372" t="s">
        <v>3868</v>
      </c>
      <c r="I398" s="445" t="s">
        <v>3859</v>
      </c>
      <c r="J398" s="446"/>
      <c r="K398" s="386">
        <v>191400000</v>
      </c>
      <c r="L398" s="387"/>
      <c r="M398" s="388">
        <f t="shared" si="19"/>
        <v>191400000</v>
      </c>
      <c r="N398" s="388"/>
      <c r="O398" s="388">
        <f t="shared" si="20"/>
        <v>191400000</v>
      </c>
      <c r="P398" s="390"/>
      <c r="Q398" s="386">
        <v>230400000</v>
      </c>
      <c r="R398" s="394">
        <v>0</v>
      </c>
      <c r="S398" s="447"/>
    </row>
    <row r="399" spans="2:19" ht="19.5" customHeight="1">
      <c r="B399" s="29">
        <f t="shared" si="18"/>
        <v>389</v>
      </c>
      <c r="C399" s="30" t="s">
        <v>202</v>
      </c>
      <c r="D399" s="30" t="s">
        <v>225</v>
      </c>
      <c r="E399" s="491" t="s">
        <v>1033</v>
      </c>
      <c r="F399" s="284" t="s">
        <v>1229</v>
      </c>
      <c r="G399" s="284" t="str">
        <f>IFERROR(VLOOKUP(E399,Assign!$C$2:$J$142,8,FALSE),)</f>
        <v>문선영</v>
      </c>
      <c r="H399" s="372" t="s">
        <v>3868</v>
      </c>
      <c r="I399" s="445" t="s">
        <v>3859</v>
      </c>
      <c r="J399" s="446"/>
      <c r="K399" s="386">
        <v>191400000</v>
      </c>
      <c r="L399" s="387"/>
      <c r="M399" s="388">
        <f t="shared" si="19"/>
        <v>191400000</v>
      </c>
      <c r="N399" s="388"/>
      <c r="O399" s="388">
        <f t="shared" si="20"/>
        <v>191400000</v>
      </c>
      <c r="P399" s="390"/>
      <c r="Q399" s="386">
        <v>230400000</v>
      </c>
      <c r="R399" s="394">
        <v>0</v>
      </c>
      <c r="S399" s="447"/>
    </row>
    <row r="400" spans="2:19" ht="19.5" hidden="1" customHeight="1">
      <c r="B400" s="29">
        <f t="shared" si="18"/>
        <v>390</v>
      </c>
      <c r="C400" s="30" t="s">
        <v>202</v>
      </c>
      <c r="D400" s="30" t="s">
        <v>225</v>
      </c>
      <c r="E400" s="163" t="s">
        <v>1034</v>
      </c>
      <c r="F400" s="284" t="s">
        <v>1226</v>
      </c>
      <c r="G400" s="284">
        <f>IFERROR(VLOOKUP(E400,Assign!$C$2:$J$142,8,FALSE),)</f>
        <v>0</v>
      </c>
      <c r="H400" s="372" t="s">
        <v>3869</v>
      </c>
      <c r="I400" s="445" t="s">
        <v>3859</v>
      </c>
      <c r="J400" s="446"/>
      <c r="K400" s="386">
        <v>190755189</v>
      </c>
      <c r="L400" s="387"/>
      <c r="M400" s="388">
        <f t="shared" si="19"/>
        <v>190755189</v>
      </c>
      <c r="N400" s="388"/>
      <c r="O400" s="388">
        <f t="shared" si="20"/>
        <v>190755189</v>
      </c>
      <c r="P400" s="390"/>
      <c r="Q400" s="386">
        <v>217800000</v>
      </c>
      <c r="R400" s="394">
        <v>0</v>
      </c>
      <c r="S400" s="447"/>
    </row>
    <row r="401" spans="2:19" ht="19.5" customHeight="1">
      <c r="B401" s="29">
        <f t="shared" si="18"/>
        <v>391</v>
      </c>
      <c r="C401" s="30" t="s">
        <v>202</v>
      </c>
      <c r="D401" s="30" t="s">
        <v>225</v>
      </c>
      <c r="E401" s="491" t="s">
        <v>1035</v>
      </c>
      <c r="F401" s="284" t="s">
        <v>1232</v>
      </c>
      <c r="G401" s="284" t="str">
        <f>IFERROR(VLOOKUP(E401,Assign!$C$2:$J$142,8,FALSE),)</f>
        <v>문선영</v>
      </c>
      <c r="H401" s="372" t="s">
        <v>3868</v>
      </c>
      <c r="I401" s="445" t="s">
        <v>3859</v>
      </c>
      <c r="J401" s="446"/>
      <c r="K401" s="386">
        <v>190400000</v>
      </c>
      <c r="L401" s="387"/>
      <c r="M401" s="388">
        <f t="shared" si="19"/>
        <v>190400000</v>
      </c>
      <c r="N401" s="388"/>
      <c r="O401" s="388">
        <f t="shared" si="20"/>
        <v>190400000</v>
      </c>
      <c r="P401" s="390"/>
      <c r="Q401" s="386">
        <v>230400000</v>
      </c>
      <c r="R401" s="394">
        <v>0</v>
      </c>
      <c r="S401" s="447"/>
    </row>
    <row r="402" spans="2:19" ht="19.5" customHeight="1">
      <c r="B402" s="29">
        <f t="shared" si="18"/>
        <v>392</v>
      </c>
      <c r="C402" s="30" t="s">
        <v>202</v>
      </c>
      <c r="D402" s="30" t="s">
        <v>225</v>
      </c>
      <c r="E402" s="491" t="s">
        <v>1036</v>
      </c>
      <c r="F402" s="284" t="s">
        <v>1244</v>
      </c>
      <c r="G402" s="284" t="str">
        <f>IFERROR(VLOOKUP(E402,Assign!$C$2:$J$142,8,FALSE),)</f>
        <v>문선영</v>
      </c>
      <c r="H402" s="372" t="s">
        <v>3868</v>
      </c>
      <c r="I402" s="445" t="s">
        <v>3859</v>
      </c>
      <c r="J402" s="446"/>
      <c r="K402" s="386">
        <v>189000000</v>
      </c>
      <c r="L402" s="387"/>
      <c r="M402" s="388">
        <f t="shared" si="19"/>
        <v>189000000</v>
      </c>
      <c r="N402" s="388"/>
      <c r="O402" s="388">
        <f t="shared" si="20"/>
        <v>189000000</v>
      </c>
      <c r="P402" s="390"/>
      <c r="Q402" s="386">
        <v>230400000</v>
      </c>
      <c r="R402" s="394">
        <v>0</v>
      </c>
      <c r="S402" s="447"/>
    </row>
    <row r="403" spans="2:19" ht="19.5" hidden="1" customHeight="1">
      <c r="B403" s="29">
        <f t="shared" si="18"/>
        <v>393</v>
      </c>
      <c r="C403" s="30" t="s">
        <v>202</v>
      </c>
      <c r="D403" s="30" t="s">
        <v>225</v>
      </c>
      <c r="E403" s="163" t="s">
        <v>1037</v>
      </c>
      <c r="F403" s="284" t="s">
        <v>1229</v>
      </c>
      <c r="G403" s="284">
        <f>IFERROR(VLOOKUP(E403,Assign!$C$2:$J$142,8,FALSE),)</f>
        <v>0</v>
      </c>
      <c r="H403" s="372" t="s">
        <v>3869</v>
      </c>
      <c r="I403" s="445" t="s">
        <v>3859</v>
      </c>
      <c r="J403" s="446"/>
      <c r="K403" s="386">
        <v>188025187</v>
      </c>
      <c r="L403" s="387"/>
      <c r="M403" s="388">
        <f t="shared" si="19"/>
        <v>188025187</v>
      </c>
      <c r="N403" s="388"/>
      <c r="O403" s="388">
        <f t="shared" si="20"/>
        <v>188025187</v>
      </c>
      <c r="P403" s="390"/>
      <c r="Q403" s="386">
        <v>252000000</v>
      </c>
      <c r="R403" s="394">
        <v>0</v>
      </c>
      <c r="S403" s="447"/>
    </row>
    <row r="404" spans="2:19" ht="19.5" hidden="1" customHeight="1">
      <c r="B404" s="29">
        <f t="shared" si="18"/>
        <v>394</v>
      </c>
      <c r="C404" s="30" t="s">
        <v>202</v>
      </c>
      <c r="D404" s="30" t="s">
        <v>225</v>
      </c>
      <c r="E404" s="163" t="s">
        <v>1038</v>
      </c>
      <c r="F404" s="284" t="s">
        <v>1225</v>
      </c>
      <c r="G404" s="284">
        <f>IFERROR(VLOOKUP(E404,Assign!$C$2:$J$142,8,FALSE),)</f>
        <v>0</v>
      </c>
      <c r="H404" s="372" t="s">
        <v>3869</v>
      </c>
      <c r="I404" s="445" t="s">
        <v>3859</v>
      </c>
      <c r="J404" s="446"/>
      <c r="K404" s="386">
        <v>183468296</v>
      </c>
      <c r="L404" s="387"/>
      <c r="M404" s="388">
        <f t="shared" si="19"/>
        <v>183468296</v>
      </c>
      <c r="N404" s="388"/>
      <c r="O404" s="388">
        <f t="shared" si="20"/>
        <v>183468296</v>
      </c>
      <c r="P404" s="390"/>
      <c r="Q404" s="386">
        <v>209000000</v>
      </c>
      <c r="R404" s="394">
        <v>0</v>
      </c>
      <c r="S404" s="447"/>
    </row>
    <row r="405" spans="2:19" ht="19.5" hidden="1" customHeight="1">
      <c r="B405" s="29">
        <f t="shared" si="18"/>
        <v>395</v>
      </c>
      <c r="C405" s="30" t="s">
        <v>202</v>
      </c>
      <c r="D405" s="30" t="s">
        <v>225</v>
      </c>
      <c r="E405" s="163" t="s">
        <v>1039</v>
      </c>
      <c r="F405" s="284" t="s">
        <v>1281</v>
      </c>
      <c r="G405" s="284">
        <f>IFERROR(VLOOKUP(E405,Assign!$C$2:$J$142,8,FALSE),)</f>
        <v>0</v>
      </c>
      <c r="H405" s="372" t="s">
        <v>3869</v>
      </c>
      <c r="I405" s="445" t="s">
        <v>3859</v>
      </c>
      <c r="J405" s="446"/>
      <c r="K405" s="386">
        <v>182863338</v>
      </c>
      <c r="L405" s="387"/>
      <c r="M405" s="388">
        <f t="shared" si="19"/>
        <v>182863338</v>
      </c>
      <c r="N405" s="388"/>
      <c r="O405" s="388">
        <f t="shared" si="20"/>
        <v>182863338</v>
      </c>
      <c r="P405" s="390"/>
      <c r="Q405" s="386">
        <v>209000000</v>
      </c>
      <c r="R405" s="394">
        <v>0</v>
      </c>
      <c r="S405" s="447"/>
    </row>
    <row r="406" spans="2:19" ht="19.5" customHeight="1">
      <c r="B406" s="29">
        <f t="shared" si="18"/>
        <v>396</v>
      </c>
      <c r="C406" s="30" t="s">
        <v>202</v>
      </c>
      <c r="D406" s="30" t="s">
        <v>225</v>
      </c>
      <c r="E406" s="491" t="s">
        <v>1040</v>
      </c>
      <c r="F406" s="284" t="s">
        <v>1362</v>
      </c>
      <c r="G406" s="284" t="str">
        <f>IFERROR(VLOOKUP(E406,Assign!$C$2:$J$142,8,FALSE),)</f>
        <v>문선영</v>
      </c>
      <c r="H406" s="372" t="s">
        <v>3868</v>
      </c>
      <c r="I406" s="445" t="s">
        <v>3859</v>
      </c>
      <c r="J406" s="446"/>
      <c r="K406" s="386">
        <v>180671604</v>
      </c>
      <c r="L406" s="387"/>
      <c r="M406" s="388">
        <f t="shared" si="19"/>
        <v>180671604</v>
      </c>
      <c r="N406" s="388"/>
      <c r="O406" s="388">
        <f t="shared" si="20"/>
        <v>180671604</v>
      </c>
      <c r="P406" s="390"/>
      <c r="Q406" s="386">
        <v>240000000</v>
      </c>
      <c r="R406" s="394">
        <v>0</v>
      </c>
      <c r="S406" s="447"/>
    </row>
    <row r="407" spans="2:19" ht="19.5" hidden="1" customHeight="1">
      <c r="B407" s="29">
        <f t="shared" si="18"/>
        <v>397</v>
      </c>
      <c r="C407" s="30" t="s">
        <v>202</v>
      </c>
      <c r="D407" s="30" t="s">
        <v>225</v>
      </c>
      <c r="E407" s="163" t="s">
        <v>1041</v>
      </c>
      <c r="F407" s="284" t="s">
        <v>1231</v>
      </c>
      <c r="G407" s="284">
        <f>IFERROR(VLOOKUP(E407,Assign!$C$2:$J$142,8,FALSE),)</f>
        <v>0</v>
      </c>
      <c r="H407" s="372" t="s">
        <v>3869</v>
      </c>
      <c r="I407" s="445" t="s">
        <v>3859</v>
      </c>
      <c r="J407" s="446"/>
      <c r="K407" s="386">
        <v>180601181</v>
      </c>
      <c r="L407" s="387"/>
      <c r="M407" s="388">
        <f t="shared" si="19"/>
        <v>180601181</v>
      </c>
      <c r="N407" s="388"/>
      <c r="O407" s="388">
        <f t="shared" si="20"/>
        <v>180601181</v>
      </c>
      <c r="P407" s="390"/>
      <c r="Q407" s="386">
        <v>238800000</v>
      </c>
      <c r="R407" s="394">
        <v>0</v>
      </c>
      <c r="S407" s="447"/>
    </row>
    <row r="408" spans="2:19" ht="19.5" hidden="1" customHeight="1">
      <c r="B408" s="29">
        <f t="shared" si="18"/>
        <v>398</v>
      </c>
      <c r="C408" s="30" t="s">
        <v>202</v>
      </c>
      <c r="D408" s="30" t="s">
        <v>225</v>
      </c>
      <c r="E408" s="163" t="s">
        <v>1042</v>
      </c>
      <c r="F408" s="284" t="s">
        <v>1229</v>
      </c>
      <c r="G408" s="284">
        <f>IFERROR(VLOOKUP(E408,Assign!$C$2:$J$142,8,FALSE),)</f>
        <v>0</v>
      </c>
      <c r="H408" s="372" t="s">
        <v>3869</v>
      </c>
      <c r="I408" s="445" t="s">
        <v>3859</v>
      </c>
      <c r="J408" s="446"/>
      <c r="K408" s="386">
        <v>179023803</v>
      </c>
      <c r="L408" s="387"/>
      <c r="M408" s="388">
        <f t="shared" si="19"/>
        <v>179023803</v>
      </c>
      <c r="N408" s="388"/>
      <c r="O408" s="388">
        <f t="shared" si="20"/>
        <v>179023803</v>
      </c>
      <c r="P408" s="390"/>
      <c r="Q408" s="386">
        <v>228000000</v>
      </c>
      <c r="R408" s="394">
        <v>0</v>
      </c>
      <c r="S408" s="447"/>
    </row>
    <row r="409" spans="2:19" ht="19.5" hidden="1" customHeight="1">
      <c r="B409" s="29">
        <f t="shared" si="18"/>
        <v>399</v>
      </c>
      <c r="C409" s="30" t="s">
        <v>202</v>
      </c>
      <c r="D409" s="30" t="s">
        <v>225</v>
      </c>
      <c r="E409" s="163" t="s">
        <v>1043</v>
      </c>
      <c r="F409" s="284" t="s">
        <v>1280</v>
      </c>
      <c r="G409" s="284">
        <f>IFERROR(VLOOKUP(E409,Assign!$C$2:$J$142,8,FALSE),)</f>
        <v>0</v>
      </c>
      <c r="H409" s="372" t="s">
        <v>3868</v>
      </c>
      <c r="I409" s="445" t="s">
        <v>3859</v>
      </c>
      <c r="J409" s="446"/>
      <c r="K409" s="386">
        <v>177911166</v>
      </c>
      <c r="L409" s="387"/>
      <c r="M409" s="388">
        <f t="shared" si="19"/>
        <v>177911166</v>
      </c>
      <c r="N409" s="388"/>
      <c r="O409" s="388">
        <f t="shared" si="20"/>
        <v>177911166</v>
      </c>
      <c r="P409" s="390"/>
      <c r="Q409" s="386">
        <v>240000000</v>
      </c>
      <c r="R409" s="394">
        <v>0</v>
      </c>
      <c r="S409" s="447"/>
    </row>
    <row r="410" spans="2:19" ht="19.5" hidden="1" customHeight="1">
      <c r="B410" s="29">
        <f t="shared" si="18"/>
        <v>400</v>
      </c>
      <c r="C410" s="30" t="s">
        <v>202</v>
      </c>
      <c r="D410" s="30" t="s">
        <v>225</v>
      </c>
      <c r="E410" s="163" t="s">
        <v>1044</v>
      </c>
      <c r="F410" s="284" t="s">
        <v>1217</v>
      </c>
      <c r="G410" s="284">
        <f>IFERROR(VLOOKUP(E410,Assign!$C$2:$J$142,8,FALSE),)</f>
        <v>0</v>
      </c>
      <c r="H410" s="372" t="s">
        <v>3868</v>
      </c>
      <c r="I410" s="445" t="s">
        <v>3859</v>
      </c>
      <c r="J410" s="446"/>
      <c r="K410" s="386">
        <v>175150888</v>
      </c>
      <c r="L410" s="387"/>
      <c r="M410" s="388">
        <f t="shared" si="19"/>
        <v>175150888</v>
      </c>
      <c r="N410" s="388"/>
      <c r="O410" s="388">
        <f t="shared" si="20"/>
        <v>175150888</v>
      </c>
      <c r="P410" s="390"/>
      <c r="Q410" s="386">
        <v>198000000</v>
      </c>
      <c r="R410" s="394">
        <v>0</v>
      </c>
      <c r="S410" s="447"/>
    </row>
    <row r="411" spans="2:19" ht="19.5" customHeight="1">
      <c r="B411" s="29">
        <f t="shared" si="18"/>
        <v>401</v>
      </c>
      <c r="C411" s="30" t="s">
        <v>202</v>
      </c>
      <c r="D411" s="30" t="s">
        <v>225</v>
      </c>
      <c r="E411" s="491" t="s">
        <v>1045</v>
      </c>
      <c r="F411" s="284" t="s">
        <v>1229</v>
      </c>
      <c r="G411" s="284" t="str">
        <f>IFERROR(VLOOKUP(E411,Assign!$C$2:$J$142,8,FALSE),)</f>
        <v>문선영</v>
      </c>
      <c r="H411" s="372" t="s">
        <v>3868</v>
      </c>
      <c r="I411" s="445" t="s">
        <v>3859</v>
      </c>
      <c r="J411" s="446"/>
      <c r="K411" s="386">
        <v>173274815</v>
      </c>
      <c r="L411" s="387"/>
      <c r="M411" s="388">
        <f t="shared" si="19"/>
        <v>173274815</v>
      </c>
      <c r="N411" s="388"/>
      <c r="O411" s="388">
        <f t="shared" si="20"/>
        <v>173274815</v>
      </c>
      <c r="P411" s="390"/>
      <c r="Q411" s="386">
        <v>182400000</v>
      </c>
      <c r="R411" s="394">
        <v>0</v>
      </c>
      <c r="S411" s="447"/>
    </row>
    <row r="412" spans="2:19" ht="19.5" hidden="1" customHeight="1">
      <c r="B412" s="29">
        <f t="shared" si="18"/>
        <v>402</v>
      </c>
      <c r="C412" s="30" t="s">
        <v>202</v>
      </c>
      <c r="D412" s="30" t="s">
        <v>225</v>
      </c>
      <c r="E412" s="163" t="s">
        <v>1046</v>
      </c>
      <c r="F412" s="284" t="s">
        <v>1220</v>
      </c>
      <c r="G412" s="284">
        <f>IFERROR(VLOOKUP(E412,Assign!$C$2:$J$142,8,FALSE),)</f>
        <v>0</v>
      </c>
      <c r="H412" s="372" t="s">
        <v>3869</v>
      </c>
      <c r="I412" s="445" t="s">
        <v>3859</v>
      </c>
      <c r="J412" s="446"/>
      <c r="K412" s="386">
        <v>169354101</v>
      </c>
      <c r="L412" s="387"/>
      <c r="M412" s="388">
        <f t="shared" si="19"/>
        <v>169354101</v>
      </c>
      <c r="N412" s="388"/>
      <c r="O412" s="388">
        <f t="shared" si="20"/>
        <v>169354101</v>
      </c>
      <c r="P412" s="390"/>
      <c r="Q412" s="386">
        <v>205800000</v>
      </c>
      <c r="R412" s="394">
        <v>0</v>
      </c>
      <c r="S412" s="447"/>
    </row>
    <row r="413" spans="2:19" ht="19.5" hidden="1" customHeight="1">
      <c r="B413" s="29">
        <f t="shared" si="18"/>
        <v>403</v>
      </c>
      <c r="C413" s="30" t="s">
        <v>202</v>
      </c>
      <c r="D413" s="30" t="s">
        <v>225</v>
      </c>
      <c r="E413" s="163" t="s">
        <v>1047</v>
      </c>
      <c r="F413" s="284" t="s">
        <v>1244</v>
      </c>
      <c r="G413" s="284">
        <f>IFERROR(VLOOKUP(E413,Assign!$C$2:$J$142,8,FALSE),)</f>
        <v>0</v>
      </c>
      <c r="H413" s="372" t="s">
        <v>3869</v>
      </c>
      <c r="I413" s="445" t="s">
        <v>3859</v>
      </c>
      <c r="J413" s="446"/>
      <c r="K413" s="386">
        <v>168902494</v>
      </c>
      <c r="L413" s="387"/>
      <c r="M413" s="388">
        <f t="shared" si="19"/>
        <v>168902494</v>
      </c>
      <c r="N413" s="388"/>
      <c r="O413" s="388">
        <f t="shared" si="20"/>
        <v>168902494</v>
      </c>
      <c r="P413" s="390"/>
      <c r="Q413" s="386">
        <v>188400000</v>
      </c>
      <c r="R413" s="394">
        <v>0</v>
      </c>
      <c r="S413" s="447"/>
    </row>
    <row r="414" spans="2:19" ht="19.5" hidden="1" customHeight="1">
      <c r="B414" s="29">
        <f t="shared" si="18"/>
        <v>404</v>
      </c>
      <c r="C414" s="30" t="s">
        <v>202</v>
      </c>
      <c r="D414" s="30" t="s">
        <v>225</v>
      </c>
      <c r="E414" s="163" t="s">
        <v>1048</v>
      </c>
      <c r="F414" s="284" t="s">
        <v>1266</v>
      </c>
      <c r="G414" s="284">
        <f>IFERROR(VLOOKUP(E414,Assign!$C$2:$J$142,8,FALSE),)</f>
        <v>0</v>
      </c>
      <c r="H414" s="372" t="s">
        <v>3868</v>
      </c>
      <c r="I414" s="445" t="s">
        <v>3859</v>
      </c>
      <c r="J414" s="446"/>
      <c r="K414" s="386">
        <v>167460000</v>
      </c>
      <c r="L414" s="387"/>
      <c r="M414" s="388">
        <f t="shared" si="19"/>
        <v>167460000</v>
      </c>
      <c r="N414" s="388"/>
      <c r="O414" s="388">
        <f t="shared" si="20"/>
        <v>167460000</v>
      </c>
      <c r="P414" s="390"/>
      <c r="Q414" s="386">
        <v>216000000</v>
      </c>
      <c r="R414" s="394">
        <v>0</v>
      </c>
      <c r="S414" s="447"/>
    </row>
    <row r="415" spans="2:19" ht="19.5" hidden="1" customHeight="1">
      <c r="B415" s="29">
        <f t="shared" si="18"/>
        <v>405</v>
      </c>
      <c r="C415" s="30" t="s">
        <v>202</v>
      </c>
      <c r="D415" s="30" t="s">
        <v>225</v>
      </c>
      <c r="E415" s="163" t="s">
        <v>1049</v>
      </c>
      <c r="F415" s="284" t="s">
        <v>1225</v>
      </c>
      <c r="G415" s="284">
        <f>IFERROR(VLOOKUP(E415,Assign!$C$2:$J$142,8,FALSE),)</f>
        <v>0</v>
      </c>
      <c r="H415" s="372" t="s">
        <v>3868</v>
      </c>
      <c r="I415" s="445" t="s">
        <v>3859</v>
      </c>
      <c r="J415" s="446"/>
      <c r="K415" s="386">
        <v>165247744</v>
      </c>
      <c r="L415" s="387"/>
      <c r="M415" s="388">
        <f t="shared" si="19"/>
        <v>165247744</v>
      </c>
      <c r="N415" s="388"/>
      <c r="O415" s="388">
        <f t="shared" si="20"/>
        <v>165247744</v>
      </c>
      <c r="P415" s="390"/>
      <c r="Q415" s="386">
        <v>184800000</v>
      </c>
      <c r="R415" s="394">
        <v>0</v>
      </c>
      <c r="S415" s="447"/>
    </row>
    <row r="416" spans="2:19" ht="19.5" hidden="1" customHeight="1">
      <c r="B416" s="29">
        <f t="shared" si="18"/>
        <v>406</v>
      </c>
      <c r="C416" s="30" t="s">
        <v>202</v>
      </c>
      <c r="D416" s="30" t="s">
        <v>225</v>
      </c>
      <c r="E416" s="163" t="s">
        <v>1050</v>
      </c>
      <c r="F416" s="284" t="s">
        <v>1271</v>
      </c>
      <c r="G416" s="284">
        <f>IFERROR(VLOOKUP(E416,Assign!$C$2:$J$142,8,FALSE),)</f>
        <v>0</v>
      </c>
      <c r="H416" s="372" t="s">
        <v>3869</v>
      </c>
      <c r="I416" s="445" t="s">
        <v>3859</v>
      </c>
      <c r="J416" s="446"/>
      <c r="K416" s="386">
        <v>163223306</v>
      </c>
      <c r="L416" s="387"/>
      <c r="M416" s="388">
        <f t="shared" si="19"/>
        <v>163223306</v>
      </c>
      <c r="N416" s="388"/>
      <c r="O416" s="388">
        <f t="shared" si="20"/>
        <v>163223306</v>
      </c>
      <c r="P416" s="390"/>
      <c r="Q416" s="386">
        <v>198000000</v>
      </c>
      <c r="R416" s="394">
        <v>0</v>
      </c>
      <c r="S416" s="447"/>
    </row>
    <row r="417" spans="2:19" ht="19.5" hidden="1" customHeight="1">
      <c r="B417" s="29">
        <f t="shared" si="18"/>
        <v>407</v>
      </c>
      <c r="C417" s="30" t="s">
        <v>202</v>
      </c>
      <c r="D417" s="30" t="s">
        <v>225</v>
      </c>
      <c r="E417" s="163" t="s">
        <v>1051</v>
      </c>
      <c r="F417" s="284" t="s">
        <v>1224</v>
      </c>
      <c r="G417" s="284">
        <f>IFERROR(VLOOKUP(E417,Assign!$C$2:$J$142,8,FALSE),)</f>
        <v>0</v>
      </c>
      <c r="H417" s="372" t="s">
        <v>3868</v>
      </c>
      <c r="I417" s="445" t="s">
        <v>3859</v>
      </c>
      <c r="J417" s="446"/>
      <c r="K417" s="386">
        <v>161573935</v>
      </c>
      <c r="L417" s="387"/>
      <c r="M417" s="388">
        <f t="shared" si="19"/>
        <v>161573935</v>
      </c>
      <c r="N417" s="388"/>
      <c r="O417" s="388">
        <f t="shared" si="20"/>
        <v>161573935</v>
      </c>
      <c r="P417" s="390"/>
      <c r="Q417" s="386">
        <v>210000000</v>
      </c>
      <c r="R417" s="394">
        <v>0</v>
      </c>
      <c r="S417" s="447"/>
    </row>
    <row r="418" spans="2:19" ht="19.5" customHeight="1">
      <c r="B418" s="29">
        <f t="shared" si="18"/>
        <v>408</v>
      </c>
      <c r="C418" s="30" t="s">
        <v>202</v>
      </c>
      <c r="D418" s="30" t="s">
        <v>225</v>
      </c>
      <c r="E418" s="491" t="s">
        <v>1052</v>
      </c>
      <c r="F418" s="284" t="s">
        <v>1225</v>
      </c>
      <c r="G418" s="284" t="str">
        <f>IFERROR(VLOOKUP(E418,Assign!$C$2:$J$142,8,FALSE),)</f>
        <v>문선영</v>
      </c>
      <c r="H418" s="372" t="s">
        <v>3868</v>
      </c>
      <c r="I418" s="445" t="s">
        <v>3859</v>
      </c>
      <c r="J418" s="446"/>
      <c r="K418" s="386">
        <v>160826568</v>
      </c>
      <c r="L418" s="387"/>
      <c r="M418" s="388">
        <f t="shared" si="19"/>
        <v>160826568</v>
      </c>
      <c r="N418" s="388"/>
      <c r="O418" s="388">
        <f t="shared" si="20"/>
        <v>160826568</v>
      </c>
      <c r="P418" s="390"/>
      <c r="Q418" s="386">
        <v>195600000</v>
      </c>
      <c r="R418" s="394">
        <v>0</v>
      </c>
      <c r="S418" s="447"/>
    </row>
    <row r="419" spans="2:19" ht="19.5" customHeight="1">
      <c r="B419" s="29">
        <f t="shared" si="18"/>
        <v>409</v>
      </c>
      <c r="C419" s="30" t="s">
        <v>202</v>
      </c>
      <c r="D419" s="30" t="s">
        <v>225</v>
      </c>
      <c r="E419" s="491" t="s">
        <v>1053</v>
      </c>
      <c r="F419" s="284" t="s">
        <v>1229</v>
      </c>
      <c r="G419" s="284" t="str">
        <f>IFERROR(VLOOKUP(E419,Assign!$C$2:$J$142,8,FALSE),)</f>
        <v>문선영</v>
      </c>
      <c r="H419" s="372" t="s">
        <v>3869</v>
      </c>
      <c r="I419" s="445" t="s">
        <v>3859</v>
      </c>
      <c r="J419" s="446"/>
      <c r="K419" s="386">
        <v>159845672</v>
      </c>
      <c r="L419" s="387"/>
      <c r="M419" s="388">
        <f t="shared" si="19"/>
        <v>159845672</v>
      </c>
      <c r="N419" s="388"/>
      <c r="O419" s="388">
        <f t="shared" si="20"/>
        <v>159845672</v>
      </c>
      <c r="P419" s="390"/>
      <c r="Q419" s="386">
        <v>205000000</v>
      </c>
      <c r="R419" s="394">
        <v>0</v>
      </c>
      <c r="S419" s="447"/>
    </row>
    <row r="420" spans="2:19" ht="19.5" hidden="1" customHeight="1">
      <c r="B420" s="29">
        <f t="shared" si="18"/>
        <v>410</v>
      </c>
      <c r="C420" s="30" t="s">
        <v>202</v>
      </c>
      <c r="D420" s="30" t="s">
        <v>225</v>
      </c>
      <c r="E420" s="163" t="s">
        <v>1054</v>
      </c>
      <c r="F420" s="284" t="s">
        <v>1251</v>
      </c>
      <c r="G420" s="284">
        <f>IFERROR(VLOOKUP(E420,Assign!$C$2:$J$142,8,FALSE),)</f>
        <v>0</v>
      </c>
      <c r="H420" s="372" t="s">
        <v>3868</v>
      </c>
      <c r="I420" s="445" t="s">
        <v>3859</v>
      </c>
      <c r="J420" s="446"/>
      <c r="K420" s="386">
        <v>158835292</v>
      </c>
      <c r="L420" s="387"/>
      <c r="M420" s="388">
        <f t="shared" si="19"/>
        <v>158835292</v>
      </c>
      <c r="N420" s="388"/>
      <c r="O420" s="388">
        <f t="shared" si="20"/>
        <v>158835292</v>
      </c>
      <c r="P420" s="390"/>
      <c r="Q420" s="386">
        <v>228000000</v>
      </c>
      <c r="R420" s="394">
        <v>592800000</v>
      </c>
      <c r="S420" s="447"/>
    </row>
    <row r="421" spans="2:19" ht="19.5" hidden="1" customHeight="1">
      <c r="B421" s="29">
        <f t="shared" si="18"/>
        <v>411</v>
      </c>
      <c r="C421" s="30" t="s">
        <v>202</v>
      </c>
      <c r="D421" s="30" t="s">
        <v>225</v>
      </c>
      <c r="E421" s="163" t="s">
        <v>1055</v>
      </c>
      <c r="F421" s="284" t="s">
        <v>1225</v>
      </c>
      <c r="G421" s="284">
        <f>IFERROR(VLOOKUP(E421,Assign!$C$2:$J$142,8,FALSE),)</f>
        <v>0</v>
      </c>
      <c r="H421" s="372" t="s">
        <v>3869</v>
      </c>
      <c r="I421" s="445" t="s">
        <v>3859</v>
      </c>
      <c r="J421" s="446"/>
      <c r="K421" s="386">
        <v>157786504</v>
      </c>
      <c r="L421" s="387"/>
      <c r="M421" s="388">
        <f t="shared" si="19"/>
        <v>157786504</v>
      </c>
      <c r="N421" s="388"/>
      <c r="O421" s="388">
        <f t="shared" si="20"/>
        <v>157786504</v>
      </c>
      <c r="P421" s="390"/>
      <c r="Q421" s="386">
        <v>174300000</v>
      </c>
      <c r="R421" s="394">
        <v>0</v>
      </c>
      <c r="S421" s="447"/>
    </row>
    <row r="422" spans="2:19" ht="19.5" hidden="1" customHeight="1">
      <c r="B422" s="29">
        <f t="shared" si="18"/>
        <v>412</v>
      </c>
      <c r="C422" s="30" t="s">
        <v>202</v>
      </c>
      <c r="D422" s="30" t="s">
        <v>225</v>
      </c>
      <c r="E422" s="163" t="s">
        <v>1056</v>
      </c>
      <c r="F422" s="284" t="s">
        <v>1229</v>
      </c>
      <c r="G422" s="284">
        <f>IFERROR(VLOOKUP(E422,Assign!$C$2:$J$142,8,FALSE),)</f>
        <v>0</v>
      </c>
      <c r="H422" s="372" t="s">
        <v>3869</v>
      </c>
      <c r="I422" s="445" t="s">
        <v>3859</v>
      </c>
      <c r="J422" s="446"/>
      <c r="K422" s="386">
        <v>156312252</v>
      </c>
      <c r="L422" s="387"/>
      <c r="M422" s="388">
        <f t="shared" si="19"/>
        <v>156312252</v>
      </c>
      <c r="N422" s="388"/>
      <c r="O422" s="388">
        <f t="shared" si="20"/>
        <v>156312252</v>
      </c>
      <c r="P422" s="390"/>
      <c r="Q422" s="386">
        <v>176500000</v>
      </c>
      <c r="R422" s="394">
        <v>0</v>
      </c>
      <c r="S422" s="447"/>
    </row>
    <row r="423" spans="2:19" ht="19.5" hidden="1" customHeight="1">
      <c r="B423" s="29">
        <f t="shared" si="18"/>
        <v>413</v>
      </c>
      <c r="C423" s="30" t="s">
        <v>202</v>
      </c>
      <c r="D423" s="30" t="s">
        <v>225</v>
      </c>
      <c r="E423" s="163" t="s">
        <v>1057</v>
      </c>
      <c r="F423" s="284" t="s">
        <v>1282</v>
      </c>
      <c r="G423" s="284">
        <f>IFERROR(VLOOKUP(E423,Assign!$C$2:$J$142,8,FALSE),)</f>
        <v>0</v>
      </c>
      <c r="H423" s="372" t="s">
        <v>3870</v>
      </c>
      <c r="I423" s="445" t="s">
        <v>3859</v>
      </c>
      <c r="J423" s="446"/>
      <c r="K423" s="386">
        <v>155000000</v>
      </c>
      <c r="L423" s="387"/>
      <c r="M423" s="388">
        <f t="shared" si="19"/>
        <v>155000000</v>
      </c>
      <c r="N423" s="388"/>
      <c r="O423" s="388">
        <f t="shared" si="20"/>
        <v>155000000</v>
      </c>
      <c r="P423" s="390"/>
      <c r="Q423" s="386">
        <v>192000000</v>
      </c>
      <c r="R423" s="394">
        <v>0</v>
      </c>
      <c r="S423" s="447"/>
    </row>
    <row r="424" spans="2:19" ht="19.5" customHeight="1">
      <c r="B424" s="29">
        <f t="shared" si="18"/>
        <v>414</v>
      </c>
      <c r="C424" s="30" t="s">
        <v>202</v>
      </c>
      <c r="D424" s="30" t="s">
        <v>225</v>
      </c>
      <c r="E424" s="491" t="s">
        <v>1058</v>
      </c>
      <c r="F424" s="284" t="s">
        <v>1229</v>
      </c>
      <c r="G424" s="284" t="str">
        <f>IFERROR(VLOOKUP(E424,Assign!$C$2:$J$142,8,FALSE),)</f>
        <v>문선영</v>
      </c>
      <c r="H424" s="372" t="s">
        <v>3868</v>
      </c>
      <c r="I424" s="445" t="s">
        <v>3859</v>
      </c>
      <c r="J424" s="446"/>
      <c r="K424" s="386">
        <v>154000000</v>
      </c>
      <c r="L424" s="387"/>
      <c r="M424" s="388">
        <f t="shared" si="19"/>
        <v>154000000</v>
      </c>
      <c r="N424" s="388"/>
      <c r="O424" s="388">
        <f t="shared" si="20"/>
        <v>154000000</v>
      </c>
      <c r="P424" s="390"/>
      <c r="Q424" s="386">
        <v>288000000</v>
      </c>
      <c r="R424" s="394">
        <v>0</v>
      </c>
      <c r="S424" s="447"/>
    </row>
    <row r="425" spans="2:19" ht="19.5" hidden="1" customHeight="1">
      <c r="B425" s="29">
        <f t="shared" si="18"/>
        <v>415</v>
      </c>
      <c r="C425" s="30" t="s">
        <v>202</v>
      </c>
      <c r="D425" s="30" t="s">
        <v>225</v>
      </c>
      <c r="E425" s="163" t="s">
        <v>1059</v>
      </c>
      <c r="F425" s="284" t="s">
        <v>1225</v>
      </c>
      <c r="G425" s="284">
        <f>IFERROR(VLOOKUP(E425,Assign!$C$2:$J$142,8,FALSE),)</f>
        <v>0</v>
      </c>
      <c r="H425" s="372" t="s">
        <v>3869</v>
      </c>
      <c r="I425" s="445" t="s">
        <v>3859</v>
      </c>
      <c r="J425" s="446"/>
      <c r="K425" s="386">
        <v>150534689</v>
      </c>
      <c r="L425" s="387"/>
      <c r="M425" s="388">
        <f t="shared" si="19"/>
        <v>150534689</v>
      </c>
      <c r="N425" s="388"/>
      <c r="O425" s="388">
        <f t="shared" si="20"/>
        <v>150534689</v>
      </c>
      <c r="P425" s="390"/>
      <c r="Q425" s="386">
        <v>228000000</v>
      </c>
      <c r="R425" s="394">
        <v>0</v>
      </c>
      <c r="S425" s="447"/>
    </row>
    <row r="426" spans="2:19" ht="19.5" hidden="1" customHeight="1">
      <c r="B426" s="29">
        <f t="shared" si="18"/>
        <v>416</v>
      </c>
      <c r="C426" s="30" t="s">
        <v>202</v>
      </c>
      <c r="D426" s="30" t="s">
        <v>225</v>
      </c>
      <c r="E426" s="163" t="s">
        <v>1060</v>
      </c>
      <c r="F426" s="284" t="s">
        <v>1229</v>
      </c>
      <c r="G426" s="284">
        <f>IFERROR(VLOOKUP(E426,Assign!$C$2:$J$142,8,FALSE),)</f>
        <v>0</v>
      </c>
      <c r="H426" s="372" t="s">
        <v>3869</v>
      </c>
      <c r="I426" s="445" t="s">
        <v>3859</v>
      </c>
      <c r="J426" s="446"/>
      <c r="K426" s="386">
        <v>150000000</v>
      </c>
      <c r="L426" s="387"/>
      <c r="M426" s="388">
        <f t="shared" si="19"/>
        <v>150000000</v>
      </c>
      <c r="N426" s="388"/>
      <c r="O426" s="388">
        <f t="shared" si="20"/>
        <v>150000000</v>
      </c>
      <c r="P426" s="390"/>
      <c r="Q426" s="386">
        <v>180000000</v>
      </c>
      <c r="R426" s="394">
        <v>0</v>
      </c>
      <c r="S426" s="447"/>
    </row>
    <row r="427" spans="2:19" ht="19.5" hidden="1" customHeight="1">
      <c r="B427" s="29">
        <f t="shared" si="18"/>
        <v>417</v>
      </c>
      <c r="C427" s="30" t="s">
        <v>202</v>
      </c>
      <c r="D427" s="30" t="s">
        <v>225</v>
      </c>
      <c r="E427" s="163" t="s">
        <v>1061</v>
      </c>
      <c r="F427" s="284" t="s">
        <v>1225</v>
      </c>
      <c r="G427" s="284">
        <f>IFERROR(VLOOKUP(E427,Assign!$C$2:$J$142,8,FALSE),)</f>
        <v>0</v>
      </c>
      <c r="H427" s="372" t="s">
        <v>3868</v>
      </c>
      <c r="I427" s="445" t="s">
        <v>3859</v>
      </c>
      <c r="J427" s="446"/>
      <c r="K427" s="386">
        <v>150000000</v>
      </c>
      <c r="L427" s="387"/>
      <c r="M427" s="388">
        <f t="shared" si="19"/>
        <v>150000000</v>
      </c>
      <c r="N427" s="388"/>
      <c r="O427" s="388">
        <f t="shared" si="20"/>
        <v>150000000</v>
      </c>
      <c r="P427" s="390"/>
      <c r="Q427" s="386">
        <v>180000000</v>
      </c>
      <c r="R427" s="394">
        <v>110000000</v>
      </c>
      <c r="S427" s="447"/>
    </row>
    <row r="428" spans="2:19" ht="19.5" customHeight="1">
      <c r="B428" s="29">
        <f t="shared" si="18"/>
        <v>418</v>
      </c>
      <c r="C428" s="30" t="s">
        <v>202</v>
      </c>
      <c r="D428" s="30" t="s">
        <v>225</v>
      </c>
      <c r="E428" s="491" t="s">
        <v>1062</v>
      </c>
      <c r="F428" s="284" t="s">
        <v>1221</v>
      </c>
      <c r="G428" s="284" t="str">
        <f>IFERROR(VLOOKUP(E428,Assign!$C$2:$J$142,8,FALSE),)</f>
        <v>문선영</v>
      </c>
      <c r="H428" s="372" t="s">
        <v>3869</v>
      </c>
      <c r="I428" s="445" t="s">
        <v>3859</v>
      </c>
      <c r="J428" s="446"/>
      <c r="K428" s="386">
        <v>148739099</v>
      </c>
      <c r="L428" s="387"/>
      <c r="M428" s="388">
        <f t="shared" si="19"/>
        <v>148739099</v>
      </c>
      <c r="N428" s="388"/>
      <c r="O428" s="388">
        <f t="shared" si="20"/>
        <v>148739099</v>
      </c>
      <c r="P428" s="390"/>
      <c r="Q428" s="386">
        <v>194000000</v>
      </c>
      <c r="R428" s="394">
        <v>0</v>
      </c>
      <c r="S428" s="447"/>
    </row>
    <row r="429" spans="2:19" ht="19.5" customHeight="1">
      <c r="B429" s="29">
        <f t="shared" si="18"/>
        <v>419</v>
      </c>
      <c r="C429" s="30" t="s">
        <v>202</v>
      </c>
      <c r="D429" s="30" t="s">
        <v>225</v>
      </c>
      <c r="E429" s="491" t="s">
        <v>1063</v>
      </c>
      <c r="F429" s="284" t="s">
        <v>1225</v>
      </c>
      <c r="G429" s="284" t="str">
        <f>IFERROR(VLOOKUP(E429,Assign!$C$2:$J$142,8,FALSE),)</f>
        <v>문선영</v>
      </c>
      <c r="H429" s="372" t="s">
        <v>3869</v>
      </c>
      <c r="I429" s="445" t="s">
        <v>3859</v>
      </c>
      <c r="J429" s="446"/>
      <c r="K429" s="386">
        <v>147890976</v>
      </c>
      <c r="L429" s="387"/>
      <c r="M429" s="388">
        <f t="shared" si="19"/>
        <v>147890976</v>
      </c>
      <c r="N429" s="388"/>
      <c r="O429" s="388">
        <f t="shared" si="20"/>
        <v>147890976</v>
      </c>
      <c r="P429" s="390"/>
      <c r="Q429" s="386">
        <v>215400000</v>
      </c>
      <c r="R429" s="394">
        <v>0</v>
      </c>
      <c r="S429" s="447"/>
    </row>
    <row r="430" spans="2:19" ht="19.5" hidden="1" customHeight="1">
      <c r="B430" s="29">
        <f t="shared" si="18"/>
        <v>420</v>
      </c>
      <c r="C430" s="30" t="s">
        <v>202</v>
      </c>
      <c r="D430" s="30" t="s">
        <v>225</v>
      </c>
      <c r="E430" s="163" t="s">
        <v>1064</v>
      </c>
      <c r="F430" s="284" t="s">
        <v>1225</v>
      </c>
      <c r="G430" s="284">
        <f>IFERROR(VLOOKUP(E430,Assign!$C$2:$J$142,8,FALSE),)</f>
        <v>0</v>
      </c>
      <c r="H430" s="372" t="s">
        <v>3868</v>
      </c>
      <c r="I430" s="445" t="s">
        <v>3859</v>
      </c>
      <c r="J430" s="446"/>
      <c r="K430" s="386">
        <v>147411604</v>
      </c>
      <c r="L430" s="387"/>
      <c r="M430" s="388">
        <f t="shared" si="19"/>
        <v>147411604</v>
      </c>
      <c r="N430" s="388"/>
      <c r="O430" s="388">
        <f t="shared" si="20"/>
        <v>147411604</v>
      </c>
      <c r="P430" s="390"/>
      <c r="Q430" s="386">
        <v>172700000</v>
      </c>
      <c r="R430" s="394">
        <v>0</v>
      </c>
      <c r="S430" s="447"/>
    </row>
    <row r="431" spans="2:19" ht="19.5" hidden="1" customHeight="1">
      <c r="B431" s="29">
        <f t="shared" si="18"/>
        <v>421</v>
      </c>
      <c r="C431" s="30" t="s">
        <v>202</v>
      </c>
      <c r="D431" s="30" t="s">
        <v>225</v>
      </c>
      <c r="E431" s="163" t="s">
        <v>1065</v>
      </c>
      <c r="F431" s="284" t="s">
        <v>1223</v>
      </c>
      <c r="G431" s="284">
        <f>IFERROR(VLOOKUP(E431,Assign!$C$2:$J$142,8,FALSE),)</f>
        <v>0</v>
      </c>
      <c r="H431" s="372" t="s">
        <v>3868</v>
      </c>
      <c r="I431" s="445" t="s">
        <v>3859</v>
      </c>
      <c r="J431" s="446"/>
      <c r="K431" s="386">
        <v>143673239</v>
      </c>
      <c r="L431" s="387"/>
      <c r="M431" s="388">
        <f t="shared" si="19"/>
        <v>143673239</v>
      </c>
      <c r="N431" s="388"/>
      <c r="O431" s="388">
        <f t="shared" si="20"/>
        <v>143673239</v>
      </c>
      <c r="P431" s="390"/>
      <c r="Q431" s="386">
        <v>180000000</v>
      </c>
      <c r="R431" s="394">
        <v>0</v>
      </c>
      <c r="S431" s="447"/>
    </row>
    <row r="432" spans="2:19" ht="19.5" customHeight="1">
      <c r="B432" s="29">
        <f t="shared" si="18"/>
        <v>422</v>
      </c>
      <c r="C432" s="30" t="s">
        <v>202</v>
      </c>
      <c r="D432" s="30" t="s">
        <v>225</v>
      </c>
      <c r="E432" s="491" t="s">
        <v>1066</v>
      </c>
      <c r="F432" s="284" t="s">
        <v>1217</v>
      </c>
      <c r="G432" s="284" t="str">
        <f>IFERROR(VLOOKUP(E432,Assign!$C$2:$J$142,8,FALSE),)</f>
        <v>문선영</v>
      </c>
      <c r="H432" s="372" t="s">
        <v>3869</v>
      </c>
      <c r="I432" s="445" t="s">
        <v>3859</v>
      </c>
      <c r="J432" s="446"/>
      <c r="K432" s="386">
        <v>141783821</v>
      </c>
      <c r="L432" s="387"/>
      <c r="M432" s="388">
        <f t="shared" si="19"/>
        <v>141783821</v>
      </c>
      <c r="N432" s="388"/>
      <c r="O432" s="388">
        <f t="shared" si="20"/>
        <v>141783821</v>
      </c>
      <c r="P432" s="390"/>
      <c r="Q432" s="386">
        <v>192000000</v>
      </c>
      <c r="R432" s="394">
        <v>0</v>
      </c>
      <c r="S432" s="447"/>
    </row>
    <row r="433" spans="2:19" ht="19.5" hidden="1" customHeight="1">
      <c r="B433" s="29">
        <f t="shared" si="18"/>
        <v>423</v>
      </c>
      <c r="C433" s="30" t="s">
        <v>202</v>
      </c>
      <c r="D433" s="30" t="s">
        <v>225</v>
      </c>
      <c r="E433" s="163" t="s">
        <v>1067</v>
      </c>
      <c r="F433" s="284" t="s">
        <v>1225</v>
      </c>
      <c r="G433" s="284">
        <f>IFERROR(VLOOKUP(E433,Assign!$C$2:$J$142,8,FALSE),)</f>
        <v>0</v>
      </c>
      <c r="H433" s="372" t="s">
        <v>3869</v>
      </c>
      <c r="I433" s="445" t="s">
        <v>3859</v>
      </c>
      <c r="J433" s="446"/>
      <c r="K433" s="386">
        <v>140036912</v>
      </c>
      <c r="L433" s="387"/>
      <c r="M433" s="388">
        <f t="shared" si="19"/>
        <v>140036912</v>
      </c>
      <c r="N433" s="388"/>
      <c r="O433" s="388">
        <f t="shared" si="20"/>
        <v>140036912</v>
      </c>
      <c r="P433" s="390"/>
      <c r="Q433" s="386">
        <v>192000000</v>
      </c>
      <c r="R433" s="394">
        <v>0</v>
      </c>
      <c r="S433" s="447"/>
    </row>
    <row r="434" spans="2:19" ht="19.5" hidden="1" customHeight="1">
      <c r="B434" s="29">
        <f t="shared" si="18"/>
        <v>424</v>
      </c>
      <c r="C434" s="30" t="s">
        <v>202</v>
      </c>
      <c r="D434" s="30" t="s">
        <v>225</v>
      </c>
      <c r="E434" s="163" t="s">
        <v>1068</v>
      </c>
      <c r="F434" s="284" t="s">
        <v>1252</v>
      </c>
      <c r="G434" s="284">
        <f>IFERROR(VLOOKUP(E434,Assign!$C$2:$J$142,8,FALSE),)</f>
        <v>0</v>
      </c>
      <c r="H434" s="372" t="s">
        <v>3869</v>
      </c>
      <c r="I434" s="445" t="s">
        <v>3859</v>
      </c>
      <c r="J434" s="446"/>
      <c r="K434" s="386">
        <v>138210800</v>
      </c>
      <c r="L434" s="387"/>
      <c r="M434" s="388">
        <f t="shared" si="19"/>
        <v>138210800</v>
      </c>
      <c r="N434" s="388"/>
      <c r="O434" s="388">
        <f t="shared" si="20"/>
        <v>138210800</v>
      </c>
      <c r="P434" s="390"/>
      <c r="Q434" s="386">
        <v>153230000</v>
      </c>
      <c r="R434" s="394">
        <v>0</v>
      </c>
      <c r="S434" s="447"/>
    </row>
    <row r="435" spans="2:19" ht="19.5" hidden="1" customHeight="1">
      <c r="B435" s="29">
        <f t="shared" si="18"/>
        <v>425</v>
      </c>
      <c r="C435" s="30" t="s">
        <v>202</v>
      </c>
      <c r="D435" s="30" t="s">
        <v>225</v>
      </c>
      <c r="E435" s="163" t="s">
        <v>1069</v>
      </c>
      <c r="F435" s="284" t="s">
        <v>1235</v>
      </c>
      <c r="G435" s="284">
        <f>IFERROR(VLOOKUP(E435,Assign!$C$2:$J$142,8,FALSE),)</f>
        <v>0</v>
      </c>
      <c r="H435" s="372" t="s">
        <v>3868</v>
      </c>
      <c r="I435" s="445" t="s">
        <v>3859</v>
      </c>
      <c r="J435" s="446"/>
      <c r="K435" s="386">
        <v>137000000</v>
      </c>
      <c r="L435" s="387"/>
      <c r="M435" s="388">
        <f t="shared" si="19"/>
        <v>137000000</v>
      </c>
      <c r="N435" s="388"/>
      <c r="O435" s="388">
        <f t="shared" si="20"/>
        <v>137000000</v>
      </c>
      <c r="P435" s="390"/>
      <c r="Q435" s="386">
        <v>169200000</v>
      </c>
      <c r="R435" s="394">
        <v>0</v>
      </c>
      <c r="S435" s="447"/>
    </row>
    <row r="436" spans="2:19" ht="19.5" hidden="1" customHeight="1">
      <c r="B436" s="29">
        <f t="shared" si="18"/>
        <v>426</v>
      </c>
      <c r="C436" s="30" t="s">
        <v>202</v>
      </c>
      <c r="D436" s="30" t="s">
        <v>225</v>
      </c>
      <c r="E436" s="163" t="s">
        <v>1070</v>
      </c>
      <c r="F436" s="284" t="s">
        <v>1318</v>
      </c>
      <c r="G436" s="284">
        <f>IFERROR(VLOOKUP(E436,Assign!$C$2:$J$142,8,FALSE),)</f>
        <v>0</v>
      </c>
      <c r="H436" s="372" t="s">
        <v>3869</v>
      </c>
      <c r="I436" s="445" t="s">
        <v>3859</v>
      </c>
      <c r="J436" s="446"/>
      <c r="K436" s="386">
        <v>136867403</v>
      </c>
      <c r="L436" s="387"/>
      <c r="M436" s="388">
        <f t="shared" si="19"/>
        <v>136867403</v>
      </c>
      <c r="N436" s="388"/>
      <c r="O436" s="388">
        <f t="shared" si="20"/>
        <v>136867403</v>
      </c>
      <c r="P436" s="390"/>
      <c r="Q436" s="386">
        <v>187200000</v>
      </c>
      <c r="R436" s="394">
        <v>0</v>
      </c>
      <c r="S436" s="447"/>
    </row>
    <row r="437" spans="2:19" ht="19.5" hidden="1" customHeight="1">
      <c r="B437" s="29">
        <f t="shared" si="18"/>
        <v>427</v>
      </c>
      <c r="C437" s="30" t="s">
        <v>202</v>
      </c>
      <c r="D437" s="30" t="s">
        <v>225</v>
      </c>
      <c r="E437" s="163" t="s">
        <v>1071</v>
      </c>
      <c r="F437" s="284" t="s">
        <v>1244</v>
      </c>
      <c r="G437" s="284">
        <f>IFERROR(VLOOKUP(E437,Assign!$C$2:$J$142,8,FALSE),)</f>
        <v>0</v>
      </c>
      <c r="H437" s="372" t="s">
        <v>3868</v>
      </c>
      <c r="I437" s="445" t="s">
        <v>3859</v>
      </c>
      <c r="J437" s="446"/>
      <c r="K437" s="386">
        <v>135129045</v>
      </c>
      <c r="L437" s="387"/>
      <c r="M437" s="388">
        <f t="shared" si="19"/>
        <v>135129045</v>
      </c>
      <c r="N437" s="388"/>
      <c r="O437" s="388">
        <f t="shared" si="20"/>
        <v>135129045</v>
      </c>
      <c r="P437" s="390"/>
      <c r="Q437" s="386">
        <v>181500000</v>
      </c>
      <c r="R437" s="394">
        <v>0</v>
      </c>
      <c r="S437" s="447"/>
    </row>
    <row r="438" spans="2:19" ht="19.5" customHeight="1">
      <c r="B438" s="29">
        <f t="shared" si="18"/>
        <v>428</v>
      </c>
      <c r="C438" s="30" t="s">
        <v>202</v>
      </c>
      <c r="D438" s="30" t="s">
        <v>225</v>
      </c>
      <c r="E438" s="491" t="s">
        <v>1072</v>
      </c>
      <c r="F438" s="284" t="s">
        <v>1225</v>
      </c>
      <c r="G438" s="284" t="str">
        <f>IFERROR(VLOOKUP(E438,Assign!$C$2:$J$142,8,FALSE),)</f>
        <v>문선영</v>
      </c>
      <c r="H438" s="372" t="s">
        <v>3869</v>
      </c>
      <c r="I438" s="445" t="s">
        <v>3859</v>
      </c>
      <c r="J438" s="446"/>
      <c r="K438" s="386">
        <v>133871233</v>
      </c>
      <c r="L438" s="387"/>
      <c r="M438" s="388">
        <f t="shared" si="19"/>
        <v>133871233</v>
      </c>
      <c r="N438" s="388"/>
      <c r="O438" s="388">
        <f t="shared" si="20"/>
        <v>133871233</v>
      </c>
      <c r="P438" s="390"/>
      <c r="Q438" s="386">
        <v>186900000</v>
      </c>
      <c r="R438" s="394">
        <v>0</v>
      </c>
      <c r="S438" s="447"/>
    </row>
    <row r="439" spans="2:19" ht="19.5" hidden="1" customHeight="1">
      <c r="B439" s="29">
        <f t="shared" si="18"/>
        <v>429</v>
      </c>
      <c r="C439" s="30" t="s">
        <v>202</v>
      </c>
      <c r="D439" s="30" t="s">
        <v>225</v>
      </c>
      <c r="E439" s="163" t="s">
        <v>1073</v>
      </c>
      <c r="F439" s="284" t="s">
        <v>1279</v>
      </c>
      <c r="G439" s="284">
        <f>IFERROR(VLOOKUP(E439,Assign!$C$2:$J$142,8,FALSE),)</f>
        <v>0</v>
      </c>
      <c r="H439" s="372" t="s">
        <v>3869</v>
      </c>
      <c r="I439" s="445" t="s">
        <v>3859</v>
      </c>
      <c r="J439" s="446"/>
      <c r="K439" s="386">
        <v>133831092</v>
      </c>
      <c r="L439" s="387"/>
      <c r="M439" s="388">
        <f t="shared" si="19"/>
        <v>133831092</v>
      </c>
      <c r="N439" s="388"/>
      <c r="O439" s="388">
        <f t="shared" si="20"/>
        <v>133831092</v>
      </c>
      <c r="P439" s="390"/>
      <c r="Q439" s="386">
        <v>153000000</v>
      </c>
      <c r="R439" s="394">
        <v>0</v>
      </c>
      <c r="S439" s="447"/>
    </row>
    <row r="440" spans="2:19" ht="19.5" hidden="1" customHeight="1">
      <c r="B440" s="29">
        <f t="shared" si="18"/>
        <v>430</v>
      </c>
      <c r="C440" s="30" t="s">
        <v>202</v>
      </c>
      <c r="D440" s="30" t="s">
        <v>225</v>
      </c>
      <c r="E440" s="163" t="s">
        <v>1074</v>
      </c>
      <c r="F440" s="284" t="s">
        <v>1227</v>
      </c>
      <c r="G440" s="284">
        <f>IFERROR(VLOOKUP(E440,Assign!$C$2:$J$142,8,FALSE),)</f>
        <v>0</v>
      </c>
      <c r="H440" s="372" t="s">
        <v>3868</v>
      </c>
      <c r="I440" s="445" t="s">
        <v>3859</v>
      </c>
      <c r="J440" s="446"/>
      <c r="K440" s="386">
        <v>132999930</v>
      </c>
      <c r="L440" s="387"/>
      <c r="M440" s="388">
        <f t="shared" si="19"/>
        <v>132999930</v>
      </c>
      <c r="N440" s="388"/>
      <c r="O440" s="388">
        <f t="shared" si="20"/>
        <v>132999930</v>
      </c>
      <c r="P440" s="390"/>
      <c r="Q440" s="386">
        <v>182400000</v>
      </c>
      <c r="R440" s="394">
        <v>0</v>
      </c>
      <c r="S440" s="447"/>
    </row>
    <row r="441" spans="2:19" ht="19.5" hidden="1" customHeight="1">
      <c r="B441" s="29">
        <f t="shared" si="18"/>
        <v>431</v>
      </c>
      <c r="C441" s="30" t="s">
        <v>202</v>
      </c>
      <c r="D441" s="30" t="s">
        <v>225</v>
      </c>
      <c r="E441" s="163" t="s">
        <v>1075</v>
      </c>
      <c r="F441" s="284" t="s">
        <v>1231</v>
      </c>
      <c r="G441" s="284">
        <f>IFERROR(VLOOKUP(E441,Assign!$C$2:$J$142,8,FALSE),)</f>
        <v>0</v>
      </c>
      <c r="H441" s="372" t="s">
        <v>3868</v>
      </c>
      <c r="I441" s="445" t="s">
        <v>3859</v>
      </c>
      <c r="J441" s="446"/>
      <c r="K441" s="386">
        <v>130000000</v>
      </c>
      <c r="L441" s="387"/>
      <c r="M441" s="388">
        <f t="shared" si="19"/>
        <v>130000000</v>
      </c>
      <c r="N441" s="388"/>
      <c r="O441" s="388">
        <f t="shared" si="20"/>
        <v>130000000</v>
      </c>
      <c r="P441" s="390"/>
      <c r="Q441" s="386">
        <v>156000000</v>
      </c>
      <c r="R441" s="394">
        <v>0</v>
      </c>
      <c r="S441" s="447"/>
    </row>
    <row r="442" spans="2:19" ht="19.5" customHeight="1">
      <c r="B442" s="29">
        <f t="shared" si="18"/>
        <v>432</v>
      </c>
      <c r="C442" s="30" t="s">
        <v>202</v>
      </c>
      <c r="D442" s="30" t="s">
        <v>225</v>
      </c>
      <c r="E442" s="489" t="s">
        <v>1076</v>
      </c>
      <c r="F442" s="284" t="s">
        <v>1229</v>
      </c>
      <c r="G442" s="284" t="str">
        <f>IFERROR(VLOOKUP(E442,Assign!$C$2:$J$142,8,FALSE),)</f>
        <v>문선영</v>
      </c>
      <c r="H442" s="372" t="s">
        <v>3868</v>
      </c>
      <c r="I442" s="445" t="s">
        <v>3859</v>
      </c>
      <c r="J442" s="446"/>
      <c r="K442" s="386">
        <v>130000000</v>
      </c>
      <c r="L442" s="387"/>
      <c r="M442" s="388">
        <f t="shared" si="19"/>
        <v>130000000</v>
      </c>
      <c r="N442" s="388"/>
      <c r="O442" s="388">
        <f t="shared" si="20"/>
        <v>130000000</v>
      </c>
      <c r="P442" s="390"/>
      <c r="Q442" s="386">
        <v>168000000</v>
      </c>
      <c r="R442" s="394">
        <v>0</v>
      </c>
      <c r="S442" s="447"/>
    </row>
    <row r="443" spans="2:19" ht="19.5" hidden="1" customHeight="1">
      <c r="B443" s="29">
        <f t="shared" si="18"/>
        <v>433</v>
      </c>
      <c r="C443" s="30" t="s">
        <v>202</v>
      </c>
      <c r="D443" s="30" t="s">
        <v>225</v>
      </c>
      <c r="E443" s="163" t="s">
        <v>1077</v>
      </c>
      <c r="F443" s="284" t="s">
        <v>1231</v>
      </c>
      <c r="G443" s="284">
        <f>IFERROR(VLOOKUP(E443,Assign!$C$2:$J$142,8,FALSE),)</f>
        <v>0</v>
      </c>
      <c r="H443" s="372" t="s">
        <v>3868</v>
      </c>
      <c r="I443" s="445" t="s">
        <v>3859</v>
      </c>
      <c r="J443" s="446"/>
      <c r="K443" s="386">
        <v>128916508</v>
      </c>
      <c r="L443" s="387"/>
      <c r="M443" s="388">
        <f t="shared" si="19"/>
        <v>128916508</v>
      </c>
      <c r="N443" s="388"/>
      <c r="O443" s="388">
        <f t="shared" si="20"/>
        <v>128916508</v>
      </c>
      <c r="P443" s="390"/>
      <c r="Q443" s="386">
        <v>156000000</v>
      </c>
      <c r="R443" s="394">
        <v>0</v>
      </c>
      <c r="S443" s="447"/>
    </row>
    <row r="444" spans="2:19" ht="19.5" hidden="1" customHeight="1">
      <c r="B444" s="29">
        <f t="shared" si="18"/>
        <v>434</v>
      </c>
      <c r="C444" s="30" t="s">
        <v>202</v>
      </c>
      <c r="D444" s="30" t="s">
        <v>225</v>
      </c>
      <c r="E444" s="163" t="s">
        <v>1078</v>
      </c>
      <c r="F444" s="284" t="s">
        <v>1217</v>
      </c>
      <c r="G444" s="284">
        <f>IFERROR(VLOOKUP(E444,Assign!$C$2:$J$142,8,FALSE),)</f>
        <v>0</v>
      </c>
      <c r="H444" s="372" t="s">
        <v>3868</v>
      </c>
      <c r="I444" s="445" t="s">
        <v>3859</v>
      </c>
      <c r="J444" s="446"/>
      <c r="K444" s="386">
        <v>128845540</v>
      </c>
      <c r="L444" s="387"/>
      <c r="M444" s="388">
        <f t="shared" si="19"/>
        <v>128845540</v>
      </c>
      <c r="N444" s="388"/>
      <c r="O444" s="388">
        <f t="shared" si="20"/>
        <v>128845540</v>
      </c>
      <c r="P444" s="390"/>
      <c r="Q444" s="386">
        <v>174300000</v>
      </c>
      <c r="R444" s="394">
        <v>0</v>
      </c>
      <c r="S444" s="447"/>
    </row>
    <row r="445" spans="2:19" ht="19.5" hidden="1" customHeight="1">
      <c r="B445" s="29">
        <f t="shared" si="18"/>
        <v>435</v>
      </c>
      <c r="C445" s="30" t="s">
        <v>202</v>
      </c>
      <c r="D445" s="30" t="s">
        <v>225</v>
      </c>
      <c r="E445" s="163" t="s">
        <v>1079</v>
      </c>
      <c r="F445" s="284" t="s">
        <v>1225</v>
      </c>
      <c r="G445" s="284">
        <f>IFERROR(VLOOKUP(E445,Assign!$C$2:$J$142,8,FALSE),)</f>
        <v>0</v>
      </c>
      <c r="H445" s="372" t="s">
        <v>3869</v>
      </c>
      <c r="I445" s="445" t="s">
        <v>3859</v>
      </c>
      <c r="J445" s="446"/>
      <c r="K445" s="386">
        <v>127726368</v>
      </c>
      <c r="L445" s="387"/>
      <c r="M445" s="388">
        <f t="shared" si="19"/>
        <v>127726368</v>
      </c>
      <c r="N445" s="388"/>
      <c r="O445" s="388">
        <f t="shared" si="20"/>
        <v>127726368</v>
      </c>
      <c r="P445" s="390"/>
      <c r="Q445" s="386">
        <v>140800000</v>
      </c>
      <c r="R445" s="394">
        <v>0</v>
      </c>
      <c r="S445" s="447"/>
    </row>
    <row r="446" spans="2:19" ht="19.5" customHeight="1">
      <c r="B446" s="29">
        <f t="shared" si="18"/>
        <v>436</v>
      </c>
      <c r="C446" s="30" t="s">
        <v>202</v>
      </c>
      <c r="D446" s="30" t="s">
        <v>225</v>
      </c>
      <c r="E446" s="489" t="s">
        <v>1080</v>
      </c>
      <c r="F446" s="284" t="s">
        <v>1232</v>
      </c>
      <c r="G446" s="284" t="str">
        <f>IFERROR(VLOOKUP(E446,Assign!$C$2:$J$142,8,FALSE),)</f>
        <v>문선영</v>
      </c>
      <c r="H446" s="372" t="s">
        <v>3869</v>
      </c>
      <c r="I446" s="445" t="s">
        <v>3859</v>
      </c>
      <c r="J446" s="446"/>
      <c r="K446" s="386">
        <v>124316347</v>
      </c>
      <c r="L446" s="387"/>
      <c r="M446" s="388">
        <f t="shared" si="19"/>
        <v>124316347</v>
      </c>
      <c r="N446" s="388"/>
      <c r="O446" s="388">
        <f t="shared" si="20"/>
        <v>124316347</v>
      </c>
      <c r="P446" s="390"/>
      <c r="Q446" s="386">
        <v>170400000</v>
      </c>
      <c r="R446" s="394">
        <v>0</v>
      </c>
      <c r="S446" s="447"/>
    </row>
    <row r="447" spans="2:19" ht="19.5" hidden="1" customHeight="1">
      <c r="B447" s="29">
        <f t="shared" si="18"/>
        <v>437</v>
      </c>
      <c r="C447" s="30" t="s">
        <v>202</v>
      </c>
      <c r="D447" s="30" t="s">
        <v>225</v>
      </c>
      <c r="E447" s="163" t="s">
        <v>1081</v>
      </c>
      <c r="F447" s="284" t="s">
        <v>1229</v>
      </c>
      <c r="G447" s="284">
        <f>IFERROR(VLOOKUP(E447,Assign!$C$2:$J$142,8,FALSE),)</f>
        <v>0</v>
      </c>
      <c r="H447" s="372" t="s">
        <v>3868</v>
      </c>
      <c r="I447" s="445" t="s">
        <v>3859</v>
      </c>
      <c r="J447" s="446"/>
      <c r="K447" s="386">
        <v>125416550</v>
      </c>
      <c r="L447" s="387"/>
      <c r="M447" s="388">
        <f t="shared" si="19"/>
        <v>125416550</v>
      </c>
      <c r="N447" s="388"/>
      <c r="O447" s="388">
        <f t="shared" si="20"/>
        <v>125416550</v>
      </c>
      <c r="P447" s="390"/>
      <c r="Q447" s="386">
        <v>194400000</v>
      </c>
      <c r="R447" s="394">
        <v>0</v>
      </c>
      <c r="S447" s="447"/>
    </row>
    <row r="448" spans="2:19" ht="19.5" hidden="1" customHeight="1">
      <c r="B448" s="29">
        <f t="shared" si="18"/>
        <v>438</v>
      </c>
      <c r="C448" s="30" t="s">
        <v>202</v>
      </c>
      <c r="D448" s="30" t="s">
        <v>225</v>
      </c>
      <c r="E448" s="163" t="s">
        <v>1082</v>
      </c>
      <c r="F448" s="284" t="s">
        <v>1260</v>
      </c>
      <c r="G448" s="284">
        <f>IFERROR(VLOOKUP(E448,Assign!$C$2:$J$142,8,FALSE),)</f>
        <v>0</v>
      </c>
      <c r="H448" s="372" t="s">
        <v>3869</v>
      </c>
      <c r="I448" s="445" t="s">
        <v>3859</v>
      </c>
      <c r="J448" s="446"/>
      <c r="K448" s="386">
        <v>124041514</v>
      </c>
      <c r="L448" s="387"/>
      <c r="M448" s="388">
        <f t="shared" si="19"/>
        <v>124041514</v>
      </c>
      <c r="N448" s="388"/>
      <c r="O448" s="388">
        <f t="shared" si="20"/>
        <v>124041514</v>
      </c>
      <c r="P448" s="390"/>
      <c r="Q448" s="386">
        <v>143000000</v>
      </c>
      <c r="R448" s="394">
        <v>0</v>
      </c>
      <c r="S448" s="447"/>
    </row>
    <row r="449" spans="2:19" ht="19.5" hidden="1" customHeight="1">
      <c r="B449" s="29">
        <f t="shared" si="18"/>
        <v>439</v>
      </c>
      <c r="C449" s="30" t="s">
        <v>202</v>
      </c>
      <c r="D449" s="30" t="s">
        <v>225</v>
      </c>
      <c r="E449" s="163" t="s">
        <v>1083</v>
      </c>
      <c r="F449" s="284" t="s">
        <v>1229</v>
      </c>
      <c r="G449" s="284">
        <f>IFERROR(VLOOKUP(E449,Assign!$C$2:$J$142,8,FALSE),)</f>
        <v>0</v>
      </c>
      <c r="H449" s="372" t="s">
        <v>3869</v>
      </c>
      <c r="I449" s="445" t="s">
        <v>3859</v>
      </c>
      <c r="J449" s="446"/>
      <c r="K449" s="386">
        <v>122950299</v>
      </c>
      <c r="L449" s="387"/>
      <c r="M449" s="388">
        <f t="shared" si="19"/>
        <v>122950299</v>
      </c>
      <c r="N449" s="388"/>
      <c r="O449" s="388">
        <f t="shared" si="20"/>
        <v>122950299</v>
      </c>
      <c r="P449" s="390"/>
      <c r="Q449" s="386">
        <v>168000000</v>
      </c>
      <c r="R449" s="394">
        <v>0</v>
      </c>
      <c r="S449" s="447"/>
    </row>
    <row r="450" spans="2:19" ht="19.5" hidden="1" customHeight="1">
      <c r="B450" s="29">
        <f t="shared" si="18"/>
        <v>440</v>
      </c>
      <c r="C450" s="30" t="s">
        <v>202</v>
      </c>
      <c r="D450" s="30" t="s">
        <v>225</v>
      </c>
      <c r="E450" s="163" t="s">
        <v>1084</v>
      </c>
      <c r="F450" s="284" t="s">
        <v>1217</v>
      </c>
      <c r="G450" s="284">
        <f>IFERROR(VLOOKUP(E450,Assign!$C$2:$J$142,8,FALSE),)</f>
        <v>0</v>
      </c>
      <c r="H450" s="372" t="s">
        <v>3868</v>
      </c>
      <c r="I450" s="445" t="s">
        <v>3859</v>
      </c>
      <c r="J450" s="446"/>
      <c r="K450" s="386">
        <v>122557231</v>
      </c>
      <c r="L450" s="387"/>
      <c r="M450" s="388">
        <f t="shared" si="19"/>
        <v>122557231</v>
      </c>
      <c r="N450" s="388"/>
      <c r="O450" s="388">
        <f t="shared" si="20"/>
        <v>122557231</v>
      </c>
      <c r="P450" s="390"/>
      <c r="Q450" s="386">
        <v>171600000</v>
      </c>
      <c r="R450" s="394">
        <v>0</v>
      </c>
      <c r="S450" s="447"/>
    </row>
    <row r="451" spans="2:19" ht="19.5" hidden="1" customHeight="1">
      <c r="B451" s="29">
        <f t="shared" si="18"/>
        <v>441</v>
      </c>
      <c r="C451" s="30" t="s">
        <v>202</v>
      </c>
      <c r="D451" s="30" t="s">
        <v>225</v>
      </c>
      <c r="E451" s="163" t="s">
        <v>1085</v>
      </c>
      <c r="F451" s="284" t="s">
        <v>1218</v>
      </c>
      <c r="G451" s="284">
        <f>IFERROR(VLOOKUP(E451,Assign!$C$2:$J$142,8,FALSE),)</f>
        <v>0</v>
      </c>
      <c r="H451" s="372" t="s">
        <v>3868</v>
      </c>
      <c r="I451" s="445" t="s">
        <v>3859</v>
      </c>
      <c r="J451" s="446"/>
      <c r="K451" s="386">
        <v>122529874</v>
      </c>
      <c r="L451" s="387"/>
      <c r="M451" s="388">
        <f t="shared" si="19"/>
        <v>122529874</v>
      </c>
      <c r="N451" s="388"/>
      <c r="O451" s="388">
        <f t="shared" si="20"/>
        <v>122529874</v>
      </c>
      <c r="P451" s="390"/>
      <c r="Q451" s="386">
        <v>180000000</v>
      </c>
      <c r="R451" s="394">
        <v>0</v>
      </c>
      <c r="S451" s="447"/>
    </row>
    <row r="452" spans="2:19" ht="19.5" hidden="1" customHeight="1">
      <c r="B452" s="29">
        <f t="shared" si="18"/>
        <v>442</v>
      </c>
      <c r="C452" s="30" t="s">
        <v>202</v>
      </c>
      <c r="D452" s="30" t="s">
        <v>225</v>
      </c>
      <c r="E452" s="163" t="s">
        <v>1086</v>
      </c>
      <c r="F452" s="284" t="s">
        <v>1221</v>
      </c>
      <c r="G452" s="284">
        <f>IFERROR(VLOOKUP(E452,Assign!$C$2:$J$142,8,FALSE),)</f>
        <v>0</v>
      </c>
      <c r="H452" s="372" t="s">
        <v>3869</v>
      </c>
      <c r="I452" s="445" t="s">
        <v>3859</v>
      </c>
      <c r="J452" s="446"/>
      <c r="K452" s="386">
        <v>122267871</v>
      </c>
      <c r="L452" s="387"/>
      <c r="M452" s="388">
        <f t="shared" si="19"/>
        <v>122267871</v>
      </c>
      <c r="N452" s="388"/>
      <c r="O452" s="388">
        <f t="shared" si="20"/>
        <v>122267871</v>
      </c>
      <c r="P452" s="390"/>
      <c r="Q452" s="386">
        <v>137170000</v>
      </c>
      <c r="R452" s="394">
        <v>0</v>
      </c>
      <c r="S452" s="447"/>
    </row>
    <row r="453" spans="2:19" ht="19.5" hidden="1" customHeight="1">
      <c r="B453" s="29">
        <f t="shared" si="18"/>
        <v>443</v>
      </c>
      <c r="C453" s="30" t="s">
        <v>202</v>
      </c>
      <c r="D453" s="30" t="s">
        <v>225</v>
      </c>
      <c r="E453" s="163" t="s">
        <v>1087</v>
      </c>
      <c r="F453" s="284" t="s">
        <v>1283</v>
      </c>
      <c r="G453" s="284">
        <f>IFERROR(VLOOKUP(E453,Assign!$C$2:$J$142,8,FALSE),)</f>
        <v>0</v>
      </c>
      <c r="H453" s="372" t="s">
        <v>3869</v>
      </c>
      <c r="I453" s="445" t="s">
        <v>3859</v>
      </c>
      <c r="J453" s="446"/>
      <c r="K453" s="386">
        <v>120491268</v>
      </c>
      <c r="L453" s="387"/>
      <c r="M453" s="388">
        <f t="shared" si="19"/>
        <v>120491268</v>
      </c>
      <c r="N453" s="388"/>
      <c r="O453" s="388">
        <f t="shared" si="20"/>
        <v>120491268</v>
      </c>
      <c r="P453" s="390"/>
      <c r="Q453" s="386">
        <v>134200000</v>
      </c>
      <c r="R453" s="394">
        <v>0</v>
      </c>
      <c r="S453" s="447"/>
    </row>
    <row r="454" spans="2:19" ht="19.5" hidden="1" customHeight="1">
      <c r="B454" s="29">
        <f t="shared" si="18"/>
        <v>444</v>
      </c>
      <c r="C454" s="30" t="s">
        <v>202</v>
      </c>
      <c r="D454" s="30" t="s">
        <v>225</v>
      </c>
      <c r="E454" s="163" t="s">
        <v>1088</v>
      </c>
      <c r="F454" s="284" t="s">
        <v>1266</v>
      </c>
      <c r="G454" s="284">
        <f>IFERROR(VLOOKUP(E454,Assign!$C$2:$J$142,8,FALSE),)</f>
        <v>0</v>
      </c>
      <c r="H454" s="372" t="s">
        <v>3869</v>
      </c>
      <c r="I454" s="445" t="s">
        <v>3859</v>
      </c>
      <c r="J454" s="446"/>
      <c r="K454" s="386">
        <v>118490797</v>
      </c>
      <c r="L454" s="387"/>
      <c r="M454" s="388">
        <f t="shared" si="19"/>
        <v>118490797</v>
      </c>
      <c r="N454" s="388"/>
      <c r="O454" s="388">
        <f t="shared" si="20"/>
        <v>118490797</v>
      </c>
      <c r="P454" s="390"/>
      <c r="Q454" s="386">
        <v>134200000</v>
      </c>
      <c r="R454" s="394">
        <v>0</v>
      </c>
      <c r="S454" s="447"/>
    </row>
    <row r="455" spans="2:19" ht="19.5" hidden="1" customHeight="1">
      <c r="B455" s="29">
        <f t="shared" si="18"/>
        <v>445</v>
      </c>
      <c r="C455" s="30" t="s">
        <v>202</v>
      </c>
      <c r="D455" s="30" t="s">
        <v>225</v>
      </c>
      <c r="E455" s="163" t="s">
        <v>1089</v>
      </c>
      <c r="F455" s="284" t="s">
        <v>1248</v>
      </c>
      <c r="G455" s="284">
        <f>IFERROR(VLOOKUP(E455,Assign!$C$2:$J$142,8,FALSE),)</f>
        <v>0</v>
      </c>
      <c r="H455" s="372" t="s">
        <v>3868</v>
      </c>
      <c r="I455" s="445" t="s">
        <v>3859</v>
      </c>
      <c r="J455" s="446"/>
      <c r="K455" s="386">
        <v>118461798</v>
      </c>
      <c r="L455" s="387"/>
      <c r="M455" s="388">
        <f t="shared" si="19"/>
        <v>118461798</v>
      </c>
      <c r="N455" s="388"/>
      <c r="O455" s="388">
        <f t="shared" si="20"/>
        <v>118461798</v>
      </c>
      <c r="P455" s="390"/>
      <c r="Q455" s="386">
        <v>143000000</v>
      </c>
      <c r="R455" s="394">
        <v>0</v>
      </c>
      <c r="S455" s="447"/>
    </row>
    <row r="456" spans="2:19" ht="19.5" customHeight="1">
      <c r="B456" s="29">
        <f t="shared" si="18"/>
        <v>446</v>
      </c>
      <c r="C456" s="30" t="s">
        <v>202</v>
      </c>
      <c r="D456" s="30" t="s">
        <v>225</v>
      </c>
      <c r="E456" s="489" t="s">
        <v>1090</v>
      </c>
      <c r="F456" s="284" t="s">
        <v>1229</v>
      </c>
      <c r="G456" s="284" t="str">
        <f>IFERROR(VLOOKUP(E456,Assign!$C$2:$J$142,8,FALSE),)</f>
        <v>문선영</v>
      </c>
      <c r="H456" s="372" t="s">
        <v>3869</v>
      </c>
      <c r="I456" s="445" t="s">
        <v>3859</v>
      </c>
      <c r="J456" s="446"/>
      <c r="K456" s="386">
        <v>116900000</v>
      </c>
      <c r="L456" s="387"/>
      <c r="M456" s="388">
        <f t="shared" si="19"/>
        <v>116900000</v>
      </c>
      <c r="N456" s="388"/>
      <c r="O456" s="388">
        <f t="shared" si="20"/>
        <v>116900000</v>
      </c>
      <c r="P456" s="390"/>
      <c r="Q456" s="386">
        <v>140280000</v>
      </c>
      <c r="R456" s="394">
        <v>0</v>
      </c>
      <c r="S456" s="447"/>
    </row>
    <row r="457" spans="2:19" ht="19.5" hidden="1" customHeight="1">
      <c r="B457" s="29">
        <f t="shared" si="18"/>
        <v>447</v>
      </c>
      <c r="C457" s="30" t="s">
        <v>202</v>
      </c>
      <c r="D457" s="30" t="s">
        <v>225</v>
      </c>
      <c r="E457" s="163" t="s">
        <v>1091</v>
      </c>
      <c r="F457" s="284" t="s">
        <v>1226</v>
      </c>
      <c r="G457" s="284">
        <f>IFERROR(VLOOKUP(E457,Assign!$C$2:$J$142,8,FALSE),)</f>
        <v>0</v>
      </c>
      <c r="H457" s="372" t="s">
        <v>3868</v>
      </c>
      <c r="I457" s="445" t="s">
        <v>3859</v>
      </c>
      <c r="J457" s="446"/>
      <c r="K457" s="386">
        <v>116021630</v>
      </c>
      <c r="L457" s="387"/>
      <c r="M457" s="388">
        <f t="shared" si="19"/>
        <v>116021630</v>
      </c>
      <c r="N457" s="388"/>
      <c r="O457" s="388">
        <f t="shared" si="20"/>
        <v>116021630</v>
      </c>
      <c r="P457" s="390"/>
      <c r="Q457" s="386">
        <v>130680000</v>
      </c>
      <c r="R457" s="394">
        <v>0</v>
      </c>
      <c r="S457" s="447"/>
    </row>
    <row r="458" spans="2:19" ht="19.5" customHeight="1">
      <c r="B458" s="29">
        <f t="shared" si="18"/>
        <v>448</v>
      </c>
      <c r="C458" s="30" t="s">
        <v>202</v>
      </c>
      <c r="D458" s="30" t="s">
        <v>225</v>
      </c>
      <c r="E458" s="489" t="s">
        <v>1092</v>
      </c>
      <c r="F458" s="284" t="s">
        <v>1229</v>
      </c>
      <c r="G458" s="284" t="str">
        <f>IFERROR(VLOOKUP(E458,Assign!$C$2:$J$142,8,FALSE),)</f>
        <v>문선영</v>
      </c>
      <c r="H458" s="372" t="s">
        <v>3868</v>
      </c>
      <c r="I458" s="445" t="s">
        <v>3859</v>
      </c>
      <c r="J458" s="446"/>
      <c r="K458" s="386">
        <v>114900000</v>
      </c>
      <c r="L458" s="387"/>
      <c r="M458" s="388">
        <f t="shared" si="19"/>
        <v>114900000</v>
      </c>
      <c r="N458" s="388"/>
      <c r="O458" s="388">
        <f t="shared" si="20"/>
        <v>114900000</v>
      </c>
      <c r="P458" s="390"/>
      <c r="Q458" s="386">
        <v>168000000</v>
      </c>
      <c r="R458" s="394">
        <v>0</v>
      </c>
      <c r="S458" s="447"/>
    </row>
    <row r="459" spans="2:19" ht="19.5" hidden="1" customHeight="1">
      <c r="B459" s="29">
        <f t="shared" ref="B459:B522" si="21">ROW()-10</f>
        <v>449</v>
      </c>
      <c r="C459" s="30" t="s">
        <v>202</v>
      </c>
      <c r="D459" s="30" t="s">
        <v>225</v>
      </c>
      <c r="E459" s="163" t="s">
        <v>1093</v>
      </c>
      <c r="F459" s="284" t="s">
        <v>1219</v>
      </c>
      <c r="G459" s="284">
        <f>IFERROR(VLOOKUP(E459,Assign!$C$2:$J$142,8,FALSE),)</f>
        <v>0</v>
      </c>
      <c r="H459" s="372" t="s">
        <v>3869</v>
      </c>
      <c r="I459" s="445" t="s">
        <v>3859</v>
      </c>
      <c r="J459" s="446"/>
      <c r="K459" s="386">
        <v>114554849</v>
      </c>
      <c r="L459" s="387"/>
      <c r="M459" s="388">
        <f t="shared" ref="M459:M522" si="22">SUM(K459:L459)</f>
        <v>114554849</v>
      </c>
      <c r="N459" s="388"/>
      <c r="O459" s="388">
        <f t="shared" ref="O459:O522" si="23">SUM(M459:N459)</f>
        <v>114554849</v>
      </c>
      <c r="P459" s="390"/>
      <c r="Q459" s="386">
        <v>130900000</v>
      </c>
      <c r="R459" s="394">
        <v>0</v>
      </c>
      <c r="S459" s="447"/>
    </row>
    <row r="460" spans="2:19" ht="19.5" hidden="1" customHeight="1">
      <c r="B460" s="29">
        <f t="shared" si="21"/>
        <v>450</v>
      </c>
      <c r="C460" s="30" t="s">
        <v>202</v>
      </c>
      <c r="D460" s="30" t="s">
        <v>225</v>
      </c>
      <c r="E460" s="163" t="s">
        <v>1094</v>
      </c>
      <c r="F460" s="284" t="s">
        <v>1219</v>
      </c>
      <c r="G460" s="284">
        <f>IFERROR(VLOOKUP(E460,Assign!$C$2:$J$142,8,FALSE),)</f>
        <v>0</v>
      </c>
      <c r="H460" s="372" t="s">
        <v>3869</v>
      </c>
      <c r="I460" s="445" t="s">
        <v>3859</v>
      </c>
      <c r="J460" s="446"/>
      <c r="K460" s="386">
        <v>113967946</v>
      </c>
      <c r="L460" s="387"/>
      <c r="M460" s="388">
        <f t="shared" si="22"/>
        <v>113967946</v>
      </c>
      <c r="N460" s="388"/>
      <c r="O460" s="388">
        <f t="shared" si="23"/>
        <v>113967946</v>
      </c>
      <c r="P460" s="390"/>
      <c r="Q460" s="386">
        <v>158400000</v>
      </c>
      <c r="R460" s="394">
        <v>0</v>
      </c>
      <c r="S460" s="447"/>
    </row>
    <row r="461" spans="2:19" ht="19.5" hidden="1" customHeight="1">
      <c r="B461" s="29">
        <f t="shared" si="21"/>
        <v>451</v>
      </c>
      <c r="C461" s="30" t="s">
        <v>202</v>
      </c>
      <c r="D461" s="30" t="s">
        <v>225</v>
      </c>
      <c r="E461" s="163" t="s">
        <v>1095</v>
      </c>
      <c r="F461" s="284" t="s">
        <v>1231</v>
      </c>
      <c r="G461" s="284">
        <f>IFERROR(VLOOKUP(E461,Assign!$C$2:$J$142,8,FALSE),)</f>
        <v>0</v>
      </c>
      <c r="H461" s="372" t="s">
        <v>3868</v>
      </c>
      <c r="I461" s="445" t="s">
        <v>3859</v>
      </c>
      <c r="J461" s="446"/>
      <c r="K461" s="386">
        <v>113082368</v>
      </c>
      <c r="L461" s="387"/>
      <c r="M461" s="388">
        <f t="shared" si="22"/>
        <v>113082368</v>
      </c>
      <c r="N461" s="388"/>
      <c r="O461" s="388">
        <f t="shared" si="23"/>
        <v>113082368</v>
      </c>
      <c r="P461" s="390"/>
      <c r="Q461" s="386">
        <v>146400000</v>
      </c>
      <c r="R461" s="394">
        <v>0</v>
      </c>
      <c r="S461" s="447"/>
    </row>
    <row r="462" spans="2:19" ht="19.5" customHeight="1">
      <c r="B462" s="29">
        <f t="shared" si="21"/>
        <v>452</v>
      </c>
      <c r="C462" s="30" t="s">
        <v>202</v>
      </c>
      <c r="D462" s="30" t="s">
        <v>225</v>
      </c>
      <c r="E462" s="489" t="s">
        <v>1096</v>
      </c>
      <c r="F462" s="284" t="s">
        <v>1229</v>
      </c>
      <c r="G462" s="284" t="str">
        <f>IFERROR(VLOOKUP(E462,Assign!$C$2:$J$142,8,FALSE),)</f>
        <v>문선영</v>
      </c>
      <c r="H462" s="372" t="s">
        <v>3869</v>
      </c>
      <c r="I462" s="445" t="s">
        <v>3859</v>
      </c>
      <c r="J462" s="446"/>
      <c r="K462" s="386">
        <v>112759537</v>
      </c>
      <c r="L462" s="387"/>
      <c r="M462" s="388">
        <f t="shared" si="22"/>
        <v>112759537</v>
      </c>
      <c r="N462" s="388"/>
      <c r="O462" s="388">
        <f t="shared" si="23"/>
        <v>112759537</v>
      </c>
      <c r="P462" s="390"/>
      <c r="Q462" s="386">
        <v>156000000</v>
      </c>
      <c r="R462" s="394">
        <v>0</v>
      </c>
      <c r="S462" s="447"/>
    </row>
    <row r="463" spans="2:19" ht="19.5" hidden="1" customHeight="1">
      <c r="B463" s="29">
        <f t="shared" si="21"/>
        <v>453</v>
      </c>
      <c r="C463" s="30" t="s">
        <v>202</v>
      </c>
      <c r="D463" s="30" t="s">
        <v>225</v>
      </c>
      <c r="E463" s="163" t="s">
        <v>1097</v>
      </c>
      <c r="F463" s="284" t="s">
        <v>1229</v>
      </c>
      <c r="G463" s="284">
        <f>IFERROR(VLOOKUP(E463,Assign!$C$2:$J$142,8,FALSE),)</f>
        <v>0</v>
      </c>
      <c r="H463" s="372" t="s">
        <v>3868</v>
      </c>
      <c r="I463" s="445" t="s">
        <v>3859</v>
      </c>
      <c r="J463" s="446"/>
      <c r="K463" s="386">
        <v>112000000</v>
      </c>
      <c r="L463" s="387"/>
      <c r="M463" s="388">
        <f t="shared" si="22"/>
        <v>112000000</v>
      </c>
      <c r="N463" s="388"/>
      <c r="O463" s="388">
        <f t="shared" si="23"/>
        <v>112000000</v>
      </c>
      <c r="P463" s="390"/>
      <c r="Q463" s="386">
        <v>156000000</v>
      </c>
      <c r="R463" s="394">
        <v>0</v>
      </c>
      <c r="S463" s="447"/>
    </row>
    <row r="464" spans="2:19" ht="19.5" hidden="1" customHeight="1">
      <c r="B464" s="29">
        <f t="shared" si="21"/>
        <v>454</v>
      </c>
      <c r="C464" s="30" t="s">
        <v>202</v>
      </c>
      <c r="D464" s="30" t="s">
        <v>225</v>
      </c>
      <c r="E464" s="163" t="s">
        <v>1098</v>
      </c>
      <c r="F464" s="284" t="s">
        <v>1271</v>
      </c>
      <c r="G464" s="284">
        <f>IFERROR(VLOOKUP(E464,Assign!$C$2:$J$142,8,FALSE),)</f>
        <v>0</v>
      </c>
      <c r="H464" s="372" t="s">
        <v>3869</v>
      </c>
      <c r="I464" s="445" t="s">
        <v>3859</v>
      </c>
      <c r="J464" s="446"/>
      <c r="K464" s="386">
        <v>110922084</v>
      </c>
      <c r="L464" s="387"/>
      <c r="M464" s="388">
        <f t="shared" si="22"/>
        <v>110922084</v>
      </c>
      <c r="N464" s="388"/>
      <c r="O464" s="388">
        <f t="shared" si="23"/>
        <v>110922084</v>
      </c>
      <c r="P464" s="390"/>
      <c r="Q464" s="386">
        <v>150000000</v>
      </c>
      <c r="R464" s="394">
        <v>0</v>
      </c>
      <c r="S464" s="447"/>
    </row>
    <row r="465" spans="2:19" ht="19.5" hidden="1" customHeight="1">
      <c r="B465" s="29">
        <f t="shared" si="21"/>
        <v>455</v>
      </c>
      <c r="C465" s="30" t="s">
        <v>202</v>
      </c>
      <c r="D465" s="30" t="s">
        <v>225</v>
      </c>
      <c r="E465" s="163" t="s">
        <v>1099</v>
      </c>
      <c r="F465" s="284" t="s">
        <v>1284</v>
      </c>
      <c r="G465" s="284">
        <f>IFERROR(VLOOKUP(E465,Assign!$C$2:$J$142,8,FALSE),)</f>
        <v>0</v>
      </c>
      <c r="H465" s="372" t="s">
        <v>3869</v>
      </c>
      <c r="I465" s="445" t="s">
        <v>3859</v>
      </c>
      <c r="J465" s="446"/>
      <c r="K465" s="386">
        <v>110389917</v>
      </c>
      <c r="L465" s="387"/>
      <c r="M465" s="388">
        <f t="shared" si="22"/>
        <v>110389917</v>
      </c>
      <c r="N465" s="388"/>
      <c r="O465" s="388">
        <f t="shared" si="23"/>
        <v>110389917</v>
      </c>
      <c r="P465" s="390"/>
      <c r="Q465" s="386">
        <v>159600000</v>
      </c>
      <c r="R465" s="394">
        <v>0</v>
      </c>
      <c r="S465" s="447"/>
    </row>
    <row r="466" spans="2:19" ht="19.5" customHeight="1">
      <c r="B466" s="29">
        <f t="shared" si="21"/>
        <v>456</v>
      </c>
      <c r="C466" s="30" t="s">
        <v>202</v>
      </c>
      <c r="D466" s="30" t="s">
        <v>225</v>
      </c>
      <c r="E466" s="489" t="s">
        <v>1100</v>
      </c>
      <c r="F466" s="284" t="s">
        <v>1246</v>
      </c>
      <c r="G466" s="284" t="str">
        <f>IFERROR(VLOOKUP(E466,Assign!$C$2:$J$142,8,FALSE),)</f>
        <v>문선영</v>
      </c>
      <c r="H466" s="372" t="s">
        <v>3868</v>
      </c>
      <c r="I466" s="445" t="s">
        <v>3859</v>
      </c>
      <c r="J466" s="446"/>
      <c r="K466" s="386">
        <v>110000000</v>
      </c>
      <c r="L466" s="387"/>
      <c r="M466" s="388">
        <f t="shared" si="22"/>
        <v>110000000</v>
      </c>
      <c r="N466" s="388"/>
      <c r="O466" s="388">
        <f t="shared" si="23"/>
        <v>110000000</v>
      </c>
      <c r="P466" s="390"/>
      <c r="Q466" s="386">
        <v>138000000</v>
      </c>
      <c r="R466" s="394">
        <v>0</v>
      </c>
      <c r="S466" s="447"/>
    </row>
    <row r="467" spans="2:19" ht="19.5" customHeight="1">
      <c r="B467" s="29">
        <f t="shared" si="21"/>
        <v>457</v>
      </c>
      <c r="C467" s="30" t="s">
        <v>202</v>
      </c>
      <c r="D467" s="30" t="s">
        <v>225</v>
      </c>
      <c r="E467" s="489" t="s">
        <v>1101</v>
      </c>
      <c r="F467" s="284" t="s">
        <v>1225</v>
      </c>
      <c r="G467" s="284" t="str">
        <f>IFERROR(VLOOKUP(E467,Assign!$C$2:$J$142,8,FALSE),)</f>
        <v>문선영</v>
      </c>
      <c r="H467" s="372" t="s">
        <v>3868</v>
      </c>
      <c r="I467" s="445" t="s">
        <v>3859</v>
      </c>
      <c r="J467" s="446"/>
      <c r="K467" s="386">
        <v>110000000</v>
      </c>
      <c r="L467" s="387"/>
      <c r="M467" s="388">
        <f t="shared" si="22"/>
        <v>110000000</v>
      </c>
      <c r="N467" s="388"/>
      <c r="O467" s="388">
        <f t="shared" si="23"/>
        <v>110000000</v>
      </c>
      <c r="P467" s="390"/>
      <c r="Q467" s="386">
        <v>132000000</v>
      </c>
      <c r="R467" s="394">
        <v>0</v>
      </c>
      <c r="S467" s="447"/>
    </row>
    <row r="468" spans="2:19" ht="19.5" hidden="1" customHeight="1">
      <c r="B468" s="29">
        <f t="shared" si="21"/>
        <v>458</v>
      </c>
      <c r="C468" s="30" t="s">
        <v>202</v>
      </c>
      <c r="D468" s="30" t="s">
        <v>225</v>
      </c>
      <c r="E468" s="163" t="s">
        <v>1102</v>
      </c>
      <c r="F468" s="284" t="s">
        <v>1229</v>
      </c>
      <c r="G468" s="284">
        <f>IFERROR(VLOOKUP(E468,Assign!$C$2:$J$142,8,FALSE),)</f>
        <v>0</v>
      </c>
      <c r="H468" s="372" t="s">
        <v>3868</v>
      </c>
      <c r="I468" s="445" t="s">
        <v>3859</v>
      </c>
      <c r="J468" s="446"/>
      <c r="K468" s="386">
        <v>108075985</v>
      </c>
      <c r="L468" s="387"/>
      <c r="M468" s="388">
        <f t="shared" si="22"/>
        <v>108075985</v>
      </c>
      <c r="N468" s="388"/>
      <c r="O468" s="388">
        <f t="shared" si="23"/>
        <v>108075985</v>
      </c>
      <c r="P468" s="390"/>
      <c r="Q468" s="386">
        <v>294000000</v>
      </c>
      <c r="R468" s="394">
        <v>0</v>
      </c>
      <c r="S468" s="447"/>
    </row>
    <row r="469" spans="2:19" ht="19.5" customHeight="1">
      <c r="B469" s="29">
        <f t="shared" si="21"/>
        <v>459</v>
      </c>
      <c r="C469" s="30" t="s">
        <v>202</v>
      </c>
      <c r="D469" s="30" t="s">
        <v>225</v>
      </c>
      <c r="E469" s="489" t="s">
        <v>1103</v>
      </c>
      <c r="F469" s="284" t="s">
        <v>1232</v>
      </c>
      <c r="G469" s="284" t="str">
        <f>IFERROR(VLOOKUP(E469,Assign!$C$2:$J$142,8,FALSE),)</f>
        <v>문선영</v>
      </c>
      <c r="H469" s="372" t="s">
        <v>3868</v>
      </c>
      <c r="I469" s="445" t="s">
        <v>3859</v>
      </c>
      <c r="J469" s="446"/>
      <c r="K469" s="386">
        <v>107000000</v>
      </c>
      <c r="L469" s="387"/>
      <c r="M469" s="388">
        <f t="shared" si="22"/>
        <v>107000000</v>
      </c>
      <c r="N469" s="388"/>
      <c r="O469" s="388">
        <f t="shared" si="23"/>
        <v>107000000</v>
      </c>
      <c r="P469" s="390"/>
      <c r="Q469" s="386">
        <v>132000000</v>
      </c>
      <c r="R469" s="394">
        <v>0</v>
      </c>
      <c r="S469" s="447"/>
    </row>
    <row r="470" spans="2:19" ht="19.5" hidden="1" customHeight="1">
      <c r="B470" s="29">
        <f t="shared" si="21"/>
        <v>460</v>
      </c>
      <c r="C470" s="30" t="s">
        <v>202</v>
      </c>
      <c r="D470" s="30" t="s">
        <v>225</v>
      </c>
      <c r="E470" s="163" t="s">
        <v>1104</v>
      </c>
      <c r="F470" s="284" t="s">
        <v>1285</v>
      </c>
      <c r="G470" s="284">
        <f>IFERROR(VLOOKUP(E470,Assign!$C$2:$J$142,8,FALSE),)</f>
        <v>0</v>
      </c>
      <c r="H470" s="372" t="s">
        <v>3869</v>
      </c>
      <c r="I470" s="445" t="s">
        <v>3859</v>
      </c>
      <c r="J470" s="446"/>
      <c r="K470" s="386">
        <v>105968191</v>
      </c>
      <c r="L470" s="387"/>
      <c r="M470" s="388">
        <f t="shared" si="22"/>
        <v>105968191</v>
      </c>
      <c r="N470" s="388"/>
      <c r="O470" s="388">
        <f t="shared" si="23"/>
        <v>105968191</v>
      </c>
      <c r="P470" s="390"/>
      <c r="Q470" s="386">
        <v>136800000</v>
      </c>
      <c r="R470" s="394">
        <v>0</v>
      </c>
      <c r="S470" s="447"/>
    </row>
    <row r="471" spans="2:19" ht="19.5" hidden="1" customHeight="1">
      <c r="B471" s="29">
        <f t="shared" si="21"/>
        <v>461</v>
      </c>
      <c r="C471" s="30" t="s">
        <v>202</v>
      </c>
      <c r="D471" s="30" t="s">
        <v>225</v>
      </c>
      <c r="E471" s="163" t="s">
        <v>1105</v>
      </c>
      <c r="F471" s="284" t="s">
        <v>1219</v>
      </c>
      <c r="G471" s="284">
        <f>IFERROR(VLOOKUP(E471,Assign!$C$2:$J$142,8,FALSE),)</f>
        <v>0</v>
      </c>
      <c r="H471" s="372" t="s">
        <v>3869</v>
      </c>
      <c r="I471" s="445" t="s">
        <v>3859</v>
      </c>
      <c r="J471" s="446"/>
      <c r="K471" s="386">
        <v>102956778</v>
      </c>
      <c r="L471" s="387"/>
      <c r="M471" s="388">
        <f t="shared" si="22"/>
        <v>102956778</v>
      </c>
      <c r="N471" s="388"/>
      <c r="O471" s="388">
        <f t="shared" si="23"/>
        <v>102956778</v>
      </c>
      <c r="P471" s="390"/>
      <c r="Q471" s="386">
        <v>147600000</v>
      </c>
      <c r="R471" s="394">
        <v>0</v>
      </c>
      <c r="S471" s="447"/>
    </row>
    <row r="472" spans="2:19" ht="19.5" customHeight="1">
      <c r="B472" s="29">
        <f t="shared" si="21"/>
        <v>462</v>
      </c>
      <c r="C472" s="30" t="s">
        <v>202</v>
      </c>
      <c r="D472" s="30" t="s">
        <v>225</v>
      </c>
      <c r="E472" s="489" t="s">
        <v>1106</v>
      </c>
      <c r="F472" s="284" t="s">
        <v>1226</v>
      </c>
      <c r="G472" s="284" t="str">
        <f>IFERROR(VLOOKUP(E472,Assign!$C$2:$J$142,8,FALSE),)</f>
        <v>문선영</v>
      </c>
      <c r="H472" s="372" t="s">
        <v>3869</v>
      </c>
      <c r="I472" s="445" t="s">
        <v>3859</v>
      </c>
      <c r="J472" s="446"/>
      <c r="K472" s="386">
        <v>102563249</v>
      </c>
      <c r="L472" s="387"/>
      <c r="M472" s="388">
        <f t="shared" si="22"/>
        <v>102563249</v>
      </c>
      <c r="N472" s="388"/>
      <c r="O472" s="388">
        <f t="shared" si="23"/>
        <v>102563249</v>
      </c>
      <c r="P472" s="390"/>
      <c r="Q472" s="386">
        <v>144000000</v>
      </c>
      <c r="R472" s="394">
        <v>0</v>
      </c>
      <c r="S472" s="447"/>
    </row>
    <row r="473" spans="2:19" ht="19.5" hidden="1" customHeight="1">
      <c r="B473" s="29">
        <f t="shared" si="21"/>
        <v>463</v>
      </c>
      <c r="C473" s="30" t="s">
        <v>202</v>
      </c>
      <c r="D473" s="30" t="s">
        <v>225</v>
      </c>
      <c r="E473" s="163" t="s">
        <v>1107</v>
      </c>
      <c r="F473" s="284" t="s">
        <v>1225</v>
      </c>
      <c r="G473" s="284">
        <f>IFERROR(VLOOKUP(E473,Assign!$C$2:$J$142,8,FALSE),)</f>
        <v>0</v>
      </c>
      <c r="H473" s="372" t="s">
        <v>3868</v>
      </c>
      <c r="I473" s="445" t="s">
        <v>3859</v>
      </c>
      <c r="J473" s="446"/>
      <c r="K473" s="386">
        <v>100000000</v>
      </c>
      <c r="L473" s="387"/>
      <c r="M473" s="388">
        <f t="shared" si="22"/>
        <v>100000000</v>
      </c>
      <c r="N473" s="388"/>
      <c r="O473" s="388">
        <f t="shared" si="23"/>
        <v>100000000</v>
      </c>
      <c r="P473" s="390"/>
      <c r="Q473" s="386">
        <v>120000000</v>
      </c>
      <c r="R473" s="394">
        <v>0</v>
      </c>
      <c r="S473" s="447"/>
    </row>
    <row r="474" spans="2:19" ht="19.5" hidden="1" customHeight="1">
      <c r="B474" s="29">
        <f t="shared" si="21"/>
        <v>464</v>
      </c>
      <c r="C474" s="30" t="s">
        <v>202</v>
      </c>
      <c r="D474" s="30" t="s">
        <v>225</v>
      </c>
      <c r="E474" s="163" t="s">
        <v>1108</v>
      </c>
      <c r="F474" s="284" t="s">
        <v>1263</v>
      </c>
      <c r="G474" s="284">
        <f>IFERROR(VLOOKUP(E474,Assign!$C$2:$J$142,8,FALSE),)</f>
        <v>0</v>
      </c>
      <c r="H474" s="372" t="s">
        <v>3869</v>
      </c>
      <c r="I474" s="445" t="s">
        <v>3859</v>
      </c>
      <c r="J474" s="446"/>
      <c r="K474" s="386">
        <v>100000000</v>
      </c>
      <c r="L474" s="387"/>
      <c r="M474" s="388">
        <f t="shared" si="22"/>
        <v>100000000</v>
      </c>
      <c r="N474" s="388"/>
      <c r="O474" s="388">
        <f t="shared" si="23"/>
        <v>100000000</v>
      </c>
      <c r="P474" s="390"/>
      <c r="Q474" s="386">
        <v>120000000</v>
      </c>
      <c r="R474" s="394">
        <v>0</v>
      </c>
      <c r="S474" s="447"/>
    </row>
    <row r="475" spans="2:19" ht="19.5" hidden="1" customHeight="1">
      <c r="B475" s="29">
        <f t="shared" si="21"/>
        <v>465</v>
      </c>
      <c r="C475" s="30" t="s">
        <v>202</v>
      </c>
      <c r="D475" s="30" t="s">
        <v>225</v>
      </c>
      <c r="E475" s="163" t="s">
        <v>1109</v>
      </c>
      <c r="F475" s="284" t="s">
        <v>1249</v>
      </c>
      <c r="G475" s="284">
        <f>IFERROR(VLOOKUP(E475,Assign!$C$2:$J$142,8,FALSE),)</f>
        <v>0</v>
      </c>
      <c r="H475" s="372" t="s">
        <v>3868</v>
      </c>
      <c r="I475" s="445" t="s">
        <v>3859</v>
      </c>
      <c r="J475" s="446"/>
      <c r="K475" s="386">
        <v>100000000</v>
      </c>
      <c r="L475" s="387"/>
      <c r="M475" s="388">
        <f t="shared" si="22"/>
        <v>100000000</v>
      </c>
      <c r="N475" s="388"/>
      <c r="O475" s="388">
        <f t="shared" si="23"/>
        <v>100000000</v>
      </c>
      <c r="P475" s="390"/>
      <c r="Q475" s="386">
        <v>120000000</v>
      </c>
      <c r="R475" s="394">
        <v>0</v>
      </c>
      <c r="S475" s="447"/>
    </row>
    <row r="476" spans="2:19" ht="19.5" customHeight="1">
      <c r="B476" s="29">
        <f t="shared" si="21"/>
        <v>466</v>
      </c>
      <c r="C476" s="30" t="s">
        <v>202</v>
      </c>
      <c r="D476" s="30" t="s">
        <v>225</v>
      </c>
      <c r="E476" s="489" t="s">
        <v>1110</v>
      </c>
      <c r="F476" s="284" t="s">
        <v>1249</v>
      </c>
      <c r="G476" s="284" t="str">
        <f>IFERROR(VLOOKUP(E476,Assign!$C$2:$J$142,8,FALSE),)</f>
        <v>문선영</v>
      </c>
      <c r="H476" s="372" t="s">
        <v>3868</v>
      </c>
      <c r="I476" s="445" t="s">
        <v>3859</v>
      </c>
      <c r="J476" s="446"/>
      <c r="K476" s="386">
        <v>100000000</v>
      </c>
      <c r="L476" s="387"/>
      <c r="M476" s="388">
        <f t="shared" si="22"/>
        <v>100000000</v>
      </c>
      <c r="N476" s="388"/>
      <c r="O476" s="388">
        <f t="shared" si="23"/>
        <v>100000000</v>
      </c>
      <c r="P476" s="390"/>
      <c r="Q476" s="386">
        <v>120000000</v>
      </c>
      <c r="R476" s="394">
        <v>0</v>
      </c>
      <c r="S476" s="447"/>
    </row>
    <row r="477" spans="2:19" ht="19.5" hidden="1" customHeight="1">
      <c r="B477" s="29">
        <f t="shared" si="21"/>
        <v>467</v>
      </c>
      <c r="C477" s="30" t="s">
        <v>202</v>
      </c>
      <c r="D477" s="30" t="s">
        <v>225</v>
      </c>
      <c r="E477" s="163" t="s">
        <v>1111</v>
      </c>
      <c r="F477" s="284" t="s">
        <v>1235</v>
      </c>
      <c r="G477" s="284">
        <f>IFERROR(VLOOKUP(E477,Assign!$C$2:$J$142,8,FALSE),)</f>
        <v>0</v>
      </c>
      <c r="H477" s="372" t="s">
        <v>3868</v>
      </c>
      <c r="I477" s="445" t="s">
        <v>3859</v>
      </c>
      <c r="J477" s="446"/>
      <c r="K477" s="386">
        <v>100000000</v>
      </c>
      <c r="L477" s="387"/>
      <c r="M477" s="388">
        <f t="shared" si="22"/>
        <v>100000000</v>
      </c>
      <c r="N477" s="388"/>
      <c r="O477" s="388">
        <f t="shared" si="23"/>
        <v>100000000</v>
      </c>
      <c r="P477" s="390"/>
      <c r="Q477" s="386">
        <v>120000000</v>
      </c>
      <c r="R477" s="394">
        <v>288200000</v>
      </c>
      <c r="S477" s="447"/>
    </row>
    <row r="478" spans="2:19" ht="19.5" hidden="1" customHeight="1">
      <c r="B478" s="29">
        <f t="shared" si="21"/>
        <v>468</v>
      </c>
      <c r="C478" s="30" t="s">
        <v>202</v>
      </c>
      <c r="D478" s="30" t="s">
        <v>225</v>
      </c>
      <c r="E478" s="163" t="s">
        <v>1112</v>
      </c>
      <c r="F478" s="284" t="s">
        <v>1266</v>
      </c>
      <c r="G478" s="284">
        <f>IFERROR(VLOOKUP(E478,Assign!$C$2:$J$142,8,FALSE),)</f>
        <v>0</v>
      </c>
      <c r="H478" s="372" t="s">
        <v>3868</v>
      </c>
      <c r="I478" s="445" t="s">
        <v>3859</v>
      </c>
      <c r="J478" s="446"/>
      <c r="K478" s="386">
        <v>99668344</v>
      </c>
      <c r="L478" s="387"/>
      <c r="M478" s="388">
        <f t="shared" si="22"/>
        <v>99668344</v>
      </c>
      <c r="N478" s="388"/>
      <c r="O478" s="388">
        <f t="shared" si="23"/>
        <v>99668344</v>
      </c>
      <c r="P478" s="390"/>
      <c r="Q478" s="386">
        <v>123600000</v>
      </c>
      <c r="R478" s="394">
        <v>176000000</v>
      </c>
      <c r="S478" s="447"/>
    </row>
    <row r="479" spans="2:19" ht="19.5" hidden="1" customHeight="1">
      <c r="B479" s="29">
        <f t="shared" si="21"/>
        <v>469</v>
      </c>
      <c r="C479" s="30" t="s">
        <v>202</v>
      </c>
      <c r="D479" s="30" t="s">
        <v>225</v>
      </c>
      <c r="E479" s="163" t="s">
        <v>1113</v>
      </c>
      <c r="F479" s="284" t="s">
        <v>1286</v>
      </c>
      <c r="G479" s="284">
        <f>IFERROR(VLOOKUP(E479,Assign!$C$2:$J$142,8,FALSE),)</f>
        <v>0</v>
      </c>
      <c r="H479" s="372" t="s">
        <v>3869</v>
      </c>
      <c r="I479" s="445" t="s">
        <v>3859</v>
      </c>
      <c r="J479" s="446"/>
      <c r="K479" s="386">
        <v>97797005</v>
      </c>
      <c r="L479" s="387"/>
      <c r="M479" s="388">
        <f t="shared" si="22"/>
        <v>97797005</v>
      </c>
      <c r="N479" s="388"/>
      <c r="O479" s="388">
        <f t="shared" si="23"/>
        <v>97797005</v>
      </c>
      <c r="P479" s="390"/>
      <c r="Q479" s="386">
        <v>151200000</v>
      </c>
      <c r="R479" s="394">
        <v>0</v>
      </c>
      <c r="S479" s="447"/>
    </row>
    <row r="480" spans="2:19" ht="19.5" hidden="1" customHeight="1">
      <c r="B480" s="29">
        <f t="shared" si="21"/>
        <v>470</v>
      </c>
      <c r="C480" s="30" t="s">
        <v>202</v>
      </c>
      <c r="D480" s="30" t="s">
        <v>225</v>
      </c>
      <c r="E480" s="163" t="s">
        <v>1114</v>
      </c>
      <c r="F480" s="284" t="s">
        <v>1221</v>
      </c>
      <c r="G480" s="284">
        <f>IFERROR(VLOOKUP(E480,Assign!$C$2:$J$142,8,FALSE),)</f>
        <v>0</v>
      </c>
      <c r="H480" s="372" t="s">
        <v>3869</v>
      </c>
      <c r="I480" s="445" t="s">
        <v>3859</v>
      </c>
      <c r="J480" s="446"/>
      <c r="K480" s="386">
        <v>96638668</v>
      </c>
      <c r="L480" s="387"/>
      <c r="M480" s="388">
        <f t="shared" si="22"/>
        <v>96638668</v>
      </c>
      <c r="N480" s="388"/>
      <c r="O480" s="388">
        <f t="shared" si="23"/>
        <v>96638668</v>
      </c>
      <c r="P480" s="390"/>
      <c r="Q480" s="386">
        <v>131000000</v>
      </c>
      <c r="R480" s="394">
        <v>0</v>
      </c>
      <c r="S480" s="447"/>
    </row>
    <row r="481" spans="2:19" ht="19.5" hidden="1" customHeight="1">
      <c r="B481" s="29">
        <f t="shared" si="21"/>
        <v>471</v>
      </c>
      <c r="C481" s="30" t="s">
        <v>202</v>
      </c>
      <c r="D481" s="30" t="s">
        <v>225</v>
      </c>
      <c r="E481" s="163" t="s">
        <v>1115</v>
      </c>
      <c r="F481" s="284" t="s">
        <v>1279</v>
      </c>
      <c r="G481" s="284">
        <f>IFERROR(VLOOKUP(E481,Assign!$C$2:$J$142,8,FALSE),)</f>
        <v>0</v>
      </c>
      <c r="H481" s="372" t="s">
        <v>3869</v>
      </c>
      <c r="I481" s="445" t="s">
        <v>3859</v>
      </c>
      <c r="J481" s="446"/>
      <c r="K481" s="386">
        <v>96090676</v>
      </c>
      <c r="L481" s="387"/>
      <c r="M481" s="388">
        <f t="shared" si="22"/>
        <v>96090676</v>
      </c>
      <c r="N481" s="388"/>
      <c r="O481" s="388">
        <f t="shared" si="23"/>
        <v>96090676</v>
      </c>
      <c r="P481" s="390"/>
      <c r="Q481" s="386">
        <v>145500000</v>
      </c>
      <c r="R481" s="394">
        <v>0</v>
      </c>
      <c r="S481" s="447"/>
    </row>
    <row r="482" spans="2:19" ht="19.5" hidden="1" customHeight="1">
      <c r="B482" s="29">
        <f t="shared" si="21"/>
        <v>472</v>
      </c>
      <c r="C482" s="30" t="s">
        <v>202</v>
      </c>
      <c r="D482" s="30" t="s">
        <v>225</v>
      </c>
      <c r="E482" s="163" t="s">
        <v>1116</v>
      </c>
      <c r="F482" s="284" t="s">
        <v>1221</v>
      </c>
      <c r="G482" s="284">
        <f>IFERROR(VLOOKUP(E482,Assign!$C$2:$J$142,8,FALSE),)</f>
        <v>0</v>
      </c>
      <c r="H482" s="372" t="s">
        <v>3869</v>
      </c>
      <c r="I482" s="445" t="s">
        <v>3859</v>
      </c>
      <c r="J482" s="446"/>
      <c r="K482" s="386">
        <v>95899044</v>
      </c>
      <c r="L482" s="387"/>
      <c r="M482" s="388">
        <f t="shared" si="22"/>
        <v>95899044</v>
      </c>
      <c r="N482" s="388"/>
      <c r="O482" s="388">
        <f t="shared" si="23"/>
        <v>95899044</v>
      </c>
      <c r="P482" s="390"/>
      <c r="Q482" s="386">
        <v>144000000</v>
      </c>
      <c r="R482" s="394">
        <v>0</v>
      </c>
      <c r="S482" s="447"/>
    </row>
    <row r="483" spans="2:19" ht="19.5" customHeight="1">
      <c r="B483" s="29">
        <f t="shared" si="21"/>
        <v>473</v>
      </c>
      <c r="C483" s="30" t="s">
        <v>202</v>
      </c>
      <c r="D483" s="30" t="s">
        <v>225</v>
      </c>
      <c r="E483" s="489" t="s">
        <v>1117</v>
      </c>
      <c r="F483" s="284" t="s">
        <v>1225</v>
      </c>
      <c r="G483" s="284" t="str">
        <f>IFERROR(VLOOKUP(E483,Assign!$C$2:$J$142,8,FALSE),)</f>
        <v>문선영</v>
      </c>
      <c r="H483" s="372" t="s">
        <v>3869</v>
      </c>
      <c r="I483" s="445" t="s">
        <v>3859</v>
      </c>
      <c r="J483" s="446"/>
      <c r="K483" s="386">
        <v>95624847</v>
      </c>
      <c r="L483" s="387"/>
      <c r="M483" s="388">
        <f t="shared" si="22"/>
        <v>95624847</v>
      </c>
      <c r="N483" s="388"/>
      <c r="O483" s="388">
        <f t="shared" si="23"/>
        <v>95624847</v>
      </c>
      <c r="P483" s="390"/>
      <c r="Q483" s="386">
        <v>110000000</v>
      </c>
      <c r="R483" s="394">
        <v>0</v>
      </c>
      <c r="S483" s="447"/>
    </row>
    <row r="484" spans="2:19" ht="19.5" hidden="1" customHeight="1">
      <c r="B484" s="29">
        <f t="shared" si="21"/>
        <v>474</v>
      </c>
      <c r="C484" s="30" t="s">
        <v>202</v>
      </c>
      <c r="D484" s="30" t="s">
        <v>225</v>
      </c>
      <c r="E484" s="163" t="s">
        <v>1118</v>
      </c>
      <c r="F484" s="284" t="s">
        <v>1229</v>
      </c>
      <c r="G484" s="284">
        <f>IFERROR(VLOOKUP(E484,Assign!$C$2:$J$142,8,FALSE),)</f>
        <v>0</v>
      </c>
      <c r="H484" s="372" t="s">
        <v>3868</v>
      </c>
      <c r="I484" s="445" t="s">
        <v>3859</v>
      </c>
      <c r="J484" s="446"/>
      <c r="K484" s="386">
        <v>94000000</v>
      </c>
      <c r="L484" s="387"/>
      <c r="M484" s="388">
        <f t="shared" si="22"/>
        <v>94000000</v>
      </c>
      <c r="N484" s="388"/>
      <c r="O484" s="388">
        <f t="shared" si="23"/>
        <v>94000000</v>
      </c>
      <c r="P484" s="390"/>
      <c r="Q484" s="386">
        <v>112800000</v>
      </c>
      <c r="R484" s="394">
        <v>0</v>
      </c>
      <c r="S484" s="447"/>
    </row>
    <row r="485" spans="2:19" ht="19.5" hidden="1" customHeight="1">
      <c r="B485" s="29">
        <f t="shared" si="21"/>
        <v>475</v>
      </c>
      <c r="C485" s="30" t="s">
        <v>202</v>
      </c>
      <c r="D485" s="30" t="s">
        <v>225</v>
      </c>
      <c r="E485" s="163" t="s">
        <v>1119</v>
      </c>
      <c r="F485" s="284" t="s">
        <v>1224</v>
      </c>
      <c r="G485" s="284">
        <f>IFERROR(VLOOKUP(E485,Assign!$C$2:$J$142,8,FALSE),)</f>
        <v>0</v>
      </c>
      <c r="H485" s="372" t="s">
        <v>3869</v>
      </c>
      <c r="I485" s="445" t="s">
        <v>3859</v>
      </c>
      <c r="J485" s="446"/>
      <c r="K485" s="386">
        <v>93935570</v>
      </c>
      <c r="L485" s="387"/>
      <c r="M485" s="388">
        <f t="shared" si="22"/>
        <v>93935570</v>
      </c>
      <c r="N485" s="388"/>
      <c r="O485" s="388">
        <f t="shared" si="23"/>
        <v>93935570</v>
      </c>
      <c r="P485" s="390"/>
      <c r="Q485" s="386">
        <v>130800000</v>
      </c>
      <c r="R485" s="394">
        <v>0</v>
      </c>
      <c r="S485" s="447"/>
    </row>
    <row r="486" spans="2:19" ht="19.5" hidden="1" customHeight="1">
      <c r="B486" s="29">
        <f t="shared" si="21"/>
        <v>476</v>
      </c>
      <c r="C486" s="30" t="s">
        <v>202</v>
      </c>
      <c r="D486" s="30" t="s">
        <v>225</v>
      </c>
      <c r="E486" s="163" t="s">
        <v>1120</v>
      </c>
      <c r="F486" s="284" t="s">
        <v>1229</v>
      </c>
      <c r="G486" s="284">
        <f>IFERROR(VLOOKUP(E486,Assign!$C$2:$J$142,8,FALSE),)</f>
        <v>0</v>
      </c>
      <c r="H486" s="372" t="s">
        <v>3868</v>
      </c>
      <c r="I486" s="445" t="s">
        <v>3859</v>
      </c>
      <c r="J486" s="446"/>
      <c r="K486" s="386">
        <v>93000000</v>
      </c>
      <c r="L486" s="387"/>
      <c r="M486" s="388">
        <f t="shared" si="22"/>
        <v>93000000</v>
      </c>
      <c r="N486" s="388"/>
      <c r="O486" s="388">
        <f t="shared" si="23"/>
        <v>93000000</v>
      </c>
      <c r="P486" s="390"/>
      <c r="Q486" s="386">
        <v>111600000</v>
      </c>
      <c r="R486" s="394">
        <v>0</v>
      </c>
      <c r="S486" s="447"/>
    </row>
    <row r="487" spans="2:19" ht="19.5" hidden="1" customHeight="1">
      <c r="B487" s="29">
        <f t="shared" si="21"/>
        <v>477</v>
      </c>
      <c r="C487" s="30" t="s">
        <v>202</v>
      </c>
      <c r="D487" s="30" t="s">
        <v>225</v>
      </c>
      <c r="E487" s="163" t="s">
        <v>1121</v>
      </c>
      <c r="F487" s="284" t="s">
        <v>1218</v>
      </c>
      <c r="G487" s="284">
        <f>IFERROR(VLOOKUP(E487,Assign!$C$2:$J$142,8,FALSE),)</f>
        <v>0</v>
      </c>
      <c r="H487" s="372" t="s">
        <v>3868</v>
      </c>
      <c r="I487" s="445" t="s">
        <v>3859</v>
      </c>
      <c r="J487" s="446"/>
      <c r="K487" s="386">
        <v>91299834</v>
      </c>
      <c r="L487" s="387"/>
      <c r="M487" s="388">
        <f t="shared" si="22"/>
        <v>91299834</v>
      </c>
      <c r="N487" s="388"/>
      <c r="O487" s="388">
        <f t="shared" si="23"/>
        <v>91299834</v>
      </c>
      <c r="P487" s="390"/>
      <c r="Q487" s="386">
        <v>104500000</v>
      </c>
      <c r="R487" s="394">
        <v>0</v>
      </c>
      <c r="S487" s="447"/>
    </row>
    <row r="488" spans="2:19" ht="19.5" hidden="1" customHeight="1">
      <c r="B488" s="29">
        <f t="shared" si="21"/>
        <v>478</v>
      </c>
      <c r="C488" s="30" t="s">
        <v>202</v>
      </c>
      <c r="D488" s="30" t="s">
        <v>225</v>
      </c>
      <c r="E488" s="163" t="s">
        <v>1122</v>
      </c>
      <c r="F488" s="284" t="s">
        <v>1225</v>
      </c>
      <c r="G488" s="284">
        <f>IFERROR(VLOOKUP(E488,Assign!$C$2:$J$142,8,FALSE),)</f>
        <v>0</v>
      </c>
      <c r="H488" s="372" t="s">
        <v>3869</v>
      </c>
      <c r="I488" s="445" t="s">
        <v>3859</v>
      </c>
      <c r="J488" s="446"/>
      <c r="K488" s="386">
        <v>90000000</v>
      </c>
      <c r="L488" s="387"/>
      <c r="M488" s="388">
        <f t="shared" si="22"/>
        <v>90000000</v>
      </c>
      <c r="N488" s="388"/>
      <c r="O488" s="388">
        <f t="shared" si="23"/>
        <v>90000000</v>
      </c>
      <c r="P488" s="390"/>
      <c r="Q488" s="386">
        <v>108000000</v>
      </c>
      <c r="R488" s="394">
        <v>0</v>
      </c>
      <c r="S488" s="447"/>
    </row>
    <row r="489" spans="2:19" ht="19.5" hidden="1" customHeight="1">
      <c r="B489" s="29">
        <f t="shared" si="21"/>
        <v>479</v>
      </c>
      <c r="C489" s="30" t="s">
        <v>202</v>
      </c>
      <c r="D489" s="30" t="s">
        <v>225</v>
      </c>
      <c r="E489" s="163" t="s">
        <v>1123</v>
      </c>
      <c r="F489" s="284" t="s">
        <v>1225</v>
      </c>
      <c r="G489" s="284">
        <f>IFERROR(VLOOKUP(E489,Assign!$C$2:$J$142,8,FALSE),)</f>
        <v>0</v>
      </c>
      <c r="H489" s="372" t="s">
        <v>3869</v>
      </c>
      <c r="I489" s="445" t="s">
        <v>3859</v>
      </c>
      <c r="J489" s="446"/>
      <c r="K489" s="386">
        <v>89721971</v>
      </c>
      <c r="L489" s="387"/>
      <c r="M489" s="388">
        <f t="shared" si="22"/>
        <v>89721971</v>
      </c>
      <c r="N489" s="388"/>
      <c r="O489" s="388">
        <f t="shared" si="23"/>
        <v>89721971</v>
      </c>
      <c r="P489" s="390"/>
      <c r="Q489" s="386">
        <v>120000000</v>
      </c>
      <c r="R489" s="394">
        <v>58000000</v>
      </c>
      <c r="S489" s="447"/>
    </row>
    <row r="490" spans="2:19" ht="19.5" hidden="1" customHeight="1">
      <c r="B490" s="29">
        <f t="shared" si="21"/>
        <v>480</v>
      </c>
      <c r="C490" s="30" t="s">
        <v>202</v>
      </c>
      <c r="D490" s="30" t="s">
        <v>225</v>
      </c>
      <c r="E490" s="163" t="s">
        <v>1124</v>
      </c>
      <c r="F490" s="284" t="s">
        <v>1221</v>
      </c>
      <c r="G490" s="284">
        <f>IFERROR(VLOOKUP(E490,Assign!$C$2:$J$142,8,FALSE),)</f>
        <v>0</v>
      </c>
      <c r="H490" s="372" t="s">
        <v>3869</v>
      </c>
      <c r="I490" s="445" t="s">
        <v>3859</v>
      </c>
      <c r="J490" s="446"/>
      <c r="K490" s="386">
        <v>88930459</v>
      </c>
      <c r="L490" s="387"/>
      <c r="M490" s="388">
        <f t="shared" si="22"/>
        <v>88930459</v>
      </c>
      <c r="N490" s="388"/>
      <c r="O490" s="388">
        <f t="shared" si="23"/>
        <v>88930459</v>
      </c>
      <c r="P490" s="390"/>
      <c r="Q490" s="386">
        <v>134400000</v>
      </c>
      <c r="R490" s="394">
        <v>0</v>
      </c>
      <c r="S490" s="447"/>
    </row>
    <row r="491" spans="2:19" ht="19.5" hidden="1" customHeight="1">
      <c r="B491" s="29">
        <f t="shared" si="21"/>
        <v>481</v>
      </c>
      <c r="C491" s="30" t="s">
        <v>202</v>
      </c>
      <c r="D491" s="30" t="s">
        <v>225</v>
      </c>
      <c r="E491" s="163" t="s">
        <v>1125</v>
      </c>
      <c r="F491" s="284" t="s">
        <v>1287</v>
      </c>
      <c r="G491" s="284">
        <f>IFERROR(VLOOKUP(E491,Assign!$C$2:$J$142,8,FALSE),)</f>
        <v>0</v>
      </c>
      <c r="H491" s="372" t="s">
        <v>3869</v>
      </c>
      <c r="I491" s="445" t="s">
        <v>3859</v>
      </c>
      <c r="J491" s="446"/>
      <c r="K491" s="386">
        <v>88190023</v>
      </c>
      <c r="L491" s="387"/>
      <c r="M491" s="388">
        <f t="shared" si="22"/>
        <v>88190023</v>
      </c>
      <c r="N491" s="388"/>
      <c r="O491" s="388">
        <f t="shared" si="23"/>
        <v>88190023</v>
      </c>
      <c r="P491" s="390"/>
      <c r="Q491" s="386">
        <v>134400000</v>
      </c>
      <c r="R491" s="394">
        <v>0</v>
      </c>
      <c r="S491" s="447"/>
    </row>
    <row r="492" spans="2:19" ht="19.5" customHeight="1">
      <c r="B492" s="29">
        <f t="shared" si="21"/>
        <v>482</v>
      </c>
      <c r="C492" s="30" t="s">
        <v>202</v>
      </c>
      <c r="D492" s="30" t="s">
        <v>225</v>
      </c>
      <c r="E492" s="489" t="s">
        <v>1126</v>
      </c>
      <c r="F492" s="284" t="s">
        <v>1265</v>
      </c>
      <c r="G492" s="284" t="str">
        <f>IFERROR(VLOOKUP(E492,Assign!$C$2:$J$142,8,FALSE),)</f>
        <v>문선영</v>
      </c>
      <c r="H492" s="372" t="s">
        <v>3869</v>
      </c>
      <c r="I492" s="445" t="s">
        <v>3859</v>
      </c>
      <c r="J492" s="446"/>
      <c r="K492" s="386">
        <v>87000000</v>
      </c>
      <c r="L492" s="387"/>
      <c r="M492" s="388">
        <f t="shared" si="22"/>
        <v>87000000</v>
      </c>
      <c r="N492" s="388"/>
      <c r="O492" s="388">
        <f t="shared" si="23"/>
        <v>87000000</v>
      </c>
      <c r="P492" s="390"/>
      <c r="Q492" s="386">
        <v>104400000</v>
      </c>
      <c r="R492" s="394">
        <v>0</v>
      </c>
      <c r="S492" s="447"/>
    </row>
    <row r="493" spans="2:19" ht="19.5" hidden="1" customHeight="1">
      <c r="B493" s="29">
        <f t="shared" si="21"/>
        <v>483</v>
      </c>
      <c r="C493" s="30" t="s">
        <v>202</v>
      </c>
      <c r="D493" s="30" t="s">
        <v>225</v>
      </c>
      <c r="E493" s="163" t="s">
        <v>1127</v>
      </c>
      <c r="F493" s="284" t="s">
        <v>1224</v>
      </c>
      <c r="G493" s="284">
        <f>IFERROR(VLOOKUP(E493,Assign!$C$2:$J$142,8,FALSE),)</f>
        <v>0</v>
      </c>
      <c r="H493" s="372" t="s">
        <v>3868</v>
      </c>
      <c r="I493" s="445" t="s">
        <v>3859</v>
      </c>
      <c r="J493" s="446"/>
      <c r="K493" s="386">
        <v>86000000</v>
      </c>
      <c r="L493" s="387"/>
      <c r="M493" s="388">
        <f t="shared" si="22"/>
        <v>86000000</v>
      </c>
      <c r="N493" s="388"/>
      <c r="O493" s="388">
        <f t="shared" si="23"/>
        <v>86000000</v>
      </c>
      <c r="P493" s="390"/>
      <c r="Q493" s="386">
        <v>103200000</v>
      </c>
      <c r="R493" s="394">
        <v>0</v>
      </c>
      <c r="S493" s="447"/>
    </row>
    <row r="494" spans="2:19" ht="19.5" hidden="1" customHeight="1">
      <c r="B494" s="29">
        <f t="shared" si="21"/>
        <v>484</v>
      </c>
      <c r="C494" s="30" t="s">
        <v>202</v>
      </c>
      <c r="D494" s="30" t="s">
        <v>225</v>
      </c>
      <c r="E494" s="163" t="s">
        <v>1128</v>
      </c>
      <c r="F494" s="284" t="s">
        <v>1225</v>
      </c>
      <c r="G494" s="284">
        <f>IFERROR(VLOOKUP(E494,Assign!$C$2:$J$142,8,FALSE),)</f>
        <v>0</v>
      </c>
      <c r="H494" s="372" t="s">
        <v>3869</v>
      </c>
      <c r="I494" s="445" t="s">
        <v>3859</v>
      </c>
      <c r="J494" s="446"/>
      <c r="K494" s="386">
        <v>85612261</v>
      </c>
      <c r="L494" s="387"/>
      <c r="M494" s="388">
        <f t="shared" si="22"/>
        <v>85612261</v>
      </c>
      <c r="N494" s="388"/>
      <c r="O494" s="388">
        <f t="shared" si="23"/>
        <v>85612261</v>
      </c>
      <c r="P494" s="390"/>
      <c r="Q494" s="386">
        <v>132000000</v>
      </c>
      <c r="R494" s="394">
        <v>0</v>
      </c>
      <c r="S494" s="447"/>
    </row>
    <row r="495" spans="2:19" ht="19.5" hidden="1" customHeight="1">
      <c r="B495" s="29">
        <f t="shared" si="21"/>
        <v>485</v>
      </c>
      <c r="C495" s="30" t="s">
        <v>202</v>
      </c>
      <c r="D495" s="30" t="s">
        <v>225</v>
      </c>
      <c r="E495" s="163" t="s">
        <v>1129</v>
      </c>
      <c r="F495" s="284" t="s">
        <v>1218</v>
      </c>
      <c r="G495" s="284">
        <f>IFERROR(VLOOKUP(E495,Assign!$C$2:$J$142,8,FALSE),)</f>
        <v>0</v>
      </c>
      <c r="H495" s="372" t="s">
        <v>3868</v>
      </c>
      <c r="I495" s="445" t="s">
        <v>3859</v>
      </c>
      <c r="J495" s="446"/>
      <c r="K495" s="386">
        <v>84241603</v>
      </c>
      <c r="L495" s="387"/>
      <c r="M495" s="388">
        <f t="shared" si="22"/>
        <v>84241603</v>
      </c>
      <c r="N495" s="388"/>
      <c r="O495" s="388">
        <f t="shared" si="23"/>
        <v>84241603</v>
      </c>
      <c r="P495" s="390"/>
      <c r="Q495" s="386">
        <v>120000000</v>
      </c>
      <c r="R495" s="394">
        <v>0</v>
      </c>
      <c r="S495" s="447"/>
    </row>
    <row r="496" spans="2:19" ht="19.5" customHeight="1">
      <c r="B496" s="29">
        <f t="shared" si="21"/>
        <v>486</v>
      </c>
      <c r="C496" s="30" t="s">
        <v>202</v>
      </c>
      <c r="D496" s="30" t="s">
        <v>225</v>
      </c>
      <c r="E496" s="489" t="s">
        <v>1130</v>
      </c>
      <c r="F496" s="284" t="s">
        <v>1217</v>
      </c>
      <c r="G496" s="284" t="str">
        <f>IFERROR(VLOOKUP(E496,Assign!$C$2:$J$142,8,FALSE),)</f>
        <v>문선영</v>
      </c>
      <c r="H496" s="372" t="s">
        <v>3868</v>
      </c>
      <c r="I496" s="445" t="s">
        <v>3859</v>
      </c>
      <c r="J496" s="446"/>
      <c r="K496" s="386">
        <v>83321319</v>
      </c>
      <c r="L496" s="387"/>
      <c r="M496" s="388">
        <f t="shared" si="22"/>
        <v>83321319</v>
      </c>
      <c r="N496" s="388"/>
      <c r="O496" s="388">
        <f t="shared" si="23"/>
        <v>83321319</v>
      </c>
      <c r="P496" s="390"/>
      <c r="Q496" s="386">
        <v>108000000</v>
      </c>
      <c r="R496" s="394">
        <v>0</v>
      </c>
      <c r="S496" s="447"/>
    </row>
    <row r="497" spans="2:19" ht="19.5" customHeight="1">
      <c r="B497" s="29">
        <f t="shared" si="21"/>
        <v>487</v>
      </c>
      <c r="C497" s="30" t="s">
        <v>202</v>
      </c>
      <c r="D497" s="30" t="s">
        <v>225</v>
      </c>
      <c r="E497" s="489" t="s">
        <v>1131</v>
      </c>
      <c r="F497" s="284" t="s">
        <v>1223</v>
      </c>
      <c r="G497" s="284" t="str">
        <f>IFERROR(VLOOKUP(E497,Assign!$C$2:$J$142,8,FALSE),)</f>
        <v>문선영</v>
      </c>
      <c r="H497" s="372" t="s">
        <v>3869</v>
      </c>
      <c r="I497" s="445" t="s">
        <v>3859</v>
      </c>
      <c r="J497" s="446"/>
      <c r="K497" s="386">
        <v>82972119</v>
      </c>
      <c r="L497" s="387"/>
      <c r="M497" s="388">
        <f t="shared" si="22"/>
        <v>82972119</v>
      </c>
      <c r="N497" s="388"/>
      <c r="O497" s="388">
        <f t="shared" si="23"/>
        <v>82972119</v>
      </c>
      <c r="P497" s="390"/>
      <c r="Q497" s="386">
        <v>151200000</v>
      </c>
      <c r="R497" s="394">
        <v>0</v>
      </c>
      <c r="S497" s="447"/>
    </row>
    <row r="498" spans="2:19" ht="19.5" hidden="1" customHeight="1">
      <c r="B498" s="29">
        <f t="shared" si="21"/>
        <v>488</v>
      </c>
      <c r="C498" s="30" t="s">
        <v>202</v>
      </c>
      <c r="D498" s="30" t="s">
        <v>225</v>
      </c>
      <c r="E498" s="163" t="s">
        <v>1132</v>
      </c>
      <c r="F498" s="284" t="s">
        <v>1217</v>
      </c>
      <c r="G498" s="284">
        <f>IFERROR(VLOOKUP(E498,Assign!$C$2:$J$142,8,FALSE),)</f>
        <v>0</v>
      </c>
      <c r="H498" s="372" t="s">
        <v>3868</v>
      </c>
      <c r="I498" s="445" t="s">
        <v>3859</v>
      </c>
      <c r="J498" s="446"/>
      <c r="K498" s="386">
        <v>82000000</v>
      </c>
      <c r="L498" s="387"/>
      <c r="M498" s="388">
        <f t="shared" si="22"/>
        <v>82000000</v>
      </c>
      <c r="N498" s="388"/>
      <c r="O498" s="388">
        <f t="shared" si="23"/>
        <v>82000000</v>
      </c>
      <c r="P498" s="390"/>
      <c r="Q498" s="386">
        <v>120000000</v>
      </c>
      <c r="R498" s="394">
        <v>0</v>
      </c>
      <c r="S498" s="447"/>
    </row>
    <row r="499" spans="2:19" ht="19.5" hidden="1" customHeight="1">
      <c r="B499" s="29">
        <f t="shared" si="21"/>
        <v>489</v>
      </c>
      <c r="C499" s="30" t="s">
        <v>202</v>
      </c>
      <c r="D499" s="30" t="s">
        <v>225</v>
      </c>
      <c r="E499" s="163" t="s">
        <v>1133</v>
      </c>
      <c r="F499" s="284" t="s">
        <v>1229</v>
      </c>
      <c r="G499" s="284">
        <f>IFERROR(VLOOKUP(E499,Assign!$C$2:$J$142,8,FALSE),)</f>
        <v>0</v>
      </c>
      <c r="H499" s="372" t="s">
        <v>3868</v>
      </c>
      <c r="I499" s="445" t="s">
        <v>3859</v>
      </c>
      <c r="J499" s="446"/>
      <c r="K499" s="386">
        <v>81000000</v>
      </c>
      <c r="L499" s="387"/>
      <c r="M499" s="388">
        <f t="shared" si="22"/>
        <v>81000000</v>
      </c>
      <c r="N499" s="388"/>
      <c r="O499" s="388">
        <f t="shared" si="23"/>
        <v>81000000</v>
      </c>
      <c r="P499" s="390"/>
      <c r="Q499" s="386">
        <v>108000000</v>
      </c>
      <c r="R499" s="394">
        <v>155000000</v>
      </c>
      <c r="S499" s="447"/>
    </row>
    <row r="500" spans="2:19" ht="19.5" hidden="1" customHeight="1">
      <c r="B500" s="29">
        <f t="shared" si="21"/>
        <v>490</v>
      </c>
      <c r="C500" s="30" t="s">
        <v>202</v>
      </c>
      <c r="D500" s="30" t="s">
        <v>225</v>
      </c>
      <c r="E500" s="163" t="s">
        <v>1134</v>
      </c>
      <c r="F500" s="284" t="s">
        <v>1265</v>
      </c>
      <c r="G500" s="284">
        <f>IFERROR(VLOOKUP(E500,Assign!$C$2:$J$142,8,FALSE),)</f>
        <v>0</v>
      </c>
      <c r="H500" s="372" t="s">
        <v>3868</v>
      </c>
      <c r="I500" s="445" t="s">
        <v>3859</v>
      </c>
      <c r="J500" s="446"/>
      <c r="K500" s="386">
        <v>78000000</v>
      </c>
      <c r="L500" s="387"/>
      <c r="M500" s="388">
        <f t="shared" si="22"/>
        <v>78000000</v>
      </c>
      <c r="N500" s="388"/>
      <c r="O500" s="388">
        <f t="shared" si="23"/>
        <v>78000000</v>
      </c>
      <c r="P500" s="390"/>
      <c r="Q500" s="386">
        <v>93600000</v>
      </c>
      <c r="R500" s="394">
        <v>0</v>
      </c>
      <c r="S500" s="447"/>
    </row>
    <row r="501" spans="2:19" ht="19.5" hidden="1" customHeight="1">
      <c r="B501" s="29">
        <f t="shared" si="21"/>
        <v>491</v>
      </c>
      <c r="C501" s="30" t="s">
        <v>202</v>
      </c>
      <c r="D501" s="30" t="s">
        <v>225</v>
      </c>
      <c r="E501" s="163" t="s">
        <v>1135</v>
      </c>
      <c r="F501" s="284" t="s">
        <v>1232</v>
      </c>
      <c r="G501" s="284">
        <f>IFERROR(VLOOKUP(E501,Assign!$C$2:$J$142,8,FALSE),)</f>
        <v>0</v>
      </c>
      <c r="H501" s="372" t="s">
        <v>3869</v>
      </c>
      <c r="I501" s="445" t="s">
        <v>3859</v>
      </c>
      <c r="J501" s="446"/>
      <c r="K501" s="386">
        <v>77700000</v>
      </c>
      <c r="L501" s="387"/>
      <c r="M501" s="388">
        <f t="shared" si="22"/>
        <v>77700000</v>
      </c>
      <c r="N501" s="388"/>
      <c r="O501" s="388">
        <f t="shared" si="23"/>
        <v>77700000</v>
      </c>
      <c r="P501" s="390"/>
      <c r="Q501" s="386">
        <v>129600000</v>
      </c>
      <c r="R501" s="394">
        <v>0</v>
      </c>
      <c r="S501" s="447"/>
    </row>
    <row r="502" spans="2:19" ht="19.5" customHeight="1">
      <c r="B502" s="29">
        <f t="shared" si="21"/>
        <v>492</v>
      </c>
      <c r="C502" s="30" t="s">
        <v>202</v>
      </c>
      <c r="D502" s="30" t="s">
        <v>225</v>
      </c>
      <c r="E502" s="489" t="s">
        <v>1136</v>
      </c>
      <c r="F502" s="284" t="s">
        <v>1239</v>
      </c>
      <c r="G502" s="284" t="str">
        <f>IFERROR(VLOOKUP(E502,Assign!$C$2:$J$142,8,FALSE),)</f>
        <v>문선영</v>
      </c>
      <c r="H502" s="372" t="s">
        <v>3868</v>
      </c>
      <c r="I502" s="445" t="s">
        <v>3859</v>
      </c>
      <c r="J502" s="446"/>
      <c r="K502" s="386">
        <v>76200000</v>
      </c>
      <c r="L502" s="387"/>
      <c r="M502" s="388">
        <f t="shared" si="22"/>
        <v>76200000</v>
      </c>
      <c r="N502" s="388"/>
      <c r="O502" s="388">
        <f t="shared" si="23"/>
        <v>76200000</v>
      </c>
      <c r="P502" s="390"/>
      <c r="Q502" s="386">
        <v>129600000</v>
      </c>
      <c r="R502" s="394">
        <v>0</v>
      </c>
      <c r="S502" s="447"/>
    </row>
    <row r="503" spans="2:19" ht="19.5" customHeight="1">
      <c r="B503" s="29">
        <f t="shared" si="21"/>
        <v>493</v>
      </c>
      <c r="C503" s="30" t="s">
        <v>202</v>
      </c>
      <c r="D503" s="30" t="s">
        <v>225</v>
      </c>
      <c r="E503" s="489" t="s">
        <v>1137</v>
      </c>
      <c r="F503" s="284" t="s">
        <v>1363</v>
      </c>
      <c r="G503" s="284" t="str">
        <f>IFERROR(VLOOKUP(E503,Assign!$C$2:$J$142,8,FALSE),)</f>
        <v>문선영</v>
      </c>
      <c r="H503" s="372" t="s">
        <v>3870</v>
      </c>
      <c r="I503" s="445" t="s">
        <v>3859</v>
      </c>
      <c r="J503" s="446"/>
      <c r="K503" s="386">
        <v>74400000</v>
      </c>
      <c r="L503" s="387"/>
      <c r="M503" s="388">
        <f t="shared" si="22"/>
        <v>74400000</v>
      </c>
      <c r="N503" s="388"/>
      <c r="O503" s="388">
        <f t="shared" si="23"/>
        <v>74400000</v>
      </c>
      <c r="P503" s="390"/>
      <c r="Q503" s="386">
        <v>108000000</v>
      </c>
      <c r="R503" s="394">
        <v>0</v>
      </c>
      <c r="S503" s="447"/>
    </row>
    <row r="504" spans="2:19" ht="19.5" customHeight="1">
      <c r="B504" s="29">
        <f t="shared" si="21"/>
        <v>494</v>
      </c>
      <c r="C504" s="30" t="s">
        <v>202</v>
      </c>
      <c r="D504" s="30" t="s">
        <v>225</v>
      </c>
      <c r="E504" s="489" t="s">
        <v>1138</v>
      </c>
      <c r="F504" s="284" t="s">
        <v>1225</v>
      </c>
      <c r="G504" s="284" t="str">
        <f>IFERROR(VLOOKUP(E504,Assign!$C$2:$J$142,8,FALSE),)</f>
        <v>문선영</v>
      </c>
      <c r="H504" s="372" t="s">
        <v>3868</v>
      </c>
      <c r="I504" s="445" t="s">
        <v>3859</v>
      </c>
      <c r="J504" s="446"/>
      <c r="K504" s="386">
        <v>74083291</v>
      </c>
      <c r="L504" s="387"/>
      <c r="M504" s="388">
        <f t="shared" si="22"/>
        <v>74083291</v>
      </c>
      <c r="N504" s="388"/>
      <c r="O504" s="388">
        <f t="shared" si="23"/>
        <v>74083291</v>
      </c>
      <c r="P504" s="390"/>
      <c r="Q504" s="386">
        <v>168000000</v>
      </c>
      <c r="R504" s="394">
        <v>0</v>
      </c>
      <c r="S504" s="447"/>
    </row>
    <row r="505" spans="2:19" ht="19.5" hidden="1" customHeight="1">
      <c r="B505" s="29">
        <f t="shared" si="21"/>
        <v>495</v>
      </c>
      <c r="C505" s="30" t="s">
        <v>202</v>
      </c>
      <c r="D505" s="30" t="s">
        <v>225</v>
      </c>
      <c r="E505" s="163" t="s">
        <v>1139</v>
      </c>
      <c r="F505" s="284" t="s">
        <v>1225</v>
      </c>
      <c r="G505" s="284">
        <f>IFERROR(VLOOKUP(E505,Assign!$C$2:$J$142,8,FALSE),)</f>
        <v>0</v>
      </c>
      <c r="H505" s="372" t="s">
        <v>3869</v>
      </c>
      <c r="I505" s="445" t="s">
        <v>3859</v>
      </c>
      <c r="J505" s="446"/>
      <c r="K505" s="386">
        <v>72386607</v>
      </c>
      <c r="L505" s="387"/>
      <c r="M505" s="388">
        <f t="shared" si="22"/>
        <v>72386607</v>
      </c>
      <c r="N505" s="388"/>
      <c r="O505" s="388">
        <f t="shared" si="23"/>
        <v>72386607</v>
      </c>
      <c r="P505" s="390"/>
      <c r="Q505" s="386">
        <v>96000000</v>
      </c>
      <c r="R505" s="394">
        <v>6000000</v>
      </c>
      <c r="S505" s="447"/>
    </row>
    <row r="506" spans="2:19" ht="19.5" hidden="1" customHeight="1">
      <c r="B506" s="29">
        <f t="shared" si="21"/>
        <v>496</v>
      </c>
      <c r="C506" s="30" t="s">
        <v>202</v>
      </c>
      <c r="D506" s="30" t="s">
        <v>225</v>
      </c>
      <c r="E506" s="163" t="s">
        <v>1140</v>
      </c>
      <c r="F506" s="284" t="s">
        <v>1239</v>
      </c>
      <c r="G506" s="284">
        <f>IFERROR(VLOOKUP(E506,Assign!$C$2:$J$142,8,FALSE),)</f>
        <v>0</v>
      </c>
      <c r="H506" s="372" t="s">
        <v>3869</v>
      </c>
      <c r="I506" s="445" t="s">
        <v>3859</v>
      </c>
      <c r="J506" s="446"/>
      <c r="K506" s="386">
        <v>71302192</v>
      </c>
      <c r="L506" s="387"/>
      <c r="M506" s="388">
        <f t="shared" si="22"/>
        <v>71302192</v>
      </c>
      <c r="N506" s="388"/>
      <c r="O506" s="388">
        <f t="shared" si="23"/>
        <v>71302192</v>
      </c>
      <c r="P506" s="390"/>
      <c r="Q506" s="386">
        <v>91200000</v>
      </c>
      <c r="R506" s="394">
        <v>0</v>
      </c>
      <c r="S506" s="447"/>
    </row>
    <row r="507" spans="2:19" ht="19.5" hidden="1" customHeight="1">
      <c r="B507" s="29">
        <f t="shared" si="21"/>
        <v>497</v>
      </c>
      <c r="C507" s="30" t="s">
        <v>202</v>
      </c>
      <c r="D507" s="30" t="s">
        <v>225</v>
      </c>
      <c r="E507" s="163" t="s">
        <v>1141</v>
      </c>
      <c r="F507" s="284" t="s">
        <v>1220</v>
      </c>
      <c r="G507" s="284">
        <f>IFERROR(VLOOKUP(E507,Assign!$C$2:$J$142,8,FALSE),)</f>
        <v>0</v>
      </c>
      <c r="H507" s="372" t="s">
        <v>3868</v>
      </c>
      <c r="I507" s="445" t="s">
        <v>3859</v>
      </c>
      <c r="J507" s="446"/>
      <c r="K507" s="386">
        <v>70000000</v>
      </c>
      <c r="L507" s="387"/>
      <c r="M507" s="388">
        <f t="shared" si="22"/>
        <v>70000000</v>
      </c>
      <c r="N507" s="388"/>
      <c r="O507" s="388">
        <f t="shared" si="23"/>
        <v>70000000</v>
      </c>
      <c r="P507" s="390"/>
      <c r="Q507" s="386">
        <v>86400000</v>
      </c>
      <c r="R507" s="394">
        <v>0</v>
      </c>
      <c r="S507" s="447"/>
    </row>
    <row r="508" spans="2:19" ht="19.5" hidden="1" customHeight="1">
      <c r="B508" s="29">
        <f t="shared" si="21"/>
        <v>498</v>
      </c>
      <c r="C508" s="30" t="s">
        <v>202</v>
      </c>
      <c r="D508" s="30" t="s">
        <v>225</v>
      </c>
      <c r="E508" s="163" t="s">
        <v>1142</v>
      </c>
      <c r="F508" s="284" t="s">
        <v>1251</v>
      </c>
      <c r="G508" s="284">
        <f>IFERROR(VLOOKUP(E508,Assign!$C$2:$J$142,8,FALSE),)</f>
        <v>0</v>
      </c>
      <c r="H508" s="372" t="s">
        <v>3868</v>
      </c>
      <c r="I508" s="445" t="s">
        <v>3859</v>
      </c>
      <c r="J508" s="446"/>
      <c r="K508" s="386">
        <v>70000000</v>
      </c>
      <c r="L508" s="387"/>
      <c r="M508" s="388">
        <f t="shared" si="22"/>
        <v>70000000</v>
      </c>
      <c r="N508" s="388"/>
      <c r="O508" s="388">
        <f t="shared" si="23"/>
        <v>70000000</v>
      </c>
      <c r="P508" s="390"/>
      <c r="Q508" s="386">
        <v>84000000</v>
      </c>
      <c r="R508" s="394">
        <v>0</v>
      </c>
      <c r="S508" s="447"/>
    </row>
    <row r="509" spans="2:19" ht="19.5" customHeight="1">
      <c r="B509" s="29">
        <f t="shared" si="21"/>
        <v>499</v>
      </c>
      <c r="C509" s="30" t="s">
        <v>202</v>
      </c>
      <c r="D509" s="30" t="s">
        <v>225</v>
      </c>
      <c r="E509" s="489" t="s">
        <v>1143</v>
      </c>
      <c r="F509" s="284" t="s">
        <v>1217</v>
      </c>
      <c r="G509" s="284" t="str">
        <f>IFERROR(VLOOKUP(E509,Assign!$C$2:$J$142,8,FALSE),)</f>
        <v>문선영</v>
      </c>
      <c r="H509" s="372" t="s">
        <v>3869</v>
      </c>
      <c r="I509" s="445" t="s">
        <v>3859</v>
      </c>
      <c r="J509" s="446"/>
      <c r="K509" s="386">
        <v>69977439</v>
      </c>
      <c r="L509" s="387"/>
      <c r="M509" s="388">
        <f t="shared" si="22"/>
        <v>69977439</v>
      </c>
      <c r="N509" s="388"/>
      <c r="O509" s="388">
        <f t="shared" si="23"/>
        <v>69977439</v>
      </c>
      <c r="P509" s="390"/>
      <c r="Q509" s="386">
        <v>90000000</v>
      </c>
      <c r="R509" s="394">
        <v>0</v>
      </c>
      <c r="S509" s="447"/>
    </row>
    <row r="510" spans="2:19" ht="19.5" hidden="1" customHeight="1">
      <c r="B510" s="29">
        <f t="shared" si="21"/>
        <v>500</v>
      </c>
      <c r="C510" s="30" t="s">
        <v>202</v>
      </c>
      <c r="D510" s="30" t="s">
        <v>225</v>
      </c>
      <c r="E510" s="163" t="s">
        <v>1144</v>
      </c>
      <c r="F510" s="284" t="s">
        <v>1269</v>
      </c>
      <c r="G510" s="284">
        <f>IFERROR(VLOOKUP(E510,Assign!$C$2:$J$142,8,FALSE),)</f>
        <v>0</v>
      </c>
      <c r="H510" s="372" t="s">
        <v>3868</v>
      </c>
      <c r="I510" s="445" t="s">
        <v>3859</v>
      </c>
      <c r="J510" s="446"/>
      <c r="K510" s="386">
        <v>69000000</v>
      </c>
      <c r="L510" s="387"/>
      <c r="M510" s="388">
        <f t="shared" si="22"/>
        <v>69000000</v>
      </c>
      <c r="N510" s="388"/>
      <c r="O510" s="388">
        <f t="shared" si="23"/>
        <v>69000000</v>
      </c>
      <c r="P510" s="390"/>
      <c r="Q510" s="386">
        <v>93600000</v>
      </c>
      <c r="R510" s="394">
        <v>0</v>
      </c>
      <c r="S510" s="447"/>
    </row>
    <row r="511" spans="2:19" ht="19.5" hidden="1" customHeight="1">
      <c r="B511" s="29">
        <f t="shared" si="21"/>
        <v>501</v>
      </c>
      <c r="C511" s="30" t="s">
        <v>202</v>
      </c>
      <c r="D511" s="30" t="s">
        <v>225</v>
      </c>
      <c r="E511" s="163" t="s">
        <v>1145</v>
      </c>
      <c r="F511" s="284" t="s">
        <v>1234</v>
      </c>
      <c r="G511" s="284">
        <f>IFERROR(VLOOKUP(E511,Assign!$C$2:$J$142,8,FALSE),)</f>
        <v>0</v>
      </c>
      <c r="H511" s="372" t="s">
        <v>3868</v>
      </c>
      <c r="I511" s="445" t="s">
        <v>3859</v>
      </c>
      <c r="J511" s="446"/>
      <c r="K511" s="386">
        <v>68443381</v>
      </c>
      <c r="L511" s="387"/>
      <c r="M511" s="388">
        <f t="shared" si="22"/>
        <v>68443381</v>
      </c>
      <c r="N511" s="388"/>
      <c r="O511" s="388">
        <f t="shared" si="23"/>
        <v>68443381</v>
      </c>
      <c r="P511" s="390"/>
      <c r="Q511" s="386">
        <v>84000000</v>
      </c>
      <c r="R511" s="394">
        <v>0</v>
      </c>
      <c r="S511" s="447"/>
    </row>
    <row r="512" spans="2:19" ht="19.5" customHeight="1">
      <c r="B512" s="29">
        <f t="shared" si="21"/>
        <v>502</v>
      </c>
      <c r="C512" s="30" t="s">
        <v>202</v>
      </c>
      <c r="D512" s="30" t="s">
        <v>225</v>
      </c>
      <c r="E512" s="489" t="s">
        <v>1146</v>
      </c>
      <c r="F512" s="284" t="s">
        <v>1220</v>
      </c>
      <c r="G512" s="284" t="str">
        <f>IFERROR(VLOOKUP(E512,Assign!$C$2:$J$142,8,FALSE),)</f>
        <v>문선영</v>
      </c>
      <c r="H512" s="372" t="s">
        <v>3868</v>
      </c>
      <c r="I512" s="445" t="s">
        <v>3859</v>
      </c>
      <c r="J512" s="446"/>
      <c r="K512" s="386">
        <v>67312609</v>
      </c>
      <c r="L512" s="387"/>
      <c r="M512" s="388">
        <f t="shared" si="22"/>
        <v>67312609</v>
      </c>
      <c r="N512" s="388"/>
      <c r="O512" s="388">
        <f t="shared" si="23"/>
        <v>67312609</v>
      </c>
      <c r="P512" s="390"/>
      <c r="Q512" s="386">
        <v>98400000</v>
      </c>
      <c r="R512" s="394">
        <v>0</v>
      </c>
      <c r="S512" s="447"/>
    </row>
    <row r="513" spans="2:19" ht="19.5" hidden="1" customHeight="1">
      <c r="B513" s="29">
        <f t="shared" si="21"/>
        <v>503</v>
      </c>
      <c r="C513" s="30" t="s">
        <v>202</v>
      </c>
      <c r="D513" s="30" t="s">
        <v>225</v>
      </c>
      <c r="E513" s="163" t="s">
        <v>1147</v>
      </c>
      <c r="F513" s="284" t="s">
        <v>1229</v>
      </c>
      <c r="G513" s="284">
        <f>IFERROR(VLOOKUP(E513,Assign!$C$2:$J$142,8,FALSE),)</f>
        <v>0</v>
      </c>
      <c r="H513" s="372" t="s">
        <v>3868</v>
      </c>
      <c r="I513" s="445" t="s">
        <v>3859</v>
      </c>
      <c r="J513" s="446"/>
      <c r="K513" s="386">
        <v>67000000</v>
      </c>
      <c r="L513" s="387"/>
      <c r="M513" s="388">
        <f t="shared" si="22"/>
        <v>67000000</v>
      </c>
      <c r="N513" s="388"/>
      <c r="O513" s="388">
        <f t="shared" si="23"/>
        <v>67000000</v>
      </c>
      <c r="P513" s="390"/>
      <c r="Q513" s="386">
        <v>84000000</v>
      </c>
      <c r="R513" s="394">
        <v>0</v>
      </c>
      <c r="S513" s="447"/>
    </row>
    <row r="514" spans="2:19" ht="19.5" customHeight="1">
      <c r="B514" s="29">
        <f t="shared" si="21"/>
        <v>504</v>
      </c>
      <c r="C514" s="30" t="s">
        <v>202</v>
      </c>
      <c r="D514" s="30" t="s">
        <v>225</v>
      </c>
      <c r="E514" s="489" t="s">
        <v>1148</v>
      </c>
      <c r="F514" s="284" t="s">
        <v>1217</v>
      </c>
      <c r="G514" s="284" t="str">
        <f>IFERROR(VLOOKUP(E514,Assign!$C$2:$J$142,8,FALSE),)</f>
        <v>문선영</v>
      </c>
      <c r="H514" s="372" t="s">
        <v>3868</v>
      </c>
      <c r="I514" s="445" t="s">
        <v>3859</v>
      </c>
      <c r="J514" s="446"/>
      <c r="K514" s="386">
        <v>66000000</v>
      </c>
      <c r="L514" s="387"/>
      <c r="M514" s="388">
        <f t="shared" si="22"/>
        <v>66000000</v>
      </c>
      <c r="N514" s="388"/>
      <c r="O514" s="388">
        <f t="shared" si="23"/>
        <v>66000000</v>
      </c>
      <c r="P514" s="390"/>
      <c r="Q514" s="386">
        <v>84000000</v>
      </c>
      <c r="R514" s="394">
        <v>380600000</v>
      </c>
      <c r="S514" s="447"/>
    </row>
    <row r="515" spans="2:19" ht="19.5" hidden="1" customHeight="1">
      <c r="B515" s="29">
        <f t="shared" si="21"/>
        <v>505</v>
      </c>
      <c r="C515" s="30" t="s">
        <v>202</v>
      </c>
      <c r="D515" s="30" t="s">
        <v>225</v>
      </c>
      <c r="E515" s="163" t="s">
        <v>1149</v>
      </c>
      <c r="F515" s="284" t="s">
        <v>1232</v>
      </c>
      <c r="G515" s="284">
        <f>IFERROR(VLOOKUP(E515,Assign!$C$2:$J$142,8,FALSE),)</f>
        <v>0</v>
      </c>
      <c r="H515" s="372" t="s">
        <v>3869</v>
      </c>
      <c r="I515" s="445" t="s">
        <v>3859</v>
      </c>
      <c r="J515" s="446"/>
      <c r="K515" s="386">
        <v>65444360</v>
      </c>
      <c r="L515" s="387"/>
      <c r="M515" s="388">
        <f t="shared" si="22"/>
        <v>65444360</v>
      </c>
      <c r="N515" s="388"/>
      <c r="O515" s="388">
        <f t="shared" si="23"/>
        <v>65444360</v>
      </c>
      <c r="P515" s="390"/>
      <c r="Q515" s="386">
        <v>84000000</v>
      </c>
      <c r="R515" s="394">
        <v>0</v>
      </c>
      <c r="S515" s="447"/>
    </row>
    <row r="516" spans="2:19" ht="19.5" hidden="1" customHeight="1">
      <c r="B516" s="29">
        <f t="shared" si="21"/>
        <v>506</v>
      </c>
      <c r="C516" s="30" t="s">
        <v>202</v>
      </c>
      <c r="D516" s="30" t="s">
        <v>225</v>
      </c>
      <c r="E516" s="163" t="s">
        <v>1150</v>
      </c>
      <c r="F516" s="284" t="s">
        <v>1233</v>
      </c>
      <c r="G516" s="284">
        <f>IFERROR(VLOOKUP(E516,Assign!$C$2:$J$142,8,FALSE),)</f>
        <v>0</v>
      </c>
      <c r="H516" s="372" t="s">
        <v>3869</v>
      </c>
      <c r="I516" s="445" t="s">
        <v>3859</v>
      </c>
      <c r="J516" s="446"/>
      <c r="K516" s="386">
        <v>64591442</v>
      </c>
      <c r="L516" s="387"/>
      <c r="M516" s="388">
        <f t="shared" si="22"/>
        <v>64591442</v>
      </c>
      <c r="N516" s="388"/>
      <c r="O516" s="388">
        <f t="shared" si="23"/>
        <v>64591442</v>
      </c>
      <c r="P516" s="390"/>
      <c r="Q516" s="386">
        <v>75900000</v>
      </c>
      <c r="R516" s="394">
        <v>0</v>
      </c>
      <c r="S516" s="447"/>
    </row>
    <row r="517" spans="2:19" ht="19.5" hidden="1" customHeight="1">
      <c r="B517" s="29">
        <f t="shared" si="21"/>
        <v>507</v>
      </c>
      <c r="C517" s="30" t="s">
        <v>202</v>
      </c>
      <c r="D517" s="30" t="s">
        <v>225</v>
      </c>
      <c r="E517" s="163" t="s">
        <v>1151</v>
      </c>
      <c r="F517" s="284" t="s">
        <v>1231</v>
      </c>
      <c r="G517" s="284">
        <f>IFERROR(VLOOKUP(E517,Assign!$C$2:$J$142,8,FALSE),)</f>
        <v>0</v>
      </c>
      <c r="H517" s="372" t="s">
        <v>3868</v>
      </c>
      <c r="I517" s="445" t="s">
        <v>3859</v>
      </c>
      <c r="J517" s="446"/>
      <c r="K517" s="386">
        <v>63902696</v>
      </c>
      <c r="L517" s="387"/>
      <c r="M517" s="388">
        <f t="shared" si="22"/>
        <v>63902696</v>
      </c>
      <c r="N517" s="388"/>
      <c r="O517" s="388">
        <f t="shared" si="23"/>
        <v>63902696</v>
      </c>
      <c r="P517" s="390"/>
      <c r="Q517" s="386">
        <v>94800000</v>
      </c>
      <c r="R517" s="394">
        <v>0</v>
      </c>
      <c r="S517" s="447"/>
    </row>
    <row r="518" spans="2:19" ht="19.5" hidden="1" customHeight="1">
      <c r="B518" s="29">
        <f t="shared" si="21"/>
        <v>508</v>
      </c>
      <c r="C518" s="30" t="s">
        <v>202</v>
      </c>
      <c r="D518" s="30" t="s">
        <v>225</v>
      </c>
      <c r="E518" s="163" t="s">
        <v>1152</v>
      </c>
      <c r="F518" s="284" t="s">
        <v>1220</v>
      </c>
      <c r="G518" s="284">
        <f>IFERROR(VLOOKUP(E518,Assign!$C$2:$J$142,8,FALSE),)</f>
        <v>0</v>
      </c>
      <c r="H518" s="372" t="s">
        <v>3869</v>
      </c>
      <c r="I518" s="445" t="s">
        <v>3859</v>
      </c>
      <c r="J518" s="446"/>
      <c r="K518" s="386">
        <v>62201697</v>
      </c>
      <c r="L518" s="387"/>
      <c r="M518" s="388">
        <f t="shared" si="22"/>
        <v>62201697</v>
      </c>
      <c r="N518" s="388"/>
      <c r="O518" s="388">
        <f t="shared" si="23"/>
        <v>62201697</v>
      </c>
      <c r="P518" s="390"/>
      <c r="Q518" s="386">
        <v>119880000</v>
      </c>
      <c r="R518" s="394">
        <v>0</v>
      </c>
      <c r="S518" s="447"/>
    </row>
    <row r="519" spans="2:19" ht="19.5" hidden="1" customHeight="1">
      <c r="B519" s="29">
        <f t="shared" si="21"/>
        <v>509</v>
      </c>
      <c r="C519" s="30" t="s">
        <v>202</v>
      </c>
      <c r="D519" s="30" t="s">
        <v>225</v>
      </c>
      <c r="E519" s="163" t="s">
        <v>1153</v>
      </c>
      <c r="F519" s="284" t="s">
        <v>1229</v>
      </c>
      <c r="G519" s="284">
        <f>IFERROR(VLOOKUP(E519,Assign!$C$2:$J$142,8,FALSE),)</f>
        <v>0</v>
      </c>
      <c r="H519" s="372" t="s">
        <v>3869</v>
      </c>
      <c r="I519" s="445" t="s">
        <v>3859</v>
      </c>
      <c r="J519" s="446"/>
      <c r="K519" s="386">
        <v>60745673</v>
      </c>
      <c r="L519" s="387"/>
      <c r="M519" s="388">
        <f t="shared" si="22"/>
        <v>60745673</v>
      </c>
      <c r="N519" s="388"/>
      <c r="O519" s="388">
        <f t="shared" si="23"/>
        <v>60745673</v>
      </c>
      <c r="P519" s="390"/>
      <c r="Q519" s="386">
        <v>81600000</v>
      </c>
      <c r="R519" s="394">
        <v>0</v>
      </c>
      <c r="S519" s="447"/>
    </row>
    <row r="520" spans="2:19" ht="19.5" hidden="1" customHeight="1">
      <c r="B520" s="29">
        <f t="shared" si="21"/>
        <v>510</v>
      </c>
      <c r="C520" s="30" t="s">
        <v>202</v>
      </c>
      <c r="D520" s="30" t="s">
        <v>225</v>
      </c>
      <c r="E520" s="163" t="s">
        <v>1154</v>
      </c>
      <c r="F520" s="284" t="s">
        <v>1223</v>
      </c>
      <c r="G520" s="284">
        <f>IFERROR(VLOOKUP(E520,Assign!$C$2:$J$142,8,FALSE),)</f>
        <v>0</v>
      </c>
      <c r="H520" s="372" t="s">
        <v>3868</v>
      </c>
      <c r="I520" s="445" t="s">
        <v>3859</v>
      </c>
      <c r="J520" s="446"/>
      <c r="K520" s="386">
        <v>60000000</v>
      </c>
      <c r="L520" s="387"/>
      <c r="M520" s="388">
        <f t="shared" si="22"/>
        <v>60000000</v>
      </c>
      <c r="N520" s="388"/>
      <c r="O520" s="388">
        <f t="shared" si="23"/>
        <v>60000000</v>
      </c>
      <c r="P520" s="390"/>
      <c r="Q520" s="386">
        <v>120100000</v>
      </c>
      <c r="R520" s="394">
        <v>233500000</v>
      </c>
      <c r="S520" s="447"/>
    </row>
    <row r="521" spans="2:19" ht="19.5" hidden="1" customHeight="1">
      <c r="B521" s="29">
        <f t="shared" si="21"/>
        <v>511</v>
      </c>
      <c r="C521" s="30" t="s">
        <v>202</v>
      </c>
      <c r="D521" s="30" t="s">
        <v>225</v>
      </c>
      <c r="E521" s="163" t="s">
        <v>1155</v>
      </c>
      <c r="F521" s="284" t="s">
        <v>1229</v>
      </c>
      <c r="G521" s="284">
        <f>IFERROR(VLOOKUP(E521,Assign!$C$2:$J$142,8,FALSE),)</f>
        <v>0</v>
      </c>
      <c r="H521" s="372" t="s">
        <v>3868</v>
      </c>
      <c r="I521" s="445" t="s">
        <v>3859</v>
      </c>
      <c r="J521" s="446"/>
      <c r="K521" s="386">
        <v>59474844</v>
      </c>
      <c r="L521" s="387"/>
      <c r="M521" s="388">
        <f t="shared" si="22"/>
        <v>59474844</v>
      </c>
      <c r="N521" s="388"/>
      <c r="O521" s="388">
        <f t="shared" si="23"/>
        <v>59474844</v>
      </c>
      <c r="P521" s="390"/>
      <c r="Q521" s="386">
        <v>73200000</v>
      </c>
      <c r="R521" s="394">
        <v>0</v>
      </c>
      <c r="S521" s="447"/>
    </row>
    <row r="522" spans="2:19" ht="19.5" customHeight="1">
      <c r="B522" s="29">
        <f t="shared" si="21"/>
        <v>512</v>
      </c>
      <c r="C522" s="30" t="s">
        <v>202</v>
      </c>
      <c r="D522" s="30" t="s">
        <v>225</v>
      </c>
      <c r="E522" s="491" t="s">
        <v>1156</v>
      </c>
      <c r="F522" s="284" t="s">
        <v>1288</v>
      </c>
      <c r="G522" s="284" t="str">
        <f>IFERROR(VLOOKUP(E522,Assign!$C$2:$J$142,8,FALSE),)</f>
        <v>문선영</v>
      </c>
      <c r="H522" s="372" t="s">
        <v>3868</v>
      </c>
      <c r="I522" s="445" t="s">
        <v>3859</v>
      </c>
      <c r="J522" s="446"/>
      <c r="K522" s="386">
        <v>58500000</v>
      </c>
      <c r="L522" s="387"/>
      <c r="M522" s="388">
        <f t="shared" si="22"/>
        <v>58500000</v>
      </c>
      <c r="N522" s="388"/>
      <c r="O522" s="388">
        <f t="shared" si="23"/>
        <v>58500000</v>
      </c>
      <c r="P522" s="390"/>
      <c r="Q522" s="386">
        <v>96000000</v>
      </c>
      <c r="R522" s="394">
        <v>0</v>
      </c>
      <c r="S522" s="447"/>
    </row>
    <row r="523" spans="2:19" ht="19.5" hidden="1" customHeight="1">
      <c r="B523" s="29">
        <f t="shared" ref="B523:B587" si="24">ROW()-10</f>
        <v>513</v>
      </c>
      <c r="C523" s="30" t="s">
        <v>202</v>
      </c>
      <c r="D523" s="30" t="s">
        <v>225</v>
      </c>
      <c r="E523" s="163" t="s">
        <v>1157</v>
      </c>
      <c r="F523" s="284" t="s">
        <v>1229</v>
      </c>
      <c r="G523" s="284">
        <f>IFERROR(VLOOKUP(E523,Assign!$C$2:$J$142,8,FALSE),)</f>
        <v>0</v>
      </c>
      <c r="H523" s="372" t="s">
        <v>3868</v>
      </c>
      <c r="I523" s="445" t="s">
        <v>3859</v>
      </c>
      <c r="J523" s="446"/>
      <c r="K523" s="386">
        <v>22324400</v>
      </c>
      <c r="L523" s="387"/>
      <c r="M523" s="388">
        <f t="shared" ref="M523:M586" si="25">SUM(K523:L523)</f>
        <v>22324400</v>
      </c>
      <c r="N523" s="388"/>
      <c r="O523" s="388">
        <f t="shared" ref="O523:O586" si="26">SUM(M523:N523)</f>
        <v>22324400</v>
      </c>
      <c r="P523" s="390"/>
      <c r="Q523" s="386">
        <v>0</v>
      </c>
      <c r="R523" s="394">
        <v>0</v>
      </c>
      <c r="S523" s="447"/>
    </row>
    <row r="524" spans="2:19" ht="19.5" hidden="1" customHeight="1">
      <c r="B524" s="29">
        <f t="shared" si="24"/>
        <v>514</v>
      </c>
      <c r="C524" s="30" t="s">
        <v>202</v>
      </c>
      <c r="D524" s="30" t="s">
        <v>225</v>
      </c>
      <c r="E524" s="163" t="s">
        <v>1158</v>
      </c>
      <c r="F524" s="284" t="s">
        <v>1229</v>
      </c>
      <c r="G524" s="284">
        <f>IFERROR(VLOOKUP(E524,Assign!$C$2:$J$142,8,FALSE),)</f>
        <v>0</v>
      </c>
      <c r="H524" s="372" t="s">
        <v>3868</v>
      </c>
      <c r="I524" s="445" t="s">
        <v>3859</v>
      </c>
      <c r="J524" s="446"/>
      <c r="K524" s="386">
        <v>57000000</v>
      </c>
      <c r="L524" s="387"/>
      <c r="M524" s="388">
        <f t="shared" si="25"/>
        <v>57000000</v>
      </c>
      <c r="N524" s="388"/>
      <c r="O524" s="388">
        <f t="shared" si="26"/>
        <v>57000000</v>
      </c>
      <c r="P524" s="390"/>
      <c r="Q524" s="386">
        <v>72000000</v>
      </c>
      <c r="R524" s="394">
        <v>0</v>
      </c>
      <c r="S524" s="447"/>
    </row>
    <row r="525" spans="2:19" ht="19.5" hidden="1" customHeight="1">
      <c r="B525" s="29">
        <f t="shared" si="24"/>
        <v>515</v>
      </c>
      <c r="C525" s="30" t="s">
        <v>202</v>
      </c>
      <c r="D525" s="30" t="s">
        <v>225</v>
      </c>
      <c r="E525" s="163" t="s">
        <v>1159</v>
      </c>
      <c r="F525" s="284" t="s">
        <v>1221</v>
      </c>
      <c r="G525" s="284">
        <f>IFERROR(VLOOKUP(E525,Assign!$C$2:$J$142,8,FALSE),)</f>
        <v>0</v>
      </c>
      <c r="H525" s="372" t="s">
        <v>3868</v>
      </c>
      <c r="I525" s="445" t="s">
        <v>3859</v>
      </c>
      <c r="J525" s="446"/>
      <c r="K525" s="386">
        <v>55824768</v>
      </c>
      <c r="L525" s="387"/>
      <c r="M525" s="388">
        <f t="shared" si="25"/>
        <v>55824768</v>
      </c>
      <c r="N525" s="388"/>
      <c r="O525" s="388">
        <f t="shared" si="26"/>
        <v>55824768</v>
      </c>
      <c r="P525" s="390"/>
      <c r="Q525" s="386">
        <v>92400000</v>
      </c>
      <c r="R525" s="394">
        <v>0</v>
      </c>
      <c r="S525" s="447"/>
    </row>
    <row r="526" spans="2:19" ht="19.5" hidden="1" customHeight="1">
      <c r="B526" s="29">
        <f t="shared" si="24"/>
        <v>516</v>
      </c>
      <c r="C526" s="30" t="s">
        <v>202</v>
      </c>
      <c r="D526" s="30" t="s">
        <v>225</v>
      </c>
      <c r="E526" s="163" t="s">
        <v>1160</v>
      </c>
      <c r="F526" s="284" t="s">
        <v>1285</v>
      </c>
      <c r="G526" s="284">
        <f>IFERROR(VLOOKUP(E526,Assign!$C$2:$J$142,8,FALSE),)</f>
        <v>0</v>
      </c>
      <c r="H526" s="372" t="s">
        <v>3868</v>
      </c>
      <c r="I526" s="445" t="s">
        <v>3859</v>
      </c>
      <c r="J526" s="446"/>
      <c r="K526" s="386">
        <v>55554323</v>
      </c>
      <c r="L526" s="387"/>
      <c r="M526" s="388">
        <f t="shared" si="25"/>
        <v>55554323</v>
      </c>
      <c r="N526" s="388"/>
      <c r="O526" s="388">
        <f t="shared" si="26"/>
        <v>55554323</v>
      </c>
      <c r="P526" s="390"/>
      <c r="Q526" s="386">
        <v>62590000</v>
      </c>
      <c r="R526" s="394">
        <v>293930000</v>
      </c>
      <c r="S526" s="447"/>
    </row>
    <row r="527" spans="2:19" ht="19.5" hidden="1" customHeight="1">
      <c r="B527" s="29">
        <f t="shared" si="24"/>
        <v>517</v>
      </c>
      <c r="C527" s="30" t="s">
        <v>202</v>
      </c>
      <c r="D527" s="30" t="s">
        <v>225</v>
      </c>
      <c r="E527" s="163" t="s">
        <v>1161</v>
      </c>
      <c r="F527" s="284" t="s">
        <v>1229</v>
      </c>
      <c r="G527" s="284">
        <f>IFERROR(VLOOKUP(E527,Assign!$C$2:$J$142,8,FALSE),)</f>
        <v>0</v>
      </c>
      <c r="H527" s="372" t="s">
        <v>3869</v>
      </c>
      <c r="I527" s="445" t="s">
        <v>3859</v>
      </c>
      <c r="J527" s="446"/>
      <c r="K527" s="386">
        <v>55084769</v>
      </c>
      <c r="L527" s="387"/>
      <c r="M527" s="388">
        <f t="shared" si="25"/>
        <v>55084769</v>
      </c>
      <c r="N527" s="388"/>
      <c r="O527" s="388">
        <f t="shared" si="26"/>
        <v>55084769</v>
      </c>
      <c r="P527" s="390"/>
      <c r="Q527" s="386">
        <v>62700000</v>
      </c>
      <c r="R527" s="394">
        <v>0</v>
      </c>
      <c r="S527" s="447"/>
    </row>
    <row r="528" spans="2:19" ht="19.5" hidden="1" customHeight="1">
      <c r="B528" s="29">
        <f t="shared" si="24"/>
        <v>518</v>
      </c>
      <c r="C528" s="30" t="s">
        <v>202</v>
      </c>
      <c r="D528" s="30" t="s">
        <v>225</v>
      </c>
      <c r="E528" s="163" t="s">
        <v>1162</v>
      </c>
      <c r="F528" s="284" t="s">
        <v>1225</v>
      </c>
      <c r="G528" s="284">
        <f>IFERROR(VLOOKUP(E528,Assign!$C$2:$J$142,8,FALSE),)</f>
        <v>0</v>
      </c>
      <c r="H528" s="372" t="s">
        <v>3869</v>
      </c>
      <c r="I528" s="445" t="s">
        <v>3859</v>
      </c>
      <c r="J528" s="446"/>
      <c r="K528" s="386">
        <v>53006549</v>
      </c>
      <c r="L528" s="387"/>
      <c r="M528" s="388">
        <f t="shared" si="25"/>
        <v>53006549</v>
      </c>
      <c r="N528" s="388"/>
      <c r="O528" s="388">
        <f t="shared" si="26"/>
        <v>53006549</v>
      </c>
      <c r="P528" s="390"/>
      <c r="Q528" s="386">
        <v>60500000</v>
      </c>
      <c r="R528" s="394">
        <v>0</v>
      </c>
      <c r="S528" s="447"/>
    </row>
    <row r="529" spans="2:19" ht="19.5" customHeight="1">
      <c r="B529" s="29">
        <f t="shared" si="24"/>
        <v>519</v>
      </c>
      <c r="C529" s="30" t="s">
        <v>202</v>
      </c>
      <c r="D529" s="30" t="s">
        <v>225</v>
      </c>
      <c r="E529" s="491" t="s">
        <v>1163</v>
      </c>
      <c r="F529" s="284" t="s">
        <v>1252</v>
      </c>
      <c r="G529" s="284" t="str">
        <f>IFERROR(VLOOKUP(E529,Assign!$C$2:$J$142,8,FALSE),)</f>
        <v>문선영</v>
      </c>
      <c r="H529" s="372" t="s">
        <v>3869</v>
      </c>
      <c r="I529" s="445" t="s">
        <v>3859</v>
      </c>
      <c r="J529" s="446"/>
      <c r="K529" s="386">
        <v>52600000</v>
      </c>
      <c r="L529" s="387"/>
      <c r="M529" s="388">
        <f t="shared" si="25"/>
        <v>52600000</v>
      </c>
      <c r="N529" s="388"/>
      <c r="O529" s="388">
        <f t="shared" si="26"/>
        <v>52600000</v>
      </c>
      <c r="P529" s="390"/>
      <c r="Q529" s="386">
        <v>94680000</v>
      </c>
      <c r="R529" s="394">
        <v>0</v>
      </c>
      <c r="S529" s="447"/>
    </row>
    <row r="530" spans="2:19" ht="19.5" hidden="1" customHeight="1">
      <c r="B530" s="29">
        <f t="shared" si="24"/>
        <v>520</v>
      </c>
      <c r="C530" s="30" t="s">
        <v>202</v>
      </c>
      <c r="D530" s="30" t="s">
        <v>225</v>
      </c>
      <c r="E530" s="163" t="s">
        <v>1164</v>
      </c>
      <c r="F530" s="284" t="s">
        <v>1218</v>
      </c>
      <c r="G530" s="284">
        <f>IFERROR(VLOOKUP(E530,Assign!$C$2:$J$142,8,FALSE),)</f>
        <v>0</v>
      </c>
      <c r="H530" s="372" t="s">
        <v>3869</v>
      </c>
      <c r="I530" s="445" t="s">
        <v>3859</v>
      </c>
      <c r="J530" s="446"/>
      <c r="K530" s="386">
        <v>52441090</v>
      </c>
      <c r="L530" s="387"/>
      <c r="M530" s="388">
        <f t="shared" si="25"/>
        <v>52441090</v>
      </c>
      <c r="N530" s="388"/>
      <c r="O530" s="388">
        <f t="shared" si="26"/>
        <v>52441090</v>
      </c>
      <c r="P530" s="390"/>
      <c r="Q530" s="386">
        <v>70560000</v>
      </c>
      <c r="R530" s="394">
        <v>0</v>
      </c>
      <c r="S530" s="447"/>
    </row>
    <row r="531" spans="2:19" ht="19.5" hidden="1" customHeight="1">
      <c r="B531" s="29">
        <f t="shared" si="24"/>
        <v>521</v>
      </c>
      <c r="C531" s="30" t="s">
        <v>202</v>
      </c>
      <c r="D531" s="30" t="s">
        <v>225</v>
      </c>
      <c r="E531" s="163" t="s">
        <v>1165</v>
      </c>
      <c r="F531" s="284" t="s">
        <v>1229</v>
      </c>
      <c r="G531" s="284">
        <f>IFERROR(VLOOKUP(E531,Assign!$C$2:$J$142,8,FALSE),)</f>
        <v>0</v>
      </c>
      <c r="H531" s="372" t="s">
        <v>3868</v>
      </c>
      <c r="I531" s="445" t="s">
        <v>3859</v>
      </c>
      <c r="J531" s="446"/>
      <c r="K531" s="386">
        <v>51666584</v>
      </c>
      <c r="L531" s="387"/>
      <c r="M531" s="388">
        <f t="shared" si="25"/>
        <v>51666584</v>
      </c>
      <c r="N531" s="388"/>
      <c r="O531" s="388">
        <f t="shared" si="26"/>
        <v>51666584</v>
      </c>
      <c r="P531" s="390"/>
      <c r="Q531" s="386">
        <v>90000000</v>
      </c>
      <c r="R531" s="394">
        <v>0</v>
      </c>
      <c r="S531" s="447"/>
    </row>
    <row r="532" spans="2:19" ht="19.5" hidden="1" customHeight="1">
      <c r="B532" s="29">
        <f t="shared" si="24"/>
        <v>522</v>
      </c>
      <c r="C532" s="30" t="s">
        <v>202</v>
      </c>
      <c r="D532" s="30" t="s">
        <v>225</v>
      </c>
      <c r="E532" s="163" t="s">
        <v>1166</v>
      </c>
      <c r="F532" s="284" t="s">
        <v>1222</v>
      </c>
      <c r="G532" s="284">
        <f>IFERROR(VLOOKUP(E532,Assign!$C$2:$J$142,8,FALSE),)</f>
        <v>0</v>
      </c>
      <c r="H532" s="372" t="s">
        <v>3868</v>
      </c>
      <c r="I532" s="445" t="s">
        <v>3859</v>
      </c>
      <c r="J532" s="446"/>
      <c r="K532" s="386">
        <v>51186588</v>
      </c>
      <c r="L532" s="387"/>
      <c r="M532" s="388">
        <f t="shared" si="25"/>
        <v>51186588</v>
      </c>
      <c r="N532" s="388"/>
      <c r="O532" s="388">
        <f t="shared" si="26"/>
        <v>51186588</v>
      </c>
      <c r="P532" s="390"/>
      <c r="Q532" s="386">
        <v>59400000</v>
      </c>
      <c r="R532" s="394">
        <v>219450000</v>
      </c>
      <c r="S532" s="447"/>
    </row>
    <row r="533" spans="2:19" ht="19.5" hidden="1" customHeight="1">
      <c r="B533" s="29">
        <f t="shared" si="24"/>
        <v>523</v>
      </c>
      <c r="C533" s="30" t="s">
        <v>202</v>
      </c>
      <c r="D533" s="30" t="s">
        <v>225</v>
      </c>
      <c r="E533" s="163" t="s">
        <v>1167</v>
      </c>
      <c r="F533" s="284" t="s">
        <v>1225</v>
      </c>
      <c r="G533" s="284">
        <f>IFERROR(VLOOKUP(E533,Assign!$C$2:$J$142,8,FALSE),)</f>
        <v>0</v>
      </c>
      <c r="H533" s="372" t="s">
        <v>3868</v>
      </c>
      <c r="I533" s="445" t="s">
        <v>3859</v>
      </c>
      <c r="J533" s="446"/>
      <c r="K533" s="386">
        <v>50000000</v>
      </c>
      <c r="L533" s="387"/>
      <c r="M533" s="388">
        <f t="shared" si="25"/>
        <v>50000000</v>
      </c>
      <c r="N533" s="388"/>
      <c r="O533" s="388">
        <f t="shared" si="26"/>
        <v>50000000</v>
      </c>
      <c r="P533" s="390"/>
      <c r="Q533" s="386">
        <v>60000000</v>
      </c>
      <c r="R533" s="394">
        <v>258000000</v>
      </c>
      <c r="S533" s="447"/>
    </row>
    <row r="534" spans="2:19" ht="19.5" hidden="1" customHeight="1">
      <c r="B534" s="29">
        <f t="shared" si="24"/>
        <v>524</v>
      </c>
      <c r="C534" s="30" t="s">
        <v>202</v>
      </c>
      <c r="D534" s="30" t="s">
        <v>225</v>
      </c>
      <c r="E534" s="163" t="s">
        <v>1168</v>
      </c>
      <c r="F534" s="284" t="s">
        <v>1232</v>
      </c>
      <c r="G534" s="284">
        <f>IFERROR(VLOOKUP(E534,Assign!$C$2:$J$142,8,FALSE),)</f>
        <v>0</v>
      </c>
      <c r="H534" s="372" t="s">
        <v>3868</v>
      </c>
      <c r="I534" s="445" t="s">
        <v>3859</v>
      </c>
      <c r="J534" s="446"/>
      <c r="K534" s="386">
        <v>50000000</v>
      </c>
      <c r="L534" s="387"/>
      <c r="M534" s="388">
        <f t="shared" si="25"/>
        <v>50000000</v>
      </c>
      <c r="N534" s="388"/>
      <c r="O534" s="388">
        <f t="shared" si="26"/>
        <v>50000000</v>
      </c>
      <c r="P534" s="390"/>
      <c r="Q534" s="386">
        <v>180000000</v>
      </c>
      <c r="R534" s="394">
        <v>0</v>
      </c>
      <c r="S534" s="447"/>
    </row>
    <row r="535" spans="2:19" ht="19.5" customHeight="1">
      <c r="B535" s="29">
        <f t="shared" si="24"/>
        <v>525</v>
      </c>
      <c r="C535" s="30" t="s">
        <v>202</v>
      </c>
      <c r="D535" s="30" t="s">
        <v>225</v>
      </c>
      <c r="E535" s="491" t="s">
        <v>1169</v>
      </c>
      <c r="F535" s="284" t="s">
        <v>1226</v>
      </c>
      <c r="G535" s="284" t="str">
        <f>IFERROR(VLOOKUP(E535,Assign!$C$2:$J$142,8,FALSE),)</f>
        <v>문선영</v>
      </c>
      <c r="H535" s="372" t="s">
        <v>3868</v>
      </c>
      <c r="I535" s="445" t="s">
        <v>3859</v>
      </c>
      <c r="J535" s="446"/>
      <c r="K535" s="386">
        <v>49500000</v>
      </c>
      <c r="L535" s="387"/>
      <c r="M535" s="388">
        <f t="shared" si="25"/>
        <v>49500000</v>
      </c>
      <c r="N535" s="388"/>
      <c r="O535" s="388">
        <f t="shared" si="26"/>
        <v>49500000</v>
      </c>
      <c r="P535" s="390"/>
      <c r="Q535" s="386">
        <v>72000000</v>
      </c>
      <c r="R535" s="394">
        <v>180000000</v>
      </c>
      <c r="S535" s="447"/>
    </row>
    <row r="536" spans="2:19" ht="19.5" hidden="1" customHeight="1">
      <c r="B536" s="29">
        <f t="shared" si="24"/>
        <v>526</v>
      </c>
      <c r="C536" s="30" t="s">
        <v>202</v>
      </c>
      <c r="D536" s="30" t="s">
        <v>225</v>
      </c>
      <c r="E536" s="163" t="s">
        <v>1170</v>
      </c>
      <c r="F536" s="284" t="s">
        <v>1225</v>
      </c>
      <c r="G536" s="284">
        <f>IFERROR(VLOOKUP(E536,Assign!$C$2:$J$142,8,FALSE),)</f>
        <v>0</v>
      </c>
      <c r="H536" s="372" t="s">
        <v>3868</v>
      </c>
      <c r="I536" s="445" t="s">
        <v>3859</v>
      </c>
      <c r="J536" s="446"/>
      <c r="K536" s="386">
        <v>48228858</v>
      </c>
      <c r="L536" s="387"/>
      <c r="M536" s="388">
        <f t="shared" si="25"/>
        <v>48228858</v>
      </c>
      <c r="N536" s="388"/>
      <c r="O536" s="388">
        <f t="shared" si="26"/>
        <v>48228858</v>
      </c>
      <c r="P536" s="390"/>
      <c r="Q536" s="386">
        <v>55000000</v>
      </c>
      <c r="R536" s="394">
        <v>0</v>
      </c>
      <c r="S536" s="447"/>
    </row>
    <row r="537" spans="2:19" ht="19.5" hidden="1" customHeight="1">
      <c r="B537" s="29">
        <f t="shared" si="24"/>
        <v>527</v>
      </c>
      <c r="C537" s="30" t="s">
        <v>202</v>
      </c>
      <c r="D537" s="30" t="s">
        <v>225</v>
      </c>
      <c r="E537" s="163" t="s">
        <v>1171</v>
      </c>
      <c r="F537" s="284" t="s">
        <v>1252</v>
      </c>
      <c r="G537" s="284">
        <f>IFERROR(VLOOKUP(E537,Assign!$C$2:$J$142,8,FALSE),)</f>
        <v>0</v>
      </c>
      <c r="H537" s="372" t="s">
        <v>3868</v>
      </c>
      <c r="I537" s="445" t="s">
        <v>3859</v>
      </c>
      <c r="J537" s="446"/>
      <c r="K537" s="386">
        <v>45499818</v>
      </c>
      <c r="L537" s="387"/>
      <c r="M537" s="388">
        <f t="shared" si="25"/>
        <v>45499818</v>
      </c>
      <c r="N537" s="388"/>
      <c r="O537" s="388">
        <f t="shared" si="26"/>
        <v>45499818</v>
      </c>
      <c r="P537" s="390"/>
      <c r="Q537" s="386">
        <v>72000000</v>
      </c>
      <c r="R537" s="394">
        <v>0</v>
      </c>
      <c r="S537" s="447"/>
    </row>
    <row r="538" spans="2:19" ht="19.5" hidden="1" customHeight="1">
      <c r="B538" s="29">
        <f t="shared" si="24"/>
        <v>528</v>
      </c>
      <c r="C538" s="30" t="s">
        <v>202</v>
      </c>
      <c r="D538" s="30" t="s">
        <v>225</v>
      </c>
      <c r="E538" s="163" t="s">
        <v>1172</v>
      </c>
      <c r="F538" s="284" t="s">
        <v>1233</v>
      </c>
      <c r="G538" s="284">
        <f>IFERROR(VLOOKUP(E538,Assign!$C$2:$J$142,8,FALSE),)</f>
        <v>0</v>
      </c>
      <c r="H538" s="372" t="s">
        <v>3868</v>
      </c>
      <c r="I538" s="445" t="s">
        <v>3859</v>
      </c>
      <c r="J538" s="446"/>
      <c r="K538" s="386">
        <v>45277488</v>
      </c>
      <c r="L538" s="387"/>
      <c r="M538" s="388">
        <f t="shared" si="25"/>
        <v>45277488</v>
      </c>
      <c r="N538" s="388"/>
      <c r="O538" s="388">
        <f t="shared" si="26"/>
        <v>45277488</v>
      </c>
      <c r="P538" s="390"/>
      <c r="Q538" s="386">
        <v>55000000</v>
      </c>
      <c r="R538" s="394">
        <v>0</v>
      </c>
      <c r="S538" s="447"/>
    </row>
    <row r="539" spans="2:19" ht="19.5" hidden="1" customHeight="1">
      <c r="B539" s="29">
        <f t="shared" si="24"/>
        <v>529</v>
      </c>
      <c r="C539" s="30" t="s">
        <v>202</v>
      </c>
      <c r="D539" s="30" t="s">
        <v>225</v>
      </c>
      <c r="E539" s="163" t="s">
        <v>1173</v>
      </c>
      <c r="F539" s="284" t="s">
        <v>1229</v>
      </c>
      <c r="G539" s="284">
        <f>IFERROR(VLOOKUP(E539,Assign!$C$2:$J$142,8,FALSE),)</f>
        <v>0</v>
      </c>
      <c r="H539" s="372" t="s">
        <v>3868</v>
      </c>
      <c r="I539" s="445" t="s">
        <v>3859</v>
      </c>
      <c r="J539" s="446"/>
      <c r="K539" s="386">
        <v>44000000</v>
      </c>
      <c r="L539" s="387"/>
      <c r="M539" s="388">
        <f t="shared" si="25"/>
        <v>44000000</v>
      </c>
      <c r="N539" s="388"/>
      <c r="O539" s="388">
        <f t="shared" si="26"/>
        <v>44000000</v>
      </c>
      <c r="P539" s="390"/>
      <c r="Q539" s="386">
        <v>52800000</v>
      </c>
      <c r="R539" s="394">
        <v>0</v>
      </c>
      <c r="S539" s="447"/>
    </row>
    <row r="540" spans="2:19" ht="19.5" hidden="1" customHeight="1">
      <c r="B540" s="29">
        <f t="shared" si="24"/>
        <v>530</v>
      </c>
      <c r="C540" s="30" t="s">
        <v>202</v>
      </c>
      <c r="D540" s="30" t="s">
        <v>225</v>
      </c>
      <c r="E540" s="163" t="s">
        <v>1174</v>
      </c>
      <c r="F540" s="284" t="s">
        <v>1364</v>
      </c>
      <c r="G540" s="284">
        <f>IFERROR(VLOOKUP(E540,Assign!$C$2:$J$142,8,FALSE),)</f>
        <v>0</v>
      </c>
      <c r="H540" s="372" t="s">
        <v>3869</v>
      </c>
      <c r="I540" s="445" t="s">
        <v>3859</v>
      </c>
      <c r="J540" s="446"/>
      <c r="K540" s="386">
        <v>43803188</v>
      </c>
      <c r="L540" s="387"/>
      <c r="M540" s="388">
        <f t="shared" si="25"/>
        <v>43803188</v>
      </c>
      <c r="N540" s="388"/>
      <c r="O540" s="388">
        <f t="shared" si="26"/>
        <v>43803188</v>
      </c>
      <c r="P540" s="390"/>
      <c r="Q540" s="386">
        <v>156000000</v>
      </c>
      <c r="R540" s="394">
        <v>0</v>
      </c>
      <c r="S540" s="447"/>
    </row>
    <row r="541" spans="2:19" ht="19.5" hidden="1" customHeight="1">
      <c r="B541" s="29">
        <f t="shared" si="24"/>
        <v>531</v>
      </c>
      <c r="C541" s="30" t="s">
        <v>202</v>
      </c>
      <c r="D541" s="30" t="s">
        <v>225</v>
      </c>
      <c r="E541" s="163" t="s">
        <v>1175</v>
      </c>
      <c r="F541" s="284" t="s">
        <v>1232</v>
      </c>
      <c r="G541" s="284">
        <f>IFERROR(VLOOKUP(E541,Assign!$C$2:$J$142,8,FALSE),)</f>
        <v>0</v>
      </c>
      <c r="H541" s="372" t="s">
        <v>3869</v>
      </c>
      <c r="I541" s="445" t="s">
        <v>3859</v>
      </c>
      <c r="J541" s="446"/>
      <c r="K541" s="386">
        <v>42566321</v>
      </c>
      <c r="L541" s="387"/>
      <c r="M541" s="388">
        <f t="shared" si="25"/>
        <v>42566321</v>
      </c>
      <c r="N541" s="388"/>
      <c r="O541" s="388">
        <f t="shared" si="26"/>
        <v>42566321</v>
      </c>
      <c r="P541" s="390"/>
      <c r="Q541" s="386">
        <v>66000000</v>
      </c>
      <c r="R541" s="394">
        <v>0</v>
      </c>
      <c r="S541" s="447"/>
    </row>
    <row r="542" spans="2:19" ht="19.5" hidden="1" customHeight="1">
      <c r="B542" s="29">
        <f t="shared" si="24"/>
        <v>532</v>
      </c>
      <c r="C542" s="30" t="s">
        <v>202</v>
      </c>
      <c r="D542" s="30" t="s">
        <v>225</v>
      </c>
      <c r="E542" s="163" t="s">
        <v>1176</v>
      </c>
      <c r="F542" s="284" t="s">
        <v>1235</v>
      </c>
      <c r="G542" s="284">
        <f>IFERROR(VLOOKUP(E542,Assign!$C$2:$J$142,8,FALSE),)</f>
        <v>0</v>
      </c>
      <c r="H542" s="372" t="s">
        <v>3869</v>
      </c>
      <c r="I542" s="445" t="s">
        <v>3859</v>
      </c>
      <c r="J542" s="446"/>
      <c r="K542" s="386">
        <v>41913016</v>
      </c>
      <c r="L542" s="387"/>
      <c r="M542" s="388">
        <f t="shared" si="25"/>
        <v>41913016</v>
      </c>
      <c r="N542" s="388"/>
      <c r="O542" s="388">
        <f t="shared" si="26"/>
        <v>41913016</v>
      </c>
      <c r="P542" s="390"/>
      <c r="Q542" s="386">
        <v>56100000</v>
      </c>
      <c r="R542" s="394">
        <v>0</v>
      </c>
      <c r="S542" s="447"/>
    </row>
    <row r="543" spans="2:19" ht="19.5" hidden="1" customHeight="1">
      <c r="B543" s="29">
        <f t="shared" si="24"/>
        <v>533</v>
      </c>
      <c r="C543" s="30" t="s">
        <v>202</v>
      </c>
      <c r="D543" s="30" t="s">
        <v>225</v>
      </c>
      <c r="E543" s="163" t="s">
        <v>1177</v>
      </c>
      <c r="F543" s="284" t="s">
        <v>1263</v>
      </c>
      <c r="G543" s="284">
        <f>IFERROR(VLOOKUP(E543,Assign!$C$2:$J$142,8,FALSE),)</f>
        <v>0</v>
      </c>
      <c r="H543" s="372" t="s">
        <v>3868</v>
      </c>
      <c r="I543" s="445" t="s">
        <v>3859</v>
      </c>
      <c r="J543" s="446"/>
      <c r="K543" s="386">
        <v>41360056</v>
      </c>
      <c r="L543" s="387"/>
      <c r="M543" s="388">
        <f t="shared" si="25"/>
        <v>41360056</v>
      </c>
      <c r="N543" s="388"/>
      <c r="O543" s="388">
        <f t="shared" si="26"/>
        <v>41360056</v>
      </c>
      <c r="P543" s="390"/>
      <c r="Q543" s="386">
        <v>112800000</v>
      </c>
      <c r="R543" s="394">
        <v>0</v>
      </c>
      <c r="S543" s="447"/>
    </row>
    <row r="544" spans="2:19" ht="19.5" hidden="1" customHeight="1">
      <c r="B544" s="29">
        <f t="shared" si="24"/>
        <v>534</v>
      </c>
      <c r="C544" s="30" t="s">
        <v>202</v>
      </c>
      <c r="D544" s="30" t="s">
        <v>225</v>
      </c>
      <c r="E544" s="163" t="s">
        <v>1178</v>
      </c>
      <c r="F544" s="284" t="s">
        <v>1251</v>
      </c>
      <c r="G544" s="284">
        <f>IFERROR(VLOOKUP(E544,Assign!$C$2:$J$142,8,FALSE),)</f>
        <v>0</v>
      </c>
      <c r="H544" s="372" t="s">
        <v>3869</v>
      </c>
      <c r="I544" s="445" t="s">
        <v>3859</v>
      </c>
      <c r="J544" s="446"/>
      <c r="K544" s="386">
        <v>41139568</v>
      </c>
      <c r="L544" s="387"/>
      <c r="M544" s="388">
        <f t="shared" si="25"/>
        <v>41139568</v>
      </c>
      <c r="N544" s="388"/>
      <c r="O544" s="388">
        <f t="shared" si="26"/>
        <v>41139568</v>
      </c>
      <c r="P544" s="390"/>
      <c r="Q544" s="386">
        <v>50600000</v>
      </c>
      <c r="R544" s="394">
        <v>0</v>
      </c>
      <c r="S544" s="447"/>
    </row>
    <row r="545" spans="2:19" ht="19.5" hidden="1" customHeight="1">
      <c r="B545" s="29">
        <f t="shared" si="24"/>
        <v>535</v>
      </c>
      <c r="C545" s="30" t="s">
        <v>202</v>
      </c>
      <c r="D545" s="30" t="s">
        <v>225</v>
      </c>
      <c r="E545" s="163" t="s">
        <v>1179</v>
      </c>
      <c r="F545" s="284" t="s">
        <v>1226</v>
      </c>
      <c r="G545" s="284">
        <f>IFERROR(VLOOKUP(E545,Assign!$C$2:$J$142,8,FALSE),)</f>
        <v>0</v>
      </c>
      <c r="H545" s="372" t="s">
        <v>3869</v>
      </c>
      <c r="I545" s="445" t="s">
        <v>3859</v>
      </c>
      <c r="J545" s="446"/>
      <c r="K545" s="386">
        <v>40397819</v>
      </c>
      <c r="L545" s="387"/>
      <c r="M545" s="388">
        <f t="shared" si="25"/>
        <v>40397819</v>
      </c>
      <c r="N545" s="388"/>
      <c r="O545" s="388">
        <f t="shared" si="26"/>
        <v>40397819</v>
      </c>
      <c r="P545" s="390"/>
      <c r="Q545" s="386">
        <v>114000000</v>
      </c>
      <c r="R545" s="394">
        <v>0</v>
      </c>
      <c r="S545" s="447"/>
    </row>
    <row r="546" spans="2:19" ht="19.5" hidden="1" customHeight="1">
      <c r="B546" s="29">
        <f t="shared" si="24"/>
        <v>536</v>
      </c>
      <c r="C546" s="30" t="s">
        <v>202</v>
      </c>
      <c r="D546" s="30" t="s">
        <v>225</v>
      </c>
      <c r="E546" s="163" t="s">
        <v>1180</v>
      </c>
      <c r="F546" s="284" t="s">
        <v>1226</v>
      </c>
      <c r="G546" s="284">
        <f>IFERROR(VLOOKUP(E546,Assign!$C$2:$J$142,8,FALSE),)</f>
        <v>0</v>
      </c>
      <c r="H546" s="372" t="s">
        <v>3868</v>
      </c>
      <c r="I546" s="445" t="s">
        <v>3859</v>
      </c>
      <c r="J546" s="446"/>
      <c r="K546" s="386">
        <v>40000000</v>
      </c>
      <c r="L546" s="387"/>
      <c r="M546" s="388">
        <f t="shared" si="25"/>
        <v>40000000</v>
      </c>
      <c r="N546" s="388"/>
      <c r="O546" s="388">
        <f t="shared" si="26"/>
        <v>40000000</v>
      </c>
      <c r="P546" s="390"/>
      <c r="Q546" s="386">
        <v>44000000</v>
      </c>
      <c r="R546" s="394">
        <v>118800000</v>
      </c>
      <c r="S546" s="447"/>
    </row>
    <row r="547" spans="2:19" ht="19.5" customHeight="1">
      <c r="B547" s="29">
        <f t="shared" si="24"/>
        <v>537</v>
      </c>
      <c r="C547" s="30" t="s">
        <v>202</v>
      </c>
      <c r="D547" s="30" t="s">
        <v>225</v>
      </c>
      <c r="E547" s="491" t="s">
        <v>1181</v>
      </c>
      <c r="F547" s="284" t="s">
        <v>1229</v>
      </c>
      <c r="G547" s="284" t="str">
        <f>IFERROR(VLOOKUP(E547,Assign!$C$2:$J$142,8,FALSE),)</f>
        <v>문선영</v>
      </c>
      <c r="H547" s="372" t="s">
        <v>3869</v>
      </c>
      <c r="I547" s="445" t="s">
        <v>3859</v>
      </c>
      <c r="J547" s="446"/>
      <c r="K547" s="386">
        <v>39721968</v>
      </c>
      <c r="L547" s="387"/>
      <c r="M547" s="388">
        <f t="shared" si="25"/>
        <v>39721968</v>
      </c>
      <c r="N547" s="388"/>
      <c r="O547" s="388">
        <f t="shared" si="26"/>
        <v>39721968</v>
      </c>
      <c r="P547" s="390"/>
      <c r="Q547" s="386">
        <v>60000000</v>
      </c>
      <c r="R547" s="394">
        <v>0</v>
      </c>
      <c r="S547" s="447"/>
    </row>
    <row r="548" spans="2:19" ht="19.5" hidden="1" customHeight="1">
      <c r="B548" s="29">
        <f t="shared" si="24"/>
        <v>538</v>
      </c>
      <c r="C548" s="30" t="s">
        <v>202</v>
      </c>
      <c r="D548" s="30" t="s">
        <v>225</v>
      </c>
      <c r="E548" s="163" t="s">
        <v>1182</v>
      </c>
      <c r="F548" s="284" t="s">
        <v>1225</v>
      </c>
      <c r="G548" s="284">
        <f>IFERROR(VLOOKUP(E548,Assign!$C$2:$J$142,8,FALSE),)</f>
        <v>0</v>
      </c>
      <c r="H548" s="372" t="s">
        <v>3869</v>
      </c>
      <c r="I548" s="445" t="s">
        <v>3859</v>
      </c>
      <c r="J548" s="446"/>
      <c r="K548" s="386">
        <v>38700000</v>
      </c>
      <c r="L548" s="387"/>
      <c r="M548" s="388">
        <f t="shared" si="25"/>
        <v>38700000</v>
      </c>
      <c r="N548" s="388"/>
      <c r="O548" s="388">
        <f t="shared" si="26"/>
        <v>38700000</v>
      </c>
      <c r="P548" s="390"/>
      <c r="Q548" s="386">
        <v>46200000</v>
      </c>
      <c r="R548" s="394">
        <v>0</v>
      </c>
      <c r="S548" s="447"/>
    </row>
    <row r="549" spans="2:19" ht="19.5" hidden="1" customHeight="1">
      <c r="B549" s="29">
        <f t="shared" si="24"/>
        <v>539</v>
      </c>
      <c r="C549" s="30" t="s">
        <v>202</v>
      </c>
      <c r="D549" s="30" t="s">
        <v>225</v>
      </c>
      <c r="E549" s="163" t="s">
        <v>1183</v>
      </c>
      <c r="F549" s="284" t="s">
        <v>1227</v>
      </c>
      <c r="G549" s="284">
        <f>IFERROR(VLOOKUP(E549,Assign!$C$2:$J$142,8,FALSE),)</f>
        <v>0</v>
      </c>
      <c r="H549" s="372" t="s">
        <v>3868</v>
      </c>
      <c r="I549" s="445" t="s">
        <v>3859</v>
      </c>
      <c r="J549" s="446"/>
      <c r="K549" s="386">
        <v>37780533</v>
      </c>
      <c r="L549" s="387"/>
      <c r="M549" s="388">
        <f t="shared" si="25"/>
        <v>37780533</v>
      </c>
      <c r="N549" s="388"/>
      <c r="O549" s="388">
        <f t="shared" si="26"/>
        <v>37780533</v>
      </c>
      <c r="P549" s="390"/>
      <c r="Q549" s="386">
        <v>80400000</v>
      </c>
      <c r="R549" s="394">
        <v>0</v>
      </c>
      <c r="S549" s="447"/>
    </row>
    <row r="550" spans="2:19" ht="19.5" hidden="1" customHeight="1">
      <c r="B550" s="29">
        <f t="shared" si="24"/>
        <v>540</v>
      </c>
      <c r="C550" s="30" t="s">
        <v>202</v>
      </c>
      <c r="D550" s="30" t="s">
        <v>225</v>
      </c>
      <c r="E550" s="163" t="s">
        <v>1184</v>
      </c>
      <c r="F550" s="284" t="s">
        <v>1266</v>
      </c>
      <c r="G550" s="284">
        <f>IFERROR(VLOOKUP(E550,Assign!$C$2:$J$142,8,FALSE),)</f>
        <v>0</v>
      </c>
      <c r="H550" s="372" t="s">
        <v>3869</v>
      </c>
      <c r="I550" s="445" t="s">
        <v>3859</v>
      </c>
      <c r="J550" s="446"/>
      <c r="K550" s="386">
        <v>37415256</v>
      </c>
      <c r="L550" s="387"/>
      <c r="M550" s="388">
        <f t="shared" si="25"/>
        <v>37415256</v>
      </c>
      <c r="N550" s="388"/>
      <c r="O550" s="388">
        <f t="shared" si="26"/>
        <v>37415256</v>
      </c>
      <c r="P550" s="390"/>
      <c r="Q550" s="386">
        <v>53760000</v>
      </c>
      <c r="R550" s="394">
        <v>0</v>
      </c>
      <c r="S550" s="447"/>
    </row>
    <row r="551" spans="2:19" ht="19.5" customHeight="1">
      <c r="B551" s="29">
        <f t="shared" si="24"/>
        <v>541</v>
      </c>
      <c r="C551" s="30" t="s">
        <v>202</v>
      </c>
      <c r="D551" s="30" t="s">
        <v>225</v>
      </c>
      <c r="E551" s="491" t="s">
        <v>1185</v>
      </c>
      <c r="F551" s="284" t="s">
        <v>1289</v>
      </c>
      <c r="G551" s="284" t="str">
        <f>IFERROR(VLOOKUP(E551,Assign!$C$2:$J$142,8,FALSE),)</f>
        <v>문선영</v>
      </c>
      <c r="H551" s="372" t="s">
        <v>3868</v>
      </c>
      <c r="I551" s="445" t="s">
        <v>3859</v>
      </c>
      <c r="J551" s="446"/>
      <c r="K551" s="386">
        <v>36784691</v>
      </c>
      <c r="L551" s="387"/>
      <c r="M551" s="388">
        <f t="shared" si="25"/>
        <v>36784691</v>
      </c>
      <c r="N551" s="388"/>
      <c r="O551" s="388">
        <f t="shared" si="26"/>
        <v>36784691</v>
      </c>
      <c r="P551" s="390"/>
      <c r="Q551" s="386">
        <v>49200000</v>
      </c>
      <c r="R551" s="394">
        <v>0</v>
      </c>
      <c r="S551" s="447"/>
    </row>
    <row r="552" spans="2:19" ht="19.5" customHeight="1">
      <c r="B552" s="29">
        <f t="shared" si="24"/>
        <v>542</v>
      </c>
      <c r="C552" s="30" t="s">
        <v>202</v>
      </c>
      <c r="D552" s="30" t="s">
        <v>225</v>
      </c>
      <c r="E552" s="491" t="s">
        <v>1186</v>
      </c>
      <c r="F552" s="284" t="s">
        <v>1221</v>
      </c>
      <c r="G552" s="284" t="str">
        <f>IFERROR(VLOOKUP(E552,Assign!$C$2:$J$142,8,FALSE),)</f>
        <v>문선영</v>
      </c>
      <c r="H552" s="372" t="s">
        <v>3869</v>
      </c>
      <c r="I552" s="445" t="s">
        <v>3859</v>
      </c>
      <c r="J552" s="446"/>
      <c r="K552" s="386">
        <v>35841498</v>
      </c>
      <c r="L552" s="387"/>
      <c r="M552" s="388">
        <f t="shared" si="25"/>
        <v>35841498</v>
      </c>
      <c r="N552" s="388"/>
      <c r="O552" s="388">
        <f t="shared" si="26"/>
        <v>35841498</v>
      </c>
      <c r="P552" s="390"/>
      <c r="Q552" s="386">
        <v>61200000</v>
      </c>
      <c r="R552" s="394">
        <v>0</v>
      </c>
      <c r="S552" s="447"/>
    </row>
    <row r="553" spans="2:19" ht="19.5" hidden="1" customHeight="1">
      <c r="B553" s="29">
        <f t="shared" si="24"/>
        <v>543</v>
      </c>
      <c r="C553" s="30" t="s">
        <v>202</v>
      </c>
      <c r="D553" s="30" t="s">
        <v>225</v>
      </c>
      <c r="E553" s="163" t="s">
        <v>1187</v>
      </c>
      <c r="F553" s="284" t="s">
        <v>1242</v>
      </c>
      <c r="G553" s="284">
        <f>IFERROR(VLOOKUP(E553,Assign!$C$2:$J$142,8,FALSE),)</f>
        <v>0</v>
      </c>
      <c r="H553" s="372" t="s">
        <v>3868</v>
      </c>
      <c r="I553" s="445" t="s">
        <v>3859</v>
      </c>
      <c r="J553" s="446"/>
      <c r="K553" s="386">
        <v>35065797</v>
      </c>
      <c r="L553" s="387"/>
      <c r="M553" s="388">
        <f t="shared" si="25"/>
        <v>35065797</v>
      </c>
      <c r="N553" s="388"/>
      <c r="O553" s="388">
        <f t="shared" si="26"/>
        <v>35065797</v>
      </c>
      <c r="P553" s="390"/>
      <c r="Q553" s="386">
        <v>46200000</v>
      </c>
      <c r="R553" s="394">
        <v>0</v>
      </c>
      <c r="S553" s="447"/>
    </row>
    <row r="554" spans="2:19" ht="19.5" hidden="1" customHeight="1">
      <c r="B554" s="29">
        <f t="shared" si="24"/>
        <v>544</v>
      </c>
      <c r="C554" s="30" t="s">
        <v>202</v>
      </c>
      <c r="D554" s="30" t="s">
        <v>225</v>
      </c>
      <c r="E554" s="163" t="s">
        <v>1188</v>
      </c>
      <c r="F554" s="284" t="s">
        <v>1225</v>
      </c>
      <c r="G554" s="284">
        <f>IFERROR(VLOOKUP(E554,Assign!$C$2:$J$142,8,FALSE),)</f>
        <v>0</v>
      </c>
      <c r="H554" s="372" t="s">
        <v>3869</v>
      </c>
      <c r="I554" s="445" t="s">
        <v>3859</v>
      </c>
      <c r="J554" s="446"/>
      <c r="K554" s="386">
        <v>34326552</v>
      </c>
      <c r="L554" s="387"/>
      <c r="M554" s="388">
        <f t="shared" si="25"/>
        <v>34326552</v>
      </c>
      <c r="N554" s="388"/>
      <c r="O554" s="388">
        <f t="shared" si="26"/>
        <v>34326552</v>
      </c>
      <c r="P554" s="390"/>
      <c r="Q554" s="386">
        <v>62400000</v>
      </c>
      <c r="R554" s="394">
        <v>0</v>
      </c>
      <c r="S554" s="447"/>
    </row>
    <row r="555" spans="2:19" ht="19.5" hidden="1" customHeight="1">
      <c r="B555" s="29">
        <f t="shared" si="24"/>
        <v>545</v>
      </c>
      <c r="C555" s="30" t="s">
        <v>202</v>
      </c>
      <c r="D555" s="30" t="s">
        <v>225</v>
      </c>
      <c r="E555" s="163" t="s">
        <v>1189</v>
      </c>
      <c r="F555" s="284" t="s">
        <v>1260</v>
      </c>
      <c r="G555" s="284">
        <f>IFERROR(VLOOKUP(E555,Assign!$C$2:$J$142,8,FALSE),)</f>
        <v>0</v>
      </c>
      <c r="H555" s="372" t="s">
        <v>3869</v>
      </c>
      <c r="I555" s="445" t="s">
        <v>3859</v>
      </c>
      <c r="J555" s="446"/>
      <c r="K555" s="386">
        <v>29966646</v>
      </c>
      <c r="L555" s="387"/>
      <c r="M555" s="388">
        <f t="shared" si="25"/>
        <v>29966646</v>
      </c>
      <c r="N555" s="388"/>
      <c r="O555" s="388">
        <f t="shared" si="26"/>
        <v>29966646</v>
      </c>
      <c r="P555" s="390"/>
      <c r="Q555" s="386">
        <v>69600000</v>
      </c>
      <c r="R555" s="394">
        <v>0</v>
      </c>
      <c r="S555" s="447"/>
    </row>
    <row r="556" spans="2:19" ht="19.5" customHeight="1">
      <c r="B556" s="29">
        <f t="shared" si="24"/>
        <v>546</v>
      </c>
      <c r="C556" s="30" t="s">
        <v>202</v>
      </c>
      <c r="D556" s="30" t="s">
        <v>225</v>
      </c>
      <c r="E556" s="491" t="s">
        <v>1190</v>
      </c>
      <c r="F556" s="284" t="s">
        <v>1244</v>
      </c>
      <c r="G556" s="284" t="str">
        <f>IFERROR(VLOOKUP(E556,Assign!$C$2:$J$142,8,FALSE),)</f>
        <v>문선영</v>
      </c>
      <c r="H556" s="372" t="s">
        <v>3868</v>
      </c>
      <c r="I556" s="445" t="s">
        <v>3859</v>
      </c>
      <c r="J556" s="446"/>
      <c r="K556" s="386">
        <v>29866592</v>
      </c>
      <c r="L556" s="387"/>
      <c r="M556" s="388">
        <f t="shared" si="25"/>
        <v>29866592</v>
      </c>
      <c r="N556" s="388"/>
      <c r="O556" s="388">
        <f t="shared" si="26"/>
        <v>29866592</v>
      </c>
      <c r="P556" s="390"/>
      <c r="Q556" s="386">
        <v>48000000</v>
      </c>
      <c r="R556" s="394">
        <v>0</v>
      </c>
      <c r="S556" s="447"/>
    </row>
    <row r="557" spans="2:19" ht="19.5" hidden="1" customHeight="1">
      <c r="B557" s="29">
        <f t="shared" si="24"/>
        <v>547</v>
      </c>
      <c r="C557" s="30" t="s">
        <v>202</v>
      </c>
      <c r="D557" s="30" t="s">
        <v>225</v>
      </c>
      <c r="E557" s="163" t="s">
        <v>1191</v>
      </c>
      <c r="F557" s="284" t="s">
        <v>1229</v>
      </c>
      <c r="G557" s="284">
        <f>IFERROR(VLOOKUP(E557,Assign!$C$2:$J$142,8,FALSE),)</f>
        <v>0</v>
      </c>
      <c r="H557" s="372" t="s">
        <v>3868</v>
      </c>
      <c r="I557" s="445" t="s">
        <v>3859</v>
      </c>
      <c r="J557" s="446"/>
      <c r="K557" s="386">
        <v>28599912</v>
      </c>
      <c r="L557" s="387"/>
      <c r="M557" s="388">
        <f t="shared" si="25"/>
        <v>28599912</v>
      </c>
      <c r="N557" s="388"/>
      <c r="O557" s="388">
        <f t="shared" si="26"/>
        <v>28599912</v>
      </c>
      <c r="P557" s="390"/>
      <c r="Q557" s="386">
        <v>46800000</v>
      </c>
      <c r="R557" s="394">
        <v>0</v>
      </c>
      <c r="S557" s="447"/>
    </row>
    <row r="558" spans="2:19" ht="19.5" hidden="1" customHeight="1">
      <c r="B558" s="29">
        <f t="shared" si="24"/>
        <v>548</v>
      </c>
      <c r="C558" s="30" t="s">
        <v>202</v>
      </c>
      <c r="D558" s="30" t="s">
        <v>225</v>
      </c>
      <c r="E558" s="163" t="s">
        <v>1192</v>
      </c>
      <c r="F558" s="284" t="s">
        <v>1234</v>
      </c>
      <c r="G558" s="284">
        <f>IFERROR(VLOOKUP(E558,Assign!$C$2:$J$142,8,FALSE),)</f>
        <v>0</v>
      </c>
      <c r="H558" s="372" t="s">
        <v>3869</v>
      </c>
      <c r="I558" s="445" t="s">
        <v>3859</v>
      </c>
      <c r="J558" s="446"/>
      <c r="K558" s="386">
        <v>27619020</v>
      </c>
      <c r="L558" s="387"/>
      <c r="M558" s="388">
        <f t="shared" si="25"/>
        <v>27619020</v>
      </c>
      <c r="N558" s="388"/>
      <c r="O558" s="388">
        <f t="shared" si="26"/>
        <v>27619020</v>
      </c>
      <c r="P558" s="390"/>
      <c r="Q558" s="386">
        <v>48000000</v>
      </c>
      <c r="R558" s="394">
        <v>0</v>
      </c>
      <c r="S558" s="447"/>
    </row>
    <row r="559" spans="2:19" ht="19.5" hidden="1" customHeight="1">
      <c r="B559" s="29">
        <f t="shared" si="24"/>
        <v>549</v>
      </c>
      <c r="C559" s="30" t="s">
        <v>202</v>
      </c>
      <c r="D559" s="30" t="s">
        <v>225</v>
      </c>
      <c r="E559" s="163" t="s">
        <v>1193</v>
      </c>
      <c r="F559" s="284" t="s">
        <v>1232</v>
      </c>
      <c r="G559" s="284">
        <f>IFERROR(VLOOKUP(E559,Assign!$C$2:$J$142,8,FALSE),)</f>
        <v>0</v>
      </c>
      <c r="H559" s="372" t="s">
        <v>3869</v>
      </c>
      <c r="I559" s="445" t="s">
        <v>3859</v>
      </c>
      <c r="J559" s="446"/>
      <c r="K559" s="386">
        <v>26666640</v>
      </c>
      <c r="L559" s="387"/>
      <c r="M559" s="388">
        <f t="shared" si="25"/>
        <v>26666640</v>
      </c>
      <c r="N559" s="388"/>
      <c r="O559" s="388">
        <f t="shared" si="26"/>
        <v>26666640</v>
      </c>
      <c r="P559" s="390"/>
      <c r="Q559" s="386">
        <v>48000000</v>
      </c>
      <c r="R559" s="394">
        <v>0</v>
      </c>
      <c r="S559" s="447"/>
    </row>
    <row r="560" spans="2:19" ht="19.5" hidden="1" customHeight="1">
      <c r="B560" s="29">
        <f t="shared" si="24"/>
        <v>550</v>
      </c>
      <c r="C560" s="30" t="s">
        <v>202</v>
      </c>
      <c r="D560" s="30" t="s">
        <v>225</v>
      </c>
      <c r="E560" s="163" t="s">
        <v>1194</v>
      </c>
      <c r="F560" s="284" t="s">
        <v>1247</v>
      </c>
      <c r="G560" s="284">
        <f>IFERROR(VLOOKUP(E560,Assign!$C$2:$J$142,8,FALSE),)</f>
        <v>0</v>
      </c>
      <c r="H560" s="372" t="s">
        <v>3868</v>
      </c>
      <c r="I560" s="445" t="s">
        <v>3859</v>
      </c>
      <c r="J560" s="446"/>
      <c r="K560" s="386">
        <v>26500000</v>
      </c>
      <c r="L560" s="387"/>
      <c r="M560" s="388">
        <f t="shared" si="25"/>
        <v>26500000</v>
      </c>
      <c r="N560" s="388"/>
      <c r="O560" s="388">
        <f t="shared" si="26"/>
        <v>26500000</v>
      </c>
      <c r="P560" s="390"/>
      <c r="Q560" s="386">
        <v>36000000</v>
      </c>
      <c r="R560" s="394">
        <v>377300000</v>
      </c>
      <c r="S560" s="447"/>
    </row>
    <row r="561" spans="2:19" ht="19.5" hidden="1" customHeight="1">
      <c r="B561" s="29">
        <f t="shared" si="24"/>
        <v>551</v>
      </c>
      <c r="C561" s="30" t="s">
        <v>202</v>
      </c>
      <c r="D561" s="30" t="s">
        <v>225</v>
      </c>
      <c r="E561" s="163" t="s">
        <v>1195</v>
      </c>
      <c r="F561" s="284" t="s">
        <v>1222</v>
      </c>
      <c r="G561" s="284">
        <f>IFERROR(VLOOKUP(E561,Assign!$C$2:$J$142,8,FALSE),)</f>
        <v>0</v>
      </c>
      <c r="H561" s="372" t="s">
        <v>3869</v>
      </c>
      <c r="I561" s="445" t="s">
        <v>3859</v>
      </c>
      <c r="J561" s="446"/>
      <c r="K561" s="386">
        <v>25894698</v>
      </c>
      <c r="L561" s="387"/>
      <c r="M561" s="388">
        <f t="shared" si="25"/>
        <v>25894698</v>
      </c>
      <c r="N561" s="388"/>
      <c r="O561" s="388">
        <f t="shared" si="26"/>
        <v>25894698</v>
      </c>
      <c r="P561" s="390"/>
      <c r="Q561" s="386">
        <v>43200000</v>
      </c>
      <c r="R561" s="394">
        <v>0</v>
      </c>
      <c r="S561" s="447"/>
    </row>
    <row r="562" spans="2:19" ht="19.5" hidden="1" customHeight="1">
      <c r="B562" s="29">
        <f t="shared" si="24"/>
        <v>552</v>
      </c>
      <c r="C562" s="30" t="s">
        <v>202</v>
      </c>
      <c r="D562" s="30" t="s">
        <v>225</v>
      </c>
      <c r="E562" s="163" t="s">
        <v>1196</v>
      </c>
      <c r="F562" s="284" t="s">
        <v>1218</v>
      </c>
      <c r="G562" s="284">
        <f>IFERROR(VLOOKUP(E562,Assign!$C$2:$J$142,8,FALSE),)</f>
        <v>0</v>
      </c>
      <c r="H562" s="372" t="s">
        <v>3869</v>
      </c>
      <c r="I562" s="445" t="s">
        <v>3859</v>
      </c>
      <c r="J562" s="446"/>
      <c r="K562" s="386">
        <v>25586904</v>
      </c>
      <c r="L562" s="387"/>
      <c r="M562" s="388">
        <f t="shared" si="25"/>
        <v>25586904</v>
      </c>
      <c r="N562" s="388"/>
      <c r="O562" s="388">
        <f t="shared" si="26"/>
        <v>25586904</v>
      </c>
      <c r="P562" s="390"/>
      <c r="Q562" s="386">
        <v>60000000</v>
      </c>
      <c r="R562" s="394">
        <v>0</v>
      </c>
      <c r="S562" s="447"/>
    </row>
    <row r="563" spans="2:19" ht="19.5" hidden="1" customHeight="1">
      <c r="B563" s="29">
        <f t="shared" si="24"/>
        <v>553</v>
      </c>
      <c r="C563" s="30" t="s">
        <v>202</v>
      </c>
      <c r="D563" s="30" t="s">
        <v>225</v>
      </c>
      <c r="E563" s="163" t="s">
        <v>1197</v>
      </c>
      <c r="F563" s="284" t="s">
        <v>1232</v>
      </c>
      <c r="G563" s="284">
        <f>IFERROR(VLOOKUP(E563,Assign!$C$2:$J$142,8,FALSE),)</f>
        <v>0</v>
      </c>
      <c r="H563" s="372" t="s">
        <v>3869</v>
      </c>
      <c r="I563" s="445" t="s">
        <v>3859</v>
      </c>
      <c r="J563" s="446"/>
      <c r="K563" s="386">
        <v>23219497</v>
      </c>
      <c r="L563" s="387"/>
      <c r="M563" s="388">
        <f t="shared" si="25"/>
        <v>23219497</v>
      </c>
      <c r="N563" s="388"/>
      <c r="O563" s="388">
        <f t="shared" si="26"/>
        <v>23219497</v>
      </c>
      <c r="P563" s="390"/>
      <c r="Q563" s="386">
        <v>36000000</v>
      </c>
      <c r="R563" s="394">
        <v>0</v>
      </c>
      <c r="S563" s="447"/>
    </row>
    <row r="564" spans="2:19" ht="19.5" hidden="1" customHeight="1">
      <c r="B564" s="29">
        <f t="shared" si="24"/>
        <v>554</v>
      </c>
      <c r="C564" s="30" t="s">
        <v>202</v>
      </c>
      <c r="D564" s="30" t="s">
        <v>225</v>
      </c>
      <c r="E564" s="163" t="s">
        <v>1198</v>
      </c>
      <c r="F564" s="284" t="s">
        <v>1252</v>
      </c>
      <c r="G564" s="284">
        <f>IFERROR(VLOOKUP(E564,Assign!$C$2:$J$142,8,FALSE),)</f>
        <v>0</v>
      </c>
      <c r="H564" s="372" t="s">
        <v>3869</v>
      </c>
      <c r="I564" s="445" t="s">
        <v>3859</v>
      </c>
      <c r="J564" s="446"/>
      <c r="K564" s="386">
        <v>23323644</v>
      </c>
      <c r="L564" s="387"/>
      <c r="M564" s="388">
        <f t="shared" si="25"/>
        <v>23323644</v>
      </c>
      <c r="N564" s="388"/>
      <c r="O564" s="388">
        <f t="shared" si="26"/>
        <v>23323644</v>
      </c>
      <c r="P564" s="390"/>
      <c r="Q564" s="386">
        <v>45600000</v>
      </c>
      <c r="R564" s="394">
        <v>0</v>
      </c>
      <c r="S564" s="447"/>
    </row>
    <row r="565" spans="2:19" ht="19.5" customHeight="1">
      <c r="B565" s="29">
        <f t="shared" si="24"/>
        <v>555</v>
      </c>
      <c r="C565" s="30" t="s">
        <v>202</v>
      </c>
      <c r="D565" s="30" t="s">
        <v>225</v>
      </c>
      <c r="E565" s="491" t="s">
        <v>1199</v>
      </c>
      <c r="F565" s="284" t="s">
        <v>1351</v>
      </c>
      <c r="G565" s="284" t="str">
        <f>IFERROR(VLOOKUP(E565,Assign!$C$2:$J$142,8,FALSE),)</f>
        <v>문선영</v>
      </c>
      <c r="H565" s="372" t="s">
        <v>3870</v>
      </c>
      <c r="I565" s="445" t="s">
        <v>3859</v>
      </c>
      <c r="J565" s="446"/>
      <c r="K565" s="386">
        <v>20397943</v>
      </c>
      <c r="L565" s="387"/>
      <c r="M565" s="388">
        <f t="shared" si="25"/>
        <v>20397943</v>
      </c>
      <c r="N565" s="388"/>
      <c r="O565" s="388">
        <f t="shared" si="26"/>
        <v>20397943</v>
      </c>
      <c r="P565" s="390"/>
      <c r="Q565" s="386">
        <v>40800000</v>
      </c>
      <c r="R565" s="394">
        <v>0</v>
      </c>
      <c r="S565" s="447"/>
    </row>
    <row r="566" spans="2:19" ht="19.5" hidden="1" customHeight="1">
      <c r="B566" s="29">
        <f t="shared" si="24"/>
        <v>556</v>
      </c>
      <c r="C566" s="30" t="s">
        <v>202</v>
      </c>
      <c r="D566" s="30" t="s">
        <v>225</v>
      </c>
      <c r="E566" s="163" t="s">
        <v>1200</v>
      </c>
      <c r="F566" s="284" t="s">
        <v>1229</v>
      </c>
      <c r="G566" s="284">
        <f>IFERROR(VLOOKUP(E566,Assign!$C$2:$J$142,8,FALSE),)</f>
        <v>0</v>
      </c>
      <c r="H566" s="372" t="s">
        <v>3868</v>
      </c>
      <c r="I566" s="445" t="s">
        <v>3859</v>
      </c>
      <c r="J566" s="446"/>
      <c r="K566" s="386">
        <v>16743720</v>
      </c>
      <c r="L566" s="387"/>
      <c r="M566" s="388">
        <f t="shared" si="25"/>
        <v>16743720</v>
      </c>
      <c r="N566" s="388"/>
      <c r="O566" s="388">
        <f t="shared" si="26"/>
        <v>16743720</v>
      </c>
      <c r="P566" s="390"/>
      <c r="Q566" s="386">
        <v>62400000</v>
      </c>
      <c r="R566" s="394">
        <v>22000000</v>
      </c>
      <c r="S566" s="447"/>
    </row>
    <row r="567" spans="2:19" ht="19.5" hidden="1" customHeight="1">
      <c r="B567" s="29">
        <f t="shared" si="24"/>
        <v>557</v>
      </c>
      <c r="C567" s="30" t="s">
        <v>202</v>
      </c>
      <c r="D567" s="30" t="s">
        <v>225</v>
      </c>
      <c r="E567" s="163" t="s">
        <v>1201</v>
      </c>
      <c r="F567" s="284" t="s">
        <v>1217</v>
      </c>
      <c r="G567" s="284">
        <f>IFERROR(VLOOKUP(E567,Assign!$C$2:$J$142,8,FALSE),)</f>
        <v>0</v>
      </c>
      <c r="H567" s="372" t="s">
        <v>3868</v>
      </c>
      <c r="I567" s="445" t="s">
        <v>3859</v>
      </c>
      <c r="J567" s="446"/>
      <c r="K567" s="386">
        <v>13000000</v>
      </c>
      <c r="L567" s="387"/>
      <c r="M567" s="388">
        <f t="shared" si="25"/>
        <v>13000000</v>
      </c>
      <c r="N567" s="388"/>
      <c r="O567" s="388">
        <f t="shared" si="26"/>
        <v>13000000</v>
      </c>
      <c r="P567" s="390"/>
      <c r="Q567" s="386">
        <v>15600000</v>
      </c>
      <c r="R567" s="394">
        <v>0</v>
      </c>
      <c r="S567" s="447"/>
    </row>
    <row r="568" spans="2:19" ht="19.5" hidden="1" customHeight="1">
      <c r="B568" s="29">
        <f t="shared" si="24"/>
        <v>558</v>
      </c>
      <c r="C568" s="30" t="s">
        <v>202</v>
      </c>
      <c r="D568" s="30" t="s">
        <v>225</v>
      </c>
      <c r="E568" s="163" t="s">
        <v>1202</v>
      </c>
      <c r="F568" s="284" t="s">
        <v>1231</v>
      </c>
      <c r="G568" s="284">
        <f>IFERROR(VLOOKUP(E568,Assign!$C$2:$J$142,8,FALSE),)</f>
        <v>0</v>
      </c>
      <c r="H568" s="372" t="s">
        <v>3869</v>
      </c>
      <c r="I568" s="445" t="s">
        <v>3859</v>
      </c>
      <c r="J568" s="446"/>
      <c r="K568" s="386">
        <v>11754241</v>
      </c>
      <c r="L568" s="387"/>
      <c r="M568" s="388">
        <f t="shared" si="25"/>
        <v>11754241</v>
      </c>
      <c r="N568" s="388"/>
      <c r="O568" s="388">
        <f t="shared" si="26"/>
        <v>11754241</v>
      </c>
      <c r="P568" s="390"/>
      <c r="Q568" s="386">
        <v>38400000</v>
      </c>
      <c r="R568" s="394">
        <v>0</v>
      </c>
      <c r="S568" s="447"/>
    </row>
    <row r="569" spans="2:19" ht="19.5" hidden="1" customHeight="1">
      <c r="B569" s="29">
        <f t="shared" si="24"/>
        <v>559</v>
      </c>
      <c r="C569" s="30" t="s">
        <v>202</v>
      </c>
      <c r="D569" s="30" t="s">
        <v>225</v>
      </c>
      <c r="E569" s="163" t="s">
        <v>1203</v>
      </c>
      <c r="F569" s="284" t="s">
        <v>1229</v>
      </c>
      <c r="G569" s="284">
        <f>IFERROR(VLOOKUP(E569,Assign!$C$2:$J$142,8,FALSE),)</f>
        <v>0</v>
      </c>
      <c r="H569" s="372" t="s">
        <v>3869</v>
      </c>
      <c r="I569" s="445" t="s">
        <v>3859</v>
      </c>
      <c r="J569" s="446"/>
      <c r="K569" s="386">
        <v>8749986</v>
      </c>
      <c r="L569" s="387"/>
      <c r="M569" s="388">
        <f t="shared" si="25"/>
        <v>8749986</v>
      </c>
      <c r="N569" s="388"/>
      <c r="O569" s="388">
        <f t="shared" si="26"/>
        <v>8749986</v>
      </c>
      <c r="P569" s="390"/>
      <c r="Q569" s="386">
        <v>60000000</v>
      </c>
      <c r="R569" s="394">
        <v>0</v>
      </c>
      <c r="S569" s="447"/>
    </row>
    <row r="570" spans="2:19" ht="19.5" hidden="1" customHeight="1">
      <c r="B570" s="29">
        <f t="shared" si="24"/>
        <v>560</v>
      </c>
      <c r="C570" s="30" t="s">
        <v>202</v>
      </c>
      <c r="D570" s="30" t="s">
        <v>225</v>
      </c>
      <c r="E570" s="163" t="s">
        <v>1204</v>
      </c>
      <c r="F570" s="284" t="s">
        <v>1217</v>
      </c>
      <c r="G570" s="284">
        <f>IFERROR(VLOOKUP(E570,Assign!$C$2:$J$142,8,FALSE),)</f>
        <v>0</v>
      </c>
      <c r="H570" s="372" t="s">
        <v>3869</v>
      </c>
      <c r="I570" s="445" t="s">
        <v>3859</v>
      </c>
      <c r="J570" s="446"/>
      <c r="K570" s="386">
        <v>7620954</v>
      </c>
      <c r="L570" s="387"/>
      <c r="M570" s="388">
        <f t="shared" si="25"/>
        <v>7620954</v>
      </c>
      <c r="N570" s="388"/>
      <c r="O570" s="388">
        <f t="shared" si="26"/>
        <v>7620954</v>
      </c>
      <c r="P570" s="390"/>
      <c r="Q570" s="386">
        <v>57000000</v>
      </c>
      <c r="R570" s="394">
        <v>0</v>
      </c>
      <c r="S570" s="447"/>
    </row>
    <row r="571" spans="2:19" ht="19.5" hidden="1" customHeight="1">
      <c r="B571" s="29">
        <f t="shared" si="24"/>
        <v>561</v>
      </c>
      <c r="C571" s="30" t="s">
        <v>202</v>
      </c>
      <c r="D571" s="30" t="s">
        <v>225</v>
      </c>
      <c r="E571" s="163" t="s">
        <v>1205</v>
      </c>
      <c r="F571" s="284" t="s">
        <v>1229</v>
      </c>
      <c r="G571" s="284">
        <f>IFERROR(VLOOKUP(E571,Assign!$C$2:$J$142,8,FALSE),)</f>
        <v>0</v>
      </c>
      <c r="H571" s="372" t="s">
        <v>3869</v>
      </c>
      <c r="I571" s="445" t="s">
        <v>3859</v>
      </c>
      <c r="J571" s="446"/>
      <c r="K571" s="386">
        <v>3831672</v>
      </c>
      <c r="L571" s="387"/>
      <c r="M571" s="388">
        <f t="shared" si="25"/>
        <v>3831672</v>
      </c>
      <c r="N571" s="388"/>
      <c r="O571" s="388">
        <f t="shared" si="26"/>
        <v>3831672</v>
      </c>
      <c r="P571" s="390"/>
      <c r="Q571" s="386">
        <v>36000000</v>
      </c>
      <c r="R571" s="394">
        <v>0</v>
      </c>
      <c r="S571" s="447"/>
    </row>
    <row r="572" spans="2:19" ht="19.5" hidden="1" customHeight="1">
      <c r="B572" s="29">
        <f t="shared" si="24"/>
        <v>562</v>
      </c>
      <c r="C572" s="30" t="s">
        <v>202</v>
      </c>
      <c r="D572" s="30" t="s">
        <v>359</v>
      </c>
      <c r="E572" s="163" t="s">
        <v>1206</v>
      </c>
      <c r="F572" s="284" t="s">
        <v>1365</v>
      </c>
      <c r="G572" s="284">
        <f>IFERROR(VLOOKUP(E572,Assign!$C$2:$J$142,8,FALSE),)</f>
        <v>0</v>
      </c>
      <c r="H572" s="372" t="s">
        <v>3870</v>
      </c>
      <c r="I572" s="445" t="s">
        <v>3859</v>
      </c>
      <c r="J572" s="446"/>
      <c r="K572" s="386">
        <v>4010000000</v>
      </c>
      <c r="L572" s="387"/>
      <c r="M572" s="388">
        <f t="shared" si="25"/>
        <v>4010000000</v>
      </c>
      <c r="N572" s="388"/>
      <c r="O572" s="388">
        <f t="shared" si="26"/>
        <v>4010000000</v>
      </c>
      <c r="P572" s="390"/>
      <c r="Q572" s="386">
        <v>5160000000</v>
      </c>
      <c r="R572" s="394">
        <v>0</v>
      </c>
      <c r="S572" s="447"/>
    </row>
    <row r="573" spans="2:19" ht="19.5" hidden="1" customHeight="1">
      <c r="B573" s="29">
        <f t="shared" si="24"/>
        <v>563</v>
      </c>
      <c r="C573" s="30" t="s">
        <v>202</v>
      </c>
      <c r="D573" s="30" t="s">
        <v>359</v>
      </c>
      <c r="E573" s="163" t="s">
        <v>1207</v>
      </c>
      <c r="F573" s="284" t="s">
        <v>1290</v>
      </c>
      <c r="G573" s="284">
        <f>IFERROR(VLOOKUP(E573,Assign!$C$2:$J$142,8,FALSE),)</f>
        <v>0</v>
      </c>
      <c r="H573" s="372" t="s">
        <v>3870</v>
      </c>
      <c r="I573" s="445" t="s">
        <v>3859</v>
      </c>
      <c r="J573" s="446"/>
      <c r="K573" s="386">
        <v>2435960435</v>
      </c>
      <c r="L573" s="387"/>
      <c r="M573" s="388">
        <f t="shared" si="25"/>
        <v>2435960435</v>
      </c>
      <c r="N573" s="388"/>
      <c r="O573" s="388">
        <f t="shared" si="26"/>
        <v>2435960435</v>
      </c>
      <c r="P573" s="390"/>
      <c r="Q573" s="386">
        <v>2834400000</v>
      </c>
      <c r="R573" s="394">
        <v>0</v>
      </c>
      <c r="S573" s="447"/>
    </row>
    <row r="574" spans="2:19" ht="19.5" customHeight="1">
      <c r="B574" s="29">
        <f t="shared" si="24"/>
        <v>564</v>
      </c>
      <c r="C574" s="30" t="s">
        <v>202</v>
      </c>
      <c r="D574" s="30" t="s">
        <v>359</v>
      </c>
      <c r="E574" s="491" t="s">
        <v>1208</v>
      </c>
      <c r="F574" s="284" t="s">
        <v>1225</v>
      </c>
      <c r="G574" s="284" t="str">
        <f>IFERROR(VLOOKUP(E574,Assign!$C$2:$J$142,8,FALSE),)</f>
        <v>문선영</v>
      </c>
      <c r="H574" s="372" t="s">
        <v>3868</v>
      </c>
      <c r="I574" s="445" t="s">
        <v>3859</v>
      </c>
      <c r="J574" s="446"/>
      <c r="K574" s="386">
        <v>1524931475</v>
      </c>
      <c r="L574" s="387"/>
      <c r="M574" s="388">
        <f t="shared" si="25"/>
        <v>1524931475</v>
      </c>
      <c r="N574" s="388"/>
      <c r="O574" s="388">
        <f t="shared" si="26"/>
        <v>1524931475</v>
      </c>
      <c r="P574" s="390"/>
      <c r="Q574" s="386">
        <v>2016000000</v>
      </c>
      <c r="R574" s="394">
        <v>7426000000</v>
      </c>
      <c r="S574" s="447"/>
    </row>
    <row r="575" spans="2:19" ht="19.5" hidden="1" customHeight="1">
      <c r="B575" s="29">
        <f t="shared" si="24"/>
        <v>565</v>
      </c>
      <c r="C575" s="30" t="s">
        <v>202</v>
      </c>
      <c r="D575" s="30" t="s">
        <v>359</v>
      </c>
      <c r="E575" s="163" t="s">
        <v>1209</v>
      </c>
      <c r="F575" s="284" t="s">
        <v>1236</v>
      </c>
      <c r="G575" s="284">
        <f>IFERROR(VLOOKUP(E575,Assign!$C$2:$J$142,8,FALSE),)</f>
        <v>0</v>
      </c>
      <c r="H575" s="372" t="s">
        <v>3868</v>
      </c>
      <c r="I575" s="445" t="s">
        <v>3859</v>
      </c>
      <c r="J575" s="446"/>
      <c r="K575" s="386">
        <v>1295000000</v>
      </c>
      <c r="L575" s="387"/>
      <c r="M575" s="388">
        <f t="shared" si="25"/>
        <v>1295000000</v>
      </c>
      <c r="N575" s="388"/>
      <c r="O575" s="388">
        <f t="shared" si="26"/>
        <v>1295000000</v>
      </c>
      <c r="P575" s="390"/>
      <c r="Q575" s="386">
        <v>1926000000</v>
      </c>
      <c r="R575" s="394">
        <v>96000000</v>
      </c>
      <c r="S575" s="447"/>
    </row>
    <row r="576" spans="2:19" ht="19.5" hidden="1" customHeight="1">
      <c r="B576" s="29">
        <f t="shared" si="24"/>
        <v>566</v>
      </c>
      <c r="C576" s="30" t="s">
        <v>202</v>
      </c>
      <c r="D576" s="30" t="s">
        <v>359</v>
      </c>
      <c r="E576" s="163" t="s">
        <v>1210</v>
      </c>
      <c r="F576" s="284" t="s">
        <v>1291</v>
      </c>
      <c r="G576" s="284">
        <f>IFERROR(VLOOKUP(E576,Assign!$C$2:$J$142,8,FALSE),)</f>
        <v>0</v>
      </c>
      <c r="H576" s="372" t="s">
        <v>3870</v>
      </c>
      <c r="I576" s="445" t="s">
        <v>3859</v>
      </c>
      <c r="J576" s="446"/>
      <c r="K576" s="386">
        <v>920000000</v>
      </c>
      <c r="L576" s="387"/>
      <c r="M576" s="388">
        <f t="shared" si="25"/>
        <v>920000000</v>
      </c>
      <c r="N576" s="388"/>
      <c r="O576" s="388">
        <f t="shared" si="26"/>
        <v>920000000</v>
      </c>
      <c r="P576" s="390"/>
      <c r="Q576" s="386">
        <v>828000000</v>
      </c>
      <c r="R576" s="394">
        <v>0</v>
      </c>
      <c r="S576" s="447"/>
    </row>
    <row r="577" spans="2:19" ht="19.5" customHeight="1">
      <c r="B577" s="29">
        <f t="shared" si="24"/>
        <v>567</v>
      </c>
      <c r="C577" s="30" t="s">
        <v>202</v>
      </c>
      <c r="D577" s="30" t="s">
        <v>359</v>
      </c>
      <c r="E577" s="491" t="s">
        <v>1211</v>
      </c>
      <c r="F577" s="284" t="s">
        <v>1225</v>
      </c>
      <c r="G577" s="284" t="str">
        <f>IFERROR(VLOOKUP(E577,Assign!$C$2:$J$142,8,FALSE),)</f>
        <v>문선영</v>
      </c>
      <c r="H577" s="372" t="s">
        <v>3868</v>
      </c>
      <c r="I577" s="445" t="s">
        <v>3859</v>
      </c>
      <c r="J577" s="446"/>
      <c r="K577" s="386">
        <v>653000000</v>
      </c>
      <c r="L577" s="387"/>
      <c r="M577" s="388">
        <f t="shared" si="25"/>
        <v>653000000</v>
      </c>
      <c r="N577" s="388"/>
      <c r="O577" s="388">
        <f t="shared" si="26"/>
        <v>653000000</v>
      </c>
      <c r="P577" s="390"/>
      <c r="Q577" s="386">
        <v>663600000</v>
      </c>
      <c r="R577" s="394">
        <v>0</v>
      </c>
      <c r="S577" s="447"/>
    </row>
    <row r="578" spans="2:19" ht="19.5" customHeight="1">
      <c r="B578" s="29">
        <f t="shared" si="24"/>
        <v>568</v>
      </c>
      <c r="C578" s="30" t="s">
        <v>202</v>
      </c>
      <c r="D578" s="30" t="s">
        <v>359</v>
      </c>
      <c r="E578" s="491" t="s">
        <v>1212</v>
      </c>
      <c r="F578" s="284" t="s">
        <v>1292</v>
      </c>
      <c r="G578" s="284" t="str">
        <f>IFERROR(VLOOKUP(E578,Assign!$C$2:$J$142,8,FALSE),)</f>
        <v>문선영</v>
      </c>
      <c r="H578" s="372" t="s">
        <v>3870</v>
      </c>
      <c r="I578" s="445" t="s">
        <v>3859</v>
      </c>
      <c r="J578" s="446"/>
      <c r="K578" s="386">
        <v>373000000</v>
      </c>
      <c r="L578" s="387"/>
      <c r="M578" s="388">
        <f t="shared" si="25"/>
        <v>373000000</v>
      </c>
      <c r="N578" s="388"/>
      <c r="O578" s="388">
        <f t="shared" si="26"/>
        <v>373000000</v>
      </c>
      <c r="P578" s="390"/>
      <c r="Q578" s="386">
        <v>612000000</v>
      </c>
      <c r="R578" s="394">
        <v>0</v>
      </c>
      <c r="S578" s="447"/>
    </row>
    <row r="579" spans="2:19" ht="19.5" customHeight="1">
      <c r="B579" s="29">
        <f t="shared" si="24"/>
        <v>569</v>
      </c>
      <c r="C579" s="30" t="s">
        <v>202</v>
      </c>
      <c r="D579" s="30" t="s">
        <v>359</v>
      </c>
      <c r="E579" s="491" t="s">
        <v>1213</v>
      </c>
      <c r="F579" s="284" t="s">
        <v>1229</v>
      </c>
      <c r="G579" s="284" t="str">
        <f>IFERROR(VLOOKUP(E579,Assign!$C$2:$J$142,8,FALSE),)</f>
        <v>문선영</v>
      </c>
      <c r="H579" s="372" t="s">
        <v>3869</v>
      </c>
      <c r="I579" s="445" t="s">
        <v>3859</v>
      </c>
      <c r="J579" s="446"/>
      <c r="K579" s="386">
        <v>174597549</v>
      </c>
      <c r="L579" s="387"/>
      <c r="M579" s="388">
        <f t="shared" si="25"/>
        <v>174597549</v>
      </c>
      <c r="N579" s="388"/>
      <c r="O579" s="388">
        <f t="shared" si="26"/>
        <v>174597549</v>
      </c>
      <c r="P579" s="390"/>
      <c r="Q579" s="386">
        <v>220000000</v>
      </c>
      <c r="R579" s="394">
        <v>0</v>
      </c>
      <c r="S579" s="447"/>
    </row>
    <row r="580" spans="2:19" ht="19.5" hidden="1" customHeight="1">
      <c r="B580" s="29">
        <f t="shared" si="24"/>
        <v>570</v>
      </c>
      <c r="C580" s="30" t="s">
        <v>202</v>
      </c>
      <c r="D580" s="30" t="s">
        <v>3640</v>
      </c>
      <c r="E580" s="163" t="s">
        <v>3641</v>
      </c>
      <c r="F580" s="284" t="s">
        <v>1328</v>
      </c>
      <c r="G580" s="284">
        <f>IFERROR(VLOOKUP(E580,Assign!$C$2:$J$142,8,FALSE),)</f>
        <v>0</v>
      </c>
      <c r="H580" s="372" t="s">
        <v>3870</v>
      </c>
      <c r="I580" s="445" t="s">
        <v>3859</v>
      </c>
      <c r="J580" s="446"/>
      <c r="K580" s="386">
        <v>8050000000</v>
      </c>
      <c r="L580" s="387"/>
      <c r="M580" s="388">
        <f t="shared" si="25"/>
        <v>8050000000</v>
      </c>
      <c r="N580" s="388"/>
      <c r="O580" s="388">
        <f t="shared" si="26"/>
        <v>8050000000</v>
      </c>
      <c r="P580" s="390"/>
      <c r="Q580" s="386">
        <v>10800000000</v>
      </c>
      <c r="R580" s="394">
        <v>0</v>
      </c>
      <c r="S580" s="447"/>
    </row>
    <row r="581" spans="2:19" ht="19.5" hidden="1" customHeight="1">
      <c r="B581" s="29">
        <f t="shared" si="24"/>
        <v>571</v>
      </c>
      <c r="C581" s="30" t="s">
        <v>202</v>
      </c>
      <c r="D581" s="30" t="s">
        <v>3640</v>
      </c>
      <c r="E581" s="163" t="s">
        <v>3644</v>
      </c>
      <c r="F581" s="284" t="s">
        <v>1337</v>
      </c>
      <c r="G581" s="284">
        <f>IFERROR(VLOOKUP(E581,Assign!$C$2:$J$142,8,FALSE),)</f>
        <v>0</v>
      </c>
      <c r="H581" s="372" t="s">
        <v>3870</v>
      </c>
      <c r="I581" s="445" t="s">
        <v>3859</v>
      </c>
      <c r="J581" s="446"/>
      <c r="K581" s="386">
        <v>2932000000</v>
      </c>
      <c r="L581" s="387"/>
      <c r="M581" s="388">
        <f t="shared" si="25"/>
        <v>2932000000</v>
      </c>
      <c r="N581" s="388"/>
      <c r="O581" s="388">
        <f t="shared" si="26"/>
        <v>2932000000</v>
      </c>
      <c r="P581" s="390"/>
      <c r="Q581" s="386">
        <v>3418800000</v>
      </c>
      <c r="R581" s="394">
        <v>820500000</v>
      </c>
      <c r="S581" s="447"/>
    </row>
    <row r="582" spans="2:19" ht="19.5" customHeight="1">
      <c r="B582" s="29">
        <f t="shared" si="24"/>
        <v>572</v>
      </c>
      <c r="C582" s="30" t="s">
        <v>202</v>
      </c>
      <c r="D582" s="30" t="s">
        <v>3640</v>
      </c>
      <c r="E582" s="491" t="s">
        <v>3645</v>
      </c>
      <c r="F582" s="284" t="s">
        <v>1345</v>
      </c>
      <c r="G582" s="284" t="str">
        <f>IFERROR(VLOOKUP(E582,Assign!$C$2:$J$142,8,FALSE),)</f>
        <v>문선영</v>
      </c>
      <c r="H582" s="372" t="s">
        <v>3870</v>
      </c>
      <c r="I582" s="445" t="s">
        <v>3859</v>
      </c>
      <c r="J582" s="446"/>
      <c r="K582" s="386">
        <v>999017848</v>
      </c>
      <c r="L582" s="387"/>
      <c r="M582" s="388">
        <f t="shared" si="25"/>
        <v>999017848</v>
      </c>
      <c r="N582" s="388"/>
      <c r="O582" s="388">
        <f t="shared" si="26"/>
        <v>999017848</v>
      </c>
      <c r="P582" s="390"/>
      <c r="Q582" s="386">
        <v>480000000</v>
      </c>
      <c r="R582" s="394">
        <v>106000000</v>
      </c>
      <c r="S582" s="447"/>
    </row>
    <row r="583" spans="2:19" ht="19.5" hidden="1" customHeight="1">
      <c r="B583" s="29">
        <f t="shared" si="24"/>
        <v>573</v>
      </c>
      <c r="C583" s="30" t="s">
        <v>202</v>
      </c>
      <c r="D583" s="30" t="s">
        <v>3640</v>
      </c>
      <c r="E583" s="163" t="s">
        <v>3646</v>
      </c>
      <c r="F583" s="284" t="s">
        <v>1351</v>
      </c>
      <c r="G583" s="284">
        <f>IFERROR(VLOOKUP(E583,Assign!$C$2:$J$142,8,FALSE),)</f>
        <v>0</v>
      </c>
      <c r="H583" s="372" t="s">
        <v>3870</v>
      </c>
      <c r="I583" s="445" t="s">
        <v>3859</v>
      </c>
      <c r="J583" s="446"/>
      <c r="K583" s="386">
        <v>523387851</v>
      </c>
      <c r="L583" s="387"/>
      <c r="M583" s="388">
        <f t="shared" si="25"/>
        <v>523387851</v>
      </c>
      <c r="N583" s="388"/>
      <c r="O583" s="388">
        <f t="shared" si="26"/>
        <v>523387851</v>
      </c>
      <c r="P583" s="390"/>
      <c r="Q583" s="386">
        <v>648000000</v>
      </c>
      <c r="R583" s="394">
        <v>0</v>
      </c>
      <c r="S583" s="447"/>
    </row>
    <row r="584" spans="2:19" ht="19.5" hidden="1" customHeight="1">
      <c r="B584" s="29">
        <f t="shared" si="24"/>
        <v>574</v>
      </c>
      <c r="C584" s="30" t="s">
        <v>202</v>
      </c>
      <c r="D584" s="30" t="s">
        <v>3640</v>
      </c>
      <c r="E584" s="163" t="s">
        <v>3647</v>
      </c>
      <c r="F584" s="284" t="s">
        <v>1355</v>
      </c>
      <c r="G584" s="284">
        <f>IFERROR(VLOOKUP(E584,Assign!$C$2:$J$142,8,FALSE),)</f>
        <v>0</v>
      </c>
      <c r="H584" s="372" t="s">
        <v>3870</v>
      </c>
      <c r="I584" s="445" t="s">
        <v>3859</v>
      </c>
      <c r="J584" s="446"/>
      <c r="K584" s="386">
        <v>440000000</v>
      </c>
      <c r="L584" s="387"/>
      <c r="M584" s="388">
        <f t="shared" si="25"/>
        <v>440000000</v>
      </c>
      <c r="N584" s="388"/>
      <c r="O584" s="388">
        <f t="shared" si="26"/>
        <v>440000000</v>
      </c>
      <c r="P584" s="390"/>
      <c r="Q584" s="386">
        <v>528000000</v>
      </c>
      <c r="R584" s="394">
        <v>374000000</v>
      </c>
      <c r="S584" s="447"/>
    </row>
    <row r="585" spans="2:19" ht="19.5" hidden="1" customHeight="1">
      <c r="B585" s="29">
        <f t="shared" si="24"/>
        <v>575</v>
      </c>
      <c r="C585" s="30" t="s">
        <v>201</v>
      </c>
      <c r="D585" s="30" t="s">
        <v>225</v>
      </c>
      <c r="E585" s="163" t="s">
        <v>1214</v>
      </c>
      <c r="F585" s="284" t="s">
        <v>1366</v>
      </c>
      <c r="G585" s="284">
        <f>IFERROR(VLOOKUP(E585,Assign!$C$2:$J$142,8,FALSE),)</f>
        <v>0</v>
      </c>
      <c r="H585" s="372" t="s">
        <v>3870</v>
      </c>
      <c r="I585" s="445" t="s">
        <v>3859</v>
      </c>
      <c r="J585" s="446"/>
      <c r="K585" s="386">
        <v>18522000000</v>
      </c>
      <c r="L585" s="387"/>
      <c r="M585" s="388">
        <f t="shared" si="25"/>
        <v>18522000000</v>
      </c>
      <c r="N585" s="388"/>
      <c r="O585" s="388">
        <f t="shared" si="26"/>
        <v>18522000000</v>
      </c>
      <c r="P585" s="390"/>
      <c r="Q585" s="386">
        <v>23520000000</v>
      </c>
      <c r="R585" s="394">
        <v>48000000000</v>
      </c>
      <c r="S585" s="447" t="s">
        <v>3634</v>
      </c>
    </row>
    <row r="586" spans="2:19" ht="19.5" hidden="1" customHeight="1">
      <c r="B586" s="29">
        <f t="shared" si="24"/>
        <v>576</v>
      </c>
      <c r="C586" s="30" t="s">
        <v>541</v>
      </c>
      <c r="D586" s="30" t="s">
        <v>225</v>
      </c>
      <c r="E586" s="163" t="s">
        <v>1215</v>
      </c>
      <c r="F586" s="284" t="s">
        <v>1293</v>
      </c>
      <c r="G586" s="284">
        <f>IFERROR(VLOOKUP(E586,Assign!$C$2:$J$142,8,FALSE),)</f>
        <v>0</v>
      </c>
      <c r="H586" s="372" t="s">
        <v>3870</v>
      </c>
      <c r="I586" s="445" t="s">
        <v>3859</v>
      </c>
      <c r="J586" s="446"/>
      <c r="K586" s="386">
        <v>12698158323</v>
      </c>
      <c r="L586" s="387"/>
      <c r="M586" s="388">
        <f t="shared" si="25"/>
        <v>12698158323</v>
      </c>
      <c r="N586" s="388"/>
      <c r="O586" s="388">
        <f t="shared" si="26"/>
        <v>12698158323</v>
      </c>
      <c r="P586" s="390"/>
      <c r="Q586" s="386">
        <v>15240000000</v>
      </c>
      <c r="R586" s="394">
        <v>0</v>
      </c>
      <c r="S586" s="447" t="s">
        <v>7144</v>
      </c>
    </row>
    <row r="587" spans="2:19" ht="19.5" hidden="1" customHeight="1" thickBot="1">
      <c r="B587" s="29">
        <f t="shared" si="24"/>
        <v>577</v>
      </c>
      <c r="C587" s="30" t="s">
        <v>635</v>
      </c>
      <c r="D587" s="30" t="s">
        <v>225</v>
      </c>
      <c r="E587" s="163" t="s">
        <v>1216</v>
      </c>
      <c r="F587" s="284" t="s">
        <v>1243</v>
      </c>
      <c r="G587" s="284">
        <f>IFERROR(VLOOKUP(E587,Assign!$C$2:$J$142,8,FALSE),)</f>
        <v>0</v>
      </c>
      <c r="H587" s="372" t="s">
        <v>3870</v>
      </c>
      <c r="I587" s="445" t="s">
        <v>3859</v>
      </c>
      <c r="J587" s="446"/>
      <c r="K587" s="386">
        <v>18438000000</v>
      </c>
      <c r="L587" s="387"/>
      <c r="M587" s="388">
        <f t="shared" ref="M587" si="27">SUM(K587:L587)</f>
        <v>18438000000</v>
      </c>
      <c r="N587" s="388"/>
      <c r="O587" s="388">
        <f t="shared" ref="O587" si="28">SUM(M587:N587)</f>
        <v>18438000000</v>
      </c>
      <c r="P587" s="390"/>
      <c r="Q587" s="386">
        <v>22800000000</v>
      </c>
      <c r="R587" s="394">
        <v>0</v>
      </c>
      <c r="S587" s="447"/>
    </row>
    <row r="588" spans="2:19" s="35" customFormat="1" ht="19.5" hidden="1" customHeight="1" thickBot="1">
      <c r="B588" s="31"/>
      <c r="C588" s="32"/>
      <c r="D588" s="32"/>
      <c r="E588" s="32"/>
      <c r="F588" s="32"/>
      <c r="G588" s="32"/>
      <c r="H588" s="32"/>
      <c r="I588" s="32"/>
      <c r="J588" s="34"/>
      <c r="K588" s="158">
        <f>SUM(K11:K587)</f>
        <v>341454281828.31</v>
      </c>
      <c r="L588" s="158">
        <f>SUM(L11:L587)</f>
        <v>0</v>
      </c>
      <c r="M588" s="158">
        <f>SUM(M11:M587)</f>
        <v>341454281828.31</v>
      </c>
      <c r="N588" s="158">
        <f>SUM(N11:N587)</f>
        <v>0</v>
      </c>
      <c r="O588" s="158">
        <f>SUM(O11:O587)</f>
        <v>341454281828.31</v>
      </c>
      <c r="P588" s="158"/>
      <c r="Q588" s="158"/>
      <c r="R588" s="158"/>
      <c r="S588" s="196"/>
    </row>
  </sheetData>
  <autoFilter ref="A10:XDW588">
    <filterColumn colId="6">
      <filters>
        <filter val="문선영"/>
      </filters>
    </filterColumn>
  </autoFilter>
  <phoneticPr fontId="9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filterMode="1">
    <pageSetUpPr autoPageBreaks="0"/>
  </sheetPr>
  <dimension ref="A1:Z947"/>
  <sheetViews>
    <sheetView showGridLines="0" zoomScale="75" zoomScaleNormal="75" workbookViewId="0">
      <selection activeCell="E936" sqref="E936"/>
    </sheetView>
  </sheetViews>
  <sheetFormatPr defaultColWidth="9" defaultRowHeight="17"/>
  <cols>
    <col min="1" max="1" width="1.58203125" style="20" customWidth="1"/>
    <col min="2" max="4" width="7.58203125" style="20" customWidth="1"/>
    <col min="5" max="5" width="12.08203125" style="20" customWidth="1"/>
    <col min="6" max="7" width="25.58203125" style="36" customWidth="1"/>
    <col min="8" max="8" width="12.08203125" style="164" bestFit="1" customWidth="1"/>
    <col min="9" max="9" width="18.58203125" style="59" customWidth="1"/>
    <col min="10" max="10" width="30.58203125" style="20" customWidth="1"/>
    <col min="11" max="11" width="13" style="60" customWidth="1"/>
    <col min="12" max="13" width="13" style="20" customWidth="1"/>
    <col min="14" max="14" width="18.58203125" style="20" customWidth="1"/>
    <col min="15" max="15" width="7.58203125" style="20" customWidth="1"/>
    <col min="16" max="21" width="18.58203125" style="20" customWidth="1"/>
    <col min="22" max="23" width="10.1640625" style="61" bestFit="1" customWidth="1"/>
    <col min="24" max="24" width="9.08203125" style="20" customWidth="1"/>
    <col min="25" max="25" width="18.58203125" style="20" customWidth="1"/>
    <col min="26" max="26" width="40.6640625" style="20" customWidth="1"/>
    <col min="27" max="16384" width="9" style="20"/>
  </cols>
  <sheetData>
    <row r="1" spans="1:26" s="2" customFormat="1" ht="15" customHeight="1">
      <c r="F1" s="3"/>
      <c r="G1" s="3"/>
      <c r="H1" s="37"/>
      <c r="I1" s="37"/>
      <c r="J1" s="20"/>
      <c r="K1" s="38"/>
      <c r="L1" s="39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</row>
    <row r="2" spans="1:26" s="2" customFormat="1" ht="28.25" customHeight="1">
      <c r="A2" s="5" t="str">
        <f>Description!A2</f>
        <v>SHB 2025-8 Program</v>
      </c>
      <c r="F2" s="40"/>
      <c r="G2" s="40"/>
      <c r="H2" s="37"/>
      <c r="I2" s="37"/>
      <c r="J2" s="20"/>
      <c r="K2" s="38"/>
      <c r="L2" s="39"/>
      <c r="N2" s="4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</row>
    <row r="3" spans="1:26" s="2" customFormat="1" ht="8" customHeight="1">
      <c r="F3" s="3"/>
      <c r="G3" s="3"/>
      <c r="H3" s="37"/>
      <c r="I3" s="37"/>
      <c r="K3" s="38"/>
      <c r="L3" s="39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</row>
    <row r="4" spans="1:26" s="2" customFormat="1" ht="25.25" customHeight="1">
      <c r="A4" s="8" t="s">
        <v>4</v>
      </c>
      <c r="B4" s="9"/>
      <c r="C4" s="9"/>
      <c r="D4" s="9"/>
      <c r="E4" s="9"/>
      <c r="F4" s="342"/>
      <c r="G4" s="342"/>
      <c r="H4" s="9"/>
      <c r="I4" s="9"/>
      <c r="K4" s="38"/>
      <c r="N4" s="4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</row>
    <row r="5" spans="1:26" s="2" customFormat="1" ht="5" customHeight="1">
      <c r="A5" s="10"/>
      <c r="B5" s="9"/>
      <c r="C5" s="9"/>
      <c r="D5" s="9"/>
      <c r="E5" s="9"/>
      <c r="F5" s="342"/>
      <c r="G5" s="342"/>
      <c r="H5" s="347"/>
      <c r="I5" s="347"/>
      <c r="K5" s="38"/>
      <c r="L5" s="39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</row>
    <row r="6" spans="1:26" s="2" customFormat="1" ht="18" customHeight="1">
      <c r="A6" s="10" t="s">
        <v>40</v>
      </c>
      <c r="B6" s="9"/>
      <c r="C6" s="9"/>
      <c r="D6" s="9"/>
      <c r="E6" s="9"/>
      <c r="F6" s="342"/>
      <c r="G6" s="342"/>
      <c r="H6" s="347"/>
      <c r="I6" s="347"/>
      <c r="K6" s="38"/>
      <c r="Q6" s="40"/>
      <c r="R6" s="40"/>
      <c r="S6" s="40"/>
      <c r="T6" s="40"/>
      <c r="U6" s="40"/>
      <c r="V6" s="40"/>
      <c r="W6" s="40"/>
      <c r="Z6" s="348" t="s">
        <v>24</v>
      </c>
    </row>
    <row r="7" spans="1:26" s="2" customFormat="1" ht="8" customHeight="1" thickBot="1">
      <c r="F7" s="3"/>
      <c r="G7" s="3"/>
      <c r="H7" s="37"/>
      <c r="I7" s="37"/>
      <c r="K7" s="38"/>
      <c r="N7" s="4"/>
      <c r="V7" s="349"/>
      <c r="W7" s="349"/>
    </row>
    <row r="8" spans="1:26" ht="18" customHeight="1">
      <c r="B8" s="41" t="s">
        <v>25</v>
      </c>
      <c r="C8" s="42"/>
      <c r="D8" s="42"/>
      <c r="E8" s="42"/>
      <c r="F8" s="43"/>
      <c r="G8" s="474"/>
      <c r="H8" s="189" t="s">
        <v>41</v>
      </c>
      <c r="I8" s="22"/>
      <c r="J8" s="22"/>
      <c r="K8" s="44"/>
      <c r="L8" s="22"/>
      <c r="M8" s="22"/>
      <c r="N8" s="22"/>
      <c r="O8" s="22"/>
      <c r="P8" s="22"/>
      <c r="Q8" s="22"/>
      <c r="R8" s="22"/>
      <c r="S8" s="22"/>
      <c r="T8" s="22"/>
      <c r="U8" s="22"/>
      <c r="V8" s="45"/>
      <c r="W8" s="45"/>
      <c r="X8" s="46"/>
      <c r="Y8" s="46"/>
      <c r="Z8" s="47" t="s">
        <v>27</v>
      </c>
    </row>
    <row r="9" spans="1:26" ht="18" customHeight="1">
      <c r="B9" s="26" t="str">
        <f>"Field 1"</f>
        <v>Field 1</v>
      </c>
      <c r="C9" s="27" t="str">
        <f>"Field "&amp;(COLUMN()-COUNTIF($B$9:B9,"")-1)</f>
        <v>Field 2</v>
      </c>
      <c r="D9" s="27" t="str">
        <f>"Field "&amp;(COLUMN()-COUNTIF($B$9:C9,"")-1)</f>
        <v>Field 3</v>
      </c>
      <c r="E9" s="27" t="str">
        <f>"Field "&amp;(COLUMN()-COUNTIF($B$9:D9,"")-1)</f>
        <v>Field 4</v>
      </c>
      <c r="F9" s="48" t="str">
        <f>"Field "&amp;(COLUMN()-COUNTIF($B$9:E9,"")-1)</f>
        <v>Field 5</v>
      </c>
      <c r="G9" s="480"/>
      <c r="H9" s="26" t="str">
        <f>"Field "&amp;(COLUMN()-COUNTIF($B$9:F9,"")-1)</f>
        <v>Field 7</v>
      </c>
      <c r="I9" s="49" t="str">
        <f>"Field "&amp;(COLUMN()-COUNTIF($B$9:H9,"")-1)</f>
        <v>Field 7</v>
      </c>
      <c r="J9" s="49" t="str">
        <f>"Field "&amp;(COLUMN()-COUNTIF($B$9:I9,"")-1)</f>
        <v>Field 8</v>
      </c>
      <c r="K9" s="49" t="str">
        <f>"Field "&amp;(COLUMN()-COUNTIF($B$9:J9,"")-1)</f>
        <v>Field 9</v>
      </c>
      <c r="L9" s="49" t="str">
        <f>"Field "&amp;(COLUMN()-COUNTIF($B$9:K9,"")-1)</f>
        <v>Field 10</v>
      </c>
      <c r="M9" s="49" t="str">
        <f>"Field "&amp;(COLUMN()-COUNTIF($B$9:L9,"")-1)</f>
        <v>Field 11</v>
      </c>
      <c r="N9" s="183" t="str">
        <f>"Field "&amp;(COLUMN()-COUNTIF($B$9:L9,"")-1)</f>
        <v>Field 12</v>
      </c>
      <c r="O9" s="26" t="str">
        <f>"Field "&amp;(COLUMN()-COUNTIF($B$9:N9,"")-1)</f>
        <v>Field 13</v>
      </c>
      <c r="P9" s="49" t="str">
        <f>"Field "&amp;(COLUMN()-COUNTIF($B$9:O9,"")-1)</f>
        <v>Field 14</v>
      </c>
      <c r="Q9" s="49" t="str">
        <f>"Field "&amp;(COLUMN()-COUNTIF($B$9:P9,"")-1)</f>
        <v>Field 15</v>
      </c>
      <c r="R9" s="49" t="str">
        <f>"Field "&amp;(COLUMN()-COUNTIF($B$9:Q9,"")-1)</f>
        <v>Field 16</v>
      </c>
      <c r="S9" s="49" t="str">
        <f>"Field "&amp;(COLUMN()-COUNTIF($B$9:R9,"")-1)</f>
        <v>Field 17</v>
      </c>
      <c r="T9" s="49" t="str">
        <f>"Field "&amp;(COLUMN()-COUNTIF($B$9:S9,"")-1)</f>
        <v>Field 18</v>
      </c>
      <c r="U9" s="49" t="str">
        <f>"Field "&amp;(COLUMN()-COUNTIF($B$9:T9,"")-1)</f>
        <v>Field 19</v>
      </c>
      <c r="V9" s="51" t="str">
        <f>"Field "&amp;(COLUMN()-COUNTIF($B$9:U9,"")-1)</f>
        <v>Field 20</v>
      </c>
      <c r="W9" s="51" t="str">
        <f>"Field "&amp;(COLUMN()-COUNTIF($B$9:V9,"")-1)</f>
        <v>Field 21</v>
      </c>
      <c r="X9" s="51" t="str">
        <f>"Field "&amp;(COLUMN()-COUNTIF($B$9:W9,"")-1)</f>
        <v>Field 22</v>
      </c>
      <c r="Y9" s="51" t="str">
        <f>"Field "&amp;(COLUMN()-COUNTIF($B$9:X9,"")-1)</f>
        <v>Field 23</v>
      </c>
      <c r="Z9" s="52" t="str">
        <f>"Field "&amp;(COLUMN()-COUNTIF($B$9:Y9,"")-1)</f>
        <v>Field 24</v>
      </c>
    </row>
    <row r="10" spans="1:26" s="308" customFormat="1" ht="30" customHeight="1" thickBot="1">
      <c r="B10" s="142" t="s">
        <v>28</v>
      </c>
      <c r="C10" s="139" t="s">
        <v>29</v>
      </c>
      <c r="D10" s="139" t="s">
        <v>30</v>
      </c>
      <c r="E10" s="143" t="s">
        <v>7143</v>
      </c>
      <c r="F10" s="300" t="s">
        <v>196</v>
      </c>
      <c r="G10" s="482" t="s">
        <v>7473</v>
      </c>
      <c r="H10" s="142" t="s">
        <v>42</v>
      </c>
      <c r="I10" s="144" t="s">
        <v>0</v>
      </c>
      <c r="J10" s="144" t="s">
        <v>43</v>
      </c>
      <c r="K10" s="144" t="s">
        <v>171</v>
      </c>
      <c r="L10" s="143" t="s">
        <v>172</v>
      </c>
      <c r="M10" s="143" t="s">
        <v>1367</v>
      </c>
      <c r="N10" s="159" t="s">
        <v>173</v>
      </c>
      <c r="O10" s="142" t="s">
        <v>166</v>
      </c>
      <c r="P10" s="143" t="s">
        <v>44</v>
      </c>
      <c r="Q10" s="143" t="s">
        <v>529</v>
      </c>
      <c r="R10" s="143" t="s">
        <v>530</v>
      </c>
      <c r="S10" s="143" t="s">
        <v>45</v>
      </c>
      <c r="T10" s="143" t="s">
        <v>167</v>
      </c>
      <c r="U10" s="145" t="s">
        <v>46</v>
      </c>
      <c r="V10" s="145" t="s">
        <v>1368</v>
      </c>
      <c r="W10" s="145" t="s">
        <v>1369</v>
      </c>
      <c r="X10" s="145" t="s">
        <v>47</v>
      </c>
      <c r="Y10" s="145" t="s">
        <v>1370</v>
      </c>
      <c r="Z10" s="146" t="s">
        <v>39</v>
      </c>
    </row>
    <row r="11" spans="1:26" ht="19.5" hidden="1" customHeight="1">
      <c r="B11" s="29">
        <f t="shared" ref="B11:B74" si="0">ROW()-10</f>
        <v>1</v>
      </c>
      <c r="C11" s="30" t="s">
        <v>206</v>
      </c>
      <c r="D11" s="30" t="s">
        <v>225</v>
      </c>
      <c r="E11" s="234" t="s">
        <v>645</v>
      </c>
      <c r="F11" s="235" t="s">
        <v>1294</v>
      </c>
      <c r="G11" s="284">
        <f>IFERROR(VLOOKUP(E11,Assign!$C$2:$J$142,8,FALSE),)</f>
        <v>0</v>
      </c>
      <c r="H11" s="279" t="s">
        <v>6800</v>
      </c>
      <c r="I11" s="280" t="s">
        <v>6006</v>
      </c>
      <c r="J11" s="281" t="s">
        <v>3794</v>
      </c>
      <c r="K11" s="282">
        <v>44742</v>
      </c>
      <c r="L11" s="282">
        <v>45747</v>
      </c>
      <c r="M11" s="282">
        <v>45748</v>
      </c>
      <c r="N11" s="371">
        <v>8500000000</v>
      </c>
      <c r="O11" s="444" t="s">
        <v>3866</v>
      </c>
      <c r="P11" s="397">
        <v>8500000000</v>
      </c>
      <c r="Q11" s="397">
        <v>8500000000</v>
      </c>
      <c r="R11" s="397"/>
      <c r="S11" s="398">
        <f t="shared" ref="S11:S74" si="1">Q11+R11</f>
        <v>8500000000</v>
      </c>
      <c r="T11" s="353"/>
      <c r="U11" s="353">
        <f t="shared" ref="U11:U74" si="2">S11+T11</f>
        <v>8500000000</v>
      </c>
      <c r="V11" s="399"/>
      <c r="W11" s="399"/>
      <c r="X11" s="400" t="s">
        <v>492</v>
      </c>
      <c r="Y11" s="400"/>
      <c r="Z11" s="283"/>
    </row>
    <row r="12" spans="1:26" ht="19.5" hidden="1" customHeight="1">
      <c r="B12" s="29">
        <f t="shared" si="0"/>
        <v>2</v>
      </c>
      <c r="C12" s="30" t="s">
        <v>206</v>
      </c>
      <c r="D12" s="30" t="s">
        <v>225</v>
      </c>
      <c r="E12" s="234" t="s">
        <v>646</v>
      </c>
      <c r="F12" s="235" t="s">
        <v>1217</v>
      </c>
      <c r="G12" s="284">
        <f>IFERROR(VLOOKUP(E12,Assign!$C$2:$J$142,8,FALSE),)</f>
        <v>0</v>
      </c>
      <c r="H12" s="279" t="s">
        <v>6348</v>
      </c>
      <c r="I12" s="280" t="s">
        <v>5720</v>
      </c>
      <c r="J12" s="281" t="s">
        <v>3751</v>
      </c>
      <c r="K12" s="282">
        <v>43280</v>
      </c>
      <c r="L12" s="282">
        <v>45837</v>
      </c>
      <c r="M12" s="282">
        <v>45692</v>
      </c>
      <c r="N12" s="371">
        <v>3550000000</v>
      </c>
      <c r="O12" s="444" t="s">
        <v>3866</v>
      </c>
      <c r="P12" s="397">
        <v>3550000000</v>
      </c>
      <c r="Q12" s="397">
        <v>3550000000</v>
      </c>
      <c r="R12" s="397"/>
      <c r="S12" s="398">
        <f t="shared" si="1"/>
        <v>3550000000</v>
      </c>
      <c r="T12" s="353"/>
      <c r="U12" s="353">
        <f t="shared" si="2"/>
        <v>3550000000</v>
      </c>
      <c r="V12" s="399"/>
      <c r="W12" s="399"/>
      <c r="X12" s="400" t="s">
        <v>492</v>
      </c>
      <c r="Y12" s="400"/>
      <c r="Z12" s="283"/>
    </row>
    <row r="13" spans="1:26" ht="19.5" hidden="1" customHeight="1">
      <c r="B13" s="29">
        <f t="shared" si="0"/>
        <v>3</v>
      </c>
      <c r="C13" s="30" t="s">
        <v>206</v>
      </c>
      <c r="D13" s="30" t="s">
        <v>225</v>
      </c>
      <c r="E13" s="234" t="s">
        <v>646</v>
      </c>
      <c r="F13" s="235" t="s">
        <v>1217</v>
      </c>
      <c r="G13" s="284">
        <f>IFERROR(VLOOKUP(E13,Assign!$C$2:$J$142,8,FALSE),)</f>
        <v>0</v>
      </c>
      <c r="H13" s="279" t="s">
        <v>6349</v>
      </c>
      <c r="I13" s="280" t="s">
        <v>5721</v>
      </c>
      <c r="J13" s="281" t="s">
        <v>3733</v>
      </c>
      <c r="K13" s="282">
        <v>43280</v>
      </c>
      <c r="L13" s="282">
        <v>45708</v>
      </c>
      <c r="M13" s="282">
        <v>45709</v>
      </c>
      <c r="N13" s="371">
        <v>1250000000</v>
      </c>
      <c r="O13" s="444" t="s">
        <v>3866</v>
      </c>
      <c r="P13" s="397">
        <v>1250000000</v>
      </c>
      <c r="Q13" s="397">
        <v>1250000000</v>
      </c>
      <c r="R13" s="397"/>
      <c r="S13" s="398">
        <f t="shared" si="1"/>
        <v>1250000000</v>
      </c>
      <c r="T13" s="353"/>
      <c r="U13" s="353">
        <f t="shared" si="2"/>
        <v>1250000000</v>
      </c>
      <c r="V13" s="399"/>
      <c r="W13" s="399"/>
      <c r="X13" s="400" t="s">
        <v>492</v>
      </c>
      <c r="Y13" s="400"/>
      <c r="Z13" s="283"/>
    </row>
    <row r="14" spans="1:26" ht="19.5" hidden="1" customHeight="1">
      <c r="B14" s="29">
        <f t="shared" si="0"/>
        <v>4</v>
      </c>
      <c r="C14" s="30" t="s">
        <v>206</v>
      </c>
      <c r="D14" s="30" t="s">
        <v>225</v>
      </c>
      <c r="E14" s="234" t="s">
        <v>646</v>
      </c>
      <c r="F14" s="235" t="s">
        <v>1217</v>
      </c>
      <c r="G14" s="284">
        <f>IFERROR(VLOOKUP(E14,Assign!$C$2:$J$142,8,FALSE),)</f>
        <v>0</v>
      </c>
      <c r="H14" s="279" t="s">
        <v>6350</v>
      </c>
      <c r="I14" s="280" t="s">
        <v>5650</v>
      </c>
      <c r="J14" s="281" t="s">
        <v>3733</v>
      </c>
      <c r="K14" s="282">
        <v>43850</v>
      </c>
      <c r="L14" s="282">
        <v>45708</v>
      </c>
      <c r="M14" s="282">
        <v>45709</v>
      </c>
      <c r="N14" s="371">
        <v>50000000</v>
      </c>
      <c r="O14" s="444" t="s">
        <v>3866</v>
      </c>
      <c r="P14" s="397">
        <v>50000000</v>
      </c>
      <c r="Q14" s="397">
        <v>50000000</v>
      </c>
      <c r="R14" s="397"/>
      <c r="S14" s="398">
        <f t="shared" si="1"/>
        <v>50000000</v>
      </c>
      <c r="T14" s="353"/>
      <c r="U14" s="353">
        <f t="shared" si="2"/>
        <v>50000000</v>
      </c>
      <c r="V14" s="399"/>
      <c r="W14" s="399"/>
      <c r="X14" s="400" t="s">
        <v>492</v>
      </c>
      <c r="Y14" s="400"/>
      <c r="Z14" s="283"/>
    </row>
    <row r="15" spans="1:26" ht="19.5" hidden="1" customHeight="1">
      <c r="B15" s="29">
        <f t="shared" si="0"/>
        <v>5</v>
      </c>
      <c r="C15" s="30" t="s">
        <v>206</v>
      </c>
      <c r="D15" s="30" t="s">
        <v>225</v>
      </c>
      <c r="E15" s="234" t="s">
        <v>646</v>
      </c>
      <c r="F15" s="235" t="s">
        <v>1217</v>
      </c>
      <c r="G15" s="284">
        <f>IFERROR(VLOOKUP(E15,Assign!$C$2:$J$142,8,FALSE),)</f>
        <v>0</v>
      </c>
      <c r="H15" s="279" t="s">
        <v>6351</v>
      </c>
      <c r="I15" s="280" t="s">
        <v>5653</v>
      </c>
      <c r="J15" s="281" t="s">
        <v>3734</v>
      </c>
      <c r="K15" s="282">
        <v>45106</v>
      </c>
      <c r="L15" s="282">
        <v>45837</v>
      </c>
      <c r="M15" s="282">
        <v>45692</v>
      </c>
      <c r="N15" s="371">
        <v>1450000000</v>
      </c>
      <c r="O15" s="444" t="s">
        <v>3866</v>
      </c>
      <c r="P15" s="397">
        <v>1450000000</v>
      </c>
      <c r="Q15" s="397">
        <v>1450000000</v>
      </c>
      <c r="R15" s="397"/>
      <c r="S15" s="398">
        <f t="shared" si="1"/>
        <v>1450000000</v>
      </c>
      <c r="T15" s="353"/>
      <c r="U15" s="353">
        <f t="shared" si="2"/>
        <v>1450000000</v>
      </c>
      <c r="V15" s="399"/>
      <c r="W15" s="399"/>
      <c r="X15" s="400" t="s">
        <v>492</v>
      </c>
      <c r="Y15" s="400"/>
      <c r="Z15" s="283"/>
    </row>
    <row r="16" spans="1:26" ht="19.5" hidden="1" customHeight="1">
      <c r="B16" s="29">
        <f t="shared" si="0"/>
        <v>6</v>
      </c>
      <c r="C16" s="30" t="s">
        <v>206</v>
      </c>
      <c r="D16" s="30" t="s">
        <v>225</v>
      </c>
      <c r="E16" s="234" t="s">
        <v>646</v>
      </c>
      <c r="F16" s="235" t="s">
        <v>1217</v>
      </c>
      <c r="G16" s="284">
        <f>IFERROR(VLOOKUP(E16,Assign!$C$2:$J$142,8,FALSE),)</f>
        <v>0</v>
      </c>
      <c r="H16" s="279" t="s">
        <v>6352</v>
      </c>
      <c r="I16" s="280" t="s">
        <v>5722</v>
      </c>
      <c r="J16" s="281" t="s">
        <v>3734</v>
      </c>
      <c r="K16" s="282">
        <v>45106</v>
      </c>
      <c r="L16" s="282">
        <v>45837</v>
      </c>
      <c r="M16" s="282">
        <v>45692</v>
      </c>
      <c r="N16" s="371">
        <v>450000000</v>
      </c>
      <c r="O16" s="444" t="s">
        <v>3866</v>
      </c>
      <c r="P16" s="397">
        <v>450000000</v>
      </c>
      <c r="Q16" s="397">
        <v>450000000</v>
      </c>
      <c r="R16" s="397"/>
      <c r="S16" s="398">
        <f t="shared" si="1"/>
        <v>450000000</v>
      </c>
      <c r="T16" s="353"/>
      <c r="U16" s="353">
        <f t="shared" si="2"/>
        <v>450000000</v>
      </c>
      <c r="V16" s="399"/>
      <c r="W16" s="399"/>
      <c r="X16" s="400" t="s">
        <v>492</v>
      </c>
      <c r="Y16" s="400"/>
      <c r="Z16" s="283"/>
    </row>
    <row r="17" spans="2:26" ht="19.5" hidden="1" customHeight="1">
      <c r="B17" s="29">
        <f t="shared" si="0"/>
        <v>7</v>
      </c>
      <c r="C17" s="30" t="s">
        <v>206</v>
      </c>
      <c r="D17" s="30" t="s">
        <v>225</v>
      </c>
      <c r="E17" s="234" t="s">
        <v>647</v>
      </c>
      <c r="F17" s="235" t="s">
        <v>1244</v>
      </c>
      <c r="G17" s="284">
        <f>IFERROR(VLOOKUP(E17,Assign!$C$2:$J$142,8,FALSE),)</f>
        <v>0</v>
      </c>
      <c r="H17" s="279" t="s">
        <v>6303</v>
      </c>
      <c r="I17" s="280" t="s">
        <v>5679</v>
      </c>
      <c r="J17" s="281" t="s">
        <v>3754</v>
      </c>
      <c r="K17" s="282">
        <v>44966</v>
      </c>
      <c r="L17" s="282">
        <v>46062</v>
      </c>
      <c r="M17" s="282">
        <v>45713</v>
      </c>
      <c r="N17" s="371">
        <v>5549000000</v>
      </c>
      <c r="O17" s="444" t="s">
        <v>3866</v>
      </c>
      <c r="P17" s="397">
        <v>5504000000</v>
      </c>
      <c r="Q17" s="397">
        <v>5504000000</v>
      </c>
      <c r="R17" s="397"/>
      <c r="S17" s="398">
        <f t="shared" si="1"/>
        <v>5504000000</v>
      </c>
      <c r="T17" s="353"/>
      <c r="U17" s="353">
        <f t="shared" si="2"/>
        <v>5504000000</v>
      </c>
      <c r="V17" s="399"/>
      <c r="W17" s="399"/>
      <c r="X17" s="400" t="s">
        <v>492</v>
      </c>
      <c r="Y17" s="400"/>
      <c r="Z17" s="283"/>
    </row>
    <row r="18" spans="2:26" ht="19.5" hidden="1" customHeight="1">
      <c r="B18" s="29">
        <f t="shared" si="0"/>
        <v>8</v>
      </c>
      <c r="C18" s="30" t="s">
        <v>206</v>
      </c>
      <c r="D18" s="30" t="s">
        <v>225</v>
      </c>
      <c r="E18" s="234" t="s">
        <v>648</v>
      </c>
      <c r="F18" s="235" t="s">
        <v>1295</v>
      </c>
      <c r="G18" s="284">
        <f>IFERROR(VLOOKUP(E18,Assign!$C$2:$J$142,8,FALSE),)</f>
        <v>0</v>
      </c>
      <c r="H18" s="279" t="s">
        <v>7107</v>
      </c>
      <c r="I18" s="280" t="s">
        <v>6204</v>
      </c>
      <c r="J18" s="281" t="s">
        <v>3793</v>
      </c>
      <c r="K18" s="282">
        <v>45092</v>
      </c>
      <c r="L18" s="282">
        <v>46188</v>
      </c>
      <c r="M18" s="282">
        <v>45708</v>
      </c>
      <c r="N18" s="371">
        <v>700000000</v>
      </c>
      <c r="O18" s="444" t="s">
        <v>3866</v>
      </c>
      <c r="P18" s="397">
        <v>697462051</v>
      </c>
      <c r="Q18" s="397">
        <v>697462051</v>
      </c>
      <c r="R18" s="397"/>
      <c r="S18" s="398">
        <f t="shared" si="1"/>
        <v>697462051</v>
      </c>
      <c r="T18" s="353"/>
      <c r="U18" s="353">
        <f t="shared" si="2"/>
        <v>697462051</v>
      </c>
      <c r="V18" s="399"/>
      <c r="W18" s="399"/>
      <c r="X18" s="400" t="s">
        <v>492</v>
      </c>
      <c r="Y18" s="400"/>
      <c r="Z18" s="283"/>
    </row>
    <row r="19" spans="2:26" ht="19.5" hidden="1" customHeight="1">
      <c r="B19" s="29">
        <f t="shared" si="0"/>
        <v>9</v>
      </c>
      <c r="C19" s="30" t="s">
        <v>206</v>
      </c>
      <c r="D19" s="30" t="s">
        <v>225</v>
      </c>
      <c r="E19" s="234" t="s">
        <v>648</v>
      </c>
      <c r="F19" s="235" t="s">
        <v>1295</v>
      </c>
      <c r="G19" s="284">
        <f>IFERROR(VLOOKUP(E19,Assign!$C$2:$J$142,8,FALSE),)</f>
        <v>0</v>
      </c>
      <c r="H19" s="279" t="s">
        <v>7108</v>
      </c>
      <c r="I19" s="280" t="s">
        <v>6205</v>
      </c>
      <c r="J19" s="281" t="s">
        <v>3774</v>
      </c>
      <c r="K19" s="282">
        <v>45162</v>
      </c>
      <c r="L19" s="282">
        <v>48780</v>
      </c>
      <c r="M19" s="282">
        <v>45692</v>
      </c>
      <c r="N19" s="371">
        <v>1200000000</v>
      </c>
      <c r="O19" s="444" t="s">
        <v>3866</v>
      </c>
      <c r="P19" s="397">
        <v>1200000000</v>
      </c>
      <c r="Q19" s="397">
        <v>1200000000</v>
      </c>
      <c r="R19" s="397"/>
      <c r="S19" s="398">
        <f t="shared" si="1"/>
        <v>1200000000</v>
      </c>
      <c r="T19" s="353"/>
      <c r="U19" s="353">
        <f t="shared" si="2"/>
        <v>1200000000</v>
      </c>
      <c r="V19" s="399"/>
      <c r="W19" s="399"/>
      <c r="X19" s="400" t="s">
        <v>492</v>
      </c>
      <c r="Y19" s="400"/>
      <c r="Z19" s="283"/>
    </row>
    <row r="20" spans="2:26" ht="19.5" hidden="1" customHeight="1">
      <c r="B20" s="29">
        <f t="shared" si="0"/>
        <v>10</v>
      </c>
      <c r="C20" s="30" t="s">
        <v>206</v>
      </c>
      <c r="D20" s="30" t="s">
        <v>225</v>
      </c>
      <c r="E20" s="234" t="s">
        <v>648</v>
      </c>
      <c r="F20" s="235" t="s">
        <v>1295</v>
      </c>
      <c r="G20" s="284">
        <f>IFERROR(VLOOKUP(E20,Assign!$C$2:$J$142,8,FALSE),)</f>
        <v>0</v>
      </c>
      <c r="H20" s="279" t="s">
        <v>7109</v>
      </c>
      <c r="I20" s="280" t="s">
        <v>5781</v>
      </c>
      <c r="J20" s="281" t="s">
        <v>3774</v>
      </c>
      <c r="K20" s="282">
        <v>45162</v>
      </c>
      <c r="L20" s="282">
        <v>48780</v>
      </c>
      <c r="M20" s="282">
        <v>45692</v>
      </c>
      <c r="N20" s="371">
        <v>3300000000</v>
      </c>
      <c r="O20" s="444" t="s">
        <v>3866</v>
      </c>
      <c r="P20" s="397">
        <v>3300000000</v>
      </c>
      <c r="Q20" s="397">
        <v>3300000000</v>
      </c>
      <c r="R20" s="397"/>
      <c r="S20" s="398">
        <f t="shared" si="1"/>
        <v>3300000000</v>
      </c>
      <c r="T20" s="353"/>
      <c r="U20" s="353">
        <f t="shared" si="2"/>
        <v>3300000000</v>
      </c>
      <c r="V20" s="399"/>
      <c r="W20" s="399"/>
      <c r="X20" s="400" t="s">
        <v>492</v>
      </c>
      <c r="Y20" s="400"/>
      <c r="Z20" s="283"/>
    </row>
    <row r="21" spans="2:26" ht="19.5" hidden="1" customHeight="1">
      <c r="B21" s="29">
        <f t="shared" si="0"/>
        <v>11</v>
      </c>
      <c r="C21" s="30" t="s">
        <v>206</v>
      </c>
      <c r="D21" s="30" t="s">
        <v>225</v>
      </c>
      <c r="E21" s="234" t="s">
        <v>649</v>
      </c>
      <c r="F21" s="235" t="s">
        <v>1296</v>
      </c>
      <c r="G21" s="284">
        <f>IFERROR(VLOOKUP(E21,Assign!$C$2:$J$142,8,FALSE),)</f>
        <v>0</v>
      </c>
      <c r="H21" s="279" t="s">
        <v>7114</v>
      </c>
      <c r="I21" s="280" t="s">
        <v>6209</v>
      </c>
      <c r="J21" s="281" t="s">
        <v>3764</v>
      </c>
      <c r="K21" s="282">
        <v>45133</v>
      </c>
      <c r="L21" s="282">
        <v>46225</v>
      </c>
      <c r="M21" s="282">
        <v>45660</v>
      </c>
      <c r="N21" s="371">
        <v>2160000000</v>
      </c>
      <c r="O21" s="444" t="s">
        <v>3866</v>
      </c>
      <c r="P21" s="397">
        <v>2160000000</v>
      </c>
      <c r="Q21" s="397">
        <v>2160000000</v>
      </c>
      <c r="R21" s="397"/>
      <c r="S21" s="398">
        <f t="shared" si="1"/>
        <v>2160000000</v>
      </c>
      <c r="T21" s="353"/>
      <c r="U21" s="353">
        <f t="shared" si="2"/>
        <v>2160000000</v>
      </c>
      <c r="V21" s="399"/>
      <c r="W21" s="399"/>
      <c r="X21" s="400" t="s">
        <v>492</v>
      </c>
      <c r="Y21" s="400"/>
      <c r="Z21" s="283"/>
    </row>
    <row r="22" spans="2:26" ht="19.5" hidden="1" customHeight="1">
      <c r="B22" s="29">
        <f t="shared" si="0"/>
        <v>12</v>
      </c>
      <c r="C22" s="30" t="s">
        <v>206</v>
      </c>
      <c r="D22" s="30" t="s">
        <v>225</v>
      </c>
      <c r="E22" s="234" t="s">
        <v>649</v>
      </c>
      <c r="F22" s="235" t="s">
        <v>1296</v>
      </c>
      <c r="G22" s="284">
        <f>IFERROR(VLOOKUP(E22,Assign!$C$2:$J$142,8,FALSE),)</f>
        <v>0</v>
      </c>
      <c r="H22" s="279" t="s">
        <v>7115</v>
      </c>
      <c r="I22" s="280" t="s">
        <v>6142</v>
      </c>
      <c r="J22" s="281" t="s">
        <v>3774</v>
      </c>
      <c r="K22" s="282">
        <v>45134</v>
      </c>
      <c r="L22" s="282">
        <v>48783</v>
      </c>
      <c r="M22" s="282">
        <v>45660</v>
      </c>
      <c r="N22" s="371">
        <v>3200000000</v>
      </c>
      <c r="O22" s="444" t="s">
        <v>3866</v>
      </c>
      <c r="P22" s="397">
        <v>2559959940</v>
      </c>
      <c r="Q22" s="397">
        <v>2559959940</v>
      </c>
      <c r="R22" s="397"/>
      <c r="S22" s="398">
        <f t="shared" si="1"/>
        <v>2559959940</v>
      </c>
      <c r="T22" s="353"/>
      <c r="U22" s="353">
        <f t="shared" si="2"/>
        <v>2559959940</v>
      </c>
      <c r="V22" s="399"/>
      <c r="W22" s="399"/>
      <c r="X22" s="400" t="s">
        <v>492</v>
      </c>
      <c r="Y22" s="400"/>
      <c r="Z22" s="283"/>
    </row>
    <row r="23" spans="2:26" ht="19.5" hidden="1" customHeight="1">
      <c r="B23" s="29">
        <f t="shared" si="0"/>
        <v>13</v>
      </c>
      <c r="C23" s="30" t="s">
        <v>206</v>
      </c>
      <c r="D23" s="30" t="s">
        <v>225</v>
      </c>
      <c r="E23" s="234" t="s">
        <v>649</v>
      </c>
      <c r="F23" s="235" t="s">
        <v>1296</v>
      </c>
      <c r="G23" s="284">
        <f>IFERROR(VLOOKUP(E23,Assign!$C$2:$J$142,8,FALSE),)</f>
        <v>0</v>
      </c>
      <c r="H23" s="279" t="s">
        <v>7116</v>
      </c>
      <c r="I23" s="280" t="s">
        <v>5645</v>
      </c>
      <c r="J23" s="281" t="s">
        <v>3774</v>
      </c>
      <c r="K23" s="282">
        <v>45167</v>
      </c>
      <c r="L23" s="282">
        <v>48783</v>
      </c>
      <c r="M23" s="282">
        <v>45660</v>
      </c>
      <c r="N23" s="371">
        <v>232000000</v>
      </c>
      <c r="O23" s="444" t="s">
        <v>3866</v>
      </c>
      <c r="P23" s="397">
        <v>27915884</v>
      </c>
      <c r="Q23" s="397">
        <v>27915884</v>
      </c>
      <c r="R23" s="397"/>
      <c r="S23" s="398">
        <f t="shared" si="1"/>
        <v>27915884</v>
      </c>
      <c r="T23" s="353"/>
      <c r="U23" s="353">
        <f t="shared" si="2"/>
        <v>27915884</v>
      </c>
      <c r="V23" s="399"/>
      <c r="W23" s="399"/>
      <c r="X23" s="400" t="s">
        <v>492</v>
      </c>
      <c r="Y23" s="400"/>
      <c r="Z23" s="283"/>
    </row>
    <row r="24" spans="2:26" ht="19.5" hidden="1" customHeight="1">
      <c r="B24" s="29">
        <f t="shared" si="0"/>
        <v>14</v>
      </c>
      <c r="C24" s="30" t="s">
        <v>206</v>
      </c>
      <c r="D24" s="30" t="s">
        <v>225</v>
      </c>
      <c r="E24" s="234" t="s">
        <v>650</v>
      </c>
      <c r="F24" s="235" t="s">
        <v>1297</v>
      </c>
      <c r="G24" s="284">
        <f>IFERROR(VLOOKUP(E24,Assign!$C$2:$J$142,8,FALSE),)</f>
        <v>0</v>
      </c>
      <c r="H24" s="279" t="s">
        <v>7123</v>
      </c>
      <c r="I24" s="280" t="s">
        <v>6212</v>
      </c>
      <c r="J24" s="281" t="s">
        <v>3754</v>
      </c>
      <c r="K24" s="282">
        <v>45442</v>
      </c>
      <c r="L24" s="282">
        <v>46537</v>
      </c>
      <c r="M24" s="282">
        <v>45717</v>
      </c>
      <c r="N24" s="371">
        <v>4500000000</v>
      </c>
      <c r="O24" s="444" t="s">
        <v>3866</v>
      </c>
      <c r="P24" s="397">
        <v>4476000000</v>
      </c>
      <c r="Q24" s="397">
        <v>4476000000</v>
      </c>
      <c r="R24" s="397"/>
      <c r="S24" s="398">
        <f t="shared" si="1"/>
        <v>4476000000</v>
      </c>
      <c r="T24" s="353"/>
      <c r="U24" s="353">
        <f t="shared" si="2"/>
        <v>4476000000</v>
      </c>
      <c r="V24" s="399"/>
      <c r="W24" s="399"/>
      <c r="X24" s="400" t="s">
        <v>492</v>
      </c>
      <c r="Y24" s="400"/>
      <c r="Z24" s="283"/>
    </row>
    <row r="25" spans="2:26" ht="19.5" hidden="1" customHeight="1">
      <c r="B25" s="29">
        <f t="shared" si="0"/>
        <v>15</v>
      </c>
      <c r="C25" s="30" t="s">
        <v>206</v>
      </c>
      <c r="D25" s="30" t="s">
        <v>225</v>
      </c>
      <c r="E25" s="234" t="s">
        <v>651</v>
      </c>
      <c r="F25" s="235" t="s">
        <v>1298</v>
      </c>
      <c r="G25" s="284">
        <f>IFERROR(VLOOKUP(E25,Assign!$C$2:$J$142,8,FALSE),)</f>
        <v>0</v>
      </c>
      <c r="H25" s="279" t="s">
        <v>7060</v>
      </c>
      <c r="I25" s="280" t="s">
        <v>6056</v>
      </c>
      <c r="J25" s="281" t="s">
        <v>3774</v>
      </c>
      <c r="K25" s="282">
        <v>44530</v>
      </c>
      <c r="L25" s="282">
        <v>48182</v>
      </c>
      <c r="M25" s="282">
        <v>45646</v>
      </c>
      <c r="N25" s="371">
        <v>1417000000</v>
      </c>
      <c r="O25" s="444" t="s">
        <v>3866</v>
      </c>
      <c r="P25" s="397">
        <v>1417000000</v>
      </c>
      <c r="Q25" s="397">
        <v>1417000000</v>
      </c>
      <c r="R25" s="397"/>
      <c r="S25" s="398">
        <f t="shared" si="1"/>
        <v>1417000000</v>
      </c>
      <c r="T25" s="353"/>
      <c r="U25" s="353">
        <f t="shared" si="2"/>
        <v>1417000000</v>
      </c>
      <c r="V25" s="399"/>
      <c r="W25" s="399"/>
      <c r="X25" s="400" t="s">
        <v>492</v>
      </c>
      <c r="Y25" s="400"/>
      <c r="Z25" s="283"/>
    </row>
    <row r="26" spans="2:26" ht="19.5" hidden="1" customHeight="1">
      <c r="B26" s="29">
        <f t="shared" si="0"/>
        <v>16</v>
      </c>
      <c r="C26" s="30" t="s">
        <v>206</v>
      </c>
      <c r="D26" s="30" t="s">
        <v>225</v>
      </c>
      <c r="E26" s="234" t="s">
        <v>651</v>
      </c>
      <c r="F26" s="235" t="s">
        <v>1298</v>
      </c>
      <c r="G26" s="284">
        <f>IFERROR(VLOOKUP(E26,Assign!$C$2:$J$142,8,FALSE),)</f>
        <v>0</v>
      </c>
      <c r="H26" s="279" t="s">
        <v>7061</v>
      </c>
      <c r="I26" s="280" t="s">
        <v>6188</v>
      </c>
      <c r="J26" s="281" t="s">
        <v>3819</v>
      </c>
      <c r="K26" s="282">
        <v>44811</v>
      </c>
      <c r="L26" s="282">
        <v>48029</v>
      </c>
      <c r="M26" s="282">
        <v>45646</v>
      </c>
      <c r="N26" s="371">
        <v>1500000000</v>
      </c>
      <c r="O26" s="444" t="s">
        <v>3866</v>
      </c>
      <c r="P26" s="397">
        <v>1500000000</v>
      </c>
      <c r="Q26" s="397">
        <v>1500000000</v>
      </c>
      <c r="R26" s="397"/>
      <c r="S26" s="398">
        <f t="shared" si="1"/>
        <v>1500000000</v>
      </c>
      <c r="T26" s="353"/>
      <c r="U26" s="353">
        <f t="shared" si="2"/>
        <v>1500000000</v>
      </c>
      <c r="V26" s="399"/>
      <c r="W26" s="399"/>
      <c r="X26" s="400" t="s">
        <v>492</v>
      </c>
      <c r="Y26" s="400"/>
      <c r="Z26" s="283"/>
    </row>
    <row r="27" spans="2:26" ht="19.5" hidden="1" customHeight="1">
      <c r="B27" s="29">
        <f t="shared" si="0"/>
        <v>17</v>
      </c>
      <c r="C27" s="30" t="s">
        <v>206</v>
      </c>
      <c r="D27" s="30" t="s">
        <v>225</v>
      </c>
      <c r="E27" s="234" t="s">
        <v>651</v>
      </c>
      <c r="F27" s="235" t="s">
        <v>1298</v>
      </c>
      <c r="G27" s="284">
        <f>IFERROR(VLOOKUP(E27,Assign!$C$2:$J$142,8,FALSE),)</f>
        <v>0</v>
      </c>
      <c r="H27" s="279" t="s">
        <v>7062</v>
      </c>
      <c r="I27" s="280" t="s">
        <v>5731</v>
      </c>
      <c r="J27" s="281" t="s">
        <v>3774</v>
      </c>
      <c r="K27" s="282">
        <v>44811</v>
      </c>
      <c r="L27" s="282">
        <v>45905</v>
      </c>
      <c r="M27" s="282">
        <v>45646</v>
      </c>
      <c r="N27" s="371">
        <v>460000000</v>
      </c>
      <c r="O27" s="444" t="s">
        <v>3866</v>
      </c>
      <c r="P27" s="397">
        <v>400000000</v>
      </c>
      <c r="Q27" s="397">
        <v>400000000</v>
      </c>
      <c r="R27" s="397"/>
      <c r="S27" s="398">
        <f t="shared" si="1"/>
        <v>400000000</v>
      </c>
      <c r="T27" s="353"/>
      <c r="U27" s="353">
        <f t="shared" si="2"/>
        <v>400000000</v>
      </c>
      <c r="V27" s="399"/>
      <c r="W27" s="399"/>
      <c r="X27" s="400" t="s">
        <v>492</v>
      </c>
      <c r="Y27" s="400"/>
      <c r="Z27" s="283"/>
    </row>
    <row r="28" spans="2:26" ht="19.5" hidden="1" customHeight="1">
      <c r="B28" s="29">
        <f t="shared" si="0"/>
        <v>18</v>
      </c>
      <c r="C28" s="30" t="s">
        <v>206</v>
      </c>
      <c r="D28" s="30" t="s">
        <v>225</v>
      </c>
      <c r="E28" s="234" t="s">
        <v>651</v>
      </c>
      <c r="F28" s="235" t="s">
        <v>1298</v>
      </c>
      <c r="G28" s="284">
        <f>IFERROR(VLOOKUP(E28,Assign!$C$2:$J$142,8,FALSE),)</f>
        <v>0</v>
      </c>
      <c r="H28" s="279" t="s">
        <v>7063</v>
      </c>
      <c r="I28" s="280" t="s">
        <v>6189</v>
      </c>
      <c r="J28" s="281" t="s">
        <v>3754</v>
      </c>
      <c r="K28" s="282">
        <v>45163</v>
      </c>
      <c r="L28" s="282">
        <v>46988</v>
      </c>
      <c r="M28" s="282">
        <v>45646</v>
      </c>
      <c r="N28" s="371">
        <v>536000000</v>
      </c>
      <c r="O28" s="444" t="s">
        <v>3866</v>
      </c>
      <c r="P28" s="397">
        <v>456297264</v>
      </c>
      <c r="Q28" s="397">
        <v>456297264</v>
      </c>
      <c r="R28" s="397"/>
      <c r="S28" s="398">
        <f t="shared" si="1"/>
        <v>456297264</v>
      </c>
      <c r="T28" s="353"/>
      <c r="U28" s="353">
        <f t="shared" si="2"/>
        <v>456297264</v>
      </c>
      <c r="V28" s="399"/>
      <c r="W28" s="399"/>
      <c r="X28" s="400" t="s">
        <v>492</v>
      </c>
      <c r="Y28" s="400"/>
      <c r="Z28" s="283"/>
    </row>
    <row r="29" spans="2:26" ht="19.5" hidden="1" customHeight="1">
      <c r="B29" s="29">
        <f t="shared" si="0"/>
        <v>19</v>
      </c>
      <c r="C29" s="30" t="s">
        <v>206</v>
      </c>
      <c r="D29" s="30" t="s">
        <v>225</v>
      </c>
      <c r="E29" s="234" t="s">
        <v>652</v>
      </c>
      <c r="F29" s="235" t="s">
        <v>1299</v>
      </c>
      <c r="G29" s="284">
        <f>IFERROR(VLOOKUP(E29,Assign!$C$2:$J$142,8,FALSE),)</f>
        <v>0</v>
      </c>
      <c r="H29" s="279" t="s">
        <v>7032</v>
      </c>
      <c r="I29" s="280" t="s">
        <v>6175</v>
      </c>
      <c r="J29" s="281" t="s">
        <v>3818</v>
      </c>
      <c r="K29" s="282">
        <v>44662</v>
      </c>
      <c r="L29" s="282">
        <v>46488</v>
      </c>
      <c r="M29" s="282">
        <v>45671</v>
      </c>
      <c r="N29" s="371">
        <v>620000000</v>
      </c>
      <c r="O29" s="444" t="s">
        <v>3866</v>
      </c>
      <c r="P29" s="397">
        <v>359666333</v>
      </c>
      <c r="Q29" s="397">
        <v>359666333</v>
      </c>
      <c r="R29" s="397"/>
      <c r="S29" s="398">
        <f t="shared" si="1"/>
        <v>359666333</v>
      </c>
      <c r="T29" s="353"/>
      <c r="U29" s="353">
        <f t="shared" si="2"/>
        <v>359666333</v>
      </c>
      <c r="V29" s="399"/>
      <c r="W29" s="399"/>
      <c r="X29" s="400" t="s">
        <v>492</v>
      </c>
      <c r="Y29" s="400"/>
      <c r="Z29" s="283"/>
    </row>
    <row r="30" spans="2:26" ht="19.5" hidden="1" customHeight="1">
      <c r="B30" s="29">
        <f t="shared" si="0"/>
        <v>20</v>
      </c>
      <c r="C30" s="30" t="s">
        <v>206</v>
      </c>
      <c r="D30" s="30" t="s">
        <v>225</v>
      </c>
      <c r="E30" s="234" t="s">
        <v>652</v>
      </c>
      <c r="F30" s="235" t="s">
        <v>1299</v>
      </c>
      <c r="G30" s="284">
        <f>IFERROR(VLOOKUP(E30,Assign!$C$2:$J$142,8,FALSE),)</f>
        <v>0</v>
      </c>
      <c r="H30" s="279" t="s">
        <v>7033</v>
      </c>
      <c r="I30" s="280" t="s">
        <v>6176</v>
      </c>
      <c r="J30" s="281" t="s">
        <v>3762</v>
      </c>
      <c r="K30" s="282">
        <v>44670</v>
      </c>
      <c r="L30" s="282">
        <v>45758</v>
      </c>
      <c r="M30" s="282">
        <v>45708</v>
      </c>
      <c r="N30" s="371">
        <v>330000000</v>
      </c>
      <c r="O30" s="444" t="s">
        <v>3866</v>
      </c>
      <c r="P30" s="397">
        <v>330000000</v>
      </c>
      <c r="Q30" s="397">
        <v>330000000</v>
      </c>
      <c r="R30" s="397"/>
      <c r="S30" s="398">
        <f t="shared" si="1"/>
        <v>330000000</v>
      </c>
      <c r="T30" s="353"/>
      <c r="U30" s="353">
        <f t="shared" si="2"/>
        <v>330000000</v>
      </c>
      <c r="V30" s="399"/>
      <c r="W30" s="399"/>
      <c r="X30" s="400" t="s">
        <v>492</v>
      </c>
      <c r="Y30" s="400"/>
      <c r="Z30" s="283"/>
    </row>
    <row r="31" spans="2:26" ht="19.5" hidden="1" customHeight="1">
      <c r="B31" s="29">
        <f t="shared" si="0"/>
        <v>21</v>
      </c>
      <c r="C31" s="30" t="s">
        <v>206</v>
      </c>
      <c r="D31" s="30" t="s">
        <v>225</v>
      </c>
      <c r="E31" s="234" t="s">
        <v>652</v>
      </c>
      <c r="F31" s="235" t="s">
        <v>1299</v>
      </c>
      <c r="G31" s="284">
        <f>IFERROR(VLOOKUP(E31,Assign!$C$2:$J$142,8,FALSE),)</f>
        <v>0</v>
      </c>
      <c r="H31" s="279" t="s">
        <v>7034</v>
      </c>
      <c r="I31" s="280" t="s">
        <v>6177</v>
      </c>
      <c r="J31" s="281" t="s">
        <v>3819</v>
      </c>
      <c r="K31" s="282">
        <v>45112</v>
      </c>
      <c r="L31" s="282">
        <v>48397</v>
      </c>
      <c r="M31" s="282">
        <v>45692</v>
      </c>
      <c r="N31" s="371">
        <v>1500000000</v>
      </c>
      <c r="O31" s="444" t="s">
        <v>3866</v>
      </c>
      <c r="P31" s="397">
        <v>1500000000</v>
      </c>
      <c r="Q31" s="397">
        <v>1500000000</v>
      </c>
      <c r="R31" s="397"/>
      <c r="S31" s="398">
        <f t="shared" si="1"/>
        <v>1500000000</v>
      </c>
      <c r="T31" s="353"/>
      <c r="U31" s="353">
        <f t="shared" si="2"/>
        <v>1500000000</v>
      </c>
      <c r="V31" s="399"/>
      <c r="W31" s="399"/>
      <c r="X31" s="400" t="s">
        <v>492</v>
      </c>
      <c r="Y31" s="400"/>
      <c r="Z31" s="283"/>
    </row>
    <row r="32" spans="2:26" ht="19.5" hidden="1" customHeight="1">
      <c r="B32" s="29">
        <f t="shared" si="0"/>
        <v>22</v>
      </c>
      <c r="C32" s="30" t="s">
        <v>206</v>
      </c>
      <c r="D32" s="30" t="s">
        <v>225</v>
      </c>
      <c r="E32" s="234" t="s">
        <v>652</v>
      </c>
      <c r="F32" s="235" t="s">
        <v>1299</v>
      </c>
      <c r="G32" s="284">
        <f>IFERROR(VLOOKUP(E32,Assign!$C$2:$J$142,8,FALSE),)</f>
        <v>0</v>
      </c>
      <c r="H32" s="279" t="s">
        <v>7035</v>
      </c>
      <c r="I32" s="280" t="s">
        <v>5614</v>
      </c>
      <c r="J32" s="281" t="s">
        <v>3820</v>
      </c>
      <c r="K32" s="282">
        <v>45065</v>
      </c>
      <c r="L32" s="282">
        <v>48653</v>
      </c>
      <c r="M32" s="282">
        <v>45723</v>
      </c>
      <c r="N32" s="371">
        <v>1300000000</v>
      </c>
      <c r="O32" s="444" t="s">
        <v>3866</v>
      </c>
      <c r="P32" s="397">
        <v>1300000000</v>
      </c>
      <c r="Q32" s="397">
        <v>1300000000</v>
      </c>
      <c r="R32" s="397"/>
      <c r="S32" s="398">
        <f t="shared" si="1"/>
        <v>1300000000</v>
      </c>
      <c r="T32" s="353"/>
      <c r="U32" s="353">
        <f t="shared" si="2"/>
        <v>1300000000</v>
      </c>
      <c r="V32" s="399"/>
      <c r="W32" s="399"/>
      <c r="X32" s="400" t="s">
        <v>492</v>
      </c>
      <c r="Y32" s="400"/>
      <c r="Z32" s="283"/>
    </row>
    <row r="33" spans="2:26" ht="19.5" hidden="1" customHeight="1">
      <c r="B33" s="29">
        <f t="shared" si="0"/>
        <v>23</v>
      </c>
      <c r="C33" s="30" t="s">
        <v>206</v>
      </c>
      <c r="D33" s="30" t="s">
        <v>225</v>
      </c>
      <c r="E33" s="234" t="s">
        <v>653</v>
      </c>
      <c r="F33" s="235" t="s">
        <v>1219</v>
      </c>
      <c r="G33" s="284">
        <f>IFERROR(VLOOKUP(E33,Assign!$C$2:$J$142,8,FALSE),)</f>
        <v>0</v>
      </c>
      <c r="H33" s="279" t="s">
        <v>6839</v>
      </c>
      <c r="I33" s="280" t="s">
        <v>6076</v>
      </c>
      <c r="J33" s="281" t="s">
        <v>3736</v>
      </c>
      <c r="K33" s="282">
        <v>44734</v>
      </c>
      <c r="L33" s="282">
        <v>45830</v>
      </c>
      <c r="M33" s="282">
        <v>45699</v>
      </c>
      <c r="N33" s="371">
        <v>150000000</v>
      </c>
      <c r="O33" s="444" t="s">
        <v>3866</v>
      </c>
      <c r="P33" s="397">
        <v>150000000</v>
      </c>
      <c r="Q33" s="397">
        <v>150000000</v>
      </c>
      <c r="R33" s="397"/>
      <c r="S33" s="398">
        <f t="shared" si="1"/>
        <v>150000000</v>
      </c>
      <c r="T33" s="353"/>
      <c r="U33" s="353">
        <f t="shared" si="2"/>
        <v>150000000</v>
      </c>
      <c r="V33" s="399"/>
      <c r="W33" s="399"/>
      <c r="X33" s="400" t="s">
        <v>492</v>
      </c>
      <c r="Y33" s="400"/>
      <c r="Z33" s="283"/>
    </row>
    <row r="34" spans="2:26" ht="19.5" hidden="1" customHeight="1">
      <c r="B34" s="29">
        <f t="shared" si="0"/>
        <v>24</v>
      </c>
      <c r="C34" s="30" t="s">
        <v>206</v>
      </c>
      <c r="D34" s="30" t="s">
        <v>225</v>
      </c>
      <c r="E34" s="234" t="s">
        <v>653</v>
      </c>
      <c r="F34" s="235" t="s">
        <v>1219</v>
      </c>
      <c r="G34" s="284">
        <f>IFERROR(VLOOKUP(E34,Assign!$C$2:$J$142,8,FALSE),)</f>
        <v>0</v>
      </c>
      <c r="H34" s="279" t="s">
        <v>6840</v>
      </c>
      <c r="I34" s="280" t="s">
        <v>5993</v>
      </c>
      <c r="J34" s="281" t="s">
        <v>3764</v>
      </c>
      <c r="K34" s="282">
        <v>44715</v>
      </c>
      <c r="L34" s="282">
        <v>45728</v>
      </c>
      <c r="M34" s="282">
        <v>45692</v>
      </c>
      <c r="N34" s="371">
        <v>1300000000</v>
      </c>
      <c r="O34" s="444" t="s">
        <v>3866</v>
      </c>
      <c r="P34" s="397">
        <v>1300000000</v>
      </c>
      <c r="Q34" s="397">
        <v>1300000000</v>
      </c>
      <c r="R34" s="397"/>
      <c r="S34" s="398">
        <f t="shared" si="1"/>
        <v>1300000000</v>
      </c>
      <c r="T34" s="353"/>
      <c r="U34" s="353">
        <f t="shared" si="2"/>
        <v>1300000000</v>
      </c>
      <c r="V34" s="399"/>
      <c r="W34" s="399"/>
      <c r="X34" s="400" t="s">
        <v>492</v>
      </c>
      <c r="Y34" s="400"/>
      <c r="Z34" s="283"/>
    </row>
    <row r="35" spans="2:26" ht="19.5" hidden="1" customHeight="1">
      <c r="B35" s="29">
        <f t="shared" si="0"/>
        <v>25</v>
      </c>
      <c r="C35" s="30" t="s">
        <v>206</v>
      </c>
      <c r="D35" s="30" t="s">
        <v>225</v>
      </c>
      <c r="E35" s="234" t="s">
        <v>653</v>
      </c>
      <c r="F35" s="235" t="s">
        <v>1219</v>
      </c>
      <c r="G35" s="284">
        <f>IFERROR(VLOOKUP(E35,Assign!$C$2:$J$142,8,FALSE),)</f>
        <v>0</v>
      </c>
      <c r="H35" s="279" t="s">
        <v>6841</v>
      </c>
      <c r="I35" s="280" t="s">
        <v>5959</v>
      </c>
      <c r="J35" s="281" t="s">
        <v>3764</v>
      </c>
      <c r="K35" s="282">
        <v>44715</v>
      </c>
      <c r="L35" s="282">
        <v>45899</v>
      </c>
      <c r="M35" s="282">
        <v>45692</v>
      </c>
      <c r="N35" s="371">
        <v>1400000000</v>
      </c>
      <c r="O35" s="444" t="s">
        <v>3866</v>
      </c>
      <c r="P35" s="397">
        <v>1400000000</v>
      </c>
      <c r="Q35" s="397">
        <v>1400000000</v>
      </c>
      <c r="R35" s="397"/>
      <c r="S35" s="398">
        <f t="shared" si="1"/>
        <v>1400000000</v>
      </c>
      <c r="T35" s="353"/>
      <c r="U35" s="353">
        <f t="shared" si="2"/>
        <v>1400000000</v>
      </c>
      <c r="V35" s="399"/>
      <c r="W35" s="399"/>
      <c r="X35" s="400" t="s">
        <v>492</v>
      </c>
      <c r="Y35" s="400"/>
      <c r="Z35" s="283"/>
    </row>
    <row r="36" spans="2:26" ht="19.5" hidden="1" customHeight="1">
      <c r="B36" s="29">
        <f t="shared" si="0"/>
        <v>26</v>
      </c>
      <c r="C36" s="30" t="s">
        <v>206</v>
      </c>
      <c r="D36" s="30" t="s">
        <v>225</v>
      </c>
      <c r="E36" s="234" t="s">
        <v>653</v>
      </c>
      <c r="F36" s="235" t="s">
        <v>1219</v>
      </c>
      <c r="G36" s="284">
        <f>IFERROR(VLOOKUP(E36,Assign!$C$2:$J$142,8,FALSE),)</f>
        <v>0</v>
      </c>
      <c r="H36" s="279" t="s">
        <v>6842</v>
      </c>
      <c r="I36" s="280" t="s">
        <v>6071</v>
      </c>
      <c r="J36" s="281" t="s">
        <v>3798</v>
      </c>
      <c r="K36" s="282">
        <v>44715</v>
      </c>
      <c r="L36" s="282">
        <v>45811</v>
      </c>
      <c r="M36" s="282">
        <v>45692</v>
      </c>
      <c r="N36" s="371">
        <v>300000000</v>
      </c>
      <c r="O36" s="444" t="s">
        <v>3866</v>
      </c>
      <c r="P36" s="397">
        <v>300000000</v>
      </c>
      <c r="Q36" s="397">
        <v>300000000</v>
      </c>
      <c r="R36" s="397"/>
      <c r="S36" s="398">
        <f t="shared" si="1"/>
        <v>300000000</v>
      </c>
      <c r="T36" s="353"/>
      <c r="U36" s="353">
        <f t="shared" si="2"/>
        <v>300000000</v>
      </c>
      <c r="V36" s="399"/>
      <c r="W36" s="399"/>
      <c r="X36" s="400" t="s">
        <v>492</v>
      </c>
      <c r="Y36" s="400"/>
      <c r="Z36" s="283"/>
    </row>
    <row r="37" spans="2:26" ht="19.5" hidden="1" customHeight="1">
      <c r="B37" s="29">
        <f t="shared" si="0"/>
        <v>27</v>
      </c>
      <c r="C37" s="30" t="s">
        <v>206</v>
      </c>
      <c r="D37" s="30" t="s">
        <v>225</v>
      </c>
      <c r="E37" s="234" t="s">
        <v>653</v>
      </c>
      <c r="F37" s="235" t="s">
        <v>1219</v>
      </c>
      <c r="G37" s="284">
        <f>IFERROR(VLOOKUP(E37,Assign!$C$2:$J$142,8,FALSE),)</f>
        <v>0</v>
      </c>
      <c r="H37" s="279" t="s">
        <v>6843</v>
      </c>
      <c r="I37" s="280" t="s">
        <v>6077</v>
      </c>
      <c r="J37" s="281" t="s">
        <v>3786</v>
      </c>
      <c r="K37" s="282">
        <v>44715</v>
      </c>
      <c r="L37" s="282">
        <v>45811</v>
      </c>
      <c r="M37" s="282">
        <v>45692</v>
      </c>
      <c r="N37" s="371">
        <v>146000000</v>
      </c>
      <c r="O37" s="444" t="s">
        <v>3866</v>
      </c>
      <c r="P37" s="397">
        <v>132000000</v>
      </c>
      <c r="Q37" s="397">
        <v>132000000</v>
      </c>
      <c r="R37" s="397"/>
      <c r="S37" s="398">
        <f t="shared" si="1"/>
        <v>132000000</v>
      </c>
      <c r="T37" s="353"/>
      <c r="U37" s="353">
        <f t="shared" si="2"/>
        <v>132000000</v>
      </c>
      <c r="V37" s="399"/>
      <c r="W37" s="399"/>
      <c r="X37" s="400" t="s">
        <v>492</v>
      </c>
      <c r="Y37" s="400"/>
      <c r="Z37" s="283"/>
    </row>
    <row r="38" spans="2:26" ht="19.5" hidden="1" customHeight="1">
      <c r="B38" s="29">
        <f t="shared" si="0"/>
        <v>28</v>
      </c>
      <c r="C38" s="30" t="s">
        <v>206</v>
      </c>
      <c r="D38" s="30" t="s">
        <v>225</v>
      </c>
      <c r="E38" s="234" t="s">
        <v>654</v>
      </c>
      <c r="F38" s="235" t="s">
        <v>1217</v>
      </c>
      <c r="G38" s="284">
        <f>IFERROR(VLOOKUP(E38,Assign!$C$2:$J$142,8,FALSE),)</f>
        <v>0</v>
      </c>
      <c r="H38" s="279" t="s">
        <v>6280</v>
      </c>
      <c r="I38" s="280" t="s">
        <v>5657</v>
      </c>
      <c r="J38" s="281" t="s">
        <v>3733</v>
      </c>
      <c r="K38" s="282">
        <v>45042</v>
      </c>
      <c r="L38" s="282">
        <v>46138</v>
      </c>
      <c r="M38" s="282">
        <v>45587</v>
      </c>
      <c r="N38" s="371">
        <v>2900000000</v>
      </c>
      <c r="O38" s="444" t="s">
        <v>3866</v>
      </c>
      <c r="P38" s="397">
        <v>2900000000</v>
      </c>
      <c r="Q38" s="397">
        <v>2900000000</v>
      </c>
      <c r="R38" s="397"/>
      <c r="S38" s="398">
        <f t="shared" si="1"/>
        <v>2900000000</v>
      </c>
      <c r="T38" s="353"/>
      <c r="U38" s="353">
        <f t="shared" si="2"/>
        <v>2900000000</v>
      </c>
      <c r="V38" s="399"/>
      <c r="W38" s="399"/>
      <c r="X38" s="400" t="s">
        <v>492</v>
      </c>
      <c r="Y38" s="400"/>
      <c r="Z38" s="283"/>
    </row>
    <row r="39" spans="2:26" ht="19.5" hidden="1" customHeight="1">
      <c r="B39" s="29">
        <f t="shared" si="0"/>
        <v>29</v>
      </c>
      <c r="C39" s="30" t="s">
        <v>206</v>
      </c>
      <c r="D39" s="30" t="s">
        <v>225</v>
      </c>
      <c r="E39" s="234" t="s">
        <v>654</v>
      </c>
      <c r="F39" s="235" t="s">
        <v>1217</v>
      </c>
      <c r="G39" s="284">
        <f>IFERROR(VLOOKUP(E39,Assign!$C$2:$J$142,8,FALSE),)</f>
        <v>0</v>
      </c>
      <c r="H39" s="279" t="s">
        <v>6281</v>
      </c>
      <c r="I39" s="280" t="s">
        <v>5658</v>
      </c>
      <c r="J39" s="281" t="s">
        <v>3754</v>
      </c>
      <c r="K39" s="282">
        <v>45042</v>
      </c>
      <c r="L39" s="282">
        <v>46869</v>
      </c>
      <c r="M39" s="282">
        <v>45587</v>
      </c>
      <c r="N39" s="371">
        <v>400000000</v>
      </c>
      <c r="O39" s="444" t="s">
        <v>3866</v>
      </c>
      <c r="P39" s="397">
        <v>353846122</v>
      </c>
      <c r="Q39" s="397">
        <v>353846122</v>
      </c>
      <c r="R39" s="397"/>
      <c r="S39" s="398">
        <f t="shared" si="1"/>
        <v>353846122</v>
      </c>
      <c r="T39" s="353"/>
      <c r="U39" s="353">
        <f t="shared" si="2"/>
        <v>353846122</v>
      </c>
      <c r="V39" s="399"/>
      <c r="W39" s="399"/>
      <c r="X39" s="400" t="s">
        <v>492</v>
      </c>
      <c r="Y39" s="400"/>
      <c r="Z39" s="283"/>
    </row>
    <row r="40" spans="2:26" ht="19.5" hidden="1" customHeight="1">
      <c r="B40" s="29">
        <f t="shared" si="0"/>
        <v>30</v>
      </c>
      <c r="C40" s="30" t="s">
        <v>206</v>
      </c>
      <c r="D40" s="30" t="s">
        <v>225</v>
      </c>
      <c r="E40" s="234" t="s">
        <v>655</v>
      </c>
      <c r="F40" s="235" t="s">
        <v>1220</v>
      </c>
      <c r="G40" s="284">
        <f>IFERROR(VLOOKUP(E40,Assign!$C$2:$J$142,8,FALSE),)</f>
        <v>0</v>
      </c>
      <c r="H40" s="279" t="s">
        <v>6844</v>
      </c>
      <c r="I40" s="280" t="s">
        <v>6078</v>
      </c>
      <c r="J40" s="281" t="s">
        <v>3736</v>
      </c>
      <c r="K40" s="282">
        <v>41179</v>
      </c>
      <c r="L40" s="282">
        <v>45709</v>
      </c>
      <c r="M40" s="282">
        <v>45601</v>
      </c>
      <c r="N40" s="371">
        <v>150000000</v>
      </c>
      <c r="O40" s="444" t="s">
        <v>3866</v>
      </c>
      <c r="P40" s="397">
        <v>150000000</v>
      </c>
      <c r="Q40" s="397">
        <v>150000000</v>
      </c>
      <c r="R40" s="397"/>
      <c r="S40" s="398">
        <f t="shared" si="1"/>
        <v>150000000</v>
      </c>
      <c r="T40" s="353"/>
      <c r="U40" s="353">
        <f t="shared" si="2"/>
        <v>150000000</v>
      </c>
      <c r="V40" s="399"/>
      <c r="W40" s="399"/>
      <c r="X40" s="400" t="s">
        <v>492</v>
      </c>
      <c r="Y40" s="400"/>
      <c r="Z40" s="283"/>
    </row>
    <row r="41" spans="2:26" ht="19.5" hidden="1" customHeight="1">
      <c r="B41" s="29">
        <f t="shared" si="0"/>
        <v>31</v>
      </c>
      <c r="C41" s="30" t="s">
        <v>206</v>
      </c>
      <c r="D41" s="30" t="s">
        <v>225</v>
      </c>
      <c r="E41" s="234" t="s">
        <v>655</v>
      </c>
      <c r="F41" s="235" t="s">
        <v>1220</v>
      </c>
      <c r="G41" s="284">
        <f>IFERROR(VLOOKUP(E41,Assign!$C$2:$J$142,8,FALSE),)</f>
        <v>0</v>
      </c>
      <c r="H41" s="279" t="s">
        <v>6845</v>
      </c>
      <c r="I41" s="280" t="s">
        <v>6079</v>
      </c>
      <c r="J41" s="281" t="s">
        <v>3761</v>
      </c>
      <c r="K41" s="282">
        <v>44368</v>
      </c>
      <c r="L41" s="282">
        <v>45682</v>
      </c>
      <c r="M41" s="282">
        <v>45596</v>
      </c>
      <c r="N41" s="371">
        <v>1050000000</v>
      </c>
      <c r="O41" s="444" t="s">
        <v>3866</v>
      </c>
      <c r="P41" s="397">
        <v>1050000000</v>
      </c>
      <c r="Q41" s="397">
        <v>1050000000</v>
      </c>
      <c r="R41" s="397"/>
      <c r="S41" s="398">
        <f t="shared" si="1"/>
        <v>1050000000</v>
      </c>
      <c r="T41" s="353"/>
      <c r="U41" s="353">
        <f t="shared" si="2"/>
        <v>1050000000</v>
      </c>
      <c r="V41" s="399"/>
      <c r="W41" s="399"/>
      <c r="X41" s="400" t="s">
        <v>492</v>
      </c>
      <c r="Y41" s="400"/>
      <c r="Z41" s="283"/>
    </row>
    <row r="42" spans="2:26" ht="19.5" hidden="1" customHeight="1">
      <c r="B42" s="29">
        <f t="shared" si="0"/>
        <v>32</v>
      </c>
      <c r="C42" s="30" t="s">
        <v>206</v>
      </c>
      <c r="D42" s="30" t="s">
        <v>225</v>
      </c>
      <c r="E42" s="234" t="s">
        <v>655</v>
      </c>
      <c r="F42" s="235" t="s">
        <v>1220</v>
      </c>
      <c r="G42" s="284">
        <f>IFERROR(VLOOKUP(E42,Assign!$C$2:$J$142,8,FALSE),)</f>
        <v>0</v>
      </c>
      <c r="H42" s="279" t="s">
        <v>6846</v>
      </c>
      <c r="I42" s="280" t="s">
        <v>6080</v>
      </c>
      <c r="J42" s="281" t="s">
        <v>3775</v>
      </c>
      <c r="K42" s="282">
        <v>44368</v>
      </c>
      <c r="L42" s="282">
        <v>45829</v>
      </c>
      <c r="M42" s="282">
        <v>45596</v>
      </c>
      <c r="N42" s="371">
        <v>800000000</v>
      </c>
      <c r="O42" s="444" t="s">
        <v>3866</v>
      </c>
      <c r="P42" s="397">
        <v>800000000</v>
      </c>
      <c r="Q42" s="397">
        <v>800000000</v>
      </c>
      <c r="R42" s="397"/>
      <c r="S42" s="398">
        <f t="shared" si="1"/>
        <v>800000000</v>
      </c>
      <c r="T42" s="353"/>
      <c r="U42" s="353">
        <f t="shared" si="2"/>
        <v>800000000</v>
      </c>
      <c r="V42" s="399"/>
      <c r="W42" s="399"/>
      <c r="X42" s="400" t="s">
        <v>492</v>
      </c>
      <c r="Y42" s="400"/>
      <c r="Z42" s="283"/>
    </row>
    <row r="43" spans="2:26" ht="19.5" hidden="1" customHeight="1">
      <c r="B43" s="29">
        <f t="shared" si="0"/>
        <v>33</v>
      </c>
      <c r="C43" s="30" t="s">
        <v>206</v>
      </c>
      <c r="D43" s="30" t="s">
        <v>225</v>
      </c>
      <c r="E43" s="234" t="s">
        <v>655</v>
      </c>
      <c r="F43" s="235" t="s">
        <v>1220</v>
      </c>
      <c r="G43" s="284">
        <f>IFERROR(VLOOKUP(E43,Assign!$C$2:$J$142,8,FALSE),)</f>
        <v>0</v>
      </c>
      <c r="H43" s="279" t="s">
        <v>6847</v>
      </c>
      <c r="I43" s="280" t="s">
        <v>6081</v>
      </c>
      <c r="J43" s="281" t="s">
        <v>3799</v>
      </c>
      <c r="K43" s="282">
        <v>44368</v>
      </c>
      <c r="L43" s="282">
        <v>47938</v>
      </c>
      <c r="M43" s="282">
        <v>45643</v>
      </c>
      <c r="N43" s="371">
        <v>800000000</v>
      </c>
      <c r="O43" s="444" t="s">
        <v>3866</v>
      </c>
      <c r="P43" s="397">
        <v>800000000</v>
      </c>
      <c r="Q43" s="397">
        <v>800000000</v>
      </c>
      <c r="R43" s="397"/>
      <c r="S43" s="398">
        <f t="shared" si="1"/>
        <v>800000000</v>
      </c>
      <c r="T43" s="353"/>
      <c r="U43" s="353">
        <f t="shared" si="2"/>
        <v>800000000</v>
      </c>
      <c r="V43" s="399"/>
      <c r="W43" s="399"/>
      <c r="X43" s="400" t="s">
        <v>492</v>
      </c>
      <c r="Y43" s="400"/>
      <c r="Z43" s="283"/>
    </row>
    <row r="44" spans="2:26" ht="19.5" hidden="1" customHeight="1">
      <c r="B44" s="29">
        <f t="shared" si="0"/>
        <v>34</v>
      </c>
      <c r="C44" s="30" t="s">
        <v>206</v>
      </c>
      <c r="D44" s="30" t="s">
        <v>225</v>
      </c>
      <c r="E44" s="234" t="s">
        <v>655</v>
      </c>
      <c r="F44" s="235" t="s">
        <v>1220</v>
      </c>
      <c r="G44" s="284">
        <f>IFERROR(VLOOKUP(E44,Assign!$C$2:$J$142,8,FALSE),)</f>
        <v>0</v>
      </c>
      <c r="H44" s="279" t="s">
        <v>6848</v>
      </c>
      <c r="I44" s="280" t="s">
        <v>6082</v>
      </c>
      <c r="J44" s="281" t="s">
        <v>3800</v>
      </c>
      <c r="K44" s="282">
        <v>44789</v>
      </c>
      <c r="L44" s="282">
        <v>46568</v>
      </c>
      <c r="M44" s="282">
        <v>45643</v>
      </c>
      <c r="N44" s="371">
        <v>200000000</v>
      </c>
      <c r="O44" s="444" t="s">
        <v>3866</v>
      </c>
      <c r="P44" s="397">
        <v>183260000</v>
      </c>
      <c r="Q44" s="397">
        <v>183260000</v>
      </c>
      <c r="R44" s="397"/>
      <c r="S44" s="398">
        <f t="shared" si="1"/>
        <v>183260000</v>
      </c>
      <c r="T44" s="353"/>
      <c r="U44" s="353">
        <f t="shared" si="2"/>
        <v>183260000</v>
      </c>
      <c r="V44" s="399"/>
      <c r="W44" s="399"/>
      <c r="X44" s="400" t="s">
        <v>492</v>
      </c>
      <c r="Y44" s="400"/>
      <c r="Z44" s="283"/>
    </row>
    <row r="45" spans="2:26" ht="19.5" hidden="1" customHeight="1">
      <c r="B45" s="29">
        <f t="shared" si="0"/>
        <v>35</v>
      </c>
      <c r="C45" s="30" t="s">
        <v>206</v>
      </c>
      <c r="D45" s="30" t="s">
        <v>225</v>
      </c>
      <c r="E45" s="234" t="s">
        <v>656</v>
      </c>
      <c r="F45" s="235" t="s">
        <v>1217</v>
      </c>
      <c r="G45" s="284">
        <f>IFERROR(VLOOKUP(E45,Assign!$C$2:$J$142,8,FALSE),)</f>
        <v>0</v>
      </c>
      <c r="H45" s="279" t="s">
        <v>6258</v>
      </c>
      <c r="I45" s="280" t="s">
        <v>5637</v>
      </c>
      <c r="J45" s="281" t="s">
        <v>3751</v>
      </c>
      <c r="K45" s="282">
        <v>42844</v>
      </c>
      <c r="L45" s="282">
        <v>45888</v>
      </c>
      <c r="M45" s="282">
        <v>45671</v>
      </c>
      <c r="N45" s="371">
        <v>980000000</v>
      </c>
      <c r="O45" s="444" t="s">
        <v>3866</v>
      </c>
      <c r="P45" s="397">
        <v>977753700</v>
      </c>
      <c r="Q45" s="397">
        <v>977753700</v>
      </c>
      <c r="R45" s="397"/>
      <c r="S45" s="398">
        <f t="shared" si="1"/>
        <v>977753700</v>
      </c>
      <c r="T45" s="353"/>
      <c r="U45" s="353">
        <f t="shared" si="2"/>
        <v>977753700</v>
      </c>
      <c r="V45" s="399"/>
      <c r="W45" s="399"/>
      <c r="X45" s="400" t="s">
        <v>492</v>
      </c>
      <c r="Y45" s="400"/>
      <c r="Z45" s="283"/>
    </row>
    <row r="46" spans="2:26" ht="19.5" hidden="1" customHeight="1">
      <c r="B46" s="29">
        <f t="shared" si="0"/>
        <v>36</v>
      </c>
      <c r="C46" s="30" t="s">
        <v>206</v>
      </c>
      <c r="D46" s="30" t="s">
        <v>225</v>
      </c>
      <c r="E46" s="234" t="s">
        <v>656</v>
      </c>
      <c r="F46" s="235" t="s">
        <v>1217</v>
      </c>
      <c r="G46" s="284">
        <f>IFERROR(VLOOKUP(E46,Assign!$C$2:$J$142,8,FALSE),)</f>
        <v>0</v>
      </c>
      <c r="H46" s="279" t="s">
        <v>6259</v>
      </c>
      <c r="I46" s="280" t="s">
        <v>5638</v>
      </c>
      <c r="J46" s="281" t="s">
        <v>3752</v>
      </c>
      <c r="K46" s="282">
        <v>44540</v>
      </c>
      <c r="L46" s="282">
        <v>45636</v>
      </c>
      <c r="M46" s="282">
        <v>45637</v>
      </c>
      <c r="N46" s="371">
        <v>800000000</v>
      </c>
      <c r="O46" s="444" t="s">
        <v>3866</v>
      </c>
      <c r="P46" s="397">
        <v>786412133</v>
      </c>
      <c r="Q46" s="397">
        <v>786412133</v>
      </c>
      <c r="R46" s="397"/>
      <c r="S46" s="398">
        <f t="shared" si="1"/>
        <v>786412133</v>
      </c>
      <c r="T46" s="353"/>
      <c r="U46" s="353">
        <f t="shared" si="2"/>
        <v>786412133</v>
      </c>
      <c r="V46" s="399"/>
      <c r="W46" s="399"/>
      <c r="X46" s="400" t="s">
        <v>492</v>
      </c>
      <c r="Y46" s="400"/>
      <c r="Z46" s="283"/>
    </row>
    <row r="47" spans="2:26" ht="19.5" hidden="1" customHeight="1">
      <c r="B47" s="29">
        <f t="shared" si="0"/>
        <v>37</v>
      </c>
      <c r="C47" s="30" t="s">
        <v>206</v>
      </c>
      <c r="D47" s="30" t="s">
        <v>225</v>
      </c>
      <c r="E47" s="234" t="s">
        <v>656</v>
      </c>
      <c r="F47" s="235" t="s">
        <v>1217</v>
      </c>
      <c r="G47" s="284">
        <f>IFERROR(VLOOKUP(E47,Assign!$C$2:$J$142,8,FALSE),)</f>
        <v>0</v>
      </c>
      <c r="H47" s="279" t="s">
        <v>6260</v>
      </c>
      <c r="I47" s="280" t="s">
        <v>5639</v>
      </c>
      <c r="J47" s="281" t="s">
        <v>3753</v>
      </c>
      <c r="K47" s="282">
        <v>44501</v>
      </c>
      <c r="L47" s="282">
        <v>45597</v>
      </c>
      <c r="M47" s="282">
        <v>45604</v>
      </c>
      <c r="N47" s="371">
        <v>500000</v>
      </c>
      <c r="O47" s="444" t="s">
        <v>3866</v>
      </c>
      <c r="P47" s="397">
        <v>92950364</v>
      </c>
      <c r="Q47" s="397">
        <v>92950364</v>
      </c>
      <c r="R47" s="397"/>
      <c r="S47" s="398">
        <f t="shared" si="1"/>
        <v>92950364</v>
      </c>
      <c r="T47" s="353"/>
      <c r="U47" s="353">
        <f t="shared" si="2"/>
        <v>92950364</v>
      </c>
      <c r="V47" s="399"/>
      <c r="W47" s="399"/>
      <c r="X47" s="400" t="s">
        <v>492</v>
      </c>
      <c r="Y47" s="400"/>
      <c r="Z47" s="283"/>
    </row>
    <row r="48" spans="2:26" ht="19.5" hidden="1" customHeight="1">
      <c r="B48" s="29">
        <f t="shared" si="0"/>
        <v>38</v>
      </c>
      <c r="C48" s="30" t="s">
        <v>206</v>
      </c>
      <c r="D48" s="30" t="s">
        <v>225</v>
      </c>
      <c r="E48" s="234" t="s">
        <v>656</v>
      </c>
      <c r="F48" s="235" t="s">
        <v>1217</v>
      </c>
      <c r="G48" s="284">
        <f>IFERROR(VLOOKUP(E48,Assign!$C$2:$J$142,8,FALSE),)</f>
        <v>0</v>
      </c>
      <c r="H48" s="279" t="s">
        <v>6261</v>
      </c>
      <c r="I48" s="280" t="s">
        <v>5640</v>
      </c>
      <c r="J48" s="281" t="s">
        <v>3753</v>
      </c>
      <c r="K48" s="282">
        <v>44501</v>
      </c>
      <c r="L48" s="282">
        <v>45597</v>
      </c>
      <c r="M48" s="282">
        <v>45609</v>
      </c>
      <c r="N48" s="371">
        <v>500000</v>
      </c>
      <c r="O48" s="444" t="s">
        <v>3866</v>
      </c>
      <c r="P48" s="397">
        <v>91639296</v>
      </c>
      <c r="Q48" s="397">
        <v>91639296</v>
      </c>
      <c r="R48" s="397"/>
      <c r="S48" s="398">
        <f t="shared" si="1"/>
        <v>91639296</v>
      </c>
      <c r="T48" s="353"/>
      <c r="U48" s="353">
        <f t="shared" si="2"/>
        <v>91639296</v>
      </c>
      <c r="V48" s="399"/>
      <c r="W48" s="399"/>
      <c r="X48" s="400" t="s">
        <v>492</v>
      </c>
      <c r="Y48" s="400"/>
      <c r="Z48" s="283"/>
    </row>
    <row r="49" spans="2:26" ht="19.5" hidden="1" customHeight="1">
      <c r="B49" s="29">
        <f t="shared" si="0"/>
        <v>39</v>
      </c>
      <c r="C49" s="30" t="s">
        <v>206</v>
      </c>
      <c r="D49" s="30" t="s">
        <v>225</v>
      </c>
      <c r="E49" s="234" t="s">
        <v>656</v>
      </c>
      <c r="F49" s="235" t="s">
        <v>1217</v>
      </c>
      <c r="G49" s="284">
        <f>IFERROR(VLOOKUP(E49,Assign!$C$2:$J$142,8,FALSE),)</f>
        <v>0</v>
      </c>
      <c r="H49" s="279" t="s">
        <v>6262</v>
      </c>
      <c r="I49" s="280" t="s">
        <v>5641</v>
      </c>
      <c r="J49" s="281" t="s">
        <v>3753</v>
      </c>
      <c r="K49" s="282">
        <v>44501</v>
      </c>
      <c r="L49" s="282">
        <v>45597</v>
      </c>
      <c r="M49" s="282">
        <v>45617</v>
      </c>
      <c r="N49" s="371">
        <v>500000</v>
      </c>
      <c r="O49" s="444" t="s">
        <v>3866</v>
      </c>
      <c r="P49" s="397">
        <v>168437829</v>
      </c>
      <c r="Q49" s="397">
        <v>168437829</v>
      </c>
      <c r="R49" s="397"/>
      <c r="S49" s="398">
        <f t="shared" si="1"/>
        <v>168437829</v>
      </c>
      <c r="T49" s="353"/>
      <c r="U49" s="353">
        <f t="shared" si="2"/>
        <v>168437829</v>
      </c>
      <c r="V49" s="399"/>
      <c r="W49" s="399"/>
      <c r="X49" s="400" t="s">
        <v>492</v>
      </c>
      <c r="Y49" s="400"/>
      <c r="Z49" s="283"/>
    </row>
    <row r="50" spans="2:26" ht="19.5" hidden="1" customHeight="1">
      <c r="B50" s="29">
        <f t="shared" si="0"/>
        <v>40</v>
      </c>
      <c r="C50" s="30" t="s">
        <v>206</v>
      </c>
      <c r="D50" s="30" t="s">
        <v>225</v>
      </c>
      <c r="E50" s="234" t="s">
        <v>656</v>
      </c>
      <c r="F50" s="235" t="s">
        <v>1217</v>
      </c>
      <c r="G50" s="284">
        <f>IFERROR(VLOOKUP(E50,Assign!$C$2:$J$142,8,FALSE),)</f>
        <v>0</v>
      </c>
      <c r="H50" s="279" t="s">
        <v>6263</v>
      </c>
      <c r="I50" s="280" t="s">
        <v>5642</v>
      </c>
      <c r="J50" s="281" t="s">
        <v>3753</v>
      </c>
      <c r="K50" s="282">
        <v>44501</v>
      </c>
      <c r="L50" s="282">
        <v>45597</v>
      </c>
      <c r="M50" s="282">
        <v>45630</v>
      </c>
      <c r="N50" s="371">
        <v>500000</v>
      </c>
      <c r="O50" s="444" t="s">
        <v>3866</v>
      </c>
      <c r="P50" s="397">
        <v>165542065</v>
      </c>
      <c r="Q50" s="397">
        <v>165542065</v>
      </c>
      <c r="R50" s="397"/>
      <c r="S50" s="398">
        <f t="shared" si="1"/>
        <v>165542065</v>
      </c>
      <c r="T50" s="353"/>
      <c r="U50" s="353">
        <f t="shared" si="2"/>
        <v>165542065</v>
      </c>
      <c r="V50" s="399"/>
      <c r="W50" s="399"/>
      <c r="X50" s="400" t="s">
        <v>492</v>
      </c>
      <c r="Y50" s="400"/>
      <c r="Z50" s="283"/>
    </row>
    <row r="51" spans="2:26" ht="19.5" hidden="1" customHeight="1">
      <c r="B51" s="29">
        <f t="shared" si="0"/>
        <v>41</v>
      </c>
      <c r="C51" s="30" t="s">
        <v>206</v>
      </c>
      <c r="D51" s="30" t="s">
        <v>225</v>
      </c>
      <c r="E51" s="234" t="s">
        <v>657</v>
      </c>
      <c r="F51" s="235" t="s">
        <v>1300</v>
      </c>
      <c r="G51" s="284">
        <f>IFERROR(VLOOKUP(E51,Assign!$C$2:$J$142,8,FALSE),)</f>
        <v>0</v>
      </c>
      <c r="H51" s="279" t="s">
        <v>7085</v>
      </c>
      <c r="I51" s="280" t="s">
        <v>5717</v>
      </c>
      <c r="J51" s="281" t="s">
        <v>3825</v>
      </c>
      <c r="K51" s="282">
        <v>44684</v>
      </c>
      <c r="L51" s="282">
        <v>45672</v>
      </c>
      <c r="M51" s="282">
        <v>45673</v>
      </c>
      <c r="N51" s="371">
        <v>1260000000</v>
      </c>
      <c r="O51" s="444" t="s">
        <v>3866</v>
      </c>
      <c r="P51" s="397">
        <v>1245744096</v>
      </c>
      <c r="Q51" s="397">
        <v>1245744096</v>
      </c>
      <c r="R51" s="397"/>
      <c r="S51" s="398">
        <f t="shared" si="1"/>
        <v>1245744096</v>
      </c>
      <c r="T51" s="353"/>
      <c r="U51" s="353">
        <f t="shared" si="2"/>
        <v>1245744096</v>
      </c>
      <c r="V51" s="399"/>
      <c r="W51" s="399"/>
      <c r="X51" s="400" t="s">
        <v>492</v>
      </c>
      <c r="Y51" s="400"/>
      <c r="Z51" s="283"/>
    </row>
    <row r="52" spans="2:26" ht="19.5" hidden="1" customHeight="1">
      <c r="B52" s="29">
        <f t="shared" si="0"/>
        <v>42</v>
      </c>
      <c r="C52" s="30" t="s">
        <v>206</v>
      </c>
      <c r="D52" s="30" t="s">
        <v>225</v>
      </c>
      <c r="E52" s="234" t="s">
        <v>657</v>
      </c>
      <c r="F52" s="235" t="s">
        <v>1300</v>
      </c>
      <c r="G52" s="284">
        <f>IFERROR(VLOOKUP(E52,Assign!$C$2:$J$142,8,FALSE),)</f>
        <v>0</v>
      </c>
      <c r="H52" s="279" t="s">
        <v>7086</v>
      </c>
      <c r="I52" s="280" t="s">
        <v>6199</v>
      </c>
      <c r="J52" s="281" t="s">
        <v>3826</v>
      </c>
      <c r="K52" s="282">
        <v>44684</v>
      </c>
      <c r="L52" s="282">
        <v>45672</v>
      </c>
      <c r="M52" s="282">
        <v>45673</v>
      </c>
      <c r="N52" s="371">
        <v>806000000</v>
      </c>
      <c r="O52" s="444" t="s">
        <v>3866</v>
      </c>
      <c r="P52" s="397">
        <v>806000000</v>
      </c>
      <c r="Q52" s="397">
        <v>806000000</v>
      </c>
      <c r="R52" s="397"/>
      <c r="S52" s="398">
        <f t="shared" si="1"/>
        <v>806000000</v>
      </c>
      <c r="T52" s="353"/>
      <c r="U52" s="353">
        <f t="shared" si="2"/>
        <v>806000000</v>
      </c>
      <c r="V52" s="399"/>
      <c r="W52" s="399"/>
      <c r="X52" s="400" t="s">
        <v>492</v>
      </c>
      <c r="Y52" s="400"/>
      <c r="Z52" s="283"/>
    </row>
    <row r="53" spans="2:26" ht="19.5" hidden="1" customHeight="1">
      <c r="B53" s="29">
        <f t="shared" si="0"/>
        <v>43</v>
      </c>
      <c r="C53" s="30" t="s">
        <v>206</v>
      </c>
      <c r="D53" s="30" t="s">
        <v>225</v>
      </c>
      <c r="E53" s="234" t="s">
        <v>658</v>
      </c>
      <c r="F53" s="235" t="s">
        <v>1301</v>
      </c>
      <c r="G53" s="284">
        <f>IFERROR(VLOOKUP(E53,Assign!$C$2:$J$142,8,FALSE),)</f>
        <v>0</v>
      </c>
      <c r="H53" s="279" t="s">
        <v>6885</v>
      </c>
      <c r="I53" s="280" t="s">
        <v>6055</v>
      </c>
      <c r="J53" s="281" t="s">
        <v>3762</v>
      </c>
      <c r="K53" s="282">
        <v>44645</v>
      </c>
      <c r="L53" s="282">
        <v>45833</v>
      </c>
      <c r="M53" s="282">
        <v>45664</v>
      </c>
      <c r="N53" s="371">
        <v>400000000</v>
      </c>
      <c r="O53" s="444" t="s">
        <v>3866</v>
      </c>
      <c r="P53" s="397">
        <v>400000000</v>
      </c>
      <c r="Q53" s="397">
        <v>400000000</v>
      </c>
      <c r="R53" s="397"/>
      <c r="S53" s="398">
        <f t="shared" si="1"/>
        <v>400000000</v>
      </c>
      <c r="T53" s="353"/>
      <c r="U53" s="353">
        <f t="shared" si="2"/>
        <v>400000000</v>
      </c>
      <c r="V53" s="399"/>
      <c r="W53" s="399"/>
      <c r="X53" s="400" t="s">
        <v>492</v>
      </c>
      <c r="Y53" s="400"/>
      <c r="Z53" s="283"/>
    </row>
    <row r="54" spans="2:26" ht="19.5" hidden="1" customHeight="1">
      <c r="B54" s="29">
        <f t="shared" si="0"/>
        <v>44</v>
      </c>
      <c r="C54" s="30" t="s">
        <v>206</v>
      </c>
      <c r="D54" s="30" t="s">
        <v>225</v>
      </c>
      <c r="E54" s="234" t="s">
        <v>658</v>
      </c>
      <c r="F54" s="235" t="s">
        <v>1301</v>
      </c>
      <c r="G54" s="284">
        <f>IFERROR(VLOOKUP(E54,Assign!$C$2:$J$142,8,FALSE),)</f>
        <v>0</v>
      </c>
      <c r="H54" s="279" t="s">
        <v>6886</v>
      </c>
      <c r="I54" s="280" t="s">
        <v>6103</v>
      </c>
      <c r="J54" s="281" t="s">
        <v>3733</v>
      </c>
      <c r="K54" s="282">
        <v>44830</v>
      </c>
      <c r="L54" s="282">
        <v>45834</v>
      </c>
      <c r="M54" s="282">
        <v>45665</v>
      </c>
      <c r="N54" s="371">
        <v>125000000</v>
      </c>
      <c r="O54" s="444" t="s">
        <v>3866</v>
      </c>
      <c r="P54" s="397">
        <v>125000000</v>
      </c>
      <c r="Q54" s="397">
        <v>125000000</v>
      </c>
      <c r="R54" s="397"/>
      <c r="S54" s="398">
        <f t="shared" si="1"/>
        <v>125000000</v>
      </c>
      <c r="T54" s="353"/>
      <c r="U54" s="353">
        <f t="shared" si="2"/>
        <v>125000000</v>
      </c>
      <c r="V54" s="399"/>
      <c r="W54" s="399"/>
      <c r="X54" s="400" t="s">
        <v>492</v>
      </c>
      <c r="Y54" s="400"/>
      <c r="Z54" s="283"/>
    </row>
    <row r="55" spans="2:26" ht="19.5" hidden="1" customHeight="1">
      <c r="B55" s="29">
        <f t="shared" si="0"/>
        <v>45</v>
      </c>
      <c r="C55" s="30" t="s">
        <v>206</v>
      </c>
      <c r="D55" s="30" t="s">
        <v>225</v>
      </c>
      <c r="E55" s="234" t="s">
        <v>658</v>
      </c>
      <c r="F55" s="235" t="s">
        <v>1301</v>
      </c>
      <c r="G55" s="284">
        <f>IFERROR(VLOOKUP(E55,Assign!$C$2:$J$142,8,FALSE),)</f>
        <v>0</v>
      </c>
      <c r="H55" s="279" t="s">
        <v>6887</v>
      </c>
      <c r="I55" s="280" t="s">
        <v>5926</v>
      </c>
      <c r="J55" s="281" t="s">
        <v>3733</v>
      </c>
      <c r="K55" s="282">
        <v>44893</v>
      </c>
      <c r="L55" s="282">
        <v>45805</v>
      </c>
      <c r="M55" s="282">
        <v>45664</v>
      </c>
      <c r="N55" s="371">
        <v>167000000</v>
      </c>
      <c r="O55" s="444" t="s">
        <v>3866</v>
      </c>
      <c r="P55" s="397">
        <v>167000000</v>
      </c>
      <c r="Q55" s="397">
        <v>167000000</v>
      </c>
      <c r="R55" s="397"/>
      <c r="S55" s="398">
        <f t="shared" si="1"/>
        <v>167000000</v>
      </c>
      <c r="T55" s="353"/>
      <c r="U55" s="353">
        <f t="shared" si="2"/>
        <v>167000000</v>
      </c>
      <c r="V55" s="399"/>
      <c r="W55" s="399"/>
      <c r="X55" s="400" t="s">
        <v>492</v>
      </c>
      <c r="Y55" s="400"/>
      <c r="Z55" s="283"/>
    </row>
    <row r="56" spans="2:26" ht="19.5" hidden="1" customHeight="1">
      <c r="B56" s="29">
        <f t="shared" si="0"/>
        <v>46</v>
      </c>
      <c r="C56" s="30" t="s">
        <v>206</v>
      </c>
      <c r="D56" s="30" t="s">
        <v>225</v>
      </c>
      <c r="E56" s="234" t="s">
        <v>658</v>
      </c>
      <c r="F56" s="235" t="s">
        <v>1301</v>
      </c>
      <c r="G56" s="284">
        <f>IFERROR(VLOOKUP(E56,Assign!$C$2:$J$142,8,FALSE),)</f>
        <v>0</v>
      </c>
      <c r="H56" s="279" t="s">
        <v>6888</v>
      </c>
      <c r="I56" s="280" t="s">
        <v>6029</v>
      </c>
      <c r="J56" s="281" t="s">
        <v>3804</v>
      </c>
      <c r="K56" s="282">
        <v>45398</v>
      </c>
      <c r="L56" s="282">
        <v>49048</v>
      </c>
      <c r="M56" s="282">
        <v>45672</v>
      </c>
      <c r="N56" s="371">
        <v>150000000</v>
      </c>
      <c r="O56" s="444" t="s">
        <v>3866</v>
      </c>
      <c r="P56" s="397">
        <v>150000000</v>
      </c>
      <c r="Q56" s="397">
        <v>150000000</v>
      </c>
      <c r="R56" s="397"/>
      <c r="S56" s="398">
        <f t="shared" si="1"/>
        <v>150000000</v>
      </c>
      <c r="T56" s="353"/>
      <c r="U56" s="353">
        <f t="shared" si="2"/>
        <v>150000000</v>
      </c>
      <c r="V56" s="399"/>
      <c r="W56" s="399"/>
      <c r="X56" s="400" t="s">
        <v>492</v>
      </c>
      <c r="Y56" s="400"/>
      <c r="Z56" s="283"/>
    </row>
    <row r="57" spans="2:26" ht="19.5" hidden="1" customHeight="1">
      <c r="B57" s="29">
        <f t="shared" si="0"/>
        <v>47</v>
      </c>
      <c r="C57" s="30" t="s">
        <v>206</v>
      </c>
      <c r="D57" s="30" t="s">
        <v>225</v>
      </c>
      <c r="E57" s="234" t="s">
        <v>658</v>
      </c>
      <c r="F57" s="235" t="s">
        <v>1301</v>
      </c>
      <c r="G57" s="284">
        <f>IFERROR(VLOOKUP(E57,Assign!$C$2:$J$142,8,FALSE),)</f>
        <v>0</v>
      </c>
      <c r="H57" s="279" t="s">
        <v>6889</v>
      </c>
      <c r="I57" s="280" t="s">
        <v>5719</v>
      </c>
      <c r="J57" s="281" t="s">
        <v>3805</v>
      </c>
      <c r="K57" s="282">
        <v>45387</v>
      </c>
      <c r="L57" s="282">
        <v>45731</v>
      </c>
      <c r="M57" s="282">
        <v>45694</v>
      </c>
      <c r="N57" s="371">
        <v>420000000</v>
      </c>
      <c r="O57" s="444" t="s">
        <v>3866</v>
      </c>
      <c r="P57" s="397">
        <v>420000000</v>
      </c>
      <c r="Q57" s="397">
        <v>420000000</v>
      </c>
      <c r="R57" s="397"/>
      <c r="S57" s="398">
        <f t="shared" si="1"/>
        <v>420000000</v>
      </c>
      <c r="T57" s="353"/>
      <c r="U57" s="353">
        <f t="shared" si="2"/>
        <v>420000000</v>
      </c>
      <c r="V57" s="399"/>
      <c r="W57" s="399"/>
      <c r="X57" s="400" t="s">
        <v>492</v>
      </c>
      <c r="Y57" s="400"/>
      <c r="Z57" s="283"/>
    </row>
    <row r="58" spans="2:26" ht="19.5" hidden="1" customHeight="1">
      <c r="B58" s="29">
        <f t="shared" si="0"/>
        <v>48</v>
      </c>
      <c r="C58" s="30" t="s">
        <v>206</v>
      </c>
      <c r="D58" s="30" t="s">
        <v>225</v>
      </c>
      <c r="E58" s="234" t="s">
        <v>658</v>
      </c>
      <c r="F58" s="235" t="s">
        <v>1301</v>
      </c>
      <c r="G58" s="284">
        <f>IFERROR(VLOOKUP(E58,Assign!$C$2:$J$142,8,FALSE),)</f>
        <v>0</v>
      </c>
      <c r="H58" s="279" t="s">
        <v>6890</v>
      </c>
      <c r="I58" s="280" t="s">
        <v>5632</v>
      </c>
      <c r="J58" s="281" t="s">
        <v>3806</v>
      </c>
      <c r="K58" s="282">
        <v>44830</v>
      </c>
      <c r="L58" s="282">
        <v>45883</v>
      </c>
      <c r="M58" s="282">
        <v>45671</v>
      </c>
      <c r="N58" s="371">
        <v>100000000</v>
      </c>
      <c r="O58" s="444" t="s">
        <v>3866</v>
      </c>
      <c r="P58" s="397">
        <v>100000000</v>
      </c>
      <c r="Q58" s="397">
        <v>100000000</v>
      </c>
      <c r="R58" s="397"/>
      <c r="S58" s="398">
        <f t="shared" si="1"/>
        <v>100000000</v>
      </c>
      <c r="T58" s="353"/>
      <c r="U58" s="353">
        <f t="shared" si="2"/>
        <v>100000000</v>
      </c>
      <c r="V58" s="399"/>
      <c r="W58" s="399"/>
      <c r="X58" s="400" t="s">
        <v>492</v>
      </c>
      <c r="Y58" s="400"/>
      <c r="Z58" s="283"/>
    </row>
    <row r="59" spans="2:26" ht="19.5" hidden="1" customHeight="1">
      <c r="B59" s="29">
        <f t="shared" si="0"/>
        <v>49</v>
      </c>
      <c r="C59" s="30" t="s">
        <v>206</v>
      </c>
      <c r="D59" s="30" t="s">
        <v>225</v>
      </c>
      <c r="E59" s="234" t="s">
        <v>659</v>
      </c>
      <c r="F59" s="235" t="s">
        <v>1218</v>
      </c>
      <c r="G59" s="284" t="str">
        <f>IFERROR(VLOOKUP(E59,Assign!$C$2:$J$142,8,FALSE),)</f>
        <v>문선영</v>
      </c>
      <c r="H59" s="279" t="s">
        <v>6849</v>
      </c>
      <c r="I59" s="280" t="s">
        <v>5947</v>
      </c>
      <c r="J59" s="281" t="s">
        <v>3754</v>
      </c>
      <c r="K59" s="282">
        <v>45177</v>
      </c>
      <c r="L59" s="282">
        <v>46273</v>
      </c>
      <c r="M59" s="282">
        <v>45699</v>
      </c>
      <c r="N59" s="371">
        <v>830000000</v>
      </c>
      <c r="O59" s="444" t="s">
        <v>3866</v>
      </c>
      <c r="P59" s="397">
        <v>814000000</v>
      </c>
      <c r="Q59" s="397">
        <v>814000000</v>
      </c>
      <c r="R59" s="397"/>
      <c r="S59" s="398">
        <f t="shared" si="1"/>
        <v>814000000</v>
      </c>
      <c r="T59" s="353"/>
      <c r="U59" s="353">
        <f t="shared" si="2"/>
        <v>814000000</v>
      </c>
      <c r="V59" s="399"/>
      <c r="W59" s="399"/>
      <c r="X59" s="400" t="s">
        <v>492</v>
      </c>
      <c r="Y59" s="400"/>
      <c r="Z59" s="283"/>
    </row>
    <row r="60" spans="2:26" ht="19.5" hidden="1" customHeight="1">
      <c r="B60" s="29">
        <f t="shared" si="0"/>
        <v>50</v>
      </c>
      <c r="C60" s="30" t="s">
        <v>206</v>
      </c>
      <c r="D60" s="30" t="s">
        <v>225</v>
      </c>
      <c r="E60" s="234" t="s">
        <v>659</v>
      </c>
      <c r="F60" s="235" t="s">
        <v>1218</v>
      </c>
      <c r="G60" s="284" t="str">
        <f>IFERROR(VLOOKUP(E60,Assign!$C$2:$J$142,8,FALSE),)</f>
        <v>문선영</v>
      </c>
      <c r="H60" s="279" t="s">
        <v>6850</v>
      </c>
      <c r="I60" s="280" t="s">
        <v>5976</v>
      </c>
      <c r="J60" s="281" t="s">
        <v>3754</v>
      </c>
      <c r="K60" s="282">
        <v>45230</v>
      </c>
      <c r="L60" s="282">
        <v>46326</v>
      </c>
      <c r="M60" s="282">
        <v>45689</v>
      </c>
      <c r="N60" s="371">
        <v>810000000</v>
      </c>
      <c r="O60" s="444" t="s">
        <v>3866</v>
      </c>
      <c r="P60" s="397">
        <v>796000000</v>
      </c>
      <c r="Q60" s="397">
        <v>796000000</v>
      </c>
      <c r="R60" s="397"/>
      <c r="S60" s="398">
        <f t="shared" si="1"/>
        <v>796000000</v>
      </c>
      <c r="T60" s="353"/>
      <c r="U60" s="353">
        <f t="shared" si="2"/>
        <v>796000000</v>
      </c>
      <c r="V60" s="399"/>
      <c r="W60" s="399"/>
      <c r="X60" s="400" t="s">
        <v>492</v>
      </c>
      <c r="Y60" s="400"/>
      <c r="Z60" s="283"/>
    </row>
    <row r="61" spans="2:26" ht="19.5" hidden="1" customHeight="1">
      <c r="B61" s="29">
        <f t="shared" si="0"/>
        <v>51</v>
      </c>
      <c r="C61" s="30" t="s">
        <v>206</v>
      </c>
      <c r="D61" s="30" t="s">
        <v>225</v>
      </c>
      <c r="E61" s="234" t="s">
        <v>660</v>
      </c>
      <c r="F61" s="235" t="s">
        <v>1221</v>
      </c>
      <c r="G61" s="284">
        <f>IFERROR(VLOOKUP(E61,Assign!$C$2:$J$142,8,FALSE),)</f>
        <v>0</v>
      </c>
      <c r="H61" s="279" t="s">
        <v>6608</v>
      </c>
      <c r="I61" s="280" t="s">
        <v>5651</v>
      </c>
      <c r="J61" s="281" t="s">
        <v>3754</v>
      </c>
      <c r="K61" s="282">
        <v>44903</v>
      </c>
      <c r="L61" s="282">
        <v>45999</v>
      </c>
      <c r="M61" s="282">
        <v>45605</v>
      </c>
      <c r="N61" s="371">
        <v>1650000000</v>
      </c>
      <c r="O61" s="444" t="s">
        <v>3866</v>
      </c>
      <c r="P61" s="397">
        <v>1570000000</v>
      </c>
      <c r="Q61" s="397">
        <v>1570000000</v>
      </c>
      <c r="R61" s="397"/>
      <c r="S61" s="398">
        <f t="shared" si="1"/>
        <v>1570000000</v>
      </c>
      <c r="T61" s="353"/>
      <c r="U61" s="353">
        <f t="shared" si="2"/>
        <v>1570000000</v>
      </c>
      <c r="V61" s="399"/>
      <c r="W61" s="399"/>
      <c r="X61" s="400" t="s">
        <v>492</v>
      </c>
      <c r="Y61" s="400"/>
      <c r="Z61" s="283"/>
    </row>
    <row r="62" spans="2:26" ht="19.5" hidden="1" customHeight="1">
      <c r="B62" s="29">
        <f t="shared" si="0"/>
        <v>52</v>
      </c>
      <c r="C62" s="30" t="s">
        <v>206</v>
      </c>
      <c r="D62" s="30" t="s">
        <v>225</v>
      </c>
      <c r="E62" s="234" t="s">
        <v>661</v>
      </c>
      <c r="F62" s="235" t="s">
        <v>1302</v>
      </c>
      <c r="G62" s="284" t="str">
        <f>IFERROR(VLOOKUP(E62,Assign!$C$2:$J$142,8,FALSE),)</f>
        <v>문선영</v>
      </c>
      <c r="H62" s="279" t="s">
        <v>6870</v>
      </c>
      <c r="I62" s="280" t="s">
        <v>5911</v>
      </c>
      <c r="J62" s="281" t="s">
        <v>3733</v>
      </c>
      <c r="K62" s="282">
        <v>44482</v>
      </c>
      <c r="L62" s="282">
        <v>45760</v>
      </c>
      <c r="M62" s="282">
        <v>45762</v>
      </c>
      <c r="N62" s="371">
        <v>1520000000</v>
      </c>
      <c r="O62" s="444" t="s">
        <v>3866</v>
      </c>
      <c r="P62" s="397">
        <v>1520000000</v>
      </c>
      <c r="Q62" s="397">
        <v>1520000000</v>
      </c>
      <c r="R62" s="397"/>
      <c r="S62" s="398">
        <f t="shared" si="1"/>
        <v>1520000000</v>
      </c>
      <c r="T62" s="353"/>
      <c r="U62" s="353">
        <f t="shared" si="2"/>
        <v>1520000000</v>
      </c>
      <c r="V62" s="399"/>
      <c r="W62" s="399"/>
      <c r="X62" s="400" t="s">
        <v>492</v>
      </c>
      <c r="Y62" s="400"/>
      <c r="Z62" s="283"/>
    </row>
    <row r="63" spans="2:26" ht="19.5" hidden="1" customHeight="1">
      <c r="B63" s="29">
        <f t="shared" si="0"/>
        <v>53</v>
      </c>
      <c r="C63" s="30" t="s">
        <v>206</v>
      </c>
      <c r="D63" s="30" t="s">
        <v>225</v>
      </c>
      <c r="E63" s="234" t="s">
        <v>662</v>
      </c>
      <c r="F63" s="235" t="s">
        <v>1222</v>
      </c>
      <c r="G63" s="284">
        <f>IFERROR(VLOOKUP(E63,Assign!$C$2:$J$142,8,FALSE),)</f>
        <v>0</v>
      </c>
      <c r="H63" s="279" t="s">
        <v>6828</v>
      </c>
      <c r="I63" s="280" t="s">
        <v>6068</v>
      </c>
      <c r="J63" s="281" t="s">
        <v>3736</v>
      </c>
      <c r="K63" s="282">
        <v>42167</v>
      </c>
      <c r="L63" s="282">
        <v>45637</v>
      </c>
      <c r="M63" s="282">
        <v>45636</v>
      </c>
      <c r="N63" s="371">
        <v>196000000</v>
      </c>
      <c r="O63" s="444" t="s">
        <v>3866</v>
      </c>
      <c r="P63" s="397">
        <v>196000000</v>
      </c>
      <c r="Q63" s="397">
        <v>196000000</v>
      </c>
      <c r="R63" s="397"/>
      <c r="S63" s="398">
        <f t="shared" si="1"/>
        <v>196000000</v>
      </c>
      <c r="T63" s="353"/>
      <c r="U63" s="353">
        <f t="shared" si="2"/>
        <v>196000000</v>
      </c>
      <c r="V63" s="399"/>
      <c r="W63" s="399"/>
      <c r="X63" s="400" t="s">
        <v>492</v>
      </c>
      <c r="Y63" s="400"/>
      <c r="Z63" s="283"/>
    </row>
    <row r="64" spans="2:26" ht="19.5" hidden="1" customHeight="1">
      <c r="B64" s="29">
        <f t="shared" si="0"/>
        <v>54</v>
      </c>
      <c r="C64" s="30" t="s">
        <v>206</v>
      </c>
      <c r="D64" s="30" t="s">
        <v>225</v>
      </c>
      <c r="E64" s="234" t="s">
        <v>662</v>
      </c>
      <c r="F64" s="235" t="s">
        <v>1222</v>
      </c>
      <c r="G64" s="284">
        <f>IFERROR(VLOOKUP(E64,Assign!$C$2:$J$142,8,FALSE),)</f>
        <v>0</v>
      </c>
      <c r="H64" s="279" t="s">
        <v>6829</v>
      </c>
      <c r="I64" s="280" t="s">
        <v>6069</v>
      </c>
      <c r="J64" s="281" t="s">
        <v>3795</v>
      </c>
      <c r="K64" s="282">
        <v>40766</v>
      </c>
      <c r="L64" s="282">
        <v>45637</v>
      </c>
      <c r="M64" s="282">
        <v>45638</v>
      </c>
      <c r="N64" s="371">
        <v>990000000</v>
      </c>
      <c r="O64" s="444" t="s">
        <v>3866</v>
      </c>
      <c r="P64" s="397">
        <v>990000000</v>
      </c>
      <c r="Q64" s="397">
        <v>990000000</v>
      </c>
      <c r="R64" s="397"/>
      <c r="S64" s="398">
        <f t="shared" si="1"/>
        <v>990000000</v>
      </c>
      <c r="T64" s="353"/>
      <c r="U64" s="353">
        <f t="shared" si="2"/>
        <v>990000000</v>
      </c>
      <c r="V64" s="399"/>
      <c r="W64" s="399"/>
      <c r="X64" s="400" t="s">
        <v>492</v>
      </c>
      <c r="Y64" s="400"/>
      <c r="Z64" s="283"/>
    </row>
    <row r="65" spans="2:26" ht="19.5" hidden="1" customHeight="1">
      <c r="B65" s="29">
        <f t="shared" si="0"/>
        <v>55</v>
      </c>
      <c r="C65" s="30" t="s">
        <v>206</v>
      </c>
      <c r="D65" s="30" t="s">
        <v>225</v>
      </c>
      <c r="E65" s="234" t="s">
        <v>662</v>
      </c>
      <c r="F65" s="235" t="s">
        <v>1222</v>
      </c>
      <c r="G65" s="284">
        <f>IFERROR(VLOOKUP(E65,Assign!$C$2:$J$142,8,FALSE),)</f>
        <v>0</v>
      </c>
      <c r="H65" s="279" t="s">
        <v>6830</v>
      </c>
      <c r="I65" s="280" t="s">
        <v>6070</v>
      </c>
      <c r="J65" s="281" t="s">
        <v>3796</v>
      </c>
      <c r="K65" s="282">
        <v>41001</v>
      </c>
      <c r="L65" s="282">
        <v>45637</v>
      </c>
      <c r="M65" s="282">
        <v>45629</v>
      </c>
      <c r="N65" s="371">
        <v>248500000</v>
      </c>
      <c r="O65" s="444" t="s">
        <v>3866</v>
      </c>
      <c r="P65" s="397">
        <v>248500000</v>
      </c>
      <c r="Q65" s="397">
        <v>248500000</v>
      </c>
      <c r="R65" s="397"/>
      <c r="S65" s="398">
        <f t="shared" si="1"/>
        <v>248500000</v>
      </c>
      <c r="T65" s="353"/>
      <c r="U65" s="353">
        <f t="shared" si="2"/>
        <v>248500000</v>
      </c>
      <c r="V65" s="399"/>
      <c r="W65" s="399"/>
      <c r="X65" s="400" t="s">
        <v>492</v>
      </c>
      <c r="Y65" s="400"/>
      <c r="Z65" s="283"/>
    </row>
    <row r="66" spans="2:26" ht="19.5" hidden="1" customHeight="1">
      <c r="B66" s="29">
        <f t="shared" si="0"/>
        <v>56</v>
      </c>
      <c r="C66" s="30" t="s">
        <v>206</v>
      </c>
      <c r="D66" s="30" t="s">
        <v>225</v>
      </c>
      <c r="E66" s="234" t="s">
        <v>663</v>
      </c>
      <c r="F66" s="235" t="s">
        <v>1303</v>
      </c>
      <c r="G66" s="284">
        <f>IFERROR(VLOOKUP(E66,Assign!$C$2:$J$142,8,FALSE),)</f>
        <v>0</v>
      </c>
      <c r="H66" s="279" t="s">
        <v>6946</v>
      </c>
      <c r="I66" s="280" t="s">
        <v>5731</v>
      </c>
      <c r="J66" s="281" t="s">
        <v>3733</v>
      </c>
      <c r="K66" s="282">
        <v>45289</v>
      </c>
      <c r="L66" s="282">
        <v>46385</v>
      </c>
      <c r="M66" s="282">
        <v>45657</v>
      </c>
      <c r="N66" s="371">
        <v>1090000000</v>
      </c>
      <c r="O66" s="444" t="s">
        <v>3866</v>
      </c>
      <c r="P66" s="397">
        <v>1090000000</v>
      </c>
      <c r="Q66" s="397">
        <v>1090000000</v>
      </c>
      <c r="R66" s="397"/>
      <c r="S66" s="398">
        <f t="shared" si="1"/>
        <v>1090000000</v>
      </c>
      <c r="T66" s="353"/>
      <c r="U66" s="353">
        <f t="shared" si="2"/>
        <v>1090000000</v>
      </c>
      <c r="V66" s="399"/>
      <c r="W66" s="399"/>
      <c r="X66" s="400" t="s">
        <v>492</v>
      </c>
      <c r="Y66" s="400"/>
      <c r="Z66" s="283"/>
    </row>
    <row r="67" spans="2:26" ht="19.5" hidden="1" customHeight="1">
      <c r="B67" s="29">
        <f t="shared" si="0"/>
        <v>57</v>
      </c>
      <c r="C67" s="30" t="s">
        <v>206</v>
      </c>
      <c r="D67" s="30" t="s">
        <v>225</v>
      </c>
      <c r="E67" s="234" t="s">
        <v>663</v>
      </c>
      <c r="F67" s="235" t="s">
        <v>1303</v>
      </c>
      <c r="G67" s="284">
        <f>IFERROR(VLOOKUP(E67,Assign!$C$2:$J$142,8,FALSE),)</f>
        <v>0</v>
      </c>
      <c r="H67" s="279" t="s">
        <v>6947</v>
      </c>
      <c r="I67" s="280" t="s">
        <v>5900</v>
      </c>
      <c r="J67" s="281" t="s">
        <v>3745</v>
      </c>
      <c r="K67" s="282">
        <v>45422</v>
      </c>
      <c r="L67" s="282">
        <v>46517</v>
      </c>
      <c r="M67" s="282">
        <v>45668</v>
      </c>
      <c r="N67" s="371">
        <v>200000000</v>
      </c>
      <c r="O67" s="444" t="s">
        <v>3866</v>
      </c>
      <c r="P67" s="397">
        <v>161111095</v>
      </c>
      <c r="Q67" s="397">
        <v>161111095</v>
      </c>
      <c r="R67" s="397"/>
      <c r="S67" s="398">
        <f t="shared" si="1"/>
        <v>161111095</v>
      </c>
      <c r="T67" s="353"/>
      <c r="U67" s="353">
        <f t="shared" si="2"/>
        <v>161111095</v>
      </c>
      <c r="V67" s="399"/>
      <c r="W67" s="399"/>
      <c r="X67" s="400" t="s">
        <v>492</v>
      </c>
      <c r="Y67" s="400"/>
      <c r="Z67" s="283"/>
    </row>
    <row r="68" spans="2:26" ht="19.5" hidden="1" customHeight="1">
      <c r="B68" s="29">
        <f t="shared" si="0"/>
        <v>58</v>
      </c>
      <c r="C68" s="30" t="s">
        <v>206</v>
      </c>
      <c r="D68" s="30" t="s">
        <v>225</v>
      </c>
      <c r="E68" s="234" t="s">
        <v>664</v>
      </c>
      <c r="F68" s="235" t="s">
        <v>1223</v>
      </c>
      <c r="G68" s="284" t="str">
        <f>IFERROR(VLOOKUP(E68,Assign!$C$2:$J$142,8,FALSE),)</f>
        <v>문선영</v>
      </c>
      <c r="H68" s="279" t="s">
        <v>6926</v>
      </c>
      <c r="I68" s="280" t="s">
        <v>6121</v>
      </c>
      <c r="J68" s="281" t="s">
        <v>3737</v>
      </c>
      <c r="K68" s="282">
        <v>43200</v>
      </c>
      <c r="L68" s="282">
        <v>54158</v>
      </c>
      <c r="M68" s="282">
        <v>45699</v>
      </c>
      <c r="N68" s="371">
        <v>420000000</v>
      </c>
      <c r="O68" s="444" t="s">
        <v>3866</v>
      </c>
      <c r="P68" s="397">
        <v>325499814</v>
      </c>
      <c r="Q68" s="397">
        <v>325499814</v>
      </c>
      <c r="R68" s="397"/>
      <c r="S68" s="398">
        <f t="shared" si="1"/>
        <v>325499814</v>
      </c>
      <c r="T68" s="353"/>
      <c r="U68" s="353">
        <f t="shared" si="2"/>
        <v>325499814</v>
      </c>
      <c r="V68" s="399"/>
      <c r="W68" s="399"/>
      <c r="X68" s="400" t="s">
        <v>492</v>
      </c>
      <c r="Y68" s="400"/>
      <c r="Z68" s="283"/>
    </row>
    <row r="69" spans="2:26" ht="19.5" hidden="1" customHeight="1">
      <c r="B69" s="29">
        <f t="shared" si="0"/>
        <v>59</v>
      </c>
      <c r="C69" s="30" t="s">
        <v>206</v>
      </c>
      <c r="D69" s="30" t="s">
        <v>225</v>
      </c>
      <c r="E69" s="234" t="s">
        <v>664</v>
      </c>
      <c r="F69" s="235" t="s">
        <v>1223</v>
      </c>
      <c r="G69" s="284" t="str">
        <f>IFERROR(VLOOKUP(E69,Assign!$C$2:$J$142,8,FALSE),)</f>
        <v>문선영</v>
      </c>
      <c r="H69" s="279" t="s">
        <v>6927</v>
      </c>
      <c r="I69" s="280" t="s">
        <v>6122</v>
      </c>
      <c r="J69" s="281" t="s">
        <v>3733</v>
      </c>
      <c r="K69" s="282">
        <v>43530</v>
      </c>
      <c r="L69" s="282">
        <v>45736</v>
      </c>
      <c r="M69" s="282">
        <v>45703</v>
      </c>
      <c r="N69" s="371">
        <v>351000000</v>
      </c>
      <c r="O69" s="444" t="s">
        <v>3866</v>
      </c>
      <c r="P69" s="397">
        <v>351000000</v>
      </c>
      <c r="Q69" s="397">
        <v>351000000</v>
      </c>
      <c r="R69" s="397"/>
      <c r="S69" s="398">
        <f t="shared" si="1"/>
        <v>351000000</v>
      </c>
      <c r="T69" s="353"/>
      <c r="U69" s="353">
        <f t="shared" si="2"/>
        <v>351000000</v>
      </c>
      <c r="V69" s="399"/>
      <c r="W69" s="399"/>
      <c r="X69" s="400" t="s">
        <v>492</v>
      </c>
      <c r="Y69" s="400"/>
      <c r="Z69" s="283"/>
    </row>
    <row r="70" spans="2:26" ht="19.5" hidden="1" customHeight="1">
      <c r="B70" s="29">
        <f t="shared" si="0"/>
        <v>60</v>
      </c>
      <c r="C70" s="30" t="s">
        <v>206</v>
      </c>
      <c r="D70" s="30" t="s">
        <v>225</v>
      </c>
      <c r="E70" s="234" t="s">
        <v>664</v>
      </c>
      <c r="F70" s="235" t="s">
        <v>1223</v>
      </c>
      <c r="G70" s="284" t="str">
        <f>IFERROR(VLOOKUP(E70,Assign!$C$2:$J$142,8,FALSE),)</f>
        <v>문선영</v>
      </c>
      <c r="H70" s="279" t="s">
        <v>6928</v>
      </c>
      <c r="I70" s="280" t="s">
        <v>5608</v>
      </c>
      <c r="J70" s="281" t="s">
        <v>3734</v>
      </c>
      <c r="K70" s="282">
        <v>44960</v>
      </c>
      <c r="L70" s="282">
        <v>45736</v>
      </c>
      <c r="M70" s="282">
        <v>45692</v>
      </c>
      <c r="N70" s="371">
        <v>214000000</v>
      </c>
      <c r="O70" s="444" t="s">
        <v>3866</v>
      </c>
      <c r="P70" s="397">
        <v>214000000</v>
      </c>
      <c r="Q70" s="397">
        <v>214000000</v>
      </c>
      <c r="R70" s="397"/>
      <c r="S70" s="398">
        <f t="shared" si="1"/>
        <v>214000000</v>
      </c>
      <c r="T70" s="353"/>
      <c r="U70" s="353">
        <f t="shared" si="2"/>
        <v>214000000</v>
      </c>
      <c r="V70" s="399"/>
      <c r="W70" s="399"/>
      <c r="X70" s="400" t="s">
        <v>492</v>
      </c>
      <c r="Y70" s="400"/>
      <c r="Z70" s="283"/>
    </row>
    <row r="71" spans="2:26" ht="19.5" hidden="1" customHeight="1">
      <c r="B71" s="29">
        <f t="shared" si="0"/>
        <v>61</v>
      </c>
      <c r="C71" s="30" t="s">
        <v>206</v>
      </c>
      <c r="D71" s="30" t="s">
        <v>225</v>
      </c>
      <c r="E71" s="234" t="s">
        <v>664</v>
      </c>
      <c r="F71" s="235" t="s">
        <v>1223</v>
      </c>
      <c r="G71" s="284" t="str">
        <f>IFERROR(VLOOKUP(E71,Assign!$C$2:$J$142,8,FALSE),)</f>
        <v>문선영</v>
      </c>
      <c r="H71" s="279" t="s">
        <v>6929</v>
      </c>
      <c r="I71" s="280" t="s">
        <v>5860</v>
      </c>
      <c r="J71" s="281" t="s">
        <v>3734</v>
      </c>
      <c r="K71" s="282">
        <v>45005</v>
      </c>
      <c r="L71" s="282">
        <v>45736</v>
      </c>
      <c r="M71" s="282">
        <v>45703</v>
      </c>
      <c r="N71" s="371">
        <v>95000000</v>
      </c>
      <c r="O71" s="444" t="s">
        <v>3866</v>
      </c>
      <c r="P71" s="397">
        <v>95000000</v>
      </c>
      <c r="Q71" s="397">
        <v>95000000</v>
      </c>
      <c r="R71" s="397"/>
      <c r="S71" s="398">
        <f t="shared" si="1"/>
        <v>95000000</v>
      </c>
      <c r="T71" s="353"/>
      <c r="U71" s="353">
        <f t="shared" si="2"/>
        <v>95000000</v>
      </c>
      <c r="V71" s="399"/>
      <c r="W71" s="399"/>
      <c r="X71" s="400" t="s">
        <v>492</v>
      </c>
      <c r="Y71" s="400"/>
      <c r="Z71" s="283"/>
    </row>
    <row r="72" spans="2:26" ht="19.5" hidden="1" customHeight="1">
      <c r="B72" s="29">
        <f t="shared" si="0"/>
        <v>62</v>
      </c>
      <c r="C72" s="30" t="s">
        <v>206</v>
      </c>
      <c r="D72" s="30" t="s">
        <v>225</v>
      </c>
      <c r="E72" s="234" t="s">
        <v>664</v>
      </c>
      <c r="F72" s="235" t="s">
        <v>1223</v>
      </c>
      <c r="G72" s="284" t="str">
        <f>IFERROR(VLOOKUP(E72,Assign!$C$2:$J$142,8,FALSE),)</f>
        <v>문선영</v>
      </c>
      <c r="H72" s="279" t="s">
        <v>6930</v>
      </c>
      <c r="I72" s="280" t="s">
        <v>6075</v>
      </c>
      <c r="J72" s="281" t="s">
        <v>3734</v>
      </c>
      <c r="K72" s="282">
        <v>45117</v>
      </c>
      <c r="L72" s="282">
        <v>45736</v>
      </c>
      <c r="M72" s="282">
        <v>45699</v>
      </c>
      <c r="N72" s="371">
        <v>94000000</v>
      </c>
      <c r="O72" s="444" t="s">
        <v>3866</v>
      </c>
      <c r="P72" s="397">
        <v>94000000</v>
      </c>
      <c r="Q72" s="397">
        <v>94000000</v>
      </c>
      <c r="R72" s="397"/>
      <c r="S72" s="398">
        <f t="shared" si="1"/>
        <v>94000000</v>
      </c>
      <c r="T72" s="353"/>
      <c r="U72" s="353">
        <f t="shared" si="2"/>
        <v>94000000</v>
      </c>
      <c r="V72" s="399"/>
      <c r="W72" s="399"/>
      <c r="X72" s="400" t="s">
        <v>492</v>
      </c>
      <c r="Y72" s="400"/>
      <c r="Z72" s="283"/>
    </row>
    <row r="73" spans="2:26" ht="19.5" hidden="1" customHeight="1">
      <c r="B73" s="29">
        <f t="shared" si="0"/>
        <v>63</v>
      </c>
      <c r="C73" s="30" t="s">
        <v>206</v>
      </c>
      <c r="D73" s="30" t="s">
        <v>225</v>
      </c>
      <c r="E73" s="234" t="s">
        <v>664</v>
      </c>
      <c r="F73" s="235" t="s">
        <v>1223</v>
      </c>
      <c r="G73" s="284" t="str">
        <f>IFERROR(VLOOKUP(E73,Assign!$C$2:$J$142,8,FALSE),)</f>
        <v>문선영</v>
      </c>
      <c r="H73" s="279" t="s">
        <v>6931</v>
      </c>
      <c r="I73" s="280" t="s">
        <v>6123</v>
      </c>
      <c r="J73" s="281" t="s">
        <v>3734</v>
      </c>
      <c r="K73" s="282">
        <v>45555</v>
      </c>
      <c r="L73" s="282">
        <v>45736</v>
      </c>
      <c r="M73" s="282">
        <v>45703</v>
      </c>
      <c r="N73" s="371">
        <v>143000000</v>
      </c>
      <c r="O73" s="444" t="s">
        <v>3866</v>
      </c>
      <c r="P73" s="397">
        <v>143000000</v>
      </c>
      <c r="Q73" s="397">
        <v>143000000</v>
      </c>
      <c r="R73" s="397"/>
      <c r="S73" s="398">
        <f t="shared" si="1"/>
        <v>143000000</v>
      </c>
      <c r="T73" s="353"/>
      <c r="U73" s="353">
        <f t="shared" si="2"/>
        <v>143000000</v>
      </c>
      <c r="V73" s="399"/>
      <c r="W73" s="399"/>
      <c r="X73" s="400" t="s">
        <v>492</v>
      </c>
      <c r="Y73" s="400"/>
      <c r="Z73" s="283"/>
    </row>
    <row r="74" spans="2:26" ht="19.5" hidden="1" customHeight="1">
      <c r="B74" s="29">
        <f t="shared" si="0"/>
        <v>64</v>
      </c>
      <c r="C74" s="30" t="s">
        <v>206</v>
      </c>
      <c r="D74" s="30" t="s">
        <v>225</v>
      </c>
      <c r="E74" s="234" t="s">
        <v>665</v>
      </c>
      <c r="F74" s="235" t="s">
        <v>1224</v>
      </c>
      <c r="G74" s="284" t="str">
        <f>IFERROR(VLOOKUP(E74,Assign!$C$2:$J$142,8,FALSE),)</f>
        <v>문선영</v>
      </c>
      <c r="H74" s="279" t="s">
        <v>6501</v>
      </c>
      <c r="I74" s="280" t="s">
        <v>5841</v>
      </c>
      <c r="J74" s="281" t="s">
        <v>3761</v>
      </c>
      <c r="K74" s="282">
        <v>43217</v>
      </c>
      <c r="L74" s="282">
        <v>45774</v>
      </c>
      <c r="M74" s="282">
        <v>45624</v>
      </c>
      <c r="N74" s="371">
        <v>850000000</v>
      </c>
      <c r="O74" s="444" t="s">
        <v>3866</v>
      </c>
      <c r="P74" s="397">
        <v>850000000</v>
      </c>
      <c r="Q74" s="397">
        <v>850000000</v>
      </c>
      <c r="R74" s="397"/>
      <c r="S74" s="398">
        <f t="shared" si="1"/>
        <v>850000000</v>
      </c>
      <c r="T74" s="353"/>
      <c r="U74" s="353">
        <f t="shared" si="2"/>
        <v>850000000</v>
      </c>
      <c r="V74" s="399"/>
      <c r="W74" s="399"/>
      <c r="X74" s="400" t="s">
        <v>492</v>
      </c>
      <c r="Y74" s="400"/>
      <c r="Z74" s="283"/>
    </row>
    <row r="75" spans="2:26" ht="19.5" hidden="1" customHeight="1">
      <c r="B75" s="29">
        <f t="shared" ref="B75:B138" si="3">ROW()-10</f>
        <v>65</v>
      </c>
      <c r="C75" s="30" t="s">
        <v>206</v>
      </c>
      <c r="D75" s="30" t="s">
        <v>225</v>
      </c>
      <c r="E75" s="234" t="s">
        <v>665</v>
      </c>
      <c r="F75" s="235" t="s">
        <v>1224</v>
      </c>
      <c r="G75" s="284" t="str">
        <f>IFERROR(VLOOKUP(E75,Assign!$C$2:$J$142,8,FALSE),)</f>
        <v>문선영</v>
      </c>
      <c r="H75" s="279" t="s">
        <v>6502</v>
      </c>
      <c r="I75" s="280" t="s">
        <v>5842</v>
      </c>
      <c r="J75" s="281" t="s">
        <v>3775</v>
      </c>
      <c r="K75" s="282">
        <v>45408</v>
      </c>
      <c r="L75" s="282">
        <v>45774</v>
      </c>
      <c r="M75" s="282">
        <v>45626</v>
      </c>
      <c r="N75" s="371">
        <v>300000000</v>
      </c>
      <c r="O75" s="444" t="s">
        <v>3866</v>
      </c>
      <c r="P75" s="397">
        <v>300000000</v>
      </c>
      <c r="Q75" s="397">
        <v>300000000</v>
      </c>
      <c r="R75" s="397"/>
      <c r="S75" s="398">
        <f t="shared" ref="S75:S138" si="4">Q75+R75</f>
        <v>300000000</v>
      </c>
      <c r="T75" s="353"/>
      <c r="U75" s="353">
        <f t="shared" ref="U75:U138" si="5">S75+T75</f>
        <v>300000000</v>
      </c>
      <c r="V75" s="399"/>
      <c r="W75" s="399"/>
      <c r="X75" s="400" t="s">
        <v>492</v>
      </c>
      <c r="Y75" s="400"/>
      <c r="Z75" s="283"/>
    </row>
    <row r="76" spans="2:26" ht="19.5" hidden="1" customHeight="1">
      <c r="B76" s="29">
        <f t="shared" si="3"/>
        <v>66</v>
      </c>
      <c r="C76" s="30" t="s">
        <v>206</v>
      </c>
      <c r="D76" s="30" t="s">
        <v>225</v>
      </c>
      <c r="E76" s="234" t="s">
        <v>666</v>
      </c>
      <c r="F76" s="235" t="s">
        <v>1217</v>
      </c>
      <c r="G76" s="284">
        <f>IFERROR(VLOOKUP(E76,Assign!$C$2:$J$142,8,FALSE),)</f>
        <v>0</v>
      </c>
      <c r="H76" s="279" t="s">
        <v>6692</v>
      </c>
      <c r="I76" s="280" t="s">
        <v>5990</v>
      </c>
      <c r="J76" s="281" t="s">
        <v>3733</v>
      </c>
      <c r="K76" s="282">
        <v>41257</v>
      </c>
      <c r="L76" s="282">
        <v>45607</v>
      </c>
      <c r="M76" s="282">
        <v>45608</v>
      </c>
      <c r="N76" s="371">
        <v>1095000000</v>
      </c>
      <c r="O76" s="444" t="s">
        <v>3866</v>
      </c>
      <c r="P76" s="397">
        <v>1095000000</v>
      </c>
      <c r="Q76" s="397">
        <v>1095000000</v>
      </c>
      <c r="R76" s="397"/>
      <c r="S76" s="398">
        <f t="shared" si="4"/>
        <v>1095000000</v>
      </c>
      <c r="T76" s="353"/>
      <c r="U76" s="353">
        <f t="shared" si="5"/>
        <v>1095000000</v>
      </c>
      <c r="V76" s="399"/>
      <c r="W76" s="399"/>
      <c r="X76" s="400" t="s">
        <v>492</v>
      </c>
      <c r="Y76" s="400"/>
      <c r="Z76" s="283"/>
    </row>
    <row r="77" spans="2:26" ht="19.5" hidden="1" customHeight="1">
      <c r="B77" s="29">
        <f t="shared" si="3"/>
        <v>67</v>
      </c>
      <c r="C77" s="30" t="s">
        <v>206</v>
      </c>
      <c r="D77" s="30" t="s">
        <v>225</v>
      </c>
      <c r="E77" s="234" t="s">
        <v>667</v>
      </c>
      <c r="F77" s="235" t="s">
        <v>1225</v>
      </c>
      <c r="G77" s="284">
        <f>IFERROR(VLOOKUP(E77,Assign!$C$2:$J$142,8,FALSE),)</f>
        <v>0</v>
      </c>
      <c r="H77" s="279" t="s">
        <v>6224</v>
      </c>
      <c r="I77" s="280" t="s">
        <v>5603</v>
      </c>
      <c r="J77" s="281" t="s">
        <v>3736</v>
      </c>
      <c r="K77" s="282">
        <v>40399</v>
      </c>
      <c r="L77" s="282">
        <v>45603</v>
      </c>
      <c r="M77" s="282">
        <v>45601</v>
      </c>
      <c r="N77" s="371">
        <v>300000000</v>
      </c>
      <c r="O77" s="444" t="s">
        <v>3866</v>
      </c>
      <c r="P77" s="397">
        <v>300000000</v>
      </c>
      <c r="Q77" s="397">
        <v>300000000</v>
      </c>
      <c r="R77" s="397"/>
      <c r="S77" s="398">
        <f t="shared" si="4"/>
        <v>300000000</v>
      </c>
      <c r="T77" s="353"/>
      <c r="U77" s="353">
        <f t="shared" si="5"/>
        <v>300000000</v>
      </c>
      <c r="V77" s="399"/>
      <c r="W77" s="399"/>
      <c r="X77" s="400" t="s">
        <v>492</v>
      </c>
      <c r="Y77" s="400"/>
      <c r="Z77" s="283"/>
    </row>
    <row r="78" spans="2:26" ht="19.5" hidden="1" customHeight="1">
      <c r="B78" s="29">
        <f t="shared" si="3"/>
        <v>68</v>
      </c>
      <c r="C78" s="30" t="s">
        <v>206</v>
      </c>
      <c r="D78" s="30" t="s">
        <v>225</v>
      </c>
      <c r="E78" s="234" t="s">
        <v>667</v>
      </c>
      <c r="F78" s="235" t="s">
        <v>1225</v>
      </c>
      <c r="G78" s="284">
        <f>IFERROR(VLOOKUP(E78,Assign!$C$2:$J$142,8,FALSE),)</f>
        <v>0</v>
      </c>
      <c r="H78" s="279" t="s">
        <v>6225</v>
      </c>
      <c r="I78" s="280" t="s">
        <v>5604</v>
      </c>
      <c r="J78" s="281" t="s">
        <v>3737</v>
      </c>
      <c r="K78" s="282">
        <v>41726</v>
      </c>
      <c r="L78" s="282">
        <v>52684</v>
      </c>
      <c r="M78" s="282">
        <v>45594</v>
      </c>
      <c r="N78" s="371">
        <v>100000000</v>
      </c>
      <c r="O78" s="444" t="s">
        <v>3866</v>
      </c>
      <c r="P78" s="397">
        <v>97499844</v>
      </c>
      <c r="Q78" s="397">
        <v>97499844</v>
      </c>
      <c r="R78" s="397"/>
      <c r="S78" s="398">
        <f t="shared" si="4"/>
        <v>97499844</v>
      </c>
      <c r="T78" s="353"/>
      <c r="U78" s="353">
        <f t="shared" si="5"/>
        <v>97499844</v>
      </c>
      <c r="V78" s="399"/>
      <c r="W78" s="399"/>
      <c r="X78" s="400" t="s">
        <v>492</v>
      </c>
      <c r="Y78" s="400"/>
      <c r="Z78" s="283"/>
    </row>
    <row r="79" spans="2:26" ht="19.5" hidden="1" customHeight="1">
      <c r="B79" s="29">
        <f t="shared" si="3"/>
        <v>69</v>
      </c>
      <c r="C79" s="30" t="s">
        <v>206</v>
      </c>
      <c r="D79" s="30" t="s">
        <v>225</v>
      </c>
      <c r="E79" s="234" t="s">
        <v>667</v>
      </c>
      <c r="F79" s="235" t="s">
        <v>1225</v>
      </c>
      <c r="G79" s="284">
        <f>IFERROR(VLOOKUP(E79,Assign!$C$2:$J$142,8,FALSE),)</f>
        <v>0</v>
      </c>
      <c r="H79" s="279" t="s">
        <v>6226</v>
      </c>
      <c r="I79" s="280" t="s">
        <v>5605</v>
      </c>
      <c r="J79" s="281" t="s">
        <v>3733</v>
      </c>
      <c r="K79" s="282">
        <v>43798</v>
      </c>
      <c r="L79" s="282">
        <v>45624</v>
      </c>
      <c r="M79" s="282">
        <v>45591</v>
      </c>
      <c r="N79" s="371">
        <v>224000000</v>
      </c>
      <c r="O79" s="444" t="s">
        <v>3866</v>
      </c>
      <c r="P79" s="397">
        <v>224000000</v>
      </c>
      <c r="Q79" s="397">
        <v>224000000</v>
      </c>
      <c r="R79" s="397"/>
      <c r="S79" s="398">
        <f t="shared" si="4"/>
        <v>224000000</v>
      </c>
      <c r="T79" s="353"/>
      <c r="U79" s="353">
        <f t="shared" si="5"/>
        <v>224000000</v>
      </c>
      <c r="V79" s="399"/>
      <c r="W79" s="399"/>
      <c r="X79" s="400" t="s">
        <v>492</v>
      </c>
      <c r="Y79" s="400"/>
      <c r="Z79" s="283"/>
    </row>
    <row r="80" spans="2:26" ht="19.5" hidden="1" customHeight="1">
      <c r="B80" s="29">
        <f t="shared" si="3"/>
        <v>70</v>
      </c>
      <c r="C80" s="30" t="s">
        <v>206</v>
      </c>
      <c r="D80" s="30" t="s">
        <v>225</v>
      </c>
      <c r="E80" s="234" t="s">
        <v>667</v>
      </c>
      <c r="F80" s="235" t="s">
        <v>1225</v>
      </c>
      <c r="G80" s="284">
        <f>IFERROR(VLOOKUP(E80,Assign!$C$2:$J$142,8,FALSE),)</f>
        <v>0</v>
      </c>
      <c r="H80" s="279" t="s">
        <v>6227</v>
      </c>
      <c r="I80" s="280" t="s">
        <v>5606</v>
      </c>
      <c r="J80" s="281" t="s">
        <v>3734</v>
      </c>
      <c r="K80" s="282">
        <v>45145</v>
      </c>
      <c r="L80" s="282">
        <v>45603</v>
      </c>
      <c r="M80" s="282">
        <v>45604</v>
      </c>
      <c r="N80" s="371">
        <v>200000000</v>
      </c>
      <c r="O80" s="444" t="s">
        <v>3866</v>
      </c>
      <c r="P80" s="397">
        <v>200000000</v>
      </c>
      <c r="Q80" s="397">
        <v>200000000</v>
      </c>
      <c r="R80" s="397"/>
      <c r="S80" s="398">
        <f t="shared" si="4"/>
        <v>200000000</v>
      </c>
      <c r="T80" s="353"/>
      <c r="U80" s="353">
        <f t="shared" si="5"/>
        <v>200000000</v>
      </c>
      <c r="V80" s="399"/>
      <c r="W80" s="399"/>
      <c r="X80" s="400" t="s">
        <v>492</v>
      </c>
      <c r="Y80" s="400"/>
      <c r="Z80" s="283"/>
    </row>
    <row r="81" spans="2:26" ht="19.5" hidden="1" customHeight="1">
      <c r="B81" s="29">
        <f t="shared" si="3"/>
        <v>71</v>
      </c>
      <c r="C81" s="30" t="s">
        <v>206</v>
      </c>
      <c r="D81" s="30" t="s">
        <v>225</v>
      </c>
      <c r="E81" s="234" t="s">
        <v>667</v>
      </c>
      <c r="F81" s="235" t="s">
        <v>1225</v>
      </c>
      <c r="G81" s="284">
        <f>IFERROR(VLOOKUP(E81,Assign!$C$2:$J$142,8,FALSE),)</f>
        <v>0</v>
      </c>
      <c r="H81" s="279" t="s">
        <v>6228</v>
      </c>
      <c r="I81" s="280" t="s">
        <v>5607</v>
      </c>
      <c r="J81" s="281" t="s">
        <v>3734</v>
      </c>
      <c r="K81" s="282">
        <v>45380</v>
      </c>
      <c r="L81" s="282">
        <v>45603</v>
      </c>
      <c r="M81" s="282">
        <v>45588</v>
      </c>
      <c r="N81" s="371">
        <v>99000000</v>
      </c>
      <c r="O81" s="444" t="s">
        <v>3866</v>
      </c>
      <c r="P81" s="397">
        <v>99000000</v>
      </c>
      <c r="Q81" s="397">
        <v>99000000</v>
      </c>
      <c r="R81" s="397"/>
      <c r="S81" s="398">
        <f t="shared" si="4"/>
        <v>99000000</v>
      </c>
      <c r="T81" s="353"/>
      <c r="U81" s="353">
        <f t="shared" si="5"/>
        <v>99000000</v>
      </c>
      <c r="V81" s="399"/>
      <c r="W81" s="399"/>
      <c r="X81" s="400" t="s">
        <v>492</v>
      </c>
      <c r="Y81" s="400"/>
      <c r="Z81" s="283"/>
    </row>
    <row r="82" spans="2:26" ht="19.5" hidden="1" customHeight="1">
      <c r="B82" s="29">
        <f t="shared" si="3"/>
        <v>72</v>
      </c>
      <c r="C82" s="30" t="s">
        <v>206</v>
      </c>
      <c r="D82" s="30" t="s">
        <v>225</v>
      </c>
      <c r="E82" s="234" t="s">
        <v>667</v>
      </c>
      <c r="F82" s="235" t="s">
        <v>1225</v>
      </c>
      <c r="G82" s="284">
        <f>IFERROR(VLOOKUP(E82,Assign!$C$2:$J$142,8,FALSE),)</f>
        <v>0</v>
      </c>
      <c r="H82" s="279" t="s">
        <v>6229</v>
      </c>
      <c r="I82" s="280" t="s">
        <v>5608</v>
      </c>
      <c r="J82" s="281" t="s">
        <v>3734</v>
      </c>
      <c r="K82" s="282">
        <v>45380</v>
      </c>
      <c r="L82" s="282">
        <v>45603</v>
      </c>
      <c r="M82" s="282">
        <v>45596</v>
      </c>
      <c r="N82" s="371">
        <v>90000000</v>
      </c>
      <c r="O82" s="444" t="s">
        <v>3866</v>
      </c>
      <c r="P82" s="397">
        <v>90000000</v>
      </c>
      <c r="Q82" s="397">
        <v>90000000</v>
      </c>
      <c r="R82" s="397"/>
      <c r="S82" s="398">
        <f t="shared" si="4"/>
        <v>90000000</v>
      </c>
      <c r="T82" s="353"/>
      <c r="U82" s="353">
        <f t="shared" si="5"/>
        <v>90000000</v>
      </c>
      <c r="V82" s="399"/>
      <c r="W82" s="399"/>
      <c r="X82" s="400" t="s">
        <v>492</v>
      </c>
      <c r="Y82" s="400"/>
      <c r="Z82" s="283"/>
    </row>
    <row r="83" spans="2:26" ht="19.5" hidden="1" customHeight="1">
      <c r="B83" s="29">
        <f t="shared" si="3"/>
        <v>73</v>
      </c>
      <c r="C83" s="30" t="s">
        <v>206</v>
      </c>
      <c r="D83" s="30" t="s">
        <v>225</v>
      </c>
      <c r="E83" s="234" t="s">
        <v>667</v>
      </c>
      <c r="F83" s="235" t="s">
        <v>1225</v>
      </c>
      <c r="G83" s="284">
        <f>IFERROR(VLOOKUP(E83,Assign!$C$2:$J$142,8,FALSE),)</f>
        <v>0</v>
      </c>
      <c r="H83" s="279" t="s">
        <v>6230</v>
      </c>
      <c r="I83" s="280" t="s">
        <v>5609</v>
      </c>
      <c r="J83" s="281" t="s">
        <v>3734</v>
      </c>
      <c r="K83" s="282">
        <v>45511</v>
      </c>
      <c r="L83" s="282">
        <v>45603</v>
      </c>
      <c r="M83" s="282">
        <v>45604</v>
      </c>
      <c r="N83" s="371">
        <v>30000000</v>
      </c>
      <c r="O83" s="444" t="s">
        <v>3866</v>
      </c>
      <c r="P83" s="397">
        <v>30000000</v>
      </c>
      <c r="Q83" s="397">
        <v>30000000</v>
      </c>
      <c r="R83" s="397"/>
      <c r="S83" s="398">
        <f t="shared" si="4"/>
        <v>30000000</v>
      </c>
      <c r="T83" s="353"/>
      <c r="U83" s="353">
        <f t="shared" si="5"/>
        <v>30000000</v>
      </c>
      <c r="V83" s="399"/>
      <c r="W83" s="399"/>
      <c r="X83" s="400" t="s">
        <v>492</v>
      </c>
      <c r="Y83" s="400"/>
      <c r="Z83" s="283"/>
    </row>
    <row r="84" spans="2:26" ht="19.5" hidden="1" customHeight="1">
      <c r="B84" s="29">
        <f t="shared" si="3"/>
        <v>74</v>
      </c>
      <c r="C84" s="30" t="s">
        <v>206</v>
      </c>
      <c r="D84" s="30" t="s">
        <v>225</v>
      </c>
      <c r="E84" s="234" t="s">
        <v>668</v>
      </c>
      <c r="F84" s="235" t="s">
        <v>1225</v>
      </c>
      <c r="G84" s="284">
        <f>IFERROR(VLOOKUP(E84,Assign!$C$2:$J$142,8,FALSE),)</f>
        <v>0</v>
      </c>
      <c r="H84" s="279" t="s">
        <v>6463</v>
      </c>
      <c r="I84" s="280" t="s">
        <v>5810</v>
      </c>
      <c r="J84" s="281" t="s">
        <v>3736</v>
      </c>
      <c r="K84" s="282">
        <v>37785</v>
      </c>
      <c r="L84" s="282">
        <v>45825</v>
      </c>
      <c r="M84" s="282">
        <v>45636</v>
      </c>
      <c r="N84" s="371">
        <v>220000000</v>
      </c>
      <c r="O84" s="444" t="s">
        <v>3866</v>
      </c>
      <c r="P84" s="397">
        <v>219976058</v>
      </c>
      <c r="Q84" s="397">
        <v>219976058</v>
      </c>
      <c r="R84" s="397"/>
      <c r="S84" s="398">
        <f t="shared" si="4"/>
        <v>219976058</v>
      </c>
      <c r="T84" s="353"/>
      <c r="U84" s="353">
        <f t="shared" si="5"/>
        <v>219976058</v>
      </c>
      <c r="V84" s="399"/>
      <c r="W84" s="399"/>
      <c r="X84" s="400" t="s">
        <v>492</v>
      </c>
      <c r="Y84" s="400"/>
      <c r="Z84" s="283"/>
    </row>
    <row r="85" spans="2:26" ht="19.5" hidden="1" customHeight="1">
      <c r="B85" s="29">
        <f t="shared" si="3"/>
        <v>75</v>
      </c>
      <c r="C85" s="30" t="s">
        <v>206</v>
      </c>
      <c r="D85" s="30" t="s">
        <v>225</v>
      </c>
      <c r="E85" s="234" t="s">
        <v>668</v>
      </c>
      <c r="F85" s="235" t="s">
        <v>1225</v>
      </c>
      <c r="G85" s="284">
        <f>IFERROR(VLOOKUP(E85,Assign!$C$2:$J$142,8,FALSE),)</f>
        <v>0</v>
      </c>
      <c r="H85" s="279" t="s">
        <v>6464</v>
      </c>
      <c r="I85" s="280" t="s">
        <v>5811</v>
      </c>
      <c r="J85" s="281" t="s">
        <v>3734</v>
      </c>
      <c r="K85" s="282">
        <v>44474</v>
      </c>
      <c r="L85" s="282">
        <v>45935</v>
      </c>
      <c r="M85" s="282">
        <v>45637</v>
      </c>
      <c r="N85" s="371">
        <v>100000000</v>
      </c>
      <c r="O85" s="444" t="s">
        <v>3866</v>
      </c>
      <c r="P85" s="397">
        <v>100000000</v>
      </c>
      <c r="Q85" s="397">
        <v>100000000</v>
      </c>
      <c r="R85" s="397"/>
      <c r="S85" s="398">
        <f t="shared" si="4"/>
        <v>100000000</v>
      </c>
      <c r="T85" s="353"/>
      <c r="U85" s="353">
        <f t="shared" si="5"/>
        <v>100000000</v>
      </c>
      <c r="V85" s="399"/>
      <c r="W85" s="399"/>
      <c r="X85" s="400" t="s">
        <v>492</v>
      </c>
      <c r="Y85" s="400"/>
      <c r="Z85" s="283"/>
    </row>
    <row r="86" spans="2:26" ht="19.5" hidden="1" customHeight="1">
      <c r="B86" s="29">
        <f t="shared" si="3"/>
        <v>76</v>
      </c>
      <c r="C86" s="30" t="s">
        <v>206</v>
      </c>
      <c r="D86" s="30" t="s">
        <v>225</v>
      </c>
      <c r="E86" s="234" t="s">
        <v>668</v>
      </c>
      <c r="F86" s="235" t="s">
        <v>1225</v>
      </c>
      <c r="G86" s="284">
        <f>IFERROR(VLOOKUP(E86,Assign!$C$2:$J$142,8,FALSE),)</f>
        <v>0</v>
      </c>
      <c r="H86" s="279" t="s">
        <v>6465</v>
      </c>
      <c r="I86" s="280" t="s">
        <v>5812</v>
      </c>
      <c r="J86" s="281" t="s">
        <v>3734</v>
      </c>
      <c r="K86" s="282">
        <v>44760</v>
      </c>
      <c r="L86" s="282">
        <v>45855</v>
      </c>
      <c r="M86" s="282">
        <v>45660</v>
      </c>
      <c r="N86" s="371">
        <v>130000000</v>
      </c>
      <c r="O86" s="444" t="s">
        <v>3866</v>
      </c>
      <c r="P86" s="397">
        <v>130000000</v>
      </c>
      <c r="Q86" s="397">
        <v>130000000</v>
      </c>
      <c r="R86" s="397"/>
      <c r="S86" s="398">
        <f t="shared" si="4"/>
        <v>130000000</v>
      </c>
      <c r="T86" s="353"/>
      <c r="U86" s="353">
        <f t="shared" si="5"/>
        <v>130000000</v>
      </c>
      <c r="V86" s="399"/>
      <c r="W86" s="399"/>
      <c r="X86" s="400" t="s">
        <v>492</v>
      </c>
      <c r="Y86" s="400"/>
      <c r="Z86" s="283"/>
    </row>
    <row r="87" spans="2:26" ht="19.5" hidden="1" customHeight="1">
      <c r="B87" s="29">
        <f t="shared" si="3"/>
        <v>77</v>
      </c>
      <c r="C87" s="30" t="s">
        <v>206</v>
      </c>
      <c r="D87" s="30" t="s">
        <v>225</v>
      </c>
      <c r="E87" s="234" t="s">
        <v>668</v>
      </c>
      <c r="F87" s="235" t="s">
        <v>1225</v>
      </c>
      <c r="G87" s="284">
        <f>IFERROR(VLOOKUP(E87,Assign!$C$2:$J$142,8,FALSE),)</f>
        <v>0</v>
      </c>
      <c r="H87" s="279" t="s">
        <v>6466</v>
      </c>
      <c r="I87" s="280" t="s">
        <v>5685</v>
      </c>
      <c r="J87" s="281" t="s">
        <v>3770</v>
      </c>
      <c r="K87" s="282">
        <v>44798</v>
      </c>
      <c r="L87" s="282">
        <v>45855</v>
      </c>
      <c r="M87" s="282">
        <v>45660</v>
      </c>
      <c r="N87" s="371">
        <v>100000000</v>
      </c>
      <c r="O87" s="444" t="s">
        <v>3866</v>
      </c>
      <c r="P87" s="397">
        <v>100000000</v>
      </c>
      <c r="Q87" s="397">
        <v>100000000</v>
      </c>
      <c r="R87" s="397"/>
      <c r="S87" s="398">
        <f t="shared" si="4"/>
        <v>100000000</v>
      </c>
      <c r="T87" s="353"/>
      <c r="U87" s="353">
        <f t="shared" si="5"/>
        <v>100000000</v>
      </c>
      <c r="V87" s="399"/>
      <c r="W87" s="399"/>
      <c r="X87" s="400" t="s">
        <v>492</v>
      </c>
      <c r="Y87" s="400"/>
      <c r="Z87" s="283"/>
    </row>
    <row r="88" spans="2:26" ht="19.5" hidden="1" customHeight="1">
      <c r="B88" s="29">
        <f t="shared" si="3"/>
        <v>78</v>
      </c>
      <c r="C88" s="30" t="s">
        <v>206</v>
      </c>
      <c r="D88" s="30" t="s">
        <v>225</v>
      </c>
      <c r="E88" s="234" t="s">
        <v>668</v>
      </c>
      <c r="F88" s="235" t="s">
        <v>1225</v>
      </c>
      <c r="G88" s="284">
        <f>IFERROR(VLOOKUP(E88,Assign!$C$2:$J$142,8,FALSE),)</f>
        <v>0</v>
      </c>
      <c r="H88" s="279" t="s">
        <v>6467</v>
      </c>
      <c r="I88" s="280" t="s">
        <v>5697</v>
      </c>
      <c r="J88" s="281" t="s">
        <v>3734</v>
      </c>
      <c r="K88" s="282">
        <v>45243</v>
      </c>
      <c r="L88" s="282">
        <v>45790</v>
      </c>
      <c r="M88" s="282">
        <v>45640</v>
      </c>
      <c r="N88" s="371">
        <v>85000000</v>
      </c>
      <c r="O88" s="444" t="s">
        <v>3866</v>
      </c>
      <c r="P88" s="397">
        <v>85000000</v>
      </c>
      <c r="Q88" s="397">
        <v>85000000</v>
      </c>
      <c r="R88" s="397"/>
      <c r="S88" s="398">
        <f t="shared" si="4"/>
        <v>85000000</v>
      </c>
      <c r="T88" s="353"/>
      <c r="U88" s="353">
        <f t="shared" si="5"/>
        <v>85000000</v>
      </c>
      <c r="V88" s="399"/>
      <c r="W88" s="399"/>
      <c r="X88" s="400" t="s">
        <v>492</v>
      </c>
      <c r="Y88" s="400"/>
      <c r="Z88" s="283"/>
    </row>
    <row r="89" spans="2:26" ht="19.5" hidden="1" customHeight="1">
      <c r="B89" s="29">
        <f t="shared" si="3"/>
        <v>79</v>
      </c>
      <c r="C89" s="30" t="s">
        <v>206</v>
      </c>
      <c r="D89" s="30" t="s">
        <v>225</v>
      </c>
      <c r="E89" s="234" t="s">
        <v>668</v>
      </c>
      <c r="F89" s="235" t="s">
        <v>1225</v>
      </c>
      <c r="G89" s="284">
        <f>IFERROR(VLOOKUP(E89,Assign!$C$2:$J$142,8,FALSE),)</f>
        <v>0</v>
      </c>
      <c r="H89" s="279" t="s">
        <v>6468</v>
      </c>
      <c r="I89" s="280" t="s">
        <v>5813</v>
      </c>
      <c r="J89" s="281" t="s">
        <v>3734</v>
      </c>
      <c r="K89" s="282">
        <v>45364</v>
      </c>
      <c r="L89" s="282">
        <v>45722</v>
      </c>
      <c r="M89" s="282">
        <v>45633</v>
      </c>
      <c r="N89" s="371">
        <v>83300000</v>
      </c>
      <c r="O89" s="444" t="s">
        <v>3866</v>
      </c>
      <c r="P89" s="397">
        <v>8330000</v>
      </c>
      <c r="Q89" s="397">
        <v>8330000</v>
      </c>
      <c r="R89" s="397"/>
      <c r="S89" s="398">
        <f t="shared" si="4"/>
        <v>8330000</v>
      </c>
      <c r="T89" s="353"/>
      <c r="U89" s="353">
        <f t="shared" si="5"/>
        <v>8330000</v>
      </c>
      <c r="V89" s="399"/>
      <c r="W89" s="399"/>
      <c r="X89" s="400" t="s">
        <v>492</v>
      </c>
      <c r="Y89" s="400"/>
      <c r="Z89" s="283"/>
    </row>
    <row r="90" spans="2:26" ht="19.5" hidden="1" customHeight="1">
      <c r="B90" s="29">
        <f t="shared" si="3"/>
        <v>80</v>
      </c>
      <c r="C90" s="30" t="s">
        <v>206</v>
      </c>
      <c r="D90" s="30" t="s">
        <v>225</v>
      </c>
      <c r="E90" s="234" t="s">
        <v>668</v>
      </c>
      <c r="F90" s="235" t="s">
        <v>1225</v>
      </c>
      <c r="G90" s="284">
        <f>IFERROR(VLOOKUP(E90,Assign!$C$2:$J$142,8,FALSE),)</f>
        <v>0</v>
      </c>
      <c r="H90" s="279" t="s">
        <v>6469</v>
      </c>
      <c r="I90" s="280" t="s">
        <v>5814</v>
      </c>
      <c r="J90" s="281" t="s">
        <v>3734</v>
      </c>
      <c r="K90" s="282">
        <v>45377</v>
      </c>
      <c r="L90" s="282">
        <v>45742</v>
      </c>
      <c r="M90" s="282">
        <v>45681</v>
      </c>
      <c r="N90" s="371">
        <v>100000000</v>
      </c>
      <c r="O90" s="444" t="s">
        <v>3866</v>
      </c>
      <c r="P90" s="397">
        <v>100000000</v>
      </c>
      <c r="Q90" s="397">
        <v>100000000</v>
      </c>
      <c r="R90" s="397"/>
      <c r="S90" s="398">
        <f t="shared" si="4"/>
        <v>100000000</v>
      </c>
      <c r="T90" s="353"/>
      <c r="U90" s="353">
        <f t="shared" si="5"/>
        <v>100000000</v>
      </c>
      <c r="V90" s="399"/>
      <c r="W90" s="399"/>
      <c r="X90" s="400" t="s">
        <v>492</v>
      </c>
      <c r="Y90" s="400"/>
      <c r="Z90" s="283"/>
    </row>
    <row r="91" spans="2:26" ht="19.5" hidden="1" customHeight="1">
      <c r="B91" s="29">
        <f t="shared" si="3"/>
        <v>81</v>
      </c>
      <c r="C91" s="30" t="s">
        <v>206</v>
      </c>
      <c r="D91" s="30" t="s">
        <v>225</v>
      </c>
      <c r="E91" s="234" t="s">
        <v>668</v>
      </c>
      <c r="F91" s="235" t="s">
        <v>1225</v>
      </c>
      <c r="G91" s="284">
        <f>IFERROR(VLOOKUP(E91,Assign!$C$2:$J$142,8,FALSE),)</f>
        <v>0</v>
      </c>
      <c r="H91" s="279" t="s">
        <v>6470</v>
      </c>
      <c r="I91" s="280" t="s">
        <v>5815</v>
      </c>
      <c r="J91" s="281" t="s">
        <v>3734</v>
      </c>
      <c r="K91" s="282">
        <v>45377</v>
      </c>
      <c r="L91" s="282">
        <v>45742</v>
      </c>
      <c r="M91" s="282">
        <v>45681</v>
      </c>
      <c r="N91" s="371">
        <v>49000000</v>
      </c>
      <c r="O91" s="444" t="s">
        <v>3866</v>
      </c>
      <c r="P91" s="397">
        <v>49000000</v>
      </c>
      <c r="Q91" s="397">
        <v>49000000</v>
      </c>
      <c r="R91" s="397"/>
      <c r="S91" s="398">
        <f t="shared" si="4"/>
        <v>49000000</v>
      </c>
      <c r="T91" s="353"/>
      <c r="U91" s="353">
        <f t="shared" si="5"/>
        <v>49000000</v>
      </c>
      <c r="V91" s="399"/>
      <c r="W91" s="399"/>
      <c r="X91" s="400" t="s">
        <v>492</v>
      </c>
      <c r="Y91" s="400"/>
      <c r="Z91" s="283"/>
    </row>
    <row r="92" spans="2:26" ht="19.5" hidden="1" customHeight="1">
      <c r="B92" s="29">
        <f t="shared" si="3"/>
        <v>82</v>
      </c>
      <c r="C92" s="30" t="s">
        <v>206</v>
      </c>
      <c r="D92" s="30" t="s">
        <v>225</v>
      </c>
      <c r="E92" s="234" t="s">
        <v>668</v>
      </c>
      <c r="F92" s="235" t="s">
        <v>1225</v>
      </c>
      <c r="G92" s="284">
        <f>IFERROR(VLOOKUP(E92,Assign!$C$2:$J$142,8,FALSE),)</f>
        <v>0</v>
      </c>
      <c r="H92" s="279" t="s">
        <v>6471</v>
      </c>
      <c r="I92" s="280" t="s">
        <v>5816</v>
      </c>
      <c r="J92" s="281" t="s">
        <v>3771</v>
      </c>
      <c r="K92" s="282">
        <v>45380</v>
      </c>
      <c r="L92" s="282">
        <v>47206</v>
      </c>
      <c r="M92" s="282">
        <v>45681</v>
      </c>
      <c r="N92" s="371">
        <v>39000000</v>
      </c>
      <c r="O92" s="444" t="s">
        <v>3866</v>
      </c>
      <c r="P92" s="397">
        <v>39000000</v>
      </c>
      <c r="Q92" s="397">
        <v>39000000</v>
      </c>
      <c r="R92" s="397"/>
      <c r="S92" s="398">
        <f t="shared" si="4"/>
        <v>39000000</v>
      </c>
      <c r="T92" s="353"/>
      <c r="U92" s="353">
        <f t="shared" si="5"/>
        <v>39000000</v>
      </c>
      <c r="V92" s="399"/>
      <c r="W92" s="399"/>
      <c r="X92" s="400" t="s">
        <v>492</v>
      </c>
      <c r="Y92" s="400"/>
      <c r="Z92" s="283"/>
    </row>
    <row r="93" spans="2:26" ht="19.5" hidden="1" customHeight="1">
      <c r="B93" s="29">
        <f t="shared" si="3"/>
        <v>83</v>
      </c>
      <c r="C93" s="30" t="s">
        <v>206</v>
      </c>
      <c r="D93" s="30" t="s">
        <v>225</v>
      </c>
      <c r="E93" s="234" t="s">
        <v>668</v>
      </c>
      <c r="F93" s="235" t="s">
        <v>1225</v>
      </c>
      <c r="G93" s="284">
        <f>IFERROR(VLOOKUP(E93,Assign!$C$2:$J$142,8,FALSE),)</f>
        <v>0</v>
      </c>
      <c r="H93" s="279" t="s">
        <v>6472</v>
      </c>
      <c r="I93" s="280" t="s">
        <v>5817</v>
      </c>
      <c r="J93" s="281" t="s">
        <v>3734</v>
      </c>
      <c r="K93" s="282">
        <v>45497</v>
      </c>
      <c r="L93" s="282">
        <v>45855</v>
      </c>
      <c r="M93" s="282">
        <v>45660</v>
      </c>
      <c r="N93" s="371">
        <v>100000000</v>
      </c>
      <c r="O93" s="444" t="s">
        <v>3866</v>
      </c>
      <c r="P93" s="397">
        <v>100000000</v>
      </c>
      <c r="Q93" s="397">
        <v>100000000</v>
      </c>
      <c r="R93" s="397"/>
      <c r="S93" s="398">
        <f t="shared" si="4"/>
        <v>100000000</v>
      </c>
      <c r="T93" s="353"/>
      <c r="U93" s="353">
        <f t="shared" si="5"/>
        <v>100000000</v>
      </c>
      <c r="V93" s="399"/>
      <c r="W93" s="399"/>
      <c r="X93" s="400" t="s">
        <v>492</v>
      </c>
      <c r="Y93" s="400"/>
      <c r="Z93" s="283"/>
    </row>
    <row r="94" spans="2:26" ht="19.5" hidden="1" customHeight="1">
      <c r="B94" s="29">
        <f t="shared" si="3"/>
        <v>84</v>
      </c>
      <c r="C94" s="30" t="s">
        <v>206</v>
      </c>
      <c r="D94" s="30" t="s">
        <v>225</v>
      </c>
      <c r="E94" s="234" t="s">
        <v>669</v>
      </c>
      <c r="F94" s="235" t="s">
        <v>1226</v>
      </c>
      <c r="G94" s="284" t="str">
        <f>IFERROR(VLOOKUP(E94,Assign!$C$2:$J$142,8,FALSE),)</f>
        <v>문선영</v>
      </c>
      <c r="H94" s="279" t="s">
        <v>6666</v>
      </c>
      <c r="I94" s="280" t="s">
        <v>5971</v>
      </c>
      <c r="J94" s="281" t="s">
        <v>3739</v>
      </c>
      <c r="K94" s="282">
        <v>43767</v>
      </c>
      <c r="L94" s="282">
        <v>47420</v>
      </c>
      <c r="M94" s="282">
        <v>45601</v>
      </c>
      <c r="N94" s="371">
        <v>999000000</v>
      </c>
      <c r="O94" s="444" t="s">
        <v>3866</v>
      </c>
      <c r="P94" s="397">
        <v>999000000</v>
      </c>
      <c r="Q94" s="397">
        <v>999000000</v>
      </c>
      <c r="R94" s="397"/>
      <c r="S94" s="398">
        <f t="shared" si="4"/>
        <v>999000000</v>
      </c>
      <c r="T94" s="353"/>
      <c r="U94" s="353">
        <f t="shared" si="5"/>
        <v>999000000</v>
      </c>
      <c r="V94" s="399"/>
      <c r="W94" s="399"/>
      <c r="X94" s="400" t="s">
        <v>492</v>
      </c>
      <c r="Y94" s="400"/>
      <c r="Z94" s="283"/>
    </row>
    <row r="95" spans="2:26" ht="19.5" hidden="1" customHeight="1">
      <c r="B95" s="29">
        <f t="shared" si="3"/>
        <v>85</v>
      </c>
      <c r="C95" s="30" t="s">
        <v>206</v>
      </c>
      <c r="D95" s="30" t="s">
        <v>225</v>
      </c>
      <c r="E95" s="234" t="s">
        <v>670</v>
      </c>
      <c r="F95" s="235" t="s">
        <v>1304</v>
      </c>
      <c r="G95" s="284" t="str">
        <f>IFERROR(VLOOKUP(E95,Assign!$C$2:$J$142,8,FALSE),)</f>
        <v>문선영</v>
      </c>
      <c r="H95" s="279" t="s">
        <v>6575</v>
      </c>
      <c r="I95" s="280" t="s">
        <v>5902</v>
      </c>
      <c r="J95" s="281" t="s">
        <v>3736</v>
      </c>
      <c r="K95" s="282">
        <v>42675</v>
      </c>
      <c r="L95" s="282">
        <v>45758</v>
      </c>
      <c r="M95" s="282">
        <v>45601</v>
      </c>
      <c r="N95" s="371">
        <v>50000000</v>
      </c>
      <c r="O95" s="444" t="s">
        <v>3866</v>
      </c>
      <c r="P95" s="397">
        <v>50000000</v>
      </c>
      <c r="Q95" s="397">
        <v>50000000</v>
      </c>
      <c r="R95" s="397"/>
      <c r="S95" s="398">
        <f t="shared" si="4"/>
        <v>50000000</v>
      </c>
      <c r="T95" s="353"/>
      <c r="U95" s="353">
        <f t="shared" si="5"/>
        <v>50000000</v>
      </c>
      <c r="V95" s="399"/>
      <c r="W95" s="399"/>
      <c r="X95" s="400" t="s">
        <v>492</v>
      </c>
      <c r="Y95" s="400"/>
      <c r="Z95" s="283"/>
    </row>
    <row r="96" spans="2:26" ht="19.5" hidden="1" customHeight="1">
      <c r="B96" s="29">
        <f t="shared" si="3"/>
        <v>86</v>
      </c>
      <c r="C96" s="30" t="s">
        <v>206</v>
      </c>
      <c r="D96" s="30" t="s">
        <v>225</v>
      </c>
      <c r="E96" s="234" t="s">
        <v>670</v>
      </c>
      <c r="F96" s="235" t="s">
        <v>1304</v>
      </c>
      <c r="G96" s="284" t="str">
        <f>IFERROR(VLOOKUP(E96,Assign!$C$2:$J$142,8,FALSE),)</f>
        <v>문선영</v>
      </c>
      <c r="H96" s="279" t="s">
        <v>6576</v>
      </c>
      <c r="I96" s="280" t="s">
        <v>5903</v>
      </c>
      <c r="J96" s="281" t="s">
        <v>3734</v>
      </c>
      <c r="K96" s="282">
        <v>44308</v>
      </c>
      <c r="L96" s="282">
        <v>45648</v>
      </c>
      <c r="M96" s="282">
        <v>45601</v>
      </c>
      <c r="N96" s="371">
        <v>930000000</v>
      </c>
      <c r="O96" s="444" t="s">
        <v>3866</v>
      </c>
      <c r="P96" s="397">
        <v>930000000</v>
      </c>
      <c r="Q96" s="397">
        <v>930000000</v>
      </c>
      <c r="R96" s="397"/>
      <c r="S96" s="398">
        <f t="shared" si="4"/>
        <v>930000000</v>
      </c>
      <c r="T96" s="353"/>
      <c r="U96" s="353">
        <f t="shared" si="5"/>
        <v>930000000</v>
      </c>
      <c r="V96" s="399"/>
      <c r="W96" s="399"/>
      <c r="X96" s="400" t="s">
        <v>492</v>
      </c>
      <c r="Y96" s="400"/>
      <c r="Z96" s="283"/>
    </row>
    <row r="97" spans="2:26" ht="19.5" hidden="1" customHeight="1">
      <c r="B97" s="29">
        <f t="shared" si="3"/>
        <v>87</v>
      </c>
      <c r="C97" s="30" t="s">
        <v>206</v>
      </c>
      <c r="D97" s="30" t="s">
        <v>225</v>
      </c>
      <c r="E97" s="234" t="s">
        <v>670</v>
      </c>
      <c r="F97" s="235" t="s">
        <v>1304</v>
      </c>
      <c r="G97" s="284" t="str">
        <f>IFERROR(VLOOKUP(E97,Assign!$C$2:$J$142,8,FALSE),)</f>
        <v>문선영</v>
      </c>
      <c r="H97" s="279" t="s">
        <v>6577</v>
      </c>
      <c r="I97" s="280" t="s">
        <v>5895</v>
      </c>
      <c r="J97" s="281" t="s">
        <v>3745</v>
      </c>
      <c r="K97" s="282">
        <v>44565</v>
      </c>
      <c r="L97" s="282">
        <v>45661</v>
      </c>
      <c r="M97" s="282">
        <v>45601</v>
      </c>
      <c r="N97" s="371">
        <v>100000000</v>
      </c>
      <c r="O97" s="444" t="s">
        <v>3866</v>
      </c>
      <c r="P97" s="397">
        <v>12499998</v>
      </c>
      <c r="Q97" s="397">
        <v>12499998</v>
      </c>
      <c r="R97" s="397"/>
      <c r="S97" s="398">
        <f t="shared" si="4"/>
        <v>12499998</v>
      </c>
      <c r="T97" s="353"/>
      <c r="U97" s="353">
        <f t="shared" si="5"/>
        <v>12499998</v>
      </c>
      <c r="V97" s="399"/>
      <c r="W97" s="399"/>
      <c r="X97" s="400" t="s">
        <v>492</v>
      </c>
      <c r="Y97" s="400"/>
      <c r="Z97" s="283"/>
    </row>
    <row r="98" spans="2:26" ht="19.5" hidden="1" customHeight="1">
      <c r="B98" s="29">
        <f t="shared" si="3"/>
        <v>88</v>
      </c>
      <c r="C98" s="30" t="s">
        <v>206</v>
      </c>
      <c r="D98" s="30" t="s">
        <v>225</v>
      </c>
      <c r="E98" s="234" t="s">
        <v>671</v>
      </c>
      <c r="F98" s="235" t="s">
        <v>1227</v>
      </c>
      <c r="G98" s="284">
        <f>IFERROR(VLOOKUP(E98,Assign!$C$2:$J$142,8,FALSE),)</f>
        <v>0</v>
      </c>
      <c r="H98" s="279" t="s">
        <v>7094</v>
      </c>
      <c r="I98" s="280" t="s">
        <v>6203</v>
      </c>
      <c r="J98" s="281" t="s">
        <v>3741</v>
      </c>
      <c r="K98" s="282">
        <v>44774</v>
      </c>
      <c r="L98" s="282">
        <v>59384</v>
      </c>
      <c r="M98" s="282">
        <v>45660</v>
      </c>
      <c r="N98" s="371">
        <v>500000000</v>
      </c>
      <c r="O98" s="444" t="s">
        <v>3866</v>
      </c>
      <c r="P98" s="397">
        <v>488243218</v>
      </c>
      <c r="Q98" s="397">
        <v>488243218</v>
      </c>
      <c r="R98" s="397"/>
      <c r="S98" s="398">
        <f t="shared" si="4"/>
        <v>488243218</v>
      </c>
      <c r="T98" s="353"/>
      <c r="U98" s="353">
        <f t="shared" si="5"/>
        <v>488243218</v>
      </c>
      <c r="V98" s="399"/>
      <c r="W98" s="399"/>
      <c r="X98" s="400" t="s">
        <v>492</v>
      </c>
      <c r="Y98" s="400"/>
      <c r="Z98" s="283"/>
    </row>
    <row r="99" spans="2:26" ht="19.5" hidden="1" customHeight="1">
      <c r="B99" s="29">
        <f t="shared" si="3"/>
        <v>89</v>
      </c>
      <c r="C99" s="30" t="s">
        <v>206</v>
      </c>
      <c r="D99" s="30" t="s">
        <v>225</v>
      </c>
      <c r="E99" s="234" t="s">
        <v>671</v>
      </c>
      <c r="F99" s="235" t="s">
        <v>1227</v>
      </c>
      <c r="G99" s="284">
        <f>IFERROR(VLOOKUP(E99,Assign!$C$2:$J$142,8,FALSE),)</f>
        <v>0</v>
      </c>
      <c r="H99" s="279" t="s">
        <v>7095</v>
      </c>
      <c r="I99" s="280" t="s">
        <v>6110</v>
      </c>
      <c r="J99" s="281" t="s">
        <v>3762</v>
      </c>
      <c r="K99" s="282">
        <v>44805</v>
      </c>
      <c r="L99" s="282">
        <v>45717</v>
      </c>
      <c r="M99" s="282">
        <v>45650</v>
      </c>
      <c r="N99" s="371">
        <v>500000000</v>
      </c>
      <c r="O99" s="444" t="s">
        <v>3866</v>
      </c>
      <c r="P99" s="397">
        <v>500000000</v>
      </c>
      <c r="Q99" s="397">
        <v>500000000</v>
      </c>
      <c r="R99" s="397"/>
      <c r="S99" s="398">
        <f t="shared" si="4"/>
        <v>500000000</v>
      </c>
      <c r="T99" s="353"/>
      <c r="U99" s="353">
        <f t="shared" si="5"/>
        <v>500000000</v>
      </c>
      <c r="V99" s="399"/>
      <c r="W99" s="399"/>
      <c r="X99" s="400" t="s">
        <v>492</v>
      </c>
      <c r="Y99" s="400"/>
      <c r="Z99" s="283"/>
    </row>
    <row r="100" spans="2:26" ht="19.5" hidden="1" customHeight="1">
      <c r="B100" s="29">
        <f t="shared" si="3"/>
        <v>90</v>
      </c>
      <c r="C100" s="30" t="s">
        <v>206</v>
      </c>
      <c r="D100" s="30" t="s">
        <v>225</v>
      </c>
      <c r="E100" s="234" t="s">
        <v>672</v>
      </c>
      <c r="F100" s="235" t="s">
        <v>1228</v>
      </c>
      <c r="G100" s="284">
        <f>IFERROR(VLOOKUP(E100,Assign!$C$2:$J$142,8,FALSE),)</f>
        <v>0</v>
      </c>
      <c r="H100" s="279" t="s">
        <v>6996</v>
      </c>
      <c r="I100" s="280" t="s">
        <v>6155</v>
      </c>
      <c r="J100" s="281" t="s">
        <v>3793</v>
      </c>
      <c r="K100" s="282">
        <v>43462</v>
      </c>
      <c r="L100" s="282">
        <v>45928</v>
      </c>
      <c r="M100" s="282">
        <v>45689</v>
      </c>
      <c r="N100" s="371">
        <v>610000000</v>
      </c>
      <c r="O100" s="444" t="s">
        <v>3866</v>
      </c>
      <c r="P100" s="397">
        <v>610000000</v>
      </c>
      <c r="Q100" s="397">
        <v>610000000</v>
      </c>
      <c r="R100" s="397"/>
      <c r="S100" s="398">
        <f t="shared" si="4"/>
        <v>610000000</v>
      </c>
      <c r="T100" s="353"/>
      <c r="U100" s="353">
        <f t="shared" si="5"/>
        <v>610000000</v>
      </c>
      <c r="V100" s="399"/>
      <c r="W100" s="399"/>
      <c r="X100" s="400" t="s">
        <v>492</v>
      </c>
      <c r="Y100" s="400"/>
      <c r="Z100" s="283"/>
    </row>
    <row r="101" spans="2:26" ht="19.5" hidden="1" customHeight="1">
      <c r="B101" s="29">
        <f t="shared" si="3"/>
        <v>91</v>
      </c>
      <c r="C101" s="30" t="s">
        <v>206</v>
      </c>
      <c r="D101" s="30" t="s">
        <v>225</v>
      </c>
      <c r="E101" s="234" t="s">
        <v>672</v>
      </c>
      <c r="F101" s="235" t="s">
        <v>1228</v>
      </c>
      <c r="G101" s="284">
        <f>IFERROR(VLOOKUP(E101,Assign!$C$2:$J$142,8,FALSE),)</f>
        <v>0</v>
      </c>
      <c r="H101" s="279" t="s">
        <v>6997</v>
      </c>
      <c r="I101" s="280" t="s">
        <v>6156</v>
      </c>
      <c r="J101" s="281" t="s">
        <v>3734</v>
      </c>
      <c r="K101" s="282">
        <v>44559</v>
      </c>
      <c r="L101" s="282">
        <v>45821</v>
      </c>
      <c r="M101" s="282">
        <v>45689</v>
      </c>
      <c r="N101" s="371">
        <v>325000000</v>
      </c>
      <c r="O101" s="444" t="s">
        <v>3866</v>
      </c>
      <c r="P101" s="397">
        <v>325000000</v>
      </c>
      <c r="Q101" s="397">
        <v>325000000</v>
      </c>
      <c r="R101" s="397"/>
      <c r="S101" s="398">
        <f t="shared" si="4"/>
        <v>325000000</v>
      </c>
      <c r="T101" s="353"/>
      <c r="U101" s="353">
        <f t="shared" si="5"/>
        <v>325000000</v>
      </c>
      <c r="V101" s="399"/>
      <c r="W101" s="399"/>
      <c r="X101" s="400" t="s">
        <v>492</v>
      </c>
      <c r="Y101" s="400"/>
      <c r="Z101" s="283"/>
    </row>
    <row r="102" spans="2:26" ht="19.5" hidden="1" customHeight="1">
      <c r="B102" s="29">
        <f t="shared" si="3"/>
        <v>92</v>
      </c>
      <c r="C102" s="30" t="s">
        <v>206</v>
      </c>
      <c r="D102" s="30" t="s">
        <v>225</v>
      </c>
      <c r="E102" s="234" t="s">
        <v>673</v>
      </c>
      <c r="F102" s="235" t="s">
        <v>1229</v>
      </c>
      <c r="G102" s="284">
        <f>IFERROR(VLOOKUP(E102,Assign!$C$2:$J$142,8,FALSE),)</f>
        <v>0</v>
      </c>
      <c r="H102" s="279" t="s">
        <v>6342</v>
      </c>
      <c r="I102" s="280" t="s">
        <v>5716</v>
      </c>
      <c r="J102" s="281" t="s">
        <v>3733</v>
      </c>
      <c r="K102" s="282">
        <v>44663</v>
      </c>
      <c r="L102" s="282">
        <v>45759</v>
      </c>
      <c r="M102" s="282">
        <v>45609</v>
      </c>
      <c r="N102" s="371">
        <v>900000000</v>
      </c>
      <c r="O102" s="444" t="s">
        <v>3866</v>
      </c>
      <c r="P102" s="397">
        <v>900000000</v>
      </c>
      <c r="Q102" s="397">
        <v>900000000</v>
      </c>
      <c r="R102" s="397"/>
      <c r="S102" s="398">
        <f t="shared" si="4"/>
        <v>900000000</v>
      </c>
      <c r="T102" s="353"/>
      <c r="U102" s="353">
        <f t="shared" si="5"/>
        <v>900000000</v>
      </c>
      <c r="V102" s="399"/>
      <c r="W102" s="399"/>
      <c r="X102" s="400" t="s">
        <v>492</v>
      </c>
      <c r="Y102" s="400"/>
      <c r="Z102" s="283"/>
    </row>
    <row r="103" spans="2:26" ht="19.5" hidden="1" customHeight="1">
      <c r="B103" s="29">
        <f t="shared" si="3"/>
        <v>93</v>
      </c>
      <c r="C103" s="30" t="s">
        <v>206</v>
      </c>
      <c r="D103" s="30" t="s">
        <v>225</v>
      </c>
      <c r="E103" s="234" t="s">
        <v>674</v>
      </c>
      <c r="F103" s="235" t="s">
        <v>1225</v>
      </c>
      <c r="G103" s="284">
        <f>IFERROR(VLOOKUP(E103,Assign!$C$2:$J$142,8,FALSE),)</f>
        <v>0</v>
      </c>
      <c r="H103" s="279" t="s">
        <v>6788</v>
      </c>
      <c r="I103" s="280" t="s">
        <v>5708</v>
      </c>
      <c r="J103" s="281" t="s">
        <v>3733</v>
      </c>
      <c r="K103" s="282">
        <v>44530</v>
      </c>
      <c r="L103" s="282">
        <v>45626</v>
      </c>
      <c r="M103" s="282">
        <v>45587</v>
      </c>
      <c r="N103" s="371">
        <v>350000000</v>
      </c>
      <c r="O103" s="444" t="s">
        <v>3866</v>
      </c>
      <c r="P103" s="397">
        <v>350000000</v>
      </c>
      <c r="Q103" s="397">
        <v>350000000</v>
      </c>
      <c r="R103" s="397"/>
      <c r="S103" s="398">
        <f t="shared" si="4"/>
        <v>350000000</v>
      </c>
      <c r="T103" s="353"/>
      <c r="U103" s="353">
        <f t="shared" si="5"/>
        <v>350000000</v>
      </c>
      <c r="V103" s="399"/>
      <c r="W103" s="399"/>
      <c r="X103" s="400" t="s">
        <v>492</v>
      </c>
      <c r="Y103" s="400"/>
      <c r="Z103" s="283"/>
    </row>
    <row r="104" spans="2:26" ht="19.5" hidden="1" customHeight="1">
      <c r="B104" s="29">
        <f t="shared" si="3"/>
        <v>94</v>
      </c>
      <c r="C104" s="30" t="s">
        <v>206</v>
      </c>
      <c r="D104" s="30" t="s">
        <v>225</v>
      </c>
      <c r="E104" s="234" t="s">
        <v>674</v>
      </c>
      <c r="F104" s="235" t="s">
        <v>1225</v>
      </c>
      <c r="G104" s="284">
        <f>IFERROR(VLOOKUP(E104,Assign!$C$2:$J$142,8,FALSE),)</f>
        <v>0</v>
      </c>
      <c r="H104" s="279" t="s">
        <v>6789</v>
      </c>
      <c r="I104" s="280" t="s">
        <v>6046</v>
      </c>
      <c r="J104" s="281" t="s">
        <v>3733</v>
      </c>
      <c r="K104" s="282">
        <v>44547</v>
      </c>
      <c r="L104" s="282">
        <v>45643</v>
      </c>
      <c r="M104" s="282">
        <v>45587</v>
      </c>
      <c r="N104" s="371">
        <v>318000000</v>
      </c>
      <c r="O104" s="444" t="s">
        <v>3866</v>
      </c>
      <c r="P104" s="397">
        <v>318000000</v>
      </c>
      <c r="Q104" s="397">
        <v>318000000</v>
      </c>
      <c r="R104" s="397"/>
      <c r="S104" s="398">
        <f t="shared" si="4"/>
        <v>318000000</v>
      </c>
      <c r="T104" s="353"/>
      <c r="U104" s="353">
        <f t="shared" si="5"/>
        <v>318000000</v>
      </c>
      <c r="V104" s="399"/>
      <c r="W104" s="399"/>
      <c r="X104" s="400" t="s">
        <v>492</v>
      </c>
      <c r="Y104" s="400"/>
      <c r="Z104" s="283"/>
    </row>
    <row r="105" spans="2:26" ht="19.5" hidden="1" customHeight="1">
      <c r="B105" s="29">
        <f t="shared" si="3"/>
        <v>95</v>
      </c>
      <c r="C105" s="30" t="s">
        <v>206</v>
      </c>
      <c r="D105" s="30" t="s">
        <v>225</v>
      </c>
      <c r="E105" s="234" t="s">
        <v>674</v>
      </c>
      <c r="F105" s="235" t="s">
        <v>1225</v>
      </c>
      <c r="G105" s="284">
        <f>IFERROR(VLOOKUP(E105,Assign!$C$2:$J$142,8,FALSE),)</f>
        <v>0</v>
      </c>
      <c r="H105" s="279" t="s">
        <v>6790</v>
      </c>
      <c r="I105" s="280" t="s">
        <v>5895</v>
      </c>
      <c r="J105" s="281" t="s">
        <v>3734</v>
      </c>
      <c r="K105" s="282">
        <v>44624</v>
      </c>
      <c r="L105" s="282">
        <v>45643</v>
      </c>
      <c r="M105" s="282">
        <v>45601</v>
      </c>
      <c r="N105" s="371">
        <v>150000000</v>
      </c>
      <c r="O105" s="444" t="s">
        <v>3866</v>
      </c>
      <c r="P105" s="397">
        <v>150000000</v>
      </c>
      <c r="Q105" s="397">
        <v>150000000</v>
      </c>
      <c r="R105" s="397"/>
      <c r="S105" s="398">
        <f t="shared" si="4"/>
        <v>150000000</v>
      </c>
      <c r="T105" s="353"/>
      <c r="U105" s="353">
        <f t="shared" si="5"/>
        <v>150000000</v>
      </c>
      <c r="V105" s="399"/>
      <c r="W105" s="399"/>
      <c r="X105" s="400" t="s">
        <v>492</v>
      </c>
      <c r="Y105" s="400"/>
      <c r="Z105" s="283"/>
    </row>
    <row r="106" spans="2:26" ht="19.5" hidden="1" customHeight="1">
      <c r="B106" s="29">
        <f t="shared" si="3"/>
        <v>96</v>
      </c>
      <c r="C106" s="30" t="s">
        <v>206</v>
      </c>
      <c r="D106" s="30" t="s">
        <v>225</v>
      </c>
      <c r="E106" s="234" t="s">
        <v>674</v>
      </c>
      <c r="F106" s="235" t="s">
        <v>1225</v>
      </c>
      <c r="G106" s="284">
        <f>IFERROR(VLOOKUP(E106,Assign!$C$2:$J$142,8,FALSE),)</f>
        <v>0</v>
      </c>
      <c r="H106" s="279" t="s">
        <v>6791</v>
      </c>
      <c r="I106" s="280" t="s">
        <v>5621</v>
      </c>
      <c r="J106" s="281" t="s">
        <v>3734</v>
      </c>
      <c r="K106" s="282">
        <v>44965</v>
      </c>
      <c r="L106" s="282">
        <v>45643</v>
      </c>
      <c r="M106" s="282">
        <v>45584</v>
      </c>
      <c r="N106" s="371">
        <v>79500000</v>
      </c>
      <c r="O106" s="444" t="s">
        <v>3866</v>
      </c>
      <c r="P106" s="397">
        <v>79500000</v>
      </c>
      <c r="Q106" s="397">
        <v>79500000</v>
      </c>
      <c r="R106" s="397"/>
      <c r="S106" s="398">
        <f t="shared" si="4"/>
        <v>79500000</v>
      </c>
      <c r="T106" s="353"/>
      <c r="U106" s="353">
        <f t="shared" si="5"/>
        <v>79500000</v>
      </c>
      <c r="V106" s="399"/>
      <c r="W106" s="399"/>
      <c r="X106" s="400" t="s">
        <v>492</v>
      </c>
      <c r="Y106" s="400"/>
      <c r="Z106" s="283"/>
    </row>
    <row r="107" spans="2:26" ht="19.5" hidden="1" customHeight="1">
      <c r="B107" s="29">
        <f t="shared" si="3"/>
        <v>97</v>
      </c>
      <c r="C107" s="30" t="s">
        <v>206</v>
      </c>
      <c r="D107" s="30" t="s">
        <v>225</v>
      </c>
      <c r="E107" s="234" t="s">
        <v>675</v>
      </c>
      <c r="F107" s="235" t="s">
        <v>1226</v>
      </c>
      <c r="G107" s="284">
        <f>IFERROR(VLOOKUP(E107,Assign!$C$2:$J$142,8,FALSE),)</f>
        <v>0</v>
      </c>
      <c r="H107" s="279" t="s">
        <v>7100</v>
      </c>
      <c r="I107" s="280" t="s">
        <v>6110</v>
      </c>
      <c r="J107" s="281" t="s">
        <v>3733</v>
      </c>
      <c r="K107" s="282">
        <v>45393</v>
      </c>
      <c r="L107" s="282">
        <v>46488</v>
      </c>
      <c r="M107" s="282">
        <v>45639</v>
      </c>
      <c r="N107" s="371">
        <v>880000000</v>
      </c>
      <c r="O107" s="444" t="s">
        <v>3866</v>
      </c>
      <c r="P107" s="397">
        <v>880000000</v>
      </c>
      <c r="Q107" s="397">
        <v>880000000</v>
      </c>
      <c r="R107" s="397"/>
      <c r="S107" s="398">
        <f t="shared" si="4"/>
        <v>880000000</v>
      </c>
      <c r="T107" s="353"/>
      <c r="U107" s="353">
        <f t="shared" si="5"/>
        <v>880000000</v>
      </c>
      <c r="V107" s="399"/>
      <c r="W107" s="399"/>
      <c r="X107" s="400" t="s">
        <v>492</v>
      </c>
      <c r="Y107" s="400"/>
      <c r="Z107" s="283"/>
    </row>
    <row r="108" spans="2:26" ht="19.5" hidden="1" customHeight="1">
      <c r="B108" s="29">
        <f t="shared" si="3"/>
        <v>98</v>
      </c>
      <c r="C108" s="30" t="s">
        <v>206</v>
      </c>
      <c r="D108" s="30" t="s">
        <v>225</v>
      </c>
      <c r="E108" s="234" t="s">
        <v>676</v>
      </c>
      <c r="F108" s="235" t="s">
        <v>1217</v>
      </c>
      <c r="G108" s="284">
        <f>IFERROR(VLOOKUP(E108,Assign!$C$2:$J$142,8,FALSE),)</f>
        <v>0</v>
      </c>
      <c r="H108" s="279" t="s">
        <v>6278</v>
      </c>
      <c r="I108" s="280" t="s">
        <v>5655</v>
      </c>
      <c r="J108" s="281" t="s">
        <v>3737</v>
      </c>
      <c r="K108" s="282">
        <v>41879</v>
      </c>
      <c r="L108" s="282">
        <v>52837</v>
      </c>
      <c r="M108" s="282">
        <v>45503</v>
      </c>
      <c r="N108" s="371">
        <v>835000000</v>
      </c>
      <c r="O108" s="444" t="s">
        <v>3866</v>
      </c>
      <c r="P108" s="397">
        <v>623672720</v>
      </c>
      <c r="Q108" s="397">
        <v>623672720</v>
      </c>
      <c r="R108" s="397"/>
      <c r="S108" s="398">
        <f t="shared" si="4"/>
        <v>623672720</v>
      </c>
      <c r="T108" s="353"/>
      <c r="U108" s="353">
        <f t="shared" si="5"/>
        <v>623672720</v>
      </c>
      <c r="V108" s="399"/>
      <c r="W108" s="399"/>
      <c r="X108" s="400" t="s">
        <v>492</v>
      </c>
      <c r="Y108" s="400"/>
      <c r="Z108" s="283"/>
    </row>
    <row r="109" spans="2:26" ht="19.5" hidden="1" customHeight="1">
      <c r="B109" s="29">
        <f t="shared" si="3"/>
        <v>99</v>
      </c>
      <c r="C109" s="30" t="s">
        <v>206</v>
      </c>
      <c r="D109" s="30" t="s">
        <v>225</v>
      </c>
      <c r="E109" s="234" t="s">
        <v>676</v>
      </c>
      <c r="F109" s="235" t="s">
        <v>1217</v>
      </c>
      <c r="G109" s="284">
        <f>IFERROR(VLOOKUP(E109,Assign!$C$2:$J$142,8,FALSE),)</f>
        <v>0</v>
      </c>
      <c r="H109" s="279" t="s">
        <v>6279</v>
      </c>
      <c r="I109" s="280" t="s">
        <v>5656</v>
      </c>
      <c r="J109" s="281" t="s">
        <v>3755</v>
      </c>
      <c r="K109" s="282">
        <v>42402</v>
      </c>
      <c r="L109" s="282">
        <v>53360</v>
      </c>
      <c r="M109" s="282">
        <v>45507</v>
      </c>
      <c r="N109" s="371">
        <v>250000000</v>
      </c>
      <c r="O109" s="444" t="s">
        <v>3866</v>
      </c>
      <c r="P109" s="397">
        <v>179860996</v>
      </c>
      <c r="Q109" s="397">
        <v>179860996</v>
      </c>
      <c r="R109" s="397"/>
      <c r="S109" s="398">
        <f t="shared" si="4"/>
        <v>179860996</v>
      </c>
      <c r="T109" s="353"/>
      <c r="U109" s="353">
        <f t="shared" si="5"/>
        <v>179860996</v>
      </c>
      <c r="V109" s="399"/>
      <c r="W109" s="399"/>
      <c r="X109" s="400" t="s">
        <v>492</v>
      </c>
      <c r="Y109" s="400"/>
      <c r="Z109" s="283"/>
    </row>
    <row r="110" spans="2:26" ht="19.5" hidden="1" customHeight="1">
      <c r="B110" s="29">
        <f t="shared" si="3"/>
        <v>100</v>
      </c>
      <c r="C110" s="30" t="s">
        <v>206</v>
      </c>
      <c r="D110" s="30" t="s">
        <v>225</v>
      </c>
      <c r="E110" s="234" t="s">
        <v>677</v>
      </c>
      <c r="F110" s="235" t="s">
        <v>1221</v>
      </c>
      <c r="G110" s="284">
        <f>IFERROR(VLOOKUP(E110,Assign!$C$2:$J$142,8,FALSE),)</f>
        <v>0</v>
      </c>
      <c r="H110" s="279" t="s">
        <v>6219</v>
      </c>
      <c r="I110" s="280" t="s">
        <v>5598</v>
      </c>
      <c r="J110" s="281" t="s">
        <v>3733</v>
      </c>
      <c r="K110" s="282">
        <v>45055</v>
      </c>
      <c r="L110" s="282">
        <v>45837</v>
      </c>
      <c r="M110" s="282">
        <v>45601</v>
      </c>
      <c r="N110" s="371">
        <v>400000000</v>
      </c>
      <c r="O110" s="444" t="s">
        <v>3866</v>
      </c>
      <c r="P110" s="397">
        <v>400000000</v>
      </c>
      <c r="Q110" s="397">
        <v>400000000</v>
      </c>
      <c r="R110" s="397"/>
      <c r="S110" s="398">
        <f t="shared" si="4"/>
        <v>400000000</v>
      </c>
      <c r="T110" s="353"/>
      <c r="U110" s="353">
        <f t="shared" si="5"/>
        <v>400000000</v>
      </c>
      <c r="V110" s="399"/>
      <c r="W110" s="399"/>
      <c r="X110" s="400" t="s">
        <v>492</v>
      </c>
      <c r="Y110" s="400"/>
      <c r="Z110" s="283"/>
    </row>
    <row r="111" spans="2:26" ht="19.5" hidden="1" customHeight="1">
      <c r="B111" s="29">
        <f t="shared" si="3"/>
        <v>101</v>
      </c>
      <c r="C111" s="30" t="s">
        <v>206</v>
      </c>
      <c r="D111" s="30" t="s">
        <v>225</v>
      </c>
      <c r="E111" s="234" t="s">
        <v>677</v>
      </c>
      <c r="F111" s="235" t="s">
        <v>1221</v>
      </c>
      <c r="G111" s="284">
        <f>IFERROR(VLOOKUP(E111,Assign!$C$2:$J$142,8,FALSE),)</f>
        <v>0</v>
      </c>
      <c r="H111" s="279" t="s">
        <v>6220</v>
      </c>
      <c r="I111" s="280" t="s">
        <v>5599</v>
      </c>
      <c r="J111" s="281" t="s">
        <v>3734</v>
      </c>
      <c r="K111" s="282">
        <v>45055</v>
      </c>
      <c r="L111" s="282">
        <v>45837</v>
      </c>
      <c r="M111" s="282">
        <v>45601</v>
      </c>
      <c r="N111" s="371">
        <v>480000000</v>
      </c>
      <c r="O111" s="444" t="s">
        <v>3866</v>
      </c>
      <c r="P111" s="397">
        <v>378801620</v>
      </c>
      <c r="Q111" s="397">
        <v>378801620</v>
      </c>
      <c r="R111" s="397"/>
      <c r="S111" s="398">
        <f t="shared" si="4"/>
        <v>378801620</v>
      </c>
      <c r="T111" s="353"/>
      <c r="U111" s="353">
        <f t="shared" si="5"/>
        <v>378801620</v>
      </c>
      <c r="V111" s="399"/>
      <c r="W111" s="399"/>
      <c r="X111" s="400" t="s">
        <v>492</v>
      </c>
      <c r="Y111" s="400"/>
      <c r="Z111" s="283"/>
    </row>
    <row r="112" spans="2:26" ht="19.5" hidden="1" customHeight="1">
      <c r="B112" s="29">
        <f t="shared" si="3"/>
        <v>102</v>
      </c>
      <c r="C112" s="30" t="s">
        <v>206</v>
      </c>
      <c r="D112" s="30" t="s">
        <v>225</v>
      </c>
      <c r="E112" s="234" t="s">
        <v>678</v>
      </c>
      <c r="F112" s="235" t="s">
        <v>1230</v>
      </c>
      <c r="G112" s="284">
        <f>IFERROR(VLOOKUP(E112,Assign!$C$2:$J$142,8,FALSE),)</f>
        <v>0</v>
      </c>
      <c r="H112" s="279" t="s">
        <v>6932</v>
      </c>
      <c r="I112" s="280" t="s">
        <v>6124</v>
      </c>
      <c r="J112" s="281" t="s">
        <v>3734</v>
      </c>
      <c r="K112" s="282">
        <v>45593</v>
      </c>
      <c r="L112" s="282">
        <v>45685</v>
      </c>
      <c r="M112" s="282">
        <v>45657</v>
      </c>
      <c r="N112" s="371">
        <v>770000000</v>
      </c>
      <c r="O112" s="444" t="s">
        <v>3866</v>
      </c>
      <c r="P112" s="397">
        <v>770000000</v>
      </c>
      <c r="Q112" s="397">
        <v>770000000</v>
      </c>
      <c r="R112" s="397"/>
      <c r="S112" s="398">
        <f t="shared" si="4"/>
        <v>770000000</v>
      </c>
      <c r="T112" s="353"/>
      <c r="U112" s="353">
        <f t="shared" si="5"/>
        <v>770000000</v>
      </c>
      <c r="V112" s="399"/>
      <c r="W112" s="399"/>
      <c r="X112" s="400" t="s">
        <v>492</v>
      </c>
      <c r="Y112" s="400"/>
      <c r="Z112" s="283"/>
    </row>
    <row r="113" spans="2:26" ht="19.5" hidden="1" customHeight="1">
      <c r="B113" s="29">
        <f t="shared" si="3"/>
        <v>103</v>
      </c>
      <c r="C113" s="30" t="s">
        <v>206</v>
      </c>
      <c r="D113" s="30" t="s">
        <v>225</v>
      </c>
      <c r="E113" s="234" t="s">
        <v>679</v>
      </c>
      <c r="F113" s="235" t="s">
        <v>1229</v>
      </c>
      <c r="G113" s="284">
        <f>IFERROR(VLOOKUP(E113,Assign!$C$2:$J$142,8,FALSE),)</f>
        <v>0</v>
      </c>
      <c r="H113" s="279" t="s">
        <v>6687</v>
      </c>
      <c r="I113" s="280" t="s">
        <v>5988</v>
      </c>
      <c r="J113" s="281" t="s">
        <v>3733</v>
      </c>
      <c r="K113" s="282">
        <v>42685</v>
      </c>
      <c r="L113" s="282">
        <v>45753</v>
      </c>
      <c r="M113" s="282">
        <v>45657</v>
      </c>
      <c r="N113" s="371">
        <v>715000000</v>
      </c>
      <c r="O113" s="444" t="s">
        <v>3866</v>
      </c>
      <c r="P113" s="397">
        <v>715000000</v>
      </c>
      <c r="Q113" s="397">
        <v>715000000</v>
      </c>
      <c r="R113" s="397"/>
      <c r="S113" s="398">
        <f t="shared" si="4"/>
        <v>715000000</v>
      </c>
      <c r="T113" s="353"/>
      <c r="U113" s="353">
        <f t="shared" si="5"/>
        <v>715000000</v>
      </c>
      <c r="V113" s="399"/>
      <c r="W113" s="399"/>
      <c r="X113" s="400" t="s">
        <v>492</v>
      </c>
      <c r="Y113" s="400"/>
      <c r="Z113" s="283"/>
    </row>
    <row r="114" spans="2:26" ht="19.5" hidden="1" customHeight="1">
      <c r="B114" s="29">
        <f t="shared" si="3"/>
        <v>104</v>
      </c>
      <c r="C114" s="30" t="s">
        <v>206</v>
      </c>
      <c r="D114" s="30" t="s">
        <v>225</v>
      </c>
      <c r="E114" s="234" t="s">
        <v>680</v>
      </c>
      <c r="F114" s="235" t="s">
        <v>1231</v>
      </c>
      <c r="G114" s="284">
        <f>IFERROR(VLOOKUP(E114,Assign!$C$2:$J$142,8,FALSE),)</f>
        <v>0</v>
      </c>
      <c r="H114" s="279" t="s">
        <v>6478</v>
      </c>
      <c r="I114" s="280" t="s">
        <v>5822</v>
      </c>
      <c r="J114" s="281" t="s">
        <v>3733</v>
      </c>
      <c r="K114" s="282">
        <v>41163</v>
      </c>
      <c r="L114" s="282">
        <v>45720</v>
      </c>
      <c r="M114" s="282">
        <v>45547</v>
      </c>
      <c r="N114" s="371">
        <v>475000000</v>
      </c>
      <c r="O114" s="444" t="s">
        <v>3866</v>
      </c>
      <c r="P114" s="397">
        <v>475000000</v>
      </c>
      <c r="Q114" s="397">
        <v>475000000</v>
      </c>
      <c r="R114" s="397"/>
      <c r="S114" s="398">
        <f t="shared" si="4"/>
        <v>475000000</v>
      </c>
      <c r="T114" s="353"/>
      <c r="U114" s="353">
        <f t="shared" si="5"/>
        <v>475000000</v>
      </c>
      <c r="V114" s="399"/>
      <c r="W114" s="399"/>
      <c r="X114" s="400" t="s">
        <v>492</v>
      </c>
      <c r="Y114" s="400"/>
      <c r="Z114" s="283"/>
    </row>
    <row r="115" spans="2:26" ht="19.5" hidden="1" customHeight="1">
      <c r="B115" s="29">
        <f t="shared" si="3"/>
        <v>105</v>
      </c>
      <c r="C115" s="30" t="s">
        <v>206</v>
      </c>
      <c r="D115" s="30" t="s">
        <v>225</v>
      </c>
      <c r="E115" s="234" t="s">
        <v>680</v>
      </c>
      <c r="F115" s="235" t="s">
        <v>1231</v>
      </c>
      <c r="G115" s="284">
        <f>IFERROR(VLOOKUP(E115,Assign!$C$2:$J$142,8,FALSE),)</f>
        <v>0</v>
      </c>
      <c r="H115" s="279" t="s">
        <v>6479</v>
      </c>
      <c r="I115" s="280" t="s">
        <v>5823</v>
      </c>
      <c r="J115" s="281" t="s">
        <v>3734</v>
      </c>
      <c r="K115" s="282">
        <v>44078</v>
      </c>
      <c r="L115" s="282">
        <v>45720</v>
      </c>
      <c r="M115" s="282">
        <v>45573</v>
      </c>
      <c r="N115" s="371">
        <v>50000000</v>
      </c>
      <c r="O115" s="444" t="s">
        <v>3866</v>
      </c>
      <c r="P115" s="397">
        <v>50000000</v>
      </c>
      <c r="Q115" s="397">
        <v>50000000</v>
      </c>
      <c r="R115" s="397"/>
      <c r="S115" s="398">
        <f t="shared" si="4"/>
        <v>50000000</v>
      </c>
      <c r="T115" s="353"/>
      <c r="U115" s="353">
        <f t="shared" si="5"/>
        <v>50000000</v>
      </c>
      <c r="V115" s="399"/>
      <c r="W115" s="399"/>
      <c r="X115" s="400" t="s">
        <v>492</v>
      </c>
      <c r="Y115" s="400"/>
      <c r="Z115" s="283"/>
    </row>
    <row r="116" spans="2:26" ht="19.5" hidden="1" customHeight="1">
      <c r="B116" s="29">
        <f t="shared" si="3"/>
        <v>106</v>
      </c>
      <c r="C116" s="30" t="s">
        <v>206</v>
      </c>
      <c r="D116" s="30" t="s">
        <v>225</v>
      </c>
      <c r="E116" s="234" t="s">
        <v>680</v>
      </c>
      <c r="F116" s="235" t="s">
        <v>1231</v>
      </c>
      <c r="G116" s="284">
        <f>IFERROR(VLOOKUP(E116,Assign!$C$2:$J$142,8,FALSE),)</f>
        <v>0</v>
      </c>
      <c r="H116" s="279" t="s">
        <v>6480</v>
      </c>
      <c r="I116" s="280" t="s">
        <v>5824</v>
      </c>
      <c r="J116" s="281" t="s">
        <v>3748</v>
      </c>
      <c r="K116" s="282">
        <v>44435</v>
      </c>
      <c r="L116" s="282">
        <v>45877</v>
      </c>
      <c r="M116" s="282">
        <v>45657</v>
      </c>
      <c r="N116" s="371">
        <v>125000000</v>
      </c>
      <c r="O116" s="444" t="s">
        <v>3866</v>
      </c>
      <c r="P116" s="397">
        <v>25000000</v>
      </c>
      <c r="Q116" s="397">
        <v>25000000</v>
      </c>
      <c r="R116" s="397"/>
      <c r="S116" s="398">
        <f t="shared" si="4"/>
        <v>25000000</v>
      </c>
      <c r="T116" s="353"/>
      <c r="U116" s="353">
        <f t="shared" si="5"/>
        <v>25000000</v>
      </c>
      <c r="V116" s="399"/>
      <c r="W116" s="399"/>
      <c r="X116" s="400" t="s">
        <v>492</v>
      </c>
      <c r="Y116" s="400"/>
      <c r="Z116" s="283"/>
    </row>
    <row r="117" spans="2:26" ht="19.5" hidden="1" customHeight="1">
      <c r="B117" s="29">
        <f t="shared" si="3"/>
        <v>107</v>
      </c>
      <c r="C117" s="30" t="s">
        <v>206</v>
      </c>
      <c r="D117" s="30" t="s">
        <v>225</v>
      </c>
      <c r="E117" s="234" t="s">
        <v>680</v>
      </c>
      <c r="F117" s="235" t="s">
        <v>1231</v>
      </c>
      <c r="G117" s="284">
        <f>IFERROR(VLOOKUP(E117,Assign!$C$2:$J$142,8,FALSE),)</f>
        <v>0</v>
      </c>
      <c r="H117" s="279" t="s">
        <v>6481</v>
      </c>
      <c r="I117" s="280" t="s">
        <v>5825</v>
      </c>
      <c r="J117" s="281" t="s">
        <v>3734</v>
      </c>
      <c r="K117" s="282">
        <v>44817</v>
      </c>
      <c r="L117" s="282">
        <v>45720</v>
      </c>
      <c r="M117" s="282">
        <v>45546</v>
      </c>
      <c r="N117" s="371">
        <v>100000000</v>
      </c>
      <c r="O117" s="444" t="s">
        <v>3866</v>
      </c>
      <c r="P117" s="397">
        <v>100000000</v>
      </c>
      <c r="Q117" s="397">
        <v>100000000</v>
      </c>
      <c r="R117" s="397"/>
      <c r="S117" s="398">
        <f t="shared" si="4"/>
        <v>100000000</v>
      </c>
      <c r="T117" s="353"/>
      <c r="U117" s="353">
        <f t="shared" si="5"/>
        <v>100000000</v>
      </c>
      <c r="V117" s="399"/>
      <c r="W117" s="399"/>
      <c r="X117" s="400" t="s">
        <v>492</v>
      </c>
      <c r="Y117" s="400"/>
      <c r="Z117" s="283"/>
    </row>
    <row r="118" spans="2:26" ht="19.5" hidden="1" customHeight="1">
      <c r="B118" s="29">
        <f t="shared" si="3"/>
        <v>108</v>
      </c>
      <c r="C118" s="30" t="s">
        <v>206</v>
      </c>
      <c r="D118" s="30" t="s">
        <v>225</v>
      </c>
      <c r="E118" s="234" t="s">
        <v>680</v>
      </c>
      <c r="F118" s="235" t="s">
        <v>1231</v>
      </c>
      <c r="G118" s="284">
        <f>IFERROR(VLOOKUP(E118,Assign!$C$2:$J$142,8,FALSE),)</f>
        <v>0</v>
      </c>
      <c r="H118" s="279" t="s">
        <v>6482</v>
      </c>
      <c r="I118" s="280" t="s">
        <v>5826</v>
      </c>
      <c r="J118" s="281" t="s">
        <v>3734</v>
      </c>
      <c r="K118" s="282">
        <v>44868</v>
      </c>
      <c r="L118" s="282">
        <v>45590</v>
      </c>
      <c r="M118" s="282">
        <v>45591</v>
      </c>
      <c r="N118" s="371">
        <v>110000000</v>
      </c>
      <c r="O118" s="444" t="s">
        <v>3866</v>
      </c>
      <c r="P118" s="397">
        <v>22000000</v>
      </c>
      <c r="Q118" s="397">
        <v>22000000</v>
      </c>
      <c r="R118" s="397"/>
      <c r="S118" s="398">
        <f t="shared" si="4"/>
        <v>22000000</v>
      </c>
      <c r="T118" s="353"/>
      <c r="U118" s="353">
        <f t="shared" si="5"/>
        <v>22000000</v>
      </c>
      <c r="V118" s="399"/>
      <c r="W118" s="399"/>
      <c r="X118" s="400" t="s">
        <v>492</v>
      </c>
      <c r="Y118" s="400"/>
      <c r="Z118" s="283"/>
    </row>
    <row r="119" spans="2:26" ht="19.5" hidden="1" customHeight="1">
      <c r="B119" s="29">
        <f t="shared" si="3"/>
        <v>109</v>
      </c>
      <c r="C119" s="30" t="s">
        <v>206</v>
      </c>
      <c r="D119" s="30" t="s">
        <v>225</v>
      </c>
      <c r="E119" s="234" t="s">
        <v>681</v>
      </c>
      <c r="F119" s="235" t="s">
        <v>1232</v>
      </c>
      <c r="G119" s="284">
        <f>IFERROR(VLOOKUP(E119,Assign!$C$2:$J$142,8,FALSE),)</f>
        <v>0</v>
      </c>
      <c r="H119" s="279" t="s">
        <v>6872</v>
      </c>
      <c r="I119" s="280" t="s">
        <v>6093</v>
      </c>
      <c r="J119" s="281" t="s">
        <v>3733</v>
      </c>
      <c r="K119" s="282">
        <v>44911</v>
      </c>
      <c r="L119" s="282">
        <v>45642</v>
      </c>
      <c r="M119" s="282">
        <v>45595</v>
      </c>
      <c r="N119" s="371">
        <v>650000000</v>
      </c>
      <c r="O119" s="444" t="s">
        <v>3866</v>
      </c>
      <c r="P119" s="397">
        <v>650000000</v>
      </c>
      <c r="Q119" s="397">
        <v>650000000</v>
      </c>
      <c r="R119" s="397"/>
      <c r="S119" s="398">
        <f t="shared" si="4"/>
        <v>650000000</v>
      </c>
      <c r="T119" s="353"/>
      <c r="U119" s="353">
        <f t="shared" si="5"/>
        <v>650000000</v>
      </c>
      <c r="V119" s="399"/>
      <c r="W119" s="399"/>
      <c r="X119" s="400" t="s">
        <v>492</v>
      </c>
      <c r="Y119" s="400"/>
      <c r="Z119" s="283"/>
    </row>
    <row r="120" spans="2:26" ht="19.5" hidden="1" customHeight="1">
      <c r="B120" s="29">
        <f t="shared" si="3"/>
        <v>110</v>
      </c>
      <c r="C120" s="30" t="s">
        <v>206</v>
      </c>
      <c r="D120" s="30" t="s">
        <v>225</v>
      </c>
      <c r="E120" s="234" t="s">
        <v>682</v>
      </c>
      <c r="F120" s="235" t="s">
        <v>1227</v>
      </c>
      <c r="G120" s="284">
        <f>IFERROR(VLOOKUP(E120,Assign!$C$2:$J$142,8,FALSE),)</f>
        <v>0</v>
      </c>
      <c r="H120" s="279" t="s">
        <v>7119</v>
      </c>
      <c r="I120" s="280" t="s">
        <v>6210</v>
      </c>
      <c r="J120" s="281" t="s">
        <v>3829</v>
      </c>
      <c r="K120" s="282">
        <v>45289</v>
      </c>
      <c r="L120" s="282">
        <v>45655</v>
      </c>
      <c r="M120" s="282">
        <v>45626</v>
      </c>
      <c r="N120" s="371">
        <v>50000000</v>
      </c>
      <c r="O120" s="444" t="s">
        <v>3866</v>
      </c>
      <c r="P120" s="397">
        <v>50000000</v>
      </c>
      <c r="Q120" s="397">
        <v>50000000</v>
      </c>
      <c r="R120" s="397"/>
      <c r="S120" s="398">
        <f t="shared" si="4"/>
        <v>50000000</v>
      </c>
      <c r="T120" s="353"/>
      <c r="U120" s="353">
        <f t="shared" si="5"/>
        <v>50000000</v>
      </c>
      <c r="V120" s="399"/>
      <c r="W120" s="399"/>
      <c r="X120" s="400" t="s">
        <v>492</v>
      </c>
      <c r="Y120" s="400"/>
      <c r="Z120" s="283"/>
    </row>
    <row r="121" spans="2:26" ht="19.5" hidden="1" customHeight="1">
      <c r="B121" s="29">
        <f t="shared" si="3"/>
        <v>111</v>
      </c>
      <c r="C121" s="30" t="s">
        <v>206</v>
      </c>
      <c r="D121" s="30" t="s">
        <v>225</v>
      </c>
      <c r="E121" s="234" t="s">
        <v>682</v>
      </c>
      <c r="F121" s="235" t="s">
        <v>1227</v>
      </c>
      <c r="G121" s="284">
        <f>IFERROR(VLOOKUP(E121,Assign!$C$2:$J$142,8,FALSE),)</f>
        <v>0</v>
      </c>
      <c r="H121" s="279" t="s">
        <v>7120</v>
      </c>
      <c r="I121" s="280" t="s">
        <v>5609</v>
      </c>
      <c r="J121" s="281" t="s">
        <v>3754</v>
      </c>
      <c r="K121" s="282">
        <v>45351</v>
      </c>
      <c r="L121" s="282">
        <v>46081</v>
      </c>
      <c r="M121" s="282">
        <v>45625</v>
      </c>
      <c r="N121" s="371">
        <v>600000000</v>
      </c>
      <c r="O121" s="444" t="s">
        <v>3866</v>
      </c>
      <c r="P121" s="397">
        <v>592000000</v>
      </c>
      <c r="Q121" s="397">
        <v>592000000</v>
      </c>
      <c r="R121" s="397"/>
      <c r="S121" s="398">
        <f t="shared" si="4"/>
        <v>592000000</v>
      </c>
      <c r="T121" s="353"/>
      <c r="U121" s="353">
        <f t="shared" si="5"/>
        <v>592000000</v>
      </c>
      <c r="V121" s="399"/>
      <c r="W121" s="399"/>
      <c r="X121" s="400" t="s">
        <v>492</v>
      </c>
      <c r="Y121" s="400"/>
      <c r="Z121" s="283"/>
    </row>
    <row r="122" spans="2:26" ht="19.5" hidden="1" customHeight="1">
      <c r="B122" s="29">
        <f t="shared" si="3"/>
        <v>112</v>
      </c>
      <c r="C122" s="30" t="s">
        <v>206</v>
      </c>
      <c r="D122" s="30" t="s">
        <v>225</v>
      </c>
      <c r="E122" s="234" t="s">
        <v>683</v>
      </c>
      <c r="F122" s="235" t="s">
        <v>1223</v>
      </c>
      <c r="G122" s="284">
        <f>IFERROR(VLOOKUP(E122,Assign!$C$2:$J$142,8,FALSE),)</f>
        <v>0</v>
      </c>
      <c r="H122" s="279" t="s">
        <v>6557</v>
      </c>
      <c r="I122" s="280" t="s">
        <v>5817</v>
      </c>
      <c r="J122" s="281" t="s">
        <v>3754</v>
      </c>
      <c r="K122" s="282">
        <v>45401</v>
      </c>
      <c r="L122" s="282">
        <v>46496</v>
      </c>
      <c r="M122" s="282">
        <v>45646</v>
      </c>
      <c r="N122" s="371">
        <v>630000000</v>
      </c>
      <c r="O122" s="444" t="s">
        <v>3866</v>
      </c>
      <c r="P122" s="397">
        <v>623422442</v>
      </c>
      <c r="Q122" s="397">
        <v>623422442</v>
      </c>
      <c r="R122" s="397"/>
      <c r="S122" s="398">
        <f t="shared" si="4"/>
        <v>623422442</v>
      </c>
      <c r="T122" s="353"/>
      <c r="U122" s="353">
        <f t="shared" si="5"/>
        <v>623422442</v>
      </c>
      <c r="V122" s="399"/>
      <c r="W122" s="399"/>
      <c r="X122" s="400" t="s">
        <v>492</v>
      </c>
      <c r="Y122" s="400"/>
      <c r="Z122" s="283"/>
    </row>
    <row r="123" spans="2:26" ht="19.5" hidden="1" customHeight="1">
      <c r="B123" s="29">
        <f t="shared" si="3"/>
        <v>113</v>
      </c>
      <c r="C123" s="30" t="s">
        <v>206</v>
      </c>
      <c r="D123" s="30" t="s">
        <v>225</v>
      </c>
      <c r="E123" s="234" t="s">
        <v>684</v>
      </c>
      <c r="F123" s="235" t="s">
        <v>1305</v>
      </c>
      <c r="G123" s="284">
        <f>IFERROR(VLOOKUP(E123,Assign!$C$2:$J$142,8,FALSE),)</f>
        <v>0</v>
      </c>
      <c r="H123" s="279" t="s">
        <v>7072</v>
      </c>
      <c r="I123" s="280" t="s">
        <v>6134</v>
      </c>
      <c r="J123" s="281" t="s">
        <v>3734</v>
      </c>
      <c r="K123" s="282">
        <v>45145</v>
      </c>
      <c r="L123" s="282">
        <v>45777</v>
      </c>
      <c r="M123" s="282">
        <v>45717</v>
      </c>
      <c r="N123" s="371">
        <v>599000000</v>
      </c>
      <c r="O123" s="444" t="s">
        <v>3866</v>
      </c>
      <c r="P123" s="397">
        <v>599000000</v>
      </c>
      <c r="Q123" s="397">
        <v>599000000</v>
      </c>
      <c r="R123" s="397"/>
      <c r="S123" s="398">
        <f t="shared" si="4"/>
        <v>599000000</v>
      </c>
      <c r="T123" s="353"/>
      <c r="U123" s="353">
        <f t="shared" si="5"/>
        <v>599000000</v>
      </c>
      <c r="V123" s="399"/>
      <c r="W123" s="399"/>
      <c r="X123" s="400" t="s">
        <v>492</v>
      </c>
      <c r="Y123" s="400"/>
      <c r="Z123" s="283"/>
    </row>
    <row r="124" spans="2:26" ht="19.5" hidden="1" customHeight="1">
      <c r="B124" s="29">
        <f t="shared" si="3"/>
        <v>114</v>
      </c>
      <c r="C124" s="30" t="s">
        <v>206</v>
      </c>
      <c r="D124" s="30" t="s">
        <v>225</v>
      </c>
      <c r="E124" s="234" t="s">
        <v>685</v>
      </c>
      <c r="F124" s="235" t="s">
        <v>1221</v>
      </c>
      <c r="G124" s="284">
        <f>IFERROR(VLOOKUP(E124,Assign!$C$2:$J$142,8,FALSE),)</f>
        <v>0</v>
      </c>
      <c r="H124" s="279" t="s">
        <v>6312</v>
      </c>
      <c r="I124" s="280" t="s">
        <v>5685</v>
      </c>
      <c r="J124" s="281" t="s">
        <v>3735</v>
      </c>
      <c r="K124" s="282">
        <v>43445</v>
      </c>
      <c r="L124" s="282">
        <v>54403</v>
      </c>
      <c r="M124" s="282">
        <v>45638</v>
      </c>
      <c r="N124" s="371">
        <v>325000000</v>
      </c>
      <c r="O124" s="444" t="s">
        <v>3866</v>
      </c>
      <c r="P124" s="397">
        <v>284828628</v>
      </c>
      <c r="Q124" s="397">
        <v>284828628</v>
      </c>
      <c r="R124" s="397"/>
      <c r="S124" s="398">
        <f t="shared" si="4"/>
        <v>284828628</v>
      </c>
      <c r="T124" s="353"/>
      <c r="U124" s="353">
        <f t="shared" si="5"/>
        <v>284828628</v>
      </c>
      <c r="V124" s="399"/>
      <c r="W124" s="399"/>
      <c r="X124" s="400" t="s">
        <v>492</v>
      </c>
      <c r="Y124" s="400"/>
      <c r="Z124" s="283"/>
    </row>
    <row r="125" spans="2:26" ht="19.5" hidden="1" customHeight="1">
      <c r="B125" s="29">
        <f t="shared" si="3"/>
        <v>115</v>
      </c>
      <c r="C125" s="30" t="s">
        <v>206</v>
      </c>
      <c r="D125" s="30" t="s">
        <v>225</v>
      </c>
      <c r="E125" s="234" t="s">
        <v>685</v>
      </c>
      <c r="F125" s="235" t="s">
        <v>1221</v>
      </c>
      <c r="G125" s="284">
        <f>IFERROR(VLOOKUP(E125,Assign!$C$2:$J$142,8,FALSE),)</f>
        <v>0</v>
      </c>
      <c r="H125" s="279" t="s">
        <v>6313</v>
      </c>
      <c r="I125" s="280" t="s">
        <v>5688</v>
      </c>
      <c r="J125" s="281" t="s">
        <v>3733</v>
      </c>
      <c r="K125" s="282">
        <v>44139</v>
      </c>
      <c r="L125" s="282">
        <v>45691</v>
      </c>
      <c r="M125" s="282">
        <v>45631</v>
      </c>
      <c r="N125" s="371">
        <v>266300000</v>
      </c>
      <c r="O125" s="444" t="s">
        <v>3866</v>
      </c>
      <c r="P125" s="397">
        <v>266300000</v>
      </c>
      <c r="Q125" s="397">
        <v>266300000</v>
      </c>
      <c r="R125" s="397"/>
      <c r="S125" s="398">
        <f t="shared" si="4"/>
        <v>266300000</v>
      </c>
      <c r="T125" s="353"/>
      <c r="U125" s="353">
        <f t="shared" si="5"/>
        <v>266300000</v>
      </c>
      <c r="V125" s="399"/>
      <c r="W125" s="399"/>
      <c r="X125" s="400" t="s">
        <v>492</v>
      </c>
      <c r="Y125" s="400"/>
      <c r="Z125" s="283"/>
    </row>
    <row r="126" spans="2:26" ht="19.5" hidden="1" customHeight="1">
      <c r="B126" s="29">
        <f t="shared" si="3"/>
        <v>116</v>
      </c>
      <c r="C126" s="30" t="s">
        <v>206</v>
      </c>
      <c r="D126" s="30" t="s">
        <v>225</v>
      </c>
      <c r="E126" s="234" t="s">
        <v>685</v>
      </c>
      <c r="F126" s="235" t="s">
        <v>1221</v>
      </c>
      <c r="G126" s="284">
        <f>IFERROR(VLOOKUP(E126,Assign!$C$2:$J$142,8,FALSE),)</f>
        <v>0</v>
      </c>
      <c r="H126" s="279" t="s">
        <v>6314</v>
      </c>
      <c r="I126" s="280" t="s">
        <v>5689</v>
      </c>
      <c r="J126" s="281" t="s">
        <v>3758</v>
      </c>
      <c r="K126" s="282">
        <v>44139</v>
      </c>
      <c r="L126" s="282">
        <v>49617</v>
      </c>
      <c r="M126" s="282">
        <v>45631</v>
      </c>
      <c r="N126" s="371">
        <v>60000000</v>
      </c>
      <c r="O126" s="444" t="s">
        <v>3866</v>
      </c>
      <c r="P126" s="397">
        <v>43999956</v>
      </c>
      <c r="Q126" s="397">
        <v>43999956</v>
      </c>
      <c r="R126" s="397"/>
      <c r="S126" s="398">
        <f t="shared" si="4"/>
        <v>43999956</v>
      </c>
      <c r="T126" s="353"/>
      <c r="U126" s="353">
        <f t="shared" si="5"/>
        <v>43999956</v>
      </c>
      <c r="V126" s="399"/>
      <c r="W126" s="399"/>
      <c r="X126" s="400" t="s">
        <v>492</v>
      </c>
      <c r="Y126" s="400"/>
      <c r="Z126" s="283"/>
    </row>
    <row r="127" spans="2:26" ht="19.5" hidden="1" customHeight="1">
      <c r="B127" s="29">
        <f t="shared" si="3"/>
        <v>117</v>
      </c>
      <c r="C127" s="30" t="s">
        <v>206</v>
      </c>
      <c r="D127" s="30" t="s">
        <v>225</v>
      </c>
      <c r="E127" s="234" t="s">
        <v>686</v>
      </c>
      <c r="F127" s="235" t="s">
        <v>1217</v>
      </c>
      <c r="G127" s="284">
        <f>IFERROR(VLOOKUP(E127,Assign!$C$2:$J$142,8,FALSE),)</f>
        <v>0</v>
      </c>
      <c r="H127" s="279" t="s">
        <v>6386</v>
      </c>
      <c r="I127" s="280" t="s">
        <v>5752</v>
      </c>
      <c r="J127" s="281" t="s">
        <v>3737</v>
      </c>
      <c r="K127" s="282">
        <v>38835</v>
      </c>
      <c r="L127" s="282">
        <v>49793</v>
      </c>
      <c r="M127" s="282">
        <v>45594</v>
      </c>
      <c r="N127" s="371">
        <v>400000000</v>
      </c>
      <c r="O127" s="444" t="s">
        <v>3866</v>
      </c>
      <c r="P127" s="397">
        <v>237495956</v>
      </c>
      <c r="Q127" s="397">
        <v>237495956</v>
      </c>
      <c r="R127" s="397"/>
      <c r="S127" s="398">
        <f t="shared" si="4"/>
        <v>237495956</v>
      </c>
      <c r="T127" s="353"/>
      <c r="U127" s="353">
        <f t="shared" si="5"/>
        <v>237495956</v>
      </c>
      <c r="V127" s="399"/>
      <c r="W127" s="399"/>
      <c r="X127" s="400" t="s">
        <v>492</v>
      </c>
      <c r="Y127" s="400"/>
      <c r="Z127" s="283"/>
    </row>
    <row r="128" spans="2:26" ht="19.5" hidden="1" customHeight="1">
      <c r="B128" s="29">
        <f t="shared" si="3"/>
        <v>118</v>
      </c>
      <c r="C128" s="30" t="s">
        <v>206</v>
      </c>
      <c r="D128" s="30" t="s">
        <v>225</v>
      </c>
      <c r="E128" s="234" t="s">
        <v>686</v>
      </c>
      <c r="F128" s="235" t="s">
        <v>1217</v>
      </c>
      <c r="G128" s="284">
        <f>IFERROR(VLOOKUP(E128,Assign!$C$2:$J$142,8,FALSE),)</f>
        <v>0</v>
      </c>
      <c r="H128" s="279" t="s">
        <v>6387</v>
      </c>
      <c r="I128" s="280" t="s">
        <v>5753</v>
      </c>
      <c r="J128" s="281" t="s">
        <v>3746</v>
      </c>
      <c r="K128" s="282">
        <v>41879</v>
      </c>
      <c r="L128" s="282">
        <v>45716</v>
      </c>
      <c r="M128" s="282">
        <v>45597</v>
      </c>
      <c r="N128" s="371">
        <v>40000000</v>
      </c>
      <c r="O128" s="444" t="s">
        <v>3866</v>
      </c>
      <c r="P128" s="397">
        <v>2222220</v>
      </c>
      <c r="Q128" s="397">
        <v>2222220</v>
      </c>
      <c r="R128" s="397"/>
      <c r="S128" s="398">
        <f t="shared" si="4"/>
        <v>2222220</v>
      </c>
      <c r="T128" s="353"/>
      <c r="U128" s="353">
        <f t="shared" si="5"/>
        <v>2222220</v>
      </c>
      <c r="V128" s="399"/>
      <c r="W128" s="399"/>
      <c r="X128" s="400" t="s">
        <v>492</v>
      </c>
      <c r="Y128" s="400"/>
      <c r="Z128" s="283"/>
    </row>
    <row r="129" spans="2:26" ht="19.5" hidden="1" customHeight="1">
      <c r="B129" s="29">
        <f t="shared" si="3"/>
        <v>119</v>
      </c>
      <c r="C129" s="30" t="s">
        <v>206</v>
      </c>
      <c r="D129" s="30" t="s">
        <v>225</v>
      </c>
      <c r="E129" s="234" t="s">
        <v>686</v>
      </c>
      <c r="F129" s="235" t="s">
        <v>1217</v>
      </c>
      <c r="G129" s="284">
        <f>IFERROR(VLOOKUP(E129,Assign!$C$2:$J$142,8,FALSE),)</f>
        <v>0</v>
      </c>
      <c r="H129" s="279" t="s">
        <v>6388</v>
      </c>
      <c r="I129" s="280" t="s">
        <v>5673</v>
      </c>
      <c r="J129" s="281" t="s">
        <v>3734</v>
      </c>
      <c r="K129" s="282">
        <v>45104</v>
      </c>
      <c r="L129" s="282">
        <v>45835</v>
      </c>
      <c r="M129" s="282">
        <v>45594</v>
      </c>
      <c r="N129" s="371">
        <v>350000000</v>
      </c>
      <c r="O129" s="444" t="s">
        <v>3866</v>
      </c>
      <c r="P129" s="397">
        <v>350000000</v>
      </c>
      <c r="Q129" s="397">
        <v>350000000</v>
      </c>
      <c r="R129" s="397"/>
      <c r="S129" s="398">
        <f t="shared" si="4"/>
        <v>350000000</v>
      </c>
      <c r="T129" s="353"/>
      <c r="U129" s="353">
        <f t="shared" si="5"/>
        <v>350000000</v>
      </c>
      <c r="V129" s="399"/>
      <c r="W129" s="399"/>
      <c r="X129" s="400" t="s">
        <v>492</v>
      </c>
      <c r="Y129" s="400"/>
      <c r="Z129" s="283"/>
    </row>
    <row r="130" spans="2:26" ht="19.5" hidden="1" customHeight="1">
      <c r="B130" s="29">
        <f t="shared" si="3"/>
        <v>120</v>
      </c>
      <c r="C130" s="30" t="s">
        <v>206</v>
      </c>
      <c r="D130" s="30" t="s">
        <v>225</v>
      </c>
      <c r="E130" s="234" t="s">
        <v>687</v>
      </c>
      <c r="F130" s="235" t="s">
        <v>1233</v>
      </c>
      <c r="G130" s="284">
        <f>IFERROR(VLOOKUP(E130,Assign!$C$2:$J$142,8,FALSE),)</f>
        <v>0</v>
      </c>
      <c r="H130" s="279" t="s">
        <v>6453</v>
      </c>
      <c r="I130" s="280" t="s">
        <v>5802</v>
      </c>
      <c r="J130" s="281" t="s">
        <v>3733</v>
      </c>
      <c r="K130" s="282">
        <v>44140</v>
      </c>
      <c r="L130" s="282">
        <v>45782</v>
      </c>
      <c r="M130" s="282">
        <v>45694</v>
      </c>
      <c r="N130" s="371">
        <v>459000000</v>
      </c>
      <c r="O130" s="444" t="s">
        <v>3866</v>
      </c>
      <c r="P130" s="397">
        <v>459000000</v>
      </c>
      <c r="Q130" s="397">
        <v>459000000</v>
      </c>
      <c r="R130" s="397"/>
      <c r="S130" s="398">
        <f t="shared" si="4"/>
        <v>459000000</v>
      </c>
      <c r="T130" s="353"/>
      <c r="U130" s="353">
        <f t="shared" si="5"/>
        <v>459000000</v>
      </c>
      <c r="V130" s="399"/>
      <c r="W130" s="399"/>
      <c r="X130" s="400" t="s">
        <v>492</v>
      </c>
      <c r="Y130" s="400"/>
      <c r="Z130" s="283"/>
    </row>
    <row r="131" spans="2:26" ht="19.5" hidden="1" customHeight="1">
      <c r="B131" s="29">
        <f t="shared" si="3"/>
        <v>121</v>
      </c>
      <c r="C131" s="30" t="s">
        <v>206</v>
      </c>
      <c r="D131" s="30" t="s">
        <v>225</v>
      </c>
      <c r="E131" s="234" t="s">
        <v>687</v>
      </c>
      <c r="F131" s="235" t="s">
        <v>1233</v>
      </c>
      <c r="G131" s="284">
        <f>IFERROR(VLOOKUP(E131,Assign!$C$2:$J$142,8,FALSE),)</f>
        <v>0</v>
      </c>
      <c r="H131" s="279" t="s">
        <v>6454</v>
      </c>
      <c r="I131" s="280" t="s">
        <v>5680</v>
      </c>
      <c r="J131" s="281" t="s">
        <v>3754</v>
      </c>
      <c r="K131" s="282">
        <v>44140</v>
      </c>
      <c r="L131" s="282">
        <v>45966</v>
      </c>
      <c r="M131" s="282">
        <v>45694</v>
      </c>
      <c r="N131" s="371">
        <v>91250000</v>
      </c>
      <c r="O131" s="444" t="s">
        <v>3866</v>
      </c>
      <c r="P131" s="397">
        <v>88750000</v>
      </c>
      <c r="Q131" s="397">
        <v>88750000</v>
      </c>
      <c r="R131" s="397"/>
      <c r="S131" s="398">
        <f t="shared" si="4"/>
        <v>88750000</v>
      </c>
      <c r="T131" s="353"/>
      <c r="U131" s="353">
        <f t="shared" si="5"/>
        <v>88750000</v>
      </c>
      <c r="V131" s="399"/>
      <c r="W131" s="399"/>
      <c r="X131" s="400" t="s">
        <v>492</v>
      </c>
      <c r="Y131" s="400"/>
      <c r="Z131" s="283"/>
    </row>
    <row r="132" spans="2:26" ht="19.5" hidden="1" customHeight="1">
      <c r="B132" s="29">
        <f t="shared" si="3"/>
        <v>122</v>
      </c>
      <c r="C132" s="30" t="s">
        <v>206</v>
      </c>
      <c r="D132" s="30" t="s">
        <v>225</v>
      </c>
      <c r="E132" s="234" t="s">
        <v>688</v>
      </c>
      <c r="F132" s="235" t="s">
        <v>1306</v>
      </c>
      <c r="G132" s="284" t="str">
        <f>IFERROR(VLOOKUP(E132,Assign!$C$2:$J$142,8,FALSE),)</f>
        <v>문선영</v>
      </c>
      <c r="H132" s="279" t="s">
        <v>7045</v>
      </c>
      <c r="I132" s="280" t="s">
        <v>6180</v>
      </c>
      <c r="J132" s="281" t="s">
        <v>3763</v>
      </c>
      <c r="K132" s="282">
        <v>44515</v>
      </c>
      <c r="L132" s="282">
        <v>45703</v>
      </c>
      <c r="M132" s="282">
        <v>45706</v>
      </c>
      <c r="N132" s="371">
        <v>524000000</v>
      </c>
      <c r="O132" s="444" t="s">
        <v>3866</v>
      </c>
      <c r="P132" s="397">
        <v>524000000</v>
      </c>
      <c r="Q132" s="397">
        <v>524000000</v>
      </c>
      <c r="R132" s="397"/>
      <c r="S132" s="398">
        <f t="shared" si="4"/>
        <v>524000000</v>
      </c>
      <c r="T132" s="353"/>
      <c r="U132" s="353">
        <f t="shared" si="5"/>
        <v>524000000</v>
      </c>
      <c r="V132" s="399"/>
      <c r="W132" s="399"/>
      <c r="X132" s="400" t="s">
        <v>492</v>
      </c>
      <c r="Y132" s="400"/>
      <c r="Z132" s="283"/>
    </row>
    <row r="133" spans="2:26" ht="19.5" hidden="1" customHeight="1">
      <c r="B133" s="29">
        <f t="shared" si="3"/>
        <v>123</v>
      </c>
      <c r="C133" s="30" t="s">
        <v>206</v>
      </c>
      <c r="D133" s="30" t="s">
        <v>225</v>
      </c>
      <c r="E133" s="234" t="s">
        <v>689</v>
      </c>
      <c r="F133" s="235" t="s">
        <v>1234</v>
      </c>
      <c r="G133" s="284">
        <f>IFERROR(VLOOKUP(E133,Assign!$C$2:$J$142,8,FALSE),)</f>
        <v>0</v>
      </c>
      <c r="H133" s="279" t="s">
        <v>6235</v>
      </c>
      <c r="I133" s="280" t="s">
        <v>5614</v>
      </c>
      <c r="J133" s="281" t="s">
        <v>3739</v>
      </c>
      <c r="K133" s="282">
        <v>44119</v>
      </c>
      <c r="L133" s="282">
        <v>45945</v>
      </c>
      <c r="M133" s="282">
        <v>45615</v>
      </c>
      <c r="N133" s="371">
        <v>110000000</v>
      </c>
      <c r="O133" s="444" t="s">
        <v>3866</v>
      </c>
      <c r="P133" s="397">
        <v>110000000</v>
      </c>
      <c r="Q133" s="397">
        <v>110000000</v>
      </c>
      <c r="R133" s="397"/>
      <c r="S133" s="398">
        <f t="shared" si="4"/>
        <v>110000000</v>
      </c>
      <c r="T133" s="353"/>
      <c r="U133" s="353">
        <f t="shared" si="5"/>
        <v>110000000</v>
      </c>
      <c r="V133" s="399"/>
      <c r="W133" s="399"/>
      <c r="X133" s="400" t="s">
        <v>492</v>
      </c>
      <c r="Y133" s="400"/>
      <c r="Z133" s="283"/>
    </row>
    <row r="134" spans="2:26" ht="19.5" hidden="1" customHeight="1">
      <c r="B134" s="29">
        <f t="shared" si="3"/>
        <v>124</v>
      </c>
      <c r="C134" s="30" t="s">
        <v>206</v>
      </c>
      <c r="D134" s="30" t="s">
        <v>225</v>
      </c>
      <c r="E134" s="234" t="s">
        <v>689</v>
      </c>
      <c r="F134" s="235" t="s">
        <v>1234</v>
      </c>
      <c r="G134" s="284">
        <f>IFERROR(VLOOKUP(E134,Assign!$C$2:$J$142,8,FALSE),)</f>
        <v>0</v>
      </c>
      <c r="H134" s="279" t="s">
        <v>6236</v>
      </c>
      <c r="I134" s="280" t="s">
        <v>5615</v>
      </c>
      <c r="J134" s="281" t="s">
        <v>3740</v>
      </c>
      <c r="K134" s="282">
        <v>44119</v>
      </c>
      <c r="L134" s="282">
        <v>45945</v>
      </c>
      <c r="M134" s="282">
        <v>45612</v>
      </c>
      <c r="N134" s="371">
        <v>412000000</v>
      </c>
      <c r="O134" s="444" t="s">
        <v>3866</v>
      </c>
      <c r="P134" s="397">
        <v>412000000</v>
      </c>
      <c r="Q134" s="397">
        <v>412000000</v>
      </c>
      <c r="R134" s="397"/>
      <c r="S134" s="398">
        <f t="shared" si="4"/>
        <v>412000000</v>
      </c>
      <c r="T134" s="353"/>
      <c r="U134" s="353">
        <f t="shared" si="5"/>
        <v>412000000</v>
      </c>
      <c r="V134" s="399"/>
      <c r="W134" s="399"/>
      <c r="X134" s="400" t="s">
        <v>492</v>
      </c>
      <c r="Y134" s="400"/>
      <c r="Z134" s="283"/>
    </row>
    <row r="135" spans="2:26" ht="19.5" hidden="1" customHeight="1">
      <c r="B135" s="29">
        <f t="shared" si="3"/>
        <v>125</v>
      </c>
      <c r="C135" s="30" t="s">
        <v>206</v>
      </c>
      <c r="D135" s="30" t="s">
        <v>225</v>
      </c>
      <c r="E135" s="234" t="s">
        <v>690</v>
      </c>
      <c r="F135" s="235" t="s">
        <v>1307</v>
      </c>
      <c r="G135" s="284">
        <f>IFERROR(VLOOKUP(E135,Assign!$C$2:$J$142,8,FALSE),)</f>
        <v>0</v>
      </c>
      <c r="H135" s="279" t="s">
        <v>6999</v>
      </c>
      <c r="I135" s="280" t="s">
        <v>6157</v>
      </c>
      <c r="J135" s="281" t="s">
        <v>3734</v>
      </c>
      <c r="K135" s="282">
        <v>44662</v>
      </c>
      <c r="L135" s="282">
        <v>45758</v>
      </c>
      <c r="M135" s="282">
        <v>45640</v>
      </c>
      <c r="N135" s="371">
        <v>500000000</v>
      </c>
      <c r="O135" s="444" t="s">
        <v>3866</v>
      </c>
      <c r="P135" s="397">
        <v>500000000</v>
      </c>
      <c r="Q135" s="397">
        <v>500000000</v>
      </c>
      <c r="R135" s="397"/>
      <c r="S135" s="398">
        <f t="shared" si="4"/>
        <v>500000000</v>
      </c>
      <c r="T135" s="353"/>
      <c r="U135" s="353">
        <f t="shared" si="5"/>
        <v>500000000</v>
      </c>
      <c r="V135" s="399"/>
      <c r="W135" s="399"/>
      <c r="X135" s="400" t="s">
        <v>492</v>
      </c>
      <c r="Y135" s="400"/>
      <c r="Z135" s="283"/>
    </row>
    <row r="136" spans="2:26" ht="19.5" hidden="1" customHeight="1">
      <c r="B136" s="29">
        <f t="shared" si="3"/>
        <v>126</v>
      </c>
      <c r="C136" s="30" t="s">
        <v>206</v>
      </c>
      <c r="D136" s="30" t="s">
        <v>225</v>
      </c>
      <c r="E136" s="234" t="s">
        <v>690</v>
      </c>
      <c r="F136" s="235" t="s">
        <v>1307</v>
      </c>
      <c r="G136" s="284">
        <f>IFERROR(VLOOKUP(E136,Assign!$C$2:$J$142,8,FALSE),)</f>
        <v>0</v>
      </c>
      <c r="H136" s="279" t="s">
        <v>7000</v>
      </c>
      <c r="I136" s="280" t="s">
        <v>6158</v>
      </c>
      <c r="J136" s="281" t="s">
        <v>3757</v>
      </c>
      <c r="K136" s="282">
        <v>44841</v>
      </c>
      <c r="L136" s="282">
        <v>46661</v>
      </c>
      <c r="M136" s="282">
        <v>45660</v>
      </c>
      <c r="N136" s="371">
        <v>20000000</v>
      </c>
      <c r="O136" s="444" t="s">
        <v>3866</v>
      </c>
      <c r="P136" s="397">
        <v>14166644</v>
      </c>
      <c r="Q136" s="397">
        <v>14166644</v>
      </c>
      <c r="R136" s="397"/>
      <c r="S136" s="398">
        <f t="shared" si="4"/>
        <v>14166644</v>
      </c>
      <c r="T136" s="353"/>
      <c r="U136" s="353">
        <f t="shared" si="5"/>
        <v>14166644</v>
      </c>
      <c r="V136" s="399"/>
      <c r="W136" s="399"/>
      <c r="X136" s="400" t="s">
        <v>492</v>
      </c>
      <c r="Y136" s="400"/>
      <c r="Z136" s="283"/>
    </row>
    <row r="137" spans="2:26" ht="19.5" hidden="1" customHeight="1">
      <c r="B137" s="29">
        <f t="shared" si="3"/>
        <v>127</v>
      </c>
      <c r="C137" s="30" t="s">
        <v>206</v>
      </c>
      <c r="D137" s="30" t="s">
        <v>225</v>
      </c>
      <c r="E137" s="234" t="s">
        <v>691</v>
      </c>
      <c r="F137" s="235" t="s">
        <v>1308</v>
      </c>
      <c r="G137" s="284">
        <f>IFERROR(VLOOKUP(E137,Assign!$C$2:$J$142,8,FALSE),)</f>
        <v>0</v>
      </c>
      <c r="H137" s="279" t="s">
        <v>7096</v>
      </c>
      <c r="I137" s="280" t="s">
        <v>6036</v>
      </c>
      <c r="J137" s="281" t="s">
        <v>3734</v>
      </c>
      <c r="K137" s="282">
        <v>44805</v>
      </c>
      <c r="L137" s="282">
        <v>45717</v>
      </c>
      <c r="M137" s="282">
        <v>45664</v>
      </c>
      <c r="N137" s="371">
        <v>300000000</v>
      </c>
      <c r="O137" s="444" t="s">
        <v>3866</v>
      </c>
      <c r="P137" s="397">
        <v>300000000</v>
      </c>
      <c r="Q137" s="397">
        <v>300000000</v>
      </c>
      <c r="R137" s="397"/>
      <c r="S137" s="398">
        <f t="shared" si="4"/>
        <v>300000000</v>
      </c>
      <c r="T137" s="353"/>
      <c r="U137" s="353">
        <f t="shared" si="5"/>
        <v>300000000</v>
      </c>
      <c r="V137" s="399"/>
      <c r="W137" s="399"/>
      <c r="X137" s="400" t="s">
        <v>492</v>
      </c>
      <c r="Y137" s="400"/>
      <c r="Z137" s="283"/>
    </row>
    <row r="138" spans="2:26" ht="19.5" hidden="1" customHeight="1">
      <c r="B138" s="29">
        <f t="shared" si="3"/>
        <v>128</v>
      </c>
      <c r="C138" s="30" t="s">
        <v>206</v>
      </c>
      <c r="D138" s="30" t="s">
        <v>225</v>
      </c>
      <c r="E138" s="234" t="s">
        <v>691</v>
      </c>
      <c r="F138" s="235" t="s">
        <v>1308</v>
      </c>
      <c r="G138" s="284">
        <f>IFERROR(VLOOKUP(E138,Assign!$C$2:$J$142,8,FALSE),)</f>
        <v>0</v>
      </c>
      <c r="H138" s="279" t="s">
        <v>7097</v>
      </c>
      <c r="I138" s="280" t="s">
        <v>5909</v>
      </c>
      <c r="J138" s="281" t="s">
        <v>3734</v>
      </c>
      <c r="K138" s="282">
        <v>45456</v>
      </c>
      <c r="L138" s="282">
        <v>45717</v>
      </c>
      <c r="M138" s="282">
        <v>45643</v>
      </c>
      <c r="N138" s="371">
        <v>198000000</v>
      </c>
      <c r="O138" s="444" t="s">
        <v>3866</v>
      </c>
      <c r="P138" s="397">
        <v>198000000</v>
      </c>
      <c r="Q138" s="397">
        <v>198000000</v>
      </c>
      <c r="R138" s="397"/>
      <c r="S138" s="398">
        <f t="shared" si="4"/>
        <v>198000000</v>
      </c>
      <c r="T138" s="353"/>
      <c r="U138" s="353">
        <f t="shared" si="5"/>
        <v>198000000</v>
      </c>
      <c r="V138" s="399"/>
      <c r="W138" s="399"/>
      <c r="X138" s="400" t="s">
        <v>492</v>
      </c>
      <c r="Y138" s="400"/>
      <c r="Z138" s="283"/>
    </row>
    <row r="139" spans="2:26" ht="19.5" hidden="1" customHeight="1">
      <c r="B139" s="29">
        <f t="shared" ref="B139:B202" si="6">ROW()-10</f>
        <v>129</v>
      </c>
      <c r="C139" s="30" t="s">
        <v>206</v>
      </c>
      <c r="D139" s="30" t="s">
        <v>225</v>
      </c>
      <c r="E139" s="234" t="s">
        <v>692</v>
      </c>
      <c r="F139" s="235" t="s">
        <v>1309</v>
      </c>
      <c r="G139" s="284">
        <f>IFERROR(VLOOKUP(E139,Assign!$C$2:$J$142,8,FALSE),)</f>
        <v>0</v>
      </c>
      <c r="H139" s="279" t="s">
        <v>6957</v>
      </c>
      <c r="I139" s="280" t="s">
        <v>5913</v>
      </c>
      <c r="J139" s="281" t="s">
        <v>3734</v>
      </c>
      <c r="K139" s="282">
        <v>45036</v>
      </c>
      <c r="L139" s="282">
        <v>45767</v>
      </c>
      <c r="M139" s="282">
        <v>45598</v>
      </c>
      <c r="N139" s="371">
        <v>495200000</v>
      </c>
      <c r="O139" s="444" t="s">
        <v>3866</v>
      </c>
      <c r="P139" s="397">
        <v>495200000</v>
      </c>
      <c r="Q139" s="397">
        <v>495200000</v>
      </c>
      <c r="R139" s="397"/>
      <c r="S139" s="398">
        <f t="shared" ref="S139:S202" si="7">Q139+R139</f>
        <v>495200000</v>
      </c>
      <c r="T139" s="353"/>
      <c r="U139" s="353">
        <f t="shared" ref="U139:U202" si="8">S139+T139</f>
        <v>495200000</v>
      </c>
      <c r="V139" s="399"/>
      <c r="W139" s="399"/>
      <c r="X139" s="400" t="s">
        <v>492</v>
      </c>
      <c r="Y139" s="400"/>
      <c r="Z139" s="283"/>
    </row>
    <row r="140" spans="2:26" ht="19.5" hidden="1" customHeight="1">
      <c r="B140" s="29">
        <f t="shared" si="6"/>
        <v>130</v>
      </c>
      <c r="C140" s="30" t="s">
        <v>206</v>
      </c>
      <c r="D140" s="30" t="s">
        <v>225</v>
      </c>
      <c r="E140" s="234" t="s">
        <v>693</v>
      </c>
      <c r="F140" s="235" t="s">
        <v>1310</v>
      </c>
      <c r="G140" s="284">
        <f>IFERROR(VLOOKUP(E140,Assign!$C$2:$J$142,8,FALSE),)</f>
        <v>0</v>
      </c>
      <c r="H140" s="279" t="s">
        <v>6834</v>
      </c>
      <c r="I140" s="280" t="s">
        <v>5911</v>
      </c>
      <c r="J140" s="281" t="s">
        <v>3733</v>
      </c>
      <c r="K140" s="282">
        <v>45335</v>
      </c>
      <c r="L140" s="282">
        <v>46066</v>
      </c>
      <c r="M140" s="282">
        <v>45527</v>
      </c>
      <c r="N140" s="371">
        <v>489000000</v>
      </c>
      <c r="O140" s="444" t="s">
        <v>3866</v>
      </c>
      <c r="P140" s="397">
        <v>489000000</v>
      </c>
      <c r="Q140" s="397">
        <v>489000000</v>
      </c>
      <c r="R140" s="397"/>
      <c r="S140" s="398">
        <f t="shared" si="7"/>
        <v>489000000</v>
      </c>
      <c r="T140" s="353"/>
      <c r="U140" s="353">
        <f t="shared" si="8"/>
        <v>489000000</v>
      </c>
      <c r="V140" s="399"/>
      <c r="W140" s="399"/>
      <c r="X140" s="400" t="s">
        <v>492</v>
      </c>
      <c r="Y140" s="400"/>
      <c r="Z140" s="283"/>
    </row>
    <row r="141" spans="2:26" ht="19.5" hidden="1" customHeight="1">
      <c r="B141" s="29">
        <f t="shared" si="6"/>
        <v>131</v>
      </c>
      <c r="C141" s="30" t="s">
        <v>206</v>
      </c>
      <c r="D141" s="30" t="s">
        <v>225</v>
      </c>
      <c r="E141" s="234" t="s">
        <v>694</v>
      </c>
      <c r="F141" s="235" t="s">
        <v>1235</v>
      </c>
      <c r="G141" s="284" t="str">
        <f>IFERROR(VLOOKUP(E141,Assign!$C$2:$J$142,8,FALSE),)</f>
        <v>문선영</v>
      </c>
      <c r="H141" s="279" t="s">
        <v>6762</v>
      </c>
      <c r="I141" s="280" t="s">
        <v>6031</v>
      </c>
      <c r="J141" s="281" t="s">
        <v>3736</v>
      </c>
      <c r="K141" s="282">
        <v>44365</v>
      </c>
      <c r="L141" s="282">
        <v>45644</v>
      </c>
      <c r="M141" s="282">
        <v>45636</v>
      </c>
      <c r="N141" s="371">
        <v>30000000</v>
      </c>
      <c r="O141" s="444" t="s">
        <v>3866</v>
      </c>
      <c r="P141" s="397">
        <v>30000000</v>
      </c>
      <c r="Q141" s="397">
        <v>30000000</v>
      </c>
      <c r="R141" s="397"/>
      <c r="S141" s="398">
        <f t="shared" si="7"/>
        <v>30000000</v>
      </c>
      <c r="T141" s="353"/>
      <c r="U141" s="353">
        <f t="shared" si="8"/>
        <v>30000000</v>
      </c>
      <c r="V141" s="399"/>
      <c r="W141" s="399"/>
      <c r="X141" s="400" t="s">
        <v>492</v>
      </c>
      <c r="Y141" s="400"/>
      <c r="Z141" s="283"/>
    </row>
    <row r="142" spans="2:26" ht="19.5" hidden="1" customHeight="1">
      <c r="B142" s="29">
        <f t="shared" si="6"/>
        <v>132</v>
      </c>
      <c r="C142" s="30" t="s">
        <v>206</v>
      </c>
      <c r="D142" s="30" t="s">
        <v>225</v>
      </c>
      <c r="E142" s="234" t="s">
        <v>694</v>
      </c>
      <c r="F142" s="235" t="s">
        <v>1235</v>
      </c>
      <c r="G142" s="284" t="str">
        <f>IFERROR(VLOOKUP(E142,Assign!$C$2:$J$142,8,FALSE),)</f>
        <v>문선영</v>
      </c>
      <c r="H142" s="279" t="s">
        <v>6763</v>
      </c>
      <c r="I142" s="280" t="s">
        <v>5620</v>
      </c>
      <c r="J142" s="281" t="s">
        <v>3733</v>
      </c>
      <c r="K142" s="282">
        <v>44365</v>
      </c>
      <c r="L142" s="282">
        <v>45826</v>
      </c>
      <c r="M142" s="282">
        <v>45576</v>
      </c>
      <c r="N142" s="371">
        <v>450000000</v>
      </c>
      <c r="O142" s="444" t="s">
        <v>3866</v>
      </c>
      <c r="P142" s="397">
        <v>450000000</v>
      </c>
      <c r="Q142" s="397">
        <v>450000000</v>
      </c>
      <c r="R142" s="397"/>
      <c r="S142" s="398">
        <f t="shared" si="7"/>
        <v>450000000</v>
      </c>
      <c r="T142" s="353"/>
      <c r="U142" s="353">
        <f t="shared" si="8"/>
        <v>450000000</v>
      </c>
      <c r="V142" s="399"/>
      <c r="W142" s="399"/>
      <c r="X142" s="400" t="s">
        <v>492</v>
      </c>
      <c r="Y142" s="400"/>
      <c r="Z142" s="283"/>
    </row>
    <row r="143" spans="2:26" ht="19.5" hidden="1" customHeight="1">
      <c r="B143" s="29">
        <f t="shared" si="6"/>
        <v>133</v>
      </c>
      <c r="C143" s="30" t="s">
        <v>206</v>
      </c>
      <c r="D143" s="30" t="s">
        <v>225</v>
      </c>
      <c r="E143" s="234" t="s">
        <v>695</v>
      </c>
      <c r="F143" s="235" t="s">
        <v>1236</v>
      </c>
      <c r="G143" s="284" t="str">
        <f>IFERROR(VLOOKUP(E143,Assign!$C$2:$J$142,8,FALSE),)</f>
        <v>문선영</v>
      </c>
      <c r="H143" s="279" t="s">
        <v>6300</v>
      </c>
      <c r="I143" s="280" t="s">
        <v>5676</v>
      </c>
      <c r="J143" s="281" t="s">
        <v>3735</v>
      </c>
      <c r="K143" s="282">
        <v>44834</v>
      </c>
      <c r="L143" s="282">
        <v>59444</v>
      </c>
      <c r="M143" s="282">
        <v>45596</v>
      </c>
      <c r="N143" s="371">
        <v>480000000</v>
      </c>
      <c r="O143" s="444" t="s">
        <v>3866</v>
      </c>
      <c r="P143" s="397">
        <v>467692296</v>
      </c>
      <c r="Q143" s="397">
        <v>467692296</v>
      </c>
      <c r="R143" s="397"/>
      <c r="S143" s="398">
        <f t="shared" si="7"/>
        <v>467692296</v>
      </c>
      <c r="T143" s="353"/>
      <c r="U143" s="353">
        <f t="shared" si="8"/>
        <v>467692296</v>
      </c>
      <c r="V143" s="399"/>
      <c r="W143" s="399"/>
      <c r="X143" s="400" t="s">
        <v>492</v>
      </c>
      <c r="Y143" s="400"/>
      <c r="Z143" s="283"/>
    </row>
    <row r="144" spans="2:26" ht="19.5" hidden="1" customHeight="1">
      <c r="B144" s="29">
        <f t="shared" si="6"/>
        <v>134</v>
      </c>
      <c r="C144" s="30" t="s">
        <v>206</v>
      </c>
      <c r="D144" s="30" t="s">
        <v>225</v>
      </c>
      <c r="E144" s="234" t="s">
        <v>696</v>
      </c>
      <c r="F144" s="235" t="s">
        <v>1234</v>
      </c>
      <c r="G144" s="284">
        <f>IFERROR(VLOOKUP(E144,Assign!$C$2:$J$142,8,FALSE),)</f>
        <v>0</v>
      </c>
      <c r="H144" s="279" t="s">
        <v>6678</v>
      </c>
      <c r="I144" s="280" t="s">
        <v>5981</v>
      </c>
      <c r="J144" s="281" t="s">
        <v>3743</v>
      </c>
      <c r="K144" s="282">
        <v>42271</v>
      </c>
      <c r="L144" s="282">
        <v>53229</v>
      </c>
      <c r="M144" s="282">
        <v>45622</v>
      </c>
      <c r="N144" s="371">
        <v>550000000</v>
      </c>
      <c r="O144" s="444" t="s">
        <v>3866</v>
      </c>
      <c r="P144" s="397">
        <v>459166943</v>
      </c>
      <c r="Q144" s="397">
        <v>459166943</v>
      </c>
      <c r="R144" s="397"/>
      <c r="S144" s="398">
        <f t="shared" si="7"/>
        <v>459166943</v>
      </c>
      <c r="T144" s="353"/>
      <c r="U144" s="353">
        <f t="shared" si="8"/>
        <v>459166943</v>
      </c>
      <c r="V144" s="399"/>
      <c r="W144" s="399"/>
      <c r="X144" s="400" t="s">
        <v>492</v>
      </c>
      <c r="Y144" s="400"/>
      <c r="Z144" s="283"/>
    </row>
    <row r="145" spans="2:26" ht="19.5" hidden="1" customHeight="1">
      <c r="B145" s="29">
        <f t="shared" si="6"/>
        <v>135</v>
      </c>
      <c r="C145" s="30" t="s">
        <v>206</v>
      </c>
      <c r="D145" s="30" t="s">
        <v>225</v>
      </c>
      <c r="E145" s="234" t="s">
        <v>697</v>
      </c>
      <c r="F145" s="235" t="s">
        <v>1229</v>
      </c>
      <c r="G145" s="284">
        <f>IFERROR(VLOOKUP(E145,Assign!$C$2:$J$142,8,FALSE),)</f>
        <v>0</v>
      </c>
      <c r="H145" s="279" t="s">
        <v>6253</v>
      </c>
      <c r="I145" s="280" t="s">
        <v>5632</v>
      </c>
      <c r="J145" s="281" t="s">
        <v>3747</v>
      </c>
      <c r="K145" s="282">
        <v>43917</v>
      </c>
      <c r="L145" s="282">
        <v>46108</v>
      </c>
      <c r="M145" s="282">
        <v>45654</v>
      </c>
      <c r="N145" s="371">
        <v>100000000</v>
      </c>
      <c r="O145" s="444" t="s">
        <v>3866</v>
      </c>
      <c r="P145" s="397">
        <v>100000000</v>
      </c>
      <c r="Q145" s="397">
        <v>100000000</v>
      </c>
      <c r="R145" s="397"/>
      <c r="S145" s="398">
        <f t="shared" si="7"/>
        <v>100000000</v>
      </c>
      <c r="T145" s="353"/>
      <c r="U145" s="353">
        <f t="shared" si="8"/>
        <v>100000000</v>
      </c>
      <c r="V145" s="399"/>
      <c r="W145" s="399"/>
      <c r="X145" s="400" t="s">
        <v>492</v>
      </c>
      <c r="Y145" s="400"/>
      <c r="Z145" s="283"/>
    </row>
    <row r="146" spans="2:26" ht="19.5" hidden="1" customHeight="1">
      <c r="B146" s="29">
        <f t="shared" si="6"/>
        <v>136</v>
      </c>
      <c r="C146" s="30" t="s">
        <v>206</v>
      </c>
      <c r="D146" s="30" t="s">
        <v>225</v>
      </c>
      <c r="E146" s="234" t="s">
        <v>697</v>
      </c>
      <c r="F146" s="235" t="s">
        <v>1229</v>
      </c>
      <c r="G146" s="284">
        <f>IFERROR(VLOOKUP(E146,Assign!$C$2:$J$142,8,FALSE),)</f>
        <v>0</v>
      </c>
      <c r="H146" s="279" t="s">
        <v>6254</v>
      </c>
      <c r="I146" s="280" t="s">
        <v>5633</v>
      </c>
      <c r="J146" s="281" t="s">
        <v>3748</v>
      </c>
      <c r="K146" s="282">
        <v>43955</v>
      </c>
      <c r="L146" s="282">
        <v>45781</v>
      </c>
      <c r="M146" s="282">
        <v>45664</v>
      </c>
      <c r="N146" s="371">
        <v>100000000</v>
      </c>
      <c r="O146" s="444" t="s">
        <v>3866</v>
      </c>
      <c r="P146" s="397">
        <v>100000000</v>
      </c>
      <c r="Q146" s="397">
        <v>100000000</v>
      </c>
      <c r="R146" s="397"/>
      <c r="S146" s="398">
        <f t="shared" si="7"/>
        <v>100000000</v>
      </c>
      <c r="T146" s="353"/>
      <c r="U146" s="353">
        <f t="shared" si="8"/>
        <v>100000000</v>
      </c>
      <c r="V146" s="399"/>
      <c r="W146" s="399"/>
      <c r="X146" s="400" t="s">
        <v>492</v>
      </c>
      <c r="Y146" s="400"/>
      <c r="Z146" s="283"/>
    </row>
    <row r="147" spans="2:26" ht="19.5" hidden="1" customHeight="1">
      <c r="B147" s="29">
        <f t="shared" si="6"/>
        <v>137</v>
      </c>
      <c r="C147" s="30" t="s">
        <v>206</v>
      </c>
      <c r="D147" s="30" t="s">
        <v>225</v>
      </c>
      <c r="E147" s="234" t="s">
        <v>697</v>
      </c>
      <c r="F147" s="235" t="s">
        <v>1229</v>
      </c>
      <c r="G147" s="284">
        <f>IFERROR(VLOOKUP(E147,Assign!$C$2:$J$142,8,FALSE),)</f>
        <v>0</v>
      </c>
      <c r="H147" s="279" t="s">
        <v>6255</v>
      </c>
      <c r="I147" s="280" t="s">
        <v>5634</v>
      </c>
      <c r="J147" s="281" t="s">
        <v>3749</v>
      </c>
      <c r="K147" s="282">
        <v>45378</v>
      </c>
      <c r="L147" s="282">
        <v>45743</v>
      </c>
      <c r="M147" s="282">
        <v>45654</v>
      </c>
      <c r="N147" s="371">
        <v>50000000</v>
      </c>
      <c r="O147" s="444" t="s">
        <v>3866</v>
      </c>
      <c r="P147" s="397">
        <v>50000000</v>
      </c>
      <c r="Q147" s="397">
        <v>50000000</v>
      </c>
      <c r="R147" s="397"/>
      <c r="S147" s="398">
        <f t="shared" si="7"/>
        <v>50000000</v>
      </c>
      <c r="T147" s="353"/>
      <c r="U147" s="353">
        <f t="shared" si="8"/>
        <v>50000000</v>
      </c>
      <c r="V147" s="399"/>
      <c r="W147" s="399"/>
      <c r="X147" s="400" t="s">
        <v>492</v>
      </c>
      <c r="Y147" s="400"/>
      <c r="Z147" s="283"/>
    </row>
    <row r="148" spans="2:26" ht="19.5" hidden="1" customHeight="1">
      <c r="B148" s="29">
        <f t="shared" si="6"/>
        <v>138</v>
      </c>
      <c r="C148" s="30" t="s">
        <v>206</v>
      </c>
      <c r="D148" s="30" t="s">
        <v>225</v>
      </c>
      <c r="E148" s="234" t="s">
        <v>697</v>
      </c>
      <c r="F148" s="235" t="s">
        <v>1229</v>
      </c>
      <c r="G148" s="284">
        <f>IFERROR(VLOOKUP(E148,Assign!$C$2:$J$142,8,FALSE),)</f>
        <v>0</v>
      </c>
      <c r="H148" s="279" t="s">
        <v>6256</v>
      </c>
      <c r="I148" s="280" t="s">
        <v>5635</v>
      </c>
      <c r="J148" s="281" t="s">
        <v>3749</v>
      </c>
      <c r="K148" s="282">
        <v>45421</v>
      </c>
      <c r="L148" s="282">
        <v>45786</v>
      </c>
      <c r="M148" s="282">
        <v>45667</v>
      </c>
      <c r="N148" s="371">
        <v>100000000</v>
      </c>
      <c r="O148" s="444" t="s">
        <v>3866</v>
      </c>
      <c r="P148" s="397">
        <v>100000000</v>
      </c>
      <c r="Q148" s="397">
        <v>100000000</v>
      </c>
      <c r="R148" s="397"/>
      <c r="S148" s="398">
        <f t="shared" si="7"/>
        <v>100000000</v>
      </c>
      <c r="T148" s="353"/>
      <c r="U148" s="353">
        <f t="shared" si="8"/>
        <v>100000000</v>
      </c>
      <c r="V148" s="399"/>
      <c r="W148" s="399"/>
      <c r="X148" s="400" t="s">
        <v>492</v>
      </c>
      <c r="Y148" s="400"/>
      <c r="Z148" s="283"/>
    </row>
    <row r="149" spans="2:26" ht="19.5" hidden="1" customHeight="1">
      <c r="B149" s="29">
        <f t="shared" si="6"/>
        <v>139</v>
      </c>
      <c r="C149" s="30" t="s">
        <v>206</v>
      </c>
      <c r="D149" s="30" t="s">
        <v>225</v>
      </c>
      <c r="E149" s="234" t="s">
        <v>697</v>
      </c>
      <c r="F149" s="235" t="s">
        <v>1229</v>
      </c>
      <c r="G149" s="284">
        <f>IFERROR(VLOOKUP(E149,Assign!$C$2:$J$142,8,FALSE),)</f>
        <v>0</v>
      </c>
      <c r="H149" s="279" t="s">
        <v>6257</v>
      </c>
      <c r="I149" s="280" t="s">
        <v>5636</v>
      </c>
      <c r="J149" s="281" t="s">
        <v>3750</v>
      </c>
      <c r="K149" s="282">
        <v>44761</v>
      </c>
      <c r="L149" s="282">
        <v>46588</v>
      </c>
      <c r="M149" s="282">
        <v>45647</v>
      </c>
      <c r="N149" s="371">
        <v>100000000</v>
      </c>
      <c r="O149" s="444" t="s">
        <v>3866</v>
      </c>
      <c r="P149" s="397">
        <v>94163000</v>
      </c>
      <c r="Q149" s="397">
        <v>94163000</v>
      </c>
      <c r="R149" s="397"/>
      <c r="S149" s="398">
        <f t="shared" si="7"/>
        <v>94163000</v>
      </c>
      <c r="T149" s="353"/>
      <c r="U149" s="353">
        <f t="shared" si="8"/>
        <v>94163000</v>
      </c>
      <c r="V149" s="399"/>
      <c r="W149" s="399"/>
      <c r="X149" s="400" t="s">
        <v>492</v>
      </c>
      <c r="Y149" s="400"/>
      <c r="Z149" s="283"/>
    </row>
    <row r="150" spans="2:26" ht="19.5" hidden="1" customHeight="1">
      <c r="B150" s="29">
        <f t="shared" si="6"/>
        <v>140</v>
      </c>
      <c r="C150" s="30" t="s">
        <v>206</v>
      </c>
      <c r="D150" s="30" t="s">
        <v>225</v>
      </c>
      <c r="E150" s="234" t="s">
        <v>698</v>
      </c>
      <c r="F150" s="235" t="s">
        <v>1231</v>
      </c>
      <c r="G150" s="284" t="str">
        <f>IFERROR(VLOOKUP(E150,Assign!$C$2:$J$142,8,FALSE),)</f>
        <v>문선영</v>
      </c>
      <c r="H150" s="279" t="s">
        <v>6866</v>
      </c>
      <c r="I150" s="280" t="s">
        <v>5886</v>
      </c>
      <c r="J150" s="281" t="s">
        <v>3754</v>
      </c>
      <c r="K150" s="282">
        <v>45394</v>
      </c>
      <c r="L150" s="282">
        <v>46489</v>
      </c>
      <c r="M150" s="282">
        <v>45639</v>
      </c>
      <c r="N150" s="371">
        <v>442000000</v>
      </c>
      <c r="O150" s="444" t="s">
        <v>3866</v>
      </c>
      <c r="P150" s="397">
        <v>442000000</v>
      </c>
      <c r="Q150" s="397">
        <v>442000000</v>
      </c>
      <c r="R150" s="397"/>
      <c r="S150" s="398">
        <f t="shared" si="7"/>
        <v>442000000</v>
      </c>
      <c r="T150" s="353"/>
      <c r="U150" s="353">
        <f t="shared" si="8"/>
        <v>442000000</v>
      </c>
      <c r="V150" s="399"/>
      <c r="W150" s="399"/>
      <c r="X150" s="400" t="s">
        <v>492</v>
      </c>
      <c r="Y150" s="400"/>
      <c r="Z150" s="283"/>
    </row>
    <row r="151" spans="2:26" ht="19.5" hidden="1" customHeight="1">
      <c r="B151" s="29">
        <f t="shared" si="6"/>
        <v>141</v>
      </c>
      <c r="C151" s="30" t="s">
        <v>206</v>
      </c>
      <c r="D151" s="30" t="s">
        <v>225</v>
      </c>
      <c r="E151" s="234" t="s">
        <v>699</v>
      </c>
      <c r="F151" s="235" t="s">
        <v>1225</v>
      </c>
      <c r="G151" s="284">
        <f>IFERROR(VLOOKUP(E151,Assign!$C$2:$J$142,8,FALSE),)</f>
        <v>0</v>
      </c>
      <c r="H151" s="279" t="s">
        <v>6736</v>
      </c>
      <c r="I151" s="280" t="s">
        <v>6015</v>
      </c>
      <c r="J151" s="281" t="s">
        <v>3754</v>
      </c>
      <c r="K151" s="282">
        <v>45105</v>
      </c>
      <c r="L151" s="282">
        <v>46201</v>
      </c>
      <c r="M151" s="282">
        <v>45640</v>
      </c>
      <c r="N151" s="371">
        <v>450000000</v>
      </c>
      <c r="O151" s="444" t="s">
        <v>3866</v>
      </c>
      <c r="P151" s="397">
        <v>433299741</v>
      </c>
      <c r="Q151" s="397">
        <v>433299741</v>
      </c>
      <c r="R151" s="397"/>
      <c r="S151" s="398">
        <f t="shared" si="7"/>
        <v>433299741</v>
      </c>
      <c r="T151" s="353"/>
      <c r="U151" s="353">
        <f t="shared" si="8"/>
        <v>433299741</v>
      </c>
      <c r="V151" s="399"/>
      <c r="W151" s="399"/>
      <c r="X151" s="400" t="s">
        <v>492</v>
      </c>
      <c r="Y151" s="400"/>
      <c r="Z151" s="283"/>
    </row>
    <row r="152" spans="2:26" ht="19.5" hidden="1" customHeight="1">
      <c r="B152" s="29">
        <f t="shared" si="6"/>
        <v>142</v>
      </c>
      <c r="C152" s="30" t="s">
        <v>206</v>
      </c>
      <c r="D152" s="30" t="s">
        <v>225</v>
      </c>
      <c r="E152" s="234" t="s">
        <v>700</v>
      </c>
      <c r="F152" s="235" t="s">
        <v>1311</v>
      </c>
      <c r="G152" s="284" t="str">
        <f>IFERROR(VLOOKUP(E152,Assign!$C$2:$J$142,8,FALSE),)</f>
        <v>문선영</v>
      </c>
      <c r="H152" s="279" t="s">
        <v>7050</v>
      </c>
      <c r="I152" s="280" t="s">
        <v>6182</v>
      </c>
      <c r="J152" s="281" t="s">
        <v>3734</v>
      </c>
      <c r="K152" s="282">
        <v>44235</v>
      </c>
      <c r="L152" s="282">
        <v>45696</v>
      </c>
      <c r="M152" s="282">
        <v>45699</v>
      </c>
      <c r="N152" s="371">
        <v>160000000</v>
      </c>
      <c r="O152" s="444" t="s">
        <v>3866</v>
      </c>
      <c r="P152" s="397">
        <v>160000000</v>
      </c>
      <c r="Q152" s="397">
        <v>160000000</v>
      </c>
      <c r="R152" s="397"/>
      <c r="S152" s="398">
        <f t="shared" si="7"/>
        <v>160000000</v>
      </c>
      <c r="T152" s="353"/>
      <c r="U152" s="353">
        <f t="shared" si="8"/>
        <v>160000000</v>
      </c>
      <c r="V152" s="399"/>
      <c r="W152" s="399"/>
      <c r="X152" s="400" t="s">
        <v>492</v>
      </c>
      <c r="Y152" s="400"/>
      <c r="Z152" s="283"/>
    </row>
    <row r="153" spans="2:26" ht="19.5" hidden="1" customHeight="1">
      <c r="B153" s="29">
        <f t="shared" si="6"/>
        <v>143</v>
      </c>
      <c r="C153" s="30" t="s">
        <v>206</v>
      </c>
      <c r="D153" s="30" t="s">
        <v>225</v>
      </c>
      <c r="E153" s="234" t="s">
        <v>700</v>
      </c>
      <c r="F153" s="235" t="s">
        <v>1311</v>
      </c>
      <c r="G153" s="284" t="str">
        <f>IFERROR(VLOOKUP(E153,Assign!$C$2:$J$142,8,FALSE),)</f>
        <v>문선영</v>
      </c>
      <c r="H153" s="279" t="s">
        <v>7051</v>
      </c>
      <c r="I153" s="280" t="s">
        <v>6088</v>
      </c>
      <c r="J153" s="281" t="s">
        <v>3734</v>
      </c>
      <c r="K153" s="282">
        <v>44343</v>
      </c>
      <c r="L153" s="282">
        <v>45804</v>
      </c>
      <c r="M153" s="282">
        <v>45689</v>
      </c>
      <c r="N153" s="371">
        <v>70000000</v>
      </c>
      <c r="O153" s="444" t="s">
        <v>3866</v>
      </c>
      <c r="P153" s="397">
        <v>70000000</v>
      </c>
      <c r="Q153" s="397">
        <v>70000000</v>
      </c>
      <c r="R153" s="397"/>
      <c r="S153" s="398">
        <f t="shared" si="7"/>
        <v>70000000</v>
      </c>
      <c r="T153" s="353"/>
      <c r="U153" s="353">
        <f t="shared" si="8"/>
        <v>70000000</v>
      </c>
      <c r="V153" s="399"/>
      <c r="W153" s="399"/>
      <c r="X153" s="400" t="s">
        <v>492</v>
      </c>
      <c r="Y153" s="400"/>
      <c r="Z153" s="283"/>
    </row>
    <row r="154" spans="2:26" ht="19.5" hidden="1" customHeight="1">
      <c r="B154" s="29">
        <f t="shared" si="6"/>
        <v>144</v>
      </c>
      <c r="C154" s="30" t="s">
        <v>206</v>
      </c>
      <c r="D154" s="30" t="s">
        <v>225</v>
      </c>
      <c r="E154" s="234" t="s">
        <v>700</v>
      </c>
      <c r="F154" s="235" t="s">
        <v>1311</v>
      </c>
      <c r="G154" s="284" t="str">
        <f>IFERROR(VLOOKUP(E154,Assign!$C$2:$J$142,8,FALSE),)</f>
        <v>문선영</v>
      </c>
      <c r="H154" s="279" t="s">
        <v>7052</v>
      </c>
      <c r="I154" s="280" t="s">
        <v>6183</v>
      </c>
      <c r="J154" s="281" t="s">
        <v>3734</v>
      </c>
      <c r="K154" s="282">
        <v>44484</v>
      </c>
      <c r="L154" s="282">
        <v>45672</v>
      </c>
      <c r="M154" s="282">
        <v>45673</v>
      </c>
      <c r="N154" s="371">
        <v>50000000</v>
      </c>
      <c r="O154" s="444" t="s">
        <v>3866</v>
      </c>
      <c r="P154" s="397">
        <v>50000000</v>
      </c>
      <c r="Q154" s="397">
        <v>50000000</v>
      </c>
      <c r="R154" s="397"/>
      <c r="S154" s="398">
        <f t="shared" si="7"/>
        <v>50000000</v>
      </c>
      <c r="T154" s="353"/>
      <c r="U154" s="353">
        <f t="shared" si="8"/>
        <v>50000000</v>
      </c>
      <c r="V154" s="399"/>
      <c r="W154" s="399"/>
      <c r="X154" s="400" t="s">
        <v>492</v>
      </c>
      <c r="Y154" s="400"/>
      <c r="Z154" s="283"/>
    </row>
    <row r="155" spans="2:26" ht="19.5" hidden="1" customHeight="1">
      <c r="B155" s="29">
        <f t="shared" si="6"/>
        <v>145</v>
      </c>
      <c r="C155" s="30" t="s">
        <v>206</v>
      </c>
      <c r="D155" s="30" t="s">
        <v>225</v>
      </c>
      <c r="E155" s="234" t="s">
        <v>700</v>
      </c>
      <c r="F155" s="235" t="s">
        <v>1311</v>
      </c>
      <c r="G155" s="284" t="str">
        <f>IFERROR(VLOOKUP(E155,Assign!$C$2:$J$142,8,FALSE),)</f>
        <v>문선영</v>
      </c>
      <c r="H155" s="279" t="s">
        <v>7053</v>
      </c>
      <c r="I155" s="280" t="s">
        <v>5749</v>
      </c>
      <c r="J155" s="281" t="s">
        <v>3734</v>
      </c>
      <c r="K155" s="282">
        <v>44532</v>
      </c>
      <c r="L155" s="282">
        <v>45718</v>
      </c>
      <c r="M155" s="282">
        <v>45692</v>
      </c>
      <c r="N155" s="371">
        <v>30000000</v>
      </c>
      <c r="O155" s="444" t="s">
        <v>3866</v>
      </c>
      <c r="P155" s="397">
        <v>30000000</v>
      </c>
      <c r="Q155" s="397">
        <v>30000000</v>
      </c>
      <c r="R155" s="397"/>
      <c r="S155" s="398">
        <f t="shared" si="7"/>
        <v>30000000</v>
      </c>
      <c r="T155" s="353"/>
      <c r="U155" s="353">
        <f t="shared" si="8"/>
        <v>30000000</v>
      </c>
      <c r="V155" s="399"/>
      <c r="W155" s="399"/>
      <c r="X155" s="400" t="s">
        <v>492</v>
      </c>
      <c r="Y155" s="400"/>
      <c r="Z155" s="283"/>
    </row>
    <row r="156" spans="2:26" ht="19.5" hidden="1" customHeight="1">
      <c r="B156" s="29">
        <f t="shared" si="6"/>
        <v>146</v>
      </c>
      <c r="C156" s="30" t="s">
        <v>206</v>
      </c>
      <c r="D156" s="30" t="s">
        <v>225</v>
      </c>
      <c r="E156" s="234" t="s">
        <v>700</v>
      </c>
      <c r="F156" s="235" t="s">
        <v>1311</v>
      </c>
      <c r="G156" s="284" t="str">
        <f>IFERROR(VLOOKUP(E156,Assign!$C$2:$J$142,8,FALSE),)</f>
        <v>문선영</v>
      </c>
      <c r="H156" s="279" t="s">
        <v>7054</v>
      </c>
      <c r="I156" s="280" t="s">
        <v>6184</v>
      </c>
      <c r="J156" s="281" t="s">
        <v>3734</v>
      </c>
      <c r="K156" s="282">
        <v>44580</v>
      </c>
      <c r="L156" s="282">
        <v>45676</v>
      </c>
      <c r="M156" s="282">
        <v>45678</v>
      </c>
      <c r="N156" s="371">
        <v>20000000</v>
      </c>
      <c r="O156" s="444" t="s">
        <v>3866</v>
      </c>
      <c r="P156" s="397">
        <v>20000000</v>
      </c>
      <c r="Q156" s="397">
        <v>20000000</v>
      </c>
      <c r="R156" s="397"/>
      <c r="S156" s="398">
        <f t="shared" si="7"/>
        <v>20000000</v>
      </c>
      <c r="T156" s="353"/>
      <c r="U156" s="353">
        <f t="shared" si="8"/>
        <v>20000000</v>
      </c>
      <c r="V156" s="399"/>
      <c r="W156" s="399"/>
      <c r="X156" s="400" t="s">
        <v>492</v>
      </c>
      <c r="Y156" s="400"/>
      <c r="Z156" s="283"/>
    </row>
    <row r="157" spans="2:26" ht="19.5" hidden="1" customHeight="1">
      <c r="B157" s="29">
        <f t="shared" si="6"/>
        <v>147</v>
      </c>
      <c r="C157" s="30" t="s">
        <v>206</v>
      </c>
      <c r="D157" s="30" t="s">
        <v>225</v>
      </c>
      <c r="E157" s="234" t="s">
        <v>700</v>
      </c>
      <c r="F157" s="235" t="s">
        <v>1311</v>
      </c>
      <c r="G157" s="284" t="str">
        <f>IFERROR(VLOOKUP(E157,Assign!$C$2:$J$142,8,FALSE),)</f>
        <v>문선영</v>
      </c>
      <c r="H157" s="279" t="s">
        <v>7055</v>
      </c>
      <c r="I157" s="280" t="s">
        <v>5893</v>
      </c>
      <c r="J157" s="281" t="s">
        <v>3734</v>
      </c>
      <c r="K157" s="282">
        <v>44610</v>
      </c>
      <c r="L157" s="282">
        <v>45706</v>
      </c>
      <c r="M157" s="282">
        <v>45707</v>
      </c>
      <c r="N157" s="371">
        <v>79500000</v>
      </c>
      <c r="O157" s="444" t="s">
        <v>3866</v>
      </c>
      <c r="P157" s="397">
        <v>79500000</v>
      </c>
      <c r="Q157" s="397">
        <v>79500000</v>
      </c>
      <c r="R157" s="397"/>
      <c r="S157" s="398">
        <f t="shared" si="7"/>
        <v>79500000</v>
      </c>
      <c r="T157" s="353"/>
      <c r="U157" s="353">
        <f t="shared" si="8"/>
        <v>79500000</v>
      </c>
      <c r="V157" s="399"/>
      <c r="W157" s="399"/>
      <c r="X157" s="400" t="s">
        <v>492</v>
      </c>
      <c r="Y157" s="400"/>
      <c r="Z157" s="283"/>
    </row>
    <row r="158" spans="2:26" ht="19.5" hidden="1" customHeight="1">
      <c r="B158" s="29">
        <f t="shared" si="6"/>
        <v>148</v>
      </c>
      <c r="C158" s="30" t="s">
        <v>206</v>
      </c>
      <c r="D158" s="30" t="s">
        <v>225</v>
      </c>
      <c r="E158" s="234" t="s">
        <v>700</v>
      </c>
      <c r="F158" s="235" t="s">
        <v>1311</v>
      </c>
      <c r="G158" s="284" t="str">
        <f>IFERROR(VLOOKUP(E158,Assign!$C$2:$J$142,8,FALSE),)</f>
        <v>문선영</v>
      </c>
      <c r="H158" s="279" t="s">
        <v>7056</v>
      </c>
      <c r="I158" s="280" t="s">
        <v>6185</v>
      </c>
      <c r="J158" s="281" t="s">
        <v>3734</v>
      </c>
      <c r="K158" s="282">
        <v>44848</v>
      </c>
      <c r="L158" s="282">
        <v>45671</v>
      </c>
      <c r="M158" s="282">
        <v>45672</v>
      </c>
      <c r="N158" s="371">
        <v>20000000</v>
      </c>
      <c r="O158" s="444" t="s">
        <v>3866</v>
      </c>
      <c r="P158" s="397">
        <v>20000000</v>
      </c>
      <c r="Q158" s="397">
        <v>20000000</v>
      </c>
      <c r="R158" s="397"/>
      <c r="S158" s="398">
        <f t="shared" si="7"/>
        <v>20000000</v>
      </c>
      <c r="T158" s="353"/>
      <c r="U158" s="353">
        <f t="shared" si="8"/>
        <v>20000000</v>
      </c>
      <c r="V158" s="399"/>
      <c r="W158" s="399"/>
      <c r="X158" s="400" t="s">
        <v>492</v>
      </c>
      <c r="Y158" s="400"/>
      <c r="Z158" s="283"/>
    </row>
    <row r="159" spans="2:26" ht="19.5" hidden="1" customHeight="1">
      <c r="B159" s="29">
        <f t="shared" si="6"/>
        <v>149</v>
      </c>
      <c r="C159" s="30" t="s">
        <v>206</v>
      </c>
      <c r="D159" s="30" t="s">
        <v>225</v>
      </c>
      <c r="E159" s="234" t="s">
        <v>701</v>
      </c>
      <c r="F159" s="235" t="s">
        <v>1237</v>
      </c>
      <c r="G159" s="284">
        <f>IFERROR(VLOOKUP(E159,Assign!$C$2:$J$142,8,FALSE),)</f>
        <v>0</v>
      </c>
      <c r="H159" s="279" t="s">
        <v>6968</v>
      </c>
      <c r="I159" s="280" t="s">
        <v>6141</v>
      </c>
      <c r="J159" s="281" t="s">
        <v>3812</v>
      </c>
      <c r="K159" s="282">
        <v>43201</v>
      </c>
      <c r="L159" s="282">
        <v>45668</v>
      </c>
      <c r="M159" s="282">
        <v>45671</v>
      </c>
      <c r="N159" s="371">
        <v>410000000</v>
      </c>
      <c r="O159" s="444" t="s">
        <v>3866</v>
      </c>
      <c r="P159" s="397">
        <v>410000000</v>
      </c>
      <c r="Q159" s="397">
        <v>410000000</v>
      </c>
      <c r="R159" s="397"/>
      <c r="S159" s="398">
        <f t="shared" si="7"/>
        <v>410000000</v>
      </c>
      <c r="T159" s="353"/>
      <c r="U159" s="353">
        <f t="shared" si="8"/>
        <v>410000000</v>
      </c>
      <c r="V159" s="399"/>
      <c r="W159" s="399"/>
      <c r="X159" s="400" t="s">
        <v>492</v>
      </c>
      <c r="Y159" s="400"/>
      <c r="Z159" s="283"/>
    </row>
    <row r="160" spans="2:26" ht="19.5" hidden="1" customHeight="1">
      <c r="B160" s="29">
        <f t="shared" si="6"/>
        <v>150</v>
      </c>
      <c r="C160" s="30" t="s">
        <v>206</v>
      </c>
      <c r="D160" s="30" t="s">
        <v>225</v>
      </c>
      <c r="E160" s="234" t="s">
        <v>702</v>
      </c>
      <c r="F160" s="235" t="s">
        <v>1238</v>
      </c>
      <c r="G160" s="284">
        <f>IFERROR(VLOOKUP(E160,Assign!$C$2:$J$142,8,FALSE),)</f>
        <v>0</v>
      </c>
      <c r="H160" s="279" t="s">
        <v>6706</v>
      </c>
      <c r="I160" s="280" t="s">
        <v>5939</v>
      </c>
      <c r="J160" s="281" t="s">
        <v>3751</v>
      </c>
      <c r="K160" s="282">
        <v>42745</v>
      </c>
      <c r="L160" s="282">
        <v>45848</v>
      </c>
      <c r="M160" s="282">
        <v>45678</v>
      </c>
      <c r="N160" s="371">
        <v>200000000</v>
      </c>
      <c r="O160" s="444" t="s">
        <v>3866</v>
      </c>
      <c r="P160" s="397">
        <v>200000000</v>
      </c>
      <c r="Q160" s="397">
        <v>200000000</v>
      </c>
      <c r="R160" s="397"/>
      <c r="S160" s="398">
        <f t="shared" si="7"/>
        <v>200000000</v>
      </c>
      <c r="T160" s="353"/>
      <c r="U160" s="353">
        <f t="shared" si="8"/>
        <v>200000000</v>
      </c>
      <c r="V160" s="399"/>
      <c r="W160" s="399"/>
      <c r="X160" s="400" t="s">
        <v>492</v>
      </c>
      <c r="Y160" s="400"/>
      <c r="Z160" s="283"/>
    </row>
    <row r="161" spans="2:26" ht="19.5" hidden="1" customHeight="1">
      <c r="B161" s="29">
        <f t="shared" si="6"/>
        <v>151</v>
      </c>
      <c r="C161" s="30" t="s">
        <v>206</v>
      </c>
      <c r="D161" s="30" t="s">
        <v>225</v>
      </c>
      <c r="E161" s="234" t="s">
        <v>702</v>
      </c>
      <c r="F161" s="235" t="s">
        <v>1238</v>
      </c>
      <c r="G161" s="284">
        <f>IFERROR(VLOOKUP(E161,Assign!$C$2:$J$142,8,FALSE),)</f>
        <v>0</v>
      </c>
      <c r="H161" s="279" t="s">
        <v>6707</v>
      </c>
      <c r="I161" s="280" t="s">
        <v>5740</v>
      </c>
      <c r="J161" s="281" t="s">
        <v>3751</v>
      </c>
      <c r="K161" s="282">
        <v>43578</v>
      </c>
      <c r="L161" s="282">
        <v>45770</v>
      </c>
      <c r="M161" s="282">
        <v>45681</v>
      </c>
      <c r="N161" s="371">
        <v>200000000</v>
      </c>
      <c r="O161" s="444" t="s">
        <v>3866</v>
      </c>
      <c r="P161" s="397">
        <v>200000000</v>
      </c>
      <c r="Q161" s="397">
        <v>200000000</v>
      </c>
      <c r="R161" s="397"/>
      <c r="S161" s="398">
        <f t="shared" si="7"/>
        <v>200000000</v>
      </c>
      <c r="T161" s="353"/>
      <c r="U161" s="353">
        <f t="shared" si="8"/>
        <v>200000000</v>
      </c>
      <c r="V161" s="399"/>
      <c r="W161" s="399"/>
      <c r="X161" s="400" t="s">
        <v>492</v>
      </c>
      <c r="Y161" s="400"/>
      <c r="Z161" s="283"/>
    </row>
    <row r="162" spans="2:26" ht="19.5" hidden="1" customHeight="1">
      <c r="B162" s="29">
        <f t="shared" si="6"/>
        <v>152</v>
      </c>
      <c r="C162" s="30" t="s">
        <v>206</v>
      </c>
      <c r="D162" s="30" t="s">
        <v>225</v>
      </c>
      <c r="E162" s="234" t="s">
        <v>703</v>
      </c>
      <c r="F162" s="235" t="s">
        <v>1239</v>
      </c>
      <c r="G162" s="284">
        <f>IFERROR(VLOOKUP(E162,Assign!$C$2:$J$142,8,FALSE),)</f>
        <v>0</v>
      </c>
      <c r="H162" s="279" t="s">
        <v>6693</v>
      </c>
      <c r="I162" s="280" t="s">
        <v>5991</v>
      </c>
      <c r="J162" s="281" t="s">
        <v>3735</v>
      </c>
      <c r="K162" s="282">
        <v>44236</v>
      </c>
      <c r="L162" s="282">
        <v>57019</v>
      </c>
      <c r="M162" s="282">
        <v>45667</v>
      </c>
      <c r="N162" s="371">
        <v>417000000</v>
      </c>
      <c r="O162" s="444" t="s">
        <v>3866</v>
      </c>
      <c r="P162" s="397">
        <v>395384669</v>
      </c>
      <c r="Q162" s="397">
        <v>395384669</v>
      </c>
      <c r="R162" s="397"/>
      <c r="S162" s="398">
        <f t="shared" si="7"/>
        <v>395384669</v>
      </c>
      <c r="T162" s="353"/>
      <c r="U162" s="353">
        <f t="shared" si="8"/>
        <v>395384669</v>
      </c>
      <c r="V162" s="399"/>
      <c r="W162" s="399"/>
      <c r="X162" s="400" t="s">
        <v>492</v>
      </c>
      <c r="Y162" s="400"/>
      <c r="Z162" s="283"/>
    </row>
    <row r="163" spans="2:26" ht="19.5" hidden="1" customHeight="1">
      <c r="B163" s="29">
        <f t="shared" si="6"/>
        <v>153</v>
      </c>
      <c r="C163" s="30" t="s">
        <v>206</v>
      </c>
      <c r="D163" s="30" t="s">
        <v>225</v>
      </c>
      <c r="E163" s="234" t="s">
        <v>704</v>
      </c>
      <c r="F163" s="235" t="s">
        <v>1312</v>
      </c>
      <c r="G163" s="284" t="str">
        <f>IFERROR(VLOOKUP(E163,Assign!$C$2:$J$142,8,FALSE),)</f>
        <v>문선영</v>
      </c>
      <c r="H163" s="279" t="s">
        <v>7118</v>
      </c>
      <c r="I163" s="280" t="s">
        <v>5813</v>
      </c>
      <c r="J163" s="281" t="s">
        <v>3763</v>
      </c>
      <c r="K163" s="282">
        <v>45303</v>
      </c>
      <c r="L163" s="282">
        <v>45669</v>
      </c>
      <c r="M163" s="282">
        <v>45671</v>
      </c>
      <c r="N163" s="371">
        <v>395000000</v>
      </c>
      <c r="O163" s="444" t="s">
        <v>3866</v>
      </c>
      <c r="P163" s="397">
        <v>394930494</v>
      </c>
      <c r="Q163" s="397">
        <v>394930494</v>
      </c>
      <c r="R163" s="397"/>
      <c r="S163" s="398">
        <f t="shared" si="7"/>
        <v>394930494</v>
      </c>
      <c r="T163" s="353"/>
      <c r="U163" s="353">
        <f t="shared" si="8"/>
        <v>394930494</v>
      </c>
      <c r="V163" s="399"/>
      <c r="W163" s="399"/>
      <c r="X163" s="400" t="s">
        <v>492</v>
      </c>
      <c r="Y163" s="400"/>
      <c r="Z163" s="283"/>
    </row>
    <row r="164" spans="2:26" ht="19.5" hidden="1" customHeight="1">
      <c r="B164" s="29">
        <f t="shared" si="6"/>
        <v>154</v>
      </c>
      <c r="C164" s="30" t="s">
        <v>206</v>
      </c>
      <c r="D164" s="30" t="s">
        <v>225</v>
      </c>
      <c r="E164" s="234" t="s">
        <v>705</v>
      </c>
      <c r="F164" s="235" t="s">
        <v>1236</v>
      </c>
      <c r="G164" s="284" t="str">
        <f>IFERROR(VLOOKUP(E164,Assign!$C$2:$J$142,8,FALSE),)</f>
        <v>문선영</v>
      </c>
      <c r="H164" s="279" t="s">
        <v>6776</v>
      </c>
      <c r="I164" s="280" t="s">
        <v>5931</v>
      </c>
      <c r="J164" s="281" t="s">
        <v>3735</v>
      </c>
      <c r="K164" s="282">
        <v>41880</v>
      </c>
      <c r="L164" s="282">
        <v>52838</v>
      </c>
      <c r="M164" s="282">
        <v>45657</v>
      </c>
      <c r="N164" s="371">
        <v>476000000</v>
      </c>
      <c r="O164" s="444" t="s">
        <v>3866</v>
      </c>
      <c r="P164" s="397">
        <v>391708149</v>
      </c>
      <c r="Q164" s="397">
        <v>391708149</v>
      </c>
      <c r="R164" s="397"/>
      <c r="S164" s="398">
        <f t="shared" si="7"/>
        <v>391708149</v>
      </c>
      <c r="T164" s="353"/>
      <c r="U164" s="353">
        <f t="shared" si="8"/>
        <v>391708149</v>
      </c>
      <c r="V164" s="399"/>
      <c r="W164" s="399"/>
      <c r="X164" s="400" t="s">
        <v>492</v>
      </c>
      <c r="Y164" s="400"/>
      <c r="Z164" s="283"/>
    </row>
    <row r="165" spans="2:26" ht="19.5" hidden="1" customHeight="1">
      <c r="B165" s="29">
        <f t="shared" si="6"/>
        <v>155</v>
      </c>
      <c r="C165" s="30" t="s">
        <v>206</v>
      </c>
      <c r="D165" s="30" t="s">
        <v>225</v>
      </c>
      <c r="E165" s="234" t="s">
        <v>706</v>
      </c>
      <c r="F165" s="235" t="s">
        <v>1236</v>
      </c>
      <c r="G165" s="284">
        <f>IFERROR(VLOOKUP(E165,Assign!$C$2:$J$142,8,FALSE),)</f>
        <v>0</v>
      </c>
      <c r="H165" s="279" t="s">
        <v>6708</v>
      </c>
      <c r="I165" s="280" t="s">
        <v>5723</v>
      </c>
      <c r="J165" s="281" t="s">
        <v>3734</v>
      </c>
      <c r="K165" s="282">
        <v>43950</v>
      </c>
      <c r="L165" s="282">
        <v>45776</v>
      </c>
      <c r="M165" s="282">
        <v>45626</v>
      </c>
      <c r="N165" s="371">
        <v>180000000</v>
      </c>
      <c r="O165" s="444" t="s">
        <v>3866</v>
      </c>
      <c r="P165" s="397">
        <v>180000000</v>
      </c>
      <c r="Q165" s="397">
        <v>180000000</v>
      </c>
      <c r="R165" s="397"/>
      <c r="S165" s="398">
        <f t="shared" si="7"/>
        <v>180000000</v>
      </c>
      <c r="T165" s="353"/>
      <c r="U165" s="353">
        <f t="shared" si="8"/>
        <v>180000000</v>
      </c>
      <c r="V165" s="399"/>
      <c r="W165" s="399"/>
      <c r="X165" s="400" t="s">
        <v>492</v>
      </c>
      <c r="Y165" s="400"/>
      <c r="Z165" s="283"/>
    </row>
    <row r="166" spans="2:26" ht="19.5" hidden="1" customHeight="1">
      <c r="B166" s="29">
        <f t="shared" si="6"/>
        <v>156</v>
      </c>
      <c r="C166" s="30" t="s">
        <v>206</v>
      </c>
      <c r="D166" s="30" t="s">
        <v>225</v>
      </c>
      <c r="E166" s="234" t="s">
        <v>706</v>
      </c>
      <c r="F166" s="235" t="s">
        <v>1236</v>
      </c>
      <c r="G166" s="284">
        <f>IFERROR(VLOOKUP(E166,Assign!$C$2:$J$142,8,FALSE),)</f>
        <v>0</v>
      </c>
      <c r="H166" s="279" t="s">
        <v>6709</v>
      </c>
      <c r="I166" s="280" t="s">
        <v>5745</v>
      </c>
      <c r="J166" s="281" t="s">
        <v>3791</v>
      </c>
      <c r="K166" s="282">
        <v>45404</v>
      </c>
      <c r="L166" s="282">
        <v>45769</v>
      </c>
      <c r="M166" s="282">
        <v>45619</v>
      </c>
      <c r="N166" s="371">
        <v>200000000</v>
      </c>
      <c r="O166" s="444" t="s">
        <v>3866</v>
      </c>
      <c r="P166" s="397">
        <v>200000000</v>
      </c>
      <c r="Q166" s="397">
        <v>200000000</v>
      </c>
      <c r="R166" s="397"/>
      <c r="S166" s="398">
        <f t="shared" si="7"/>
        <v>200000000</v>
      </c>
      <c r="T166" s="353"/>
      <c r="U166" s="353">
        <f t="shared" si="8"/>
        <v>200000000</v>
      </c>
      <c r="V166" s="399"/>
      <c r="W166" s="399"/>
      <c r="X166" s="400" t="s">
        <v>492</v>
      </c>
      <c r="Y166" s="400"/>
      <c r="Z166" s="283"/>
    </row>
    <row r="167" spans="2:26" ht="19.5" hidden="1" customHeight="1">
      <c r="B167" s="29">
        <f t="shared" si="6"/>
        <v>157</v>
      </c>
      <c r="C167" s="30" t="s">
        <v>206</v>
      </c>
      <c r="D167" s="30" t="s">
        <v>225</v>
      </c>
      <c r="E167" s="234" t="s">
        <v>707</v>
      </c>
      <c r="F167" s="235" t="s">
        <v>1225</v>
      </c>
      <c r="G167" s="284">
        <f>IFERROR(VLOOKUP(E167,Assign!$C$2:$J$142,8,FALSE),)</f>
        <v>0</v>
      </c>
      <c r="H167" s="279" t="s">
        <v>7081</v>
      </c>
      <c r="I167" s="280" t="s">
        <v>6197</v>
      </c>
      <c r="J167" s="281" t="s">
        <v>3756</v>
      </c>
      <c r="K167" s="282">
        <v>44525</v>
      </c>
      <c r="L167" s="282">
        <v>55482</v>
      </c>
      <c r="M167" s="282">
        <v>45591</v>
      </c>
      <c r="N167" s="371">
        <v>400000000</v>
      </c>
      <c r="O167" s="444" t="s">
        <v>3866</v>
      </c>
      <c r="P167" s="397">
        <v>378772700</v>
      </c>
      <c r="Q167" s="397">
        <v>378772700</v>
      </c>
      <c r="R167" s="397"/>
      <c r="S167" s="398">
        <f t="shared" si="7"/>
        <v>378772700</v>
      </c>
      <c r="T167" s="353"/>
      <c r="U167" s="353">
        <f t="shared" si="8"/>
        <v>378772700</v>
      </c>
      <c r="V167" s="399"/>
      <c r="W167" s="399"/>
      <c r="X167" s="400" t="s">
        <v>492</v>
      </c>
      <c r="Y167" s="400"/>
      <c r="Z167" s="283"/>
    </row>
    <row r="168" spans="2:26" ht="19.5" hidden="1" customHeight="1">
      <c r="B168" s="29">
        <f t="shared" si="6"/>
        <v>158</v>
      </c>
      <c r="C168" s="30" t="s">
        <v>206</v>
      </c>
      <c r="D168" s="30" t="s">
        <v>225</v>
      </c>
      <c r="E168" s="234" t="s">
        <v>708</v>
      </c>
      <c r="F168" s="235" t="s">
        <v>1231</v>
      </c>
      <c r="G168" s="284">
        <f>IFERROR(VLOOKUP(E168,Assign!$C$2:$J$142,8,FALSE),)</f>
        <v>0</v>
      </c>
      <c r="H168" s="279" t="s">
        <v>6559</v>
      </c>
      <c r="I168" s="280" t="s">
        <v>5888</v>
      </c>
      <c r="J168" s="281" t="s">
        <v>3781</v>
      </c>
      <c r="K168" s="282">
        <v>45254</v>
      </c>
      <c r="L168" s="282">
        <v>59864</v>
      </c>
      <c r="M168" s="282">
        <v>45533</v>
      </c>
      <c r="N168" s="371">
        <v>369800000</v>
      </c>
      <c r="O168" s="444" t="s">
        <v>3866</v>
      </c>
      <c r="P168" s="397">
        <v>369800000</v>
      </c>
      <c r="Q168" s="397">
        <v>369800000</v>
      </c>
      <c r="R168" s="397"/>
      <c r="S168" s="398">
        <f t="shared" si="7"/>
        <v>369800000</v>
      </c>
      <c r="T168" s="353"/>
      <c r="U168" s="353">
        <f t="shared" si="8"/>
        <v>369800000</v>
      </c>
      <c r="V168" s="399"/>
      <c r="W168" s="399"/>
      <c r="X168" s="400" t="s">
        <v>492</v>
      </c>
      <c r="Y168" s="400"/>
      <c r="Z168" s="283"/>
    </row>
    <row r="169" spans="2:26" ht="19.5" hidden="1" customHeight="1">
      <c r="B169" s="29">
        <f t="shared" si="6"/>
        <v>159</v>
      </c>
      <c r="C169" s="30" t="s">
        <v>206</v>
      </c>
      <c r="D169" s="30" t="s">
        <v>225</v>
      </c>
      <c r="E169" s="234" t="s">
        <v>709</v>
      </c>
      <c r="F169" s="235" t="s">
        <v>1240</v>
      </c>
      <c r="G169" s="284">
        <f>IFERROR(VLOOKUP(E169,Assign!$C$2:$J$142,8,FALSE),)</f>
        <v>0</v>
      </c>
      <c r="H169" s="279" t="s">
        <v>7110</v>
      </c>
      <c r="I169" s="280" t="s">
        <v>6206</v>
      </c>
      <c r="J169" s="281" t="s">
        <v>3745</v>
      </c>
      <c r="K169" s="282">
        <v>45096</v>
      </c>
      <c r="L169" s="282">
        <v>46192</v>
      </c>
      <c r="M169" s="282">
        <v>45678</v>
      </c>
      <c r="N169" s="371">
        <v>50000000</v>
      </c>
      <c r="O169" s="444" t="s">
        <v>3866</v>
      </c>
      <c r="P169" s="397">
        <v>43071890</v>
      </c>
      <c r="Q169" s="397">
        <v>43071890</v>
      </c>
      <c r="R169" s="397"/>
      <c r="S169" s="398">
        <f t="shared" si="7"/>
        <v>43071890</v>
      </c>
      <c r="T169" s="353"/>
      <c r="U169" s="353">
        <f t="shared" si="8"/>
        <v>43071890</v>
      </c>
      <c r="V169" s="399"/>
      <c r="W169" s="399"/>
      <c r="X169" s="400" t="s">
        <v>492</v>
      </c>
      <c r="Y169" s="400"/>
      <c r="Z169" s="283"/>
    </row>
    <row r="170" spans="2:26" ht="19.5" hidden="1" customHeight="1">
      <c r="B170" s="29">
        <f t="shared" si="6"/>
        <v>160</v>
      </c>
      <c r="C170" s="30" t="s">
        <v>206</v>
      </c>
      <c r="D170" s="30" t="s">
        <v>225</v>
      </c>
      <c r="E170" s="234" t="s">
        <v>709</v>
      </c>
      <c r="F170" s="235" t="s">
        <v>1240</v>
      </c>
      <c r="G170" s="284">
        <f>IFERROR(VLOOKUP(E170,Assign!$C$2:$J$142,8,FALSE),)</f>
        <v>0</v>
      </c>
      <c r="H170" s="279" t="s">
        <v>7111</v>
      </c>
      <c r="I170" s="280" t="s">
        <v>5647</v>
      </c>
      <c r="J170" s="281" t="s">
        <v>3733</v>
      </c>
      <c r="K170" s="282">
        <v>45096</v>
      </c>
      <c r="L170" s="282">
        <v>45831</v>
      </c>
      <c r="M170" s="282">
        <v>45678</v>
      </c>
      <c r="N170" s="371">
        <v>324000000</v>
      </c>
      <c r="O170" s="444" t="s">
        <v>3866</v>
      </c>
      <c r="P170" s="397">
        <v>324000000</v>
      </c>
      <c r="Q170" s="397">
        <v>324000000</v>
      </c>
      <c r="R170" s="397"/>
      <c r="S170" s="398">
        <f t="shared" si="7"/>
        <v>324000000</v>
      </c>
      <c r="T170" s="353"/>
      <c r="U170" s="353">
        <f t="shared" si="8"/>
        <v>324000000</v>
      </c>
      <c r="V170" s="399"/>
      <c r="W170" s="399"/>
      <c r="X170" s="400" t="s">
        <v>492</v>
      </c>
      <c r="Y170" s="400"/>
      <c r="Z170" s="283"/>
    </row>
    <row r="171" spans="2:26" ht="19.5" hidden="1" customHeight="1">
      <c r="B171" s="29">
        <f t="shared" si="6"/>
        <v>161</v>
      </c>
      <c r="C171" s="30" t="s">
        <v>206</v>
      </c>
      <c r="D171" s="30" t="s">
        <v>225</v>
      </c>
      <c r="E171" s="234" t="s">
        <v>710</v>
      </c>
      <c r="F171" s="235" t="s">
        <v>1226</v>
      </c>
      <c r="G171" s="284">
        <f>IFERROR(VLOOKUP(E171,Assign!$C$2:$J$142,8,FALSE),)</f>
        <v>0</v>
      </c>
      <c r="H171" s="279" t="s">
        <v>6362</v>
      </c>
      <c r="I171" s="280" t="s">
        <v>5731</v>
      </c>
      <c r="J171" s="281" t="s">
        <v>3761</v>
      </c>
      <c r="K171" s="282">
        <v>43955</v>
      </c>
      <c r="L171" s="282">
        <v>45781</v>
      </c>
      <c r="M171" s="282">
        <v>45601</v>
      </c>
      <c r="N171" s="371">
        <v>314000000</v>
      </c>
      <c r="O171" s="444" t="s">
        <v>3866</v>
      </c>
      <c r="P171" s="397">
        <v>314000000</v>
      </c>
      <c r="Q171" s="397">
        <v>314000000</v>
      </c>
      <c r="R171" s="397"/>
      <c r="S171" s="398">
        <f t="shared" si="7"/>
        <v>314000000</v>
      </c>
      <c r="T171" s="353"/>
      <c r="U171" s="353">
        <f t="shared" si="8"/>
        <v>314000000</v>
      </c>
      <c r="V171" s="399"/>
      <c r="W171" s="399"/>
      <c r="X171" s="400" t="s">
        <v>492</v>
      </c>
      <c r="Y171" s="400"/>
      <c r="Z171" s="283"/>
    </row>
    <row r="172" spans="2:26" ht="19.5" hidden="1" customHeight="1">
      <c r="B172" s="29">
        <f t="shared" si="6"/>
        <v>162</v>
      </c>
      <c r="C172" s="30" t="s">
        <v>206</v>
      </c>
      <c r="D172" s="30" t="s">
        <v>225</v>
      </c>
      <c r="E172" s="234" t="s">
        <v>710</v>
      </c>
      <c r="F172" s="235" t="s">
        <v>1226</v>
      </c>
      <c r="G172" s="284">
        <f>IFERROR(VLOOKUP(E172,Assign!$C$2:$J$142,8,FALSE),)</f>
        <v>0</v>
      </c>
      <c r="H172" s="279" t="s">
        <v>6363</v>
      </c>
      <c r="I172" s="280" t="s">
        <v>5732</v>
      </c>
      <c r="J172" s="281" t="s">
        <v>3754</v>
      </c>
      <c r="K172" s="282">
        <v>43955</v>
      </c>
      <c r="L172" s="282">
        <v>45781</v>
      </c>
      <c r="M172" s="282">
        <v>45601</v>
      </c>
      <c r="N172" s="371">
        <v>39600000</v>
      </c>
      <c r="O172" s="444" t="s">
        <v>3866</v>
      </c>
      <c r="P172" s="397">
        <v>36850000</v>
      </c>
      <c r="Q172" s="397">
        <v>36850000</v>
      </c>
      <c r="R172" s="397"/>
      <c r="S172" s="398">
        <f t="shared" si="7"/>
        <v>36850000</v>
      </c>
      <c r="T172" s="353"/>
      <c r="U172" s="353">
        <f t="shared" si="8"/>
        <v>36850000</v>
      </c>
      <c r="V172" s="399"/>
      <c r="W172" s="399"/>
      <c r="X172" s="400" t="s">
        <v>492</v>
      </c>
      <c r="Y172" s="400"/>
      <c r="Z172" s="283"/>
    </row>
    <row r="173" spans="2:26" ht="19.5" hidden="1" customHeight="1">
      <c r="B173" s="29">
        <f t="shared" si="6"/>
        <v>163</v>
      </c>
      <c r="C173" s="30" t="s">
        <v>206</v>
      </c>
      <c r="D173" s="30" t="s">
        <v>225</v>
      </c>
      <c r="E173" s="234" t="s">
        <v>711</v>
      </c>
      <c r="F173" s="235" t="s">
        <v>1313</v>
      </c>
      <c r="G173" s="284" t="str">
        <f>IFERROR(VLOOKUP(E173,Assign!$C$2:$J$142,8,FALSE),)</f>
        <v>문선영</v>
      </c>
      <c r="H173" s="279" t="s">
        <v>7098</v>
      </c>
      <c r="I173" s="280" t="s">
        <v>6069</v>
      </c>
      <c r="J173" s="281" t="s">
        <v>3774</v>
      </c>
      <c r="K173" s="282">
        <v>44917</v>
      </c>
      <c r="L173" s="282">
        <v>46013</v>
      </c>
      <c r="M173" s="282">
        <v>45713</v>
      </c>
      <c r="N173" s="371">
        <v>280000000</v>
      </c>
      <c r="O173" s="444" t="s">
        <v>3866</v>
      </c>
      <c r="P173" s="397">
        <v>239166300</v>
      </c>
      <c r="Q173" s="397">
        <v>239166300</v>
      </c>
      <c r="R173" s="397"/>
      <c r="S173" s="398">
        <f t="shared" si="7"/>
        <v>239166300</v>
      </c>
      <c r="T173" s="353"/>
      <c r="U173" s="353">
        <f t="shared" si="8"/>
        <v>239166300</v>
      </c>
      <c r="V173" s="399"/>
      <c r="W173" s="399"/>
      <c r="X173" s="400" t="s">
        <v>492</v>
      </c>
      <c r="Y173" s="400"/>
      <c r="Z173" s="283"/>
    </row>
    <row r="174" spans="2:26" ht="19.5" hidden="1" customHeight="1">
      <c r="B174" s="29">
        <f t="shared" si="6"/>
        <v>164</v>
      </c>
      <c r="C174" s="30" t="s">
        <v>206</v>
      </c>
      <c r="D174" s="30" t="s">
        <v>225</v>
      </c>
      <c r="E174" s="234" t="s">
        <v>711</v>
      </c>
      <c r="F174" s="235" t="s">
        <v>1313</v>
      </c>
      <c r="G174" s="284" t="str">
        <f>IFERROR(VLOOKUP(E174,Assign!$C$2:$J$142,8,FALSE),)</f>
        <v>문선영</v>
      </c>
      <c r="H174" s="279" t="s">
        <v>7099</v>
      </c>
      <c r="I174" s="280" t="s">
        <v>5913</v>
      </c>
      <c r="J174" s="281" t="s">
        <v>3827</v>
      </c>
      <c r="K174" s="282">
        <v>45373</v>
      </c>
      <c r="L174" s="282">
        <v>46073</v>
      </c>
      <c r="M174" s="282">
        <v>45713</v>
      </c>
      <c r="N174" s="371">
        <v>100000000</v>
      </c>
      <c r="O174" s="444" t="s">
        <v>3866</v>
      </c>
      <c r="P174" s="397">
        <v>100000000</v>
      </c>
      <c r="Q174" s="397">
        <v>100000000</v>
      </c>
      <c r="R174" s="397"/>
      <c r="S174" s="398">
        <f t="shared" si="7"/>
        <v>100000000</v>
      </c>
      <c r="T174" s="353"/>
      <c r="U174" s="353">
        <f t="shared" si="8"/>
        <v>100000000</v>
      </c>
      <c r="V174" s="399"/>
      <c r="W174" s="399"/>
      <c r="X174" s="400" t="s">
        <v>492</v>
      </c>
      <c r="Y174" s="400"/>
      <c r="Z174" s="283"/>
    </row>
    <row r="175" spans="2:26" ht="19.5" hidden="1" customHeight="1">
      <c r="B175" s="29">
        <f t="shared" si="6"/>
        <v>165</v>
      </c>
      <c r="C175" s="30" t="s">
        <v>206</v>
      </c>
      <c r="D175" s="30" t="s">
        <v>225</v>
      </c>
      <c r="E175" s="234" t="s">
        <v>712</v>
      </c>
      <c r="F175" s="235" t="s">
        <v>1226</v>
      </c>
      <c r="G175" s="284">
        <f>IFERROR(VLOOKUP(E175,Assign!$C$2:$J$142,8,FALSE),)</f>
        <v>0</v>
      </c>
      <c r="H175" s="279" t="s">
        <v>6356</v>
      </c>
      <c r="I175" s="280" t="s">
        <v>5726</v>
      </c>
      <c r="J175" s="281" t="s">
        <v>3754</v>
      </c>
      <c r="K175" s="282">
        <v>44334</v>
      </c>
      <c r="L175" s="282">
        <v>45795</v>
      </c>
      <c r="M175" s="282">
        <v>45615</v>
      </c>
      <c r="N175" s="371">
        <v>338650000</v>
      </c>
      <c r="O175" s="444" t="s">
        <v>3866</v>
      </c>
      <c r="P175" s="397">
        <v>334990000</v>
      </c>
      <c r="Q175" s="397">
        <v>334990000</v>
      </c>
      <c r="R175" s="397"/>
      <c r="S175" s="398">
        <f t="shared" si="7"/>
        <v>334990000</v>
      </c>
      <c r="T175" s="353"/>
      <c r="U175" s="353">
        <f t="shared" si="8"/>
        <v>334990000</v>
      </c>
      <c r="V175" s="399"/>
      <c r="W175" s="399"/>
      <c r="X175" s="400" t="s">
        <v>492</v>
      </c>
      <c r="Y175" s="400"/>
      <c r="Z175" s="283"/>
    </row>
    <row r="176" spans="2:26" ht="19.5" hidden="1" customHeight="1">
      <c r="B176" s="29">
        <f t="shared" si="6"/>
        <v>166</v>
      </c>
      <c r="C176" s="30" t="s">
        <v>206</v>
      </c>
      <c r="D176" s="30" t="s">
        <v>225</v>
      </c>
      <c r="E176" s="234" t="s">
        <v>713</v>
      </c>
      <c r="F176" s="235" t="s">
        <v>1231</v>
      </c>
      <c r="G176" s="284" t="str">
        <f>IFERROR(VLOOKUP(E176,Assign!$C$2:$J$142,8,FALSE),)</f>
        <v>문선영</v>
      </c>
      <c r="H176" s="279" t="s">
        <v>6585</v>
      </c>
      <c r="I176" s="280" t="s">
        <v>5692</v>
      </c>
      <c r="J176" s="281" t="s">
        <v>3733</v>
      </c>
      <c r="K176" s="282">
        <v>43210</v>
      </c>
      <c r="L176" s="282">
        <v>45625</v>
      </c>
      <c r="M176" s="282">
        <v>45577</v>
      </c>
      <c r="N176" s="371">
        <v>84000000</v>
      </c>
      <c r="O176" s="444" t="s">
        <v>3866</v>
      </c>
      <c r="P176" s="397">
        <v>84000000</v>
      </c>
      <c r="Q176" s="397">
        <v>84000000</v>
      </c>
      <c r="R176" s="397"/>
      <c r="S176" s="398">
        <f t="shared" si="7"/>
        <v>84000000</v>
      </c>
      <c r="T176" s="353"/>
      <c r="U176" s="353">
        <f t="shared" si="8"/>
        <v>84000000</v>
      </c>
      <c r="V176" s="399"/>
      <c r="W176" s="399"/>
      <c r="X176" s="400" t="s">
        <v>492</v>
      </c>
      <c r="Y176" s="400"/>
      <c r="Z176" s="283"/>
    </row>
    <row r="177" spans="2:26" ht="19.5" hidden="1" customHeight="1">
      <c r="B177" s="29">
        <f t="shared" si="6"/>
        <v>167</v>
      </c>
      <c r="C177" s="30" t="s">
        <v>206</v>
      </c>
      <c r="D177" s="30" t="s">
        <v>225</v>
      </c>
      <c r="E177" s="234" t="s">
        <v>713</v>
      </c>
      <c r="F177" s="235" t="s">
        <v>1231</v>
      </c>
      <c r="G177" s="284" t="str">
        <f>IFERROR(VLOOKUP(E177,Assign!$C$2:$J$142,8,FALSE),)</f>
        <v>문선영</v>
      </c>
      <c r="H177" s="279" t="s">
        <v>6586</v>
      </c>
      <c r="I177" s="280" t="s">
        <v>5889</v>
      </c>
      <c r="J177" s="281" t="s">
        <v>3734</v>
      </c>
      <c r="K177" s="282">
        <v>43210</v>
      </c>
      <c r="L177" s="282">
        <v>45767</v>
      </c>
      <c r="M177" s="282">
        <v>45577</v>
      </c>
      <c r="N177" s="371">
        <v>120000000</v>
      </c>
      <c r="O177" s="444" t="s">
        <v>3866</v>
      </c>
      <c r="P177" s="397">
        <v>120000000</v>
      </c>
      <c r="Q177" s="397">
        <v>120000000</v>
      </c>
      <c r="R177" s="397"/>
      <c r="S177" s="398">
        <f t="shared" si="7"/>
        <v>120000000</v>
      </c>
      <c r="T177" s="353"/>
      <c r="U177" s="353">
        <f t="shared" si="8"/>
        <v>120000000</v>
      </c>
      <c r="V177" s="399"/>
      <c r="W177" s="399"/>
      <c r="X177" s="400" t="s">
        <v>492</v>
      </c>
      <c r="Y177" s="400"/>
      <c r="Z177" s="283"/>
    </row>
    <row r="178" spans="2:26" ht="19.5" hidden="1" customHeight="1">
      <c r="B178" s="29">
        <f t="shared" si="6"/>
        <v>168</v>
      </c>
      <c r="C178" s="30" t="s">
        <v>206</v>
      </c>
      <c r="D178" s="30" t="s">
        <v>225</v>
      </c>
      <c r="E178" s="234" t="s">
        <v>713</v>
      </c>
      <c r="F178" s="235" t="s">
        <v>1231</v>
      </c>
      <c r="G178" s="284" t="str">
        <f>IFERROR(VLOOKUP(E178,Assign!$C$2:$J$142,8,FALSE),)</f>
        <v>문선영</v>
      </c>
      <c r="H178" s="279" t="s">
        <v>6587</v>
      </c>
      <c r="I178" s="280" t="s">
        <v>5911</v>
      </c>
      <c r="J178" s="281" t="s">
        <v>3734</v>
      </c>
      <c r="K178" s="282">
        <v>44714</v>
      </c>
      <c r="L178" s="282">
        <v>45445</v>
      </c>
      <c r="M178" s="282">
        <v>45447</v>
      </c>
      <c r="N178" s="371">
        <v>56000000</v>
      </c>
      <c r="O178" s="444" t="s">
        <v>3866</v>
      </c>
      <c r="P178" s="397">
        <v>56000000</v>
      </c>
      <c r="Q178" s="397">
        <v>56000000</v>
      </c>
      <c r="R178" s="397"/>
      <c r="S178" s="398">
        <f t="shared" si="7"/>
        <v>56000000</v>
      </c>
      <c r="T178" s="353"/>
      <c r="U178" s="353">
        <f t="shared" si="8"/>
        <v>56000000</v>
      </c>
      <c r="V178" s="399"/>
      <c r="W178" s="399"/>
      <c r="X178" s="400" t="s">
        <v>492</v>
      </c>
      <c r="Y178" s="400"/>
      <c r="Z178" s="283"/>
    </row>
    <row r="179" spans="2:26" ht="19.5" hidden="1" customHeight="1">
      <c r="B179" s="29">
        <f t="shared" si="6"/>
        <v>169</v>
      </c>
      <c r="C179" s="30" t="s">
        <v>206</v>
      </c>
      <c r="D179" s="30" t="s">
        <v>225</v>
      </c>
      <c r="E179" s="234" t="s">
        <v>713</v>
      </c>
      <c r="F179" s="235" t="s">
        <v>1231</v>
      </c>
      <c r="G179" s="284" t="str">
        <f>IFERROR(VLOOKUP(E179,Assign!$C$2:$J$142,8,FALSE),)</f>
        <v>문선영</v>
      </c>
      <c r="H179" s="279" t="s">
        <v>6588</v>
      </c>
      <c r="I179" s="280" t="s">
        <v>5912</v>
      </c>
      <c r="J179" s="281" t="s">
        <v>3783</v>
      </c>
      <c r="K179" s="282">
        <v>45023</v>
      </c>
      <c r="L179" s="282">
        <v>45754</v>
      </c>
      <c r="M179" s="282">
        <v>45577</v>
      </c>
      <c r="N179" s="371">
        <v>10000000</v>
      </c>
      <c r="O179" s="444" t="s">
        <v>3866</v>
      </c>
      <c r="P179" s="397">
        <v>10000000</v>
      </c>
      <c r="Q179" s="397">
        <v>10000000</v>
      </c>
      <c r="R179" s="397"/>
      <c r="S179" s="398">
        <f t="shared" si="7"/>
        <v>10000000</v>
      </c>
      <c r="T179" s="353"/>
      <c r="U179" s="353">
        <f t="shared" si="8"/>
        <v>10000000</v>
      </c>
      <c r="V179" s="399"/>
      <c r="W179" s="399"/>
      <c r="X179" s="400" t="s">
        <v>492</v>
      </c>
      <c r="Y179" s="400"/>
      <c r="Z179" s="283"/>
    </row>
    <row r="180" spans="2:26" ht="19.5" hidden="1" customHeight="1">
      <c r="B180" s="29">
        <f t="shared" si="6"/>
        <v>170</v>
      </c>
      <c r="C180" s="30" t="s">
        <v>206</v>
      </c>
      <c r="D180" s="30" t="s">
        <v>225</v>
      </c>
      <c r="E180" s="234" t="s">
        <v>713</v>
      </c>
      <c r="F180" s="235" t="s">
        <v>1231</v>
      </c>
      <c r="G180" s="284" t="str">
        <f>IFERROR(VLOOKUP(E180,Assign!$C$2:$J$142,8,FALSE),)</f>
        <v>문선영</v>
      </c>
      <c r="H180" s="279" t="s">
        <v>6589</v>
      </c>
      <c r="I180" s="280" t="s">
        <v>5913</v>
      </c>
      <c r="J180" s="281" t="s">
        <v>3734</v>
      </c>
      <c r="K180" s="282">
        <v>45061</v>
      </c>
      <c r="L180" s="282">
        <v>45427</v>
      </c>
      <c r="M180" s="282">
        <v>45429</v>
      </c>
      <c r="N180" s="371">
        <v>60000000</v>
      </c>
      <c r="O180" s="444" t="s">
        <v>3866</v>
      </c>
      <c r="P180" s="397">
        <v>60000000</v>
      </c>
      <c r="Q180" s="397">
        <v>60000000</v>
      </c>
      <c r="R180" s="397"/>
      <c r="S180" s="398">
        <f t="shared" si="7"/>
        <v>60000000</v>
      </c>
      <c r="T180" s="353"/>
      <c r="U180" s="353">
        <f t="shared" si="8"/>
        <v>60000000</v>
      </c>
      <c r="V180" s="399"/>
      <c r="W180" s="399"/>
      <c r="X180" s="400" t="s">
        <v>492</v>
      </c>
      <c r="Y180" s="400"/>
      <c r="Z180" s="283"/>
    </row>
    <row r="181" spans="2:26" ht="19.5" hidden="1" customHeight="1">
      <c r="B181" s="29">
        <f t="shared" si="6"/>
        <v>171</v>
      </c>
      <c r="C181" s="30" t="s">
        <v>206</v>
      </c>
      <c r="D181" s="30" t="s">
        <v>225</v>
      </c>
      <c r="E181" s="234" t="s">
        <v>713</v>
      </c>
      <c r="F181" s="235" t="s">
        <v>1231</v>
      </c>
      <c r="G181" s="284" t="str">
        <f>IFERROR(VLOOKUP(E181,Assign!$C$2:$J$142,8,FALSE),)</f>
        <v>문선영</v>
      </c>
      <c r="H181" s="279" t="s">
        <v>6590</v>
      </c>
      <c r="I181" s="280" t="s">
        <v>5727</v>
      </c>
      <c r="J181" s="281" t="s">
        <v>203</v>
      </c>
      <c r="K181" s="282">
        <v>45070</v>
      </c>
      <c r="L181" s="282">
        <v>45792</v>
      </c>
      <c r="M181" s="282"/>
      <c r="N181" s="371">
        <v>50000000</v>
      </c>
      <c r="O181" s="444" t="s">
        <v>3866</v>
      </c>
      <c r="P181" s="397">
        <v>0</v>
      </c>
      <c r="Q181" s="397">
        <v>0</v>
      </c>
      <c r="R181" s="397"/>
      <c r="S181" s="398">
        <f t="shared" si="7"/>
        <v>0</v>
      </c>
      <c r="T181" s="353"/>
      <c r="U181" s="353">
        <f t="shared" si="8"/>
        <v>0</v>
      </c>
      <c r="V181" s="399"/>
      <c r="W181" s="399"/>
      <c r="X181" s="400" t="s">
        <v>492</v>
      </c>
      <c r="Y181" s="400"/>
      <c r="Z181" s="283"/>
    </row>
    <row r="182" spans="2:26" ht="19.5" hidden="1" customHeight="1">
      <c r="B182" s="29">
        <f t="shared" si="6"/>
        <v>172</v>
      </c>
      <c r="C182" s="30" t="s">
        <v>206</v>
      </c>
      <c r="D182" s="30" t="s">
        <v>225</v>
      </c>
      <c r="E182" s="234" t="s">
        <v>714</v>
      </c>
      <c r="F182" s="235" t="s">
        <v>1229</v>
      </c>
      <c r="G182" s="284" t="str">
        <f>IFERROR(VLOOKUP(E182,Assign!$C$2:$J$142,8,FALSE),)</f>
        <v>문선영</v>
      </c>
      <c r="H182" s="279" t="s">
        <v>6341</v>
      </c>
      <c r="I182" s="280" t="s">
        <v>5715</v>
      </c>
      <c r="J182" s="281" t="s">
        <v>3759</v>
      </c>
      <c r="K182" s="282">
        <v>41897</v>
      </c>
      <c r="L182" s="282">
        <v>52855</v>
      </c>
      <c r="M182" s="282">
        <v>45555</v>
      </c>
      <c r="N182" s="371">
        <v>420000000</v>
      </c>
      <c r="O182" s="444" t="s">
        <v>3866</v>
      </c>
      <c r="P182" s="397">
        <v>324219042</v>
      </c>
      <c r="Q182" s="397">
        <v>324219042</v>
      </c>
      <c r="R182" s="397"/>
      <c r="S182" s="398">
        <f t="shared" si="7"/>
        <v>324219042</v>
      </c>
      <c r="T182" s="353"/>
      <c r="U182" s="353">
        <f t="shared" si="8"/>
        <v>324219042</v>
      </c>
      <c r="V182" s="399"/>
      <c r="W182" s="399"/>
      <c r="X182" s="400" t="s">
        <v>492</v>
      </c>
      <c r="Y182" s="400"/>
      <c r="Z182" s="283"/>
    </row>
    <row r="183" spans="2:26" ht="19.5" hidden="1" customHeight="1">
      <c r="B183" s="29">
        <f t="shared" si="6"/>
        <v>173</v>
      </c>
      <c r="C183" s="30" t="s">
        <v>206</v>
      </c>
      <c r="D183" s="30" t="s">
        <v>225</v>
      </c>
      <c r="E183" s="234" t="s">
        <v>715</v>
      </c>
      <c r="F183" s="235" t="s">
        <v>1223</v>
      </c>
      <c r="G183" s="284">
        <f>IFERROR(VLOOKUP(E183,Assign!$C$2:$J$142,8,FALSE),)</f>
        <v>0</v>
      </c>
      <c r="H183" s="279" t="s">
        <v>6538</v>
      </c>
      <c r="I183" s="280" t="s">
        <v>5871</v>
      </c>
      <c r="J183" s="281" t="s">
        <v>3735</v>
      </c>
      <c r="K183" s="282">
        <v>44508</v>
      </c>
      <c r="L183" s="282">
        <v>57292</v>
      </c>
      <c r="M183" s="282">
        <v>45545</v>
      </c>
      <c r="N183" s="371">
        <v>330000000</v>
      </c>
      <c r="O183" s="444" t="s">
        <v>3866</v>
      </c>
      <c r="P183" s="397">
        <v>317722523</v>
      </c>
      <c r="Q183" s="397">
        <v>317722523</v>
      </c>
      <c r="R183" s="397"/>
      <c r="S183" s="398">
        <f t="shared" si="7"/>
        <v>317722523</v>
      </c>
      <c r="T183" s="353"/>
      <c r="U183" s="353">
        <f t="shared" si="8"/>
        <v>317722523</v>
      </c>
      <c r="V183" s="399"/>
      <c r="W183" s="399"/>
      <c r="X183" s="400" t="s">
        <v>492</v>
      </c>
      <c r="Y183" s="400"/>
      <c r="Z183" s="283"/>
    </row>
    <row r="184" spans="2:26" ht="19.5" hidden="1" customHeight="1">
      <c r="B184" s="29">
        <f t="shared" si="6"/>
        <v>174</v>
      </c>
      <c r="C184" s="30" t="s">
        <v>206</v>
      </c>
      <c r="D184" s="30" t="s">
        <v>225</v>
      </c>
      <c r="E184" s="234" t="s">
        <v>716</v>
      </c>
      <c r="F184" s="235" t="s">
        <v>1225</v>
      </c>
      <c r="G184" s="284">
        <f>IFERROR(VLOOKUP(E184,Assign!$C$2:$J$142,8,FALSE),)</f>
        <v>0</v>
      </c>
      <c r="H184" s="279" t="s">
        <v>6611</v>
      </c>
      <c r="I184" s="280" t="s">
        <v>5878</v>
      </c>
      <c r="J184" s="281" t="s">
        <v>3733</v>
      </c>
      <c r="K184" s="282">
        <v>44392</v>
      </c>
      <c r="L184" s="282">
        <v>45488</v>
      </c>
      <c r="M184" s="282">
        <v>45339</v>
      </c>
      <c r="N184" s="371">
        <v>317000000</v>
      </c>
      <c r="O184" s="444" t="s">
        <v>3866</v>
      </c>
      <c r="P184" s="397">
        <v>317000000</v>
      </c>
      <c r="Q184" s="397">
        <v>317000000</v>
      </c>
      <c r="R184" s="397"/>
      <c r="S184" s="398">
        <f t="shared" si="7"/>
        <v>317000000</v>
      </c>
      <c r="T184" s="353"/>
      <c r="U184" s="353">
        <f t="shared" si="8"/>
        <v>317000000</v>
      </c>
      <c r="V184" s="399"/>
      <c r="W184" s="399"/>
      <c r="X184" s="400" t="s">
        <v>492</v>
      </c>
      <c r="Y184" s="400"/>
      <c r="Z184" s="283"/>
    </row>
    <row r="185" spans="2:26" ht="19.5" hidden="1" customHeight="1">
      <c r="B185" s="29">
        <f t="shared" si="6"/>
        <v>175</v>
      </c>
      <c r="C185" s="30" t="s">
        <v>206</v>
      </c>
      <c r="D185" s="30" t="s">
        <v>225</v>
      </c>
      <c r="E185" s="234" t="s">
        <v>717</v>
      </c>
      <c r="F185" s="235" t="s">
        <v>1225</v>
      </c>
      <c r="G185" s="284">
        <f>IFERROR(VLOOKUP(E185,Assign!$C$2:$J$142,8,FALSE),)</f>
        <v>0</v>
      </c>
      <c r="H185" s="279" t="s">
        <v>6756</v>
      </c>
      <c r="I185" s="280" t="s">
        <v>6027</v>
      </c>
      <c r="J185" s="281" t="s">
        <v>3736</v>
      </c>
      <c r="K185" s="282">
        <v>43539</v>
      </c>
      <c r="L185" s="282">
        <v>45550</v>
      </c>
      <c r="M185" s="282">
        <v>45546</v>
      </c>
      <c r="N185" s="371">
        <v>44000000</v>
      </c>
      <c r="O185" s="444" t="s">
        <v>3866</v>
      </c>
      <c r="P185" s="397">
        <v>8082529</v>
      </c>
      <c r="Q185" s="397">
        <v>8082529</v>
      </c>
      <c r="R185" s="397"/>
      <c r="S185" s="398">
        <f t="shared" si="7"/>
        <v>8082529</v>
      </c>
      <c r="T185" s="353"/>
      <c r="U185" s="353">
        <f t="shared" si="8"/>
        <v>8082529</v>
      </c>
      <c r="V185" s="399"/>
      <c r="W185" s="399"/>
      <c r="X185" s="400" t="s">
        <v>492</v>
      </c>
      <c r="Y185" s="400"/>
      <c r="Z185" s="283"/>
    </row>
    <row r="186" spans="2:26" ht="19.5" hidden="1" customHeight="1">
      <c r="B186" s="29">
        <f t="shared" si="6"/>
        <v>176</v>
      </c>
      <c r="C186" s="30" t="s">
        <v>206</v>
      </c>
      <c r="D186" s="30" t="s">
        <v>225</v>
      </c>
      <c r="E186" s="234" t="s">
        <v>717</v>
      </c>
      <c r="F186" s="235" t="s">
        <v>1225</v>
      </c>
      <c r="G186" s="284">
        <f>IFERROR(VLOOKUP(E186,Assign!$C$2:$J$142,8,FALSE),)</f>
        <v>0</v>
      </c>
      <c r="H186" s="279" t="s">
        <v>6757</v>
      </c>
      <c r="I186" s="280" t="s">
        <v>6028</v>
      </c>
      <c r="J186" s="281" t="s">
        <v>3756</v>
      </c>
      <c r="K186" s="282">
        <v>42598</v>
      </c>
      <c r="L186" s="282">
        <v>53555</v>
      </c>
      <c r="M186" s="282">
        <v>45546</v>
      </c>
      <c r="N186" s="371">
        <v>197000000</v>
      </c>
      <c r="O186" s="444" t="s">
        <v>3866</v>
      </c>
      <c r="P186" s="397">
        <v>160612126</v>
      </c>
      <c r="Q186" s="397">
        <v>160612126</v>
      </c>
      <c r="R186" s="397"/>
      <c r="S186" s="398">
        <f t="shared" si="7"/>
        <v>160612126</v>
      </c>
      <c r="T186" s="353"/>
      <c r="U186" s="353">
        <f t="shared" si="8"/>
        <v>160612126</v>
      </c>
      <c r="V186" s="399"/>
      <c r="W186" s="399"/>
      <c r="X186" s="400" t="s">
        <v>492</v>
      </c>
      <c r="Y186" s="400"/>
      <c r="Z186" s="283"/>
    </row>
    <row r="187" spans="2:26" ht="19.5" hidden="1" customHeight="1">
      <c r="B187" s="29">
        <f t="shared" si="6"/>
        <v>177</v>
      </c>
      <c r="C187" s="30" t="s">
        <v>206</v>
      </c>
      <c r="D187" s="30" t="s">
        <v>225</v>
      </c>
      <c r="E187" s="234" t="s">
        <v>717</v>
      </c>
      <c r="F187" s="235" t="s">
        <v>1225</v>
      </c>
      <c r="G187" s="284">
        <f>IFERROR(VLOOKUP(E187,Assign!$C$2:$J$142,8,FALSE),)</f>
        <v>0</v>
      </c>
      <c r="H187" s="279" t="s">
        <v>6758</v>
      </c>
      <c r="I187" s="280" t="s">
        <v>6029</v>
      </c>
      <c r="J187" s="281" t="s">
        <v>3752</v>
      </c>
      <c r="K187" s="282">
        <v>43609</v>
      </c>
      <c r="L187" s="282">
        <v>46161</v>
      </c>
      <c r="M187" s="282">
        <v>45546</v>
      </c>
      <c r="N187" s="371">
        <v>500000000</v>
      </c>
      <c r="O187" s="444" t="s">
        <v>3866</v>
      </c>
      <c r="P187" s="397">
        <v>14583333</v>
      </c>
      <c r="Q187" s="397">
        <v>14583333</v>
      </c>
      <c r="R187" s="397"/>
      <c r="S187" s="398">
        <f t="shared" si="7"/>
        <v>14583333</v>
      </c>
      <c r="T187" s="353"/>
      <c r="U187" s="353">
        <f t="shared" si="8"/>
        <v>14583333</v>
      </c>
      <c r="V187" s="399"/>
      <c r="W187" s="399"/>
      <c r="X187" s="400" t="s">
        <v>492</v>
      </c>
      <c r="Y187" s="400"/>
      <c r="Z187" s="283"/>
    </row>
    <row r="188" spans="2:26" ht="19.5" hidden="1" customHeight="1">
      <c r="B188" s="29">
        <f t="shared" si="6"/>
        <v>178</v>
      </c>
      <c r="C188" s="30" t="s">
        <v>206</v>
      </c>
      <c r="D188" s="30" t="s">
        <v>225</v>
      </c>
      <c r="E188" s="234" t="s">
        <v>718</v>
      </c>
      <c r="F188" s="235" t="s">
        <v>1229</v>
      </c>
      <c r="G188" s="284" t="str">
        <f>IFERROR(VLOOKUP(E188,Assign!$C$2:$J$142,8,FALSE),)</f>
        <v>문선영</v>
      </c>
      <c r="H188" s="279" t="s">
        <v>6555</v>
      </c>
      <c r="I188" s="280" t="s">
        <v>5775</v>
      </c>
      <c r="J188" s="281" t="s">
        <v>3761</v>
      </c>
      <c r="K188" s="282">
        <v>43349</v>
      </c>
      <c r="L188" s="282">
        <v>45905</v>
      </c>
      <c r="M188" s="282">
        <v>45576</v>
      </c>
      <c r="N188" s="371">
        <v>310000000</v>
      </c>
      <c r="O188" s="444" t="s">
        <v>3866</v>
      </c>
      <c r="P188" s="397">
        <v>310000000</v>
      </c>
      <c r="Q188" s="397">
        <v>310000000</v>
      </c>
      <c r="R188" s="397"/>
      <c r="S188" s="398">
        <f t="shared" si="7"/>
        <v>310000000</v>
      </c>
      <c r="T188" s="353"/>
      <c r="U188" s="353">
        <f t="shared" si="8"/>
        <v>310000000</v>
      </c>
      <c r="V188" s="399"/>
      <c r="W188" s="399"/>
      <c r="X188" s="400" t="s">
        <v>492</v>
      </c>
      <c r="Y188" s="400"/>
      <c r="Z188" s="283"/>
    </row>
    <row r="189" spans="2:26" ht="19.5" hidden="1" customHeight="1">
      <c r="B189" s="29">
        <f t="shared" si="6"/>
        <v>179</v>
      </c>
      <c r="C189" s="30" t="s">
        <v>206</v>
      </c>
      <c r="D189" s="30" t="s">
        <v>225</v>
      </c>
      <c r="E189" s="234" t="s">
        <v>719</v>
      </c>
      <c r="F189" s="235" t="s">
        <v>1225</v>
      </c>
      <c r="G189" s="284" t="str">
        <f>IFERROR(VLOOKUP(E189,Assign!$C$2:$J$142,8,FALSE),)</f>
        <v>문선영</v>
      </c>
      <c r="H189" s="279" t="s">
        <v>6412</v>
      </c>
      <c r="I189" s="280" t="s">
        <v>5772</v>
      </c>
      <c r="J189" s="281" t="s">
        <v>3736</v>
      </c>
      <c r="K189" s="282">
        <v>42528</v>
      </c>
      <c r="L189" s="282">
        <v>45811</v>
      </c>
      <c r="M189" s="282">
        <v>45699</v>
      </c>
      <c r="N189" s="371">
        <v>48000000</v>
      </c>
      <c r="O189" s="444" t="s">
        <v>3866</v>
      </c>
      <c r="P189" s="397">
        <v>48000000</v>
      </c>
      <c r="Q189" s="397">
        <v>48000000</v>
      </c>
      <c r="R189" s="397"/>
      <c r="S189" s="398">
        <f t="shared" si="7"/>
        <v>48000000</v>
      </c>
      <c r="T189" s="353"/>
      <c r="U189" s="353">
        <f t="shared" si="8"/>
        <v>48000000</v>
      </c>
      <c r="V189" s="399"/>
      <c r="W189" s="399"/>
      <c r="X189" s="400" t="s">
        <v>492</v>
      </c>
      <c r="Y189" s="400"/>
      <c r="Z189" s="283"/>
    </row>
    <row r="190" spans="2:26" ht="19.5" hidden="1" customHeight="1">
      <c r="B190" s="29">
        <f t="shared" si="6"/>
        <v>180</v>
      </c>
      <c r="C190" s="30" t="s">
        <v>206</v>
      </c>
      <c r="D190" s="30" t="s">
        <v>225</v>
      </c>
      <c r="E190" s="234" t="s">
        <v>719</v>
      </c>
      <c r="F190" s="235" t="s">
        <v>1225</v>
      </c>
      <c r="G190" s="284" t="str">
        <f>IFERROR(VLOOKUP(E190,Assign!$C$2:$J$142,8,FALSE),)</f>
        <v>문선영</v>
      </c>
      <c r="H190" s="279" t="s">
        <v>6413</v>
      </c>
      <c r="I190" s="280" t="s">
        <v>5610</v>
      </c>
      <c r="J190" s="281" t="s">
        <v>3733</v>
      </c>
      <c r="K190" s="282">
        <v>44134</v>
      </c>
      <c r="L190" s="282">
        <v>45960</v>
      </c>
      <c r="M190" s="282">
        <v>45689</v>
      </c>
      <c r="N190" s="371">
        <v>130500000</v>
      </c>
      <c r="O190" s="444" t="s">
        <v>3866</v>
      </c>
      <c r="P190" s="397">
        <v>130500000</v>
      </c>
      <c r="Q190" s="397">
        <v>130500000</v>
      </c>
      <c r="R190" s="397"/>
      <c r="S190" s="398">
        <f t="shared" si="7"/>
        <v>130500000</v>
      </c>
      <c r="T190" s="353"/>
      <c r="U190" s="353">
        <f t="shared" si="8"/>
        <v>130500000</v>
      </c>
      <c r="V190" s="399"/>
      <c r="W190" s="399"/>
      <c r="X190" s="400" t="s">
        <v>492</v>
      </c>
      <c r="Y190" s="400"/>
      <c r="Z190" s="283"/>
    </row>
    <row r="191" spans="2:26" ht="19.5" hidden="1" customHeight="1">
      <c r="B191" s="29">
        <f t="shared" si="6"/>
        <v>181</v>
      </c>
      <c r="C191" s="30" t="s">
        <v>206</v>
      </c>
      <c r="D191" s="30" t="s">
        <v>225</v>
      </c>
      <c r="E191" s="234" t="s">
        <v>719</v>
      </c>
      <c r="F191" s="235" t="s">
        <v>1225</v>
      </c>
      <c r="G191" s="284" t="str">
        <f>IFERROR(VLOOKUP(E191,Assign!$C$2:$J$142,8,FALSE),)</f>
        <v>문선영</v>
      </c>
      <c r="H191" s="279" t="s">
        <v>6414</v>
      </c>
      <c r="I191" s="280" t="s">
        <v>5773</v>
      </c>
      <c r="J191" s="281" t="s">
        <v>3733</v>
      </c>
      <c r="K191" s="282">
        <v>44134</v>
      </c>
      <c r="L191" s="282">
        <v>45960</v>
      </c>
      <c r="M191" s="282">
        <v>45689</v>
      </c>
      <c r="N191" s="371">
        <v>130500000</v>
      </c>
      <c r="O191" s="444" t="s">
        <v>3866</v>
      </c>
      <c r="P191" s="397">
        <v>130500000</v>
      </c>
      <c r="Q191" s="397">
        <v>130500000</v>
      </c>
      <c r="R191" s="397"/>
      <c r="S191" s="398">
        <f t="shared" si="7"/>
        <v>130500000</v>
      </c>
      <c r="T191" s="353"/>
      <c r="U191" s="353">
        <f t="shared" si="8"/>
        <v>130500000</v>
      </c>
      <c r="V191" s="399"/>
      <c r="W191" s="399"/>
      <c r="X191" s="400" t="s">
        <v>492</v>
      </c>
      <c r="Y191" s="400"/>
      <c r="Z191" s="283"/>
    </row>
    <row r="192" spans="2:26" ht="19.5" hidden="1" customHeight="1">
      <c r="B192" s="29">
        <f t="shared" si="6"/>
        <v>182</v>
      </c>
      <c r="C192" s="30" t="s">
        <v>206</v>
      </c>
      <c r="D192" s="30" t="s">
        <v>225</v>
      </c>
      <c r="E192" s="234" t="s">
        <v>720</v>
      </c>
      <c r="F192" s="235" t="s">
        <v>1225</v>
      </c>
      <c r="G192" s="284">
        <f>IFERROR(VLOOKUP(E192,Assign!$C$2:$J$142,8,FALSE),)</f>
        <v>0</v>
      </c>
      <c r="H192" s="279" t="s">
        <v>6560</v>
      </c>
      <c r="I192" s="280" t="s">
        <v>5889</v>
      </c>
      <c r="J192" s="281" t="s">
        <v>3735</v>
      </c>
      <c r="K192" s="282">
        <v>42877</v>
      </c>
      <c r="L192" s="282">
        <v>53834</v>
      </c>
      <c r="M192" s="282">
        <v>45650</v>
      </c>
      <c r="N192" s="371">
        <v>330000000</v>
      </c>
      <c r="O192" s="444" t="s">
        <v>3866</v>
      </c>
      <c r="P192" s="397">
        <v>278233942</v>
      </c>
      <c r="Q192" s="397">
        <v>278233942</v>
      </c>
      <c r="R192" s="397"/>
      <c r="S192" s="398">
        <f t="shared" si="7"/>
        <v>278233942</v>
      </c>
      <c r="T192" s="353"/>
      <c r="U192" s="353">
        <f t="shared" si="8"/>
        <v>278233942</v>
      </c>
      <c r="V192" s="399"/>
      <c r="W192" s="399"/>
      <c r="X192" s="400" t="s">
        <v>492</v>
      </c>
      <c r="Y192" s="400"/>
      <c r="Z192" s="283"/>
    </row>
    <row r="193" spans="2:26" ht="19.5" hidden="1" customHeight="1">
      <c r="B193" s="29">
        <f t="shared" si="6"/>
        <v>183</v>
      </c>
      <c r="C193" s="30" t="s">
        <v>206</v>
      </c>
      <c r="D193" s="30" t="s">
        <v>225</v>
      </c>
      <c r="E193" s="234" t="s">
        <v>720</v>
      </c>
      <c r="F193" s="235" t="s">
        <v>1225</v>
      </c>
      <c r="G193" s="284">
        <f>IFERROR(VLOOKUP(E193,Assign!$C$2:$J$142,8,FALSE),)</f>
        <v>0</v>
      </c>
      <c r="H193" s="279" t="s">
        <v>6561</v>
      </c>
      <c r="I193" s="280" t="s">
        <v>5890</v>
      </c>
      <c r="J193" s="281" t="s">
        <v>3745</v>
      </c>
      <c r="K193" s="282">
        <v>45257</v>
      </c>
      <c r="L193" s="282">
        <v>45623</v>
      </c>
      <c r="M193" s="282">
        <v>45624</v>
      </c>
      <c r="N193" s="371">
        <v>40000000</v>
      </c>
      <c r="O193" s="444" t="s">
        <v>3866</v>
      </c>
      <c r="P193" s="397">
        <v>28965996</v>
      </c>
      <c r="Q193" s="397">
        <v>28965996</v>
      </c>
      <c r="R193" s="397"/>
      <c r="S193" s="398">
        <f t="shared" si="7"/>
        <v>28965996</v>
      </c>
      <c r="T193" s="353"/>
      <c r="U193" s="353">
        <f t="shared" si="8"/>
        <v>28965996</v>
      </c>
      <c r="V193" s="399"/>
      <c r="W193" s="399"/>
      <c r="X193" s="400" t="s">
        <v>492</v>
      </c>
      <c r="Y193" s="400"/>
      <c r="Z193" s="283"/>
    </row>
    <row r="194" spans="2:26" ht="19.5" hidden="1" customHeight="1">
      <c r="B194" s="29">
        <f t="shared" si="6"/>
        <v>184</v>
      </c>
      <c r="C194" s="30" t="s">
        <v>206</v>
      </c>
      <c r="D194" s="30" t="s">
        <v>225</v>
      </c>
      <c r="E194" s="234" t="s">
        <v>721</v>
      </c>
      <c r="F194" s="235" t="s">
        <v>1236</v>
      </c>
      <c r="G194" s="284">
        <f>IFERROR(VLOOKUP(E194,Assign!$C$2:$J$142,8,FALSE),)</f>
        <v>0</v>
      </c>
      <c r="H194" s="279" t="s">
        <v>6695</v>
      </c>
      <c r="I194" s="280" t="s">
        <v>5654</v>
      </c>
      <c r="J194" s="281" t="s">
        <v>3761</v>
      </c>
      <c r="K194" s="282">
        <v>43041</v>
      </c>
      <c r="L194" s="282">
        <v>45963</v>
      </c>
      <c r="M194" s="282">
        <v>45660</v>
      </c>
      <c r="N194" s="371">
        <v>300000000</v>
      </c>
      <c r="O194" s="444" t="s">
        <v>3866</v>
      </c>
      <c r="P194" s="397">
        <v>300000000</v>
      </c>
      <c r="Q194" s="397">
        <v>300000000</v>
      </c>
      <c r="R194" s="397"/>
      <c r="S194" s="398">
        <f t="shared" si="7"/>
        <v>300000000</v>
      </c>
      <c r="T194" s="353"/>
      <c r="U194" s="353">
        <f t="shared" si="8"/>
        <v>300000000</v>
      </c>
      <c r="V194" s="399"/>
      <c r="W194" s="399"/>
      <c r="X194" s="400" t="s">
        <v>492</v>
      </c>
      <c r="Y194" s="400"/>
      <c r="Z194" s="283"/>
    </row>
    <row r="195" spans="2:26" ht="19.5" hidden="1" customHeight="1">
      <c r="B195" s="29">
        <f t="shared" si="6"/>
        <v>185</v>
      </c>
      <c r="C195" s="30" t="s">
        <v>206</v>
      </c>
      <c r="D195" s="30" t="s">
        <v>225</v>
      </c>
      <c r="E195" s="234" t="s">
        <v>722</v>
      </c>
      <c r="F195" s="235" t="s">
        <v>1220</v>
      </c>
      <c r="G195" s="284">
        <f>IFERROR(VLOOKUP(E195,Assign!$C$2:$J$142,8,FALSE),)</f>
        <v>0</v>
      </c>
      <c r="H195" s="279" t="s">
        <v>6552</v>
      </c>
      <c r="I195" s="280" t="s">
        <v>5884</v>
      </c>
      <c r="J195" s="281" t="s">
        <v>3735</v>
      </c>
      <c r="K195" s="282">
        <v>44574</v>
      </c>
      <c r="L195" s="282">
        <v>57358</v>
      </c>
      <c r="M195" s="282">
        <v>45580</v>
      </c>
      <c r="N195" s="371">
        <v>315000000</v>
      </c>
      <c r="O195" s="444" t="s">
        <v>3866</v>
      </c>
      <c r="P195" s="397">
        <v>299558504</v>
      </c>
      <c r="Q195" s="397">
        <v>299558504</v>
      </c>
      <c r="R195" s="397"/>
      <c r="S195" s="398">
        <f t="shared" si="7"/>
        <v>299558504</v>
      </c>
      <c r="T195" s="353"/>
      <c r="U195" s="353">
        <f t="shared" si="8"/>
        <v>299558504</v>
      </c>
      <c r="V195" s="399"/>
      <c r="W195" s="399"/>
      <c r="X195" s="400" t="s">
        <v>492</v>
      </c>
      <c r="Y195" s="400"/>
      <c r="Z195" s="283"/>
    </row>
    <row r="196" spans="2:26" ht="19.5" hidden="1" customHeight="1">
      <c r="B196" s="29">
        <f t="shared" si="6"/>
        <v>186</v>
      </c>
      <c r="C196" s="30" t="s">
        <v>206</v>
      </c>
      <c r="D196" s="30" t="s">
        <v>225</v>
      </c>
      <c r="E196" s="234" t="s">
        <v>723</v>
      </c>
      <c r="F196" s="235" t="s">
        <v>1314</v>
      </c>
      <c r="G196" s="284" t="str">
        <f>IFERROR(VLOOKUP(E196,Assign!$C$2:$J$142,8,FALSE),)</f>
        <v>문선영</v>
      </c>
      <c r="H196" s="279" t="s">
        <v>7027</v>
      </c>
      <c r="I196" s="280" t="s">
        <v>5909</v>
      </c>
      <c r="J196" s="281" t="s">
        <v>3734</v>
      </c>
      <c r="K196" s="282">
        <v>45565</v>
      </c>
      <c r="L196" s="282">
        <v>45747</v>
      </c>
      <c r="M196" s="282">
        <v>45721</v>
      </c>
      <c r="N196" s="371">
        <v>293000000</v>
      </c>
      <c r="O196" s="444" t="s">
        <v>3866</v>
      </c>
      <c r="P196" s="397">
        <v>293000000</v>
      </c>
      <c r="Q196" s="397">
        <v>293000000</v>
      </c>
      <c r="R196" s="397"/>
      <c r="S196" s="398">
        <f t="shared" si="7"/>
        <v>293000000</v>
      </c>
      <c r="T196" s="353"/>
      <c r="U196" s="353">
        <f t="shared" si="8"/>
        <v>293000000</v>
      </c>
      <c r="V196" s="399"/>
      <c r="W196" s="399"/>
      <c r="X196" s="400" t="s">
        <v>492</v>
      </c>
      <c r="Y196" s="400"/>
      <c r="Z196" s="283"/>
    </row>
    <row r="197" spans="2:26" ht="19.5" hidden="1" customHeight="1">
      <c r="B197" s="29">
        <f t="shared" si="6"/>
        <v>187</v>
      </c>
      <c r="C197" s="30" t="s">
        <v>206</v>
      </c>
      <c r="D197" s="30" t="s">
        <v>225</v>
      </c>
      <c r="E197" s="234" t="s">
        <v>724</v>
      </c>
      <c r="F197" s="235" t="s">
        <v>1229</v>
      </c>
      <c r="G197" s="284">
        <f>IFERROR(VLOOKUP(E197,Assign!$C$2:$J$142,8,FALSE),)</f>
        <v>0</v>
      </c>
      <c r="H197" s="279" t="s">
        <v>6698</v>
      </c>
      <c r="I197" s="280" t="s">
        <v>5638</v>
      </c>
      <c r="J197" s="281" t="s">
        <v>3761</v>
      </c>
      <c r="K197" s="282">
        <v>43215</v>
      </c>
      <c r="L197" s="282">
        <v>45692</v>
      </c>
      <c r="M197" s="282">
        <v>45629</v>
      </c>
      <c r="N197" s="371">
        <v>289500000</v>
      </c>
      <c r="O197" s="444" t="s">
        <v>3866</v>
      </c>
      <c r="P197" s="397">
        <v>289500000</v>
      </c>
      <c r="Q197" s="397">
        <v>289500000</v>
      </c>
      <c r="R197" s="397"/>
      <c r="S197" s="398">
        <f t="shared" si="7"/>
        <v>289500000</v>
      </c>
      <c r="T197" s="353"/>
      <c r="U197" s="353">
        <f t="shared" si="8"/>
        <v>289500000</v>
      </c>
      <c r="V197" s="399"/>
      <c r="W197" s="399"/>
      <c r="X197" s="400" t="s">
        <v>492</v>
      </c>
      <c r="Y197" s="400"/>
      <c r="Z197" s="283"/>
    </row>
    <row r="198" spans="2:26" ht="19.5" hidden="1" customHeight="1">
      <c r="B198" s="29">
        <f t="shared" si="6"/>
        <v>188</v>
      </c>
      <c r="C198" s="30" t="s">
        <v>206</v>
      </c>
      <c r="D198" s="30" t="s">
        <v>225</v>
      </c>
      <c r="E198" s="234" t="s">
        <v>725</v>
      </c>
      <c r="F198" s="235" t="s">
        <v>1229</v>
      </c>
      <c r="G198" s="284" t="str">
        <f>IFERROR(VLOOKUP(E198,Assign!$C$2:$J$142,8,FALSE),)</f>
        <v>문선영</v>
      </c>
      <c r="H198" s="279" t="s">
        <v>6777</v>
      </c>
      <c r="I198" s="280" t="s">
        <v>5943</v>
      </c>
      <c r="J198" s="281" t="s">
        <v>3735</v>
      </c>
      <c r="K198" s="282">
        <v>45057</v>
      </c>
      <c r="L198" s="282">
        <v>59667</v>
      </c>
      <c r="M198" s="282">
        <v>45608</v>
      </c>
      <c r="N198" s="371">
        <v>288000000</v>
      </c>
      <c r="O198" s="444" t="s">
        <v>3866</v>
      </c>
      <c r="P198" s="397">
        <v>286719521</v>
      </c>
      <c r="Q198" s="397">
        <v>286719521</v>
      </c>
      <c r="R198" s="397"/>
      <c r="S198" s="398">
        <f t="shared" si="7"/>
        <v>286719521</v>
      </c>
      <c r="T198" s="353"/>
      <c r="U198" s="353">
        <f t="shared" si="8"/>
        <v>286719521</v>
      </c>
      <c r="V198" s="399"/>
      <c r="W198" s="399"/>
      <c r="X198" s="400" t="s">
        <v>492</v>
      </c>
      <c r="Y198" s="400"/>
      <c r="Z198" s="283"/>
    </row>
    <row r="199" spans="2:26" ht="19.5" hidden="1" customHeight="1">
      <c r="B199" s="29">
        <f t="shared" si="6"/>
        <v>189</v>
      </c>
      <c r="C199" s="30" t="s">
        <v>206</v>
      </c>
      <c r="D199" s="30" t="s">
        <v>225</v>
      </c>
      <c r="E199" s="234" t="s">
        <v>726</v>
      </c>
      <c r="F199" s="235" t="s">
        <v>1241</v>
      </c>
      <c r="G199" s="284">
        <f>IFERROR(VLOOKUP(E199,Assign!$C$2:$J$142,8,FALSE),)</f>
        <v>0</v>
      </c>
      <c r="H199" s="279" t="s">
        <v>6425</v>
      </c>
      <c r="I199" s="280" t="s">
        <v>5783</v>
      </c>
      <c r="J199" s="281" t="s">
        <v>3742</v>
      </c>
      <c r="K199" s="282">
        <v>41971</v>
      </c>
      <c r="L199" s="282">
        <v>52929</v>
      </c>
      <c r="M199" s="282">
        <v>45566</v>
      </c>
      <c r="N199" s="371">
        <v>364000000</v>
      </c>
      <c r="O199" s="444" t="s">
        <v>3866</v>
      </c>
      <c r="P199" s="397">
        <v>281318583</v>
      </c>
      <c r="Q199" s="397">
        <v>281318583</v>
      </c>
      <c r="R199" s="397"/>
      <c r="S199" s="398">
        <f t="shared" si="7"/>
        <v>281318583</v>
      </c>
      <c r="T199" s="353"/>
      <c r="U199" s="353">
        <f t="shared" si="8"/>
        <v>281318583</v>
      </c>
      <c r="V199" s="399"/>
      <c r="W199" s="399"/>
      <c r="X199" s="400" t="s">
        <v>492</v>
      </c>
      <c r="Y199" s="400"/>
      <c r="Z199" s="283"/>
    </row>
    <row r="200" spans="2:26" ht="19.5" hidden="1" customHeight="1">
      <c r="B200" s="29">
        <f t="shared" si="6"/>
        <v>190</v>
      </c>
      <c r="C200" s="30" t="s">
        <v>206</v>
      </c>
      <c r="D200" s="30" t="s">
        <v>225</v>
      </c>
      <c r="E200" s="234" t="s">
        <v>727</v>
      </c>
      <c r="F200" s="235" t="s">
        <v>1242</v>
      </c>
      <c r="G200" s="284">
        <f>IFERROR(VLOOKUP(E200,Assign!$C$2:$J$142,8,FALSE),)</f>
        <v>0</v>
      </c>
      <c r="H200" s="279" t="s">
        <v>7004</v>
      </c>
      <c r="I200" s="280" t="s">
        <v>6162</v>
      </c>
      <c r="J200" s="281" t="s">
        <v>3754</v>
      </c>
      <c r="K200" s="282">
        <v>45321</v>
      </c>
      <c r="L200" s="282">
        <v>46417</v>
      </c>
      <c r="M200" s="282">
        <v>45629</v>
      </c>
      <c r="N200" s="371">
        <v>280000000</v>
      </c>
      <c r="O200" s="444" t="s">
        <v>3866</v>
      </c>
      <c r="P200" s="397">
        <v>277930000</v>
      </c>
      <c r="Q200" s="397">
        <v>277930000</v>
      </c>
      <c r="R200" s="397"/>
      <c r="S200" s="398">
        <f t="shared" si="7"/>
        <v>277930000</v>
      </c>
      <c r="T200" s="353"/>
      <c r="U200" s="353">
        <f t="shared" si="8"/>
        <v>277930000</v>
      </c>
      <c r="V200" s="399"/>
      <c r="W200" s="399"/>
      <c r="X200" s="400" t="s">
        <v>492</v>
      </c>
      <c r="Y200" s="400"/>
      <c r="Z200" s="283"/>
    </row>
    <row r="201" spans="2:26" ht="19.5" hidden="1" customHeight="1">
      <c r="B201" s="29">
        <f t="shared" si="6"/>
        <v>191</v>
      </c>
      <c r="C201" s="30" t="s">
        <v>206</v>
      </c>
      <c r="D201" s="30" t="s">
        <v>225</v>
      </c>
      <c r="E201" s="234" t="s">
        <v>728</v>
      </c>
      <c r="F201" s="235" t="s">
        <v>1225</v>
      </c>
      <c r="G201" s="284" t="str">
        <f>IFERROR(VLOOKUP(E201,Assign!$C$2:$J$142,8,FALSE),)</f>
        <v>문선영</v>
      </c>
      <c r="H201" s="279" t="s">
        <v>7006</v>
      </c>
      <c r="I201" s="280" t="s">
        <v>6164</v>
      </c>
      <c r="J201" s="281" t="s">
        <v>3741</v>
      </c>
      <c r="K201" s="282">
        <v>44545</v>
      </c>
      <c r="L201" s="282">
        <v>59155</v>
      </c>
      <c r="M201" s="282">
        <v>45581</v>
      </c>
      <c r="N201" s="371">
        <v>280000000</v>
      </c>
      <c r="O201" s="444" t="s">
        <v>3866</v>
      </c>
      <c r="P201" s="397">
        <v>270882443</v>
      </c>
      <c r="Q201" s="397">
        <v>270882443</v>
      </c>
      <c r="R201" s="397"/>
      <c r="S201" s="398">
        <f t="shared" si="7"/>
        <v>270882443</v>
      </c>
      <c r="T201" s="353"/>
      <c r="U201" s="353">
        <f t="shared" si="8"/>
        <v>270882443</v>
      </c>
      <c r="V201" s="399"/>
      <c r="W201" s="399"/>
      <c r="X201" s="400" t="s">
        <v>492</v>
      </c>
      <c r="Y201" s="400"/>
      <c r="Z201" s="283"/>
    </row>
    <row r="202" spans="2:26" ht="19.5" hidden="1" customHeight="1">
      <c r="B202" s="29">
        <f t="shared" si="6"/>
        <v>192</v>
      </c>
      <c r="C202" s="30" t="s">
        <v>206</v>
      </c>
      <c r="D202" s="30" t="s">
        <v>225</v>
      </c>
      <c r="E202" s="234" t="s">
        <v>729</v>
      </c>
      <c r="F202" s="235" t="s">
        <v>1218</v>
      </c>
      <c r="G202" s="284">
        <f>IFERROR(VLOOKUP(E202,Assign!$C$2:$J$142,8,FALSE),)</f>
        <v>0</v>
      </c>
      <c r="H202" s="279" t="s">
        <v>6649</v>
      </c>
      <c r="I202" s="280" t="s">
        <v>5957</v>
      </c>
      <c r="J202" s="281" t="s">
        <v>3756</v>
      </c>
      <c r="K202" s="282">
        <v>42643</v>
      </c>
      <c r="L202" s="282">
        <v>53600</v>
      </c>
      <c r="M202" s="282">
        <v>45629</v>
      </c>
      <c r="N202" s="371">
        <v>350000000</v>
      </c>
      <c r="O202" s="444" t="s">
        <v>3866</v>
      </c>
      <c r="P202" s="397">
        <v>264511461</v>
      </c>
      <c r="Q202" s="397">
        <v>264511461</v>
      </c>
      <c r="R202" s="397"/>
      <c r="S202" s="398">
        <f t="shared" si="7"/>
        <v>264511461</v>
      </c>
      <c r="T202" s="353"/>
      <c r="U202" s="353">
        <f t="shared" si="8"/>
        <v>264511461</v>
      </c>
      <c r="V202" s="399"/>
      <c r="W202" s="399"/>
      <c r="X202" s="400" t="s">
        <v>492</v>
      </c>
      <c r="Y202" s="400"/>
      <c r="Z202" s="283"/>
    </row>
    <row r="203" spans="2:26" ht="19.5" hidden="1" customHeight="1">
      <c r="B203" s="29">
        <f t="shared" ref="B203:B266" si="9">ROW()-10</f>
        <v>193</v>
      </c>
      <c r="C203" s="30" t="s">
        <v>206</v>
      </c>
      <c r="D203" s="30" t="s">
        <v>225</v>
      </c>
      <c r="E203" s="234" t="s">
        <v>730</v>
      </c>
      <c r="F203" s="235" t="s">
        <v>611</v>
      </c>
      <c r="G203" s="284" t="str">
        <f>IFERROR(VLOOKUP(E203,Assign!$C$2:$J$142,8,FALSE),)</f>
        <v>문선영</v>
      </c>
      <c r="H203" s="279" t="s">
        <v>6786</v>
      </c>
      <c r="I203" s="280" t="s">
        <v>6045</v>
      </c>
      <c r="J203" s="281" t="s">
        <v>3735</v>
      </c>
      <c r="K203" s="282">
        <v>44519</v>
      </c>
      <c r="L203" s="282">
        <v>57303</v>
      </c>
      <c r="M203" s="282">
        <v>45616</v>
      </c>
      <c r="N203" s="371">
        <v>270000000</v>
      </c>
      <c r="O203" s="444" t="s">
        <v>3866</v>
      </c>
      <c r="P203" s="397">
        <v>258806984</v>
      </c>
      <c r="Q203" s="397">
        <v>258806984</v>
      </c>
      <c r="R203" s="397"/>
      <c r="S203" s="398">
        <f t="shared" ref="S203:S266" si="10">Q203+R203</f>
        <v>258806984</v>
      </c>
      <c r="T203" s="353"/>
      <c r="U203" s="353">
        <f t="shared" ref="U203:U266" si="11">S203+T203</f>
        <v>258806984</v>
      </c>
      <c r="V203" s="399"/>
      <c r="W203" s="399"/>
      <c r="X203" s="400" t="s">
        <v>492</v>
      </c>
      <c r="Y203" s="400"/>
      <c r="Z203" s="283"/>
    </row>
    <row r="204" spans="2:26" ht="19.5" hidden="1" customHeight="1">
      <c r="B204" s="29">
        <f t="shared" si="9"/>
        <v>194</v>
      </c>
      <c r="C204" s="30" t="s">
        <v>206</v>
      </c>
      <c r="D204" s="30" t="s">
        <v>225</v>
      </c>
      <c r="E204" s="234" t="s">
        <v>731</v>
      </c>
      <c r="F204" s="235" t="s">
        <v>1229</v>
      </c>
      <c r="G204" s="284">
        <f>IFERROR(VLOOKUP(E204,Assign!$C$2:$J$142,8,FALSE),)</f>
        <v>0</v>
      </c>
      <c r="H204" s="279" t="s">
        <v>6598</v>
      </c>
      <c r="I204" s="280" t="s">
        <v>5918</v>
      </c>
      <c r="J204" s="281" t="s">
        <v>3754</v>
      </c>
      <c r="K204" s="282">
        <v>43986</v>
      </c>
      <c r="L204" s="282">
        <v>45812</v>
      </c>
      <c r="M204" s="282">
        <v>45601</v>
      </c>
      <c r="N204" s="371">
        <v>254560000</v>
      </c>
      <c r="O204" s="444" t="s">
        <v>3866</v>
      </c>
      <c r="P204" s="397">
        <v>252440000</v>
      </c>
      <c r="Q204" s="397">
        <v>252440000</v>
      </c>
      <c r="R204" s="397"/>
      <c r="S204" s="398">
        <f t="shared" si="10"/>
        <v>252440000</v>
      </c>
      <c r="T204" s="353"/>
      <c r="U204" s="353">
        <f t="shared" si="11"/>
        <v>252440000</v>
      </c>
      <c r="V204" s="399"/>
      <c r="W204" s="399"/>
      <c r="X204" s="400" t="s">
        <v>492</v>
      </c>
      <c r="Y204" s="400"/>
      <c r="Z204" s="283"/>
    </row>
    <row r="205" spans="2:26" ht="19.5" hidden="1" customHeight="1">
      <c r="B205" s="29">
        <f t="shared" si="9"/>
        <v>195</v>
      </c>
      <c r="C205" s="30" t="s">
        <v>206</v>
      </c>
      <c r="D205" s="30" t="s">
        <v>225</v>
      </c>
      <c r="E205" s="234" t="s">
        <v>732</v>
      </c>
      <c r="F205" s="235" t="s">
        <v>1315</v>
      </c>
      <c r="G205" s="284">
        <f>IFERROR(VLOOKUP(E205,Assign!$C$2:$J$142,8,FALSE),)</f>
        <v>0</v>
      </c>
      <c r="H205" s="279" t="s">
        <v>7028</v>
      </c>
      <c r="I205" s="280" t="s">
        <v>6173</v>
      </c>
      <c r="J205" s="281" t="s">
        <v>3734</v>
      </c>
      <c r="K205" s="282">
        <v>45296</v>
      </c>
      <c r="L205" s="282">
        <v>45721</v>
      </c>
      <c r="M205" s="282">
        <v>45664</v>
      </c>
      <c r="N205" s="371">
        <v>249512568</v>
      </c>
      <c r="O205" s="444" t="s">
        <v>3866</v>
      </c>
      <c r="P205" s="397">
        <v>249512568</v>
      </c>
      <c r="Q205" s="397">
        <v>249512568</v>
      </c>
      <c r="R205" s="397"/>
      <c r="S205" s="398">
        <f t="shared" si="10"/>
        <v>249512568</v>
      </c>
      <c r="T205" s="353"/>
      <c r="U205" s="353">
        <f t="shared" si="11"/>
        <v>249512568</v>
      </c>
      <c r="V205" s="399"/>
      <c r="W205" s="399"/>
      <c r="X205" s="400" t="s">
        <v>492</v>
      </c>
      <c r="Y205" s="400"/>
      <c r="Z205" s="283"/>
    </row>
    <row r="206" spans="2:26" ht="19.5" hidden="1" customHeight="1">
      <c r="B206" s="29">
        <f t="shared" si="9"/>
        <v>196</v>
      </c>
      <c r="C206" s="30" t="s">
        <v>206</v>
      </c>
      <c r="D206" s="30" t="s">
        <v>225</v>
      </c>
      <c r="E206" s="234" t="s">
        <v>733</v>
      </c>
      <c r="F206" s="235" t="s">
        <v>1238</v>
      </c>
      <c r="G206" s="284">
        <f>IFERROR(VLOOKUP(E206,Assign!$C$2:$J$142,8,FALSE),)</f>
        <v>0</v>
      </c>
      <c r="H206" s="279" t="s">
        <v>7089</v>
      </c>
      <c r="I206" s="280" t="s">
        <v>6201</v>
      </c>
      <c r="J206" s="281" t="s">
        <v>3756</v>
      </c>
      <c r="K206" s="282">
        <v>44684</v>
      </c>
      <c r="L206" s="282">
        <v>57468</v>
      </c>
      <c r="M206" s="282">
        <v>45601</v>
      </c>
      <c r="N206" s="371">
        <v>259000000</v>
      </c>
      <c r="O206" s="444" t="s">
        <v>3866</v>
      </c>
      <c r="P206" s="397">
        <v>247931212</v>
      </c>
      <c r="Q206" s="397">
        <v>247931212</v>
      </c>
      <c r="R206" s="397"/>
      <c r="S206" s="398">
        <f t="shared" si="10"/>
        <v>247931212</v>
      </c>
      <c r="T206" s="353"/>
      <c r="U206" s="353">
        <f t="shared" si="11"/>
        <v>247931212</v>
      </c>
      <c r="V206" s="399"/>
      <c r="W206" s="399"/>
      <c r="X206" s="400" t="s">
        <v>492</v>
      </c>
      <c r="Y206" s="400"/>
      <c r="Z206" s="283"/>
    </row>
    <row r="207" spans="2:26" ht="19.5" hidden="1" customHeight="1">
      <c r="B207" s="29">
        <f t="shared" si="9"/>
        <v>197</v>
      </c>
      <c r="C207" s="30" t="s">
        <v>206</v>
      </c>
      <c r="D207" s="30" t="s">
        <v>225</v>
      </c>
      <c r="E207" s="234" t="s">
        <v>734</v>
      </c>
      <c r="F207" s="235" t="s">
        <v>1316</v>
      </c>
      <c r="G207" s="284">
        <f>IFERROR(VLOOKUP(E207,Assign!$C$2:$J$142,8,FALSE),)</f>
        <v>0</v>
      </c>
      <c r="H207" s="279" t="s">
        <v>7025</v>
      </c>
      <c r="I207" s="280" t="s">
        <v>6173</v>
      </c>
      <c r="J207" s="281" t="s">
        <v>3817</v>
      </c>
      <c r="K207" s="282">
        <v>44616</v>
      </c>
      <c r="L207" s="282">
        <v>47472</v>
      </c>
      <c r="M207" s="282">
        <v>45475</v>
      </c>
      <c r="N207" s="371">
        <v>245600000</v>
      </c>
      <c r="O207" s="444" t="s">
        <v>3866</v>
      </c>
      <c r="P207" s="397">
        <v>245600000</v>
      </c>
      <c r="Q207" s="397">
        <v>245600000</v>
      </c>
      <c r="R207" s="397"/>
      <c r="S207" s="398">
        <f t="shared" si="10"/>
        <v>245600000</v>
      </c>
      <c r="T207" s="353"/>
      <c r="U207" s="353">
        <f t="shared" si="11"/>
        <v>245600000</v>
      </c>
      <c r="V207" s="399"/>
      <c r="W207" s="399"/>
      <c r="X207" s="400" t="s">
        <v>492</v>
      </c>
      <c r="Y207" s="400"/>
      <c r="Z207" s="283"/>
    </row>
    <row r="208" spans="2:26" ht="19.5" hidden="1" customHeight="1">
      <c r="B208" s="29">
        <f t="shared" si="9"/>
        <v>198</v>
      </c>
      <c r="C208" s="30" t="s">
        <v>206</v>
      </c>
      <c r="D208" s="30" t="s">
        <v>225</v>
      </c>
      <c r="E208" s="234" t="s">
        <v>735</v>
      </c>
      <c r="F208" s="235" t="s">
        <v>1243</v>
      </c>
      <c r="G208" s="284">
        <f>IFERROR(VLOOKUP(E208,Assign!$C$2:$J$142,8,FALSE),)</f>
        <v>0</v>
      </c>
      <c r="H208" s="279" t="s">
        <v>7080</v>
      </c>
      <c r="I208" s="280" t="s">
        <v>6196</v>
      </c>
      <c r="J208" s="281" t="s">
        <v>3733</v>
      </c>
      <c r="K208" s="282">
        <v>44524</v>
      </c>
      <c r="L208" s="282">
        <v>45740</v>
      </c>
      <c r="M208" s="282">
        <v>45716</v>
      </c>
      <c r="N208" s="371">
        <v>240000000</v>
      </c>
      <c r="O208" s="444" t="s">
        <v>3866</v>
      </c>
      <c r="P208" s="397">
        <v>240000000</v>
      </c>
      <c r="Q208" s="397">
        <v>240000000</v>
      </c>
      <c r="R208" s="397"/>
      <c r="S208" s="398">
        <f t="shared" si="10"/>
        <v>240000000</v>
      </c>
      <c r="T208" s="353"/>
      <c r="U208" s="353">
        <f t="shared" si="11"/>
        <v>240000000</v>
      </c>
      <c r="V208" s="399"/>
      <c r="W208" s="399"/>
      <c r="X208" s="400" t="s">
        <v>492</v>
      </c>
      <c r="Y208" s="400"/>
      <c r="Z208" s="283"/>
    </row>
    <row r="209" spans="2:26" ht="19.5" hidden="1" customHeight="1">
      <c r="B209" s="29">
        <f t="shared" si="9"/>
        <v>199</v>
      </c>
      <c r="C209" s="30" t="s">
        <v>206</v>
      </c>
      <c r="D209" s="30" t="s">
        <v>225</v>
      </c>
      <c r="E209" s="234" t="s">
        <v>736</v>
      </c>
      <c r="F209" s="235" t="s">
        <v>1235</v>
      </c>
      <c r="G209" s="284">
        <f>IFERROR(VLOOKUP(E209,Assign!$C$2:$J$142,8,FALSE),)</f>
        <v>0</v>
      </c>
      <c r="H209" s="279" t="s">
        <v>6403</v>
      </c>
      <c r="I209" s="280" t="s">
        <v>5766</v>
      </c>
      <c r="J209" s="281" t="s">
        <v>3735</v>
      </c>
      <c r="K209" s="282">
        <v>44295</v>
      </c>
      <c r="L209" s="282">
        <v>55252</v>
      </c>
      <c r="M209" s="282">
        <v>45545</v>
      </c>
      <c r="N209" s="371">
        <v>244000000</v>
      </c>
      <c r="O209" s="444" t="s">
        <v>3866</v>
      </c>
      <c r="P209" s="397">
        <v>228727370</v>
      </c>
      <c r="Q209" s="397">
        <v>228727370</v>
      </c>
      <c r="R209" s="397"/>
      <c r="S209" s="398">
        <f t="shared" si="10"/>
        <v>228727370</v>
      </c>
      <c r="T209" s="353"/>
      <c r="U209" s="353">
        <f t="shared" si="11"/>
        <v>228727370</v>
      </c>
      <c r="V209" s="399"/>
      <c r="W209" s="399"/>
      <c r="X209" s="400" t="s">
        <v>492</v>
      </c>
      <c r="Y209" s="400"/>
      <c r="Z209" s="283"/>
    </row>
    <row r="210" spans="2:26" ht="19.5" hidden="1" customHeight="1">
      <c r="B210" s="29">
        <f t="shared" si="9"/>
        <v>200</v>
      </c>
      <c r="C210" s="30" t="s">
        <v>206</v>
      </c>
      <c r="D210" s="30" t="s">
        <v>225</v>
      </c>
      <c r="E210" s="234" t="s">
        <v>737</v>
      </c>
      <c r="F210" s="235" t="s">
        <v>1245</v>
      </c>
      <c r="G210" s="284" t="str">
        <f>IFERROR(VLOOKUP(E210,Assign!$C$2:$J$142,8,FALSE),)</f>
        <v>문선영</v>
      </c>
      <c r="H210" s="279" t="s">
        <v>7066</v>
      </c>
      <c r="I210" s="280" t="s">
        <v>6190</v>
      </c>
      <c r="J210" s="281" t="s">
        <v>3733</v>
      </c>
      <c r="K210" s="282">
        <v>44344</v>
      </c>
      <c r="L210" s="282">
        <v>45805</v>
      </c>
      <c r="M210" s="282">
        <v>45689</v>
      </c>
      <c r="N210" s="371">
        <v>228000000</v>
      </c>
      <c r="O210" s="444" t="s">
        <v>3866</v>
      </c>
      <c r="P210" s="397">
        <v>228000000</v>
      </c>
      <c r="Q210" s="397">
        <v>228000000</v>
      </c>
      <c r="R210" s="397"/>
      <c r="S210" s="398">
        <f t="shared" si="10"/>
        <v>228000000</v>
      </c>
      <c r="T210" s="353"/>
      <c r="U210" s="353">
        <f t="shared" si="11"/>
        <v>228000000</v>
      </c>
      <c r="V210" s="399"/>
      <c r="W210" s="399"/>
      <c r="X210" s="400" t="s">
        <v>492</v>
      </c>
      <c r="Y210" s="400"/>
      <c r="Z210" s="283"/>
    </row>
    <row r="211" spans="2:26" ht="19.5" hidden="1" customHeight="1">
      <c r="B211" s="29">
        <f t="shared" si="9"/>
        <v>201</v>
      </c>
      <c r="C211" s="30" t="s">
        <v>206</v>
      </c>
      <c r="D211" s="30" t="s">
        <v>225</v>
      </c>
      <c r="E211" s="234" t="s">
        <v>738</v>
      </c>
      <c r="F211" s="235" t="s">
        <v>1226</v>
      </c>
      <c r="G211" s="284">
        <f>IFERROR(VLOOKUP(E211,Assign!$C$2:$J$142,8,FALSE),)</f>
        <v>0</v>
      </c>
      <c r="H211" s="279" t="s">
        <v>6632</v>
      </c>
      <c r="I211" s="280" t="s">
        <v>5943</v>
      </c>
      <c r="J211" s="281" t="s">
        <v>3735</v>
      </c>
      <c r="K211" s="282">
        <v>45219</v>
      </c>
      <c r="L211" s="282">
        <v>59829</v>
      </c>
      <c r="M211" s="282">
        <v>45556</v>
      </c>
      <c r="N211" s="371">
        <v>227000000</v>
      </c>
      <c r="O211" s="444" t="s">
        <v>3866</v>
      </c>
      <c r="P211" s="397">
        <v>222270520</v>
      </c>
      <c r="Q211" s="397">
        <v>222270520</v>
      </c>
      <c r="R211" s="397"/>
      <c r="S211" s="398">
        <f t="shared" si="10"/>
        <v>222270520</v>
      </c>
      <c r="T211" s="353"/>
      <c r="U211" s="353">
        <f t="shared" si="11"/>
        <v>222270520</v>
      </c>
      <c r="V211" s="399"/>
      <c r="W211" s="399"/>
      <c r="X211" s="400" t="s">
        <v>492</v>
      </c>
      <c r="Y211" s="400"/>
      <c r="Z211" s="283"/>
    </row>
    <row r="212" spans="2:26" ht="19.5" hidden="1" customHeight="1">
      <c r="B212" s="29">
        <f t="shared" si="9"/>
        <v>202</v>
      </c>
      <c r="C212" s="30" t="s">
        <v>206</v>
      </c>
      <c r="D212" s="30" t="s">
        <v>225</v>
      </c>
      <c r="E212" s="234" t="s">
        <v>739</v>
      </c>
      <c r="F212" s="235" t="s">
        <v>1246</v>
      </c>
      <c r="G212" s="284">
        <f>IFERROR(VLOOKUP(E212,Assign!$C$2:$J$142,8,FALSE),)</f>
        <v>0</v>
      </c>
      <c r="H212" s="279" t="s">
        <v>6652</v>
      </c>
      <c r="I212" s="280" t="s">
        <v>5959</v>
      </c>
      <c r="J212" s="281" t="s">
        <v>3735</v>
      </c>
      <c r="K212" s="282">
        <v>44620</v>
      </c>
      <c r="L212" s="282">
        <v>55577</v>
      </c>
      <c r="M212" s="282">
        <v>45594</v>
      </c>
      <c r="N212" s="371">
        <v>150000000</v>
      </c>
      <c r="O212" s="444" t="s">
        <v>3866</v>
      </c>
      <c r="P212" s="397">
        <v>137083114</v>
      </c>
      <c r="Q212" s="397">
        <v>137083114</v>
      </c>
      <c r="R212" s="397"/>
      <c r="S212" s="398">
        <f t="shared" si="10"/>
        <v>137083114</v>
      </c>
      <c r="T212" s="353"/>
      <c r="U212" s="353">
        <f t="shared" si="11"/>
        <v>137083114</v>
      </c>
      <c r="V212" s="399"/>
      <c r="W212" s="399"/>
      <c r="X212" s="400" t="s">
        <v>492</v>
      </c>
      <c r="Y212" s="400"/>
      <c r="Z212" s="283"/>
    </row>
    <row r="213" spans="2:26" ht="19.5" hidden="1" customHeight="1">
      <c r="B213" s="29">
        <f t="shared" si="9"/>
        <v>203</v>
      </c>
      <c r="C213" s="30" t="s">
        <v>206</v>
      </c>
      <c r="D213" s="30" t="s">
        <v>225</v>
      </c>
      <c r="E213" s="234" t="s">
        <v>739</v>
      </c>
      <c r="F213" s="235" t="s">
        <v>1246</v>
      </c>
      <c r="G213" s="284">
        <f>IFERROR(VLOOKUP(E213,Assign!$C$2:$J$142,8,FALSE),)</f>
        <v>0</v>
      </c>
      <c r="H213" s="279" t="s">
        <v>6653</v>
      </c>
      <c r="I213" s="280" t="s">
        <v>5960</v>
      </c>
      <c r="J213" s="281" t="s">
        <v>3746</v>
      </c>
      <c r="K213" s="282">
        <v>45043</v>
      </c>
      <c r="L213" s="282">
        <v>59653</v>
      </c>
      <c r="M213" s="282">
        <v>45594</v>
      </c>
      <c r="N213" s="371">
        <v>86000000</v>
      </c>
      <c r="O213" s="444" t="s">
        <v>3866</v>
      </c>
      <c r="P213" s="397">
        <v>84936516</v>
      </c>
      <c r="Q213" s="397">
        <v>84936516</v>
      </c>
      <c r="R213" s="397"/>
      <c r="S213" s="398">
        <f t="shared" si="10"/>
        <v>84936516</v>
      </c>
      <c r="T213" s="353"/>
      <c r="U213" s="353">
        <f t="shared" si="11"/>
        <v>84936516</v>
      </c>
      <c r="V213" s="399"/>
      <c r="W213" s="399"/>
      <c r="X213" s="400" t="s">
        <v>492</v>
      </c>
      <c r="Y213" s="400"/>
      <c r="Z213" s="283"/>
    </row>
    <row r="214" spans="2:26" ht="19.5" hidden="1" customHeight="1">
      <c r="B214" s="29">
        <f t="shared" si="9"/>
        <v>204</v>
      </c>
      <c r="C214" s="30" t="s">
        <v>206</v>
      </c>
      <c r="D214" s="30" t="s">
        <v>225</v>
      </c>
      <c r="E214" s="234" t="s">
        <v>740</v>
      </c>
      <c r="F214" s="235" t="s">
        <v>1217</v>
      </c>
      <c r="G214" s="284">
        <f>IFERROR(VLOOKUP(E214,Assign!$C$2:$J$142,8,FALSE),)</f>
        <v>0</v>
      </c>
      <c r="H214" s="279" t="s">
        <v>6793</v>
      </c>
      <c r="I214" s="280" t="s">
        <v>5623</v>
      </c>
      <c r="J214" s="281" t="s">
        <v>3737</v>
      </c>
      <c r="K214" s="282">
        <v>44575</v>
      </c>
      <c r="L214" s="282">
        <v>55532</v>
      </c>
      <c r="M214" s="282">
        <v>45611</v>
      </c>
      <c r="N214" s="371">
        <v>240000000</v>
      </c>
      <c r="O214" s="444" t="s">
        <v>3866</v>
      </c>
      <c r="P214" s="397">
        <v>217999782</v>
      </c>
      <c r="Q214" s="397">
        <v>217999782</v>
      </c>
      <c r="R214" s="397"/>
      <c r="S214" s="398">
        <f t="shared" si="10"/>
        <v>217999782</v>
      </c>
      <c r="T214" s="353"/>
      <c r="U214" s="353">
        <f t="shared" si="11"/>
        <v>217999782</v>
      </c>
      <c r="V214" s="399"/>
      <c r="W214" s="399"/>
      <c r="X214" s="400" t="s">
        <v>492</v>
      </c>
      <c r="Y214" s="400"/>
      <c r="Z214" s="283"/>
    </row>
    <row r="215" spans="2:26" ht="19.5" hidden="1" customHeight="1">
      <c r="B215" s="29">
        <f t="shared" si="9"/>
        <v>205</v>
      </c>
      <c r="C215" s="30" t="s">
        <v>206</v>
      </c>
      <c r="D215" s="30" t="s">
        <v>225</v>
      </c>
      <c r="E215" s="234" t="s">
        <v>741</v>
      </c>
      <c r="F215" s="235" t="s">
        <v>1218</v>
      </c>
      <c r="G215" s="284" t="str">
        <f>IFERROR(VLOOKUP(E215,Assign!$C$2:$J$142,8,FALSE),)</f>
        <v>문선영</v>
      </c>
      <c r="H215" s="279" t="s">
        <v>6732</v>
      </c>
      <c r="I215" s="280" t="s">
        <v>6012</v>
      </c>
      <c r="J215" s="281" t="s">
        <v>3735</v>
      </c>
      <c r="K215" s="282">
        <v>44743</v>
      </c>
      <c r="L215" s="282">
        <v>55701</v>
      </c>
      <c r="M215" s="282">
        <v>45568</v>
      </c>
      <c r="N215" s="371">
        <v>220000000</v>
      </c>
      <c r="O215" s="444" t="s">
        <v>3866</v>
      </c>
      <c r="P215" s="397">
        <v>212474941</v>
      </c>
      <c r="Q215" s="397">
        <v>212474941</v>
      </c>
      <c r="R215" s="397"/>
      <c r="S215" s="398">
        <f t="shared" si="10"/>
        <v>212474941</v>
      </c>
      <c r="T215" s="353"/>
      <c r="U215" s="353">
        <f t="shared" si="11"/>
        <v>212474941</v>
      </c>
      <c r="V215" s="399"/>
      <c r="W215" s="399"/>
      <c r="X215" s="400" t="s">
        <v>492</v>
      </c>
      <c r="Y215" s="400"/>
      <c r="Z215" s="283"/>
    </row>
    <row r="216" spans="2:26" ht="19.5" hidden="1" customHeight="1">
      <c r="B216" s="29">
        <f t="shared" si="9"/>
        <v>206</v>
      </c>
      <c r="C216" s="30" t="s">
        <v>206</v>
      </c>
      <c r="D216" s="30" t="s">
        <v>225</v>
      </c>
      <c r="E216" s="234" t="s">
        <v>742</v>
      </c>
      <c r="F216" s="235" t="s">
        <v>1225</v>
      </c>
      <c r="G216" s="284">
        <f>IFERROR(VLOOKUP(E216,Assign!$C$2:$J$142,8,FALSE),)</f>
        <v>0</v>
      </c>
      <c r="H216" s="279" t="s">
        <v>6741</v>
      </c>
      <c r="I216" s="280" t="s">
        <v>6018</v>
      </c>
      <c r="J216" s="281" t="s">
        <v>3736</v>
      </c>
      <c r="K216" s="282">
        <v>44260</v>
      </c>
      <c r="L216" s="282">
        <v>45721</v>
      </c>
      <c r="M216" s="282">
        <v>45510</v>
      </c>
      <c r="N216" s="371">
        <v>50000000</v>
      </c>
      <c r="O216" s="444" t="s">
        <v>3866</v>
      </c>
      <c r="P216" s="397">
        <v>50000000</v>
      </c>
      <c r="Q216" s="397">
        <v>50000000</v>
      </c>
      <c r="R216" s="397"/>
      <c r="S216" s="398">
        <f t="shared" si="10"/>
        <v>50000000</v>
      </c>
      <c r="T216" s="353"/>
      <c r="U216" s="353">
        <f t="shared" si="11"/>
        <v>50000000</v>
      </c>
      <c r="V216" s="399"/>
      <c r="W216" s="399"/>
      <c r="X216" s="400" t="s">
        <v>492</v>
      </c>
      <c r="Y216" s="400"/>
      <c r="Z216" s="283"/>
    </row>
    <row r="217" spans="2:26" ht="19.5" hidden="1" customHeight="1">
      <c r="B217" s="29">
        <f t="shared" si="9"/>
        <v>207</v>
      </c>
      <c r="C217" s="30" t="s">
        <v>206</v>
      </c>
      <c r="D217" s="30" t="s">
        <v>225</v>
      </c>
      <c r="E217" s="234" t="s">
        <v>742</v>
      </c>
      <c r="F217" s="235" t="s">
        <v>1225</v>
      </c>
      <c r="G217" s="284">
        <f>IFERROR(VLOOKUP(E217,Assign!$C$2:$J$142,8,FALSE),)</f>
        <v>0</v>
      </c>
      <c r="H217" s="279" t="s">
        <v>6742</v>
      </c>
      <c r="I217" s="280" t="s">
        <v>5839</v>
      </c>
      <c r="J217" s="281" t="s">
        <v>3737</v>
      </c>
      <c r="K217" s="282">
        <v>44260</v>
      </c>
      <c r="L217" s="282">
        <v>57044</v>
      </c>
      <c r="M217" s="282">
        <v>45510</v>
      </c>
      <c r="N217" s="371">
        <v>68000000</v>
      </c>
      <c r="O217" s="444" t="s">
        <v>3866</v>
      </c>
      <c r="P217" s="397">
        <v>61523520</v>
      </c>
      <c r="Q217" s="397">
        <v>61523520</v>
      </c>
      <c r="R217" s="397"/>
      <c r="S217" s="398">
        <f t="shared" si="10"/>
        <v>61523520</v>
      </c>
      <c r="T217" s="353"/>
      <c r="U217" s="353">
        <f t="shared" si="11"/>
        <v>61523520</v>
      </c>
      <c r="V217" s="399"/>
      <c r="W217" s="399"/>
      <c r="X217" s="400" t="s">
        <v>492</v>
      </c>
      <c r="Y217" s="400"/>
      <c r="Z217" s="283"/>
    </row>
    <row r="218" spans="2:26" ht="19.5" hidden="1" customHeight="1">
      <c r="B218" s="29">
        <f t="shared" si="9"/>
        <v>208</v>
      </c>
      <c r="C218" s="30" t="s">
        <v>206</v>
      </c>
      <c r="D218" s="30" t="s">
        <v>225</v>
      </c>
      <c r="E218" s="234" t="s">
        <v>742</v>
      </c>
      <c r="F218" s="235" t="s">
        <v>1225</v>
      </c>
      <c r="G218" s="284">
        <f>IFERROR(VLOOKUP(E218,Assign!$C$2:$J$142,8,FALSE),)</f>
        <v>0</v>
      </c>
      <c r="H218" s="279" t="s">
        <v>6743</v>
      </c>
      <c r="I218" s="280" t="s">
        <v>6019</v>
      </c>
      <c r="J218" s="281" t="s">
        <v>3734</v>
      </c>
      <c r="K218" s="282">
        <v>44260</v>
      </c>
      <c r="L218" s="282">
        <v>45721</v>
      </c>
      <c r="M218" s="282">
        <v>45510</v>
      </c>
      <c r="N218" s="371">
        <v>100000000</v>
      </c>
      <c r="O218" s="444" t="s">
        <v>3866</v>
      </c>
      <c r="P218" s="397">
        <v>100000000</v>
      </c>
      <c r="Q218" s="397">
        <v>100000000</v>
      </c>
      <c r="R218" s="397"/>
      <c r="S218" s="398">
        <f t="shared" si="10"/>
        <v>100000000</v>
      </c>
      <c r="T218" s="353"/>
      <c r="U218" s="353">
        <f t="shared" si="11"/>
        <v>100000000</v>
      </c>
      <c r="V218" s="399"/>
      <c r="W218" s="399"/>
      <c r="X218" s="400" t="s">
        <v>492</v>
      </c>
      <c r="Y218" s="400"/>
      <c r="Z218" s="283"/>
    </row>
    <row r="219" spans="2:26" ht="19.5" hidden="1" customHeight="1">
      <c r="B219" s="29">
        <f t="shared" si="9"/>
        <v>209</v>
      </c>
      <c r="C219" s="30" t="s">
        <v>206</v>
      </c>
      <c r="D219" s="30" t="s">
        <v>225</v>
      </c>
      <c r="E219" s="234" t="s">
        <v>743</v>
      </c>
      <c r="F219" s="235" t="s">
        <v>1229</v>
      </c>
      <c r="G219" s="284" t="str">
        <f>IFERROR(VLOOKUP(E219,Assign!$C$2:$J$142,8,FALSE),)</f>
        <v>문선영</v>
      </c>
      <c r="H219" s="279" t="s">
        <v>7007</v>
      </c>
      <c r="I219" s="280" t="s">
        <v>6051</v>
      </c>
      <c r="J219" s="281" t="s">
        <v>3756</v>
      </c>
      <c r="K219" s="282">
        <v>44606</v>
      </c>
      <c r="L219" s="282">
        <v>57390</v>
      </c>
      <c r="M219" s="282">
        <v>45672</v>
      </c>
      <c r="N219" s="371">
        <v>220000000</v>
      </c>
      <c r="O219" s="444" t="s">
        <v>3866</v>
      </c>
      <c r="P219" s="397">
        <v>207952816</v>
      </c>
      <c r="Q219" s="397">
        <v>207952816</v>
      </c>
      <c r="R219" s="397"/>
      <c r="S219" s="398">
        <f t="shared" si="10"/>
        <v>207952816</v>
      </c>
      <c r="T219" s="353"/>
      <c r="U219" s="353">
        <f t="shared" si="11"/>
        <v>207952816</v>
      </c>
      <c r="V219" s="399"/>
      <c r="W219" s="399"/>
      <c r="X219" s="400" t="s">
        <v>492</v>
      </c>
      <c r="Y219" s="400"/>
      <c r="Z219" s="283"/>
    </row>
    <row r="220" spans="2:26" ht="19.5" hidden="1" customHeight="1">
      <c r="B220" s="29">
        <f t="shared" si="9"/>
        <v>210</v>
      </c>
      <c r="C220" s="30" t="s">
        <v>206</v>
      </c>
      <c r="D220" s="30" t="s">
        <v>225</v>
      </c>
      <c r="E220" s="234" t="s">
        <v>744</v>
      </c>
      <c r="F220" s="235" t="s">
        <v>1225</v>
      </c>
      <c r="G220" s="284">
        <f>IFERROR(VLOOKUP(E220,Assign!$C$2:$J$142,8,FALSE),)</f>
        <v>0</v>
      </c>
      <c r="H220" s="279" t="s">
        <v>6358</v>
      </c>
      <c r="I220" s="280" t="s">
        <v>5728</v>
      </c>
      <c r="J220" s="281" t="s">
        <v>3735</v>
      </c>
      <c r="K220" s="282">
        <v>42993</v>
      </c>
      <c r="L220" s="282">
        <v>53950</v>
      </c>
      <c r="M220" s="282">
        <v>45576</v>
      </c>
      <c r="N220" s="371">
        <v>238000000</v>
      </c>
      <c r="O220" s="444" t="s">
        <v>3866</v>
      </c>
      <c r="P220" s="397">
        <v>204814575</v>
      </c>
      <c r="Q220" s="397">
        <v>204814575</v>
      </c>
      <c r="R220" s="397"/>
      <c r="S220" s="398">
        <f t="shared" si="10"/>
        <v>204814575</v>
      </c>
      <c r="T220" s="353"/>
      <c r="U220" s="353">
        <f t="shared" si="11"/>
        <v>204814575</v>
      </c>
      <c r="V220" s="399"/>
      <c r="W220" s="399"/>
      <c r="X220" s="400" t="s">
        <v>492</v>
      </c>
      <c r="Y220" s="400"/>
      <c r="Z220" s="283"/>
    </row>
    <row r="221" spans="2:26" ht="19.5" hidden="1" customHeight="1">
      <c r="B221" s="29">
        <f t="shared" si="9"/>
        <v>211</v>
      </c>
      <c r="C221" s="30" t="s">
        <v>206</v>
      </c>
      <c r="D221" s="30" t="s">
        <v>225</v>
      </c>
      <c r="E221" s="234" t="s">
        <v>745</v>
      </c>
      <c r="F221" s="235" t="s">
        <v>1225</v>
      </c>
      <c r="G221" s="284">
        <f>IFERROR(VLOOKUP(E221,Assign!$C$2:$J$142,8,FALSE),)</f>
        <v>0</v>
      </c>
      <c r="H221" s="279" t="s">
        <v>6733</v>
      </c>
      <c r="I221" s="280" t="s">
        <v>6013</v>
      </c>
      <c r="J221" s="281" t="s">
        <v>3751</v>
      </c>
      <c r="K221" s="282">
        <v>43460</v>
      </c>
      <c r="L221" s="282">
        <v>46017</v>
      </c>
      <c r="M221" s="282">
        <v>45653</v>
      </c>
      <c r="N221" s="371">
        <v>203000000</v>
      </c>
      <c r="O221" s="444" t="s">
        <v>3866</v>
      </c>
      <c r="P221" s="397">
        <v>203000000</v>
      </c>
      <c r="Q221" s="397">
        <v>203000000</v>
      </c>
      <c r="R221" s="397"/>
      <c r="S221" s="398">
        <f t="shared" si="10"/>
        <v>203000000</v>
      </c>
      <c r="T221" s="353"/>
      <c r="U221" s="353">
        <f t="shared" si="11"/>
        <v>203000000</v>
      </c>
      <c r="V221" s="399"/>
      <c r="W221" s="399"/>
      <c r="X221" s="400" t="s">
        <v>492</v>
      </c>
      <c r="Y221" s="400"/>
      <c r="Z221" s="283"/>
    </row>
    <row r="222" spans="2:26" ht="19.5" hidden="1" customHeight="1">
      <c r="B222" s="29">
        <f t="shared" si="9"/>
        <v>212</v>
      </c>
      <c r="C222" s="30" t="s">
        <v>206</v>
      </c>
      <c r="D222" s="30" t="s">
        <v>225</v>
      </c>
      <c r="E222" s="234" t="s">
        <v>746</v>
      </c>
      <c r="F222" s="235" t="s">
        <v>1247</v>
      </c>
      <c r="G222" s="284">
        <f>IFERROR(VLOOKUP(E222,Assign!$C$2:$J$142,8,FALSE),)</f>
        <v>0</v>
      </c>
      <c r="H222" s="279" t="s">
        <v>6955</v>
      </c>
      <c r="I222" s="280" t="s">
        <v>5692</v>
      </c>
      <c r="J222" s="281" t="s">
        <v>3733</v>
      </c>
      <c r="K222" s="282">
        <v>44186</v>
      </c>
      <c r="L222" s="282">
        <v>45647</v>
      </c>
      <c r="M222" s="282">
        <v>45632</v>
      </c>
      <c r="N222" s="371">
        <v>100000000</v>
      </c>
      <c r="O222" s="444" t="s">
        <v>3866</v>
      </c>
      <c r="P222" s="397">
        <v>100000000</v>
      </c>
      <c r="Q222" s="397">
        <v>100000000</v>
      </c>
      <c r="R222" s="397"/>
      <c r="S222" s="398">
        <f t="shared" si="10"/>
        <v>100000000</v>
      </c>
      <c r="T222" s="353"/>
      <c r="U222" s="353">
        <f t="shared" si="11"/>
        <v>100000000</v>
      </c>
      <c r="V222" s="399"/>
      <c r="W222" s="399"/>
      <c r="X222" s="400" t="s">
        <v>492</v>
      </c>
      <c r="Y222" s="400"/>
      <c r="Z222" s="283"/>
    </row>
    <row r="223" spans="2:26" ht="19.5" hidden="1" customHeight="1">
      <c r="B223" s="29">
        <f t="shared" si="9"/>
        <v>213</v>
      </c>
      <c r="C223" s="30" t="s">
        <v>206</v>
      </c>
      <c r="D223" s="30" t="s">
        <v>225</v>
      </c>
      <c r="E223" s="234" t="s">
        <v>746</v>
      </c>
      <c r="F223" s="235" t="s">
        <v>1247</v>
      </c>
      <c r="G223" s="284">
        <f>IFERROR(VLOOKUP(E223,Assign!$C$2:$J$142,8,FALSE),)</f>
        <v>0</v>
      </c>
      <c r="H223" s="279" t="s">
        <v>6956</v>
      </c>
      <c r="I223" s="280" t="s">
        <v>6123</v>
      </c>
      <c r="J223" s="281" t="s">
        <v>3733</v>
      </c>
      <c r="K223" s="282">
        <v>44186</v>
      </c>
      <c r="L223" s="282">
        <v>45647</v>
      </c>
      <c r="M223" s="282">
        <v>45618</v>
      </c>
      <c r="N223" s="371">
        <v>100000000</v>
      </c>
      <c r="O223" s="444" t="s">
        <v>3866</v>
      </c>
      <c r="P223" s="397">
        <v>100000000</v>
      </c>
      <c r="Q223" s="397">
        <v>100000000</v>
      </c>
      <c r="R223" s="397"/>
      <c r="S223" s="398">
        <f t="shared" si="10"/>
        <v>100000000</v>
      </c>
      <c r="T223" s="353"/>
      <c r="U223" s="353">
        <f t="shared" si="11"/>
        <v>100000000</v>
      </c>
      <c r="V223" s="399"/>
      <c r="W223" s="399"/>
      <c r="X223" s="400" t="s">
        <v>492</v>
      </c>
      <c r="Y223" s="400"/>
      <c r="Z223" s="283"/>
    </row>
    <row r="224" spans="2:26" ht="19.5" hidden="1" customHeight="1">
      <c r="B224" s="29">
        <f t="shared" si="9"/>
        <v>214</v>
      </c>
      <c r="C224" s="30" t="s">
        <v>206</v>
      </c>
      <c r="D224" s="30" t="s">
        <v>225</v>
      </c>
      <c r="E224" s="234" t="s">
        <v>747</v>
      </c>
      <c r="F224" s="235" t="s">
        <v>1217</v>
      </c>
      <c r="G224" s="284">
        <f>IFERROR(VLOOKUP(E224,Assign!$C$2:$J$142,8,FALSE),)</f>
        <v>0</v>
      </c>
      <c r="H224" s="279" t="s">
        <v>6658</v>
      </c>
      <c r="I224" s="280" t="s">
        <v>5964</v>
      </c>
      <c r="J224" s="281" t="s">
        <v>3746</v>
      </c>
      <c r="K224" s="282">
        <v>42580</v>
      </c>
      <c r="L224" s="282">
        <v>53537</v>
      </c>
      <c r="M224" s="282">
        <v>45626</v>
      </c>
      <c r="N224" s="371">
        <v>245000000</v>
      </c>
      <c r="O224" s="444" t="s">
        <v>3866</v>
      </c>
      <c r="P224" s="397">
        <v>198012168</v>
      </c>
      <c r="Q224" s="397">
        <v>198012168</v>
      </c>
      <c r="R224" s="397"/>
      <c r="S224" s="398">
        <f t="shared" si="10"/>
        <v>198012168</v>
      </c>
      <c r="T224" s="353"/>
      <c r="U224" s="353">
        <f t="shared" si="11"/>
        <v>198012168</v>
      </c>
      <c r="V224" s="399"/>
      <c r="W224" s="399"/>
      <c r="X224" s="400" t="s">
        <v>492</v>
      </c>
      <c r="Y224" s="400"/>
      <c r="Z224" s="283"/>
    </row>
    <row r="225" spans="2:26" ht="19.5" hidden="1" customHeight="1">
      <c r="B225" s="29">
        <f t="shared" si="9"/>
        <v>215</v>
      </c>
      <c r="C225" s="30" t="s">
        <v>206</v>
      </c>
      <c r="D225" s="30" t="s">
        <v>225</v>
      </c>
      <c r="E225" s="234" t="s">
        <v>748</v>
      </c>
      <c r="F225" s="235" t="s">
        <v>1226</v>
      </c>
      <c r="G225" s="284">
        <f>IFERROR(VLOOKUP(E225,Assign!$C$2:$J$142,8,FALSE),)</f>
        <v>0</v>
      </c>
      <c r="H225" s="279" t="s">
        <v>6448</v>
      </c>
      <c r="I225" s="280" t="s">
        <v>5797</v>
      </c>
      <c r="J225" s="281" t="s">
        <v>3735</v>
      </c>
      <c r="K225" s="282">
        <v>44084</v>
      </c>
      <c r="L225" s="282">
        <v>56867</v>
      </c>
      <c r="M225" s="282">
        <v>45484</v>
      </c>
      <c r="N225" s="371">
        <v>220000000</v>
      </c>
      <c r="O225" s="444" t="s">
        <v>3866</v>
      </c>
      <c r="P225" s="397">
        <v>196428375</v>
      </c>
      <c r="Q225" s="397">
        <v>196428375</v>
      </c>
      <c r="R225" s="397"/>
      <c r="S225" s="398">
        <f t="shared" si="10"/>
        <v>196428375</v>
      </c>
      <c r="T225" s="353"/>
      <c r="U225" s="353">
        <f t="shared" si="11"/>
        <v>196428375</v>
      </c>
      <c r="V225" s="399"/>
      <c r="W225" s="399"/>
      <c r="X225" s="400" t="s">
        <v>492</v>
      </c>
      <c r="Y225" s="400"/>
      <c r="Z225" s="283"/>
    </row>
    <row r="226" spans="2:26" ht="19.5" hidden="1" customHeight="1">
      <c r="B226" s="29">
        <f t="shared" si="9"/>
        <v>216</v>
      </c>
      <c r="C226" s="30" t="s">
        <v>206</v>
      </c>
      <c r="D226" s="30" t="s">
        <v>225</v>
      </c>
      <c r="E226" s="234" t="s">
        <v>749</v>
      </c>
      <c r="F226" s="235" t="s">
        <v>1225</v>
      </c>
      <c r="G226" s="284">
        <f>IFERROR(VLOOKUP(E226,Assign!$C$2:$J$142,8,FALSE),)</f>
        <v>0</v>
      </c>
      <c r="H226" s="279" t="s">
        <v>6593</v>
      </c>
      <c r="I226" s="280" t="s">
        <v>5915</v>
      </c>
      <c r="J226" s="281" t="s">
        <v>3734</v>
      </c>
      <c r="K226" s="282">
        <v>44265</v>
      </c>
      <c r="L226" s="282">
        <v>45890</v>
      </c>
      <c r="M226" s="282">
        <v>45689</v>
      </c>
      <c r="N226" s="371">
        <v>99000000</v>
      </c>
      <c r="O226" s="444" t="s">
        <v>3866</v>
      </c>
      <c r="P226" s="397">
        <v>99000000</v>
      </c>
      <c r="Q226" s="397">
        <v>99000000</v>
      </c>
      <c r="R226" s="397"/>
      <c r="S226" s="398">
        <f t="shared" si="10"/>
        <v>99000000</v>
      </c>
      <c r="T226" s="353"/>
      <c r="U226" s="353">
        <f t="shared" si="11"/>
        <v>99000000</v>
      </c>
      <c r="V226" s="399"/>
      <c r="W226" s="399"/>
      <c r="X226" s="400" t="s">
        <v>492</v>
      </c>
      <c r="Y226" s="400"/>
      <c r="Z226" s="283"/>
    </row>
    <row r="227" spans="2:26" ht="19.5" hidden="1" customHeight="1">
      <c r="B227" s="29">
        <f t="shared" si="9"/>
        <v>217</v>
      </c>
      <c r="C227" s="30" t="s">
        <v>206</v>
      </c>
      <c r="D227" s="30" t="s">
        <v>225</v>
      </c>
      <c r="E227" s="234" t="s">
        <v>749</v>
      </c>
      <c r="F227" s="235" t="s">
        <v>1225</v>
      </c>
      <c r="G227" s="284">
        <f>IFERROR(VLOOKUP(E227,Assign!$C$2:$J$142,8,FALSE),)</f>
        <v>0</v>
      </c>
      <c r="H227" s="279" t="s">
        <v>6594</v>
      </c>
      <c r="I227" s="280" t="s">
        <v>5916</v>
      </c>
      <c r="J227" s="281" t="s">
        <v>3734</v>
      </c>
      <c r="K227" s="282">
        <v>44398</v>
      </c>
      <c r="L227" s="282">
        <v>45890</v>
      </c>
      <c r="M227" s="282">
        <v>45689</v>
      </c>
      <c r="N227" s="371">
        <v>95000000</v>
      </c>
      <c r="O227" s="444" t="s">
        <v>3866</v>
      </c>
      <c r="P227" s="397">
        <v>95000000</v>
      </c>
      <c r="Q227" s="397">
        <v>95000000</v>
      </c>
      <c r="R227" s="397"/>
      <c r="S227" s="398">
        <f t="shared" si="10"/>
        <v>95000000</v>
      </c>
      <c r="T227" s="353"/>
      <c r="U227" s="353">
        <f t="shared" si="11"/>
        <v>95000000</v>
      </c>
      <c r="V227" s="399"/>
      <c r="W227" s="399"/>
      <c r="X227" s="400" t="s">
        <v>492</v>
      </c>
      <c r="Y227" s="400"/>
      <c r="Z227" s="283"/>
    </row>
    <row r="228" spans="2:26" ht="19.5" hidden="1" customHeight="1">
      <c r="B228" s="29">
        <f t="shared" si="9"/>
        <v>218</v>
      </c>
      <c r="C228" s="30" t="s">
        <v>206</v>
      </c>
      <c r="D228" s="30" t="s">
        <v>225</v>
      </c>
      <c r="E228" s="234" t="s">
        <v>750</v>
      </c>
      <c r="F228" s="235" t="s">
        <v>7155</v>
      </c>
      <c r="G228" s="284" t="str">
        <f>IFERROR(VLOOKUP(E228,Assign!$C$2:$J$142,8,FALSE),)</f>
        <v>문선영</v>
      </c>
      <c r="H228" s="279" t="s">
        <v>7117</v>
      </c>
      <c r="I228" s="280" t="s">
        <v>5844</v>
      </c>
      <c r="J228" s="281" t="s">
        <v>3746</v>
      </c>
      <c r="K228" s="282">
        <v>45196</v>
      </c>
      <c r="L228" s="282">
        <v>59806</v>
      </c>
      <c r="M228" s="282">
        <v>45594</v>
      </c>
      <c r="N228" s="371">
        <v>198000000</v>
      </c>
      <c r="O228" s="444" t="s">
        <v>3866</v>
      </c>
      <c r="P228" s="397">
        <v>193050000</v>
      </c>
      <c r="Q228" s="397">
        <v>193050000</v>
      </c>
      <c r="R228" s="397"/>
      <c r="S228" s="398">
        <f t="shared" si="10"/>
        <v>193050000</v>
      </c>
      <c r="T228" s="353"/>
      <c r="U228" s="353">
        <f t="shared" si="11"/>
        <v>193050000</v>
      </c>
      <c r="V228" s="399"/>
      <c r="W228" s="399"/>
      <c r="X228" s="400" t="s">
        <v>492</v>
      </c>
      <c r="Y228" s="400"/>
      <c r="Z228" s="283"/>
    </row>
    <row r="229" spans="2:26" ht="19.5" hidden="1" customHeight="1">
      <c r="B229" s="29">
        <f t="shared" si="9"/>
        <v>219</v>
      </c>
      <c r="C229" s="30" t="s">
        <v>206</v>
      </c>
      <c r="D229" s="30" t="s">
        <v>225</v>
      </c>
      <c r="E229" s="234" t="s">
        <v>751</v>
      </c>
      <c r="F229" s="235" t="s">
        <v>1231</v>
      </c>
      <c r="G229" s="284">
        <f>IFERROR(VLOOKUP(E229,Assign!$C$2:$J$142,8,FALSE),)</f>
        <v>0</v>
      </c>
      <c r="H229" s="279" t="s">
        <v>6499</v>
      </c>
      <c r="I229" s="280" t="s">
        <v>5835</v>
      </c>
      <c r="J229" s="281" t="s">
        <v>3735</v>
      </c>
      <c r="K229" s="282">
        <v>43424</v>
      </c>
      <c r="L229" s="282">
        <v>58034</v>
      </c>
      <c r="M229" s="282">
        <v>45617</v>
      </c>
      <c r="N229" s="371">
        <v>228000000</v>
      </c>
      <c r="O229" s="444" t="s">
        <v>3866</v>
      </c>
      <c r="P229" s="397">
        <v>190633460</v>
      </c>
      <c r="Q229" s="397">
        <v>190633460</v>
      </c>
      <c r="R229" s="397"/>
      <c r="S229" s="398">
        <f t="shared" si="10"/>
        <v>190633460</v>
      </c>
      <c r="T229" s="353"/>
      <c r="U229" s="353">
        <f t="shared" si="11"/>
        <v>190633460</v>
      </c>
      <c r="V229" s="399"/>
      <c r="W229" s="399"/>
      <c r="X229" s="400" t="s">
        <v>492</v>
      </c>
      <c r="Y229" s="400"/>
      <c r="Z229" s="283"/>
    </row>
    <row r="230" spans="2:26" ht="19.5" hidden="1" customHeight="1">
      <c r="B230" s="29">
        <f t="shared" si="9"/>
        <v>220</v>
      </c>
      <c r="C230" s="30" t="s">
        <v>206</v>
      </c>
      <c r="D230" s="30" t="s">
        <v>225</v>
      </c>
      <c r="E230" s="234" t="s">
        <v>752</v>
      </c>
      <c r="F230" s="235" t="s">
        <v>1217</v>
      </c>
      <c r="G230" s="284">
        <f>IFERROR(VLOOKUP(E230,Assign!$C$2:$J$142,8,FALSE),)</f>
        <v>0</v>
      </c>
      <c r="H230" s="279" t="s">
        <v>6283</v>
      </c>
      <c r="I230" s="280" t="s">
        <v>5660</v>
      </c>
      <c r="J230" s="281" t="s">
        <v>3737</v>
      </c>
      <c r="K230" s="282">
        <v>42047</v>
      </c>
      <c r="L230" s="282">
        <v>49352</v>
      </c>
      <c r="M230" s="282">
        <v>45639</v>
      </c>
      <c r="N230" s="371">
        <v>100000000</v>
      </c>
      <c r="O230" s="444" t="s">
        <v>3866</v>
      </c>
      <c r="P230" s="397">
        <v>68333265</v>
      </c>
      <c r="Q230" s="397">
        <v>68333265</v>
      </c>
      <c r="R230" s="397"/>
      <c r="S230" s="398">
        <f t="shared" si="10"/>
        <v>68333265</v>
      </c>
      <c r="T230" s="353"/>
      <c r="U230" s="353">
        <f t="shared" si="11"/>
        <v>68333265</v>
      </c>
      <c r="V230" s="399"/>
      <c r="W230" s="399"/>
      <c r="X230" s="400" t="s">
        <v>492</v>
      </c>
      <c r="Y230" s="400"/>
      <c r="Z230" s="283"/>
    </row>
    <row r="231" spans="2:26" ht="19.5" hidden="1" customHeight="1">
      <c r="B231" s="29">
        <f t="shared" si="9"/>
        <v>221</v>
      </c>
      <c r="C231" s="30" t="s">
        <v>206</v>
      </c>
      <c r="D231" s="30" t="s">
        <v>225</v>
      </c>
      <c r="E231" s="234" t="s">
        <v>752</v>
      </c>
      <c r="F231" s="235" t="s">
        <v>1217</v>
      </c>
      <c r="G231" s="284">
        <f>IFERROR(VLOOKUP(E231,Assign!$C$2:$J$142,8,FALSE),)</f>
        <v>0</v>
      </c>
      <c r="H231" s="279" t="s">
        <v>6284</v>
      </c>
      <c r="I231" s="280" t="s">
        <v>5609</v>
      </c>
      <c r="J231" s="281" t="s">
        <v>3755</v>
      </c>
      <c r="K231" s="282">
        <v>42545</v>
      </c>
      <c r="L231" s="282">
        <v>53502</v>
      </c>
      <c r="M231" s="282">
        <v>45651</v>
      </c>
      <c r="N231" s="371">
        <v>100000000</v>
      </c>
      <c r="O231" s="444" t="s">
        <v>3866</v>
      </c>
      <c r="P231" s="397">
        <v>86333247</v>
      </c>
      <c r="Q231" s="397">
        <v>86333247</v>
      </c>
      <c r="R231" s="397"/>
      <c r="S231" s="398">
        <f t="shared" si="10"/>
        <v>86333247</v>
      </c>
      <c r="T231" s="353"/>
      <c r="U231" s="353">
        <f t="shared" si="11"/>
        <v>86333247</v>
      </c>
      <c r="V231" s="399"/>
      <c r="W231" s="399"/>
      <c r="X231" s="400" t="s">
        <v>492</v>
      </c>
      <c r="Y231" s="400"/>
      <c r="Z231" s="283"/>
    </row>
    <row r="232" spans="2:26" ht="19.5" hidden="1" customHeight="1">
      <c r="B232" s="29">
        <f t="shared" si="9"/>
        <v>222</v>
      </c>
      <c r="C232" s="30" t="s">
        <v>206</v>
      </c>
      <c r="D232" s="30" t="s">
        <v>225</v>
      </c>
      <c r="E232" s="234" t="s">
        <v>752</v>
      </c>
      <c r="F232" s="235" t="s">
        <v>1217</v>
      </c>
      <c r="G232" s="284">
        <f>IFERROR(VLOOKUP(E232,Assign!$C$2:$J$142,8,FALSE),)</f>
        <v>0</v>
      </c>
      <c r="H232" s="279" t="s">
        <v>6285</v>
      </c>
      <c r="I232" s="280" t="s">
        <v>5661</v>
      </c>
      <c r="J232" s="281" t="s">
        <v>3737</v>
      </c>
      <c r="K232" s="282">
        <v>44375</v>
      </c>
      <c r="L232" s="282">
        <v>57159</v>
      </c>
      <c r="M232" s="282">
        <v>45657</v>
      </c>
      <c r="N232" s="371">
        <v>39900000</v>
      </c>
      <c r="O232" s="444" t="s">
        <v>3866</v>
      </c>
      <c r="P232" s="397">
        <v>36005000</v>
      </c>
      <c r="Q232" s="397">
        <v>36005000</v>
      </c>
      <c r="R232" s="397"/>
      <c r="S232" s="398">
        <f t="shared" si="10"/>
        <v>36005000</v>
      </c>
      <c r="T232" s="353"/>
      <c r="U232" s="353">
        <f t="shared" si="11"/>
        <v>36005000</v>
      </c>
      <c r="V232" s="399"/>
      <c r="W232" s="399"/>
      <c r="X232" s="400" t="s">
        <v>492</v>
      </c>
      <c r="Y232" s="400"/>
      <c r="Z232" s="283"/>
    </row>
    <row r="233" spans="2:26" ht="19.5" hidden="1" customHeight="1">
      <c r="B233" s="29">
        <f t="shared" si="9"/>
        <v>223</v>
      </c>
      <c r="C233" s="30" t="s">
        <v>206</v>
      </c>
      <c r="D233" s="30" t="s">
        <v>225</v>
      </c>
      <c r="E233" s="234" t="s">
        <v>753</v>
      </c>
      <c r="F233" s="235" t="s">
        <v>1221</v>
      </c>
      <c r="G233" s="284" t="str">
        <f>IFERROR(VLOOKUP(E233,Assign!$C$2:$J$142,8,FALSE),)</f>
        <v>문선영</v>
      </c>
      <c r="H233" s="279" t="s">
        <v>6294</v>
      </c>
      <c r="I233" s="280" t="s">
        <v>5670</v>
      </c>
      <c r="J233" s="281" t="s">
        <v>3735</v>
      </c>
      <c r="K233" s="282">
        <v>43922</v>
      </c>
      <c r="L233" s="282">
        <v>54879</v>
      </c>
      <c r="M233" s="282">
        <v>45475</v>
      </c>
      <c r="N233" s="371">
        <v>217000000</v>
      </c>
      <c r="O233" s="444" t="s">
        <v>3866</v>
      </c>
      <c r="P233" s="397">
        <v>186860870</v>
      </c>
      <c r="Q233" s="397">
        <v>186860870</v>
      </c>
      <c r="R233" s="397"/>
      <c r="S233" s="398">
        <f t="shared" si="10"/>
        <v>186860870</v>
      </c>
      <c r="T233" s="353"/>
      <c r="U233" s="353">
        <f t="shared" si="11"/>
        <v>186860870</v>
      </c>
      <c r="V233" s="399"/>
      <c r="W233" s="399"/>
      <c r="X233" s="400" t="s">
        <v>492</v>
      </c>
      <c r="Y233" s="400"/>
      <c r="Z233" s="283"/>
    </row>
    <row r="234" spans="2:26" ht="19.5" hidden="1" customHeight="1">
      <c r="B234" s="29">
        <f t="shared" si="9"/>
        <v>224</v>
      </c>
      <c r="C234" s="30" t="s">
        <v>206</v>
      </c>
      <c r="D234" s="30" t="s">
        <v>225</v>
      </c>
      <c r="E234" s="234" t="s">
        <v>754</v>
      </c>
      <c r="F234" s="235" t="s">
        <v>1229</v>
      </c>
      <c r="G234" s="284">
        <f>IFERROR(VLOOKUP(E234,Assign!$C$2:$J$142,8,FALSE),)</f>
        <v>0</v>
      </c>
      <c r="H234" s="279" t="s">
        <v>7003</v>
      </c>
      <c r="I234" s="280" t="s">
        <v>6161</v>
      </c>
      <c r="J234" s="281" t="s">
        <v>3735</v>
      </c>
      <c r="K234" s="282">
        <v>44125</v>
      </c>
      <c r="L234" s="282">
        <v>56908</v>
      </c>
      <c r="M234" s="282">
        <v>45252</v>
      </c>
      <c r="N234" s="371">
        <v>196000000</v>
      </c>
      <c r="O234" s="444" t="s">
        <v>3866</v>
      </c>
      <c r="P234" s="397">
        <v>186187778</v>
      </c>
      <c r="Q234" s="397">
        <v>186187778</v>
      </c>
      <c r="R234" s="397"/>
      <c r="S234" s="398">
        <f t="shared" si="10"/>
        <v>186187778</v>
      </c>
      <c r="T234" s="353"/>
      <c r="U234" s="353">
        <f t="shared" si="11"/>
        <v>186187778</v>
      </c>
      <c r="V234" s="399"/>
      <c r="W234" s="399"/>
      <c r="X234" s="400" t="s">
        <v>492</v>
      </c>
      <c r="Y234" s="400"/>
      <c r="Z234" s="283"/>
    </row>
    <row r="235" spans="2:26" ht="19.5" hidden="1" customHeight="1">
      <c r="B235" s="29">
        <f t="shared" si="9"/>
        <v>225</v>
      </c>
      <c r="C235" s="30" t="s">
        <v>206</v>
      </c>
      <c r="D235" s="30" t="s">
        <v>225</v>
      </c>
      <c r="E235" s="234" t="s">
        <v>755</v>
      </c>
      <c r="F235" s="235" t="s">
        <v>1226</v>
      </c>
      <c r="G235" s="284" t="str">
        <f>IFERROR(VLOOKUP(E235,Assign!$C$2:$J$142,8,FALSE),)</f>
        <v>문선영</v>
      </c>
      <c r="H235" s="279" t="s">
        <v>6390</v>
      </c>
      <c r="I235" s="280" t="s">
        <v>5676</v>
      </c>
      <c r="J235" s="281" t="s">
        <v>3735</v>
      </c>
      <c r="K235" s="282">
        <v>43551</v>
      </c>
      <c r="L235" s="282">
        <v>54509</v>
      </c>
      <c r="M235" s="282">
        <v>45563</v>
      </c>
      <c r="N235" s="371">
        <v>270000000</v>
      </c>
      <c r="O235" s="444" t="s">
        <v>3866</v>
      </c>
      <c r="P235" s="397">
        <v>150000000</v>
      </c>
      <c r="Q235" s="397">
        <v>150000000</v>
      </c>
      <c r="R235" s="397"/>
      <c r="S235" s="398">
        <f t="shared" si="10"/>
        <v>150000000</v>
      </c>
      <c r="T235" s="353"/>
      <c r="U235" s="353">
        <f t="shared" si="11"/>
        <v>150000000</v>
      </c>
      <c r="V235" s="399"/>
      <c r="W235" s="399"/>
      <c r="X235" s="400" t="s">
        <v>492</v>
      </c>
      <c r="Y235" s="400"/>
      <c r="Z235" s="283"/>
    </row>
    <row r="236" spans="2:26" ht="19.5" hidden="1" customHeight="1">
      <c r="B236" s="29">
        <f t="shared" si="9"/>
        <v>226</v>
      </c>
      <c r="C236" s="30" t="s">
        <v>206</v>
      </c>
      <c r="D236" s="30" t="s">
        <v>225</v>
      </c>
      <c r="E236" s="234" t="s">
        <v>755</v>
      </c>
      <c r="F236" s="235" t="s">
        <v>1226</v>
      </c>
      <c r="G236" s="284" t="str">
        <f>IFERROR(VLOOKUP(E236,Assign!$C$2:$J$142,8,FALSE),)</f>
        <v>문선영</v>
      </c>
      <c r="H236" s="279" t="s">
        <v>6391</v>
      </c>
      <c r="I236" s="280" t="s">
        <v>5754</v>
      </c>
      <c r="J236" s="281" t="s">
        <v>3756</v>
      </c>
      <c r="K236" s="282">
        <v>44165</v>
      </c>
      <c r="L236" s="282">
        <v>56948</v>
      </c>
      <c r="M236" s="282">
        <v>45566</v>
      </c>
      <c r="N236" s="371">
        <v>37000000</v>
      </c>
      <c r="O236" s="444" t="s">
        <v>3866</v>
      </c>
      <c r="P236" s="397">
        <v>33035625</v>
      </c>
      <c r="Q236" s="397">
        <v>33035625</v>
      </c>
      <c r="R236" s="397"/>
      <c r="S236" s="398">
        <f t="shared" si="10"/>
        <v>33035625</v>
      </c>
      <c r="T236" s="353"/>
      <c r="U236" s="353">
        <f t="shared" si="11"/>
        <v>33035625</v>
      </c>
      <c r="V236" s="399"/>
      <c r="W236" s="399"/>
      <c r="X236" s="400" t="s">
        <v>492</v>
      </c>
      <c r="Y236" s="400"/>
      <c r="Z236" s="283"/>
    </row>
    <row r="237" spans="2:26" ht="19.5" hidden="1" customHeight="1">
      <c r="B237" s="29">
        <f t="shared" si="9"/>
        <v>227</v>
      </c>
      <c r="C237" s="30" t="s">
        <v>206</v>
      </c>
      <c r="D237" s="30" t="s">
        <v>225</v>
      </c>
      <c r="E237" s="234" t="s">
        <v>756</v>
      </c>
      <c r="F237" s="235" t="s">
        <v>1229</v>
      </c>
      <c r="G237" s="284" t="str">
        <f>IFERROR(VLOOKUP(E237,Assign!$C$2:$J$142,8,FALSE),)</f>
        <v>문선영</v>
      </c>
      <c r="H237" s="279" t="s">
        <v>6967</v>
      </c>
      <c r="I237" s="280" t="s">
        <v>5835</v>
      </c>
      <c r="J237" s="281" t="s">
        <v>3735</v>
      </c>
      <c r="K237" s="282">
        <v>43179</v>
      </c>
      <c r="L237" s="282">
        <v>54137</v>
      </c>
      <c r="M237" s="282">
        <v>45617</v>
      </c>
      <c r="N237" s="371">
        <v>210000000</v>
      </c>
      <c r="O237" s="444" t="s">
        <v>3866</v>
      </c>
      <c r="P237" s="397">
        <v>182278074</v>
      </c>
      <c r="Q237" s="397">
        <v>182278074</v>
      </c>
      <c r="R237" s="397"/>
      <c r="S237" s="398">
        <f t="shared" si="10"/>
        <v>182278074</v>
      </c>
      <c r="T237" s="353"/>
      <c r="U237" s="353">
        <f t="shared" si="11"/>
        <v>182278074</v>
      </c>
      <c r="V237" s="399"/>
      <c r="W237" s="399"/>
      <c r="X237" s="400" t="s">
        <v>492</v>
      </c>
      <c r="Y237" s="400"/>
      <c r="Z237" s="283"/>
    </row>
    <row r="238" spans="2:26" ht="19.5" hidden="1" customHeight="1">
      <c r="B238" s="29">
        <f t="shared" si="9"/>
        <v>228</v>
      </c>
      <c r="C238" s="30" t="s">
        <v>206</v>
      </c>
      <c r="D238" s="30" t="s">
        <v>225</v>
      </c>
      <c r="E238" s="234" t="s">
        <v>757</v>
      </c>
      <c r="F238" s="235" t="s">
        <v>1317</v>
      </c>
      <c r="G238" s="284">
        <f>IFERROR(VLOOKUP(E238,Assign!$C$2:$J$142,8,FALSE),)</f>
        <v>0</v>
      </c>
      <c r="H238" s="279" t="s">
        <v>6984</v>
      </c>
      <c r="I238" s="280" t="s">
        <v>5748</v>
      </c>
      <c r="J238" s="281" t="s">
        <v>3734</v>
      </c>
      <c r="K238" s="282">
        <v>44466</v>
      </c>
      <c r="L238" s="282">
        <v>45797</v>
      </c>
      <c r="M238" s="282">
        <v>45716</v>
      </c>
      <c r="N238" s="371">
        <v>80000000</v>
      </c>
      <c r="O238" s="444" t="s">
        <v>3866</v>
      </c>
      <c r="P238" s="397">
        <v>80000000</v>
      </c>
      <c r="Q238" s="397">
        <v>80000000</v>
      </c>
      <c r="R238" s="397"/>
      <c r="S238" s="398">
        <f t="shared" si="10"/>
        <v>80000000</v>
      </c>
      <c r="T238" s="353"/>
      <c r="U238" s="353">
        <f t="shared" si="11"/>
        <v>80000000</v>
      </c>
      <c r="V238" s="399"/>
      <c r="W238" s="399"/>
      <c r="X238" s="400" t="s">
        <v>492</v>
      </c>
      <c r="Y238" s="400"/>
      <c r="Z238" s="283"/>
    </row>
    <row r="239" spans="2:26" ht="19.5" hidden="1" customHeight="1">
      <c r="B239" s="29">
        <f t="shared" si="9"/>
        <v>229</v>
      </c>
      <c r="C239" s="30" t="s">
        <v>206</v>
      </c>
      <c r="D239" s="30" t="s">
        <v>225</v>
      </c>
      <c r="E239" s="234" t="s">
        <v>757</v>
      </c>
      <c r="F239" s="235" t="s">
        <v>1317</v>
      </c>
      <c r="G239" s="284">
        <f>IFERROR(VLOOKUP(E239,Assign!$C$2:$J$142,8,FALSE),)</f>
        <v>0</v>
      </c>
      <c r="H239" s="279" t="s">
        <v>6985</v>
      </c>
      <c r="I239" s="280" t="s">
        <v>5752</v>
      </c>
      <c r="J239" s="281" t="s">
        <v>3734</v>
      </c>
      <c r="K239" s="282">
        <v>45042</v>
      </c>
      <c r="L239" s="282">
        <v>45797</v>
      </c>
      <c r="M239" s="282">
        <v>45715</v>
      </c>
      <c r="N239" s="371">
        <v>100000000</v>
      </c>
      <c r="O239" s="444" t="s">
        <v>3866</v>
      </c>
      <c r="P239" s="397">
        <v>100000000</v>
      </c>
      <c r="Q239" s="397">
        <v>100000000</v>
      </c>
      <c r="R239" s="397"/>
      <c r="S239" s="398">
        <f t="shared" si="10"/>
        <v>100000000</v>
      </c>
      <c r="T239" s="353"/>
      <c r="U239" s="353">
        <f t="shared" si="11"/>
        <v>100000000</v>
      </c>
      <c r="V239" s="399"/>
      <c r="W239" s="399"/>
      <c r="X239" s="400" t="s">
        <v>492</v>
      </c>
      <c r="Y239" s="400"/>
      <c r="Z239" s="283"/>
    </row>
    <row r="240" spans="2:26" ht="19.5" hidden="1" customHeight="1">
      <c r="B240" s="29">
        <f t="shared" si="9"/>
        <v>230</v>
      </c>
      <c r="C240" s="30" t="s">
        <v>206</v>
      </c>
      <c r="D240" s="30" t="s">
        <v>225</v>
      </c>
      <c r="E240" s="234" t="s">
        <v>758</v>
      </c>
      <c r="F240" s="235" t="s">
        <v>1234</v>
      </c>
      <c r="G240" s="284" t="str">
        <f>IFERROR(VLOOKUP(E240,Assign!$C$2:$J$142,8,FALSE),)</f>
        <v>문선영</v>
      </c>
      <c r="H240" s="279" t="s">
        <v>6633</v>
      </c>
      <c r="I240" s="280" t="s">
        <v>5944</v>
      </c>
      <c r="J240" s="281" t="s">
        <v>3735</v>
      </c>
      <c r="K240" s="282">
        <v>42975</v>
      </c>
      <c r="L240" s="282">
        <v>53932</v>
      </c>
      <c r="M240" s="282">
        <v>45727</v>
      </c>
      <c r="N240" s="371">
        <v>210000000</v>
      </c>
      <c r="O240" s="444" t="s">
        <v>3866</v>
      </c>
      <c r="P240" s="397">
        <v>178621051</v>
      </c>
      <c r="Q240" s="397">
        <v>178621051</v>
      </c>
      <c r="R240" s="397"/>
      <c r="S240" s="398">
        <f t="shared" si="10"/>
        <v>178621051</v>
      </c>
      <c r="T240" s="353"/>
      <c r="U240" s="353">
        <f t="shared" si="11"/>
        <v>178621051</v>
      </c>
      <c r="V240" s="399"/>
      <c r="W240" s="399"/>
      <c r="X240" s="400" t="s">
        <v>492</v>
      </c>
      <c r="Y240" s="400"/>
      <c r="Z240" s="283"/>
    </row>
    <row r="241" spans="2:26" ht="19.5" hidden="1" customHeight="1">
      <c r="B241" s="29">
        <f t="shared" si="9"/>
        <v>231</v>
      </c>
      <c r="C241" s="30" t="s">
        <v>206</v>
      </c>
      <c r="D241" s="30" t="s">
        <v>225</v>
      </c>
      <c r="E241" s="234" t="s">
        <v>759</v>
      </c>
      <c r="F241" s="235" t="s">
        <v>1229</v>
      </c>
      <c r="G241" s="284">
        <f>IFERROR(VLOOKUP(E241,Assign!$C$2:$J$142,8,FALSE),)</f>
        <v>0</v>
      </c>
      <c r="H241" s="279" t="s">
        <v>6445</v>
      </c>
      <c r="I241" s="280" t="s">
        <v>5737</v>
      </c>
      <c r="J241" s="281" t="s">
        <v>3733</v>
      </c>
      <c r="K241" s="282">
        <v>43902</v>
      </c>
      <c r="L241" s="282">
        <v>45547</v>
      </c>
      <c r="M241" s="282">
        <v>45548</v>
      </c>
      <c r="N241" s="371">
        <v>86000000</v>
      </c>
      <c r="O241" s="444" t="s">
        <v>3866</v>
      </c>
      <c r="P241" s="397">
        <v>86000000</v>
      </c>
      <c r="Q241" s="397">
        <v>86000000</v>
      </c>
      <c r="R241" s="397"/>
      <c r="S241" s="398">
        <f t="shared" si="10"/>
        <v>86000000</v>
      </c>
      <c r="T241" s="353"/>
      <c r="U241" s="353">
        <f t="shared" si="11"/>
        <v>86000000</v>
      </c>
      <c r="V241" s="399"/>
      <c r="W241" s="399"/>
      <c r="X241" s="400" t="s">
        <v>492</v>
      </c>
      <c r="Y241" s="400"/>
      <c r="Z241" s="283"/>
    </row>
    <row r="242" spans="2:26" ht="19.5" hidden="1" customHeight="1">
      <c r="B242" s="29">
        <f t="shared" si="9"/>
        <v>232</v>
      </c>
      <c r="C242" s="30" t="s">
        <v>206</v>
      </c>
      <c r="D242" s="30" t="s">
        <v>225</v>
      </c>
      <c r="E242" s="234" t="s">
        <v>759</v>
      </c>
      <c r="F242" s="235" t="s">
        <v>1229</v>
      </c>
      <c r="G242" s="284">
        <f>IFERROR(VLOOKUP(E242,Assign!$C$2:$J$142,8,FALSE),)</f>
        <v>0</v>
      </c>
      <c r="H242" s="279" t="s">
        <v>6446</v>
      </c>
      <c r="I242" s="280" t="s">
        <v>5795</v>
      </c>
      <c r="J242" s="281" t="s">
        <v>3733</v>
      </c>
      <c r="K242" s="282">
        <v>43910</v>
      </c>
      <c r="L242" s="282">
        <v>45555</v>
      </c>
      <c r="M242" s="282">
        <v>45549</v>
      </c>
      <c r="N242" s="371">
        <v>90000000</v>
      </c>
      <c r="O242" s="444" t="s">
        <v>3866</v>
      </c>
      <c r="P242" s="397">
        <v>90000000</v>
      </c>
      <c r="Q242" s="397">
        <v>90000000</v>
      </c>
      <c r="R242" s="397"/>
      <c r="S242" s="398">
        <f t="shared" si="10"/>
        <v>90000000</v>
      </c>
      <c r="T242" s="353"/>
      <c r="U242" s="353">
        <f t="shared" si="11"/>
        <v>90000000</v>
      </c>
      <c r="V242" s="399"/>
      <c r="W242" s="399"/>
      <c r="X242" s="400" t="s">
        <v>492</v>
      </c>
      <c r="Y242" s="400"/>
      <c r="Z242" s="283"/>
    </row>
    <row r="243" spans="2:26" ht="19.5" hidden="1" customHeight="1">
      <c r="B243" s="29">
        <f t="shared" si="9"/>
        <v>233</v>
      </c>
      <c r="C243" s="30" t="s">
        <v>206</v>
      </c>
      <c r="D243" s="30" t="s">
        <v>225</v>
      </c>
      <c r="E243" s="234" t="s">
        <v>760</v>
      </c>
      <c r="F243" s="235" t="s">
        <v>1225</v>
      </c>
      <c r="G243" s="284" t="str">
        <f>IFERROR(VLOOKUP(E243,Assign!$C$2:$J$142,8,FALSE),)</f>
        <v>문선영</v>
      </c>
      <c r="H243" s="279" t="s">
        <v>6317</v>
      </c>
      <c r="I243" s="280" t="s">
        <v>5692</v>
      </c>
      <c r="J243" s="281" t="s">
        <v>3735</v>
      </c>
      <c r="K243" s="282">
        <v>43536</v>
      </c>
      <c r="L243" s="282">
        <v>50841</v>
      </c>
      <c r="M243" s="282">
        <v>45548</v>
      </c>
      <c r="N243" s="371">
        <v>213000000</v>
      </c>
      <c r="O243" s="444" t="s">
        <v>3866</v>
      </c>
      <c r="P243" s="397">
        <v>173714680</v>
      </c>
      <c r="Q243" s="397">
        <v>173714680</v>
      </c>
      <c r="R243" s="397"/>
      <c r="S243" s="398">
        <f t="shared" si="10"/>
        <v>173714680</v>
      </c>
      <c r="T243" s="353"/>
      <c r="U243" s="353">
        <f t="shared" si="11"/>
        <v>173714680</v>
      </c>
      <c r="V243" s="399"/>
      <c r="W243" s="399"/>
      <c r="X243" s="400" t="s">
        <v>492</v>
      </c>
      <c r="Y243" s="400"/>
      <c r="Z243" s="283"/>
    </row>
    <row r="244" spans="2:26" ht="19.5" hidden="1" customHeight="1">
      <c r="B244" s="29">
        <f t="shared" si="9"/>
        <v>234</v>
      </c>
      <c r="C244" s="30" t="s">
        <v>206</v>
      </c>
      <c r="D244" s="30" t="s">
        <v>225</v>
      </c>
      <c r="E244" s="234" t="s">
        <v>761</v>
      </c>
      <c r="F244" s="235" t="s">
        <v>1239</v>
      </c>
      <c r="G244" s="284" t="str">
        <f>IFERROR(VLOOKUP(E244,Assign!$C$2:$J$142,8,FALSE),)</f>
        <v>문선영</v>
      </c>
      <c r="H244" s="279" t="s">
        <v>6304</v>
      </c>
      <c r="I244" s="280" t="s">
        <v>5680</v>
      </c>
      <c r="J244" s="281" t="s">
        <v>3746</v>
      </c>
      <c r="K244" s="282">
        <v>43179</v>
      </c>
      <c r="L244" s="282">
        <v>47016</v>
      </c>
      <c r="M244" s="282">
        <v>45525</v>
      </c>
      <c r="N244" s="371">
        <v>64000000</v>
      </c>
      <c r="O244" s="444" t="s">
        <v>3866</v>
      </c>
      <c r="P244" s="397">
        <v>25396800</v>
      </c>
      <c r="Q244" s="397">
        <v>25396800</v>
      </c>
      <c r="R244" s="397"/>
      <c r="S244" s="398">
        <f t="shared" si="10"/>
        <v>25396800</v>
      </c>
      <c r="T244" s="353"/>
      <c r="U244" s="353">
        <f t="shared" si="11"/>
        <v>25396800</v>
      </c>
      <c r="V244" s="399"/>
      <c r="W244" s="399"/>
      <c r="X244" s="400" t="s">
        <v>492</v>
      </c>
      <c r="Y244" s="400"/>
      <c r="Z244" s="283"/>
    </row>
    <row r="245" spans="2:26" ht="19.5" hidden="1" customHeight="1">
      <c r="B245" s="29">
        <f t="shared" si="9"/>
        <v>235</v>
      </c>
      <c r="C245" s="30" t="s">
        <v>206</v>
      </c>
      <c r="D245" s="30" t="s">
        <v>225</v>
      </c>
      <c r="E245" s="234" t="s">
        <v>761</v>
      </c>
      <c r="F245" s="235" t="s">
        <v>1239</v>
      </c>
      <c r="G245" s="284" t="str">
        <f>IFERROR(VLOOKUP(E245,Assign!$C$2:$J$142,8,FALSE),)</f>
        <v>문선영</v>
      </c>
      <c r="H245" s="279" t="s">
        <v>6305</v>
      </c>
      <c r="I245" s="280" t="s">
        <v>5681</v>
      </c>
      <c r="J245" s="281" t="s">
        <v>3745</v>
      </c>
      <c r="K245" s="282">
        <v>44484</v>
      </c>
      <c r="L245" s="282">
        <v>45580</v>
      </c>
      <c r="M245" s="282">
        <v>45521</v>
      </c>
      <c r="N245" s="371">
        <v>130000000</v>
      </c>
      <c r="O245" s="444" t="s">
        <v>3866</v>
      </c>
      <c r="P245" s="397">
        <v>97000000</v>
      </c>
      <c r="Q245" s="397">
        <v>97000000</v>
      </c>
      <c r="R245" s="397"/>
      <c r="S245" s="398">
        <f t="shared" si="10"/>
        <v>97000000</v>
      </c>
      <c r="T245" s="353"/>
      <c r="U245" s="353">
        <f t="shared" si="11"/>
        <v>97000000</v>
      </c>
      <c r="V245" s="399"/>
      <c r="W245" s="399"/>
      <c r="X245" s="400" t="s">
        <v>492</v>
      </c>
      <c r="Y245" s="400"/>
      <c r="Z245" s="283"/>
    </row>
    <row r="246" spans="2:26" ht="19.5" hidden="1" customHeight="1">
      <c r="B246" s="29">
        <f t="shared" si="9"/>
        <v>236</v>
      </c>
      <c r="C246" s="30" t="s">
        <v>206</v>
      </c>
      <c r="D246" s="30" t="s">
        <v>225</v>
      </c>
      <c r="E246" s="234" t="s">
        <v>761</v>
      </c>
      <c r="F246" s="235" t="s">
        <v>1239</v>
      </c>
      <c r="G246" s="284" t="str">
        <f>IFERROR(VLOOKUP(E246,Assign!$C$2:$J$142,8,FALSE),)</f>
        <v>문선영</v>
      </c>
      <c r="H246" s="279" t="s">
        <v>6306</v>
      </c>
      <c r="I246" s="280" t="s">
        <v>5682</v>
      </c>
      <c r="J246" s="281" t="s">
        <v>3734</v>
      </c>
      <c r="K246" s="282">
        <v>44616</v>
      </c>
      <c r="L246" s="282">
        <v>45712</v>
      </c>
      <c r="M246" s="282">
        <v>45521</v>
      </c>
      <c r="N246" s="371">
        <v>50000000</v>
      </c>
      <c r="O246" s="444" t="s">
        <v>3866</v>
      </c>
      <c r="P246" s="397">
        <v>50000000</v>
      </c>
      <c r="Q246" s="397">
        <v>50000000</v>
      </c>
      <c r="R246" s="397"/>
      <c r="S246" s="398">
        <f t="shared" si="10"/>
        <v>50000000</v>
      </c>
      <c r="T246" s="353"/>
      <c r="U246" s="353">
        <f t="shared" si="11"/>
        <v>50000000</v>
      </c>
      <c r="V246" s="399"/>
      <c r="W246" s="399"/>
      <c r="X246" s="400" t="s">
        <v>492</v>
      </c>
      <c r="Y246" s="400"/>
      <c r="Z246" s="283"/>
    </row>
    <row r="247" spans="2:26" ht="19.5" hidden="1" customHeight="1">
      <c r="B247" s="29">
        <f t="shared" si="9"/>
        <v>237</v>
      </c>
      <c r="C247" s="30" t="s">
        <v>206</v>
      </c>
      <c r="D247" s="30" t="s">
        <v>225</v>
      </c>
      <c r="E247" s="234" t="s">
        <v>761</v>
      </c>
      <c r="F247" s="235" t="s">
        <v>1239</v>
      </c>
      <c r="G247" s="284" t="str">
        <f>IFERROR(VLOOKUP(E247,Assign!$C$2:$J$142,8,FALSE),)</f>
        <v>문선영</v>
      </c>
      <c r="H247" s="279" t="s">
        <v>6307</v>
      </c>
      <c r="I247" s="280" t="s">
        <v>5683</v>
      </c>
      <c r="J247" s="281" t="s">
        <v>3757</v>
      </c>
      <c r="K247" s="282">
        <v>44900</v>
      </c>
      <c r="L247" s="282">
        <v>46723</v>
      </c>
      <c r="M247" s="282"/>
      <c r="N247" s="371">
        <v>20000000</v>
      </c>
      <c r="O247" s="444" t="s">
        <v>3866</v>
      </c>
      <c r="P247" s="397">
        <v>0</v>
      </c>
      <c r="Q247" s="397">
        <v>0</v>
      </c>
      <c r="R247" s="397"/>
      <c r="S247" s="398">
        <f t="shared" si="10"/>
        <v>0</v>
      </c>
      <c r="T247" s="353"/>
      <c r="U247" s="353">
        <f t="shared" si="11"/>
        <v>0</v>
      </c>
      <c r="V247" s="399"/>
      <c r="W247" s="399"/>
      <c r="X247" s="400" t="s">
        <v>492</v>
      </c>
      <c r="Y247" s="400"/>
      <c r="Z247" s="283"/>
    </row>
    <row r="248" spans="2:26" ht="19.5" hidden="1" customHeight="1">
      <c r="B248" s="29">
        <f t="shared" si="9"/>
        <v>238</v>
      </c>
      <c r="C248" s="30" t="s">
        <v>206</v>
      </c>
      <c r="D248" s="30" t="s">
        <v>225</v>
      </c>
      <c r="E248" s="234" t="s">
        <v>762</v>
      </c>
      <c r="F248" s="235" t="s">
        <v>1235</v>
      </c>
      <c r="G248" s="284">
        <f>IFERROR(VLOOKUP(E248,Assign!$C$2:$J$142,8,FALSE),)</f>
        <v>0</v>
      </c>
      <c r="H248" s="279" t="s">
        <v>6833</v>
      </c>
      <c r="I248" s="280" t="s">
        <v>6072</v>
      </c>
      <c r="J248" s="281" t="s">
        <v>3735</v>
      </c>
      <c r="K248" s="282">
        <v>45148</v>
      </c>
      <c r="L248" s="282">
        <v>59758</v>
      </c>
      <c r="M248" s="282">
        <v>45517</v>
      </c>
      <c r="N248" s="371">
        <v>171000000</v>
      </c>
      <c r="O248" s="444" t="s">
        <v>3866</v>
      </c>
      <c r="P248" s="397">
        <v>169552820</v>
      </c>
      <c r="Q248" s="397">
        <v>169552820</v>
      </c>
      <c r="R248" s="397"/>
      <c r="S248" s="398">
        <f t="shared" si="10"/>
        <v>169552820</v>
      </c>
      <c r="T248" s="353"/>
      <c r="U248" s="353">
        <f t="shared" si="11"/>
        <v>169552820</v>
      </c>
      <c r="V248" s="399"/>
      <c r="W248" s="399"/>
      <c r="X248" s="400" t="s">
        <v>492</v>
      </c>
      <c r="Y248" s="400"/>
      <c r="Z248" s="283"/>
    </row>
    <row r="249" spans="2:26" ht="19.5" hidden="1" customHeight="1">
      <c r="B249" s="29">
        <f t="shared" si="9"/>
        <v>239</v>
      </c>
      <c r="C249" s="30" t="s">
        <v>206</v>
      </c>
      <c r="D249" s="30" t="s">
        <v>225</v>
      </c>
      <c r="E249" s="234" t="s">
        <v>763</v>
      </c>
      <c r="F249" s="235" t="s">
        <v>1221</v>
      </c>
      <c r="G249" s="284">
        <f>IFERROR(VLOOKUP(E249,Assign!$C$2:$J$142,8,FALSE),)</f>
        <v>0</v>
      </c>
      <c r="H249" s="279" t="s">
        <v>6316</v>
      </c>
      <c r="I249" s="280" t="s">
        <v>5691</v>
      </c>
      <c r="J249" s="281" t="s">
        <v>3735</v>
      </c>
      <c r="K249" s="282">
        <v>43313</v>
      </c>
      <c r="L249" s="282">
        <v>54271</v>
      </c>
      <c r="M249" s="282">
        <v>45598</v>
      </c>
      <c r="N249" s="371">
        <v>192000000</v>
      </c>
      <c r="O249" s="444" t="s">
        <v>3866</v>
      </c>
      <c r="P249" s="397">
        <v>168446658</v>
      </c>
      <c r="Q249" s="397">
        <v>168446658</v>
      </c>
      <c r="R249" s="397"/>
      <c r="S249" s="398">
        <f t="shared" si="10"/>
        <v>168446658</v>
      </c>
      <c r="T249" s="353"/>
      <c r="U249" s="353">
        <f t="shared" si="11"/>
        <v>168446658</v>
      </c>
      <c r="V249" s="399"/>
      <c r="W249" s="399"/>
      <c r="X249" s="400" t="s">
        <v>492</v>
      </c>
      <c r="Y249" s="400"/>
      <c r="Z249" s="283"/>
    </row>
    <row r="250" spans="2:26" ht="19.5" hidden="1" customHeight="1">
      <c r="B250" s="29">
        <f t="shared" si="9"/>
        <v>240</v>
      </c>
      <c r="C250" s="30" t="s">
        <v>206</v>
      </c>
      <c r="D250" s="30" t="s">
        <v>225</v>
      </c>
      <c r="E250" s="234" t="s">
        <v>764</v>
      </c>
      <c r="F250" s="235" t="s">
        <v>1217</v>
      </c>
      <c r="G250" s="284">
        <f>IFERROR(VLOOKUP(E250,Assign!$C$2:$J$142,8,FALSE),)</f>
        <v>0</v>
      </c>
      <c r="H250" s="279" t="s">
        <v>6749</v>
      </c>
      <c r="I250" s="280" t="s">
        <v>5942</v>
      </c>
      <c r="J250" s="281" t="s">
        <v>3735</v>
      </c>
      <c r="K250" s="282">
        <v>43270</v>
      </c>
      <c r="L250" s="282">
        <v>54228</v>
      </c>
      <c r="M250" s="282">
        <v>45555</v>
      </c>
      <c r="N250" s="371">
        <v>189000000</v>
      </c>
      <c r="O250" s="444" t="s">
        <v>3866</v>
      </c>
      <c r="P250" s="397">
        <v>167278846</v>
      </c>
      <c r="Q250" s="397">
        <v>167278846</v>
      </c>
      <c r="R250" s="397"/>
      <c r="S250" s="398">
        <f t="shared" si="10"/>
        <v>167278846</v>
      </c>
      <c r="T250" s="353"/>
      <c r="U250" s="353">
        <f t="shared" si="11"/>
        <v>167278846</v>
      </c>
      <c r="V250" s="399"/>
      <c r="W250" s="399"/>
      <c r="X250" s="400" t="s">
        <v>492</v>
      </c>
      <c r="Y250" s="400"/>
      <c r="Z250" s="283"/>
    </row>
    <row r="251" spans="2:26" ht="19.5" hidden="1" customHeight="1">
      <c r="B251" s="29">
        <f t="shared" si="9"/>
        <v>241</v>
      </c>
      <c r="C251" s="30" t="s">
        <v>206</v>
      </c>
      <c r="D251" s="30" t="s">
        <v>225</v>
      </c>
      <c r="E251" s="234" t="s">
        <v>765</v>
      </c>
      <c r="F251" s="235" t="s">
        <v>1223</v>
      </c>
      <c r="G251" s="284" t="str">
        <f>IFERROR(VLOOKUP(E251,Assign!$C$2:$J$142,8,FALSE),)</f>
        <v>문선영</v>
      </c>
      <c r="H251" s="279" t="s">
        <v>6751</v>
      </c>
      <c r="I251" s="280" t="s">
        <v>6023</v>
      </c>
      <c r="J251" s="281" t="s">
        <v>3746</v>
      </c>
      <c r="K251" s="282">
        <v>44641</v>
      </c>
      <c r="L251" s="282">
        <v>57425</v>
      </c>
      <c r="M251" s="282">
        <v>45587</v>
      </c>
      <c r="N251" s="371">
        <v>170000000</v>
      </c>
      <c r="O251" s="444" t="s">
        <v>3866</v>
      </c>
      <c r="P251" s="397">
        <v>165224788</v>
      </c>
      <c r="Q251" s="397">
        <v>165224788</v>
      </c>
      <c r="R251" s="397"/>
      <c r="S251" s="398">
        <f t="shared" si="10"/>
        <v>165224788</v>
      </c>
      <c r="T251" s="353"/>
      <c r="U251" s="353">
        <f t="shared" si="11"/>
        <v>165224788</v>
      </c>
      <c r="V251" s="399"/>
      <c r="W251" s="399"/>
      <c r="X251" s="400" t="s">
        <v>492</v>
      </c>
      <c r="Y251" s="400"/>
      <c r="Z251" s="283"/>
    </row>
    <row r="252" spans="2:26" ht="19.5" hidden="1" customHeight="1">
      <c r="B252" s="29">
        <f t="shared" si="9"/>
        <v>242</v>
      </c>
      <c r="C252" s="30" t="s">
        <v>206</v>
      </c>
      <c r="D252" s="30" t="s">
        <v>225</v>
      </c>
      <c r="E252" s="234" t="s">
        <v>766</v>
      </c>
      <c r="F252" s="235" t="s">
        <v>1229</v>
      </c>
      <c r="G252" s="284" t="str">
        <f>IFERROR(VLOOKUP(E252,Assign!$C$2:$J$142,8,FALSE),)</f>
        <v>문선영</v>
      </c>
      <c r="H252" s="279" t="s">
        <v>6657</v>
      </c>
      <c r="I252" s="280" t="s">
        <v>5963</v>
      </c>
      <c r="J252" s="281" t="s">
        <v>3768</v>
      </c>
      <c r="K252" s="282">
        <v>42377</v>
      </c>
      <c r="L252" s="282">
        <v>53335</v>
      </c>
      <c r="M252" s="282">
        <v>45513</v>
      </c>
      <c r="N252" s="371">
        <v>226000000</v>
      </c>
      <c r="O252" s="444" t="s">
        <v>3866</v>
      </c>
      <c r="P252" s="397">
        <v>161966466</v>
      </c>
      <c r="Q252" s="397">
        <v>161966466</v>
      </c>
      <c r="R252" s="397"/>
      <c r="S252" s="398">
        <f t="shared" si="10"/>
        <v>161966466</v>
      </c>
      <c r="T252" s="353"/>
      <c r="U252" s="353">
        <f t="shared" si="11"/>
        <v>161966466</v>
      </c>
      <c r="V252" s="399"/>
      <c r="W252" s="399"/>
      <c r="X252" s="400" t="s">
        <v>492</v>
      </c>
      <c r="Y252" s="400"/>
      <c r="Z252" s="283"/>
    </row>
    <row r="253" spans="2:26" ht="19.5" hidden="1" customHeight="1">
      <c r="B253" s="29">
        <f t="shared" si="9"/>
        <v>243</v>
      </c>
      <c r="C253" s="30" t="s">
        <v>206</v>
      </c>
      <c r="D253" s="30" t="s">
        <v>225</v>
      </c>
      <c r="E253" s="234" t="s">
        <v>767</v>
      </c>
      <c r="F253" s="235" t="s">
        <v>1225</v>
      </c>
      <c r="G253" s="284" t="str">
        <f>IFERROR(VLOOKUP(E253,Assign!$C$2:$J$142,8,FALSE),)</f>
        <v>문선영</v>
      </c>
      <c r="H253" s="279" t="s">
        <v>6389</v>
      </c>
      <c r="I253" s="280" t="s">
        <v>5742</v>
      </c>
      <c r="J253" s="281" t="s">
        <v>3743</v>
      </c>
      <c r="K253" s="282">
        <v>44963</v>
      </c>
      <c r="L253" s="282">
        <v>55921</v>
      </c>
      <c r="M253" s="282">
        <v>45633</v>
      </c>
      <c r="N253" s="371">
        <v>170000000</v>
      </c>
      <c r="O253" s="444" t="s">
        <v>3866</v>
      </c>
      <c r="P253" s="397">
        <v>160083258</v>
      </c>
      <c r="Q253" s="397">
        <v>160083258</v>
      </c>
      <c r="R253" s="397"/>
      <c r="S253" s="398">
        <f t="shared" si="10"/>
        <v>160083258</v>
      </c>
      <c r="T253" s="353"/>
      <c r="U253" s="353">
        <f t="shared" si="11"/>
        <v>160083258</v>
      </c>
      <c r="V253" s="399"/>
      <c r="W253" s="399"/>
      <c r="X253" s="400" t="s">
        <v>492</v>
      </c>
      <c r="Y253" s="400"/>
      <c r="Z253" s="283"/>
    </row>
    <row r="254" spans="2:26" ht="19.5" hidden="1" customHeight="1">
      <c r="B254" s="29">
        <f t="shared" si="9"/>
        <v>244</v>
      </c>
      <c r="C254" s="30" t="s">
        <v>206</v>
      </c>
      <c r="D254" s="30" t="s">
        <v>225</v>
      </c>
      <c r="E254" s="234" t="s">
        <v>768</v>
      </c>
      <c r="F254" s="235" t="s">
        <v>1226</v>
      </c>
      <c r="G254" s="284">
        <f>IFERROR(VLOOKUP(E254,Assign!$C$2:$J$142,8,FALSE),)</f>
        <v>0</v>
      </c>
      <c r="H254" s="279" t="s">
        <v>6626</v>
      </c>
      <c r="I254" s="280" t="s">
        <v>5779</v>
      </c>
      <c r="J254" s="281" t="s">
        <v>3746</v>
      </c>
      <c r="K254" s="282">
        <v>45226</v>
      </c>
      <c r="L254" s="282">
        <v>59836</v>
      </c>
      <c r="M254" s="282">
        <v>45484</v>
      </c>
      <c r="N254" s="371">
        <v>160000000</v>
      </c>
      <c r="O254" s="444" t="s">
        <v>3866</v>
      </c>
      <c r="P254" s="397">
        <v>159135616</v>
      </c>
      <c r="Q254" s="397">
        <v>159135616</v>
      </c>
      <c r="R254" s="397"/>
      <c r="S254" s="398">
        <f t="shared" si="10"/>
        <v>159135616</v>
      </c>
      <c r="T254" s="353"/>
      <c r="U254" s="353">
        <f t="shared" si="11"/>
        <v>159135616</v>
      </c>
      <c r="V254" s="399"/>
      <c r="W254" s="399"/>
      <c r="X254" s="400" t="s">
        <v>492</v>
      </c>
      <c r="Y254" s="400"/>
      <c r="Z254" s="283"/>
    </row>
    <row r="255" spans="2:26" ht="19.5" hidden="1" customHeight="1">
      <c r="B255" s="29">
        <f t="shared" si="9"/>
        <v>245</v>
      </c>
      <c r="C255" s="30" t="s">
        <v>206</v>
      </c>
      <c r="D255" s="30" t="s">
        <v>225</v>
      </c>
      <c r="E255" s="234" t="s">
        <v>769</v>
      </c>
      <c r="F255" s="235" t="s">
        <v>1238</v>
      </c>
      <c r="G255" s="284">
        <f>IFERROR(VLOOKUP(E255,Assign!$C$2:$J$142,8,FALSE),)</f>
        <v>0</v>
      </c>
      <c r="H255" s="279" t="s">
        <v>6679</v>
      </c>
      <c r="I255" s="280" t="s">
        <v>5982</v>
      </c>
      <c r="J255" s="281" t="s">
        <v>3784</v>
      </c>
      <c r="K255" s="282">
        <v>45154</v>
      </c>
      <c r="L255" s="282">
        <v>59764</v>
      </c>
      <c r="M255" s="282">
        <v>45615</v>
      </c>
      <c r="N255" s="371">
        <v>160000000</v>
      </c>
      <c r="O255" s="444" t="s">
        <v>3866</v>
      </c>
      <c r="P255" s="397">
        <v>158472331</v>
      </c>
      <c r="Q255" s="397">
        <v>158472331</v>
      </c>
      <c r="R255" s="397"/>
      <c r="S255" s="398">
        <f t="shared" si="10"/>
        <v>158472331</v>
      </c>
      <c r="T255" s="353"/>
      <c r="U255" s="353">
        <f t="shared" si="11"/>
        <v>158472331</v>
      </c>
      <c r="V255" s="399"/>
      <c r="W255" s="399"/>
      <c r="X255" s="400" t="s">
        <v>492</v>
      </c>
      <c r="Y255" s="400"/>
      <c r="Z255" s="283"/>
    </row>
    <row r="256" spans="2:26" ht="19.5" hidden="1" customHeight="1">
      <c r="B256" s="29">
        <f t="shared" si="9"/>
        <v>246</v>
      </c>
      <c r="C256" s="30" t="s">
        <v>206</v>
      </c>
      <c r="D256" s="30" t="s">
        <v>225</v>
      </c>
      <c r="E256" s="234" t="s">
        <v>770</v>
      </c>
      <c r="F256" s="235" t="s">
        <v>1217</v>
      </c>
      <c r="G256" s="284">
        <f>IFERROR(VLOOKUP(E256,Assign!$C$2:$J$142,8,FALSE),)</f>
        <v>0</v>
      </c>
      <c r="H256" s="279" t="s">
        <v>6613</v>
      </c>
      <c r="I256" s="280" t="s">
        <v>5928</v>
      </c>
      <c r="J256" s="281" t="s">
        <v>3736</v>
      </c>
      <c r="K256" s="282">
        <v>41303</v>
      </c>
      <c r="L256" s="282">
        <v>45853</v>
      </c>
      <c r="M256" s="282">
        <v>45636</v>
      </c>
      <c r="N256" s="371">
        <v>34000000</v>
      </c>
      <c r="O256" s="444" t="s">
        <v>3866</v>
      </c>
      <c r="P256" s="397">
        <v>34000000</v>
      </c>
      <c r="Q256" s="397">
        <v>34000000</v>
      </c>
      <c r="R256" s="397"/>
      <c r="S256" s="398">
        <f t="shared" si="10"/>
        <v>34000000</v>
      </c>
      <c r="T256" s="353"/>
      <c r="U256" s="353">
        <f t="shared" si="11"/>
        <v>34000000</v>
      </c>
      <c r="V256" s="399"/>
      <c r="W256" s="399"/>
      <c r="X256" s="400" t="s">
        <v>492</v>
      </c>
      <c r="Y256" s="400"/>
      <c r="Z256" s="283"/>
    </row>
    <row r="257" spans="2:26" ht="19.5" hidden="1" customHeight="1">
      <c r="B257" s="29">
        <f t="shared" si="9"/>
        <v>247</v>
      </c>
      <c r="C257" s="30" t="s">
        <v>206</v>
      </c>
      <c r="D257" s="30" t="s">
        <v>225</v>
      </c>
      <c r="E257" s="234" t="s">
        <v>770</v>
      </c>
      <c r="F257" s="235" t="s">
        <v>1217</v>
      </c>
      <c r="G257" s="284">
        <f>IFERROR(VLOOKUP(E257,Assign!$C$2:$J$142,8,FALSE),)</f>
        <v>0</v>
      </c>
      <c r="H257" s="279" t="s">
        <v>6614</v>
      </c>
      <c r="I257" s="280" t="s">
        <v>5929</v>
      </c>
      <c r="J257" s="281" t="s">
        <v>3734</v>
      </c>
      <c r="K257" s="282">
        <v>43843</v>
      </c>
      <c r="L257" s="282">
        <v>45670</v>
      </c>
      <c r="M257" s="282">
        <v>45610</v>
      </c>
      <c r="N257" s="371">
        <v>89000000</v>
      </c>
      <c r="O257" s="444" t="s">
        <v>3866</v>
      </c>
      <c r="P257" s="397">
        <v>89000000</v>
      </c>
      <c r="Q257" s="397">
        <v>89000000</v>
      </c>
      <c r="R257" s="397"/>
      <c r="S257" s="398">
        <f t="shared" si="10"/>
        <v>89000000</v>
      </c>
      <c r="T257" s="353"/>
      <c r="U257" s="353">
        <f t="shared" si="11"/>
        <v>89000000</v>
      </c>
      <c r="V257" s="399"/>
      <c r="W257" s="399"/>
      <c r="X257" s="400" t="s">
        <v>492</v>
      </c>
      <c r="Y257" s="400"/>
      <c r="Z257" s="283"/>
    </row>
    <row r="258" spans="2:26" ht="19.5" hidden="1" customHeight="1">
      <c r="B258" s="29">
        <f t="shared" si="9"/>
        <v>248</v>
      </c>
      <c r="C258" s="30" t="s">
        <v>206</v>
      </c>
      <c r="D258" s="30" t="s">
        <v>225</v>
      </c>
      <c r="E258" s="234" t="s">
        <v>770</v>
      </c>
      <c r="F258" s="235" t="s">
        <v>1217</v>
      </c>
      <c r="G258" s="284">
        <f>IFERROR(VLOOKUP(E258,Assign!$C$2:$J$142,8,FALSE),)</f>
        <v>0</v>
      </c>
      <c r="H258" s="279" t="s">
        <v>6615</v>
      </c>
      <c r="I258" s="280" t="s">
        <v>5930</v>
      </c>
      <c r="J258" s="281" t="s">
        <v>3734</v>
      </c>
      <c r="K258" s="282">
        <v>43843</v>
      </c>
      <c r="L258" s="282">
        <v>45670</v>
      </c>
      <c r="M258" s="282">
        <v>45610</v>
      </c>
      <c r="N258" s="371">
        <v>34000000</v>
      </c>
      <c r="O258" s="444" t="s">
        <v>3866</v>
      </c>
      <c r="P258" s="397">
        <v>34000000</v>
      </c>
      <c r="Q258" s="397">
        <v>34000000</v>
      </c>
      <c r="R258" s="397"/>
      <c r="S258" s="398">
        <f t="shared" si="10"/>
        <v>34000000</v>
      </c>
      <c r="T258" s="353"/>
      <c r="U258" s="353">
        <f t="shared" si="11"/>
        <v>34000000</v>
      </c>
      <c r="V258" s="399"/>
      <c r="W258" s="399"/>
      <c r="X258" s="400" t="s">
        <v>492</v>
      </c>
      <c r="Y258" s="400"/>
      <c r="Z258" s="283"/>
    </row>
    <row r="259" spans="2:26" ht="19.5" hidden="1" customHeight="1">
      <c r="B259" s="29">
        <f t="shared" si="9"/>
        <v>249</v>
      </c>
      <c r="C259" s="30" t="s">
        <v>206</v>
      </c>
      <c r="D259" s="30" t="s">
        <v>225</v>
      </c>
      <c r="E259" s="234" t="s">
        <v>771</v>
      </c>
      <c r="F259" s="235" t="s">
        <v>1229</v>
      </c>
      <c r="G259" s="284">
        <f>IFERROR(VLOOKUP(E259,Assign!$C$2:$J$142,8,FALSE),)</f>
        <v>0</v>
      </c>
      <c r="H259" s="279" t="s">
        <v>6715</v>
      </c>
      <c r="I259" s="280" t="s">
        <v>5682</v>
      </c>
      <c r="J259" s="281" t="s">
        <v>3759</v>
      </c>
      <c r="K259" s="282">
        <v>42100</v>
      </c>
      <c r="L259" s="282">
        <v>53058</v>
      </c>
      <c r="M259" s="282">
        <v>45420</v>
      </c>
      <c r="N259" s="371">
        <v>197000000</v>
      </c>
      <c r="O259" s="444" t="s">
        <v>3866</v>
      </c>
      <c r="P259" s="397">
        <v>156220995</v>
      </c>
      <c r="Q259" s="397">
        <v>156220995</v>
      </c>
      <c r="R259" s="397"/>
      <c r="S259" s="398">
        <f t="shared" si="10"/>
        <v>156220995</v>
      </c>
      <c r="T259" s="353"/>
      <c r="U259" s="353">
        <f t="shared" si="11"/>
        <v>156220995</v>
      </c>
      <c r="V259" s="399"/>
      <c r="W259" s="399"/>
      <c r="X259" s="400" t="s">
        <v>492</v>
      </c>
      <c r="Y259" s="400"/>
      <c r="Z259" s="283"/>
    </row>
    <row r="260" spans="2:26" ht="19.5" hidden="1" customHeight="1">
      <c r="B260" s="29">
        <f t="shared" si="9"/>
        <v>250</v>
      </c>
      <c r="C260" s="30" t="s">
        <v>206</v>
      </c>
      <c r="D260" s="30" t="s">
        <v>225</v>
      </c>
      <c r="E260" s="234" t="s">
        <v>772</v>
      </c>
      <c r="F260" s="235" t="s">
        <v>1229</v>
      </c>
      <c r="G260" s="284" t="str">
        <f>IFERROR(VLOOKUP(E260,Assign!$C$2:$J$142,8,FALSE),)</f>
        <v>문선영</v>
      </c>
      <c r="H260" s="279" t="s">
        <v>6456</v>
      </c>
      <c r="I260" s="280" t="s">
        <v>5804</v>
      </c>
      <c r="J260" s="281" t="s">
        <v>3735</v>
      </c>
      <c r="K260" s="282">
        <v>44274</v>
      </c>
      <c r="L260" s="282">
        <v>57058</v>
      </c>
      <c r="M260" s="282">
        <v>45587</v>
      </c>
      <c r="N260" s="371">
        <v>165000000</v>
      </c>
      <c r="O260" s="444" t="s">
        <v>3866</v>
      </c>
      <c r="P260" s="397">
        <v>156183636</v>
      </c>
      <c r="Q260" s="397">
        <v>156183636</v>
      </c>
      <c r="R260" s="397"/>
      <c r="S260" s="398">
        <f t="shared" si="10"/>
        <v>156183636</v>
      </c>
      <c r="T260" s="353"/>
      <c r="U260" s="353">
        <f t="shared" si="11"/>
        <v>156183636</v>
      </c>
      <c r="V260" s="399"/>
      <c r="W260" s="399"/>
      <c r="X260" s="400" t="s">
        <v>492</v>
      </c>
      <c r="Y260" s="400"/>
      <c r="Z260" s="283"/>
    </row>
    <row r="261" spans="2:26" ht="19.5" hidden="1" customHeight="1">
      <c r="B261" s="29">
        <f t="shared" si="9"/>
        <v>251</v>
      </c>
      <c r="C261" s="30" t="s">
        <v>206</v>
      </c>
      <c r="D261" s="30" t="s">
        <v>225</v>
      </c>
      <c r="E261" s="234" t="s">
        <v>773</v>
      </c>
      <c r="F261" s="235" t="s">
        <v>1229</v>
      </c>
      <c r="G261" s="284">
        <f>IFERROR(VLOOKUP(E261,Assign!$C$2:$J$142,8,FALSE),)</f>
        <v>0</v>
      </c>
      <c r="H261" s="279" t="s">
        <v>6783</v>
      </c>
      <c r="I261" s="280" t="s">
        <v>6007</v>
      </c>
      <c r="J261" s="281" t="s">
        <v>3735</v>
      </c>
      <c r="K261" s="282">
        <v>42936</v>
      </c>
      <c r="L261" s="282">
        <v>53893</v>
      </c>
      <c r="M261" s="282">
        <v>45640</v>
      </c>
      <c r="N261" s="371">
        <v>150000000</v>
      </c>
      <c r="O261" s="444" t="s">
        <v>3866</v>
      </c>
      <c r="P261" s="397">
        <v>112916486</v>
      </c>
      <c r="Q261" s="397">
        <v>112916486</v>
      </c>
      <c r="R261" s="397"/>
      <c r="S261" s="398">
        <f t="shared" si="10"/>
        <v>112916486</v>
      </c>
      <c r="T261" s="353"/>
      <c r="U261" s="353">
        <f t="shared" si="11"/>
        <v>112916486</v>
      </c>
      <c r="V261" s="399"/>
      <c r="W261" s="399"/>
      <c r="X261" s="400" t="s">
        <v>492</v>
      </c>
      <c r="Y261" s="400"/>
      <c r="Z261" s="283"/>
    </row>
    <row r="262" spans="2:26" ht="19.5" hidden="1" customHeight="1">
      <c r="B262" s="29">
        <f t="shared" si="9"/>
        <v>252</v>
      </c>
      <c r="C262" s="30" t="s">
        <v>206</v>
      </c>
      <c r="D262" s="30" t="s">
        <v>225</v>
      </c>
      <c r="E262" s="234" t="s">
        <v>773</v>
      </c>
      <c r="F262" s="235" t="s">
        <v>1229</v>
      </c>
      <c r="G262" s="284">
        <f>IFERROR(VLOOKUP(E262,Assign!$C$2:$J$142,8,FALSE),)</f>
        <v>0</v>
      </c>
      <c r="H262" s="279" t="s">
        <v>6784</v>
      </c>
      <c r="I262" s="280" t="s">
        <v>6044</v>
      </c>
      <c r="J262" s="281" t="s">
        <v>3746</v>
      </c>
      <c r="K262" s="282">
        <v>44869</v>
      </c>
      <c r="L262" s="282">
        <v>55827</v>
      </c>
      <c r="M262" s="282">
        <v>45601</v>
      </c>
      <c r="N262" s="371">
        <v>44000000</v>
      </c>
      <c r="O262" s="444" t="s">
        <v>3866</v>
      </c>
      <c r="P262" s="397">
        <v>42885795</v>
      </c>
      <c r="Q262" s="397">
        <v>42885795</v>
      </c>
      <c r="R262" s="397"/>
      <c r="S262" s="398">
        <f t="shared" si="10"/>
        <v>42885795</v>
      </c>
      <c r="T262" s="353"/>
      <c r="U262" s="353">
        <f t="shared" si="11"/>
        <v>42885795</v>
      </c>
      <c r="V262" s="399"/>
      <c r="W262" s="399"/>
      <c r="X262" s="400" t="s">
        <v>492</v>
      </c>
      <c r="Y262" s="400"/>
      <c r="Z262" s="283"/>
    </row>
    <row r="263" spans="2:26" ht="19.5" hidden="1" customHeight="1">
      <c r="B263" s="29">
        <f t="shared" si="9"/>
        <v>253</v>
      </c>
      <c r="C263" s="30" t="s">
        <v>206</v>
      </c>
      <c r="D263" s="30" t="s">
        <v>225</v>
      </c>
      <c r="E263" s="234" t="s">
        <v>774</v>
      </c>
      <c r="F263" s="235" t="s">
        <v>1217</v>
      </c>
      <c r="G263" s="284">
        <f>IFERROR(VLOOKUP(E263,Assign!$C$2:$J$142,8,FALSE),)</f>
        <v>0</v>
      </c>
      <c r="H263" s="279" t="s">
        <v>6393</v>
      </c>
      <c r="I263" s="280" t="s">
        <v>5756</v>
      </c>
      <c r="J263" s="281" t="s">
        <v>3756</v>
      </c>
      <c r="K263" s="282">
        <v>41899</v>
      </c>
      <c r="L263" s="282">
        <v>52857</v>
      </c>
      <c r="M263" s="282">
        <v>45535</v>
      </c>
      <c r="N263" s="371">
        <v>154400000</v>
      </c>
      <c r="O263" s="444" t="s">
        <v>3866</v>
      </c>
      <c r="P263" s="397">
        <v>154400000</v>
      </c>
      <c r="Q263" s="397">
        <v>154400000</v>
      </c>
      <c r="R263" s="397"/>
      <c r="S263" s="398">
        <f t="shared" si="10"/>
        <v>154400000</v>
      </c>
      <c r="T263" s="353"/>
      <c r="U263" s="353">
        <f t="shared" si="11"/>
        <v>154400000</v>
      </c>
      <c r="V263" s="399"/>
      <c r="W263" s="399"/>
      <c r="X263" s="400" t="s">
        <v>492</v>
      </c>
      <c r="Y263" s="400"/>
      <c r="Z263" s="283"/>
    </row>
    <row r="264" spans="2:26" ht="19.5" hidden="1" customHeight="1">
      <c r="B264" s="29">
        <f t="shared" si="9"/>
        <v>254</v>
      </c>
      <c r="C264" s="30" t="s">
        <v>206</v>
      </c>
      <c r="D264" s="30" t="s">
        <v>225</v>
      </c>
      <c r="E264" s="234" t="s">
        <v>775</v>
      </c>
      <c r="F264" s="235" t="s">
        <v>1238</v>
      </c>
      <c r="G264" s="284">
        <f>IFERROR(VLOOKUP(E264,Assign!$C$2:$J$142,8,FALSE),)</f>
        <v>0</v>
      </c>
      <c r="H264" s="279" t="s">
        <v>6237</v>
      </c>
      <c r="I264" s="280" t="s">
        <v>5616</v>
      </c>
      <c r="J264" s="281" t="s">
        <v>3735</v>
      </c>
      <c r="K264" s="282">
        <v>42706</v>
      </c>
      <c r="L264" s="282">
        <v>53663</v>
      </c>
      <c r="M264" s="282">
        <v>45601</v>
      </c>
      <c r="N264" s="371">
        <v>185000000</v>
      </c>
      <c r="O264" s="444" t="s">
        <v>3866</v>
      </c>
      <c r="P264" s="397">
        <v>152096109</v>
      </c>
      <c r="Q264" s="397">
        <v>152096109</v>
      </c>
      <c r="R264" s="397"/>
      <c r="S264" s="398">
        <f t="shared" si="10"/>
        <v>152096109</v>
      </c>
      <c r="T264" s="353"/>
      <c r="U264" s="353">
        <f t="shared" si="11"/>
        <v>152096109</v>
      </c>
      <c r="V264" s="399"/>
      <c r="W264" s="399"/>
      <c r="X264" s="400" t="s">
        <v>492</v>
      </c>
      <c r="Y264" s="400"/>
      <c r="Z264" s="283"/>
    </row>
    <row r="265" spans="2:26" ht="19.5" hidden="1" customHeight="1">
      <c r="B265" s="29">
        <f t="shared" si="9"/>
        <v>255</v>
      </c>
      <c r="C265" s="30" t="s">
        <v>206</v>
      </c>
      <c r="D265" s="30" t="s">
        <v>225</v>
      </c>
      <c r="E265" s="234" t="s">
        <v>776</v>
      </c>
      <c r="F265" s="235" t="s">
        <v>1248</v>
      </c>
      <c r="G265" s="284">
        <f>IFERROR(VLOOKUP(E265,Assign!$C$2:$J$142,8,FALSE),)</f>
        <v>0</v>
      </c>
      <c r="H265" s="279" t="s">
        <v>6310</v>
      </c>
      <c r="I265" s="280" t="s">
        <v>5686</v>
      </c>
      <c r="J265" s="281" t="s">
        <v>3751</v>
      </c>
      <c r="K265" s="282">
        <v>44481</v>
      </c>
      <c r="L265" s="282">
        <v>45577</v>
      </c>
      <c r="M265" s="282">
        <v>45517</v>
      </c>
      <c r="N265" s="371">
        <v>150000000</v>
      </c>
      <c r="O265" s="444" t="s">
        <v>3866</v>
      </c>
      <c r="P265" s="397">
        <v>150000000</v>
      </c>
      <c r="Q265" s="397">
        <v>150000000</v>
      </c>
      <c r="R265" s="397"/>
      <c r="S265" s="398">
        <f t="shared" si="10"/>
        <v>150000000</v>
      </c>
      <c r="T265" s="353"/>
      <c r="U265" s="353">
        <f t="shared" si="11"/>
        <v>150000000</v>
      </c>
      <c r="V265" s="399"/>
      <c r="W265" s="399"/>
      <c r="X265" s="400" t="s">
        <v>492</v>
      </c>
      <c r="Y265" s="400"/>
      <c r="Z265" s="283"/>
    </row>
    <row r="266" spans="2:26" ht="19.5" hidden="1" customHeight="1">
      <c r="B266" s="29">
        <f t="shared" si="9"/>
        <v>256</v>
      </c>
      <c r="C266" s="30" t="s">
        <v>206</v>
      </c>
      <c r="D266" s="30" t="s">
        <v>225</v>
      </c>
      <c r="E266" s="234" t="s">
        <v>777</v>
      </c>
      <c r="F266" s="235" t="s">
        <v>1217</v>
      </c>
      <c r="G266" s="284" t="str">
        <f>IFERROR(VLOOKUP(E266,Assign!$C$2:$J$142,8,FALSE),)</f>
        <v>문선영</v>
      </c>
      <c r="H266" s="279" t="s">
        <v>6241</v>
      </c>
      <c r="I266" s="280" t="s">
        <v>5620</v>
      </c>
      <c r="J266" s="281" t="s">
        <v>3735</v>
      </c>
      <c r="K266" s="282">
        <v>43203</v>
      </c>
      <c r="L266" s="282">
        <v>54161</v>
      </c>
      <c r="M266" s="282">
        <v>45518</v>
      </c>
      <c r="N266" s="371">
        <v>170000000</v>
      </c>
      <c r="O266" s="444" t="s">
        <v>3866</v>
      </c>
      <c r="P266" s="397">
        <v>149488237</v>
      </c>
      <c r="Q266" s="397">
        <v>149488237</v>
      </c>
      <c r="R266" s="397"/>
      <c r="S266" s="398">
        <f t="shared" si="10"/>
        <v>149488237</v>
      </c>
      <c r="T266" s="353"/>
      <c r="U266" s="353">
        <f t="shared" si="11"/>
        <v>149488237</v>
      </c>
      <c r="V266" s="399"/>
      <c r="W266" s="399"/>
      <c r="X266" s="400" t="s">
        <v>492</v>
      </c>
      <c r="Y266" s="400"/>
      <c r="Z266" s="283"/>
    </row>
    <row r="267" spans="2:26" ht="19.5" hidden="1" customHeight="1">
      <c r="B267" s="29">
        <f t="shared" ref="B267:B330" si="12">ROW()-10</f>
        <v>257</v>
      </c>
      <c r="C267" s="30" t="s">
        <v>206</v>
      </c>
      <c r="D267" s="30" t="s">
        <v>225</v>
      </c>
      <c r="E267" s="234" t="s">
        <v>778</v>
      </c>
      <c r="F267" s="235" t="s">
        <v>1229</v>
      </c>
      <c r="G267" s="284" t="str">
        <f>IFERROR(VLOOKUP(E267,Assign!$C$2:$J$142,8,FALSE),)</f>
        <v>문선영</v>
      </c>
      <c r="H267" s="279" t="s">
        <v>6739</v>
      </c>
      <c r="I267" s="280" t="s">
        <v>6017</v>
      </c>
      <c r="J267" s="281" t="s">
        <v>3741</v>
      </c>
      <c r="K267" s="282">
        <v>43199</v>
      </c>
      <c r="L267" s="282">
        <v>55983</v>
      </c>
      <c r="M267" s="282">
        <v>45336</v>
      </c>
      <c r="N267" s="371">
        <v>165000000</v>
      </c>
      <c r="O267" s="444" t="s">
        <v>3866</v>
      </c>
      <c r="P267" s="397">
        <v>148047429</v>
      </c>
      <c r="Q267" s="397">
        <v>148047429</v>
      </c>
      <c r="R267" s="397"/>
      <c r="S267" s="398">
        <f t="shared" ref="S267:S330" si="13">Q267+R267</f>
        <v>148047429</v>
      </c>
      <c r="T267" s="353"/>
      <c r="U267" s="353">
        <f t="shared" ref="U267:U330" si="14">S267+T267</f>
        <v>148047429</v>
      </c>
      <c r="V267" s="399"/>
      <c r="W267" s="399"/>
      <c r="X267" s="400" t="s">
        <v>492</v>
      </c>
      <c r="Y267" s="400"/>
      <c r="Z267" s="283"/>
    </row>
    <row r="268" spans="2:26" ht="19.5" hidden="1" customHeight="1">
      <c r="B268" s="29">
        <f t="shared" si="12"/>
        <v>258</v>
      </c>
      <c r="C268" s="30" t="s">
        <v>206</v>
      </c>
      <c r="D268" s="30" t="s">
        <v>225</v>
      </c>
      <c r="E268" s="234" t="s">
        <v>779</v>
      </c>
      <c r="F268" s="235" t="s">
        <v>1229</v>
      </c>
      <c r="G268" s="284" t="str">
        <f>IFERROR(VLOOKUP(E268,Assign!$C$2:$J$142,8,FALSE),)</f>
        <v>문선영</v>
      </c>
      <c r="H268" s="279" t="s">
        <v>6423</v>
      </c>
      <c r="I268" s="280" t="s">
        <v>5782</v>
      </c>
      <c r="J268" s="281" t="s">
        <v>3759</v>
      </c>
      <c r="K268" s="282">
        <v>42398</v>
      </c>
      <c r="L268" s="282">
        <v>53356</v>
      </c>
      <c r="M268" s="282">
        <v>45381</v>
      </c>
      <c r="N268" s="371">
        <v>157000000</v>
      </c>
      <c r="O268" s="444" t="s">
        <v>3866</v>
      </c>
      <c r="P268" s="397">
        <v>147667323</v>
      </c>
      <c r="Q268" s="397">
        <v>147667323</v>
      </c>
      <c r="R268" s="397"/>
      <c r="S268" s="398">
        <f t="shared" si="13"/>
        <v>147667323</v>
      </c>
      <c r="T268" s="353"/>
      <c r="U268" s="353">
        <f t="shared" si="14"/>
        <v>147667323</v>
      </c>
      <c r="V268" s="399"/>
      <c r="W268" s="399"/>
      <c r="X268" s="400" t="s">
        <v>492</v>
      </c>
      <c r="Y268" s="400"/>
      <c r="Z268" s="283"/>
    </row>
    <row r="269" spans="2:26" ht="19.5" hidden="1" customHeight="1">
      <c r="B269" s="29">
        <f t="shared" si="12"/>
        <v>259</v>
      </c>
      <c r="C269" s="30" t="s">
        <v>206</v>
      </c>
      <c r="D269" s="30" t="s">
        <v>225</v>
      </c>
      <c r="E269" s="234" t="s">
        <v>780</v>
      </c>
      <c r="F269" s="235" t="s">
        <v>1229</v>
      </c>
      <c r="G269" s="284">
        <f>IFERROR(VLOOKUP(E269,Assign!$C$2:$J$142,8,FALSE),)</f>
        <v>0</v>
      </c>
      <c r="H269" s="279" t="s">
        <v>6302</v>
      </c>
      <c r="I269" s="280" t="s">
        <v>5678</v>
      </c>
      <c r="J269" s="281" t="s">
        <v>3733</v>
      </c>
      <c r="K269" s="282">
        <v>43144</v>
      </c>
      <c r="L269" s="282">
        <v>45517</v>
      </c>
      <c r="M269" s="282">
        <v>45457</v>
      </c>
      <c r="N269" s="371">
        <v>147000000</v>
      </c>
      <c r="O269" s="444" t="s">
        <v>3866</v>
      </c>
      <c r="P269" s="397">
        <v>147000000</v>
      </c>
      <c r="Q269" s="397">
        <v>147000000</v>
      </c>
      <c r="R269" s="397"/>
      <c r="S269" s="398">
        <f t="shared" si="13"/>
        <v>147000000</v>
      </c>
      <c r="T269" s="353"/>
      <c r="U269" s="353">
        <f t="shared" si="14"/>
        <v>147000000</v>
      </c>
      <c r="V269" s="399"/>
      <c r="W269" s="399"/>
      <c r="X269" s="400" t="s">
        <v>492</v>
      </c>
      <c r="Y269" s="400"/>
      <c r="Z269" s="283"/>
    </row>
    <row r="270" spans="2:26" ht="19.5" hidden="1" customHeight="1">
      <c r="B270" s="29">
        <f t="shared" si="12"/>
        <v>260</v>
      </c>
      <c r="C270" s="30" t="s">
        <v>206</v>
      </c>
      <c r="D270" s="30" t="s">
        <v>225</v>
      </c>
      <c r="E270" s="234" t="s">
        <v>781</v>
      </c>
      <c r="F270" s="235" t="s">
        <v>1318</v>
      </c>
      <c r="G270" s="284">
        <f>IFERROR(VLOOKUP(E270,Assign!$C$2:$J$142,8,FALSE),)</f>
        <v>0</v>
      </c>
      <c r="H270" s="279" t="s">
        <v>7036</v>
      </c>
      <c r="I270" s="280" t="s">
        <v>6144</v>
      </c>
      <c r="J270" s="281" t="s">
        <v>3741</v>
      </c>
      <c r="K270" s="282">
        <v>44032</v>
      </c>
      <c r="L270" s="282">
        <v>54989</v>
      </c>
      <c r="M270" s="282">
        <v>45464</v>
      </c>
      <c r="N270" s="371">
        <v>123000000</v>
      </c>
      <c r="O270" s="444" t="s">
        <v>3866</v>
      </c>
      <c r="P270" s="397">
        <v>112987476</v>
      </c>
      <c r="Q270" s="397">
        <v>112987476</v>
      </c>
      <c r="R270" s="397"/>
      <c r="S270" s="398">
        <f t="shared" si="13"/>
        <v>112987476</v>
      </c>
      <c r="T270" s="353"/>
      <c r="U270" s="353">
        <f t="shared" si="14"/>
        <v>112987476</v>
      </c>
      <c r="V270" s="399"/>
      <c r="W270" s="399"/>
      <c r="X270" s="400" t="s">
        <v>492</v>
      </c>
      <c r="Y270" s="400"/>
      <c r="Z270" s="283"/>
    </row>
    <row r="271" spans="2:26" ht="19.5" hidden="1" customHeight="1">
      <c r="B271" s="29">
        <f t="shared" si="12"/>
        <v>261</v>
      </c>
      <c r="C271" s="30" t="s">
        <v>206</v>
      </c>
      <c r="D271" s="30" t="s">
        <v>225</v>
      </c>
      <c r="E271" s="234" t="s">
        <v>781</v>
      </c>
      <c r="F271" s="235" t="s">
        <v>1318</v>
      </c>
      <c r="G271" s="284">
        <f>IFERROR(VLOOKUP(E271,Assign!$C$2:$J$142,8,FALSE),)</f>
        <v>0</v>
      </c>
      <c r="H271" s="279" t="s">
        <v>7037</v>
      </c>
      <c r="I271" s="280" t="s">
        <v>5656</v>
      </c>
      <c r="J271" s="281" t="s">
        <v>3821</v>
      </c>
      <c r="K271" s="282">
        <v>44032</v>
      </c>
      <c r="L271" s="282">
        <v>54989</v>
      </c>
      <c r="M271" s="282">
        <v>45464</v>
      </c>
      <c r="N271" s="371">
        <v>35000000</v>
      </c>
      <c r="O271" s="444" t="s">
        <v>3866</v>
      </c>
      <c r="P271" s="397">
        <v>32396683</v>
      </c>
      <c r="Q271" s="397">
        <v>32396683</v>
      </c>
      <c r="R271" s="397"/>
      <c r="S271" s="398">
        <f t="shared" si="13"/>
        <v>32396683</v>
      </c>
      <c r="T271" s="353"/>
      <c r="U271" s="353">
        <f t="shared" si="14"/>
        <v>32396683</v>
      </c>
      <c r="V271" s="399"/>
      <c r="W271" s="399"/>
      <c r="X271" s="400" t="s">
        <v>492</v>
      </c>
      <c r="Y271" s="400"/>
      <c r="Z271" s="283"/>
    </row>
    <row r="272" spans="2:26" ht="19.5" hidden="1" customHeight="1">
      <c r="B272" s="29">
        <f t="shared" si="12"/>
        <v>262</v>
      </c>
      <c r="C272" s="30" t="s">
        <v>206</v>
      </c>
      <c r="D272" s="30" t="s">
        <v>225</v>
      </c>
      <c r="E272" s="234" t="s">
        <v>782</v>
      </c>
      <c r="F272" s="235" t="s">
        <v>1236</v>
      </c>
      <c r="G272" s="284" t="str">
        <f>IFERROR(VLOOKUP(E272,Assign!$C$2:$J$142,8,FALSE),)</f>
        <v>문선영</v>
      </c>
      <c r="H272" s="279" t="s">
        <v>6359</v>
      </c>
      <c r="I272" s="280" t="s">
        <v>5729</v>
      </c>
      <c r="J272" s="281" t="s">
        <v>3735</v>
      </c>
      <c r="K272" s="282">
        <v>43354</v>
      </c>
      <c r="L272" s="282">
        <v>54312</v>
      </c>
      <c r="M272" s="282">
        <v>45577</v>
      </c>
      <c r="N272" s="371">
        <v>179000000</v>
      </c>
      <c r="O272" s="444" t="s">
        <v>3866</v>
      </c>
      <c r="P272" s="397">
        <v>143199936</v>
      </c>
      <c r="Q272" s="397">
        <v>143199936</v>
      </c>
      <c r="R272" s="397"/>
      <c r="S272" s="398">
        <f t="shared" si="13"/>
        <v>143199936</v>
      </c>
      <c r="T272" s="353"/>
      <c r="U272" s="353">
        <f t="shared" si="14"/>
        <v>143199936</v>
      </c>
      <c r="V272" s="399"/>
      <c r="W272" s="399"/>
      <c r="X272" s="400" t="s">
        <v>492</v>
      </c>
      <c r="Y272" s="400"/>
      <c r="Z272" s="283"/>
    </row>
    <row r="273" spans="2:26" ht="19.5" hidden="1" customHeight="1">
      <c r="B273" s="29">
        <f t="shared" si="12"/>
        <v>263</v>
      </c>
      <c r="C273" s="30" t="s">
        <v>206</v>
      </c>
      <c r="D273" s="30" t="s">
        <v>225</v>
      </c>
      <c r="E273" s="234" t="s">
        <v>783</v>
      </c>
      <c r="F273" s="235" t="s">
        <v>1249</v>
      </c>
      <c r="G273" s="284">
        <f>IFERROR(VLOOKUP(E273,Assign!$C$2:$J$142,8,FALSE),)</f>
        <v>0</v>
      </c>
      <c r="H273" s="279" t="s">
        <v>6660</v>
      </c>
      <c r="I273" s="280" t="s">
        <v>5965</v>
      </c>
      <c r="J273" s="281" t="s">
        <v>3733</v>
      </c>
      <c r="K273" s="282">
        <v>43192</v>
      </c>
      <c r="L273" s="282">
        <v>45670</v>
      </c>
      <c r="M273" s="282">
        <v>45671</v>
      </c>
      <c r="N273" s="371">
        <v>142000000</v>
      </c>
      <c r="O273" s="444" t="s">
        <v>3866</v>
      </c>
      <c r="P273" s="397">
        <v>142000000</v>
      </c>
      <c r="Q273" s="397">
        <v>142000000</v>
      </c>
      <c r="R273" s="397"/>
      <c r="S273" s="398">
        <f t="shared" si="13"/>
        <v>142000000</v>
      </c>
      <c r="T273" s="353"/>
      <c r="U273" s="353">
        <f t="shared" si="14"/>
        <v>142000000</v>
      </c>
      <c r="V273" s="399"/>
      <c r="W273" s="399"/>
      <c r="X273" s="400" t="s">
        <v>492</v>
      </c>
      <c r="Y273" s="400"/>
      <c r="Z273" s="283"/>
    </row>
    <row r="274" spans="2:26" ht="19.5" hidden="1" customHeight="1">
      <c r="B274" s="29">
        <f t="shared" si="12"/>
        <v>264</v>
      </c>
      <c r="C274" s="30" t="s">
        <v>206</v>
      </c>
      <c r="D274" s="30" t="s">
        <v>225</v>
      </c>
      <c r="E274" s="234" t="s">
        <v>784</v>
      </c>
      <c r="F274" s="235" t="s">
        <v>1229</v>
      </c>
      <c r="G274" s="284">
        <f>IFERROR(VLOOKUP(E274,Assign!$C$2:$J$142,8,FALSE),)</f>
        <v>0</v>
      </c>
      <c r="H274" s="279" t="s">
        <v>6295</v>
      </c>
      <c r="I274" s="280" t="s">
        <v>5671</v>
      </c>
      <c r="J274" s="281" t="s">
        <v>3751</v>
      </c>
      <c r="K274" s="282">
        <v>44467</v>
      </c>
      <c r="L274" s="282">
        <v>45598</v>
      </c>
      <c r="M274" s="282">
        <v>45594</v>
      </c>
      <c r="N274" s="371">
        <v>139600000</v>
      </c>
      <c r="O274" s="444" t="s">
        <v>3866</v>
      </c>
      <c r="P274" s="397">
        <v>139600000</v>
      </c>
      <c r="Q274" s="397">
        <v>139600000</v>
      </c>
      <c r="R274" s="397"/>
      <c r="S274" s="398">
        <f t="shared" si="13"/>
        <v>139600000</v>
      </c>
      <c r="T274" s="353"/>
      <c r="U274" s="353">
        <f t="shared" si="14"/>
        <v>139600000</v>
      </c>
      <c r="V274" s="399"/>
      <c r="W274" s="399"/>
      <c r="X274" s="400" t="s">
        <v>492</v>
      </c>
      <c r="Y274" s="400"/>
      <c r="Z274" s="283"/>
    </row>
    <row r="275" spans="2:26" ht="19.5" hidden="1" customHeight="1">
      <c r="B275" s="29">
        <f t="shared" si="12"/>
        <v>265</v>
      </c>
      <c r="C275" s="30" t="s">
        <v>206</v>
      </c>
      <c r="D275" s="30" t="s">
        <v>225</v>
      </c>
      <c r="E275" s="234" t="s">
        <v>785</v>
      </c>
      <c r="F275" s="235" t="s">
        <v>1250</v>
      </c>
      <c r="G275" s="284" t="str">
        <f>IFERROR(VLOOKUP(E275,Assign!$C$2:$J$142,8,FALSE),)</f>
        <v>문선영</v>
      </c>
      <c r="H275" s="279" t="s">
        <v>6634</v>
      </c>
      <c r="I275" s="280" t="s">
        <v>5945</v>
      </c>
      <c r="J275" s="281" t="s">
        <v>3759</v>
      </c>
      <c r="K275" s="282">
        <v>42180</v>
      </c>
      <c r="L275" s="282">
        <v>53138</v>
      </c>
      <c r="M275" s="282">
        <v>45499</v>
      </c>
      <c r="N275" s="371">
        <v>155700000</v>
      </c>
      <c r="O275" s="444" t="s">
        <v>3866</v>
      </c>
      <c r="P275" s="397">
        <v>136963731</v>
      </c>
      <c r="Q275" s="397">
        <v>136963731</v>
      </c>
      <c r="R275" s="397"/>
      <c r="S275" s="398">
        <f t="shared" si="13"/>
        <v>136963731</v>
      </c>
      <c r="T275" s="353"/>
      <c r="U275" s="353">
        <f t="shared" si="14"/>
        <v>136963731</v>
      </c>
      <c r="V275" s="399"/>
      <c r="W275" s="399"/>
      <c r="X275" s="400" t="s">
        <v>492</v>
      </c>
      <c r="Y275" s="400"/>
      <c r="Z275" s="283"/>
    </row>
    <row r="276" spans="2:26" ht="19.5" hidden="1" customHeight="1">
      <c r="B276" s="29">
        <f t="shared" si="12"/>
        <v>266</v>
      </c>
      <c r="C276" s="30" t="s">
        <v>206</v>
      </c>
      <c r="D276" s="30" t="s">
        <v>225</v>
      </c>
      <c r="E276" s="234" t="s">
        <v>786</v>
      </c>
      <c r="F276" s="235" t="s">
        <v>1225</v>
      </c>
      <c r="G276" s="284">
        <f>IFERROR(VLOOKUP(E276,Assign!$C$2:$J$142,8,FALSE),)</f>
        <v>0</v>
      </c>
      <c r="H276" s="279" t="s">
        <v>6650</v>
      </c>
      <c r="I276" s="280" t="s">
        <v>5958</v>
      </c>
      <c r="J276" s="281" t="s">
        <v>3787</v>
      </c>
      <c r="K276" s="282">
        <v>45044</v>
      </c>
      <c r="L276" s="282">
        <v>45773</v>
      </c>
      <c r="M276" s="282">
        <v>45472</v>
      </c>
      <c r="N276" s="371">
        <v>136400000</v>
      </c>
      <c r="O276" s="444" t="s">
        <v>3866</v>
      </c>
      <c r="P276" s="397">
        <v>136100000</v>
      </c>
      <c r="Q276" s="397">
        <v>136100000</v>
      </c>
      <c r="R276" s="397"/>
      <c r="S276" s="398">
        <f t="shared" si="13"/>
        <v>136100000</v>
      </c>
      <c r="T276" s="353"/>
      <c r="U276" s="353">
        <f t="shared" si="14"/>
        <v>136100000</v>
      </c>
      <c r="V276" s="399"/>
      <c r="W276" s="399"/>
      <c r="X276" s="400" t="s">
        <v>492</v>
      </c>
      <c r="Y276" s="400"/>
      <c r="Z276" s="283"/>
    </row>
    <row r="277" spans="2:26" ht="19.5" hidden="1" customHeight="1">
      <c r="B277" s="29">
        <f t="shared" si="12"/>
        <v>267</v>
      </c>
      <c r="C277" s="30" t="s">
        <v>206</v>
      </c>
      <c r="D277" s="30" t="s">
        <v>225</v>
      </c>
      <c r="E277" s="234" t="s">
        <v>787</v>
      </c>
      <c r="F277" s="235" t="s">
        <v>1217</v>
      </c>
      <c r="G277" s="284">
        <f>IFERROR(VLOOKUP(E277,Assign!$C$2:$J$142,8,FALSE),)</f>
        <v>0</v>
      </c>
      <c r="H277" s="279" t="s">
        <v>7047</v>
      </c>
      <c r="I277" s="280" t="s">
        <v>5795</v>
      </c>
      <c r="J277" s="281" t="s">
        <v>3735</v>
      </c>
      <c r="K277" s="282">
        <v>44208</v>
      </c>
      <c r="L277" s="282">
        <v>55165</v>
      </c>
      <c r="M277" s="282">
        <v>45336</v>
      </c>
      <c r="N277" s="371">
        <v>144000000</v>
      </c>
      <c r="O277" s="444" t="s">
        <v>3866</v>
      </c>
      <c r="P277" s="397">
        <v>134862699</v>
      </c>
      <c r="Q277" s="397">
        <v>134862699</v>
      </c>
      <c r="R277" s="397"/>
      <c r="S277" s="398">
        <f t="shared" si="13"/>
        <v>134862699</v>
      </c>
      <c r="T277" s="353"/>
      <c r="U277" s="353">
        <f t="shared" si="14"/>
        <v>134862699</v>
      </c>
      <c r="V277" s="399"/>
      <c r="W277" s="399"/>
      <c r="X277" s="400" t="s">
        <v>492</v>
      </c>
      <c r="Y277" s="400"/>
      <c r="Z277" s="283"/>
    </row>
    <row r="278" spans="2:26" ht="19.5" hidden="1" customHeight="1">
      <c r="B278" s="29">
        <f t="shared" si="12"/>
        <v>268</v>
      </c>
      <c r="C278" s="30" t="s">
        <v>206</v>
      </c>
      <c r="D278" s="30" t="s">
        <v>225</v>
      </c>
      <c r="E278" s="234" t="s">
        <v>788</v>
      </c>
      <c r="F278" s="235" t="s">
        <v>1238</v>
      </c>
      <c r="G278" s="284">
        <f>IFERROR(VLOOKUP(E278,Assign!$C$2:$J$142,8,FALSE),)</f>
        <v>0</v>
      </c>
      <c r="H278" s="279" t="s">
        <v>6568</v>
      </c>
      <c r="I278" s="280" t="s">
        <v>5896</v>
      </c>
      <c r="J278" s="281" t="s">
        <v>3735</v>
      </c>
      <c r="K278" s="282">
        <v>42503</v>
      </c>
      <c r="L278" s="282">
        <v>53460</v>
      </c>
      <c r="M278" s="282">
        <v>45610</v>
      </c>
      <c r="N278" s="371">
        <v>166000000</v>
      </c>
      <c r="O278" s="444" t="s">
        <v>3866</v>
      </c>
      <c r="P278" s="397">
        <v>134133864</v>
      </c>
      <c r="Q278" s="397">
        <v>134133864</v>
      </c>
      <c r="R278" s="397"/>
      <c r="S278" s="398">
        <f t="shared" si="13"/>
        <v>134133864</v>
      </c>
      <c r="T278" s="353"/>
      <c r="U278" s="353">
        <f t="shared" si="14"/>
        <v>134133864</v>
      </c>
      <c r="V278" s="399"/>
      <c r="W278" s="399"/>
      <c r="X278" s="400" t="s">
        <v>492</v>
      </c>
      <c r="Y278" s="400"/>
      <c r="Z278" s="283"/>
    </row>
    <row r="279" spans="2:26" ht="19.5" hidden="1" customHeight="1">
      <c r="B279" s="29">
        <f t="shared" si="12"/>
        <v>269</v>
      </c>
      <c r="C279" s="30" t="s">
        <v>206</v>
      </c>
      <c r="D279" s="30" t="s">
        <v>225</v>
      </c>
      <c r="E279" s="234" t="s">
        <v>789</v>
      </c>
      <c r="F279" s="235" t="s">
        <v>1225</v>
      </c>
      <c r="G279" s="284">
        <f>IFERROR(VLOOKUP(E279,Assign!$C$2:$J$142,8,FALSE),)</f>
        <v>0</v>
      </c>
      <c r="H279" s="279" t="s">
        <v>7044</v>
      </c>
      <c r="I279" s="280" t="s">
        <v>5975</v>
      </c>
      <c r="J279" s="281" t="s">
        <v>3756</v>
      </c>
      <c r="K279" s="282">
        <v>44477</v>
      </c>
      <c r="L279" s="282">
        <v>57261</v>
      </c>
      <c r="M279" s="282">
        <v>45666</v>
      </c>
      <c r="N279" s="371">
        <v>140000000</v>
      </c>
      <c r="O279" s="444" t="s">
        <v>3866</v>
      </c>
      <c r="P279" s="397">
        <v>133415187</v>
      </c>
      <c r="Q279" s="397">
        <v>133415187</v>
      </c>
      <c r="R279" s="397"/>
      <c r="S279" s="398">
        <f t="shared" si="13"/>
        <v>133415187</v>
      </c>
      <c r="T279" s="353"/>
      <c r="U279" s="353">
        <f t="shared" si="14"/>
        <v>133415187</v>
      </c>
      <c r="V279" s="399"/>
      <c r="W279" s="399"/>
      <c r="X279" s="400" t="s">
        <v>492</v>
      </c>
      <c r="Y279" s="400"/>
      <c r="Z279" s="283"/>
    </row>
    <row r="280" spans="2:26" ht="19.5" hidden="1" customHeight="1">
      <c r="B280" s="29">
        <f t="shared" si="12"/>
        <v>270</v>
      </c>
      <c r="C280" s="30" t="s">
        <v>206</v>
      </c>
      <c r="D280" s="30" t="s">
        <v>225</v>
      </c>
      <c r="E280" s="234" t="s">
        <v>790</v>
      </c>
      <c r="F280" s="235" t="s">
        <v>1229</v>
      </c>
      <c r="G280" s="284" t="str">
        <f>IFERROR(VLOOKUP(E280,Assign!$C$2:$J$142,8,FALSE),)</f>
        <v>문선영</v>
      </c>
      <c r="H280" s="279" t="s">
        <v>6607</v>
      </c>
      <c r="I280" s="280" t="s">
        <v>5692</v>
      </c>
      <c r="J280" s="281" t="s">
        <v>3735</v>
      </c>
      <c r="K280" s="282">
        <v>43136</v>
      </c>
      <c r="L280" s="282">
        <v>54093</v>
      </c>
      <c r="M280" s="282">
        <v>45344</v>
      </c>
      <c r="N280" s="371">
        <v>150000000</v>
      </c>
      <c r="O280" s="444" t="s">
        <v>3866</v>
      </c>
      <c r="P280" s="397">
        <v>131182723</v>
      </c>
      <c r="Q280" s="397">
        <v>131182723</v>
      </c>
      <c r="R280" s="397"/>
      <c r="S280" s="398">
        <f t="shared" si="13"/>
        <v>131182723</v>
      </c>
      <c r="T280" s="353"/>
      <c r="U280" s="353">
        <f t="shared" si="14"/>
        <v>131182723</v>
      </c>
      <c r="V280" s="399"/>
      <c r="W280" s="399"/>
      <c r="X280" s="400" t="s">
        <v>492</v>
      </c>
      <c r="Y280" s="400"/>
      <c r="Z280" s="283"/>
    </row>
    <row r="281" spans="2:26" ht="19.5" hidden="1" customHeight="1">
      <c r="B281" s="29">
        <f t="shared" si="12"/>
        <v>271</v>
      </c>
      <c r="C281" s="30" t="s">
        <v>206</v>
      </c>
      <c r="D281" s="30" t="s">
        <v>225</v>
      </c>
      <c r="E281" s="234" t="s">
        <v>791</v>
      </c>
      <c r="F281" s="235" t="s">
        <v>1251</v>
      </c>
      <c r="G281" s="284">
        <f>IFERROR(VLOOKUP(E281,Assign!$C$2:$J$142,8,FALSE),)</f>
        <v>0</v>
      </c>
      <c r="H281" s="279" t="s">
        <v>7031</v>
      </c>
      <c r="I281" s="280" t="s">
        <v>6058</v>
      </c>
      <c r="J281" s="281" t="s">
        <v>3737</v>
      </c>
      <c r="K281" s="282">
        <v>41918</v>
      </c>
      <c r="L281" s="282">
        <v>52876</v>
      </c>
      <c r="M281" s="282">
        <v>45366</v>
      </c>
      <c r="N281" s="371">
        <v>130000000</v>
      </c>
      <c r="O281" s="444" t="s">
        <v>3866</v>
      </c>
      <c r="P281" s="397">
        <v>130000000</v>
      </c>
      <c r="Q281" s="397">
        <v>130000000</v>
      </c>
      <c r="R281" s="397"/>
      <c r="S281" s="398">
        <f t="shared" si="13"/>
        <v>130000000</v>
      </c>
      <c r="T281" s="353"/>
      <c r="U281" s="353">
        <f t="shared" si="14"/>
        <v>130000000</v>
      </c>
      <c r="V281" s="399"/>
      <c r="W281" s="399"/>
      <c r="X281" s="400" t="s">
        <v>492</v>
      </c>
      <c r="Y281" s="400"/>
      <c r="Z281" s="283"/>
    </row>
    <row r="282" spans="2:26" ht="19.5" hidden="1" customHeight="1">
      <c r="B282" s="29">
        <f t="shared" si="12"/>
        <v>272</v>
      </c>
      <c r="C282" s="30" t="s">
        <v>206</v>
      </c>
      <c r="D282" s="30" t="s">
        <v>225</v>
      </c>
      <c r="E282" s="234" t="s">
        <v>792</v>
      </c>
      <c r="F282" s="235" t="s">
        <v>1229</v>
      </c>
      <c r="G282" s="284">
        <f>IFERROR(VLOOKUP(E282,Assign!$C$2:$J$142,8,FALSE),)</f>
        <v>0</v>
      </c>
      <c r="H282" s="279" t="s">
        <v>6419</v>
      </c>
      <c r="I282" s="280" t="s">
        <v>5778</v>
      </c>
      <c r="J282" s="281" t="s">
        <v>3735</v>
      </c>
      <c r="K282" s="282">
        <v>45033</v>
      </c>
      <c r="L282" s="282">
        <v>59643</v>
      </c>
      <c r="M282" s="282">
        <v>45615</v>
      </c>
      <c r="N282" s="371">
        <v>134000000</v>
      </c>
      <c r="O282" s="444" t="s">
        <v>3866</v>
      </c>
      <c r="P282" s="397">
        <v>128974692</v>
      </c>
      <c r="Q282" s="397">
        <v>128974692</v>
      </c>
      <c r="R282" s="397"/>
      <c r="S282" s="398">
        <f t="shared" si="13"/>
        <v>128974692</v>
      </c>
      <c r="T282" s="353"/>
      <c r="U282" s="353">
        <f t="shared" si="14"/>
        <v>128974692</v>
      </c>
      <c r="V282" s="399"/>
      <c r="W282" s="399"/>
      <c r="X282" s="400" t="s">
        <v>492</v>
      </c>
      <c r="Y282" s="400"/>
      <c r="Z282" s="283"/>
    </row>
    <row r="283" spans="2:26" ht="19.5" hidden="1" customHeight="1">
      <c r="B283" s="29">
        <f t="shared" si="12"/>
        <v>273</v>
      </c>
      <c r="C283" s="30" t="s">
        <v>206</v>
      </c>
      <c r="D283" s="30" t="s">
        <v>225</v>
      </c>
      <c r="E283" s="234" t="s">
        <v>793</v>
      </c>
      <c r="F283" s="235" t="s">
        <v>1231</v>
      </c>
      <c r="G283" s="284" t="str">
        <f>IFERROR(VLOOKUP(E283,Assign!$C$2:$J$142,8,FALSE),)</f>
        <v>문선영</v>
      </c>
      <c r="H283" s="279" t="s">
        <v>6344</v>
      </c>
      <c r="I283" s="280" t="s">
        <v>5628</v>
      </c>
      <c r="J283" s="281" t="s">
        <v>3755</v>
      </c>
      <c r="K283" s="282">
        <v>41824</v>
      </c>
      <c r="L283" s="282">
        <v>52782</v>
      </c>
      <c r="M283" s="282">
        <v>45387</v>
      </c>
      <c r="N283" s="371">
        <v>148000000</v>
      </c>
      <c r="O283" s="444" t="s">
        <v>3866</v>
      </c>
      <c r="P283" s="397">
        <v>128871186</v>
      </c>
      <c r="Q283" s="397">
        <v>128871186</v>
      </c>
      <c r="R283" s="397"/>
      <c r="S283" s="398">
        <f t="shared" si="13"/>
        <v>128871186</v>
      </c>
      <c r="T283" s="353"/>
      <c r="U283" s="353">
        <f t="shared" si="14"/>
        <v>128871186</v>
      </c>
      <c r="V283" s="399"/>
      <c r="W283" s="399"/>
      <c r="X283" s="400" t="s">
        <v>492</v>
      </c>
      <c r="Y283" s="400"/>
      <c r="Z283" s="283"/>
    </row>
    <row r="284" spans="2:26" ht="19.5" hidden="1" customHeight="1">
      <c r="B284" s="29">
        <f t="shared" si="12"/>
        <v>274</v>
      </c>
      <c r="C284" s="30" t="s">
        <v>206</v>
      </c>
      <c r="D284" s="30" t="s">
        <v>225</v>
      </c>
      <c r="E284" s="234" t="s">
        <v>794</v>
      </c>
      <c r="F284" s="235" t="s">
        <v>1223</v>
      </c>
      <c r="G284" s="284">
        <f>IFERROR(VLOOKUP(E284,Assign!$C$2:$J$142,8,FALSE),)</f>
        <v>0</v>
      </c>
      <c r="H284" s="279" t="s">
        <v>6627</v>
      </c>
      <c r="I284" s="280" t="s">
        <v>5939</v>
      </c>
      <c r="J284" s="281" t="s">
        <v>3756</v>
      </c>
      <c r="K284" s="282">
        <v>39597</v>
      </c>
      <c r="L284" s="282">
        <v>50554</v>
      </c>
      <c r="M284" s="282">
        <v>45566</v>
      </c>
      <c r="N284" s="371">
        <v>186000000</v>
      </c>
      <c r="O284" s="444" t="s">
        <v>3866</v>
      </c>
      <c r="P284" s="397">
        <v>127875000</v>
      </c>
      <c r="Q284" s="397">
        <v>127875000</v>
      </c>
      <c r="R284" s="397"/>
      <c r="S284" s="398">
        <f t="shared" si="13"/>
        <v>127875000</v>
      </c>
      <c r="T284" s="353"/>
      <c r="U284" s="353">
        <f t="shared" si="14"/>
        <v>127875000</v>
      </c>
      <c r="V284" s="399"/>
      <c r="W284" s="399"/>
      <c r="X284" s="400" t="s">
        <v>492</v>
      </c>
      <c r="Y284" s="400"/>
      <c r="Z284" s="283"/>
    </row>
    <row r="285" spans="2:26" ht="19.5" hidden="1" customHeight="1">
      <c r="B285" s="29">
        <f t="shared" si="12"/>
        <v>275</v>
      </c>
      <c r="C285" s="30" t="s">
        <v>206</v>
      </c>
      <c r="D285" s="30" t="s">
        <v>225</v>
      </c>
      <c r="E285" s="234" t="s">
        <v>795</v>
      </c>
      <c r="F285" s="235" t="s">
        <v>1252</v>
      </c>
      <c r="G285" s="284" t="str">
        <f>IFERROR(VLOOKUP(E285,Assign!$C$2:$J$142,8,FALSE),)</f>
        <v>문선영</v>
      </c>
      <c r="H285" s="279" t="s">
        <v>6663</v>
      </c>
      <c r="I285" s="280" t="s">
        <v>5968</v>
      </c>
      <c r="J285" s="281" t="s">
        <v>3736</v>
      </c>
      <c r="K285" s="282">
        <v>44755</v>
      </c>
      <c r="L285" s="282">
        <v>45486</v>
      </c>
      <c r="M285" s="282">
        <v>45367</v>
      </c>
      <c r="N285" s="371">
        <v>130000000</v>
      </c>
      <c r="O285" s="444" t="s">
        <v>3866</v>
      </c>
      <c r="P285" s="397">
        <v>127320640</v>
      </c>
      <c r="Q285" s="397">
        <v>127320640</v>
      </c>
      <c r="R285" s="397"/>
      <c r="S285" s="398">
        <f t="shared" si="13"/>
        <v>127320640</v>
      </c>
      <c r="T285" s="353"/>
      <c r="U285" s="353">
        <f t="shared" si="14"/>
        <v>127320640</v>
      </c>
      <c r="V285" s="399"/>
      <c r="W285" s="399"/>
      <c r="X285" s="400" t="s">
        <v>492</v>
      </c>
      <c r="Y285" s="400"/>
      <c r="Z285" s="283"/>
    </row>
    <row r="286" spans="2:26" ht="19.5" hidden="1" customHeight="1">
      <c r="B286" s="29">
        <f t="shared" si="12"/>
        <v>276</v>
      </c>
      <c r="C286" s="30" t="s">
        <v>206</v>
      </c>
      <c r="D286" s="30" t="s">
        <v>225</v>
      </c>
      <c r="E286" s="234" t="s">
        <v>796</v>
      </c>
      <c r="F286" s="235" t="s">
        <v>1231</v>
      </c>
      <c r="G286" s="284">
        <f>IFERROR(VLOOKUP(E286,Assign!$C$2:$J$142,8,FALSE),)</f>
        <v>0</v>
      </c>
      <c r="H286" s="279" t="s">
        <v>6378</v>
      </c>
      <c r="I286" s="280" t="s">
        <v>5745</v>
      </c>
      <c r="J286" s="281" t="s">
        <v>3741</v>
      </c>
      <c r="K286" s="282">
        <v>43833</v>
      </c>
      <c r="L286" s="282">
        <v>54791</v>
      </c>
      <c r="M286" s="282">
        <v>45510</v>
      </c>
      <c r="N286" s="371">
        <v>148000000</v>
      </c>
      <c r="O286" s="444" t="s">
        <v>3866</v>
      </c>
      <c r="P286" s="397">
        <v>125684935</v>
      </c>
      <c r="Q286" s="397">
        <v>125684935</v>
      </c>
      <c r="R286" s="397"/>
      <c r="S286" s="398">
        <f t="shared" si="13"/>
        <v>125684935</v>
      </c>
      <c r="T286" s="353"/>
      <c r="U286" s="353">
        <f t="shared" si="14"/>
        <v>125684935</v>
      </c>
      <c r="V286" s="399"/>
      <c r="W286" s="399"/>
      <c r="X286" s="400" t="s">
        <v>492</v>
      </c>
      <c r="Y286" s="400"/>
      <c r="Z286" s="283"/>
    </row>
    <row r="287" spans="2:26" ht="19.5" hidden="1" customHeight="1">
      <c r="B287" s="29">
        <f t="shared" si="12"/>
        <v>277</v>
      </c>
      <c r="C287" s="30" t="s">
        <v>206</v>
      </c>
      <c r="D287" s="30" t="s">
        <v>225</v>
      </c>
      <c r="E287" s="234" t="s">
        <v>797</v>
      </c>
      <c r="F287" s="235" t="s">
        <v>1253</v>
      </c>
      <c r="G287" s="284">
        <f>IFERROR(VLOOKUP(E287,Assign!$C$2:$J$142,8,FALSE),)</f>
        <v>0</v>
      </c>
      <c r="H287" s="279" t="s">
        <v>6337</v>
      </c>
      <c r="I287" s="280" t="s">
        <v>5711</v>
      </c>
      <c r="J287" s="281" t="s">
        <v>3741</v>
      </c>
      <c r="K287" s="282">
        <v>44505</v>
      </c>
      <c r="L287" s="282">
        <v>57289</v>
      </c>
      <c r="M287" s="282">
        <v>45541</v>
      </c>
      <c r="N287" s="371">
        <v>130000000</v>
      </c>
      <c r="O287" s="444" t="s">
        <v>3866</v>
      </c>
      <c r="P287" s="397">
        <v>125214868</v>
      </c>
      <c r="Q287" s="397">
        <v>125214868</v>
      </c>
      <c r="R287" s="397"/>
      <c r="S287" s="398">
        <f t="shared" si="13"/>
        <v>125214868</v>
      </c>
      <c r="T287" s="353"/>
      <c r="U287" s="353">
        <f t="shared" si="14"/>
        <v>125214868</v>
      </c>
      <c r="V287" s="399"/>
      <c r="W287" s="399"/>
      <c r="X287" s="400" t="s">
        <v>492</v>
      </c>
      <c r="Y287" s="400"/>
      <c r="Z287" s="283"/>
    </row>
    <row r="288" spans="2:26" ht="19.5" hidden="1" customHeight="1">
      <c r="B288" s="29">
        <f t="shared" si="12"/>
        <v>278</v>
      </c>
      <c r="C288" s="30" t="s">
        <v>206</v>
      </c>
      <c r="D288" s="30" t="s">
        <v>225</v>
      </c>
      <c r="E288" s="234" t="s">
        <v>798</v>
      </c>
      <c r="F288" s="235" t="s">
        <v>1231</v>
      </c>
      <c r="G288" s="284" t="str">
        <f>IFERROR(VLOOKUP(E288,Assign!$C$2:$J$142,8,FALSE),)</f>
        <v>문선영</v>
      </c>
      <c r="H288" s="279" t="s">
        <v>6426</v>
      </c>
      <c r="I288" s="280" t="s">
        <v>5784</v>
      </c>
      <c r="J288" s="281" t="s">
        <v>3737</v>
      </c>
      <c r="K288" s="282">
        <v>44824</v>
      </c>
      <c r="L288" s="282">
        <v>59434</v>
      </c>
      <c r="M288" s="282">
        <v>45525</v>
      </c>
      <c r="N288" s="371">
        <v>129700000</v>
      </c>
      <c r="O288" s="444" t="s">
        <v>3866</v>
      </c>
      <c r="P288" s="397">
        <v>123485056</v>
      </c>
      <c r="Q288" s="397">
        <v>123485056</v>
      </c>
      <c r="R288" s="397"/>
      <c r="S288" s="398">
        <f t="shared" si="13"/>
        <v>123485056</v>
      </c>
      <c r="T288" s="353"/>
      <c r="U288" s="353">
        <f t="shared" si="14"/>
        <v>123485056</v>
      </c>
      <c r="V288" s="399"/>
      <c r="W288" s="399"/>
      <c r="X288" s="400" t="s">
        <v>492</v>
      </c>
      <c r="Y288" s="400"/>
      <c r="Z288" s="283"/>
    </row>
    <row r="289" spans="2:26" ht="19.5" hidden="1" customHeight="1">
      <c r="B289" s="29">
        <f t="shared" si="12"/>
        <v>279</v>
      </c>
      <c r="C289" s="30" t="s">
        <v>206</v>
      </c>
      <c r="D289" s="30" t="s">
        <v>225</v>
      </c>
      <c r="E289" s="234" t="s">
        <v>799</v>
      </c>
      <c r="F289" s="235" t="s">
        <v>1229</v>
      </c>
      <c r="G289" s="284">
        <f>IFERROR(VLOOKUP(E289,Assign!$C$2:$J$142,8,FALSE),)</f>
        <v>0</v>
      </c>
      <c r="H289" s="279" t="s">
        <v>6871</v>
      </c>
      <c r="I289" s="280" t="s">
        <v>5829</v>
      </c>
      <c r="J289" s="281" t="s">
        <v>3742</v>
      </c>
      <c r="K289" s="282">
        <v>42307</v>
      </c>
      <c r="L289" s="282">
        <v>53265</v>
      </c>
      <c r="M289" s="282">
        <v>45413</v>
      </c>
      <c r="N289" s="371">
        <v>143000000</v>
      </c>
      <c r="O289" s="444" t="s">
        <v>3866</v>
      </c>
      <c r="P289" s="397">
        <v>123119787</v>
      </c>
      <c r="Q289" s="397">
        <v>123119787</v>
      </c>
      <c r="R289" s="397"/>
      <c r="S289" s="398">
        <f t="shared" si="13"/>
        <v>123119787</v>
      </c>
      <c r="T289" s="353"/>
      <c r="U289" s="353">
        <f t="shared" si="14"/>
        <v>123119787</v>
      </c>
      <c r="V289" s="399"/>
      <c r="W289" s="399"/>
      <c r="X289" s="400" t="s">
        <v>492</v>
      </c>
      <c r="Y289" s="400"/>
      <c r="Z289" s="283"/>
    </row>
    <row r="290" spans="2:26" ht="19.5" hidden="1" customHeight="1">
      <c r="B290" s="29">
        <f t="shared" si="12"/>
        <v>280</v>
      </c>
      <c r="C290" s="30" t="s">
        <v>206</v>
      </c>
      <c r="D290" s="30" t="s">
        <v>225</v>
      </c>
      <c r="E290" s="234" t="s">
        <v>800</v>
      </c>
      <c r="F290" s="235" t="s">
        <v>1226</v>
      </c>
      <c r="G290" s="284">
        <f>IFERROR(VLOOKUP(E290,Assign!$C$2:$J$142,8,FALSE),)</f>
        <v>0</v>
      </c>
      <c r="H290" s="279" t="s">
        <v>6556</v>
      </c>
      <c r="I290" s="280" t="s">
        <v>5665</v>
      </c>
      <c r="J290" s="281" t="s">
        <v>3735</v>
      </c>
      <c r="K290" s="282">
        <v>42697</v>
      </c>
      <c r="L290" s="282">
        <v>53654</v>
      </c>
      <c r="M290" s="282">
        <v>45559</v>
      </c>
      <c r="N290" s="371">
        <v>147000000</v>
      </c>
      <c r="O290" s="444" t="s">
        <v>3866</v>
      </c>
      <c r="P290" s="397">
        <v>122890773</v>
      </c>
      <c r="Q290" s="397">
        <v>122890773</v>
      </c>
      <c r="R290" s="397"/>
      <c r="S290" s="398">
        <f t="shared" si="13"/>
        <v>122890773</v>
      </c>
      <c r="T290" s="353"/>
      <c r="U290" s="353">
        <f t="shared" si="14"/>
        <v>122890773</v>
      </c>
      <c r="V290" s="399"/>
      <c r="W290" s="399"/>
      <c r="X290" s="400" t="s">
        <v>492</v>
      </c>
      <c r="Y290" s="400"/>
      <c r="Z290" s="283"/>
    </row>
    <row r="291" spans="2:26" ht="19.5" hidden="1" customHeight="1">
      <c r="B291" s="29">
        <f t="shared" si="12"/>
        <v>281</v>
      </c>
      <c r="C291" s="30" t="s">
        <v>206</v>
      </c>
      <c r="D291" s="30" t="s">
        <v>225</v>
      </c>
      <c r="E291" s="234" t="s">
        <v>801</v>
      </c>
      <c r="F291" s="235" t="s">
        <v>1254</v>
      </c>
      <c r="G291" s="284">
        <f>IFERROR(VLOOKUP(E291,Assign!$C$2:$J$142,8,FALSE),)</f>
        <v>0</v>
      </c>
      <c r="H291" s="279" t="s">
        <v>6823</v>
      </c>
      <c r="I291" s="280" t="s">
        <v>6065</v>
      </c>
      <c r="J291" s="281" t="s">
        <v>3735</v>
      </c>
      <c r="K291" s="282">
        <v>43105</v>
      </c>
      <c r="L291" s="282">
        <v>54062</v>
      </c>
      <c r="M291" s="282">
        <v>45573</v>
      </c>
      <c r="N291" s="371">
        <v>140000000</v>
      </c>
      <c r="O291" s="444" t="s">
        <v>3866</v>
      </c>
      <c r="P291" s="397">
        <v>122391139</v>
      </c>
      <c r="Q291" s="397">
        <v>122391139</v>
      </c>
      <c r="R291" s="397"/>
      <c r="S291" s="398">
        <f t="shared" si="13"/>
        <v>122391139</v>
      </c>
      <c r="T291" s="353"/>
      <c r="U291" s="353">
        <f t="shared" si="14"/>
        <v>122391139</v>
      </c>
      <c r="V291" s="399"/>
      <c r="W291" s="399"/>
      <c r="X291" s="400" t="s">
        <v>492</v>
      </c>
      <c r="Y291" s="400"/>
      <c r="Z291" s="283"/>
    </row>
    <row r="292" spans="2:26" ht="19.5" hidden="1" customHeight="1">
      <c r="B292" s="29">
        <f t="shared" si="12"/>
        <v>282</v>
      </c>
      <c r="C292" s="30" t="s">
        <v>206</v>
      </c>
      <c r="D292" s="30" t="s">
        <v>225</v>
      </c>
      <c r="E292" s="234" t="s">
        <v>802</v>
      </c>
      <c r="F292" s="235" t="s">
        <v>1217</v>
      </c>
      <c r="G292" s="284">
        <f>IFERROR(VLOOKUP(E292,Assign!$C$2:$J$142,8,FALSE),)</f>
        <v>0</v>
      </c>
      <c r="H292" s="279" t="s">
        <v>6524</v>
      </c>
      <c r="I292" s="280" t="s">
        <v>5860</v>
      </c>
      <c r="J292" s="281" t="s">
        <v>3735</v>
      </c>
      <c r="K292" s="282">
        <v>43430</v>
      </c>
      <c r="L292" s="282">
        <v>54388</v>
      </c>
      <c r="M292" s="282">
        <v>45349</v>
      </c>
      <c r="N292" s="371">
        <v>135000000</v>
      </c>
      <c r="O292" s="444" t="s">
        <v>3866</v>
      </c>
      <c r="P292" s="397">
        <v>120714108</v>
      </c>
      <c r="Q292" s="397">
        <v>120714108</v>
      </c>
      <c r="R292" s="397"/>
      <c r="S292" s="398">
        <f t="shared" si="13"/>
        <v>120714108</v>
      </c>
      <c r="T292" s="353"/>
      <c r="U292" s="353">
        <f t="shared" si="14"/>
        <v>120714108</v>
      </c>
      <c r="V292" s="399"/>
      <c r="W292" s="399"/>
      <c r="X292" s="400" t="s">
        <v>492</v>
      </c>
      <c r="Y292" s="400"/>
      <c r="Z292" s="283"/>
    </row>
    <row r="293" spans="2:26" ht="19.5" hidden="1" customHeight="1">
      <c r="B293" s="29">
        <f t="shared" si="12"/>
        <v>283</v>
      </c>
      <c r="C293" s="30" t="s">
        <v>206</v>
      </c>
      <c r="D293" s="30" t="s">
        <v>225</v>
      </c>
      <c r="E293" s="234" t="s">
        <v>803</v>
      </c>
      <c r="F293" s="235" t="s">
        <v>1319</v>
      </c>
      <c r="G293" s="284">
        <f>IFERROR(VLOOKUP(E293,Assign!$C$2:$J$142,8,FALSE),)</f>
        <v>0</v>
      </c>
      <c r="H293" s="279" t="s">
        <v>7040</v>
      </c>
      <c r="I293" s="280" t="s">
        <v>5753</v>
      </c>
      <c r="J293" s="281" t="s">
        <v>3734</v>
      </c>
      <c r="K293" s="282">
        <v>44403</v>
      </c>
      <c r="L293" s="282">
        <v>45683</v>
      </c>
      <c r="M293" s="282">
        <v>45689</v>
      </c>
      <c r="N293" s="371">
        <v>120000000</v>
      </c>
      <c r="O293" s="444" t="s">
        <v>3866</v>
      </c>
      <c r="P293" s="397">
        <v>119984626</v>
      </c>
      <c r="Q293" s="397">
        <v>119984626</v>
      </c>
      <c r="R293" s="397"/>
      <c r="S293" s="398">
        <f t="shared" si="13"/>
        <v>119984626</v>
      </c>
      <c r="T293" s="353"/>
      <c r="U293" s="353">
        <f t="shared" si="14"/>
        <v>119984626</v>
      </c>
      <c r="V293" s="399"/>
      <c r="W293" s="399"/>
      <c r="X293" s="400" t="s">
        <v>492</v>
      </c>
      <c r="Y293" s="400"/>
      <c r="Z293" s="283"/>
    </row>
    <row r="294" spans="2:26" ht="19.5" hidden="1" customHeight="1">
      <c r="B294" s="29">
        <f t="shared" si="12"/>
        <v>284</v>
      </c>
      <c r="C294" s="30" t="s">
        <v>206</v>
      </c>
      <c r="D294" s="30" t="s">
        <v>225</v>
      </c>
      <c r="E294" s="234" t="s">
        <v>804</v>
      </c>
      <c r="F294" s="235" t="s">
        <v>1225</v>
      </c>
      <c r="G294" s="284">
        <f>IFERROR(VLOOKUP(E294,Assign!$C$2:$J$142,8,FALSE),)</f>
        <v>0</v>
      </c>
      <c r="H294" s="279" t="s">
        <v>7013</v>
      </c>
      <c r="I294" s="280" t="s">
        <v>6166</v>
      </c>
      <c r="J294" s="281" t="s">
        <v>3741</v>
      </c>
      <c r="K294" s="282">
        <v>43640</v>
      </c>
      <c r="L294" s="282">
        <v>54598</v>
      </c>
      <c r="M294" s="282">
        <v>45560</v>
      </c>
      <c r="N294" s="371">
        <v>135000000</v>
      </c>
      <c r="O294" s="444" t="s">
        <v>3866</v>
      </c>
      <c r="P294" s="397">
        <v>119230915</v>
      </c>
      <c r="Q294" s="397">
        <v>119230915</v>
      </c>
      <c r="R294" s="397"/>
      <c r="S294" s="398">
        <f t="shared" si="13"/>
        <v>119230915</v>
      </c>
      <c r="T294" s="353"/>
      <c r="U294" s="353">
        <f t="shared" si="14"/>
        <v>119230915</v>
      </c>
      <c r="V294" s="399"/>
      <c r="W294" s="399"/>
      <c r="X294" s="400" t="s">
        <v>492</v>
      </c>
      <c r="Y294" s="400"/>
      <c r="Z294" s="283"/>
    </row>
    <row r="295" spans="2:26" ht="19.5" hidden="1" customHeight="1">
      <c r="B295" s="29">
        <f t="shared" si="12"/>
        <v>285</v>
      </c>
      <c r="C295" s="30" t="s">
        <v>206</v>
      </c>
      <c r="D295" s="30" t="s">
        <v>225</v>
      </c>
      <c r="E295" s="234" t="s">
        <v>805</v>
      </c>
      <c r="F295" s="235" t="s">
        <v>1231</v>
      </c>
      <c r="G295" s="284">
        <f>IFERROR(VLOOKUP(E295,Assign!$C$2:$J$142,8,FALSE),)</f>
        <v>0</v>
      </c>
      <c r="H295" s="279" t="s">
        <v>6407</v>
      </c>
      <c r="I295" s="280" t="s">
        <v>5768</v>
      </c>
      <c r="J295" s="281" t="s">
        <v>3735</v>
      </c>
      <c r="K295" s="282">
        <v>43040</v>
      </c>
      <c r="L295" s="282">
        <v>53997</v>
      </c>
      <c r="M295" s="282">
        <v>45294</v>
      </c>
      <c r="N295" s="371">
        <v>133000000</v>
      </c>
      <c r="O295" s="444" t="s">
        <v>3866</v>
      </c>
      <c r="P295" s="397">
        <v>118138019</v>
      </c>
      <c r="Q295" s="397">
        <v>118138019</v>
      </c>
      <c r="R295" s="397"/>
      <c r="S295" s="398">
        <f t="shared" si="13"/>
        <v>118138019</v>
      </c>
      <c r="T295" s="353"/>
      <c r="U295" s="353">
        <f t="shared" si="14"/>
        <v>118138019</v>
      </c>
      <c r="V295" s="399"/>
      <c r="W295" s="399"/>
      <c r="X295" s="400" t="s">
        <v>492</v>
      </c>
      <c r="Y295" s="400"/>
      <c r="Z295" s="283"/>
    </row>
    <row r="296" spans="2:26" ht="19.5" hidden="1" customHeight="1">
      <c r="B296" s="29">
        <f t="shared" si="12"/>
        <v>286</v>
      </c>
      <c r="C296" s="30" t="s">
        <v>206</v>
      </c>
      <c r="D296" s="30" t="s">
        <v>225</v>
      </c>
      <c r="E296" s="234" t="s">
        <v>806</v>
      </c>
      <c r="F296" s="235" t="s">
        <v>1229</v>
      </c>
      <c r="G296" s="284">
        <f>IFERROR(VLOOKUP(E296,Assign!$C$2:$J$142,8,FALSE),)</f>
        <v>0</v>
      </c>
      <c r="H296" s="279" t="s">
        <v>6343</v>
      </c>
      <c r="I296" s="280" t="s">
        <v>5717</v>
      </c>
      <c r="J296" s="281" t="s">
        <v>3735</v>
      </c>
      <c r="K296" s="282">
        <v>42880</v>
      </c>
      <c r="L296" s="282">
        <v>53837</v>
      </c>
      <c r="M296" s="282">
        <v>45561</v>
      </c>
      <c r="N296" s="371">
        <v>136500000</v>
      </c>
      <c r="O296" s="444" t="s">
        <v>3866</v>
      </c>
      <c r="P296" s="397">
        <v>116093823</v>
      </c>
      <c r="Q296" s="397">
        <v>116093823</v>
      </c>
      <c r="R296" s="397"/>
      <c r="S296" s="398">
        <f t="shared" si="13"/>
        <v>116093823</v>
      </c>
      <c r="T296" s="353"/>
      <c r="U296" s="353">
        <f t="shared" si="14"/>
        <v>116093823</v>
      </c>
      <c r="V296" s="399"/>
      <c r="W296" s="399"/>
      <c r="X296" s="400" t="s">
        <v>492</v>
      </c>
      <c r="Y296" s="400"/>
      <c r="Z296" s="283"/>
    </row>
    <row r="297" spans="2:26" ht="19.5" hidden="1" customHeight="1">
      <c r="B297" s="29">
        <f t="shared" si="12"/>
        <v>287</v>
      </c>
      <c r="C297" s="30" t="s">
        <v>206</v>
      </c>
      <c r="D297" s="30" t="s">
        <v>225</v>
      </c>
      <c r="E297" s="234" t="s">
        <v>807</v>
      </c>
      <c r="F297" s="235" t="s">
        <v>1229</v>
      </c>
      <c r="G297" s="284">
        <f>IFERROR(VLOOKUP(E297,Assign!$C$2:$J$142,8,FALSE),)</f>
        <v>0</v>
      </c>
      <c r="H297" s="279" t="s">
        <v>7082</v>
      </c>
      <c r="I297" s="280" t="s">
        <v>5996</v>
      </c>
      <c r="J297" s="281" t="s">
        <v>3741</v>
      </c>
      <c r="K297" s="282">
        <v>44523</v>
      </c>
      <c r="L297" s="282">
        <v>57307</v>
      </c>
      <c r="M297" s="282">
        <v>45468</v>
      </c>
      <c r="N297" s="371">
        <v>120000000</v>
      </c>
      <c r="O297" s="444" t="s">
        <v>3866</v>
      </c>
      <c r="P297" s="397">
        <v>115929749</v>
      </c>
      <c r="Q297" s="397">
        <v>115929749</v>
      </c>
      <c r="R297" s="397"/>
      <c r="S297" s="398">
        <f t="shared" si="13"/>
        <v>115929749</v>
      </c>
      <c r="T297" s="353"/>
      <c r="U297" s="353">
        <f t="shared" si="14"/>
        <v>115929749</v>
      </c>
      <c r="V297" s="399"/>
      <c r="W297" s="399"/>
      <c r="X297" s="400" t="s">
        <v>492</v>
      </c>
      <c r="Y297" s="400"/>
      <c r="Z297" s="283"/>
    </row>
    <row r="298" spans="2:26" ht="19.5" hidden="1" customHeight="1">
      <c r="B298" s="29">
        <f t="shared" si="12"/>
        <v>288</v>
      </c>
      <c r="C298" s="30" t="s">
        <v>206</v>
      </c>
      <c r="D298" s="30" t="s">
        <v>225</v>
      </c>
      <c r="E298" s="234" t="s">
        <v>808</v>
      </c>
      <c r="F298" s="235" t="s">
        <v>1225</v>
      </c>
      <c r="G298" s="284" t="str">
        <f>IFERROR(VLOOKUP(E298,Assign!$C$2:$J$142,8,FALSE),)</f>
        <v>문선영</v>
      </c>
      <c r="H298" s="279" t="s">
        <v>6694</v>
      </c>
      <c r="I298" s="280" t="s">
        <v>5992</v>
      </c>
      <c r="J298" s="281" t="s">
        <v>3755</v>
      </c>
      <c r="K298" s="282">
        <v>41780</v>
      </c>
      <c r="L298" s="282">
        <v>50911</v>
      </c>
      <c r="M298" s="282">
        <v>45710</v>
      </c>
      <c r="N298" s="371">
        <v>200000000</v>
      </c>
      <c r="O298" s="444" t="s">
        <v>3866</v>
      </c>
      <c r="P298" s="397">
        <v>114567110</v>
      </c>
      <c r="Q298" s="397">
        <v>114567110</v>
      </c>
      <c r="R298" s="397"/>
      <c r="S298" s="398">
        <f t="shared" si="13"/>
        <v>114567110</v>
      </c>
      <c r="T298" s="353"/>
      <c r="U298" s="353">
        <f t="shared" si="14"/>
        <v>114567110</v>
      </c>
      <c r="V298" s="399"/>
      <c r="W298" s="399"/>
      <c r="X298" s="400" t="s">
        <v>492</v>
      </c>
      <c r="Y298" s="400"/>
      <c r="Z298" s="283"/>
    </row>
    <row r="299" spans="2:26" ht="19.5" hidden="1" customHeight="1">
      <c r="B299" s="29">
        <f t="shared" si="12"/>
        <v>289</v>
      </c>
      <c r="C299" s="30" t="s">
        <v>206</v>
      </c>
      <c r="D299" s="30" t="s">
        <v>225</v>
      </c>
      <c r="E299" s="234" t="s">
        <v>809</v>
      </c>
      <c r="F299" s="235" t="s">
        <v>1224</v>
      </c>
      <c r="G299" s="284">
        <f>IFERROR(VLOOKUP(E299,Assign!$C$2:$J$142,8,FALSE),)</f>
        <v>0</v>
      </c>
      <c r="H299" s="279" t="s">
        <v>6826</v>
      </c>
      <c r="I299" s="280" t="s">
        <v>5947</v>
      </c>
      <c r="J299" s="281" t="s">
        <v>3735</v>
      </c>
      <c r="K299" s="282">
        <v>43357</v>
      </c>
      <c r="L299" s="282">
        <v>54315</v>
      </c>
      <c r="M299" s="282">
        <v>45580</v>
      </c>
      <c r="N299" s="371">
        <v>130000000</v>
      </c>
      <c r="O299" s="444" t="s">
        <v>3866</v>
      </c>
      <c r="P299" s="397">
        <v>112938033</v>
      </c>
      <c r="Q299" s="397">
        <v>112938033</v>
      </c>
      <c r="R299" s="397"/>
      <c r="S299" s="398">
        <f t="shared" si="13"/>
        <v>112938033</v>
      </c>
      <c r="T299" s="353"/>
      <c r="U299" s="353">
        <f t="shared" si="14"/>
        <v>112938033</v>
      </c>
      <c r="V299" s="399"/>
      <c r="W299" s="399"/>
      <c r="X299" s="400" t="s">
        <v>492</v>
      </c>
      <c r="Y299" s="400"/>
      <c r="Z299" s="283"/>
    </row>
    <row r="300" spans="2:26" ht="19.5" hidden="1" customHeight="1">
      <c r="B300" s="29">
        <f t="shared" si="12"/>
        <v>290</v>
      </c>
      <c r="C300" s="30" t="s">
        <v>206</v>
      </c>
      <c r="D300" s="30" t="s">
        <v>225</v>
      </c>
      <c r="E300" s="234" t="s">
        <v>810</v>
      </c>
      <c r="F300" s="235" t="s">
        <v>1229</v>
      </c>
      <c r="G300" s="284">
        <f>IFERROR(VLOOKUP(E300,Assign!$C$2:$J$142,8,FALSE),)</f>
        <v>0</v>
      </c>
      <c r="H300" s="279" t="s">
        <v>6535</v>
      </c>
      <c r="I300" s="280" t="s">
        <v>5869</v>
      </c>
      <c r="J300" s="281" t="s">
        <v>3736</v>
      </c>
      <c r="K300" s="282">
        <v>42019</v>
      </c>
      <c r="L300" s="282">
        <v>45672</v>
      </c>
      <c r="M300" s="282">
        <v>45636</v>
      </c>
      <c r="N300" s="371">
        <v>70000000</v>
      </c>
      <c r="O300" s="444" t="s">
        <v>3866</v>
      </c>
      <c r="P300" s="397">
        <v>70000000</v>
      </c>
      <c r="Q300" s="397">
        <v>70000000</v>
      </c>
      <c r="R300" s="397"/>
      <c r="S300" s="398">
        <f t="shared" si="13"/>
        <v>70000000</v>
      </c>
      <c r="T300" s="353"/>
      <c r="U300" s="353">
        <f t="shared" si="14"/>
        <v>70000000</v>
      </c>
      <c r="V300" s="399"/>
      <c r="W300" s="399"/>
      <c r="X300" s="400" t="s">
        <v>492</v>
      </c>
      <c r="Y300" s="400"/>
      <c r="Z300" s="283"/>
    </row>
    <row r="301" spans="2:26" ht="19.5" hidden="1" customHeight="1">
      <c r="B301" s="29">
        <f t="shared" si="12"/>
        <v>291</v>
      </c>
      <c r="C301" s="30" t="s">
        <v>206</v>
      </c>
      <c r="D301" s="30" t="s">
        <v>225</v>
      </c>
      <c r="E301" s="234" t="s">
        <v>810</v>
      </c>
      <c r="F301" s="235" t="s">
        <v>1229</v>
      </c>
      <c r="G301" s="284">
        <f>IFERROR(VLOOKUP(E301,Assign!$C$2:$J$142,8,FALSE),)</f>
        <v>0</v>
      </c>
      <c r="H301" s="279" t="s">
        <v>6536</v>
      </c>
      <c r="I301" s="280" t="s">
        <v>5870</v>
      </c>
      <c r="J301" s="281" t="s">
        <v>3742</v>
      </c>
      <c r="K301" s="282">
        <v>42019</v>
      </c>
      <c r="L301" s="282">
        <v>52977</v>
      </c>
      <c r="M301" s="282">
        <v>45612</v>
      </c>
      <c r="N301" s="371">
        <v>32000000</v>
      </c>
      <c r="O301" s="444" t="s">
        <v>3866</v>
      </c>
      <c r="P301" s="397">
        <v>21599784</v>
      </c>
      <c r="Q301" s="397">
        <v>21599784</v>
      </c>
      <c r="R301" s="397"/>
      <c r="S301" s="398">
        <f t="shared" si="13"/>
        <v>21599784</v>
      </c>
      <c r="T301" s="353"/>
      <c r="U301" s="353">
        <f t="shared" si="14"/>
        <v>21599784</v>
      </c>
      <c r="V301" s="399"/>
      <c r="W301" s="399"/>
      <c r="X301" s="400" t="s">
        <v>492</v>
      </c>
      <c r="Y301" s="400"/>
      <c r="Z301" s="283"/>
    </row>
    <row r="302" spans="2:26" ht="19.5" hidden="1" customHeight="1">
      <c r="B302" s="29">
        <f t="shared" si="12"/>
        <v>292</v>
      </c>
      <c r="C302" s="30" t="s">
        <v>206</v>
      </c>
      <c r="D302" s="30" t="s">
        <v>225</v>
      </c>
      <c r="E302" s="234" t="s">
        <v>810</v>
      </c>
      <c r="F302" s="235" t="s">
        <v>1229</v>
      </c>
      <c r="G302" s="284">
        <f>IFERROR(VLOOKUP(E302,Assign!$C$2:$J$142,8,FALSE),)</f>
        <v>0</v>
      </c>
      <c r="H302" s="279" t="s">
        <v>6537</v>
      </c>
      <c r="I302" s="280" t="s">
        <v>5791</v>
      </c>
      <c r="J302" s="281" t="s">
        <v>3742</v>
      </c>
      <c r="K302" s="282">
        <v>42019</v>
      </c>
      <c r="L302" s="282">
        <v>52977</v>
      </c>
      <c r="M302" s="282">
        <v>45612</v>
      </c>
      <c r="N302" s="371">
        <v>32000000</v>
      </c>
      <c r="O302" s="444" t="s">
        <v>3866</v>
      </c>
      <c r="P302" s="397">
        <v>21599784</v>
      </c>
      <c r="Q302" s="397">
        <v>21599784</v>
      </c>
      <c r="R302" s="397"/>
      <c r="S302" s="398">
        <f t="shared" si="13"/>
        <v>21599784</v>
      </c>
      <c r="T302" s="353"/>
      <c r="U302" s="353">
        <f t="shared" si="14"/>
        <v>21599784</v>
      </c>
      <c r="V302" s="399"/>
      <c r="W302" s="399"/>
      <c r="X302" s="400" t="s">
        <v>492</v>
      </c>
      <c r="Y302" s="400"/>
      <c r="Z302" s="283"/>
    </row>
    <row r="303" spans="2:26" ht="19.5" hidden="1" customHeight="1">
      <c r="B303" s="29">
        <f t="shared" si="12"/>
        <v>293</v>
      </c>
      <c r="C303" s="30" t="s">
        <v>206</v>
      </c>
      <c r="D303" s="30" t="s">
        <v>225</v>
      </c>
      <c r="E303" s="234" t="s">
        <v>811</v>
      </c>
      <c r="F303" s="235" t="s">
        <v>1255</v>
      </c>
      <c r="G303" s="284" t="str">
        <f>IFERROR(VLOOKUP(E303,Assign!$C$2:$J$142,8,FALSE),)</f>
        <v>문선영</v>
      </c>
      <c r="H303" s="279" t="s">
        <v>6435</v>
      </c>
      <c r="I303" s="280" t="s">
        <v>5792</v>
      </c>
      <c r="J303" s="281" t="s">
        <v>3769</v>
      </c>
      <c r="K303" s="282">
        <v>44564</v>
      </c>
      <c r="L303" s="282">
        <v>45660</v>
      </c>
      <c r="M303" s="282">
        <v>45661</v>
      </c>
      <c r="N303" s="371">
        <v>117000000</v>
      </c>
      <c r="O303" s="444" t="s">
        <v>3866</v>
      </c>
      <c r="P303" s="397">
        <v>21000000</v>
      </c>
      <c r="Q303" s="397">
        <v>21000000</v>
      </c>
      <c r="R303" s="397"/>
      <c r="S303" s="398">
        <f t="shared" si="13"/>
        <v>21000000</v>
      </c>
      <c r="T303" s="353"/>
      <c r="U303" s="353">
        <f t="shared" si="14"/>
        <v>21000000</v>
      </c>
      <c r="V303" s="399"/>
      <c r="W303" s="399"/>
      <c r="X303" s="400" t="s">
        <v>492</v>
      </c>
      <c r="Y303" s="400"/>
      <c r="Z303" s="283"/>
    </row>
    <row r="304" spans="2:26" ht="19.5" hidden="1" customHeight="1">
      <c r="B304" s="29">
        <f t="shared" si="12"/>
        <v>294</v>
      </c>
      <c r="C304" s="30" t="s">
        <v>206</v>
      </c>
      <c r="D304" s="30" t="s">
        <v>225</v>
      </c>
      <c r="E304" s="234" t="s">
        <v>811</v>
      </c>
      <c r="F304" s="235" t="s">
        <v>1255</v>
      </c>
      <c r="G304" s="284" t="str">
        <f>IFERROR(VLOOKUP(E304,Assign!$C$2:$J$142,8,FALSE),)</f>
        <v>문선영</v>
      </c>
      <c r="H304" s="279" t="s">
        <v>6436</v>
      </c>
      <c r="I304" s="280" t="s">
        <v>5792</v>
      </c>
      <c r="J304" s="281" t="s">
        <v>3769</v>
      </c>
      <c r="K304" s="282">
        <v>44564</v>
      </c>
      <c r="L304" s="282">
        <v>45660</v>
      </c>
      <c r="M304" s="282">
        <v>45661</v>
      </c>
      <c r="N304" s="371">
        <v>117000000</v>
      </c>
      <c r="O304" s="444" t="s">
        <v>3866</v>
      </c>
      <c r="P304" s="397">
        <v>22000000</v>
      </c>
      <c r="Q304" s="397">
        <v>22000000</v>
      </c>
      <c r="R304" s="397"/>
      <c r="S304" s="398">
        <f t="shared" si="13"/>
        <v>22000000</v>
      </c>
      <c r="T304" s="353"/>
      <c r="U304" s="353">
        <f t="shared" si="14"/>
        <v>22000000</v>
      </c>
      <c r="V304" s="399"/>
      <c r="W304" s="399"/>
      <c r="X304" s="400" t="s">
        <v>492</v>
      </c>
      <c r="Y304" s="400"/>
      <c r="Z304" s="283"/>
    </row>
    <row r="305" spans="2:26" ht="19.5" hidden="1" customHeight="1">
      <c r="B305" s="29">
        <f t="shared" si="12"/>
        <v>295</v>
      </c>
      <c r="C305" s="30" t="s">
        <v>206</v>
      </c>
      <c r="D305" s="30" t="s">
        <v>225</v>
      </c>
      <c r="E305" s="234" t="s">
        <v>811</v>
      </c>
      <c r="F305" s="235" t="s">
        <v>1255</v>
      </c>
      <c r="G305" s="284" t="str">
        <f>IFERROR(VLOOKUP(E305,Assign!$C$2:$J$142,8,FALSE),)</f>
        <v>문선영</v>
      </c>
      <c r="H305" s="279" t="s">
        <v>6437</v>
      </c>
      <c r="I305" s="280" t="s">
        <v>5792</v>
      </c>
      <c r="J305" s="281" t="s">
        <v>3769</v>
      </c>
      <c r="K305" s="282">
        <v>44564</v>
      </c>
      <c r="L305" s="282">
        <v>45660</v>
      </c>
      <c r="M305" s="282">
        <v>45661</v>
      </c>
      <c r="N305" s="371">
        <v>117000000</v>
      </c>
      <c r="O305" s="444" t="s">
        <v>3866</v>
      </c>
      <c r="P305" s="397">
        <v>17000000</v>
      </c>
      <c r="Q305" s="397">
        <v>17000000</v>
      </c>
      <c r="R305" s="397"/>
      <c r="S305" s="398">
        <f t="shared" si="13"/>
        <v>17000000</v>
      </c>
      <c r="T305" s="353"/>
      <c r="U305" s="353">
        <f t="shared" si="14"/>
        <v>17000000</v>
      </c>
      <c r="V305" s="399"/>
      <c r="W305" s="399"/>
      <c r="X305" s="400" t="s">
        <v>492</v>
      </c>
      <c r="Y305" s="400"/>
      <c r="Z305" s="283"/>
    </row>
    <row r="306" spans="2:26" ht="19.5" hidden="1" customHeight="1">
      <c r="B306" s="29">
        <f t="shared" si="12"/>
        <v>296</v>
      </c>
      <c r="C306" s="30" t="s">
        <v>206</v>
      </c>
      <c r="D306" s="30" t="s">
        <v>225</v>
      </c>
      <c r="E306" s="234" t="s">
        <v>811</v>
      </c>
      <c r="F306" s="235" t="s">
        <v>1255</v>
      </c>
      <c r="G306" s="284" t="str">
        <f>IFERROR(VLOOKUP(E306,Assign!$C$2:$J$142,8,FALSE),)</f>
        <v>문선영</v>
      </c>
      <c r="H306" s="279" t="s">
        <v>6438</v>
      </c>
      <c r="I306" s="280" t="s">
        <v>5792</v>
      </c>
      <c r="J306" s="281" t="s">
        <v>3769</v>
      </c>
      <c r="K306" s="282">
        <v>44564</v>
      </c>
      <c r="L306" s="282">
        <v>45660</v>
      </c>
      <c r="M306" s="282">
        <v>45661</v>
      </c>
      <c r="N306" s="371">
        <v>117000000</v>
      </c>
      <c r="O306" s="444" t="s">
        <v>3866</v>
      </c>
      <c r="P306" s="397">
        <v>17000000</v>
      </c>
      <c r="Q306" s="397">
        <v>17000000</v>
      </c>
      <c r="R306" s="397"/>
      <c r="S306" s="398">
        <f t="shared" si="13"/>
        <v>17000000</v>
      </c>
      <c r="T306" s="353"/>
      <c r="U306" s="353">
        <f t="shared" si="14"/>
        <v>17000000</v>
      </c>
      <c r="V306" s="399"/>
      <c r="W306" s="399"/>
      <c r="X306" s="400" t="s">
        <v>492</v>
      </c>
      <c r="Y306" s="400"/>
      <c r="Z306" s="283"/>
    </row>
    <row r="307" spans="2:26" ht="19.5" hidden="1" customHeight="1">
      <c r="B307" s="29">
        <f t="shared" si="12"/>
        <v>297</v>
      </c>
      <c r="C307" s="30" t="s">
        <v>206</v>
      </c>
      <c r="D307" s="30" t="s">
        <v>225</v>
      </c>
      <c r="E307" s="234" t="s">
        <v>811</v>
      </c>
      <c r="F307" s="235" t="s">
        <v>1255</v>
      </c>
      <c r="G307" s="284" t="str">
        <f>IFERROR(VLOOKUP(E307,Assign!$C$2:$J$142,8,FALSE),)</f>
        <v>문선영</v>
      </c>
      <c r="H307" s="279" t="s">
        <v>6439</v>
      </c>
      <c r="I307" s="280" t="s">
        <v>5792</v>
      </c>
      <c r="J307" s="281" t="s">
        <v>3769</v>
      </c>
      <c r="K307" s="282">
        <v>44564</v>
      </c>
      <c r="L307" s="282">
        <v>45660</v>
      </c>
      <c r="M307" s="282">
        <v>45661</v>
      </c>
      <c r="N307" s="371">
        <v>117000000</v>
      </c>
      <c r="O307" s="444" t="s">
        <v>3866</v>
      </c>
      <c r="P307" s="397">
        <v>12000000</v>
      </c>
      <c r="Q307" s="397">
        <v>12000000</v>
      </c>
      <c r="R307" s="397"/>
      <c r="S307" s="398">
        <f t="shared" si="13"/>
        <v>12000000</v>
      </c>
      <c r="T307" s="353"/>
      <c r="U307" s="353">
        <f t="shared" si="14"/>
        <v>12000000</v>
      </c>
      <c r="V307" s="399"/>
      <c r="W307" s="399"/>
      <c r="X307" s="400" t="s">
        <v>492</v>
      </c>
      <c r="Y307" s="400"/>
      <c r="Z307" s="283"/>
    </row>
    <row r="308" spans="2:26" ht="19.5" hidden="1" customHeight="1">
      <c r="B308" s="29">
        <f t="shared" si="12"/>
        <v>298</v>
      </c>
      <c r="C308" s="30" t="s">
        <v>206</v>
      </c>
      <c r="D308" s="30" t="s">
        <v>225</v>
      </c>
      <c r="E308" s="234" t="s">
        <v>811</v>
      </c>
      <c r="F308" s="235" t="s">
        <v>1255</v>
      </c>
      <c r="G308" s="284" t="str">
        <f>IFERROR(VLOOKUP(E308,Assign!$C$2:$J$142,8,FALSE),)</f>
        <v>문선영</v>
      </c>
      <c r="H308" s="279" t="s">
        <v>6440</v>
      </c>
      <c r="I308" s="280" t="s">
        <v>5792</v>
      </c>
      <c r="J308" s="281" t="s">
        <v>3769</v>
      </c>
      <c r="K308" s="282">
        <v>44564</v>
      </c>
      <c r="L308" s="282">
        <v>45660</v>
      </c>
      <c r="M308" s="282">
        <v>45661</v>
      </c>
      <c r="N308" s="371">
        <v>117000000</v>
      </c>
      <c r="O308" s="444" t="s">
        <v>3866</v>
      </c>
      <c r="P308" s="397">
        <v>24000000</v>
      </c>
      <c r="Q308" s="397">
        <v>24000000</v>
      </c>
      <c r="R308" s="397"/>
      <c r="S308" s="398">
        <f t="shared" si="13"/>
        <v>24000000</v>
      </c>
      <c r="T308" s="353"/>
      <c r="U308" s="353">
        <f t="shared" si="14"/>
        <v>24000000</v>
      </c>
      <c r="V308" s="399"/>
      <c r="W308" s="399"/>
      <c r="X308" s="400" t="s">
        <v>492</v>
      </c>
      <c r="Y308" s="400"/>
      <c r="Z308" s="283"/>
    </row>
    <row r="309" spans="2:26" ht="19.5" hidden="1" customHeight="1">
      <c r="B309" s="29">
        <f t="shared" si="12"/>
        <v>299</v>
      </c>
      <c r="C309" s="30" t="s">
        <v>206</v>
      </c>
      <c r="D309" s="30" t="s">
        <v>225</v>
      </c>
      <c r="E309" s="234" t="s">
        <v>812</v>
      </c>
      <c r="F309" s="235" t="s">
        <v>1235</v>
      </c>
      <c r="G309" s="284">
        <f>IFERROR(VLOOKUP(E309,Assign!$C$2:$J$142,8,FALSE),)</f>
        <v>0</v>
      </c>
      <c r="H309" s="279" t="s">
        <v>6674</v>
      </c>
      <c r="I309" s="280" t="s">
        <v>5977</v>
      </c>
      <c r="J309" s="281" t="s">
        <v>3759</v>
      </c>
      <c r="K309" s="282">
        <v>42348</v>
      </c>
      <c r="L309" s="282">
        <v>53306</v>
      </c>
      <c r="M309" s="282">
        <v>45576</v>
      </c>
      <c r="N309" s="371">
        <v>140000000</v>
      </c>
      <c r="O309" s="444" t="s">
        <v>3866</v>
      </c>
      <c r="P309" s="397">
        <v>112383347</v>
      </c>
      <c r="Q309" s="397">
        <v>112383347</v>
      </c>
      <c r="R309" s="397"/>
      <c r="S309" s="398">
        <f t="shared" si="13"/>
        <v>112383347</v>
      </c>
      <c r="T309" s="353"/>
      <c r="U309" s="353">
        <f t="shared" si="14"/>
        <v>112383347</v>
      </c>
      <c r="V309" s="399"/>
      <c r="W309" s="399"/>
      <c r="X309" s="400" t="s">
        <v>492</v>
      </c>
      <c r="Y309" s="400"/>
      <c r="Z309" s="283"/>
    </row>
    <row r="310" spans="2:26" ht="19.5" hidden="1" customHeight="1">
      <c r="B310" s="29">
        <f t="shared" si="12"/>
        <v>300</v>
      </c>
      <c r="C310" s="30" t="s">
        <v>206</v>
      </c>
      <c r="D310" s="30" t="s">
        <v>225</v>
      </c>
      <c r="E310" s="234" t="s">
        <v>813</v>
      </c>
      <c r="F310" s="235" t="s">
        <v>1225</v>
      </c>
      <c r="G310" s="284">
        <f>IFERROR(VLOOKUP(E310,Assign!$C$2:$J$142,8,FALSE),)</f>
        <v>0</v>
      </c>
      <c r="H310" s="279" t="s">
        <v>6373</v>
      </c>
      <c r="I310" s="280" t="s">
        <v>5731</v>
      </c>
      <c r="J310" s="281" t="s">
        <v>3742</v>
      </c>
      <c r="K310" s="282">
        <v>40891</v>
      </c>
      <c r="L310" s="282">
        <v>51849</v>
      </c>
      <c r="M310" s="282">
        <v>45580</v>
      </c>
      <c r="N310" s="371">
        <v>162000000</v>
      </c>
      <c r="O310" s="444" t="s">
        <v>3866</v>
      </c>
      <c r="P310" s="397">
        <v>111780000</v>
      </c>
      <c r="Q310" s="397">
        <v>111780000</v>
      </c>
      <c r="R310" s="397"/>
      <c r="S310" s="398">
        <f t="shared" si="13"/>
        <v>111780000</v>
      </c>
      <c r="T310" s="353"/>
      <c r="U310" s="353">
        <f t="shared" si="14"/>
        <v>111780000</v>
      </c>
      <c r="V310" s="399"/>
      <c r="W310" s="399"/>
      <c r="X310" s="400" t="s">
        <v>492</v>
      </c>
      <c r="Y310" s="400"/>
      <c r="Z310" s="283"/>
    </row>
    <row r="311" spans="2:26" ht="19.5" hidden="1" customHeight="1">
      <c r="B311" s="29">
        <f t="shared" si="12"/>
        <v>301</v>
      </c>
      <c r="C311" s="30" t="s">
        <v>206</v>
      </c>
      <c r="D311" s="30" t="s">
        <v>225</v>
      </c>
      <c r="E311" s="234" t="s">
        <v>814</v>
      </c>
      <c r="F311" s="235" t="s">
        <v>1217</v>
      </c>
      <c r="G311" s="284">
        <f>IFERROR(VLOOKUP(E311,Assign!$C$2:$J$142,8,FALSE),)</f>
        <v>0</v>
      </c>
      <c r="H311" s="279" t="s">
        <v>6379</v>
      </c>
      <c r="I311" s="280" t="s">
        <v>5746</v>
      </c>
      <c r="J311" s="281" t="s">
        <v>3754</v>
      </c>
      <c r="K311" s="282">
        <v>44733</v>
      </c>
      <c r="L311" s="282">
        <v>45829</v>
      </c>
      <c r="M311" s="282">
        <v>45587</v>
      </c>
      <c r="N311" s="371">
        <v>114000000</v>
      </c>
      <c r="O311" s="444" t="s">
        <v>3866</v>
      </c>
      <c r="P311" s="397">
        <v>110490000</v>
      </c>
      <c r="Q311" s="397">
        <v>110490000</v>
      </c>
      <c r="R311" s="397"/>
      <c r="S311" s="398">
        <f t="shared" si="13"/>
        <v>110490000</v>
      </c>
      <c r="T311" s="353"/>
      <c r="U311" s="353">
        <f t="shared" si="14"/>
        <v>110490000</v>
      </c>
      <c r="V311" s="399"/>
      <c r="W311" s="399"/>
      <c r="X311" s="400" t="s">
        <v>492</v>
      </c>
      <c r="Y311" s="400"/>
      <c r="Z311" s="283"/>
    </row>
    <row r="312" spans="2:26" ht="19.5" hidden="1" customHeight="1">
      <c r="B312" s="29">
        <f t="shared" si="12"/>
        <v>302</v>
      </c>
      <c r="C312" s="30" t="s">
        <v>206</v>
      </c>
      <c r="D312" s="30" t="s">
        <v>225</v>
      </c>
      <c r="E312" s="234" t="s">
        <v>815</v>
      </c>
      <c r="F312" s="235" t="s">
        <v>1249</v>
      </c>
      <c r="G312" s="284" t="str">
        <f>IFERROR(VLOOKUP(E312,Assign!$C$2:$J$142,8,FALSE),)</f>
        <v>문선영</v>
      </c>
      <c r="H312" s="279" t="s">
        <v>6238</v>
      </c>
      <c r="I312" s="280" t="s">
        <v>5617</v>
      </c>
      <c r="J312" s="281" t="s">
        <v>3735</v>
      </c>
      <c r="K312" s="282">
        <v>44194</v>
      </c>
      <c r="L312" s="282">
        <v>56977</v>
      </c>
      <c r="M312" s="282">
        <v>45657</v>
      </c>
      <c r="N312" s="371">
        <v>117000000</v>
      </c>
      <c r="O312" s="444" t="s">
        <v>3866</v>
      </c>
      <c r="P312" s="397">
        <v>109141773</v>
      </c>
      <c r="Q312" s="397">
        <v>109141773</v>
      </c>
      <c r="R312" s="397"/>
      <c r="S312" s="398">
        <f t="shared" si="13"/>
        <v>109141773</v>
      </c>
      <c r="T312" s="353"/>
      <c r="U312" s="353">
        <f t="shared" si="14"/>
        <v>109141773</v>
      </c>
      <c r="V312" s="399"/>
      <c r="W312" s="399"/>
      <c r="X312" s="400" t="s">
        <v>492</v>
      </c>
      <c r="Y312" s="400"/>
      <c r="Z312" s="283"/>
    </row>
    <row r="313" spans="2:26" ht="19.5" hidden="1" customHeight="1">
      <c r="B313" s="29">
        <f t="shared" si="12"/>
        <v>303</v>
      </c>
      <c r="C313" s="30" t="s">
        <v>206</v>
      </c>
      <c r="D313" s="30" t="s">
        <v>225</v>
      </c>
      <c r="E313" s="234" t="s">
        <v>816</v>
      </c>
      <c r="F313" s="235" t="s">
        <v>1249</v>
      </c>
      <c r="G313" s="284">
        <f>IFERROR(VLOOKUP(E313,Assign!$C$2:$J$142,8,FALSE),)</f>
        <v>0</v>
      </c>
      <c r="H313" s="279" t="s">
        <v>6963</v>
      </c>
      <c r="I313" s="280" t="s">
        <v>6139</v>
      </c>
      <c r="J313" s="281" t="s">
        <v>3735</v>
      </c>
      <c r="K313" s="282">
        <v>42940</v>
      </c>
      <c r="L313" s="282">
        <v>53897</v>
      </c>
      <c r="M313" s="282">
        <v>45622</v>
      </c>
      <c r="N313" s="371">
        <v>126000000</v>
      </c>
      <c r="O313" s="444" t="s">
        <v>3866</v>
      </c>
      <c r="P313" s="397">
        <v>106755495</v>
      </c>
      <c r="Q313" s="397">
        <v>106755495</v>
      </c>
      <c r="R313" s="397"/>
      <c r="S313" s="398">
        <f t="shared" si="13"/>
        <v>106755495</v>
      </c>
      <c r="T313" s="353"/>
      <c r="U313" s="353">
        <f t="shared" si="14"/>
        <v>106755495</v>
      </c>
      <c r="V313" s="399"/>
      <c r="W313" s="399"/>
      <c r="X313" s="400" t="s">
        <v>492</v>
      </c>
      <c r="Y313" s="400"/>
      <c r="Z313" s="283"/>
    </row>
    <row r="314" spans="2:26" ht="19.5" hidden="1" customHeight="1">
      <c r="B314" s="29">
        <f t="shared" si="12"/>
        <v>304</v>
      </c>
      <c r="C314" s="30" t="s">
        <v>206</v>
      </c>
      <c r="D314" s="30" t="s">
        <v>225</v>
      </c>
      <c r="E314" s="234" t="s">
        <v>817</v>
      </c>
      <c r="F314" s="235" t="s">
        <v>1256</v>
      </c>
      <c r="G314" s="284">
        <f>IFERROR(VLOOKUP(E314,Assign!$C$2:$J$142,8,FALSE),)</f>
        <v>0</v>
      </c>
      <c r="H314" s="279" t="s">
        <v>6792</v>
      </c>
      <c r="I314" s="280" t="s">
        <v>5850</v>
      </c>
      <c r="J314" s="281" t="s">
        <v>3735</v>
      </c>
      <c r="K314" s="282">
        <v>41591</v>
      </c>
      <c r="L314" s="282">
        <v>47070</v>
      </c>
      <c r="M314" s="282">
        <v>45274</v>
      </c>
      <c r="N314" s="371">
        <v>321000000</v>
      </c>
      <c r="O314" s="444" t="s">
        <v>3866</v>
      </c>
      <c r="P314" s="397">
        <v>107000000</v>
      </c>
      <c r="Q314" s="397">
        <v>107000000</v>
      </c>
      <c r="R314" s="397"/>
      <c r="S314" s="398">
        <f t="shared" si="13"/>
        <v>107000000</v>
      </c>
      <c r="T314" s="353"/>
      <c r="U314" s="353">
        <f t="shared" si="14"/>
        <v>107000000</v>
      </c>
      <c r="V314" s="399"/>
      <c r="W314" s="399"/>
      <c r="X314" s="400" t="s">
        <v>492</v>
      </c>
      <c r="Y314" s="400"/>
      <c r="Z314" s="283"/>
    </row>
    <row r="315" spans="2:26" ht="19.5" hidden="1" customHeight="1">
      <c r="B315" s="29">
        <f t="shared" si="12"/>
        <v>305</v>
      </c>
      <c r="C315" s="30" t="s">
        <v>206</v>
      </c>
      <c r="D315" s="30" t="s">
        <v>225</v>
      </c>
      <c r="E315" s="234" t="s">
        <v>818</v>
      </c>
      <c r="F315" s="235" t="s">
        <v>1244</v>
      </c>
      <c r="G315" s="284" t="str">
        <f>IFERROR(VLOOKUP(E315,Assign!$C$2:$J$142,8,FALSE),)</f>
        <v>문선영</v>
      </c>
      <c r="H315" s="279" t="s">
        <v>6500</v>
      </c>
      <c r="I315" s="280" t="s">
        <v>5840</v>
      </c>
      <c r="J315" s="281" t="s">
        <v>3735</v>
      </c>
      <c r="K315" s="282">
        <v>43075</v>
      </c>
      <c r="L315" s="282">
        <v>54032</v>
      </c>
      <c r="M315" s="282">
        <v>45542</v>
      </c>
      <c r="N315" s="371">
        <v>120000000</v>
      </c>
      <c r="O315" s="444" t="s">
        <v>3866</v>
      </c>
      <c r="P315" s="397">
        <v>104872791</v>
      </c>
      <c r="Q315" s="397">
        <v>104872791</v>
      </c>
      <c r="R315" s="397"/>
      <c r="S315" s="398">
        <f t="shared" si="13"/>
        <v>104872791</v>
      </c>
      <c r="T315" s="353"/>
      <c r="U315" s="353">
        <f t="shared" si="14"/>
        <v>104872791</v>
      </c>
      <c r="V315" s="399"/>
      <c r="W315" s="399"/>
      <c r="X315" s="400" t="s">
        <v>492</v>
      </c>
      <c r="Y315" s="400"/>
      <c r="Z315" s="283"/>
    </row>
    <row r="316" spans="2:26" ht="19.5" hidden="1" customHeight="1">
      <c r="B316" s="29">
        <f t="shared" si="12"/>
        <v>306</v>
      </c>
      <c r="C316" s="30" t="s">
        <v>206</v>
      </c>
      <c r="D316" s="30" t="s">
        <v>225</v>
      </c>
      <c r="E316" s="234" t="s">
        <v>819</v>
      </c>
      <c r="F316" s="235" t="s">
        <v>1231</v>
      </c>
      <c r="G316" s="284">
        <f>IFERROR(VLOOKUP(E316,Assign!$C$2:$J$142,8,FALSE),)</f>
        <v>0</v>
      </c>
      <c r="H316" s="279" t="s">
        <v>6491</v>
      </c>
      <c r="I316" s="280" t="s">
        <v>5640</v>
      </c>
      <c r="J316" s="281" t="s">
        <v>3735</v>
      </c>
      <c r="K316" s="282">
        <v>43279</v>
      </c>
      <c r="L316" s="282">
        <v>54237</v>
      </c>
      <c r="M316" s="282">
        <v>45441</v>
      </c>
      <c r="N316" s="371">
        <v>115700000</v>
      </c>
      <c r="O316" s="444" t="s">
        <v>3866</v>
      </c>
      <c r="P316" s="397">
        <v>102722417</v>
      </c>
      <c r="Q316" s="397">
        <v>102722417</v>
      </c>
      <c r="R316" s="397"/>
      <c r="S316" s="398">
        <f t="shared" si="13"/>
        <v>102722417</v>
      </c>
      <c r="T316" s="353"/>
      <c r="U316" s="353">
        <f t="shared" si="14"/>
        <v>102722417</v>
      </c>
      <c r="V316" s="399"/>
      <c r="W316" s="399"/>
      <c r="X316" s="400" t="s">
        <v>492</v>
      </c>
      <c r="Y316" s="400"/>
      <c r="Z316" s="283"/>
    </row>
    <row r="317" spans="2:26" ht="19.5" hidden="1" customHeight="1">
      <c r="B317" s="29">
        <f t="shared" si="12"/>
        <v>307</v>
      </c>
      <c r="C317" s="30" t="s">
        <v>206</v>
      </c>
      <c r="D317" s="30" t="s">
        <v>225</v>
      </c>
      <c r="E317" s="234" t="s">
        <v>820</v>
      </c>
      <c r="F317" s="235" t="s">
        <v>1229</v>
      </c>
      <c r="G317" s="284">
        <f>IFERROR(VLOOKUP(E317,Assign!$C$2:$J$142,8,FALSE),)</f>
        <v>0</v>
      </c>
      <c r="H317" s="279" t="s">
        <v>6622</v>
      </c>
      <c r="I317" s="280" t="s">
        <v>5655</v>
      </c>
      <c r="J317" s="281" t="s">
        <v>3754</v>
      </c>
      <c r="K317" s="282">
        <v>43635</v>
      </c>
      <c r="L317" s="282">
        <v>45462</v>
      </c>
      <c r="M317" s="282">
        <v>45402</v>
      </c>
      <c r="N317" s="371">
        <v>103550000</v>
      </c>
      <c r="O317" s="444" t="s">
        <v>3866</v>
      </c>
      <c r="P317" s="397">
        <v>100050000</v>
      </c>
      <c r="Q317" s="397">
        <v>100050000</v>
      </c>
      <c r="R317" s="397"/>
      <c r="S317" s="398">
        <f t="shared" si="13"/>
        <v>100050000</v>
      </c>
      <c r="T317" s="353"/>
      <c r="U317" s="353">
        <f t="shared" si="14"/>
        <v>100050000</v>
      </c>
      <c r="V317" s="399"/>
      <c r="W317" s="399"/>
      <c r="X317" s="400" t="s">
        <v>492</v>
      </c>
      <c r="Y317" s="400"/>
      <c r="Z317" s="283"/>
    </row>
    <row r="318" spans="2:26" ht="19.5" hidden="1" customHeight="1">
      <c r="B318" s="29">
        <f t="shared" si="12"/>
        <v>308</v>
      </c>
      <c r="C318" s="30" t="s">
        <v>206</v>
      </c>
      <c r="D318" s="30" t="s">
        <v>225</v>
      </c>
      <c r="E318" s="234" t="s">
        <v>821</v>
      </c>
      <c r="F318" s="235" t="s">
        <v>611</v>
      </c>
      <c r="G318" s="284">
        <f>IFERROR(VLOOKUP(E318,Assign!$C$2:$J$142,8,FALSE),)</f>
        <v>0</v>
      </c>
      <c r="H318" s="279" t="s">
        <v>6551</v>
      </c>
      <c r="I318" s="280" t="s">
        <v>5883</v>
      </c>
      <c r="J318" s="281" t="s">
        <v>3734</v>
      </c>
      <c r="K318" s="282">
        <v>45538</v>
      </c>
      <c r="L318" s="282">
        <v>45625</v>
      </c>
      <c r="M318" s="282">
        <v>45626</v>
      </c>
      <c r="N318" s="371">
        <v>100000000</v>
      </c>
      <c r="O318" s="444" t="s">
        <v>3866</v>
      </c>
      <c r="P318" s="397">
        <v>100000000</v>
      </c>
      <c r="Q318" s="397">
        <v>100000000</v>
      </c>
      <c r="R318" s="397"/>
      <c r="S318" s="398">
        <f t="shared" si="13"/>
        <v>100000000</v>
      </c>
      <c r="T318" s="353"/>
      <c r="U318" s="353">
        <f t="shared" si="14"/>
        <v>100000000</v>
      </c>
      <c r="V318" s="399"/>
      <c r="W318" s="399"/>
      <c r="X318" s="400" t="s">
        <v>492</v>
      </c>
      <c r="Y318" s="400"/>
      <c r="Z318" s="283"/>
    </row>
    <row r="319" spans="2:26" ht="19.5" hidden="1" customHeight="1">
      <c r="B319" s="29">
        <f t="shared" si="12"/>
        <v>309</v>
      </c>
      <c r="C319" s="30" t="s">
        <v>206</v>
      </c>
      <c r="D319" s="30" t="s">
        <v>225</v>
      </c>
      <c r="E319" s="234" t="s">
        <v>822</v>
      </c>
      <c r="F319" s="235" t="s">
        <v>1225</v>
      </c>
      <c r="G319" s="284">
        <f>IFERROR(VLOOKUP(E319,Assign!$C$2:$J$142,8,FALSE),)</f>
        <v>0</v>
      </c>
      <c r="H319" s="279" t="s">
        <v>6591</v>
      </c>
      <c r="I319" s="280" t="s">
        <v>5783</v>
      </c>
      <c r="J319" s="281" t="s">
        <v>3734</v>
      </c>
      <c r="K319" s="282">
        <v>44524</v>
      </c>
      <c r="L319" s="282">
        <v>45620</v>
      </c>
      <c r="M319" s="282">
        <v>45510</v>
      </c>
      <c r="N319" s="371">
        <v>100000000</v>
      </c>
      <c r="O319" s="444" t="s">
        <v>3866</v>
      </c>
      <c r="P319" s="397">
        <v>100000000</v>
      </c>
      <c r="Q319" s="397">
        <v>100000000</v>
      </c>
      <c r="R319" s="397"/>
      <c r="S319" s="398">
        <f t="shared" si="13"/>
        <v>100000000</v>
      </c>
      <c r="T319" s="353"/>
      <c r="U319" s="353">
        <f t="shared" si="14"/>
        <v>100000000</v>
      </c>
      <c r="V319" s="399"/>
      <c r="W319" s="399"/>
      <c r="X319" s="400" t="s">
        <v>492</v>
      </c>
      <c r="Y319" s="400"/>
      <c r="Z319" s="283"/>
    </row>
    <row r="320" spans="2:26" ht="19.5" hidden="1" customHeight="1">
      <c r="B320" s="29">
        <f t="shared" si="12"/>
        <v>310</v>
      </c>
      <c r="C320" s="30" t="s">
        <v>206</v>
      </c>
      <c r="D320" s="30" t="s">
        <v>225</v>
      </c>
      <c r="E320" s="234" t="s">
        <v>823</v>
      </c>
      <c r="F320" s="235" t="s">
        <v>1257</v>
      </c>
      <c r="G320" s="284">
        <f>IFERROR(VLOOKUP(E320,Assign!$C$2:$J$142,8,FALSE),)</f>
        <v>0</v>
      </c>
      <c r="H320" s="279" t="s">
        <v>6768</v>
      </c>
      <c r="I320" s="280" t="s">
        <v>5631</v>
      </c>
      <c r="J320" s="281" t="s">
        <v>3734</v>
      </c>
      <c r="K320" s="282">
        <v>44704</v>
      </c>
      <c r="L320" s="282">
        <v>45800</v>
      </c>
      <c r="M320" s="282">
        <v>45324</v>
      </c>
      <c r="N320" s="371">
        <v>100000000</v>
      </c>
      <c r="O320" s="444" t="s">
        <v>3866</v>
      </c>
      <c r="P320" s="397">
        <v>100000000</v>
      </c>
      <c r="Q320" s="397">
        <v>100000000</v>
      </c>
      <c r="R320" s="397"/>
      <c r="S320" s="398">
        <f t="shared" si="13"/>
        <v>100000000</v>
      </c>
      <c r="T320" s="353"/>
      <c r="U320" s="353">
        <f t="shared" si="14"/>
        <v>100000000</v>
      </c>
      <c r="V320" s="399"/>
      <c r="W320" s="399"/>
      <c r="X320" s="400" t="s">
        <v>492</v>
      </c>
      <c r="Y320" s="400"/>
      <c r="Z320" s="283"/>
    </row>
    <row r="321" spans="2:26" ht="19.5" hidden="1" customHeight="1">
      <c r="B321" s="29">
        <f t="shared" si="12"/>
        <v>311</v>
      </c>
      <c r="C321" s="30" t="s">
        <v>206</v>
      </c>
      <c r="D321" s="30" t="s">
        <v>225</v>
      </c>
      <c r="E321" s="234" t="s">
        <v>824</v>
      </c>
      <c r="F321" s="235" t="s">
        <v>1258</v>
      </c>
      <c r="G321" s="284">
        <f>IFERROR(VLOOKUP(E321,Assign!$C$2:$J$142,8,FALSE),)</f>
        <v>0</v>
      </c>
      <c r="H321" s="279" t="s">
        <v>7079</v>
      </c>
      <c r="I321" s="280" t="s">
        <v>5647</v>
      </c>
      <c r="J321" s="281" t="s">
        <v>3734</v>
      </c>
      <c r="K321" s="282">
        <v>45189</v>
      </c>
      <c r="L321" s="282">
        <v>45736</v>
      </c>
      <c r="M321" s="282">
        <v>45658</v>
      </c>
      <c r="N321" s="371">
        <v>100000000</v>
      </c>
      <c r="O321" s="444" t="s">
        <v>3866</v>
      </c>
      <c r="P321" s="397">
        <v>99824868</v>
      </c>
      <c r="Q321" s="397">
        <v>99824868</v>
      </c>
      <c r="R321" s="397"/>
      <c r="S321" s="398">
        <f t="shared" si="13"/>
        <v>99824868</v>
      </c>
      <c r="T321" s="353"/>
      <c r="U321" s="353">
        <f t="shared" si="14"/>
        <v>99824868</v>
      </c>
      <c r="V321" s="399"/>
      <c r="W321" s="399"/>
      <c r="X321" s="400" t="s">
        <v>492</v>
      </c>
      <c r="Y321" s="400"/>
      <c r="Z321" s="283"/>
    </row>
    <row r="322" spans="2:26" ht="19.5" hidden="1" customHeight="1">
      <c r="B322" s="29">
        <f t="shared" si="12"/>
        <v>312</v>
      </c>
      <c r="C322" s="30" t="s">
        <v>206</v>
      </c>
      <c r="D322" s="30" t="s">
        <v>225</v>
      </c>
      <c r="E322" s="234" t="s">
        <v>825</v>
      </c>
      <c r="F322" s="235" t="s">
        <v>1221</v>
      </c>
      <c r="G322" s="284">
        <f>IFERROR(VLOOKUP(E322,Assign!$C$2:$J$142,8,FALSE),)</f>
        <v>0</v>
      </c>
      <c r="H322" s="279" t="s">
        <v>6796</v>
      </c>
      <c r="I322" s="280" t="s">
        <v>6048</v>
      </c>
      <c r="J322" s="281" t="s">
        <v>3733</v>
      </c>
      <c r="K322" s="282">
        <v>44200</v>
      </c>
      <c r="L322" s="282">
        <v>45630</v>
      </c>
      <c r="M322" s="282">
        <v>45631</v>
      </c>
      <c r="N322" s="371">
        <v>98500000</v>
      </c>
      <c r="O322" s="444" t="s">
        <v>3866</v>
      </c>
      <c r="P322" s="397">
        <v>98500000</v>
      </c>
      <c r="Q322" s="397">
        <v>98500000</v>
      </c>
      <c r="R322" s="397"/>
      <c r="S322" s="398">
        <f t="shared" si="13"/>
        <v>98500000</v>
      </c>
      <c r="T322" s="353"/>
      <c r="U322" s="353">
        <f t="shared" si="14"/>
        <v>98500000</v>
      </c>
      <c r="V322" s="399"/>
      <c r="W322" s="399"/>
      <c r="X322" s="400" t="s">
        <v>492</v>
      </c>
      <c r="Y322" s="400"/>
      <c r="Z322" s="283"/>
    </row>
    <row r="323" spans="2:26" ht="19.5" hidden="1" customHeight="1">
      <c r="B323" s="29">
        <f t="shared" si="12"/>
        <v>313</v>
      </c>
      <c r="C323" s="30" t="s">
        <v>206</v>
      </c>
      <c r="D323" s="30" t="s">
        <v>225</v>
      </c>
      <c r="E323" s="234" t="s">
        <v>826</v>
      </c>
      <c r="F323" s="235" t="s">
        <v>1217</v>
      </c>
      <c r="G323" s="284">
        <f>IFERROR(VLOOKUP(E323,Assign!$C$2:$J$142,8,FALSE),)</f>
        <v>0</v>
      </c>
      <c r="H323" s="279" t="s">
        <v>6690</v>
      </c>
      <c r="I323" s="280" t="s">
        <v>5727</v>
      </c>
      <c r="J323" s="281" t="s">
        <v>3746</v>
      </c>
      <c r="K323" s="282">
        <v>43195</v>
      </c>
      <c r="L323" s="282">
        <v>54153</v>
      </c>
      <c r="M323" s="282">
        <v>45449</v>
      </c>
      <c r="N323" s="371">
        <v>119000000</v>
      </c>
      <c r="O323" s="444" t="s">
        <v>3866</v>
      </c>
      <c r="P323" s="397">
        <v>96494930</v>
      </c>
      <c r="Q323" s="397">
        <v>96494930</v>
      </c>
      <c r="R323" s="397"/>
      <c r="S323" s="398">
        <f t="shared" si="13"/>
        <v>96494930</v>
      </c>
      <c r="T323" s="353"/>
      <c r="U323" s="353">
        <f t="shared" si="14"/>
        <v>96494930</v>
      </c>
      <c r="V323" s="399"/>
      <c r="W323" s="399"/>
      <c r="X323" s="400" t="s">
        <v>492</v>
      </c>
      <c r="Y323" s="400"/>
      <c r="Z323" s="283"/>
    </row>
    <row r="324" spans="2:26" ht="19.5" hidden="1" customHeight="1">
      <c r="B324" s="29">
        <f t="shared" si="12"/>
        <v>314</v>
      </c>
      <c r="C324" s="30" t="s">
        <v>206</v>
      </c>
      <c r="D324" s="30" t="s">
        <v>225</v>
      </c>
      <c r="E324" s="234" t="s">
        <v>827</v>
      </c>
      <c r="F324" s="235" t="s">
        <v>1225</v>
      </c>
      <c r="G324" s="284" t="str">
        <f>IFERROR(VLOOKUP(E324,Assign!$C$2:$J$142,8,FALSE),)</f>
        <v>문선영</v>
      </c>
      <c r="H324" s="279" t="s">
        <v>6881</v>
      </c>
      <c r="I324" s="280" t="s">
        <v>6100</v>
      </c>
      <c r="J324" s="281" t="s">
        <v>3759</v>
      </c>
      <c r="K324" s="282">
        <v>41960</v>
      </c>
      <c r="L324" s="282">
        <v>52918</v>
      </c>
      <c r="M324" s="282">
        <v>45524</v>
      </c>
      <c r="N324" s="371">
        <v>118000000</v>
      </c>
      <c r="O324" s="444" t="s">
        <v>3866</v>
      </c>
      <c r="P324" s="397">
        <v>95973252</v>
      </c>
      <c r="Q324" s="397">
        <v>95973252</v>
      </c>
      <c r="R324" s="397"/>
      <c r="S324" s="398">
        <f t="shared" si="13"/>
        <v>95973252</v>
      </c>
      <c r="T324" s="353"/>
      <c r="U324" s="353">
        <f t="shared" si="14"/>
        <v>95973252</v>
      </c>
      <c r="V324" s="399"/>
      <c r="W324" s="399"/>
      <c r="X324" s="400" t="s">
        <v>492</v>
      </c>
      <c r="Y324" s="400"/>
      <c r="Z324" s="283"/>
    </row>
    <row r="325" spans="2:26" ht="19.5" hidden="1" customHeight="1">
      <c r="B325" s="29">
        <f t="shared" si="12"/>
        <v>315</v>
      </c>
      <c r="C325" s="30" t="s">
        <v>206</v>
      </c>
      <c r="D325" s="30" t="s">
        <v>225</v>
      </c>
      <c r="E325" s="234" t="s">
        <v>828</v>
      </c>
      <c r="F325" s="235" t="s">
        <v>1229</v>
      </c>
      <c r="G325" s="284">
        <f>IFERROR(VLOOKUP(E325,Assign!$C$2:$J$142,8,FALSE),)</f>
        <v>0</v>
      </c>
      <c r="H325" s="279" t="s">
        <v>6583</v>
      </c>
      <c r="I325" s="280" t="s">
        <v>5909</v>
      </c>
      <c r="J325" s="281" t="s">
        <v>3768</v>
      </c>
      <c r="K325" s="282">
        <v>42297</v>
      </c>
      <c r="L325" s="282">
        <v>53255</v>
      </c>
      <c r="M325" s="282">
        <v>45496</v>
      </c>
      <c r="N325" s="371">
        <v>120000000</v>
      </c>
      <c r="O325" s="444" t="s">
        <v>3866</v>
      </c>
      <c r="P325" s="397">
        <v>95678417</v>
      </c>
      <c r="Q325" s="397">
        <v>95678417</v>
      </c>
      <c r="R325" s="397"/>
      <c r="S325" s="398">
        <f t="shared" si="13"/>
        <v>95678417</v>
      </c>
      <c r="T325" s="353"/>
      <c r="U325" s="353">
        <f t="shared" si="14"/>
        <v>95678417</v>
      </c>
      <c r="V325" s="399"/>
      <c r="W325" s="399"/>
      <c r="X325" s="400" t="s">
        <v>492</v>
      </c>
      <c r="Y325" s="400"/>
      <c r="Z325" s="283"/>
    </row>
    <row r="326" spans="2:26" ht="19.5" hidden="1" customHeight="1">
      <c r="B326" s="29">
        <f t="shared" si="12"/>
        <v>316</v>
      </c>
      <c r="C326" s="30" t="s">
        <v>206</v>
      </c>
      <c r="D326" s="30" t="s">
        <v>225</v>
      </c>
      <c r="E326" s="234" t="s">
        <v>829</v>
      </c>
      <c r="F326" s="235" t="s">
        <v>1217</v>
      </c>
      <c r="G326" s="284">
        <f>IFERROR(VLOOKUP(E326,Assign!$C$2:$J$142,8,FALSE),)</f>
        <v>0</v>
      </c>
      <c r="H326" s="279" t="s">
        <v>6782</v>
      </c>
      <c r="I326" s="280" t="s">
        <v>6043</v>
      </c>
      <c r="J326" s="281" t="s">
        <v>3735</v>
      </c>
      <c r="K326" s="282">
        <v>43038</v>
      </c>
      <c r="L326" s="282">
        <v>53995</v>
      </c>
      <c r="M326" s="282">
        <v>45618</v>
      </c>
      <c r="N326" s="371">
        <v>112000000</v>
      </c>
      <c r="O326" s="444" t="s">
        <v>3866</v>
      </c>
      <c r="P326" s="397">
        <v>95367282</v>
      </c>
      <c r="Q326" s="397">
        <v>95367282</v>
      </c>
      <c r="R326" s="397"/>
      <c r="S326" s="398">
        <f t="shared" si="13"/>
        <v>95367282</v>
      </c>
      <c r="T326" s="353"/>
      <c r="U326" s="353">
        <f t="shared" si="14"/>
        <v>95367282</v>
      </c>
      <c r="V326" s="399"/>
      <c r="W326" s="399"/>
      <c r="X326" s="400" t="s">
        <v>492</v>
      </c>
      <c r="Y326" s="400"/>
      <c r="Z326" s="283"/>
    </row>
    <row r="327" spans="2:26" ht="19.5" hidden="1" customHeight="1">
      <c r="B327" s="29">
        <f t="shared" si="12"/>
        <v>317</v>
      </c>
      <c r="C327" s="30" t="s">
        <v>206</v>
      </c>
      <c r="D327" s="30" t="s">
        <v>225</v>
      </c>
      <c r="E327" s="234" t="s">
        <v>830</v>
      </c>
      <c r="F327" s="235" t="s">
        <v>1229</v>
      </c>
      <c r="G327" s="284">
        <f>IFERROR(VLOOKUP(E327,Assign!$C$2:$J$142,8,FALSE),)</f>
        <v>0</v>
      </c>
      <c r="H327" s="279" t="s">
        <v>6752</v>
      </c>
      <c r="I327" s="280" t="s">
        <v>6024</v>
      </c>
      <c r="J327" s="281" t="s">
        <v>3733</v>
      </c>
      <c r="K327" s="282">
        <v>44179</v>
      </c>
      <c r="L327" s="282">
        <v>45730</v>
      </c>
      <c r="M327" s="282">
        <v>45672</v>
      </c>
      <c r="N327" s="371">
        <v>95000000</v>
      </c>
      <c r="O327" s="444" t="s">
        <v>3866</v>
      </c>
      <c r="P327" s="397">
        <v>95000000</v>
      </c>
      <c r="Q327" s="397">
        <v>95000000</v>
      </c>
      <c r="R327" s="397"/>
      <c r="S327" s="398">
        <f t="shared" si="13"/>
        <v>95000000</v>
      </c>
      <c r="T327" s="353"/>
      <c r="U327" s="353">
        <f t="shared" si="14"/>
        <v>95000000</v>
      </c>
      <c r="V327" s="399"/>
      <c r="W327" s="399"/>
      <c r="X327" s="400" t="s">
        <v>492</v>
      </c>
      <c r="Y327" s="400"/>
      <c r="Z327" s="283"/>
    </row>
    <row r="328" spans="2:26" ht="19.5" hidden="1" customHeight="1">
      <c r="B328" s="29">
        <f t="shared" si="12"/>
        <v>318</v>
      </c>
      <c r="C328" s="30" t="s">
        <v>206</v>
      </c>
      <c r="D328" s="30" t="s">
        <v>225</v>
      </c>
      <c r="E328" s="234" t="s">
        <v>831</v>
      </c>
      <c r="F328" s="235" t="s">
        <v>1223</v>
      </c>
      <c r="G328" s="284">
        <f>IFERROR(VLOOKUP(E328,Assign!$C$2:$J$142,8,FALSE),)</f>
        <v>0</v>
      </c>
      <c r="H328" s="279" t="s">
        <v>7067</v>
      </c>
      <c r="I328" s="280" t="s">
        <v>6191</v>
      </c>
      <c r="J328" s="281" t="s">
        <v>3737</v>
      </c>
      <c r="K328" s="282">
        <v>44869</v>
      </c>
      <c r="L328" s="282">
        <v>59479</v>
      </c>
      <c r="M328" s="282">
        <v>45631</v>
      </c>
      <c r="N328" s="371">
        <v>100000000</v>
      </c>
      <c r="O328" s="444" t="s">
        <v>3866</v>
      </c>
      <c r="P328" s="397">
        <v>94999848</v>
      </c>
      <c r="Q328" s="397">
        <v>94999848</v>
      </c>
      <c r="R328" s="397"/>
      <c r="S328" s="398">
        <f t="shared" si="13"/>
        <v>94999848</v>
      </c>
      <c r="T328" s="353"/>
      <c r="U328" s="353">
        <f t="shared" si="14"/>
        <v>94999848</v>
      </c>
      <c r="V328" s="399"/>
      <c r="W328" s="399"/>
      <c r="X328" s="400" t="s">
        <v>492</v>
      </c>
      <c r="Y328" s="400"/>
      <c r="Z328" s="283"/>
    </row>
    <row r="329" spans="2:26" ht="19.5" hidden="1" customHeight="1">
      <c r="B329" s="29">
        <f t="shared" si="12"/>
        <v>319</v>
      </c>
      <c r="C329" s="30" t="s">
        <v>206</v>
      </c>
      <c r="D329" s="30" t="s">
        <v>225</v>
      </c>
      <c r="E329" s="234" t="s">
        <v>832</v>
      </c>
      <c r="F329" s="235" t="s">
        <v>1259</v>
      </c>
      <c r="G329" s="284" t="str">
        <f>IFERROR(VLOOKUP(E329,Assign!$C$2:$J$142,8,FALSE),)</f>
        <v>문선영</v>
      </c>
      <c r="H329" s="279" t="s">
        <v>6522</v>
      </c>
      <c r="I329" s="280" t="s">
        <v>5858</v>
      </c>
      <c r="J329" s="281" t="s">
        <v>3735</v>
      </c>
      <c r="K329" s="282">
        <v>44153</v>
      </c>
      <c r="L329" s="282">
        <v>56936</v>
      </c>
      <c r="M329" s="282">
        <v>45664</v>
      </c>
      <c r="N329" s="371">
        <v>101000000</v>
      </c>
      <c r="O329" s="444" t="s">
        <v>3866</v>
      </c>
      <c r="P329" s="397">
        <v>93935738</v>
      </c>
      <c r="Q329" s="397">
        <v>93935738</v>
      </c>
      <c r="R329" s="397"/>
      <c r="S329" s="398">
        <f t="shared" si="13"/>
        <v>93935738</v>
      </c>
      <c r="T329" s="353"/>
      <c r="U329" s="353">
        <f t="shared" si="14"/>
        <v>93935738</v>
      </c>
      <c r="V329" s="399"/>
      <c r="W329" s="399"/>
      <c r="X329" s="400" t="s">
        <v>492</v>
      </c>
      <c r="Y329" s="400"/>
      <c r="Z329" s="283"/>
    </row>
    <row r="330" spans="2:26" ht="19.5" hidden="1" customHeight="1">
      <c r="B330" s="29">
        <f t="shared" si="12"/>
        <v>320</v>
      </c>
      <c r="C330" s="30" t="s">
        <v>206</v>
      </c>
      <c r="D330" s="30" t="s">
        <v>225</v>
      </c>
      <c r="E330" s="234" t="s">
        <v>833</v>
      </c>
      <c r="F330" s="235" t="s">
        <v>1217</v>
      </c>
      <c r="G330" s="284">
        <f>IFERROR(VLOOKUP(E330,Assign!$C$2:$J$142,8,FALSE),)</f>
        <v>0</v>
      </c>
      <c r="H330" s="279" t="s">
        <v>6883</v>
      </c>
      <c r="I330" s="280" t="s">
        <v>5645</v>
      </c>
      <c r="J330" s="281" t="s">
        <v>3735</v>
      </c>
      <c r="K330" s="282">
        <v>42507</v>
      </c>
      <c r="L330" s="282">
        <v>53464</v>
      </c>
      <c r="M330" s="282">
        <v>45583</v>
      </c>
      <c r="N330" s="371">
        <v>115000000</v>
      </c>
      <c r="O330" s="444" t="s">
        <v>3866</v>
      </c>
      <c r="P330" s="397">
        <v>93210142</v>
      </c>
      <c r="Q330" s="397">
        <v>93210142</v>
      </c>
      <c r="R330" s="397"/>
      <c r="S330" s="398">
        <f t="shared" si="13"/>
        <v>93210142</v>
      </c>
      <c r="T330" s="353"/>
      <c r="U330" s="353">
        <f t="shared" si="14"/>
        <v>93210142</v>
      </c>
      <c r="V330" s="399"/>
      <c r="W330" s="399"/>
      <c r="X330" s="400" t="s">
        <v>492</v>
      </c>
      <c r="Y330" s="400"/>
      <c r="Z330" s="283"/>
    </row>
    <row r="331" spans="2:26" ht="19.5" hidden="1" customHeight="1">
      <c r="B331" s="29">
        <f t="shared" ref="B331:B394" si="15">ROW()-10</f>
        <v>321</v>
      </c>
      <c r="C331" s="30" t="s">
        <v>206</v>
      </c>
      <c r="D331" s="30" t="s">
        <v>225</v>
      </c>
      <c r="E331" s="234" t="s">
        <v>834</v>
      </c>
      <c r="F331" s="235" t="s">
        <v>1219</v>
      </c>
      <c r="G331" s="284">
        <f>IFERROR(VLOOKUP(E331,Assign!$C$2:$J$142,8,FALSE),)</f>
        <v>0</v>
      </c>
      <c r="H331" s="279" t="s">
        <v>6797</v>
      </c>
      <c r="I331" s="280" t="s">
        <v>6049</v>
      </c>
      <c r="J331" s="281" t="s">
        <v>3735</v>
      </c>
      <c r="K331" s="282">
        <v>43138</v>
      </c>
      <c r="L331" s="282">
        <v>54095</v>
      </c>
      <c r="M331" s="282">
        <v>45573</v>
      </c>
      <c r="N331" s="371">
        <v>119000000</v>
      </c>
      <c r="O331" s="444" t="s">
        <v>3866</v>
      </c>
      <c r="P331" s="397">
        <v>92885955</v>
      </c>
      <c r="Q331" s="397">
        <v>92885955</v>
      </c>
      <c r="R331" s="397"/>
      <c r="S331" s="398">
        <f t="shared" ref="S331:S394" si="16">Q331+R331</f>
        <v>92885955</v>
      </c>
      <c r="T331" s="353"/>
      <c r="U331" s="353">
        <f t="shared" ref="U331:U394" si="17">S331+T331</f>
        <v>92885955</v>
      </c>
      <c r="V331" s="399"/>
      <c r="W331" s="399"/>
      <c r="X331" s="400" t="s">
        <v>492</v>
      </c>
      <c r="Y331" s="400"/>
      <c r="Z331" s="283"/>
    </row>
    <row r="332" spans="2:26" ht="19.5" hidden="1" customHeight="1">
      <c r="B332" s="29">
        <f t="shared" si="15"/>
        <v>322</v>
      </c>
      <c r="C332" s="30" t="s">
        <v>206</v>
      </c>
      <c r="D332" s="30" t="s">
        <v>225</v>
      </c>
      <c r="E332" s="234" t="s">
        <v>835</v>
      </c>
      <c r="F332" s="235" t="s">
        <v>1225</v>
      </c>
      <c r="G332" s="284">
        <f>IFERROR(VLOOKUP(E332,Assign!$C$2:$J$142,8,FALSE),)</f>
        <v>0</v>
      </c>
      <c r="H332" s="279" t="s">
        <v>6723</v>
      </c>
      <c r="I332" s="280" t="s">
        <v>6006</v>
      </c>
      <c r="J332" s="281" t="s">
        <v>3733</v>
      </c>
      <c r="K332" s="282">
        <v>42898</v>
      </c>
      <c r="L332" s="282">
        <v>45638</v>
      </c>
      <c r="M332" s="282">
        <v>45548</v>
      </c>
      <c r="N332" s="371">
        <v>91000000</v>
      </c>
      <c r="O332" s="444" t="s">
        <v>3866</v>
      </c>
      <c r="P332" s="397">
        <v>91000000</v>
      </c>
      <c r="Q332" s="397">
        <v>91000000</v>
      </c>
      <c r="R332" s="397"/>
      <c r="S332" s="398">
        <f t="shared" si="16"/>
        <v>91000000</v>
      </c>
      <c r="T332" s="353"/>
      <c r="U332" s="353">
        <f t="shared" si="17"/>
        <v>91000000</v>
      </c>
      <c r="V332" s="399"/>
      <c r="W332" s="399"/>
      <c r="X332" s="400" t="s">
        <v>492</v>
      </c>
      <c r="Y332" s="400"/>
      <c r="Z332" s="283"/>
    </row>
    <row r="333" spans="2:26" ht="19.5" hidden="1" customHeight="1">
      <c r="B333" s="29">
        <f t="shared" si="15"/>
        <v>323</v>
      </c>
      <c r="C333" s="30" t="s">
        <v>206</v>
      </c>
      <c r="D333" s="30" t="s">
        <v>225</v>
      </c>
      <c r="E333" s="234" t="s">
        <v>836</v>
      </c>
      <c r="F333" s="235" t="s">
        <v>1231</v>
      </c>
      <c r="G333" s="284">
        <f>IFERROR(VLOOKUP(E333,Assign!$C$2:$J$142,8,FALSE),)</f>
        <v>0</v>
      </c>
      <c r="H333" s="279" t="s">
        <v>6651</v>
      </c>
      <c r="I333" s="280" t="s">
        <v>5760</v>
      </c>
      <c r="J333" s="281" t="s">
        <v>3733</v>
      </c>
      <c r="K333" s="282">
        <v>43252</v>
      </c>
      <c r="L333" s="282">
        <v>45627</v>
      </c>
      <c r="M333" s="282">
        <v>45525</v>
      </c>
      <c r="N333" s="371">
        <v>89000000</v>
      </c>
      <c r="O333" s="444" t="s">
        <v>3866</v>
      </c>
      <c r="P333" s="397">
        <v>89000000</v>
      </c>
      <c r="Q333" s="397">
        <v>89000000</v>
      </c>
      <c r="R333" s="397"/>
      <c r="S333" s="398">
        <f t="shared" si="16"/>
        <v>89000000</v>
      </c>
      <c r="T333" s="353"/>
      <c r="U333" s="353">
        <f t="shared" si="17"/>
        <v>89000000</v>
      </c>
      <c r="V333" s="399"/>
      <c r="W333" s="399"/>
      <c r="X333" s="400" t="s">
        <v>492</v>
      </c>
      <c r="Y333" s="400"/>
      <c r="Z333" s="283"/>
    </row>
    <row r="334" spans="2:26" ht="19.5" hidden="1" customHeight="1">
      <c r="B334" s="29">
        <f t="shared" si="15"/>
        <v>324</v>
      </c>
      <c r="C334" s="30" t="s">
        <v>206</v>
      </c>
      <c r="D334" s="30" t="s">
        <v>225</v>
      </c>
      <c r="E334" s="234" t="s">
        <v>837</v>
      </c>
      <c r="F334" s="235" t="s">
        <v>1218</v>
      </c>
      <c r="G334" s="284">
        <f>IFERROR(VLOOKUP(E334,Assign!$C$2:$J$142,8,FALSE),)</f>
        <v>0</v>
      </c>
      <c r="H334" s="279" t="s">
        <v>6680</v>
      </c>
      <c r="I334" s="280" t="s">
        <v>5983</v>
      </c>
      <c r="J334" s="281" t="s">
        <v>3735</v>
      </c>
      <c r="K334" s="282">
        <v>43850</v>
      </c>
      <c r="L334" s="282">
        <v>54808</v>
      </c>
      <c r="M334" s="282">
        <v>45555</v>
      </c>
      <c r="N334" s="371">
        <v>105000000</v>
      </c>
      <c r="O334" s="444" t="s">
        <v>3866</v>
      </c>
      <c r="P334" s="397">
        <v>88374798</v>
      </c>
      <c r="Q334" s="397">
        <v>88374798</v>
      </c>
      <c r="R334" s="397"/>
      <c r="S334" s="398">
        <f t="shared" si="16"/>
        <v>88374798</v>
      </c>
      <c r="T334" s="353"/>
      <c r="U334" s="353">
        <f t="shared" si="17"/>
        <v>88374798</v>
      </c>
      <c r="V334" s="399"/>
      <c r="W334" s="399"/>
      <c r="X334" s="400" t="s">
        <v>492</v>
      </c>
      <c r="Y334" s="400"/>
      <c r="Z334" s="283"/>
    </row>
    <row r="335" spans="2:26" ht="19.5" hidden="1" customHeight="1">
      <c r="B335" s="29">
        <f t="shared" si="15"/>
        <v>325</v>
      </c>
      <c r="C335" s="30" t="s">
        <v>206</v>
      </c>
      <c r="D335" s="30" t="s">
        <v>225</v>
      </c>
      <c r="E335" s="234" t="s">
        <v>838</v>
      </c>
      <c r="F335" s="235" t="s">
        <v>1223</v>
      </c>
      <c r="G335" s="284">
        <f>IFERROR(VLOOKUP(E335,Assign!$C$2:$J$142,8,FALSE),)</f>
        <v>0</v>
      </c>
      <c r="H335" s="279" t="s">
        <v>6799</v>
      </c>
      <c r="I335" s="280" t="s">
        <v>6050</v>
      </c>
      <c r="J335" s="281" t="s">
        <v>3759</v>
      </c>
      <c r="K335" s="282">
        <v>41739</v>
      </c>
      <c r="L335" s="282">
        <v>52697</v>
      </c>
      <c r="M335" s="282">
        <v>45608</v>
      </c>
      <c r="N335" s="371">
        <v>102000000</v>
      </c>
      <c r="O335" s="444" t="s">
        <v>3866</v>
      </c>
      <c r="P335" s="397">
        <v>87609998</v>
      </c>
      <c r="Q335" s="397">
        <v>87609998</v>
      </c>
      <c r="R335" s="397"/>
      <c r="S335" s="398">
        <f t="shared" si="16"/>
        <v>87609998</v>
      </c>
      <c r="T335" s="353"/>
      <c r="U335" s="353">
        <f t="shared" si="17"/>
        <v>87609998</v>
      </c>
      <c r="V335" s="399"/>
      <c r="W335" s="399"/>
      <c r="X335" s="400" t="s">
        <v>492</v>
      </c>
      <c r="Y335" s="400"/>
      <c r="Z335" s="283"/>
    </row>
    <row r="336" spans="2:26" ht="19.5" hidden="1" customHeight="1">
      <c r="B336" s="29">
        <f t="shared" si="15"/>
        <v>326</v>
      </c>
      <c r="C336" s="30" t="s">
        <v>206</v>
      </c>
      <c r="D336" s="30" t="s">
        <v>225</v>
      </c>
      <c r="E336" s="234" t="s">
        <v>839</v>
      </c>
      <c r="F336" s="235" t="s">
        <v>1260</v>
      </c>
      <c r="G336" s="284">
        <f>IFERROR(VLOOKUP(E336,Assign!$C$2:$J$142,8,FALSE),)</f>
        <v>0</v>
      </c>
      <c r="H336" s="279" t="s">
        <v>6993</v>
      </c>
      <c r="I336" s="280" t="s">
        <v>5805</v>
      </c>
      <c r="J336" s="281" t="s">
        <v>3735</v>
      </c>
      <c r="K336" s="282">
        <v>43301</v>
      </c>
      <c r="L336" s="282">
        <v>54259</v>
      </c>
      <c r="M336" s="282">
        <v>45587</v>
      </c>
      <c r="N336" s="371">
        <v>98000000</v>
      </c>
      <c r="O336" s="444" t="s">
        <v>3866</v>
      </c>
      <c r="P336" s="397">
        <v>86500952</v>
      </c>
      <c r="Q336" s="397">
        <v>86500952</v>
      </c>
      <c r="R336" s="397"/>
      <c r="S336" s="398">
        <f t="shared" si="16"/>
        <v>86500952</v>
      </c>
      <c r="T336" s="353"/>
      <c r="U336" s="353">
        <f t="shared" si="17"/>
        <v>86500952</v>
      </c>
      <c r="V336" s="399"/>
      <c r="W336" s="399"/>
      <c r="X336" s="400" t="s">
        <v>492</v>
      </c>
      <c r="Y336" s="400"/>
      <c r="Z336" s="283"/>
    </row>
    <row r="337" spans="2:26" ht="19.5" hidden="1" customHeight="1">
      <c r="B337" s="29">
        <f t="shared" si="15"/>
        <v>327</v>
      </c>
      <c r="C337" s="30" t="s">
        <v>206</v>
      </c>
      <c r="D337" s="30" t="s">
        <v>225</v>
      </c>
      <c r="E337" s="234" t="s">
        <v>840</v>
      </c>
      <c r="F337" s="235" t="s">
        <v>1219</v>
      </c>
      <c r="G337" s="284" t="str">
        <f>IFERROR(VLOOKUP(E337,Assign!$C$2:$J$142,8,FALSE),)</f>
        <v>문선영</v>
      </c>
      <c r="H337" s="279" t="s">
        <v>6630</v>
      </c>
      <c r="I337" s="280" t="s">
        <v>5941</v>
      </c>
      <c r="J337" s="281" t="s">
        <v>3737</v>
      </c>
      <c r="K337" s="282">
        <v>44414</v>
      </c>
      <c r="L337" s="282">
        <v>57198</v>
      </c>
      <c r="M337" s="282">
        <v>45300</v>
      </c>
      <c r="N337" s="371">
        <v>60000000</v>
      </c>
      <c r="O337" s="444" t="s">
        <v>3866</v>
      </c>
      <c r="P337" s="397">
        <v>55999944</v>
      </c>
      <c r="Q337" s="397">
        <v>55999944</v>
      </c>
      <c r="R337" s="397"/>
      <c r="S337" s="398">
        <f t="shared" si="16"/>
        <v>55999944</v>
      </c>
      <c r="T337" s="353"/>
      <c r="U337" s="353">
        <f t="shared" si="17"/>
        <v>55999944</v>
      </c>
      <c r="V337" s="399"/>
      <c r="W337" s="399"/>
      <c r="X337" s="400" t="s">
        <v>492</v>
      </c>
      <c r="Y337" s="400"/>
      <c r="Z337" s="283"/>
    </row>
    <row r="338" spans="2:26" ht="19.5" hidden="1" customHeight="1">
      <c r="B338" s="29">
        <f t="shared" si="15"/>
        <v>328</v>
      </c>
      <c r="C338" s="30" t="s">
        <v>206</v>
      </c>
      <c r="D338" s="30" t="s">
        <v>225</v>
      </c>
      <c r="E338" s="234" t="s">
        <v>840</v>
      </c>
      <c r="F338" s="235" t="s">
        <v>1219</v>
      </c>
      <c r="G338" s="284" t="str">
        <f>IFERROR(VLOOKUP(E338,Assign!$C$2:$J$142,8,FALSE),)</f>
        <v>문선영</v>
      </c>
      <c r="H338" s="279" t="s">
        <v>6631</v>
      </c>
      <c r="I338" s="280" t="s">
        <v>5942</v>
      </c>
      <c r="J338" s="281" t="s">
        <v>3734</v>
      </c>
      <c r="K338" s="282">
        <v>44519</v>
      </c>
      <c r="L338" s="282">
        <v>45615</v>
      </c>
      <c r="M338" s="282">
        <v>45287</v>
      </c>
      <c r="N338" s="371">
        <v>30000000</v>
      </c>
      <c r="O338" s="444" t="s">
        <v>3866</v>
      </c>
      <c r="P338" s="397">
        <v>30000000</v>
      </c>
      <c r="Q338" s="397">
        <v>30000000</v>
      </c>
      <c r="R338" s="397"/>
      <c r="S338" s="398">
        <f t="shared" si="16"/>
        <v>30000000</v>
      </c>
      <c r="T338" s="353"/>
      <c r="U338" s="353">
        <f t="shared" si="17"/>
        <v>30000000</v>
      </c>
      <c r="V338" s="399"/>
      <c r="W338" s="399"/>
      <c r="X338" s="400" t="s">
        <v>492</v>
      </c>
      <c r="Y338" s="400"/>
      <c r="Z338" s="283"/>
    </row>
    <row r="339" spans="2:26" ht="19.5" hidden="1" customHeight="1">
      <c r="B339" s="29">
        <f t="shared" si="15"/>
        <v>329</v>
      </c>
      <c r="C339" s="30" t="s">
        <v>206</v>
      </c>
      <c r="D339" s="30" t="s">
        <v>225</v>
      </c>
      <c r="E339" s="234" t="s">
        <v>841</v>
      </c>
      <c r="F339" s="235" t="s">
        <v>1217</v>
      </c>
      <c r="G339" s="284" t="str">
        <f>IFERROR(VLOOKUP(E339,Assign!$C$2:$J$142,8,FALSE),)</f>
        <v>문선영</v>
      </c>
      <c r="H339" s="279" t="s">
        <v>6802</v>
      </c>
      <c r="I339" s="280" t="s">
        <v>5645</v>
      </c>
      <c r="J339" s="281" t="s">
        <v>3737</v>
      </c>
      <c r="K339" s="282">
        <v>44797</v>
      </c>
      <c r="L339" s="282">
        <v>59407</v>
      </c>
      <c r="M339" s="282">
        <v>45560</v>
      </c>
      <c r="N339" s="371">
        <v>90000000</v>
      </c>
      <c r="O339" s="444" t="s">
        <v>3866</v>
      </c>
      <c r="P339" s="397">
        <v>85500000</v>
      </c>
      <c r="Q339" s="397">
        <v>85500000</v>
      </c>
      <c r="R339" s="397"/>
      <c r="S339" s="398">
        <f t="shared" si="16"/>
        <v>85500000</v>
      </c>
      <c r="T339" s="353"/>
      <c r="U339" s="353">
        <f t="shared" si="17"/>
        <v>85500000</v>
      </c>
      <c r="V339" s="399"/>
      <c r="W339" s="399"/>
      <c r="X339" s="400" t="s">
        <v>492</v>
      </c>
      <c r="Y339" s="400"/>
      <c r="Z339" s="283"/>
    </row>
    <row r="340" spans="2:26" ht="19.5" hidden="1" customHeight="1">
      <c r="B340" s="29">
        <f t="shared" si="15"/>
        <v>330</v>
      </c>
      <c r="C340" s="30" t="s">
        <v>206</v>
      </c>
      <c r="D340" s="30" t="s">
        <v>225</v>
      </c>
      <c r="E340" s="234" t="s">
        <v>842</v>
      </c>
      <c r="F340" s="235" t="s">
        <v>1238</v>
      </c>
      <c r="G340" s="284">
        <f>IFERROR(VLOOKUP(E340,Assign!$C$2:$J$142,8,FALSE),)</f>
        <v>0</v>
      </c>
      <c r="H340" s="279" t="s">
        <v>6578</v>
      </c>
      <c r="I340" s="280" t="s">
        <v>5904</v>
      </c>
      <c r="J340" s="281" t="s">
        <v>3782</v>
      </c>
      <c r="K340" s="282">
        <v>42062</v>
      </c>
      <c r="L340" s="282">
        <v>45715</v>
      </c>
      <c r="M340" s="282">
        <v>45524</v>
      </c>
      <c r="N340" s="371">
        <v>84500000</v>
      </c>
      <c r="O340" s="444" t="s">
        <v>3866</v>
      </c>
      <c r="P340" s="397">
        <v>84500000</v>
      </c>
      <c r="Q340" s="397">
        <v>84500000</v>
      </c>
      <c r="R340" s="397"/>
      <c r="S340" s="398">
        <f t="shared" si="16"/>
        <v>84500000</v>
      </c>
      <c r="T340" s="353"/>
      <c r="U340" s="353">
        <f t="shared" si="17"/>
        <v>84500000</v>
      </c>
      <c r="V340" s="399"/>
      <c r="W340" s="399"/>
      <c r="X340" s="400" t="s">
        <v>492</v>
      </c>
      <c r="Y340" s="400"/>
      <c r="Z340" s="283"/>
    </row>
    <row r="341" spans="2:26" ht="19.5" hidden="1" customHeight="1">
      <c r="B341" s="29">
        <f t="shared" si="15"/>
        <v>331</v>
      </c>
      <c r="C341" s="30" t="s">
        <v>206</v>
      </c>
      <c r="D341" s="30" t="s">
        <v>225</v>
      </c>
      <c r="E341" s="234" t="s">
        <v>843</v>
      </c>
      <c r="F341" s="235" t="s">
        <v>1257</v>
      </c>
      <c r="G341" s="284">
        <f>IFERROR(VLOOKUP(E341,Assign!$C$2:$J$142,8,FALSE),)</f>
        <v>0</v>
      </c>
      <c r="H341" s="279" t="s">
        <v>6339</v>
      </c>
      <c r="I341" s="280" t="s">
        <v>5713</v>
      </c>
      <c r="J341" s="281" t="s">
        <v>3735</v>
      </c>
      <c r="K341" s="282">
        <v>42188</v>
      </c>
      <c r="L341" s="282">
        <v>54972</v>
      </c>
      <c r="M341" s="282">
        <v>45637</v>
      </c>
      <c r="N341" s="371">
        <v>105000000</v>
      </c>
      <c r="O341" s="444" t="s">
        <v>3866</v>
      </c>
      <c r="P341" s="397">
        <v>83503774</v>
      </c>
      <c r="Q341" s="397">
        <v>83503774</v>
      </c>
      <c r="R341" s="397"/>
      <c r="S341" s="398">
        <f t="shared" si="16"/>
        <v>83503774</v>
      </c>
      <c r="T341" s="353"/>
      <c r="U341" s="353">
        <f t="shared" si="17"/>
        <v>83503774</v>
      </c>
      <c r="V341" s="399"/>
      <c r="W341" s="399"/>
      <c r="X341" s="400" t="s">
        <v>492</v>
      </c>
      <c r="Y341" s="400"/>
      <c r="Z341" s="283"/>
    </row>
    <row r="342" spans="2:26" ht="19.5" hidden="1" customHeight="1">
      <c r="B342" s="29">
        <f t="shared" si="15"/>
        <v>332</v>
      </c>
      <c r="C342" s="30" t="s">
        <v>206</v>
      </c>
      <c r="D342" s="30" t="s">
        <v>225</v>
      </c>
      <c r="E342" s="234" t="s">
        <v>844</v>
      </c>
      <c r="F342" s="235" t="s">
        <v>1261</v>
      </c>
      <c r="G342" s="284">
        <f>IFERROR(VLOOKUP(E342,Assign!$C$2:$J$142,8,FALSE),)</f>
        <v>0</v>
      </c>
      <c r="H342" s="279" t="s">
        <v>6629</v>
      </c>
      <c r="I342" s="280" t="s">
        <v>5940</v>
      </c>
      <c r="J342" s="281" t="s">
        <v>3733</v>
      </c>
      <c r="K342" s="282">
        <v>44468</v>
      </c>
      <c r="L342" s="282">
        <v>45655</v>
      </c>
      <c r="M342" s="282">
        <v>45657</v>
      </c>
      <c r="N342" s="371">
        <v>83000000</v>
      </c>
      <c r="O342" s="444" t="s">
        <v>3866</v>
      </c>
      <c r="P342" s="397">
        <v>83000000</v>
      </c>
      <c r="Q342" s="397">
        <v>83000000</v>
      </c>
      <c r="R342" s="397"/>
      <c r="S342" s="398">
        <f t="shared" si="16"/>
        <v>83000000</v>
      </c>
      <c r="T342" s="353"/>
      <c r="U342" s="353">
        <f t="shared" si="17"/>
        <v>83000000</v>
      </c>
      <c r="V342" s="399"/>
      <c r="W342" s="399"/>
      <c r="X342" s="400" t="s">
        <v>492</v>
      </c>
      <c r="Y342" s="400"/>
      <c r="Z342" s="283"/>
    </row>
    <row r="343" spans="2:26" ht="19.5" hidden="1" customHeight="1">
      <c r="B343" s="29">
        <f t="shared" si="15"/>
        <v>333</v>
      </c>
      <c r="C343" s="30" t="s">
        <v>206</v>
      </c>
      <c r="D343" s="30" t="s">
        <v>225</v>
      </c>
      <c r="E343" s="234" t="s">
        <v>845</v>
      </c>
      <c r="F343" s="235" t="s">
        <v>1262</v>
      </c>
      <c r="G343" s="284">
        <f>IFERROR(VLOOKUP(E343,Assign!$C$2:$J$142,8,FALSE),)</f>
        <v>0</v>
      </c>
      <c r="H343" s="279" t="s">
        <v>6854</v>
      </c>
      <c r="I343" s="280" t="s">
        <v>6085</v>
      </c>
      <c r="J343" s="281" t="s">
        <v>3759</v>
      </c>
      <c r="K343" s="282">
        <v>41963</v>
      </c>
      <c r="L343" s="282">
        <v>52921</v>
      </c>
      <c r="M343" s="282">
        <v>45556</v>
      </c>
      <c r="N343" s="371">
        <v>140000000</v>
      </c>
      <c r="O343" s="444" t="s">
        <v>3866</v>
      </c>
      <c r="P343" s="397">
        <v>82970915</v>
      </c>
      <c r="Q343" s="397">
        <v>82970915</v>
      </c>
      <c r="R343" s="397"/>
      <c r="S343" s="398">
        <f t="shared" si="16"/>
        <v>82970915</v>
      </c>
      <c r="T343" s="353"/>
      <c r="U343" s="353">
        <f t="shared" si="17"/>
        <v>82970915</v>
      </c>
      <c r="V343" s="399"/>
      <c r="W343" s="399"/>
      <c r="X343" s="400" t="s">
        <v>492</v>
      </c>
      <c r="Y343" s="400"/>
      <c r="Z343" s="283"/>
    </row>
    <row r="344" spans="2:26" ht="19.5" hidden="1" customHeight="1">
      <c r="B344" s="29">
        <f t="shared" si="15"/>
        <v>334</v>
      </c>
      <c r="C344" s="30" t="s">
        <v>206</v>
      </c>
      <c r="D344" s="30" t="s">
        <v>225</v>
      </c>
      <c r="E344" s="234" t="s">
        <v>846</v>
      </c>
      <c r="F344" s="235" t="s">
        <v>1217</v>
      </c>
      <c r="G344" s="284">
        <f>IFERROR(VLOOKUP(E344,Assign!$C$2:$J$142,8,FALSE),)</f>
        <v>0</v>
      </c>
      <c r="H344" s="279" t="s">
        <v>6852</v>
      </c>
      <c r="I344" s="280" t="s">
        <v>6083</v>
      </c>
      <c r="J344" s="281" t="s">
        <v>3736</v>
      </c>
      <c r="K344" s="282">
        <v>43172</v>
      </c>
      <c r="L344" s="282">
        <v>45578</v>
      </c>
      <c r="M344" s="282">
        <v>45545</v>
      </c>
      <c r="N344" s="371">
        <v>47000000</v>
      </c>
      <c r="O344" s="444" t="s">
        <v>3866</v>
      </c>
      <c r="P344" s="397">
        <v>38750000</v>
      </c>
      <c r="Q344" s="397">
        <v>38750000</v>
      </c>
      <c r="R344" s="397"/>
      <c r="S344" s="398">
        <f t="shared" si="16"/>
        <v>38750000</v>
      </c>
      <c r="T344" s="353"/>
      <c r="U344" s="353">
        <f t="shared" si="17"/>
        <v>38750000</v>
      </c>
      <c r="V344" s="399"/>
      <c r="W344" s="399"/>
      <c r="X344" s="400" t="s">
        <v>492</v>
      </c>
      <c r="Y344" s="400"/>
      <c r="Z344" s="283"/>
    </row>
    <row r="345" spans="2:26" ht="19.5" hidden="1" customHeight="1">
      <c r="B345" s="29">
        <f t="shared" si="15"/>
        <v>335</v>
      </c>
      <c r="C345" s="30" t="s">
        <v>206</v>
      </c>
      <c r="D345" s="30" t="s">
        <v>225</v>
      </c>
      <c r="E345" s="234" t="s">
        <v>846</v>
      </c>
      <c r="F345" s="235" t="s">
        <v>1217</v>
      </c>
      <c r="G345" s="284">
        <f>IFERROR(VLOOKUP(E345,Assign!$C$2:$J$142,8,FALSE),)</f>
        <v>0</v>
      </c>
      <c r="H345" s="279" t="s">
        <v>6853</v>
      </c>
      <c r="I345" s="280" t="s">
        <v>6084</v>
      </c>
      <c r="J345" s="281" t="s">
        <v>3734</v>
      </c>
      <c r="K345" s="282">
        <v>44817</v>
      </c>
      <c r="L345" s="282">
        <v>45578</v>
      </c>
      <c r="M345" s="282">
        <v>45546</v>
      </c>
      <c r="N345" s="371">
        <v>43000000</v>
      </c>
      <c r="O345" s="444" t="s">
        <v>3866</v>
      </c>
      <c r="P345" s="397">
        <v>43000000</v>
      </c>
      <c r="Q345" s="397">
        <v>43000000</v>
      </c>
      <c r="R345" s="397"/>
      <c r="S345" s="398">
        <f t="shared" si="16"/>
        <v>43000000</v>
      </c>
      <c r="T345" s="353"/>
      <c r="U345" s="353">
        <f t="shared" si="17"/>
        <v>43000000</v>
      </c>
      <c r="V345" s="399"/>
      <c r="W345" s="399"/>
      <c r="X345" s="400" t="s">
        <v>492</v>
      </c>
      <c r="Y345" s="400"/>
      <c r="Z345" s="283"/>
    </row>
    <row r="346" spans="2:26" ht="19.5" hidden="1" customHeight="1">
      <c r="B346" s="29">
        <f t="shared" si="15"/>
        <v>336</v>
      </c>
      <c r="C346" s="30" t="s">
        <v>206</v>
      </c>
      <c r="D346" s="30" t="s">
        <v>225</v>
      </c>
      <c r="E346" s="234" t="s">
        <v>847</v>
      </c>
      <c r="F346" s="235" t="s">
        <v>1232</v>
      </c>
      <c r="G346" s="284">
        <f>IFERROR(VLOOKUP(E346,Assign!$C$2:$J$142,8,FALSE),)</f>
        <v>0</v>
      </c>
      <c r="H346" s="279" t="s">
        <v>6722</v>
      </c>
      <c r="I346" s="280" t="s">
        <v>6005</v>
      </c>
      <c r="J346" s="281" t="s">
        <v>3754</v>
      </c>
      <c r="K346" s="282">
        <v>44237</v>
      </c>
      <c r="L346" s="282">
        <v>45698</v>
      </c>
      <c r="M346" s="282">
        <v>45699</v>
      </c>
      <c r="N346" s="371">
        <v>85400000</v>
      </c>
      <c r="O346" s="444" t="s">
        <v>3866</v>
      </c>
      <c r="P346" s="397">
        <v>81550000</v>
      </c>
      <c r="Q346" s="397">
        <v>81550000</v>
      </c>
      <c r="R346" s="397"/>
      <c r="S346" s="398">
        <f t="shared" si="16"/>
        <v>81550000</v>
      </c>
      <c r="T346" s="353"/>
      <c r="U346" s="353">
        <f t="shared" si="17"/>
        <v>81550000</v>
      </c>
      <c r="V346" s="399"/>
      <c r="W346" s="399"/>
      <c r="X346" s="400" t="s">
        <v>492</v>
      </c>
      <c r="Y346" s="400"/>
      <c r="Z346" s="283"/>
    </row>
    <row r="347" spans="2:26" ht="19.5" hidden="1" customHeight="1">
      <c r="B347" s="29">
        <f t="shared" si="15"/>
        <v>337</v>
      </c>
      <c r="C347" s="30" t="s">
        <v>206</v>
      </c>
      <c r="D347" s="30" t="s">
        <v>225</v>
      </c>
      <c r="E347" s="234" t="s">
        <v>848</v>
      </c>
      <c r="F347" s="235" t="s">
        <v>1231</v>
      </c>
      <c r="G347" s="284">
        <f>IFERROR(VLOOKUP(E347,Assign!$C$2:$J$142,8,FALSE),)</f>
        <v>0</v>
      </c>
      <c r="H347" s="279" t="s">
        <v>6293</v>
      </c>
      <c r="I347" s="280" t="s">
        <v>5669</v>
      </c>
      <c r="J347" s="281" t="s">
        <v>3755</v>
      </c>
      <c r="K347" s="282">
        <v>42356</v>
      </c>
      <c r="L347" s="282">
        <v>53314</v>
      </c>
      <c r="M347" s="282">
        <v>45584</v>
      </c>
      <c r="N347" s="371">
        <v>110000000</v>
      </c>
      <c r="O347" s="444" t="s">
        <v>3866</v>
      </c>
      <c r="P347" s="397">
        <v>77893293</v>
      </c>
      <c r="Q347" s="397">
        <v>77893293</v>
      </c>
      <c r="R347" s="397"/>
      <c r="S347" s="398">
        <f t="shared" si="16"/>
        <v>77893293</v>
      </c>
      <c r="T347" s="353"/>
      <c r="U347" s="353">
        <f t="shared" si="17"/>
        <v>77893293</v>
      </c>
      <c r="V347" s="399"/>
      <c r="W347" s="399"/>
      <c r="X347" s="400" t="s">
        <v>492</v>
      </c>
      <c r="Y347" s="400"/>
      <c r="Z347" s="283"/>
    </row>
    <row r="348" spans="2:26" ht="19.5" hidden="1" customHeight="1">
      <c r="B348" s="29">
        <f t="shared" si="15"/>
        <v>338</v>
      </c>
      <c r="C348" s="30" t="s">
        <v>206</v>
      </c>
      <c r="D348" s="30" t="s">
        <v>225</v>
      </c>
      <c r="E348" s="234" t="s">
        <v>849</v>
      </c>
      <c r="F348" s="235" t="s">
        <v>1217</v>
      </c>
      <c r="G348" s="284" t="str">
        <f>IFERROR(VLOOKUP(E348,Assign!$C$2:$J$142,8,FALSE),)</f>
        <v>문선영</v>
      </c>
      <c r="H348" s="279" t="s">
        <v>6645</v>
      </c>
      <c r="I348" s="280" t="s">
        <v>5954</v>
      </c>
      <c r="J348" s="281" t="s">
        <v>3736</v>
      </c>
      <c r="K348" s="282">
        <v>43957</v>
      </c>
      <c r="L348" s="282">
        <v>45418</v>
      </c>
      <c r="M348" s="282">
        <v>45391</v>
      </c>
      <c r="N348" s="371">
        <v>36000000</v>
      </c>
      <c r="O348" s="444" t="s">
        <v>3866</v>
      </c>
      <c r="P348" s="397">
        <v>35900000</v>
      </c>
      <c r="Q348" s="397">
        <v>35900000</v>
      </c>
      <c r="R348" s="397"/>
      <c r="S348" s="398">
        <f t="shared" si="16"/>
        <v>35900000</v>
      </c>
      <c r="T348" s="353"/>
      <c r="U348" s="353">
        <f t="shared" si="17"/>
        <v>35900000</v>
      </c>
      <c r="V348" s="399"/>
      <c r="W348" s="399"/>
      <c r="X348" s="400" t="s">
        <v>492</v>
      </c>
      <c r="Y348" s="400"/>
      <c r="Z348" s="283"/>
    </row>
    <row r="349" spans="2:26" ht="19.5" hidden="1" customHeight="1">
      <c r="B349" s="29">
        <f t="shared" si="15"/>
        <v>339</v>
      </c>
      <c r="C349" s="30" t="s">
        <v>206</v>
      </c>
      <c r="D349" s="30" t="s">
        <v>225</v>
      </c>
      <c r="E349" s="234" t="s">
        <v>849</v>
      </c>
      <c r="F349" s="235" t="s">
        <v>1217</v>
      </c>
      <c r="G349" s="284" t="str">
        <f>IFERROR(VLOOKUP(E349,Assign!$C$2:$J$142,8,FALSE),)</f>
        <v>문선영</v>
      </c>
      <c r="H349" s="279" t="s">
        <v>6646</v>
      </c>
      <c r="I349" s="280" t="s">
        <v>5870</v>
      </c>
      <c r="J349" s="281" t="s">
        <v>3734</v>
      </c>
      <c r="K349" s="282">
        <v>43587</v>
      </c>
      <c r="L349" s="282">
        <v>45414</v>
      </c>
      <c r="M349" s="282">
        <v>45385</v>
      </c>
      <c r="N349" s="371">
        <v>42000000</v>
      </c>
      <c r="O349" s="444" t="s">
        <v>3866</v>
      </c>
      <c r="P349" s="397">
        <v>42000000</v>
      </c>
      <c r="Q349" s="397">
        <v>42000000</v>
      </c>
      <c r="R349" s="397"/>
      <c r="S349" s="398">
        <f t="shared" si="16"/>
        <v>42000000</v>
      </c>
      <c r="T349" s="353"/>
      <c r="U349" s="353">
        <f t="shared" si="17"/>
        <v>42000000</v>
      </c>
      <c r="V349" s="399"/>
      <c r="W349" s="399"/>
      <c r="X349" s="400" t="s">
        <v>492</v>
      </c>
      <c r="Y349" s="400"/>
      <c r="Z349" s="283"/>
    </row>
    <row r="350" spans="2:26" ht="19.5" hidden="1" customHeight="1">
      <c r="B350" s="29">
        <f t="shared" si="15"/>
        <v>340</v>
      </c>
      <c r="C350" s="30" t="s">
        <v>206</v>
      </c>
      <c r="D350" s="30" t="s">
        <v>225</v>
      </c>
      <c r="E350" s="234" t="s">
        <v>850</v>
      </c>
      <c r="F350" s="235" t="s">
        <v>1229</v>
      </c>
      <c r="G350" s="284">
        <f>IFERROR(VLOOKUP(E350,Assign!$C$2:$J$142,8,FALSE),)</f>
        <v>0</v>
      </c>
      <c r="H350" s="279" t="s">
        <v>6579</v>
      </c>
      <c r="I350" s="280" t="s">
        <v>5905</v>
      </c>
      <c r="J350" s="281" t="s">
        <v>3742</v>
      </c>
      <c r="K350" s="282">
        <v>42314</v>
      </c>
      <c r="L350" s="282">
        <v>53265</v>
      </c>
      <c r="M350" s="282">
        <v>45261</v>
      </c>
      <c r="N350" s="371">
        <v>103000000</v>
      </c>
      <c r="O350" s="444" t="s">
        <v>3866</v>
      </c>
      <c r="P350" s="397">
        <v>75366262</v>
      </c>
      <c r="Q350" s="397">
        <v>75366262</v>
      </c>
      <c r="R350" s="397"/>
      <c r="S350" s="398">
        <f t="shared" si="16"/>
        <v>75366262</v>
      </c>
      <c r="T350" s="353"/>
      <c r="U350" s="353">
        <f t="shared" si="17"/>
        <v>75366262</v>
      </c>
      <c r="V350" s="399"/>
      <c r="W350" s="399"/>
      <c r="X350" s="400" t="s">
        <v>492</v>
      </c>
      <c r="Y350" s="400"/>
      <c r="Z350" s="283"/>
    </row>
    <row r="351" spans="2:26" ht="19.5" hidden="1" customHeight="1">
      <c r="B351" s="29">
        <f t="shared" si="15"/>
        <v>341</v>
      </c>
      <c r="C351" s="30" t="s">
        <v>206</v>
      </c>
      <c r="D351" s="30" t="s">
        <v>225</v>
      </c>
      <c r="E351" s="234" t="s">
        <v>851</v>
      </c>
      <c r="F351" s="235" t="s">
        <v>1225</v>
      </c>
      <c r="G351" s="284" t="str">
        <f>IFERROR(VLOOKUP(E351,Assign!$C$2:$J$142,8,FALSE),)</f>
        <v>문선영</v>
      </c>
      <c r="H351" s="279" t="s">
        <v>6381</v>
      </c>
      <c r="I351" s="280" t="s">
        <v>5748</v>
      </c>
      <c r="J351" s="281" t="s">
        <v>3734</v>
      </c>
      <c r="K351" s="282">
        <v>44635</v>
      </c>
      <c r="L351" s="282">
        <v>45731</v>
      </c>
      <c r="M351" s="282">
        <v>45612</v>
      </c>
      <c r="N351" s="371">
        <v>74000000</v>
      </c>
      <c r="O351" s="444" t="s">
        <v>3866</v>
      </c>
      <c r="P351" s="397">
        <v>74000000</v>
      </c>
      <c r="Q351" s="397">
        <v>74000000</v>
      </c>
      <c r="R351" s="397"/>
      <c r="S351" s="398">
        <f t="shared" si="16"/>
        <v>74000000</v>
      </c>
      <c r="T351" s="353"/>
      <c r="U351" s="353">
        <f t="shared" si="17"/>
        <v>74000000</v>
      </c>
      <c r="V351" s="399"/>
      <c r="W351" s="399"/>
      <c r="X351" s="400" t="s">
        <v>492</v>
      </c>
      <c r="Y351" s="400"/>
      <c r="Z351" s="283"/>
    </row>
    <row r="352" spans="2:26" ht="19.5" hidden="1" customHeight="1">
      <c r="B352" s="29">
        <f t="shared" si="15"/>
        <v>342</v>
      </c>
      <c r="C352" s="30" t="s">
        <v>206</v>
      </c>
      <c r="D352" s="30" t="s">
        <v>225</v>
      </c>
      <c r="E352" s="234" t="s">
        <v>852</v>
      </c>
      <c r="F352" s="235" t="s">
        <v>1263</v>
      </c>
      <c r="G352" s="284">
        <f>IFERROR(VLOOKUP(E352,Assign!$C$2:$J$142,8,FALSE),)</f>
        <v>0</v>
      </c>
      <c r="H352" s="279" t="s">
        <v>6447</v>
      </c>
      <c r="I352" s="280" t="s">
        <v>5796</v>
      </c>
      <c r="J352" s="281" t="s">
        <v>3759</v>
      </c>
      <c r="K352" s="282">
        <v>42130</v>
      </c>
      <c r="L352" s="282">
        <v>53088</v>
      </c>
      <c r="M352" s="282">
        <v>45542</v>
      </c>
      <c r="N352" s="371">
        <v>91000000</v>
      </c>
      <c r="O352" s="444" t="s">
        <v>3866</v>
      </c>
      <c r="P352" s="397">
        <v>71677493</v>
      </c>
      <c r="Q352" s="397">
        <v>71677493</v>
      </c>
      <c r="R352" s="397"/>
      <c r="S352" s="398">
        <f t="shared" si="16"/>
        <v>71677493</v>
      </c>
      <c r="T352" s="353"/>
      <c r="U352" s="353">
        <f t="shared" si="17"/>
        <v>71677493</v>
      </c>
      <c r="V352" s="399"/>
      <c r="W352" s="399"/>
      <c r="X352" s="400" t="s">
        <v>492</v>
      </c>
      <c r="Y352" s="400"/>
      <c r="Z352" s="283"/>
    </row>
    <row r="353" spans="2:26" ht="19.5" hidden="1" customHeight="1">
      <c r="B353" s="29">
        <f t="shared" si="15"/>
        <v>343</v>
      </c>
      <c r="C353" s="30" t="s">
        <v>206</v>
      </c>
      <c r="D353" s="30" t="s">
        <v>225</v>
      </c>
      <c r="E353" s="234" t="s">
        <v>853</v>
      </c>
      <c r="F353" s="235" t="s">
        <v>1264</v>
      </c>
      <c r="G353" s="284" t="str">
        <f>IFERROR(VLOOKUP(E353,Assign!$C$2:$J$142,8,FALSE),)</f>
        <v>문선영</v>
      </c>
      <c r="H353" s="279" t="s">
        <v>6410</v>
      </c>
      <c r="I353" s="280" t="s">
        <v>5638</v>
      </c>
      <c r="J353" s="281" t="s">
        <v>3742</v>
      </c>
      <c r="K353" s="282">
        <v>42048</v>
      </c>
      <c r="L353" s="282">
        <v>47527</v>
      </c>
      <c r="M353" s="282">
        <v>45580</v>
      </c>
      <c r="N353" s="371">
        <v>133000000</v>
      </c>
      <c r="O353" s="444" t="s">
        <v>3866</v>
      </c>
      <c r="P353" s="397">
        <v>71272198</v>
      </c>
      <c r="Q353" s="397">
        <v>71272198</v>
      </c>
      <c r="R353" s="397"/>
      <c r="S353" s="398">
        <f t="shared" si="16"/>
        <v>71272198</v>
      </c>
      <c r="T353" s="353"/>
      <c r="U353" s="353">
        <f t="shared" si="17"/>
        <v>71272198</v>
      </c>
      <c r="V353" s="399"/>
      <c r="W353" s="399"/>
      <c r="X353" s="400" t="s">
        <v>492</v>
      </c>
      <c r="Y353" s="400"/>
      <c r="Z353" s="283"/>
    </row>
    <row r="354" spans="2:26" ht="19.5" hidden="1" customHeight="1">
      <c r="B354" s="29">
        <f t="shared" si="15"/>
        <v>344</v>
      </c>
      <c r="C354" s="30" t="s">
        <v>206</v>
      </c>
      <c r="D354" s="30" t="s">
        <v>225</v>
      </c>
      <c r="E354" s="234" t="s">
        <v>854</v>
      </c>
      <c r="F354" s="235" t="s">
        <v>1229</v>
      </c>
      <c r="G354" s="284">
        <f>IFERROR(VLOOKUP(E354,Assign!$C$2:$J$142,8,FALSE),)</f>
        <v>0</v>
      </c>
      <c r="H354" s="279" t="s">
        <v>6321</v>
      </c>
      <c r="I354" s="280" t="s">
        <v>5696</v>
      </c>
      <c r="J354" s="281" t="s">
        <v>3733</v>
      </c>
      <c r="K354" s="282">
        <v>44516</v>
      </c>
      <c r="L354" s="282">
        <v>45612</v>
      </c>
      <c r="M354" s="282">
        <v>45615</v>
      </c>
      <c r="N354" s="371">
        <v>70000000</v>
      </c>
      <c r="O354" s="444" t="s">
        <v>3866</v>
      </c>
      <c r="P354" s="397">
        <v>70000000</v>
      </c>
      <c r="Q354" s="397">
        <v>70000000</v>
      </c>
      <c r="R354" s="397"/>
      <c r="S354" s="398">
        <f t="shared" si="16"/>
        <v>70000000</v>
      </c>
      <c r="T354" s="353"/>
      <c r="U354" s="353">
        <f t="shared" si="17"/>
        <v>70000000</v>
      </c>
      <c r="V354" s="399"/>
      <c r="W354" s="399"/>
      <c r="X354" s="400" t="s">
        <v>492</v>
      </c>
      <c r="Y354" s="400"/>
      <c r="Z354" s="283"/>
    </row>
    <row r="355" spans="2:26" ht="19.5" hidden="1" customHeight="1">
      <c r="B355" s="29">
        <f t="shared" si="15"/>
        <v>345</v>
      </c>
      <c r="C355" s="30" t="s">
        <v>206</v>
      </c>
      <c r="D355" s="30" t="s">
        <v>225</v>
      </c>
      <c r="E355" s="234" t="s">
        <v>855</v>
      </c>
      <c r="F355" s="235" t="s">
        <v>1235</v>
      </c>
      <c r="G355" s="284">
        <f>IFERROR(VLOOKUP(E355,Assign!$C$2:$J$142,8,FALSE),)</f>
        <v>0</v>
      </c>
      <c r="H355" s="279" t="s">
        <v>6635</v>
      </c>
      <c r="I355" s="280" t="s">
        <v>5946</v>
      </c>
      <c r="J355" s="281" t="s">
        <v>3733</v>
      </c>
      <c r="K355" s="282">
        <v>44530</v>
      </c>
      <c r="L355" s="282">
        <v>45626</v>
      </c>
      <c r="M355" s="282">
        <v>45352</v>
      </c>
      <c r="N355" s="371">
        <v>70000000</v>
      </c>
      <c r="O355" s="444" t="s">
        <v>3866</v>
      </c>
      <c r="P355" s="397">
        <v>70000000</v>
      </c>
      <c r="Q355" s="397">
        <v>70000000</v>
      </c>
      <c r="R355" s="397"/>
      <c r="S355" s="398">
        <f t="shared" si="16"/>
        <v>70000000</v>
      </c>
      <c r="T355" s="353"/>
      <c r="U355" s="353">
        <f t="shared" si="17"/>
        <v>70000000</v>
      </c>
      <c r="V355" s="399"/>
      <c r="W355" s="399"/>
      <c r="X355" s="400" t="s">
        <v>492</v>
      </c>
      <c r="Y355" s="400"/>
      <c r="Z355" s="283"/>
    </row>
    <row r="356" spans="2:26" ht="19.5" hidden="1" customHeight="1">
      <c r="B356" s="29">
        <f t="shared" si="15"/>
        <v>346</v>
      </c>
      <c r="C356" s="30" t="s">
        <v>206</v>
      </c>
      <c r="D356" s="30" t="s">
        <v>225</v>
      </c>
      <c r="E356" s="234" t="s">
        <v>856</v>
      </c>
      <c r="F356" s="235" t="s">
        <v>1263</v>
      </c>
      <c r="G356" s="284">
        <f>IFERROR(VLOOKUP(E356,Assign!$C$2:$J$142,8,FALSE),)</f>
        <v>0</v>
      </c>
      <c r="H356" s="279" t="s">
        <v>6912</v>
      </c>
      <c r="I356" s="280" t="s">
        <v>6047</v>
      </c>
      <c r="J356" s="281" t="s">
        <v>3759</v>
      </c>
      <c r="K356" s="282">
        <v>42222</v>
      </c>
      <c r="L356" s="282">
        <v>53180</v>
      </c>
      <c r="M356" s="282">
        <v>45542</v>
      </c>
      <c r="N356" s="371">
        <v>100000000</v>
      </c>
      <c r="O356" s="444" t="s">
        <v>3866</v>
      </c>
      <c r="P356" s="397">
        <v>69999804</v>
      </c>
      <c r="Q356" s="397">
        <v>69999804</v>
      </c>
      <c r="R356" s="397"/>
      <c r="S356" s="398">
        <f t="shared" si="16"/>
        <v>69999804</v>
      </c>
      <c r="T356" s="353"/>
      <c r="U356" s="353">
        <f t="shared" si="17"/>
        <v>69999804</v>
      </c>
      <c r="V356" s="399"/>
      <c r="W356" s="399"/>
      <c r="X356" s="400" t="s">
        <v>492</v>
      </c>
      <c r="Y356" s="400"/>
      <c r="Z356" s="283"/>
    </row>
    <row r="357" spans="2:26" ht="19.5" hidden="1" customHeight="1">
      <c r="B357" s="29">
        <f t="shared" si="15"/>
        <v>347</v>
      </c>
      <c r="C357" s="30" t="s">
        <v>206</v>
      </c>
      <c r="D357" s="30" t="s">
        <v>225</v>
      </c>
      <c r="E357" s="234" t="s">
        <v>857</v>
      </c>
      <c r="F357" s="235" t="s">
        <v>1251</v>
      </c>
      <c r="G357" s="284">
        <f>IFERROR(VLOOKUP(E357,Assign!$C$2:$J$142,8,FALSE),)</f>
        <v>0</v>
      </c>
      <c r="H357" s="279" t="s">
        <v>6864</v>
      </c>
      <c r="I357" s="280" t="s">
        <v>5965</v>
      </c>
      <c r="J357" s="281" t="s">
        <v>3735</v>
      </c>
      <c r="K357" s="282">
        <v>42985</v>
      </c>
      <c r="L357" s="282">
        <v>53942</v>
      </c>
      <c r="M357" s="282">
        <v>45573</v>
      </c>
      <c r="N357" s="371">
        <v>81000000</v>
      </c>
      <c r="O357" s="444" t="s">
        <v>3866</v>
      </c>
      <c r="P357" s="397">
        <v>69770576</v>
      </c>
      <c r="Q357" s="397">
        <v>69770576</v>
      </c>
      <c r="R357" s="397"/>
      <c r="S357" s="398">
        <f t="shared" si="16"/>
        <v>69770576</v>
      </c>
      <c r="T357" s="353"/>
      <c r="U357" s="353">
        <f t="shared" si="17"/>
        <v>69770576</v>
      </c>
      <c r="V357" s="399"/>
      <c r="W357" s="399"/>
      <c r="X357" s="400" t="s">
        <v>492</v>
      </c>
      <c r="Y357" s="400"/>
      <c r="Z357" s="283"/>
    </row>
    <row r="358" spans="2:26" ht="19.5" hidden="1" customHeight="1">
      <c r="B358" s="29">
        <f t="shared" si="15"/>
        <v>348</v>
      </c>
      <c r="C358" s="30" t="s">
        <v>206</v>
      </c>
      <c r="D358" s="30" t="s">
        <v>225</v>
      </c>
      <c r="E358" s="234" t="s">
        <v>858</v>
      </c>
      <c r="F358" s="235" t="s">
        <v>1225</v>
      </c>
      <c r="G358" s="284">
        <f>IFERROR(VLOOKUP(E358,Assign!$C$2:$J$142,8,FALSE),)</f>
        <v>0</v>
      </c>
      <c r="H358" s="279" t="s">
        <v>6338</v>
      </c>
      <c r="I358" s="280" t="s">
        <v>5712</v>
      </c>
      <c r="J358" s="281" t="s">
        <v>3741</v>
      </c>
      <c r="K358" s="282">
        <v>44624</v>
      </c>
      <c r="L358" s="282">
        <v>57408</v>
      </c>
      <c r="M358" s="282">
        <v>45570</v>
      </c>
      <c r="N358" s="371">
        <v>70900000</v>
      </c>
      <c r="O358" s="444" t="s">
        <v>3866</v>
      </c>
      <c r="P358" s="397">
        <v>68736226</v>
      </c>
      <c r="Q358" s="397">
        <v>68736226</v>
      </c>
      <c r="R358" s="397"/>
      <c r="S358" s="398">
        <f t="shared" si="16"/>
        <v>68736226</v>
      </c>
      <c r="T358" s="353"/>
      <c r="U358" s="353">
        <f t="shared" si="17"/>
        <v>68736226</v>
      </c>
      <c r="V358" s="399"/>
      <c r="W358" s="399"/>
      <c r="X358" s="400" t="s">
        <v>492</v>
      </c>
      <c r="Y358" s="400"/>
      <c r="Z358" s="283"/>
    </row>
    <row r="359" spans="2:26" ht="19.5" hidden="1" customHeight="1">
      <c r="B359" s="29">
        <f t="shared" si="15"/>
        <v>349</v>
      </c>
      <c r="C359" s="30" t="s">
        <v>206</v>
      </c>
      <c r="D359" s="30" t="s">
        <v>225</v>
      </c>
      <c r="E359" s="234" t="s">
        <v>859</v>
      </c>
      <c r="F359" s="235" t="s">
        <v>1223</v>
      </c>
      <c r="G359" s="284">
        <f>IFERROR(VLOOKUP(E359,Assign!$C$2:$J$142,8,FALSE),)</f>
        <v>0</v>
      </c>
      <c r="H359" s="279" t="s">
        <v>6274</v>
      </c>
      <c r="I359" s="280" t="s">
        <v>5652</v>
      </c>
      <c r="J359" s="281" t="s">
        <v>3737</v>
      </c>
      <c r="K359" s="282">
        <v>44323</v>
      </c>
      <c r="L359" s="282">
        <v>57107</v>
      </c>
      <c r="M359" s="282">
        <v>45664</v>
      </c>
      <c r="N359" s="371">
        <v>100000000</v>
      </c>
      <c r="O359" s="444" t="s">
        <v>3866</v>
      </c>
      <c r="P359" s="397">
        <v>67443873</v>
      </c>
      <c r="Q359" s="397">
        <v>67443873</v>
      </c>
      <c r="R359" s="397"/>
      <c r="S359" s="398">
        <f t="shared" si="16"/>
        <v>67443873</v>
      </c>
      <c r="T359" s="353"/>
      <c r="U359" s="353">
        <f t="shared" si="17"/>
        <v>67443873</v>
      </c>
      <c r="V359" s="399"/>
      <c r="W359" s="399"/>
      <c r="X359" s="400" t="s">
        <v>492</v>
      </c>
      <c r="Y359" s="400"/>
      <c r="Z359" s="283"/>
    </row>
    <row r="360" spans="2:26" ht="19.5" hidden="1" customHeight="1">
      <c r="B360" s="29">
        <f t="shared" si="15"/>
        <v>350</v>
      </c>
      <c r="C360" s="30" t="s">
        <v>206</v>
      </c>
      <c r="D360" s="30" t="s">
        <v>225</v>
      </c>
      <c r="E360" s="234" t="s">
        <v>860</v>
      </c>
      <c r="F360" s="235" t="s">
        <v>1229</v>
      </c>
      <c r="G360" s="284">
        <f>IFERROR(VLOOKUP(E360,Assign!$C$2:$J$142,8,FALSE),)</f>
        <v>0</v>
      </c>
      <c r="H360" s="279" t="s">
        <v>6434</v>
      </c>
      <c r="I360" s="280" t="s">
        <v>5791</v>
      </c>
      <c r="J360" s="281" t="s">
        <v>3735</v>
      </c>
      <c r="K360" s="282">
        <v>43062</v>
      </c>
      <c r="L360" s="282">
        <v>55846</v>
      </c>
      <c r="M360" s="282">
        <v>45346</v>
      </c>
      <c r="N360" s="371">
        <v>84000000</v>
      </c>
      <c r="O360" s="444" t="s">
        <v>3866</v>
      </c>
      <c r="P360" s="397">
        <v>67071744</v>
      </c>
      <c r="Q360" s="397">
        <v>67071744</v>
      </c>
      <c r="R360" s="397"/>
      <c r="S360" s="398">
        <f t="shared" si="16"/>
        <v>67071744</v>
      </c>
      <c r="T360" s="353"/>
      <c r="U360" s="353">
        <f t="shared" si="17"/>
        <v>67071744</v>
      </c>
      <c r="V360" s="399"/>
      <c r="W360" s="399"/>
      <c r="X360" s="400" t="s">
        <v>492</v>
      </c>
      <c r="Y360" s="400"/>
      <c r="Z360" s="283"/>
    </row>
    <row r="361" spans="2:26" ht="19.5" hidden="1" customHeight="1">
      <c r="B361" s="29">
        <f t="shared" si="15"/>
        <v>351</v>
      </c>
      <c r="C361" s="30" t="s">
        <v>206</v>
      </c>
      <c r="D361" s="30" t="s">
        <v>225</v>
      </c>
      <c r="E361" s="234" t="s">
        <v>861</v>
      </c>
      <c r="F361" s="235" t="s">
        <v>1229</v>
      </c>
      <c r="G361" s="284">
        <f>IFERROR(VLOOKUP(E361,Assign!$C$2:$J$142,8,FALSE),)</f>
        <v>0</v>
      </c>
      <c r="H361" s="279" t="s">
        <v>7008</v>
      </c>
      <c r="I361" s="280" t="s">
        <v>5908</v>
      </c>
      <c r="J361" s="281" t="s">
        <v>3756</v>
      </c>
      <c r="K361" s="282">
        <v>44336</v>
      </c>
      <c r="L361" s="282">
        <v>55293</v>
      </c>
      <c r="M361" s="282">
        <v>45617</v>
      </c>
      <c r="N361" s="371">
        <v>70000000</v>
      </c>
      <c r="O361" s="444" t="s">
        <v>3866</v>
      </c>
      <c r="P361" s="397">
        <v>65480110</v>
      </c>
      <c r="Q361" s="397">
        <v>65480110</v>
      </c>
      <c r="R361" s="397"/>
      <c r="S361" s="398">
        <f t="shared" si="16"/>
        <v>65480110</v>
      </c>
      <c r="T361" s="353"/>
      <c r="U361" s="353">
        <f t="shared" si="17"/>
        <v>65480110</v>
      </c>
      <c r="V361" s="399"/>
      <c r="W361" s="399"/>
      <c r="X361" s="400" t="s">
        <v>492</v>
      </c>
      <c r="Y361" s="400"/>
      <c r="Z361" s="283"/>
    </row>
    <row r="362" spans="2:26" ht="19.5" hidden="1" customHeight="1">
      <c r="B362" s="29">
        <f t="shared" si="15"/>
        <v>352</v>
      </c>
      <c r="C362" s="30" t="s">
        <v>206</v>
      </c>
      <c r="D362" s="30" t="s">
        <v>225</v>
      </c>
      <c r="E362" s="234" t="s">
        <v>862</v>
      </c>
      <c r="F362" s="235" t="s">
        <v>1231</v>
      </c>
      <c r="G362" s="284" t="str">
        <f>IFERROR(VLOOKUP(E362,Assign!$C$2:$J$142,8,FALSE),)</f>
        <v>문선영</v>
      </c>
      <c r="H362" s="279" t="s">
        <v>6809</v>
      </c>
      <c r="I362" s="280" t="s">
        <v>6056</v>
      </c>
      <c r="J362" s="281" t="s">
        <v>3754</v>
      </c>
      <c r="K362" s="282">
        <v>43098</v>
      </c>
      <c r="L362" s="282">
        <v>46750</v>
      </c>
      <c r="M362" s="282">
        <v>45442</v>
      </c>
      <c r="N362" s="371">
        <v>123600000</v>
      </c>
      <c r="O362" s="444" t="s">
        <v>3866</v>
      </c>
      <c r="P362" s="397">
        <v>64742832</v>
      </c>
      <c r="Q362" s="397">
        <v>64742832</v>
      </c>
      <c r="R362" s="397"/>
      <c r="S362" s="398">
        <f t="shared" si="16"/>
        <v>64742832</v>
      </c>
      <c r="T362" s="353"/>
      <c r="U362" s="353">
        <f t="shared" si="17"/>
        <v>64742832</v>
      </c>
      <c r="V362" s="399"/>
      <c r="W362" s="399"/>
      <c r="X362" s="400" t="s">
        <v>492</v>
      </c>
      <c r="Y362" s="400"/>
      <c r="Z362" s="283"/>
    </row>
    <row r="363" spans="2:26" ht="19.5" hidden="1" customHeight="1">
      <c r="B363" s="29">
        <f t="shared" si="15"/>
        <v>353</v>
      </c>
      <c r="C363" s="30" t="s">
        <v>206</v>
      </c>
      <c r="D363" s="30" t="s">
        <v>225</v>
      </c>
      <c r="E363" s="234" t="s">
        <v>863</v>
      </c>
      <c r="F363" s="235" t="s">
        <v>1265</v>
      </c>
      <c r="G363" s="284" t="str">
        <f>IFERROR(VLOOKUP(E363,Assign!$C$2:$J$142,8,FALSE),)</f>
        <v>문선영</v>
      </c>
      <c r="H363" s="279" t="s">
        <v>6603</v>
      </c>
      <c r="I363" s="280" t="s">
        <v>5923</v>
      </c>
      <c r="J363" s="281" t="s">
        <v>3735</v>
      </c>
      <c r="K363" s="282">
        <v>42068</v>
      </c>
      <c r="L363" s="282">
        <v>53026</v>
      </c>
      <c r="M363" s="282">
        <v>45534</v>
      </c>
      <c r="N363" s="371">
        <v>64400000</v>
      </c>
      <c r="O363" s="444" t="s">
        <v>3866</v>
      </c>
      <c r="P363" s="397">
        <v>64400000</v>
      </c>
      <c r="Q363" s="397">
        <v>64400000</v>
      </c>
      <c r="R363" s="397"/>
      <c r="S363" s="398">
        <f t="shared" si="16"/>
        <v>64400000</v>
      </c>
      <c r="T363" s="353"/>
      <c r="U363" s="353">
        <f t="shared" si="17"/>
        <v>64400000</v>
      </c>
      <c r="V363" s="399"/>
      <c r="W363" s="399"/>
      <c r="X363" s="400" t="s">
        <v>492</v>
      </c>
      <c r="Y363" s="400"/>
      <c r="Z363" s="283"/>
    </row>
    <row r="364" spans="2:26" ht="19.5" hidden="1" customHeight="1">
      <c r="B364" s="29">
        <f t="shared" si="15"/>
        <v>354</v>
      </c>
      <c r="C364" s="30" t="s">
        <v>206</v>
      </c>
      <c r="D364" s="30" t="s">
        <v>225</v>
      </c>
      <c r="E364" s="234" t="s">
        <v>864</v>
      </c>
      <c r="F364" s="235" t="s">
        <v>1244</v>
      </c>
      <c r="G364" s="284">
        <f>IFERROR(VLOOKUP(E364,Assign!$C$2:$J$142,8,FALSE),)</f>
        <v>0</v>
      </c>
      <c r="H364" s="279" t="s">
        <v>6409</v>
      </c>
      <c r="I364" s="280" t="s">
        <v>5770</v>
      </c>
      <c r="J364" s="281" t="s">
        <v>3733</v>
      </c>
      <c r="K364" s="282">
        <v>44127</v>
      </c>
      <c r="L364" s="282">
        <v>45680</v>
      </c>
      <c r="M364" s="282">
        <v>45678</v>
      </c>
      <c r="N364" s="371">
        <v>61200000</v>
      </c>
      <c r="O364" s="444" t="s">
        <v>3866</v>
      </c>
      <c r="P364" s="397">
        <v>61200000</v>
      </c>
      <c r="Q364" s="397">
        <v>61200000</v>
      </c>
      <c r="R364" s="397"/>
      <c r="S364" s="398">
        <f t="shared" si="16"/>
        <v>61200000</v>
      </c>
      <c r="T364" s="353"/>
      <c r="U364" s="353">
        <f t="shared" si="17"/>
        <v>61200000</v>
      </c>
      <c r="V364" s="399"/>
      <c r="W364" s="399"/>
      <c r="X364" s="400" t="s">
        <v>492</v>
      </c>
      <c r="Y364" s="400"/>
      <c r="Z364" s="283"/>
    </row>
    <row r="365" spans="2:26" ht="19.5" hidden="1" customHeight="1">
      <c r="B365" s="29">
        <f t="shared" si="15"/>
        <v>355</v>
      </c>
      <c r="C365" s="30" t="s">
        <v>206</v>
      </c>
      <c r="D365" s="30" t="s">
        <v>225</v>
      </c>
      <c r="E365" s="234" t="s">
        <v>865</v>
      </c>
      <c r="F365" s="235" t="s">
        <v>1235</v>
      </c>
      <c r="G365" s="284" t="str">
        <f>IFERROR(VLOOKUP(E365,Assign!$C$2:$J$142,8,FALSE),)</f>
        <v>문선영</v>
      </c>
      <c r="H365" s="279" t="s">
        <v>6600</v>
      </c>
      <c r="I365" s="280" t="s">
        <v>5920</v>
      </c>
      <c r="J365" s="281" t="s">
        <v>3738</v>
      </c>
      <c r="K365" s="282">
        <v>44690</v>
      </c>
      <c r="L365" s="282">
        <v>45786</v>
      </c>
      <c r="M365" s="282">
        <v>45580</v>
      </c>
      <c r="N365" s="371">
        <v>60000000</v>
      </c>
      <c r="O365" s="444" t="s">
        <v>3866</v>
      </c>
      <c r="P365" s="397">
        <v>60000000</v>
      </c>
      <c r="Q365" s="397">
        <v>60000000</v>
      </c>
      <c r="R365" s="397"/>
      <c r="S365" s="398">
        <f t="shared" si="16"/>
        <v>60000000</v>
      </c>
      <c r="T365" s="353"/>
      <c r="U365" s="353">
        <f t="shared" si="17"/>
        <v>60000000</v>
      </c>
      <c r="V365" s="399"/>
      <c r="W365" s="399"/>
      <c r="X365" s="400" t="s">
        <v>492</v>
      </c>
      <c r="Y365" s="400"/>
      <c r="Z365" s="283"/>
    </row>
    <row r="366" spans="2:26" ht="19.5" hidden="1" customHeight="1">
      <c r="B366" s="29">
        <f t="shared" si="15"/>
        <v>356</v>
      </c>
      <c r="C366" s="30" t="s">
        <v>206</v>
      </c>
      <c r="D366" s="30" t="s">
        <v>225</v>
      </c>
      <c r="E366" s="234" t="s">
        <v>866</v>
      </c>
      <c r="F366" s="235" t="s">
        <v>1252</v>
      </c>
      <c r="G366" s="284">
        <f>IFERROR(VLOOKUP(E366,Assign!$C$2:$J$142,8,FALSE),)</f>
        <v>0</v>
      </c>
      <c r="H366" s="279" t="s">
        <v>6884</v>
      </c>
      <c r="I366" s="280" t="s">
        <v>6102</v>
      </c>
      <c r="J366" s="281" t="s">
        <v>3734</v>
      </c>
      <c r="K366" s="282">
        <v>44447</v>
      </c>
      <c r="L366" s="282">
        <v>45908</v>
      </c>
      <c r="M366" s="282">
        <v>45636</v>
      </c>
      <c r="N366" s="371">
        <v>60000000</v>
      </c>
      <c r="O366" s="444" t="s">
        <v>3866</v>
      </c>
      <c r="P366" s="397">
        <v>60000000</v>
      </c>
      <c r="Q366" s="397">
        <v>60000000</v>
      </c>
      <c r="R366" s="397"/>
      <c r="S366" s="398">
        <f t="shared" si="16"/>
        <v>60000000</v>
      </c>
      <c r="T366" s="353"/>
      <c r="U366" s="353">
        <f t="shared" si="17"/>
        <v>60000000</v>
      </c>
      <c r="V366" s="399"/>
      <c r="W366" s="399"/>
      <c r="X366" s="400" t="s">
        <v>492</v>
      </c>
      <c r="Y366" s="400"/>
      <c r="Z366" s="283"/>
    </row>
    <row r="367" spans="2:26" ht="19.5" hidden="1" customHeight="1">
      <c r="B367" s="29">
        <f t="shared" si="15"/>
        <v>357</v>
      </c>
      <c r="C367" s="30" t="s">
        <v>206</v>
      </c>
      <c r="D367" s="30" t="s">
        <v>225</v>
      </c>
      <c r="E367" s="234" t="s">
        <v>867</v>
      </c>
      <c r="F367" s="235" t="s">
        <v>1249</v>
      </c>
      <c r="G367" s="284">
        <f>IFERROR(VLOOKUP(E367,Assign!$C$2:$J$142,8,FALSE),)</f>
        <v>0</v>
      </c>
      <c r="H367" s="279" t="s">
        <v>6785</v>
      </c>
      <c r="I367" s="280" t="s">
        <v>5646</v>
      </c>
      <c r="J367" s="281" t="s">
        <v>3733</v>
      </c>
      <c r="K367" s="282">
        <v>42215</v>
      </c>
      <c r="L367" s="282">
        <v>45595</v>
      </c>
      <c r="M367" s="282">
        <v>45566</v>
      </c>
      <c r="N367" s="371">
        <v>59000000</v>
      </c>
      <c r="O367" s="444" t="s">
        <v>3866</v>
      </c>
      <c r="P367" s="397">
        <v>59000000</v>
      </c>
      <c r="Q367" s="397">
        <v>59000000</v>
      </c>
      <c r="R367" s="397"/>
      <c r="S367" s="398">
        <f t="shared" si="16"/>
        <v>59000000</v>
      </c>
      <c r="T367" s="353"/>
      <c r="U367" s="353">
        <f t="shared" si="17"/>
        <v>59000000</v>
      </c>
      <c r="V367" s="399"/>
      <c r="W367" s="399"/>
      <c r="X367" s="400" t="s">
        <v>492</v>
      </c>
      <c r="Y367" s="400"/>
      <c r="Z367" s="283"/>
    </row>
    <row r="368" spans="2:26" ht="19.5" hidden="1" customHeight="1">
      <c r="B368" s="29">
        <f t="shared" si="15"/>
        <v>358</v>
      </c>
      <c r="C368" s="30" t="s">
        <v>206</v>
      </c>
      <c r="D368" s="30" t="s">
        <v>225</v>
      </c>
      <c r="E368" s="234" t="s">
        <v>868</v>
      </c>
      <c r="F368" s="235" t="s">
        <v>1229</v>
      </c>
      <c r="G368" s="284">
        <f>IFERROR(VLOOKUP(E368,Assign!$C$2:$J$142,8,FALSE),)</f>
        <v>0</v>
      </c>
      <c r="H368" s="279" t="s">
        <v>6558</v>
      </c>
      <c r="I368" s="280" t="s">
        <v>5887</v>
      </c>
      <c r="J368" s="281" t="s">
        <v>3737</v>
      </c>
      <c r="K368" s="282">
        <v>44985</v>
      </c>
      <c r="L368" s="282">
        <v>59592</v>
      </c>
      <c r="M368" s="282">
        <v>45531</v>
      </c>
      <c r="N368" s="371">
        <v>60000000</v>
      </c>
      <c r="O368" s="444" t="s">
        <v>3866</v>
      </c>
      <c r="P368" s="397">
        <v>57875000</v>
      </c>
      <c r="Q368" s="397">
        <v>57875000</v>
      </c>
      <c r="R368" s="397"/>
      <c r="S368" s="398">
        <f t="shared" si="16"/>
        <v>57875000</v>
      </c>
      <c r="T368" s="353"/>
      <c r="U368" s="353">
        <f t="shared" si="17"/>
        <v>57875000</v>
      </c>
      <c r="V368" s="399"/>
      <c r="W368" s="399"/>
      <c r="X368" s="400" t="s">
        <v>492</v>
      </c>
      <c r="Y368" s="400"/>
      <c r="Z368" s="283"/>
    </row>
    <row r="369" spans="2:26" ht="19.5" hidden="1" customHeight="1">
      <c r="B369" s="29">
        <f t="shared" si="15"/>
        <v>359</v>
      </c>
      <c r="C369" s="30" t="s">
        <v>206</v>
      </c>
      <c r="D369" s="30" t="s">
        <v>225</v>
      </c>
      <c r="E369" s="234" t="s">
        <v>869</v>
      </c>
      <c r="F369" s="235" t="s">
        <v>1229</v>
      </c>
      <c r="G369" s="284" t="str">
        <f>IFERROR(VLOOKUP(E369,Assign!$C$2:$J$142,8,FALSE),)</f>
        <v>문선영</v>
      </c>
      <c r="H369" s="279" t="s">
        <v>6546</v>
      </c>
      <c r="I369" s="280" t="s">
        <v>5879</v>
      </c>
      <c r="J369" s="281" t="s">
        <v>3755</v>
      </c>
      <c r="K369" s="282">
        <v>42366</v>
      </c>
      <c r="L369" s="282">
        <v>53324</v>
      </c>
      <c r="M369" s="282">
        <v>45533</v>
      </c>
      <c r="N369" s="371">
        <v>80000000</v>
      </c>
      <c r="O369" s="444" t="s">
        <v>3866</v>
      </c>
      <c r="P369" s="397">
        <v>57111054</v>
      </c>
      <c r="Q369" s="397">
        <v>57111054</v>
      </c>
      <c r="R369" s="397"/>
      <c r="S369" s="398">
        <f t="shared" si="16"/>
        <v>57111054</v>
      </c>
      <c r="T369" s="353"/>
      <c r="U369" s="353">
        <f t="shared" si="17"/>
        <v>57111054</v>
      </c>
      <c r="V369" s="399"/>
      <c r="W369" s="399"/>
      <c r="X369" s="400" t="s">
        <v>492</v>
      </c>
      <c r="Y369" s="400"/>
      <c r="Z369" s="283"/>
    </row>
    <row r="370" spans="2:26" ht="19.5" hidden="1" customHeight="1">
      <c r="B370" s="29">
        <f t="shared" si="15"/>
        <v>360</v>
      </c>
      <c r="C370" s="30" t="s">
        <v>206</v>
      </c>
      <c r="D370" s="30" t="s">
        <v>225</v>
      </c>
      <c r="E370" s="234" t="s">
        <v>870</v>
      </c>
      <c r="F370" s="235" t="s">
        <v>1220</v>
      </c>
      <c r="G370" s="284">
        <f>IFERROR(VLOOKUP(E370,Assign!$C$2:$J$142,8,FALSE),)</f>
        <v>0</v>
      </c>
      <c r="H370" s="279" t="s">
        <v>6395</v>
      </c>
      <c r="I370" s="280" t="s">
        <v>5758</v>
      </c>
      <c r="J370" s="281" t="s">
        <v>3765</v>
      </c>
      <c r="K370" s="282">
        <v>41635</v>
      </c>
      <c r="L370" s="282">
        <v>47114</v>
      </c>
      <c r="M370" s="282">
        <v>45624</v>
      </c>
      <c r="N370" s="371">
        <v>164000000</v>
      </c>
      <c r="O370" s="444" t="s">
        <v>3866</v>
      </c>
      <c r="P370" s="397">
        <v>56010244</v>
      </c>
      <c r="Q370" s="397">
        <v>56010244</v>
      </c>
      <c r="R370" s="397"/>
      <c r="S370" s="398">
        <f t="shared" si="16"/>
        <v>56010244</v>
      </c>
      <c r="T370" s="353"/>
      <c r="U370" s="353">
        <f t="shared" si="17"/>
        <v>56010244</v>
      </c>
      <c r="V370" s="399"/>
      <c r="W370" s="399"/>
      <c r="X370" s="400" t="s">
        <v>492</v>
      </c>
      <c r="Y370" s="400"/>
      <c r="Z370" s="283"/>
    </row>
    <row r="371" spans="2:26" ht="19.5" hidden="1" customHeight="1">
      <c r="B371" s="29">
        <f t="shared" si="15"/>
        <v>361</v>
      </c>
      <c r="C371" s="30" t="s">
        <v>206</v>
      </c>
      <c r="D371" s="30" t="s">
        <v>225</v>
      </c>
      <c r="E371" s="234" t="s">
        <v>871</v>
      </c>
      <c r="F371" s="235" t="s">
        <v>1229</v>
      </c>
      <c r="G371" s="284">
        <f>IFERROR(VLOOKUP(E371,Assign!$C$2:$J$142,8,FALSE),)</f>
        <v>0</v>
      </c>
      <c r="H371" s="279" t="s">
        <v>6740</v>
      </c>
      <c r="I371" s="280" t="s">
        <v>5689</v>
      </c>
      <c r="J371" s="281" t="s">
        <v>3733</v>
      </c>
      <c r="K371" s="282">
        <v>44581</v>
      </c>
      <c r="L371" s="282">
        <v>45677</v>
      </c>
      <c r="M371" s="282">
        <v>45678</v>
      </c>
      <c r="N371" s="371">
        <v>65000000</v>
      </c>
      <c r="O371" s="444" t="s">
        <v>3866</v>
      </c>
      <c r="P371" s="397">
        <v>55615537</v>
      </c>
      <c r="Q371" s="397">
        <v>55615537</v>
      </c>
      <c r="R371" s="397"/>
      <c r="S371" s="398">
        <f t="shared" si="16"/>
        <v>55615537</v>
      </c>
      <c r="T371" s="353"/>
      <c r="U371" s="353">
        <f t="shared" si="17"/>
        <v>55615537</v>
      </c>
      <c r="V371" s="399"/>
      <c r="W371" s="399"/>
      <c r="X371" s="400" t="s">
        <v>492</v>
      </c>
      <c r="Y371" s="400"/>
      <c r="Z371" s="283"/>
    </row>
    <row r="372" spans="2:26" ht="19.5" hidden="1" customHeight="1">
      <c r="B372" s="29">
        <f t="shared" si="15"/>
        <v>362</v>
      </c>
      <c r="C372" s="30" t="s">
        <v>206</v>
      </c>
      <c r="D372" s="30" t="s">
        <v>225</v>
      </c>
      <c r="E372" s="234" t="s">
        <v>872</v>
      </c>
      <c r="F372" s="235" t="s">
        <v>1220</v>
      </c>
      <c r="G372" s="284">
        <f>IFERROR(VLOOKUP(E372,Assign!$C$2:$J$142,8,FALSE),)</f>
        <v>0</v>
      </c>
      <c r="H372" s="279" t="s">
        <v>6831</v>
      </c>
      <c r="I372" s="280" t="s">
        <v>5946</v>
      </c>
      <c r="J372" s="281" t="s">
        <v>3735</v>
      </c>
      <c r="K372" s="282">
        <v>44161</v>
      </c>
      <c r="L372" s="282">
        <v>55118</v>
      </c>
      <c r="M372" s="282">
        <v>45562</v>
      </c>
      <c r="N372" s="371">
        <v>60000000</v>
      </c>
      <c r="O372" s="444" t="s">
        <v>3866</v>
      </c>
      <c r="P372" s="397">
        <v>55154624</v>
      </c>
      <c r="Q372" s="397">
        <v>55154624</v>
      </c>
      <c r="R372" s="397"/>
      <c r="S372" s="398">
        <f t="shared" si="16"/>
        <v>55154624</v>
      </c>
      <c r="T372" s="353"/>
      <c r="U372" s="353">
        <f t="shared" si="17"/>
        <v>55154624</v>
      </c>
      <c r="V372" s="399"/>
      <c r="W372" s="399"/>
      <c r="X372" s="400" t="s">
        <v>492</v>
      </c>
      <c r="Y372" s="400"/>
      <c r="Z372" s="283"/>
    </row>
    <row r="373" spans="2:26" ht="19.5" hidden="1" customHeight="1">
      <c r="B373" s="29">
        <f t="shared" si="15"/>
        <v>363</v>
      </c>
      <c r="C373" s="30" t="s">
        <v>206</v>
      </c>
      <c r="D373" s="30" t="s">
        <v>225</v>
      </c>
      <c r="E373" s="234" t="s">
        <v>873</v>
      </c>
      <c r="F373" s="235" t="s">
        <v>1225</v>
      </c>
      <c r="G373" s="284">
        <f>IFERROR(VLOOKUP(E373,Assign!$C$2:$J$142,8,FALSE),)</f>
        <v>0</v>
      </c>
      <c r="H373" s="279" t="s">
        <v>6547</v>
      </c>
      <c r="I373" s="280" t="s">
        <v>5880</v>
      </c>
      <c r="J373" s="281" t="s">
        <v>3735</v>
      </c>
      <c r="K373" s="282">
        <v>42524</v>
      </c>
      <c r="L373" s="282">
        <v>53481</v>
      </c>
      <c r="M373" s="282">
        <v>45661</v>
      </c>
      <c r="N373" s="371">
        <v>67000000</v>
      </c>
      <c r="O373" s="444" t="s">
        <v>3866</v>
      </c>
      <c r="P373" s="397">
        <v>54101069</v>
      </c>
      <c r="Q373" s="397">
        <v>54101069</v>
      </c>
      <c r="R373" s="397"/>
      <c r="S373" s="398">
        <f t="shared" si="16"/>
        <v>54101069</v>
      </c>
      <c r="T373" s="353"/>
      <c r="U373" s="353">
        <f t="shared" si="17"/>
        <v>54101069</v>
      </c>
      <c r="V373" s="399"/>
      <c r="W373" s="399"/>
      <c r="X373" s="400" t="s">
        <v>492</v>
      </c>
      <c r="Y373" s="400"/>
      <c r="Z373" s="283"/>
    </row>
    <row r="374" spans="2:26" ht="19.5" hidden="1" customHeight="1">
      <c r="B374" s="29">
        <f t="shared" si="15"/>
        <v>364</v>
      </c>
      <c r="C374" s="30" t="s">
        <v>206</v>
      </c>
      <c r="D374" s="30" t="s">
        <v>225</v>
      </c>
      <c r="E374" s="234" t="s">
        <v>874</v>
      </c>
      <c r="F374" s="235" t="s">
        <v>1257</v>
      </c>
      <c r="G374" s="284">
        <f>IFERROR(VLOOKUP(E374,Assign!$C$2:$J$142,8,FALSE),)</f>
        <v>0</v>
      </c>
      <c r="H374" s="279" t="s">
        <v>6573</v>
      </c>
      <c r="I374" s="280" t="s">
        <v>5901</v>
      </c>
      <c r="J374" s="281" t="s">
        <v>3735</v>
      </c>
      <c r="K374" s="282">
        <v>42681</v>
      </c>
      <c r="L374" s="282">
        <v>53638</v>
      </c>
      <c r="M374" s="282">
        <v>45420</v>
      </c>
      <c r="N374" s="371">
        <v>64000000</v>
      </c>
      <c r="O374" s="444" t="s">
        <v>3866</v>
      </c>
      <c r="P374" s="397">
        <v>53664276</v>
      </c>
      <c r="Q374" s="397">
        <v>53664276</v>
      </c>
      <c r="R374" s="397"/>
      <c r="S374" s="398">
        <f t="shared" si="16"/>
        <v>53664276</v>
      </c>
      <c r="T374" s="353"/>
      <c r="U374" s="353">
        <f t="shared" si="17"/>
        <v>53664276</v>
      </c>
      <c r="V374" s="399"/>
      <c r="W374" s="399"/>
      <c r="X374" s="400" t="s">
        <v>492</v>
      </c>
      <c r="Y374" s="400"/>
      <c r="Z374" s="283"/>
    </row>
    <row r="375" spans="2:26" ht="19.5" hidden="1" customHeight="1">
      <c r="B375" s="29">
        <f t="shared" si="15"/>
        <v>365</v>
      </c>
      <c r="C375" s="30" t="s">
        <v>206</v>
      </c>
      <c r="D375" s="30" t="s">
        <v>225</v>
      </c>
      <c r="E375" s="234" t="s">
        <v>875</v>
      </c>
      <c r="F375" s="235" t="s">
        <v>1226</v>
      </c>
      <c r="G375" s="284">
        <f>IFERROR(VLOOKUP(E375,Assign!$C$2:$J$142,8,FALSE),)</f>
        <v>0</v>
      </c>
      <c r="H375" s="279" t="s">
        <v>6384</v>
      </c>
      <c r="I375" s="280" t="s">
        <v>5715</v>
      </c>
      <c r="J375" s="281" t="s">
        <v>3737</v>
      </c>
      <c r="K375" s="282">
        <v>44391</v>
      </c>
      <c r="L375" s="282">
        <v>51696</v>
      </c>
      <c r="M375" s="282">
        <v>45615</v>
      </c>
      <c r="N375" s="371">
        <v>60000000</v>
      </c>
      <c r="O375" s="444" t="s">
        <v>3866</v>
      </c>
      <c r="P375" s="397">
        <v>52934301</v>
      </c>
      <c r="Q375" s="397">
        <v>52934301</v>
      </c>
      <c r="R375" s="397"/>
      <c r="S375" s="398">
        <f t="shared" si="16"/>
        <v>52934301</v>
      </c>
      <c r="T375" s="353"/>
      <c r="U375" s="353">
        <f t="shared" si="17"/>
        <v>52934301</v>
      </c>
      <c r="V375" s="399"/>
      <c r="W375" s="399"/>
      <c r="X375" s="400" t="s">
        <v>492</v>
      </c>
      <c r="Y375" s="400"/>
      <c r="Z375" s="283"/>
    </row>
    <row r="376" spans="2:26" ht="19.5" hidden="1" customHeight="1">
      <c r="B376" s="29">
        <f t="shared" si="15"/>
        <v>366</v>
      </c>
      <c r="C376" s="30" t="s">
        <v>206</v>
      </c>
      <c r="D376" s="30" t="s">
        <v>225</v>
      </c>
      <c r="E376" s="234" t="s">
        <v>876</v>
      </c>
      <c r="F376" s="235" t="s">
        <v>1233</v>
      </c>
      <c r="G376" s="284">
        <f>IFERROR(VLOOKUP(E376,Assign!$C$2:$J$142,8,FALSE),)</f>
        <v>0</v>
      </c>
      <c r="H376" s="279" t="s">
        <v>6748</v>
      </c>
      <c r="I376" s="280" t="s">
        <v>6022</v>
      </c>
      <c r="J376" s="281" t="s">
        <v>3746</v>
      </c>
      <c r="K376" s="282">
        <v>41011</v>
      </c>
      <c r="L376" s="282">
        <v>51968</v>
      </c>
      <c r="M376" s="282">
        <v>45609</v>
      </c>
      <c r="N376" s="371">
        <v>60000000</v>
      </c>
      <c r="O376" s="444" t="s">
        <v>3866</v>
      </c>
      <c r="P376" s="397">
        <v>52500000</v>
      </c>
      <c r="Q376" s="397">
        <v>52500000</v>
      </c>
      <c r="R376" s="397"/>
      <c r="S376" s="398">
        <f t="shared" si="16"/>
        <v>52500000</v>
      </c>
      <c r="T376" s="353"/>
      <c r="U376" s="353">
        <f t="shared" si="17"/>
        <v>52500000</v>
      </c>
      <c r="V376" s="399"/>
      <c r="W376" s="399"/>
      <c r="X376" s="400" t="s">
        <v>492</v>
      </c>
      <c r="Y376" s="400"/>
      <c r="Z376" s="283"/>
    </row>
    <row r="377" spans="2:26" ht="19.5" hidden="1" customHeight="1">
      <c r="B377" s="29">
        <f t="shared" si="15"/>
        <v>367</v>
      </c>
      <c r="C377" s="30" t="s">
        <v>206</v>
      </c>
      <c r="D377" s="30" t="s">
        <v>225</v>
      </c>
      <c r="E377" s="234" t="s">
        <v>877</v>
      </c>
      <c r="F377" s="235" t="s">
        <v>1217</v>
      </c>
      <c r="G377" s="284">
        <f>IFERROR(VLOOKUP(E377,Assign!$C$2:$J$142,8,FALSE),)</f>
        <v>0</v>
      </c>
      <c r="H377" s="279" t="s">
        <v>6618</v>
      </c>
      <c r="I377" s="280" t="s">
        <v>5932</v>
      </c>
      <c r="J377" s="281" t="s">
        <v>3737</v>
      </c>
      <c r="K377" s="282">
        <v>43180</v>
      </c>
      <c r="L377" s="282">
        <v>54138</v>
      </c>
      <c r="M377" s="282">
        <v>45580</v>
      </c>
      <c r="N377" s="371">
        <v>30000000</v>
      </c>
      <c r="O377" s="444" t="s">
        <v>3866</v>
      </c>
      <c r="P377" s="397">
        <v>17277221</v>
      </c>
      <c r="Q377" s="397">
        <v>17277221</v>
      </c>
      <c r="R377" s="397"/>
      <c r="S377" s="398">
        <f t="shared" si="16"/>
        <v>17277221</v>
      </c>
      <c r="T377" s="353"/>
      <c r="U377" s="353">
        <f t="shared" si="17"/>
        <v>17277221</v>
      </c>
      <c r="V377" s="399"/>
      <c r="W377" s="399"/>
      <c r="X377" s="400" t="s">
        <v>492</v>
      </c>
      <c r="Y377" s="400"/>
      <c r="Z377" s="283"/>
    </row>
    <row r="378" spans="2:26" ht="19.5" hidden="1" customHeight="1">
      <c r="B378" s="29">
        <f t="shared" si="15"/>
        <v>368</v>
      </c>
      <c r="C378" s="30" t="s">
        <v>206</v>
      </c>
      <c r="D378" s="30" t="s">
        <v>225</v>
      </c>
      <c r="E378" s="234" t="s">
        <v>877</v>
      </c>
      <c r="F378" s="235" t="s">
        <v>1217</v>
      </c>
      <c r="G378" s="284">
        <f>IFERROR(VLOOKUP(E378,Assign!$C$2:$J$142,8,FALSE),)</f>
        <v>0</v>
      </c>
      <c r="H378" s="279" t="s">
        <v>6619</v>
      </c>
      <c r="I378" s="280" t="s">
        <v>5933</v>
      </c>
      <c r="J378" s="281" t="s">
        <v>3746</v>
      </c>
      <c r="K378" s="282">
        <v>43231</v>
      </c>
      <c r="L378" s="282">
        <v>56015</v>
      </c>
      <c r="M378" s="282">
        <v>45639</v>
      </c>
      <c r="N378" s="371">
        <v>40000000</v>
      </c>
      <c r="O378" s="444" t="s">
        <v>3866</v>
      </c>
      <c r="P378" s="397">
        <v>34815856</v>
      </c>
      <c r="Q378" s="397">
        <v>34815856</v>
      </c>
      <c r="R378" s="397"/>
      <c r="S378" s="398">
        <f t="shared" si="16"/>
        <v>34815856</v>
      </c>
      <c r="T378" s="353"/>
      <c r="U378" s="353">
        <f t="shared" si="17"/>
        <v>34815856</v>
      </c>
      <c r="V378" s="399"/>
      <c r="W378" s="399"/>
      <c r="X378" s="400" t="s">
        <v>492</v>
      </c>
      <c r="Y378" s="400"/>
      <c r="Z378" s="283"/>
    </row>
    <row r="379" spans="2:26" ht="19.5" hidden="1" customHeight="1">
      <c r="B379" s="29">
        <f t="shared" si="15"/>
        <v>369</v>
      </c>
      <c r="C379" s="30" t="s">
        <v>206</v>
      </c>
      <c r="D379" s="30" t="s">
        <v>225</v>
      </c>
      <c r="E379" s="234" t="s">
        <v>878</v>
      </c>
      <c r="F379" s="235" t="s">
        <v>1236</v>
      </c>
      <c r="G379" s="284">
        <f>IFERROR(VLOOKUP(E379,Assign!$C$2:$J$142,8,FALSE),)</f>
        <v>0</v>
      </c>
      <c r="H379" s="279" t="s">
        <v>6825</v>
      </c>
      <c r="I379" s="280" t="s">
        <v>6067</v>
      </c>
      <c r="J379" s="281" t="s">
        <v>3751</v>
      </c>
      <c r="K379" s="282">
        <v>42355</v>
      </c>
      <c r="L379" s="282">
        <v>46008</v>
      </c>
      <c r="M379" s="282">
        <v>45675</v>
      </c>
      <c r="N379" s="371">
        <v>51750000</v>
      </c>
      <c r="O379" s="444" t="s">
        <v>3866</v>
      </c>
      <c r="P379" s="397">
        <v>51750000</v>
      </c>
      <c r="Q379" s="397">
        <v>51750000</v>
      </c>
      <c r="R379" s="397"/>
      <c r="S379" s="398">
        <f t="shared" si="16"/>
        <v>51750000</v>
      </c>
      <c r="T379" s="353"/>
      <c r="U379" s="353">
        <f t="shared" si="17"/>
        <v>51750000</v>
      </c>
      <c r="V379" s="399"/>
      <c r="W379" s="399"/>
      <c r="X379" s="400" t="s">
        <v>492</v>
      </c>
      <c r="Y379" s="400"/>
      <c r="Z379" s="283"/>
    </row>
    <row r="380" spans="2:26" ht="19.5" hidden="1" customHeight="1">
      <c r="B380" s="29">
        <f t="shared" si="15"/>
        <v>370</v>
      </c>
      <c r="C380" s="30" t="s">
        <v>206</v>
      </c>
      <c r="D380" s="30" t="s">
        <v>225</v>
      </c>
      <c r="E380" s="234" t="s">
        <v>879</v>
      </c>
      <c r="F380" s="235" t="s">
        <v>1229</v>
      </c>
      <c r="G380" s="284">
        <f>IFERROR(VLOOKUP(E380,Assign!$C$2:$J$142,8,FALSE),)</f>
        <v>0</v>
      </c>
      <c r="H380" s="279" t="s">
        <v>6596</v>
      </c>
      <c r="I380" s="280" t="s">
        <v>5848</v>
      </c>
      <c r="J380" s="281" t="s">
        <v>3759</v>
      </c>
      <c r="K380" s="282">
        <v>41750</v>
      </c>
      <c r="L380" s="282">
        <v>52708</v>
      </c>
      <c r="M380" s="282">
        <v>45426</v>
      </c>
      <c r="N380" s="371">
        <v>78000000</v>
      </c>
      <c r="O380" s="444" t="s">
        <v>3866</v>
      </c>
      <c r="P380" s="397">
        <v>51602251</v>
      </c>
      <c r="Q380" s="397">
        <v>51602251</v>
      </c>
      <c r="R380" s="397"/>
      <c r="S380" s="398">
        <f t="shared" si="16"/>
        <v>51602251</v>
      </c>
      <c r="T380" s="353"/>
      <c r="U380" s="353">
        <f t="shared" si="17"/>
        <v>51602251</v>
      </c>
      <c r="V380" s="399"/>
      <c r="W380" s="399"/>
      <c r="X380" s="400" t="s">
        <v>492</v>
      </c>
      <c r="Y380" s="400"/>
      <c r="Z380" s="283"/>
    </row>
    <row r="381" spans="2:26" ht="19.5" hidden="1" customHeight="1">
      <c r="B381" s="29">
        <f t="shared" si="15"/>
        <v>371</v>
      </c>
      <c r="C381" s="30" t="s">
        <v>206</v>
      </c>
      <c r="D381" s="30" t="s">
        <v>225</v>
      </c>
      <c r="E381" s="234" t="s">
        <v>880</v>
      </c>
      <c r="F381" s="235" t="s">
        <v>1239</v>
      </c>
      <c r="G381" s="284">
        <f>IFERROR(VLOOKUP(E381,Assign!$C$2:$J$142,8,FALSE),)</f>
        <v>0</v>
      </c>
      <c r="H381" s="279" t="s">
        <v>6688</v>
      </c>
      <c r="I381" s="280" t="s">
        <v>5989</v>
      </c>
      <c r="J381" s="281" t="s">
        <v>3735</v>
      </c>
      <c r="K381" s="282">
        <v>42485</v>
      </c>
      <c r="L381" s="282">
        <v>53442</v>
      </c>
      <c r="M381" s="282">
        <v>45591</v>
      </c>
      <c r="N381" s="371">
        <v>80500000</v>
      </c>
      <c r="O381" s="444" t="s">
        <v>3866</v>
      </c>
      <c r="P381" s="397">
        <v>50557059</v>
      </c>
      <c r="Q381" s="397">
        <v>50557059</v>
      </c>
      <c r="R381" s="397"/>
      <c r="S381" s="398">
        <f t="shared" si="16"/>
        <v>50557059</v>
      </c>
      <c r="T381" s="353"/>
      <c r="U381" s="353">
        <f t="shared" si="17"/>
        <v>50557059</v>
      </c>
      <c r="V381" s="399"/>
      <c r="W381" s="399"/>
      <c r="X381" s="400" t="s">
        <v>492</v>
      </c>
      <c r="Y381" s="400"/>
      <c r="Z381" s="283"/>
    </row>
    <row r="382" spans="2:26" ht="19.5" hidden="1" customHeight="1">
      <c r="B382" s="29">
        <f t="shared" si="15"/>
        <v>372</v>
      </c>
      <c r="C382" s="30" t="s">
        <v>206</v>
      </c>
      <c r="D382" s="30" t="s">
        <v>225</v>
      </c>
      <c r="E382" s="234" t="s">
        <v>881</v>
      </c>
      <c r="F382" s="235" t="s">
        <v>1247</v>
      </c>
      <c r="G382" s="284">
        <f>IFERROR(VLOOKUP(E382,Assign!$C$2:$J$142,8,FALSE),)</f>
        <v>0</v>
      </c>
      <c r="H382" s="279" t="s">
        <v>6333</v>
      </c>
      <c r="I382" s="280" t="s">
        <v>5707</v>
      </c>
      <c r="J382" s="281" t="s">
        <v>3736</v>
      </c>
      <c r="K382" s="282">
        <v>43245</v>
      </c>
      <c r="L382" s="282">
        <v>45802</v>
      </c>
      <c r="M382" s="282">
        <v>45573</v>
      </c>
      <c r="N382" s="371">
        <v>50000000</v>
      </c>
      <c r="O382" s="444" t="s">
        <v>3866</v>
      </c>
      <c r="P382" s="397">
        <v>50000000</v>
      </c>
      <c r="Q382" s="397">
        <v>50000000</v>
      </c>
      <c r="R382" s="397"/>
      <c r="S382" s="398">
        <f t="shared" si="16"/>
        <v>50000000</v>
      </c>
      <c r="T382" s="353"/>
      <c r="U382" s="353">
        <f t="shared" si="17"/>
        <v>50000000</v>
      </c>
      <c r="V382" s="399"/>
      <c r="W382" s="399"/>
      <c r="X382" s="400" t="s">
        <v>492</v>
      </c>
      <c r="Y382" s="400"/>
      <c r="Z382" s="283"/>
    </row>
    <row r="383" spans="2:26" ht="19.5" hidden="1" customHeight="1">
      <c r="B383" s="29">
        <f t="shared" si="15"/>
        <v>373</v>
      </c>
      <c r="C383" s="30" t="s">
        <v>206</v>
      </c>
      <c r="D383" s="30" t="s">
        <v>225</v>
      </c>
      <c r="E383" s="234" t="s">
        <v>882</v>
      </c>
      <c r="F383" s="235" t="s">
        <v>1320</v>
      </c>
      <c r="G383" s="284">
        <f>IFERROR(VLOOKUP(E383,Assign!$C$2:$J$142,8,FALSE),)</f>
        <v>0</v>
      </c>
      <c r="H383" s="279" t="s">
        <v>7068</v>
      </c>
      <c r="I383" s="280" t="s">
        <v>6192</v>
      </c>
      <c r="J383" s="281" t="s">
        <v>3763</v>
      </c>
      <c r="K383" s="282">
        <v>44382</v>
      </c>
      <c r="L383" s="282">
        <v>45662</v>
      </c>
      <c r="M383" s="282">
        <v>45664</v>
      </c>
      <c r="N383" s="371">
        <v>50000000</v>
      </c>
      <c r="O383" s="444" t="s">
        <v>3866</v>
      </c>
      <c r="P383" s="397">
        <v>50000000</v>
      </c>
      <c r="Q383" s="397">
        <v>50000000</v>
      </c>
      <c r="R383" s="397"/>
      <c r="S383" s="398">
        <f t="shared" si="16"/>
        <v>50000000</v>
      </c>
      <c r="T383" s="353"/>
      <c r="U383" s="353">
        <f t="shared" si="17"/>
        <v>50000000</v>
      </c>
      <c r="V383" s="399"/>
      <c r="W383" s="399"/>
      <c r="X383" s="400" t="s">
        <v>492</v>
      </c>
      <c r="Y383" s="400"/>
      <c r="Z383" s="283"/>
    </row>
    <row r="384" spans="2:26" ht="19.5" hidden="1" customHeight="1">
      <c r="B384" s="29">
        <f t="shared" si="15"/>
        <v>374</v>
      </c>
      <c r="C384" s="30" t="s">
        <v>206</v>
      </c>
      <c r="D384" s="30" t="s">
        <v>225</v>
      </c>
      <c r="E384" s="234" t="s">
        <v>883</v>
      </c>
      <c r="F384" s="235" t="s">
        <v>1229</v>
      </c>
      <c r="G384" s="284">
        <f>IFERROR(VLOOKUP(E384,Assign!$C$2:$J$142,8,FALSE),)</f>
        <v>0</v>
      </c>
      <c r="H384" s="279" t="s">
        <v>6301</v>
      </c>
      <c r="I384" s="280" t="s">
        <v>5677</v>
      </c>
      <c r="J384" s="281" t="s">
        <v>3737</v>
      </c>
      <c r="K384" s="282">
        <v>44033</v>
      </c>
      <c r="L384" s="282">
        <v>47869</v>
      </c>
      <c r="M384" s="282">
        <v>45587</v>
      </c>
      <c r="N384" s="371">
        <v>80000000</v>
      </c>
      <c r="O384" s="444" t="s">
        <v>3866</v>
      </c>
      <c r="P384" s="397">
        <v>48253920</v>
      </c>
      <c r="Q384" s="397">
        <v>48253920</v>
      </c>
      <c r="R384" s="397"/>
      <c r="S384" s="398">
        <f t="shared" si="16"/>
        <v>48253920</v>
      </c>
      <c r="T384" s="353"/>
      <c r="U384" s="353">
        <f t="shared" si="17"/>
        <v>48253920</v>
      </c>
      <c r="V384" s="399"/>
      <c r="W384" s="399"/>
      <c r="X384" s="400" t="s">
        <v>492</v>
      </c>
      <c r="Y384" s="400"/>
      <c r="Z384" s="283"/>
    </row>
    <row r="385" spans="2:26" ht="19.5" hidden="1" customHeight="1">
      <c r="B385" s="29">
        <f t="shared" si="15"/>
        <v>375</v>
      </c>
      <c r="C385" s="30" t="s">
        <v>206</v>
      </c>
      <c r="D385" s="30" t="s">
        <v>225</v>
      </c>
      <c r="E385" s="234" t="s">
        <v>884</v>
      </c>
      <c r="F385" s="235" t="s">
        <v>1266</v>
      </c>
      <c r="G385" s="284" t="str">
        <f>IFERROR(VLOOKUP(E385,Assign!$C$2:$J$142,8,FALSE),)</f>
        <v>문선영</v>
      </c>
      <c r="H385" s="279" t="s">
        <v>6920</v>
      </c>
      <c r="I385" s="280" t="s">
        <v>6116</v>
      </c>
      <c r="J385" s="281" t="s">
        <v>3759</v>
      </c>
      <c r="K385" s="282">
        <v>42338</v>
      </c>
      <c r="L385" s="282">
        <v>53296</v>
      </c>
      <c r="M385" s="282">
        <v>45657</v>
      </c>
      <c r="N385" s="371">
        <v>60000000</v>
      </c>
      <c r="O385" s="444" t="s">
        <v>3866</v>
      </c>
      <c r="P385" s="397">
        <v>47819928</v>
      </c>
      <c r="Q385" s="397">
        <v>47819928</v>
      </c>
      <c r="R385" s="397"/>
      <c r="S385" s="398">
        <f t="shared" si="16"/>
        <v>47819928</v>
      </c>
      <c r="T385" s="353"/>
      <c r="U385" s="353">
        <f t="shared" si="17"/>
        <v>47819928</v>
      </c>
      <c r="V385" s="399"/>
      <c r="W385" s="399"/>
      <c r="X385" s="400" t="s">
        <v>492</v>
      </c>
      <c r="Y385" s="400"/>
      <c r="Z385" s="283"/>
    </row>
    <row r="386" spans="2:26" ht="19.5" hidden="1" customHeight="1">
      <c r="B386" s="29">
        <f t="shared" si="15"/>
        <v>376</v>
      </c>
      <c r="C386" s="30" t="s">
        <v>206</v>
      </c>
      <c r="D386" s="30" t="s">
        <v>225</v>
      </c>
      <c r="E386" s="234" t="s">
        <v>885</v>
      </c>
      <c r="F386" s="235" t="s">
        <v>1221</v>
      </c>
      <c r="G386" s="284">
        <f>IFERROR(VLOOKUP(E386,Assign!$C$2:$J$142,8,FALSE),)</f>
        <v>0</v>
      </c>
      <c r="H386" s="279" t="s">
        <v>6620</v>
      </c>
      <c r="I386" s="280" t="s">
        <v>5934</v>
      </c>
      <c r="J386" s="281" t="s">
        <v>3743</v>
      </c>
      <c r="K386" s="282">
        <v>44259</v>
      </c>
      <c r="L386" s="282">
        <v>57043</v>
      </c>
      <c r="M386" s="282">
        <v>44931</v>
      </c>
      <c r="N386" s="371">
        <v>47000000</v>
      </c>
      <c r="O386" s="444" t="s">
        <v>3866</v>
      </c>
      <c r="P386" s="397">
        <v>44277429</v>
      </c>
      <c r="Q386" s="397">
        <v>44277429</v>
      </c>
      <c r="R386" s="397"/>
      <c r="S386" s="398">
        <f t="shared" si="16"/>
        <v>44277429</v>
      </c>
      <c r="T386" s="353"/>
      <c r="U386" s="353">
        <f t="shared" si="17"/>
        <v>44277429</v>
      </c>
      <c r="V386" s="399"/>
      <c r="W386" s="399"/>
      <c r="X386" s="400" t="s">
        <v>492</v>
      </c>
      <c r="Y386" s="400"/>
      <c r="Z386" s="283"/>
    </row>
    <row r="387" spans="2:26" ht="19.5" hidden="1" customHeight="1">
      <c r="B387" s="29">
        <f t="shared" si="15"/>
        <v>377</v>
      </c>
      <c r="C387" s="30" t="s">
        <v>206</v>
      </c>
      <c r="D387" s="30" t="s">
        <v>225</v>
      </c>
      <c r="E387" s="234" t="s">
        <v>886</v>
      </c>
      <c r="F387" s="235" t="s">
        <v>1252</v>
      </c>
      <c r="G387" s="284">
        <f>IFERROR(VLOOKUP(E387,Assign!$C$2:$J$142,8,FALSE),)</f>
        <v>0</v>
      </c>
      <c r="H387" s="279" t="s">
        <v>6490</v>
      </c>
      <c r="I387" s="280" t="s">
        <v>5763</v>
      </c>
      <c r="J387" s="281" t="s">
        <v>3733</v>
      </c>
      <c r="K387" s="282">
        <v>43542</v>
      </c>
      <c r="L387" s="282">
        <v>45734</v>
      </c>
      <c r="M387" s="282">
        <v>45710</v>
      </c>
      <c r="N387" s="371">
        <v>44000000</v>
      </c>
      <c r="O387" s="444" t="s">
        <v>3866</v>
      </c>
      <c r="P387" s="397">
        <v>44000000</v>
      </c>
      <c r="Q387" s="397">
        <v>44000000</v>
      </c>
      <c r="R387" s="397"/>
      <c r="S387" s="398">
        <f t="shared" si="16"/>
        <v>44000000</v>
      </c>
      <c r="T387" s="353"/>
      <c r="U387" s="353">
        <f t="shared" si="17"/>
        <v>44000000</v>
      </c>
      <c r="V387" s="399"/>
      <c r="W387" s="399"/>
      <c r="X387" s="400" t="s">
        <v>492</v>
      </c>
      <c r="Y387" s="400"/>
      <c r="Z387" s="283"/>
    </row>
    <row r="388" spans="2:26" ht="19.5" hidden="1" customHeight="1">
      <c r="B388" s="29">
        <f t="shared" si="15"/>
        <v>378</v>
      </c>
      <c r="C388" s="30" t="s">
        <v>206</v>
      </c>
      <c r="D388" s="30" t="s">
        <v>225</v>
      </c>
      <c r="E388" s="234" t="s">
        <v>887</v>
      </c>
      <c r="F388" s="235" t="s">
        <v>1225</v>
      </c>
      <c r="G388" s="284">
        <f>IFERROR(VLOOKUP(E388,Assign!$C$2:$J$142,8,FALSE),)</f>
        <v>0</v>
      </c>
      <c r="H388" s="279" t="s">
        <v>6869</v>
      </c>
      <c r="I388" s="280" t="s">
        <v>6054</v>
      </c>
      <c r="J388" s="281" t="s">
        <v>3759</v>
      </c>
      <c r="K388" s="282">
        <v>41516</v>
      </c>
      <c r="L388" s="282">
        <v>52473</v>
      </c>
      <c r="M388" s="282">
        <v>45322</v>
      </c>
      <c r="N388" s="371">
        <v>50000000</v>
      </c>
      <c r="O388" s="444" t="s">
        <v>3866</v>
      </c>
      <c r="P388" s="397">
        <v>43091850</v>
      </c>
      <c r="Q388" s="397">
        <v>43091850</v>
      </c>
      <c r="R388" s="397"/>
      <c r="S388" s="398">
        <f t="shared" si="16"/>
        <v>43091850</v>
      </c>
      <c r="T388" s="353"/>
      <c r="U388" s="353">
        <f t="shared" si="17"/>
        <v>43091850</v>
      </c>
      <c r="V388" s="399"/>
      <c r="W388" s="399"/>
      <c r="X388" s="400" t="s">
        <v>492</v>
      </c>
      <c r="Y388" s="400"/>
      <c r="Z388" s="283"/>
    </row>
    <row r="389" spans="2:26" ht="19.5" hidden="1" customHeight="1">
      <c r="B389" s="29">
        <f t="shared" si="15"/>
        <v>379</v>
      </c>
      <c r="C389" s="30" t="s">
        <v>206</v>
      </c>
      <c r="D389" s="30" t="s">
        <v>225</v>
      </c>
      <c r="E389" s="234" t="s">
        <v>888</v>
      </c>
      <c r="F389" s="235" t="s">
        <v>1217</v>
      </c>
      <c r="G389" s="284">
        <f>IFERROR(VLOOKUP(E389,Assign!$C$2:$J$142,8,FALSE),)</f>
        <v>0</v>
      </c>
      <c r="H389" s="279" t="s">
        <v>6838</v>
      </c>
      <c r="I389" s="280" t="s">
        <v>6069</v>
      </c>
      <c r="J389" s="281" t="s">
        <v>3759</v>
      </c>
      <c r="K389" s="282">
        <v>42318</v>
      </c>
      <c r="L389" s="282">
        <v>53276</v>
      </c>
      <c r="M389" s="282">
        <v>45454</v>
      </c>
      <c r="N389" s="371">
        <v>52000000</v>
      </c>
      <c r="O389" s="444" t="s">
        <v>3866</v>
      </c>
      <c r="P389" s="397">
        <v>42093423</v>
      </c>
      <c r="Q389" s="397">
        <v>42093423</v>
      </c>
      <c r="R389" s="397"/>
      <c r="S389" s="398">
        <f t="shared" si="16"/>
        <v>42093423</v>
      </c>
      <c r="T389" s="353"/>
      <c r="U389" s="353">
        <f t="shared" si="17"/>
        <v>42093423</v>
      </c>
      <c r="V389" s="399"/>
      <c r="W389" s="399"/>
      <c r="X389" s="400" t="s">
        <v>492</v>
      </c>
      <c r="Y389" s="400"/>
      <c r="Z389" s="283"/>
    </row>
    <row r="390" spans="2:26" ht="19.5" hidden="1" customHeight="1">
      <c r="B390" s="29">
        <f t="shared" si="15"/>
        <v>380</v>
      </c>
      <c r="C390" s="30" t="s">
        <v>206</v>
      </c>
      <c r="D390" s="30" t="s">
        <v>225</v>
      </c>
      <c r="E390" s="234" t="s">
        <v>889</v>
      </c>
      <c r="F390" s="235" t="s">
        <v>1225</v>
      </c>
      <c r="G390" s="284">
        <f>IFERROR(VLOOKUP(E390,Assign!$C$2:$J$142,8,FALSE),)</f>
        <v>0</v>
      </c>
      <c r="H390" s="279" t="s">
        <v>6643</v>
      </c>
      <c r="I390" s="280" t="s">
        <v>5952</v>
      </c>
      <c r="J390" s="281" t="s">
        <v>3768</v>
      </c>
      <c r="K390" s="282">
        <v>42151</v>
      </c>
      <c r="L390" s="282">
        <v>53109</v>
      </c>
      <c r="M390" s="282">
        <v>45563</v>
      </c>
      <c r="N390" s="371">
        <v>60000000</v>
      </c>
      <c r="O390" s="444" t="s">
        <v>3866</v>
      </c>
      <c r="P390" s="397">
        <v>41499834</v>
      </c>
      <c r="Q390" s="397">
        <v>41499834</v>
      </c>
      <c r="R390" s="397"/>
      <c r="S390" s="398">
        <f t="shared" si="16"/>
        <v>41499834</v>
      </c>
      <c r="T390" s="353"/>
      <c r="U390" s="353">
        <f t="shared" si="17"/>
        <v>41499834</v>
      </c>
      <c r="V390" s="399"/>
      <c r="W390" s="399"/>
      <c r="X390" s="400" t="s">
        <v>492</v>
      </c>
      <c r="Y390" s="400"/>
      <c r="Z390" s="283"/>
    </row>
    <row r="391" spans="2:26" ht="19.5" hidden="1" customHeight="1">
      <c r="B391" s="29">
        <f t="shared" si="15"/>
        <v>381</v>
      </c>
      <c r="C391" s="30" t="s">
        <v>206</v>
      </c>
      <c r="D391" s="30" t="s">
        <v>225</v>
      </c>
      <c r="E391" s="234" t="s">
        <v>890</v>
      </c>
      <c r="F391" s="235" t="s">
        <v>1229</v>
      </c>
      <c r="G391" s="284">
        <f>IFERROR(VLOOKUP(E391,Assign!$C$2:$J$142,8,FALSE),)</f>
        <v>0</v>
      </c>
      <c r="H391" s="279" t="s">
        <v>6251</v>
      </c>
      <c r="I391" s="280" t="s">
        <v>5630</v>
      </c>
      <c r="J391" s="281" t="s">
        <v>3746</v>
      </c>
      <c r="K391" s="282">
        <v>42996</v>
      </c>
      <c r="L391" s="282">
        <v>53953</v>
      </c>
      <c r="M391" s="282">
        <v>45524</v>
      </c>
      <c r="N391" s="371">
        <v>48000000</v>
      </c>
      <c r="O391" s="444" t="s">
        <v>3866</v>
      </c>
      <c r="P391" s="397">
        <v>41356580</v>
      </c>
      <c r="Q391" s="397">
        <v>41356580</v>
      </c>
      <c r="R391" s="397"/>
      <c r="S391" s="398">
        <f t="shared" si="16"/>
        <v>41356580</v>
      </c>
      <c r="T391" s="353"/>
      <c r="U391" s="353">
        <f t="shared" si="17"/>
        <v>41356580</v>
      </c>
      <c r="V391" s="399"/>
      <c r="W391" s="399"/>
      <c r="X391" s="400" t="s">
        <v>492</v>
      </c>
      <c r="Y391" s="400"/>
      <c r="Z391" s="283"/>
    </row>
    <row r="392" spans="2:26" ht="19.5" hidden="1" customHeight="1">
      <c r="B392" s="29">
        <f t="shared" si="15"/>
        <v>382</v>
      </c>
      <c r="C392" s="30" t="s">
        <v>206</v>
      </c>
      <c r="D392" s="30" t="s">
        <v>225</v>
      </c>
      <c r="E392" s="234" t="s">
        <v>891</v>
      </c>
      <c r="F392" s="235" t="s">
        <v>1220</v>
      </c>
      <c r="G392" s="284">
        <f>IFERROR(VLOOKUP(E392,Assign!$C$2:$J$142,8,FALSE),)</f>
        <v>0</v>
      </c>
      <c r="H392" s="279" t="s">
        <v>6750</v>
      </c>
      <c r="I392" s="280" t="s">
        <v>5951</v>
      </c>
      <c r="J392" s="281" t="s">
        <v>3735</v>
      </c>
      <c r="K392" s="282">
        <v>41754</v>
      </c>
      <c r="L392" s="282">
        <v>52712</v>
      </c>
      <c r="M392" s="282">
        <v>45531</v>
      </c>
      <c r="N392" s="371">
        <v>41400000</v>
      </c>
      <c r="O392" s="444" t="s">
        <v>3866</v>
      </c>
      <c r="P392" s="397">
        <v>40743409</v>
      </c>
      <c r="Q392" s="397">
        <v>40743409</v>
      </c>
      <c r="R392" s="397"/>
      <c r="S392" s="398">
        <f t="shared" si="16"/>
        <v>40743409</v>
      </c>
      <c r="T392" s="353"/>
      <c r="U392" s="353">
        <f t="shared" si="17"/>
        <v>40743409</v>
      </c>
      <c r="V392" s="399"/>
      <c r="W392" s="399"/>
      <c r="X392" s="400" t="s">
        <v>492</v>
      </c>
      <c r="Y392" s="400"/>
      <c r="Z392" s="283"/>
    </row>
    <row r="393" spans="2:26" ht="19.5" hidden="1" customHeight="1">
      <c r="B393" s="29">
        <f t="shared" si="15"/>
        <v>383</v>
      </c>
      <c r="C393" s="30" t="s">
        <v>206</v>
      </c>
      <c r="D393" s="30" t="s">
        <v>225</v>
      </c>
      <c r="E393" s="234" t="s">
        <v>892</v>
      </c>
      <c r="F393" s="235" t="s">
        <v>1267</v>
      </c>
      <c r="G393" s="284">
        <f>IFERROR(VLOOKUP(E393,Assign!$C$2:$J$142,8,FALSE),)</f>
        <v>0</v>
      </c>
      <c r="H393" s="279" t="s">
        <v>6625</v>
      </c>
      <c r="I393" s="280" t="s">
        <v>5938</v>
      </c>
      <c r="J393" s="281" t="s">
        <v>3746</v>
      </c>
      <c r="K393" s="282">
        <v>45022</v>
      </c>
      <c r="L393" s="282">
        <v>55968</v>
      </c>
      <c r="M393" s="282">
        <v>45622</v>
      </c>
      <c r="N393" s="371">
        <v>43000000</v>
      </c>
      <c r="O393" s="444" t="s">
        <v>3866</v>
      </c>
      <c r="P393" s="397">
        <v>40666627</v>
      </c>
      <c r="Q393" s="397">
        <v>40666627</v>
      </c>
      <c r="R393" s="397"/>
      <c r="S393" s="398">
        <f t="shared" si="16"/>
        <v>40666627</v>
      </c>
      <c r="T393" s="353"/>
      <c r="U393" s="353">
        <f t="shared" si="17"/>
        <v>40666627</v>
      </c>
      <c r="V393" s="399"/>
      <c r="W393" s="399"/>
      <c r="X393" s="400" t="s">
        <v>492</v>
      </c>
      <c r="Y393" s="400"/>
      <c r="Z393" s="283"/>
    </row>
    <row r="394" spans="2:26" ht="19.5" hidden="1" customHeight="1">
      <c r="B394" s="29">
        <f t="shared" si="15"/>
        <v>384</v>
      </c>
      <c r="C394" s="30" t="s">
        <v>206</v>
      </c>
      <c r="D394" s="30" t="s">
        <v>225</v>
      </c>
      <c r="E394" s="234" t="s">
        <v>893</v>
      </c>
      <c r="F394" s="235" t="s">
        <v>1229</v>
      </c>
      <c r="G394" s="284">
        <f>IFERROR(VLOOKUP(E394,Assign!$C$2:$J$142,8,FALSE),)</f>
        <v>0</v>
      </c>
      <c r="H394" s="279" t="s">
        <v>6606</v>
      </c>
      <c r="I394" s="280" t="s">
        <v>5926</v>
      </c>
      <c r="J394" s="281" t="s">
        <v>3734</v>
      </c>
      <c r="K394" s="282">
        <v>45096</v>
      </c>
      <c r="L394" s="282">
        <v>45827</v>
      </c>
      <c r="M394" s="282">
        <v>45587</v>
      </c>
      <c r="N394" s="371">
        <v>40000000</v>
      </c>
      <c r="O394" s="444" t="s">
        <v>3866</v>
      </c>
      <c r="P394" s="397">
        <v>40000000</v>
      </c>
      <c r="Q394" s="397">
        <v>40000000</v>
      </c>
      <c r="R394" s="397"/>
      <c r="S394" s="398">
        <f t="shared" si="16"/>
        <v>40000000</v>
      </c>
      <c r="T394" s="353"/>
      <c r="U394" s="353">
        <f t="shared" si="17"/>
        <v>40000000</v>
      </c>
      <c r="V394" s="399"/>
      <c r="W394" s="399"/>
      <c r="X394" s="400" t="s">
        <v>492</v>
      </c>
      <c r="Y394" s="400"/>
      <c r="Z394" s="283"/>
    </row>
    <row r="395" spans="2:26" ht="19.5" hidden="1" customHeight="1">
      <c r="B395" s="29">
        <f t="shared" ref="B395:B458" si="18">ROW()-10</f>
        <v>385</v>
      </c>
      <c r="C395" s="30" t="s">
        <v>206</v>
      </c>
      <c r="D395" s="30" t="s">
        <v>225</v>
      </c>
      <c r="E395" s="234" t="s">
        <v>894</v>
      </c>
      <c r="F395" s="235" t="s">
        <v>1268</v>
      </c>
      <c r="G395" s="284">
        <f>IFERROR(VLOOKUP(E395,Assign!$C$2:$J$142,8,FALSE),)</f>
        <v>0</v>
      </c>
      <c r="H395" s="279" t="s">
        <v>6370</v>
      </c>
      <c r="I395" s="280" t="s">
        <v>5739</v>
      </c>
      <c r="J395" s="281" t="s">
        <v>3742</v>
      </c>
      <c r="K395" s="282">
        <v>41904</v>
      </c>
      <c r="L395" s="282">
        <v>52862</v>
      </c>
      <c r="M395" s="282">
        <v>45559</v>
      </c>
      <c r="N395" s="371">
        <v>59000000</v>
      </c>
      <c r="O395" s="444" t="s">
        <v>3866</v>
      </c>
      <c r="P395" s="397">
        <v>39497008</v>
      </c>
      <c r="Q395" s="397">
        <v>39497008</v>
      </c>
      <c r="R395" s="397"/>
      <c r="S395" s="398">
        <f t="shared" ref="S395:S458" si="19">Q395+R395</f>
        <v>39497008</v>
      </c>
      <c r="T395" s="353"/>
      <c r="U395" s="353">
        <f t="shared" ref="U395:U458" si="20">S395+T395</f>
        <v>39497008</v>
      </c>
      <c r="V395" s="399"/>
      <c r="W395" s="399"/>
      <c r="X395" s="400" t="s">
        <v>492</v>
      </c>
      <c r="Y395" s="400"/>
      <c r="Z395" s="283"/>
    </row>
    <row r="396" spans="2:26" ht="19.5" hidden="1" customHeight="1">
      <c r="B396" s="29">
        <f t="shared" si="18"/>
        <v>386</v>
      </c>
      <c r="C396" s="30" t="s">
        <v>206</v>
      </c>
      <c r="D396" s="30" t="s">
        <v>225</v>
      </c>
      <c r="E396" s="234" t="s">
        <v>895</v>
      </c>
      <c r="F396" s="235" t="s">
        <v>1225</v>
      </c>
      <c r="G396" s="284" t="str">
        <f>IFERROR(VLOOKUP(E396,Assign!$C$2:$J$142,8,FALSE),)</f>
        <v>문선영</v>
      </c>
      <c r="H396" s="279" t="s">
        <v>6462</v>
      </c>
      <c r="I396" s="280" t="s">
        <v>5628</v>
      </c>
      <c r="J396" s="281" t="s">
        <v>3756</v>
      </c>
      <c r="K396" s="282">
        <v>44491</v>
      </c>
      <c r="L396" s="282">
        <v>48326</v>
      </c>
      <c r="M396" s="282">
        <v>45588</v>
      </c>
      <c r="N396" s="371">
        <v>50000000</v>
      </c>
      <c r="O396" s="444" t="s">
        <v>3866</v>
      </c>
      <c r="P396" s="397">
        <v>37932112</v>
      </c>
      <c r="Q396" s="397">
        <v>37932112</v>
      </c>
      <c r="R396" s="397"/>
      <c r="S396" s="398">
        <f t="shared" si="19"/>
        <v>37932112</v>
      </c>
      <c r="T396" s="353"/>
      <c r="U396" s="353">
        <f t="shared" si="20"/>
        <v>37932112</v>
      </c>
      <c r="V396" s="399"/>
      <c r="W396" s="399"/>
      <c r="X396" s="400" t="s">
        <v>492</v>
      </c>
      <c r="Y396" s="400"/>
      <c r="Z396" s="283"/>
    </row>
    <row r="397" spans="2:26" ht="19.5" hidden="1" customHeight="1">
      <c r="B397" s="29">
        <f t="shared" si="18"/>
        <v>387</v>
      </c>
      <c r="C397" s="30" t="s">
        <v>206</v>
      </c>
      <c r="D397" s="30" t="s">
        <v>225</v>
      </c>
      <c r="E397" s="234" t="s">
        <v>896</v>
      </c>
      <c r="F397" s="235" t="s">
        <v>1223</v>
      </c>
      <c r="G397" s="284">
        <f>IFERROR(VLOOKUP(E397,Assign!$C$2:$J$142,8,FALSE),)</f>
        <v>0</v>
      </c>
      <c r="H397" s="279" t="s">
        <v>6919</v>
      </c>
      <c r="I397" s="280" t="s">
        <v>6115</v>
      </c>
      <c r="J397" s="281" t="s">
        <v>3735</v>
      </c>
      <c r="K397" s="282">
        <v>42885</v>
      </c>
      <c r="L397" s="282">
        <v>53842</v>
      </c>
      <c r="M397" s="282">
        <v>45294</v>
      </c>
      <c r="N397" s="371">
        <v>48000000</v>
      </c>
      <c r="O397" s="444" t="s">
        <v>3866</v>
      </c>
      <c r="P397" s="397">
        <v>37599906</v>
      </c>
      <c r="Q397" s="397">
        <v>37599906</v>
      </c>
      <c r="R397" s="397"/>
      <c r="S397" s="398">
        <f t="shared" si="19"/>
        <v>37599906</v>
      </c>
      <c r="T397" s="353"/>
      <c r="U397" s="353">
        <f t="shared" si="20"/>
        <v>37599906</v>
      </c>
      <c r="V397" s="399"/>
      <c r="W397" s="399"/>
      <c r="X397" s="400" t="s">
        <v>492</v>
      </c>
      <c r="Y397" s="400"/>
      <c r="Z397" s="283"/>
    </row>
    <row r="398" spans="2:26" ht="19.5" hidden="1" customHeight="1">
      <c r="B398" s="29">
        <f t="shared" si="18"/>
        <v>388</v>
      </c>
      <c r="C398" s="30" t="s">
        <v>206</v>
      </c>
      <c r="D398" s="30" t="s">
        <v>225</v>
      </c>
      <c r="E398" s="234" t="s">
        <v>897</v>
      </c>
      <c r="F398" s="235" t="s">
        <v>1225</v>
      </c>
      <c r="G398" s="284">
        <f>IFERROR(VLOOKUP(E398,Assign!$C$2:$J$142,8,FALSE),)</f>
        <v>0</v>
      </c>
      <c r="H398" s="279" t="s">
        <v>6367</v>
      </c>
      <c r="I398" s="280" t="s">
        <v>5736</v>
      </c>
      <c r="J398" s="281" t="s">
        <v>3759</v>
      </c>
      <c r="K398" s="282">
        <v>41852</v>
      </c>
      <c r="L398" s="282">
        <v>52810</v>
      </c>
      <c r="M398" s="282">
        <v>45506</v>
      </c>
      <c r="N398" s="371">
        <v>48000000</v>
      </c>
      <c r="O398" s="444" t="s">
        <v>3866</v>
      </c>
      <c r="P398" s="397">
        <v>37276738</v>
      </c>
      <c r="Q398" s="397">
        <v>37276738</v>
      </c>
      <c r="R398" s="397"/>
      <c r="S398" s="398">
        <f t="shared" si="19"/>
        <v>37276738</v>
      </c>
      <c r="T398" s="353"/>
      <c r="U398" s="353">
        <f t="shared" si="20"/>
        <v>37276738</v>
      </c>
      <c r="V398" s="399"/>
      <c r="W398" s="399"/>
      <c r="X398" s="400" t="s">
        <v>492</v>
      </c>
      <c r="Y398" s="400"/>
      <c r="Z398" s="283"/>
    </row>
    <row r="399" spans="2:26" ht="19.5" hidden="1" customHeight="1">
      <c r="B399" s="29">
        <f t="shared" si="18"/>
        <v>389</v>
      </c>
      <c r="C399" s="30" t="s">
        <v>206</v>
      </c>
      <c r="D399" s="30" t="s">
        <v>225</v>
      </c>
      <c r="E399" s="234" t="s">
        <v>898</v>
      </c>
      <c r="F399" s="235" t="s">
        <v>1229</v>
      </c>
      <c r="G399" s="284">
        <f>IFERROR(VLOOKUP(E399,Assign!$C$2:$J$142,8,FALSE),)</f>
        <v>0</v>
      </c>
      <c r="H399" s="279" t="s">
        <v>6399</v>
      </c>
      <c r="I399" s="280" t="s">
        <v>5762</v>
      </c>
      <c r="J399" s="281" t="s">
        <v>3755</v>
      </c>
      <c r="K399" s="282">
        <v>41870</v>
      </c>
      <c r="L399" s="282">
        <v>49175</v>
      </c>
      <c r="M399" s="282">
        <v>45678</v>
      </c>
      <c r="N399" s="371">
        <v>75000000</v>
      </c>
      <c r="O399" s="444" t="s">
        <v>3866</v>
      </c>
      <c r="P399" s="397">
        <v>35937500</v>
      </c>
      <c r="Q399" s="397">
        <v>35937500</v>
      </c>
      <c r="R399" s="397"/>
      <c r="S399" s="398">
        <f t="shared" si="19"/>
        <v>35937500</v>
      </c>
      <c r="T399" s="353"/>
      <c r="U399" s="353">
        <f t="shared" si="20"/>
        <v>35937500</v>
      </c>
      <c r="V399" s="399"/>
      <c r="W399" s="399"/>
      <c r="X399" s="400" t="s">
        <v>492</v>
      </c>
      <c r="Y399" s="400"/>
      <c r="Z399" s="283"/>
    </row>
    <row r="400" spans="2:26" ht="19.5" hidden="1" customHeight="1">
      <c r="B400" s="29">
        <f t="shared" si="18"/>
        <v>390</v>
      </c>
      <c r="C400" s="30" t="s">
        <v>206</v>
      </c>
      <c r="D400" s="30" t="s">
        <v>225</v>
      </c>
      <c r="E400" s="234" t="s">
        <v>899</v>
      </c>
      <c r="F400" s="235" t="s">
        <v>1217</v>
      </c>
      <c r="G400" s="284">
        <f>IFERROR(VLOOKUP(E400,Assign!$C$2:$J$142,8,FALSE),)</f>
        <v>0</v>
      </c>
      <c r="H400" s="279" t="s">
        <v>6420</v>
      </c>
      <c r="I400" s="280" t="s">
        <v>5779</v>
      </c>
      <c r="J400" s="281" t="s">
        <v>3742</v>
      </c>
      <c r="K400" s="282">
        <v>42262</v>
      </c>
      <c r="L400" s="282">
        <v>53220</v>
      </c>
      <c r="M400" s="282">
        <v>45246</v>
      </c>
      <c r="N400" s="371">
        <v>49000000</v>
      </c>
      <c r="O400" s="444" t="s">
        <v>3866</v>
      </c>
      <c r="P400" s="397">
        <v>35797193</v>
      </c>
      <c r="Q400" s="397">
        <v>35797193</v>
      </c>
      <c r="R400" s="397"/>
      <c r="S400" s="398">
        <f t="shared" si="19"/>
        <v>35797193</v>
      </c>
      <c r="T400" s="353"/>
      <c r="U400" s="353">
        <f t="shared" si="20"/>
        <v>35797193</v>
      </c>
      <c r="V400" s="399"/>
      <c r="W400" s="399"/>
      <c r="X400" s="400" t="s">
        <v>492</v>
      </c>
      <c r="Y400" s="400"/>
      <c r="Z400" s="283"/>
    </row>
    <row r="401" spans="2:26" ht="19.5" hidden="1" customHeight="1">
      <c r="B401" s="29">
        <f t="shared" si="18"/>
        <v>391</v>
      </c>
      <c r="C401" s="30" t="s">
        <v>206</v>
      </c>
      <c r="D401" s="30" t="s">
        <v>225</v>
      </c>
      <c r="E401" s="234" t="s">
        <v>900</v>
      </c>
      <c r="F401" s="235" t="s">
        <v>1221</v>
      </c>
      <c r="G401" s="284">
        <f>IFERROR(VLOOKUP(E401,Assign!$C$2:$J$142,8,FALSE),)</f>
        <v>0</v>
      </c>
      <c r="H401" s="279" t="s">
        <v>6563</v>
      </c>
      <c r="I401" s="280" t="s">
        <v>5885</v>
      </c>
      <c r="J401" s="281" t="s">
        <v>3758</v>
      </c>
      <c r="K401" s="282">
        <v>44357</v>
      </c>
      <c r="L401" s="282">
        <v>48009</v>
      </c>
      <c r="M401" s="282">
        <v>45608</v>
      </c>
      <c r="N401" s="371">
        <v>52000000</v>
      </c>
      <c r="O401" s="444" t="s">
        <v>3866</v>
      </c>
      <c r="P401" s="397">
        <v>34666640</v>
      </c>
      <c r="Q401" s="397">
        <v>34666640</v>
      </c>
      <c r="R401" s="397"/>
      <c r="S401" s="398">
        <f t="shared" si="19"/>
        <v>34666640</v>
      </c>
      <c r="T401" s="353"/>
      <c r="U401" s="353">
        <f t="shared" si="20"/>
        <v>34666640</v>
      </c>
      <c r="V401" s="399"/>
      <c r="W401" s="399"/>
      <c r="X401" s="400" t="s">
        <v>492</v>
      </c>
      <c r="Y401" s="400"/>
      <c r="Z401" s="283"/>
    </row>
    <row r="402" spans="2:26" ht="19.5" hidden="1" customHeight="1">
      <c r="B402" s="29">
        <f t="shared" si="18"/>
        <v>392</v>
      </c>
      <c r="C402" s="30" t="s">
        <v>206</v>
      </c>
      <c r="D402" s="30" t="s">
        <v>225</v>
      </c>
      <c r="E402" s="234" t="s">
        <v>901</v>
      </c>
      <c r="F402" s="235" t="s">
        <v>1226</v>
      </c>
      <c r="G402" s="284">
        <f>IFERROR(VLOOKUP(E402,Assign!$C$2:$J$142,8,FALSE),)</f>
        <v>0</v>
      </c>
      <c r="H402" s="279" t="s">
        <v>6277</v>
      </c>
      <c r="I402" s="280" t="s">
        <v>5654</v>
      </c>
      <c r="J402" s="281" t="s">
        <v>3746</v>
      </c>
      <c r="K402" s="282">
        <v>43903</v>
      </c>
      <c r="L402" s="282">
        <v>54860</v>
      </c>
      <c r="M402" s="282">
        <v>45500</v>
      </c>
      <c r="N402" s="371">
        <v>40000000</v>
      </c>
      <c r="O402" s="444" t="s">
        <v>3866</v>
      </c>
      <c r="P402" s="397">
        <v>34222188</v>
      </c>
      <c r="Q402" s="397">
        <v>34222188</v>
      </c>
      <c r="R402" s="397"/>
      <c r="S402" s="398">
        <f t="shared" si="19"/>
        <v>34222188</v>
      </c>
      <c r="T402" s="353"/>
      <c r="U402" s="353">
        <f t="shared" si="20"/>
        <v>34222188</v>
      </c>
      <c r="V402" s="399"/>
      <c r="W402" s="399"/>
      <c r="X402" s="400" t="s">
        <v>492</v>
      </c>
      <c r="Y402" s="400"/>
      <c r="Z402" s="283"/>
    </row>
    <row r="403" spans="2:26" ht="19.5" hidden="1" customHeight="1">
      <c r="B403" s="29">
        <f t="shared" si="18"/>
        <v>393</v>
      </c>
      <c r="C403" s="30" t="s">
        <v>206</v>
      </c>
      <c r="D403" s="30" t="s">
        <v>225</v>
      </c>
      <c r="E403" s="234" t="s">
        <v>902</v>
      </c>
      <c r="F403" s="235" t="s">
        <v>1321</v>
      </c>
      <c r="G403" s="284">
        <f>IFERROR(VLOOKUP(E403,Assign!$C$2:$J$142,8,FALSE),)</f>
        <v>0</v>
      </c>
      <c r="H403" s="279" t="s">
        <v>6835</v>
      </c>
      <c r="I403" s="280" t="s">
        <v>6073</v>
      </c>
      <c r="J403" s="281" t="s">
        <v>3745</v>
      </c>
      <c r="K403" s="282">
        <v>44313</v>
      </c>
      <c r="L403" s="282">
        <v>45774</v>
      </c>
      <c r="M403" s="282">
        <v>45716</v>
      </c>
      <c r="N403" s="371">
        <v>38000000</v>
      </c>
      <c r="O403" s="444" t="s">
        <v>3866</v>
      </c>
      <c r="P403" s="397">
        <v>32000000</v>
      </c>
      <c r="Q403" s="397">
        <v>32000000</v>
      </c>
      <c r="R403" s="397"/>
      <c r="S403" s="398">
        <f t="shared" si="19"/>
        <v>32000000</v>
      </c>
      <c r="T403" s="353"/>
      <c r="U403" s="353">
        <f t="shared" si="20"/>
        <v>32000000</v>
      </c>
      <c r="V403" s="399"/>
      <c r="W403" s="399"/>
      <c r="X403" s="400" t="s">
        <v>492</v>
      </c>
      <c r="Y403" s="400"/>
      <c r="Z403" s="283"/>
    </row>
    <row r="404" spans="2:26" ht="19.5" hidden="1" customHeight="1">
      <c r="B404" s="29">
        <f t="shared" si="18"/>
        <v>394</v>
      </c>
      <c r="C404" s="30" t="s">
        <v>206</v>
      </c>
      <c r="D404" s="30" t="s">
        <v>225</v>
      </c>
      <c r="E404" s="234" t="s">
        <v>903</v>
      </c>
      <c r="F404" s="235" t="s">
        <v>1266</v>
      </c>
      <c r="G404" s="284">
        <f>IFERROR(VLOOKUP(E404,Assign!$C$2:$J$142,8,FALSE),)</f>
        <v>0</v>
      </c>
      <c r="H404" s="279" t="s">
        <v>6998</v>
      </c>
      <c r="I404" s="280" t="s">
        <v>5719</v>
      </c>
      <c r="J404" s="281" t="s">
        <v>3737</v>
      </c>
      <c r="K404" s="282">
        <v>44874</v>
      </c>
      <c r="L404" s="282">
        <v>48708</v>
      </c>
      <c r="M404" s="282">
        <v>45514</v>
      </c>
      <c r="N404" s="371">
        <v>34000000</v>
      </c>
      <c r="O404" s="444" t="s">
        <v>3866</v>
      </c>
      <c r="P404" s="397">
        <v>29870078</v>
      </c>
      <c r="Q404" s="397">
        <v>29870078</v>
      </c>
      <c r="R404" s="397"/>
      <c r="S404" s="398">
        <f t="shared" si="19"/>
        <v>29870078</v>
      </c>
      <c r="T404" s="353"/>
      <c r="U404" s="353">
        <f t="shared" si="20"/>
        <v>29870078</v>
      </c>
      <c r="V404" s="399"/>
      <c r="W404" s="399"/>
      <c r="X404" s="400" t="s">
        <v>492</v>
      </c>
      <c r="Y404" s="400"/>
      <c r="Z404" s="283"/>
    </row>
    <row r="405" spans="2:26" ht="19.5" hidden="1" customHeight="1">
      <c r="B405" s="29">
        <f t="shared" si="18"/>
        <v>395</v>
      </c>
      <c r="C405" s="30" t="s">
        <v>206</v>
      </c>
      <c r="D405" s="30" t="s">
        <v>225</v>
      </c>
      <c r="E405" s="234" t="s">
        <v>904</v>
      </c>
      <c r="F405" s="235" t="s">
        <v>1221</v>
      </c>
      <c r="G405" s="284">
        <f>IFERROR(VLOOKUP(E405,Assign!$C$2:$J$142,8,FALSE),)</f>
        <v>0</v>
      </c>
      <c r="H405" s="279" t="s">
        <v>6264</v>
      </c>
      <c r="I405" s="280" t="s">
        <v>5642</v>
      </c>
      <c r="J405" s="281" t="s">
        <v>3737</v>
      </c>
      <c r="K405" s="282">
        <v>45034</v>
      </c>
      <c r="L405" s="282">
        <v>52339</v>
      </c>
      <c r="M405" s="282">
        <v>45555</v>
      </c>
      <c r="N405" s="371">
        <v>30000000</v>
      </c>
      <c r="O405" s="444" t="s">
        <v>3866</v>
      </c>
      <c r="P405" s="397">
        <v>29170465</v>
      </c>
      <c r="Q405" s="397">
        <v>29170465</v>
      </c>
      <c r="R405" s="397"/>
      <c r="S405" s="398">
        <f t="shared" si="19"/>
        <v>29170465</v>
      </c>
      <c r="T405" s="353"/>
      <c r="U405" s="353">
        <f t="shared" si="20"/>
        <v>29170465</v>
      </c>
      <c r="V405" s="399"/>
      <c r="W405" s="399"/>
      <c r="X405" s="400" t="s">
        <v>492</v>
      </c>
      <c r="Y405" s="400"/>
      <c r="Z405" s="283"/>
    </row>
    <row r="406" spans="2:26" ht="19.5" hidden="1" customHeight="1">
      <c r="B406" s="29">
        <f t="shared" si="18"/>
        <v>396</v>
      </c>
      <c r="C406" s="30" t="s">
        <v>206</v>
      </c>
      <c r="D406" s="30" t="s">
        <v>225</v>
      </c>
      <c r="E406" s="234" t="s">
        <v>905</v>
      </c>
      <c r="F406" s="235" t="s">
        <v>1229</v>
      </c>
      <c r="G406" s="284">
        <f>IFERROR(VLOOKUP(E406,Assign!$C$2:$J$142,8,FALSE),)</f>
        <v>0</v>
      </c>
      <c r="H406" s="279" t="s">
        <v>6329</v>
      </c>
      <c r="I406" s="280" t="s">
        <v>5703</v>
      </c>
      <c r="J406" s="281" t="s">
        <v>3756</v>
      </c>
      <c r="K406" s="282">
        <v>43567</v>
      </c>
      <c r="L406" s="282">
        <v>54525</v>
      </c>
      <c r="M406" s="282">
        <v>45426</v>
      </c>
      <c r="N406" s="371">
        <v>95000000</v>
      </c>
      <c r="O406" s="444" t="s">
        <v>3866</v>
      </c>
      <c r="P406" s="397">
        <v>27950100</v>
      </c>
      <c r="Q406" s="397">
        <v>27950100</v>
      </c>
      <c r="R406" s="397"/>
      <c r="S406" s="398">
        <f t="shared" si="19"/>
        <v>27950100</v>
      </c>
      <c r="T406" s="353"/>
      <c r="U406" s="353">
        <f t="shared" si="20"/>
        <v>27950100</v>
      </c>
      <c r="V406" s="399"/>
      <c r="W406" s="399"/>
      <c r="X406" s="400" t="s">
        <v>492</v>
      </c>
      <c r="Y406" s="400"/>
      <c r="Z406" s="283"/>
    </row>
    <row r="407" spans="2:26" ht="19.5" hidden="1" customHeight="1">
      <c r="B407" s="29">
        <f t="shared" si="18"/>
        <v>397</v>
      </c>
      <c r="C407" s="30" t="s">
        <v>206</v>
      </c>
      <c r="D407" s="30" t="s">
        <v>225</v>
      </c>
      <c r="E407" s="234" t="s">
        <v>906</v>
      </c>
      <c r="F407" s="235" t="s">
        <v>1222</v>
      </c>
      <c r="G407" s="284">
        <f>IFERROR(VLOOKUP(E407,Assign!$C$2:$J$142,8,FALSE),)</f>
        <v>0</v>
      </c>
      <c r="H407" s="279" t="s">
        <v>6713</v>
      </c>
      <c r="I407" s="280" t="s">
        <v>6000</v>
      </c>
      <c r="J407" s="281" t="s">
        <v>3746</v>
      </c>
      <c r="K407" s="282">
        <v>43671</v>
      </c>
      <c r="L407" s="282">
        <v>54629</v>
      </c>
      <c r="M407" s="282">
        <v>45622</v>
      </c>
      <c r="N407" s="371">
        <v>31500000</v>
      </c>
      <c r="O407" s="444" t="s">
        <v>3866</v>
      </c>
      <c r="P407" s="397">
        <v>27741981</v>
      </c>
      <c r="Q407" s="397">
        <v>27741981</v>
      </c>
      <c r="R407" s="397"/>
      <c r="S407" s="398">
        <f t="shared" si="19"/>
        <v>27741981</v>
      </c>
      <c r="T407" s="353"/>
      <c r="U407" s="353">
        <f t="shared" si="20"/>
        <v>27741981</v>
      </c>
      <c r="V407" s="399"/>
      <c r="W407" s="399"/>
      <c r="X407" s="400" t="s">
        <v>492</v>
      </c>
      <c r="Y407" s="400"/>
      <c r="Z407" s="283"/>
    </row>
    <row r="408" spans="2:26" ht="19.5" hidden="1" customHeight="1">
      <c r="B408" s="29">
        <f t="shared" si="18"/>
        <v>398</v>
      </c>
      <c r="C408" s="30" t="s">
        <v>206</v>
      </c>
      <c r="D408" s="30" t="s">
        <v>225</v>
      </c>
      <c r="E408" s="234" t="s">
        <v>907</v>
      </c>
      <c r="F408" s="235" t="s">
        <v>1252</v>
      </c>
      <c r="G408" s="284">
        <f>IFERROR(VLOOKUP(E408,Assign!$C$2:$J$142,8,FALSE),)</f>
        <v>0</v>
      </c>
      <c r="H408" s="279" t="s">
        <v>6969</v>
      </c>
      <c r="I408" s="280" t="s">
        <v>6005</v>
      </c>
      <c r="J408" s="281" t="s">
        <v>3737</v>
      </c>
      <c r="K408" s="282">
        <v>44491</v>
      </c>
      <c r="L408" s="282">
        <v>55448</v>
      </c>
      <c r="M408" s="282">
        <v>45527</v>
      </c>
      <c r="N408" s="371">
        <v>30000000</v>
      </c>
      <c r="O408" s="444" t="s">
        <v>3866</v>
      </c>
      <c r="P408" s="397">
        <v>27249891</v>
      </c>
      <c r="Q408" s="397">
        <v>27249891</v>
      </c>
      <c r="R408" s="397"/>
      <c r="S408" s="398">
        <f t="shared" si="19"/>
        <v>27249891</v>
      </c>
      <c r="T408" s="353"/>
      <c r="U408" s="353">
        <f t="shared" si="20"/>
        <v>27249891</v>
      </c>
      <c r="V408" s="399"/>
      <c r="W408" s="399"/>
      <c r="X408" s="400" t="s">
        <v>492</v>
      </c>
      <c r="Y408" s="400"/>
      <c r="Z408" s="283"/>
    </row>
    <row r="409" spans="2:26" ht="19.5" hidden="1" customHeight="1">
      <c r="B409" s="29">
        <f t="shared" si="18"/>
        <v>399</v>
      </c>
      <c r="C409" s="30" t="s">
        <v>206</v>
      </c>
      <c r="D409" s="30" t="s">
        <v>225</v>
      </c>
      <c r="E409" s="234" t="s">
        <v>908</v>
      </c>
      <c r="F409" s="235" t="s">
        <v>1225</v>
      </c>
      <c r="G409" s="284">
        <f>IFERROR(VLOOKUP(E409,Assign!$C$2:$J$142,8,FALSE),)</f>
        <v>0</v>
      </c>
      <c r="H409" s="279" t="s">
        <v>6530</v>
      </c>
      <c r="I409" s="280" t="s">
        <v>5864</v>
      </c>
      <c r="J409" s="281" t="s">
        <v>3737</v>
      </c>
      <c r="K409" s="282">
        <v>43539</v>
      </c>
      <c r="L409" s="282">
        <v>54497</v>
      </c>
      <c r="M409" s="282">
        <v>45461</v>
      </c>
      <c r="N409" s="371">
        <v>30000000</v>
      </c>
      <c r="O409" s="444" t="s">
        <v>3866</v>
      </c>
      <c r="P409" s="397">
        <v>26575928</v>
      </c>
      <c r="Q409" s="397">
        <v>26575928</v>
      </c>
      <c r="R409" s="397"/>
      <c r="S409" s="398">
        <f t="shared" si="19"/>
        <v>26575928</v>
      </c>
      <c r="T409" s="353"/>
      <c r="U409" s="353">
        <f t="shared" si="20"/>
        <v>26575928</v>
      </c>
      <c r="V409" s="399"/>
      <c r="W409" s="399"/>
      <c r="X409" s="400" t="s">
        <v>492</v>
      </c>
      <c r="Y409" s="400"/>
      <c r="Z409" s="283"/>
    </row>
    <row r="410" spans="2:26" ht="19.5" hidden="1" customHeight="1">
      <c r="B410" s="29">
        <f t="shared" si="18"/>
        <v>400</v>
      </c>
      <c r="C410" s="30" t="s">
        <v>206</v>
      </c>
      <c r="D410" s="30" t="s">
        <v>225</v>
      </c>
      <c r="E410" s="234" t="s">
        <v>909</v>
      </c>
      <c r="F410" s="235" t="s">
        <v>1269</v>
      </c>
      <c r="G410" s="284">
        <f>IFERROR(VLOOKUP(E410,Assign!$C$2:$J$142,8,FALSE),)</f>
        <v>0</v>
      </c>
      <c r="H410" s="279" t="s">
        <v>6242</v>
      </c>
      <c r="I410" s="280" t="s">
        <v>5621</v>
      </c>
      <c r="J410" s="281" t="s">
        <v>3735</v>
      </c>
      <c r="K410" s="282">
        <v>42583</v>
      </c>
      <c r="L410" s="282">
        <v>53540</v>
      </c>
      <c r="M410" s="282">
        <v>45324</v>
      </c>
      <c r="N410" s="371">
        <v>35000000</v>
      </c>
      <c r="O410" s="444" t="s">
        <v>3866</v>
      </c>
      <c r="P410" s="397">
        <v>26347162</v>
      </c>
      <c r="Q410" s="397">
        <v>26347162</v>
      </c>
      <c r="R410" s="397"/>
      <c r="S410" s="398">
        <f t="shared" si="19"/>
        <v>26347162</v>
      </c>
      <c r="T410" s="353"/>
      <c r="U410" s="353">
        <f t="shared" si="20"/>
        <v>26347162</v>
      </c>
      <c r="V410" s="399"/>
      <c r="W410" s="399"/>
      <c r="X410" s="400" t="s">
        <v>492</v>
      </c>
      <c r="Y410" s="400"/>
      <c r="Z410" s="283"/>
    </row>
    <row r="411" spans="2:26" ht="19.5" hidden="1" customHeight="1">
      <c r="B411" s="29">
        <f t="shared" si="18"/>
        <v>401</v>
      </c>
      <c r="C411" s="30" t="s">
        <v>206</v>
      </c>
      <c r="D411" s="30" t="s">
        <v>225</v>
      </c>
      <c r="E411" s="234" t="s">
        <v>910</v>
      </c>
      <c r="F411" s="235" t="s">
        <v>1226</v>
      </c>
      <c r="G411" s="284">
        <f>IFERROR(VLOOKUP(E411,Assign!$C$2:$J$142,8,FALSE),)</f>
        <v>0</v>
      </c>
      <c r="H411" s="279" t="s">
        <v>6246</v>
      </c>
      <c r="I411" s="280" t="s">
        <v>5625</v>
      </c>
      <c r="J411" s="281" t="s">
        <v>3744</v>
      </c>
      <c r="K411" s="282">
        <v>44154</v>
      </c>
      <c r="L411" s="282">
        <v>45930</v>
      </c>
      <c r="M411" s="282">
        <v>45475</v>
      </c>
      <c r="N411" s="371">
        <v>50000000</v>
      </c>
      <c r="O411" s="444" t="s">
        <v>3866</v>
      </c>
      <c r="P411" s="397">
        <v>24895617</v>
      </c>
      <c r="Q411" s="397">
        <v>24895617</v>
      </c>
      <c r="R411" s="397"/>
      <c r="S411" s="398">
        <f t="shared" si="19"/>
        <v>24895617</v>
      </c>
      <c r="T411" s="353"/>
      <c r="U411" s="353">
        <f t="shared" si="20"/>
        <v>24895617</v>
      </c>
      <c r="V411" s="399"/>
      <c r="W411" s="399"/>
      <c r="X411" s="400" t="s">
        <v>492</v>
      </c>
      <c r="Y411" s="400"/>
      <c r="Z411" s="283"/>
    </row>
    <row r="412" spans="2:26" ht="19.5" hidden="1" customHeight="1">
      <c r="B412" s="29">
        <f t="shared" si="18"/>
        <v>402</v>
      </c>
      <c r="C412" s="30" t="s">
        <v>206</v>
      </c>
      <c r="D412" s="30" t="s">
        <v>225</v>
      </c>
      <c r="E412" s="234" t="s">
        <v>911</v>
      </c>
      <c r="F412" s="235" t="s">
        <v>1234</v>
      </c>
      <c r="G412" s="284">
        <f>IFERROR(VLOOKUP(E412,Assign!$C$2:$J$142,8,FALSE),)</f>
        <v>0</v>
      </c>
      <c r="H412" s="279" t="s">
        <v>6862</v>
      </c>
      <c r="I412" s="280" t="s">
        <v>5911</v>
      </c>
      <c r="J412" s="281" t="s">
        <v>3746</v>
      </c>
      <c r="K412" s="282">
        <v>44650</v>
      </c>
      <c r="L412" s="282">
        <v>48487</v>
      </c>
      <c r="M412" s="282">
        <v>45535</v>
      </c>
      <c r="N412" s="371">
        <v>30000000</v>
      </c>
      <c r="O412" s="444" t="s">
        <v>3866</v>
      </c>
      <c r="P412" s="397">
        <v>23333310</v>
      </c>
      <c r="Q412" s="397">
        <v>23333310</v>
      </c>
      <c r="R412" s="397"/>
      <c r="S412" s="398">
        <f t="shared" si="19"/>
        <v>23333310</v>
      </c>
      <c r="T412" s="353"/>
      <c r="U412" s="353">
        <f t="shared" si="20"/>
        <v>23333310</v>
      </c>
      <c r="V412" s="399"/>
      <c r="W412" s="399"/>
      <c r="X412" s="400" t="s">
        <v>492</v>
      </c>
      <c r="Y412" s="400"/>
      <c r="Z412" s="283"/>
    </row>
    <row r="413" spans="2:26" ht="19.5" hidden="1" customHeight="1">
      <c r="B413" s="29">
        <f t="shared" si="18"/>
        <v>403</v>
      </c>
      <c r="C413" s="30" t="s">
        <v>206</v>
      </c>
      <c r="D413" s="30" t="s">
        <v>225</v>
      </c>
      <c r="E413" s="234" t="s">
        <v>912</v>
      </c>
      <c r="F413" s="235" t="s">
        <v>1246</v>
      </c>
      <c r="G413" s="284">
        <f>IFERROR(VLOOKUP(E413,Assign!$C$2:$J$142,8,FALSE),)</f>
        <v>0</v>
      </c>
      <c r="H413" s="279" t="s">
        <v>6336</v>
      </c>
      <c r="I413" s="280" t="s">
        <v>5710</v>
      </c>
      <c r="J413" s="281" t="s">
        <v>3742</v>
      </c>
      <c r="K413" s="282">
        <v>42272</v>
      </c>
      <c r="L413" s="282">
        <v>53230</v>
      </c>
      <c r="M413" s="282">
        <v>45435</v>
      </c>
      <c r="N413" s="371">
        <v>30000000</v>
      </c>
      <c r="O413" s="444" t="s">
        <v>3866</v>
      </c>
      <c r="P413" s="397">
        <v>21333248</v>
      </c>
      <c r="Q413" s="397">
        <v>21333248</v>
      </c>
      <c r="R413" s="397"/>
      <c r="S413" s="398">
        <f t="shared" si="19"/>
        <v>21333248</v>
      </c>
      <c r="T413" s="353"/>
      <c r="U413" s="353">
        <f t="shared" si="20"/>
        <v>21333248</v>
      </c>
      <c r="V413" s="399"/>
      <c r="W413" s="399"/>
      <c r="X413" s="400" t="s">
        <v>492</v>
      </c>
      <c r="Y413" s="400"/>
      <c r="Z413" s="283"/>
    </row>
    <row r="414" spans="2:26" ht="19.5" hidden="1" customHeight="1">
      <c r="B414" s="29">
        <f t="shared" si="18"/>
        <v>404</v>
      </c>
      <c r="C414" s="30" t="s">
        <v>206</v>
      </c>
      <c r="D414" s="30" t="s">
        <v>225</v>
      </c>
      <c r="E414" s="234" t="s">
        <v>913</v>
      </c>
      <c r="F414" s="235" t="s">
        <v>1260</v>
      </c>
      <c r="G414" s="284">
        <f>IFERROR(VLOOKUP(E414,Assign!$C$2:$J$142,8,FALSE),)</f>
        <v>0</v>
      </c>
      <c r="H414" s="279" t="s">
        <v>6863</v>
      </c>
      <c r="I414" s="280" t="s">
        <v>6091</v>
      </c>
      <c r="J414" s="281" t="s">
        <v>3759</v>
      </c>
      <c r="K414" s="282">
        <v>42307</v>
      </c>
      <c r="L414" s="282">
        <v>49612</v>
      </c>
      <c r="M414" s="282">
        <v>45596</v>
      </c>
      <c r="N414" s="371">
        <v>30000000</v>
      </c>
      <c r="O414" s="444" t="s">
        <v>3866</v>
      </c>
      <c r="P414" s="397">
        <v>16507482</v>
      </c>
      <c r="Q414" s="397">
        <v>16507482</v>
      </c>
      <c r="R414" s="397"/>
      <c r="S414" s="398">
        <f t="shared" si="19"/>
        <v>16507482</v>
      </c>
      <c r="T414" s="353"/>
      <c r="U414" s="353">
        <f t="shared" si="20"/>
        <v>16507482</v>
      </c>
      <c r="V414" s="399"/>
      <c r="W414" s="399"/>
      <c r="X414" s="400" t="s">
        <v>492</v>
      </c>
      <c r="Y414" s="400"/>
      <c r="Z414" s="283"/>
    </row>
    <row r="415" spans="2:26" ht="19.5" hidden="1" customHeight="1">
      <c r="B415" s="29">
        <f t="shared" si="18"/>
        <v>405</v>
      </c>
      <c r="C415" s="30" t="s">
        <v>206</v>
      </c>
      <c r="D415" s="30" t="s">
        <v>225</v>
      </c>
      <c r="E415" s="234" t="s">
        <v>914</v>
      </c>
      <c r="F415" s="235" t="s">
        <v>1270</v>
      </c>
      <c r="G415" s="284">
        <f>IFERROR(VLOOKUP(E415,Assign!$C$2:$J$142,8,FALSE),)</f>
        <v>0</v>
      </c>
      <c r="H415" s="279" t="s">
        <v>6882</v>
      </c>
      <c r="I415" s="280" t="s">
        <v>6101</v>
      </c>
      <c r="J415" s="281" t="s">
        <v>3759</v>
      </c>
      <c r="K415" s="282">
        <v>41667</v>
      </c>
      <c r="L415" s="282">
        <v>47146</v>
      </c>
      <c r="M415" s="282">
        <v>45566</v>
      </c>
      <c r="N415" s="371">
        <v>38400000</v>
      </c>
      <c r="O415" s="444" t="s">
        <v>3866</v>
      </c>
      <c r="P415" s="397">
        <v>11306649</v>
      </c>
      <c r="Q415" s="397">
        <v>11306649</v>
      </c>
      <c r="R415" s="397"/>
      <c r="S415" s="398">
        <f t="shared" si="19"/>
        <v>11306649</v>
      </c>
      <c r="T415" s="353"/>
      <c r="U415" s="353">
        <f t="shared" si="20"/>
        <v>11306649</v>
      </c>
      <c r="V415" s="399"/>
      <c r="W415" s="399"/>
      <c r="X415" s="400" t="s">
        <v>492</v>
      </c>
      <c r="Y415" s="400"/>
      <c r="Z415" s="283"/>
    </row>
    <row r="416" spans="2:26" ht="19.5" hidden="1" customHeight="1">
      <c r="B416" s="29">
        <f t="shared" si="18"/>
        <v>406</v>
      </c>
      <c r="C416" s="30" t="s">
        <v>206</v>
      </c>
      <c r="D416" s="30" t="s">
        <v>225</v>
      </c>
      <c r="E416" s="234" t="s">
        <v>915</v>
      </c>
      <c r="F416" s="235" t="s">
        <v>1229</v>
      </c>
      <c r="G416" s="284">
        <f>IFERROR(VLOOKUP(E416,Assign!$C$2:$J$142,8,FALSE),)</f>
        <v>0</v>
      </c>
      <c r="H416" s="279" t="s">
        <v>6401</v>
      </c>
      <c r="I416" s="280" t="s">
        <v>5764</v>
      </c>
      <c r="J416" s="281" t="s">
        <v>3742</v>
      </c>
      <c r="K416" s="282">
        <v>42306</v>
      </c>
      <c r="L416" s="282">
        <v>53264</v>
      </c>
      <c r="M416" s="282">
        <v>45443</v>
      </c>
      <c r="N416" s="371">
        <v>40000000</v>
      </c>
      <c r="O416" s="444" t="s">
        <v>3866</v>
      </c>
      <c r="P416" s="397">
        <v>5145661</v>
      </c>
      <c r="Q416" s="397">
        <v>5145661</v>
      </c>
      <c r="R416" s="397"/>
      <c r="S416" s="398">
        <f t="shared" si="19"/>
        <v>5145661</v>
      </c>
      <c r="T416" s="353"/>
      <c r="U416" s="353">
        <f t="shared" si="20"/>
        <v>5145661</v>
      </c>
      <c r="V416" s="399"/>
      <c r="W416" s="399"/>
      <c r="X416" s="400" t="s">
        <v>492</v>
      </c>
      <c r="Y416" s="400"/>
      <c r="Z416" s="283"/>
    </row>
    <row r="417" spans="2:26" ht="19.5" hidden="1" customHeight="1">
      <c r="B417" s="29">
        <f t="shared" si="18"/>
        <v>407</v>
      </c>
      <c r="C417" s="30" t="s">
        <v>206</v>
      </c>
      <c r="D417" s="30" t="s">
        <v>225</v>
      </c>
      <c r="E417" s="234" t="s">
        <v>916</v>
      </c>
      <c r="F417" s="235" t="s">
        <v>1271</v>
      </c>
      <c r="G417" s="284" t="str">
        <f>IFERROR(VLOOKUP(E417,Assign!$C$2:$J$142,8,FALSE),)</f>
        <v>문선영</v>
      </c>
      <c r="H417" s="279" t="s">
        <v>6592</v>
      </c>
      <c r="I417" s="280" t="s">
        <v>5914</v>
      </c>
      <c r="J417" s="281" t="s">
        <v>3736</v>
      </c>
      <c r="K417" s="282">
        <v>43356</v>
      </c>
      <c r="L417" s="282">
        <v>45090</v>
      </c>
      <c r="M417" s="282">
        <v>45091</v>
      </c>
      <c r="N417" s="371">
        <v>42000000</v>
      </c>
      <c r="O417" s="444" t="s">
        <v>3866</v>
      </c>
      <c r="P417" s="397">
        <v>3994180</v>
      </c>
      <c r="Q417" s="397">
        <v>3994180</v>
      </c>
      <c r="R417" s="397"/>
      <c r="S417" s="398">
        <f t="shared" si="19"/>
        <v>3994180</v>
      </c>
      <c r="T417" s="353"/>
      <c r="U417" s="353">
        <f t="shared" si="20"/>
        <v>3994180</v>
      </c>
      <c r="V417" s="399"/>
      <c r="W417" s="399"/>
      <c r="X417" s="400" t="s">
        <v>492</v>
      </c>
      <c r="Y417" s="400"/>
      <c r="Z417" s="283"/>
    </row>
    <row r="418" spans="2:26" ht="19.5" hidden="1" customHeight="1">
      <c r="B418" s="29">
        <f t="shared" si="18"/>
        <v>408</v>
      </c>
      <c r="C418" s="30" t="s">
        <v>206</v>
      </c>
      <c r="D418" s="30" t="s">
        <v>225</v>
      </c>
      <c r="E418" s="234" t="s">
        <v>917</v>
      </c>
      <c r="F418" s="235" t="s">
        <v>1221</v>
      </c>
      <c r="G418" s="284" t="str">
        <f>IFERROR(VLOOKUP(E418,Assign!$C$2:$J$142,8,FALSE),)</f>
        <v>문선영</v>
      </c>
      <c r="H418" s="279" t="s">
        <v>6599</v>
      </c>
      <c r="I418" s="280" t="s">
        <v>5919</v>
      </c>
      <c r="J418" s="281" t="s">
        <v>3759</v>
      </c>
      <c r="K418" s="282">
        <v>42074</v>
      </c>
      <c r="L418" s="282">
        <v>45727</v>
      </c>
      <c r="M418" s="282">
        <v>45547</v>
      </c>
      <c r="N418" s="371">
        <v>54000000</v>
      </c>
      <c r="O418" s="444" t="s">
        <v>3866</v>
      </c>
      <c r="P418" s="397">
        <v>2744531</v>
      </c>
      <c r="Q418" s="397">
        <v>2744531</v>
      </c>
      <c r="R418" s="397"/>
      <c r="S418" s="398">
        <f t="shared" si="19"/>
        <v>2744531</v>
      </c>
      <c r="T418" s="353"/>
      <c r="U418" s="353">
        <f t="shared" si="20"/>
        <v>2744531</v>
      </c>
      <c r="V418" s="399"/>
      <c r="W418" s="399"/>
      <c r="X418" s="400" t="s">
        <v>492</v>
      </c>
      <c r="Y418" s="400"/>
      <c r="Z418" s="283"/>
    </row>
    <row r="419" spans="2:26" ht="19.5" hidden="1" customHeight="1">
      <c r="B419" s="29">
        <f t="shared" si="18"/>
        <v>409</v>
      </c>
      <c r="C419" s="30" t="s">
        <v>206</v>
      </c>
      <c r="D419" s="30" t="s">
        <v>359</v>
      </c>
      <c r="E419" s="234" t="s">
        <v>918</v>
      </c>
      <c r="F419" s="235" t="s">
        <v>1322</v>
      </c>
      <c r="G419" s="284">
        <f>IFERROR(VLOOKUP(E419,Assign!$C$2:$J$142,8,FALSE),)</f>
        <v>0</v>
      </c>
      <c r="H419" s="279" t="s">
        <v>7005</v>
      </c>
      <c r="I419" s="280" t="s">
        <v>6163</v>
      </c>
      <c r="J419" s="281" t="s">
        <v>3733</v>
      </c>
      <c r="K419" s="282">
        <v>45212</v>
      </c>
      <c r="L419" s="282">
        <v>46333</v>
      </c>
      <c r="M419" s="282">
        <v>45610</v>
      </c>
      <c r="N419" s="371">
        <v>6500000000</v>
      </c>
      <c r="O419" s="444" t="s">
        <v>3866</v>
      </c>
      <c r="P419" s="397">
        <v>6500000000</v>
      </c>
      <c r="Q419" s="397">
        <v>6500000000</v>
      </c>
      <c r="R419" s="397"/>
      <c r="S419" s="398">
        <f t="shared" si="19"/>
        <v>6500000000</v>
      </c>
      <c r="T419" s="353"/>
      <c r="U419" s="353">
        <f t="shared" si="20"/>
        <v>6500000000</v>
      </c>
      <c r="V419" s="399"/>
      <c r="W419" s="399"/>
      <c r="X419" s="400" t="s">
        <v>492</v>
      </c>
      <c r="Y419" s="400"/>
      <c r="Z419" s="283"/>
    </row>
    <row r="420" spans="2:26" ht="19.5" hidden="1" customHeight="1">
      <c r="B420" s="29">
        <f t="shared" si="18"/>
        <v>410</v>
      </c>
      <c r="C420" s="30" t="s">
        <v>206</v>
      </c>
      <c r="D420" s="30" t="s">
        <v>359</v>
      </c>
      <c r="E420" s="234" t="s">
        <v>919</v>
      </c>
      <c r="F420" s="235" t="s">
        <v>1323</v>
      </c>
      <c r="G420" s="284">
        <f>IFERROR(VLOOKUP(E420,Assign!$C$2:$J$142,8,FALSE),)</f>
        <v>0</v>
      </c>
      <c r="H420" s="279" t="s">
        <v>6484</v>
      </c>
      <c r="I420" s="280" t="s">
        <v>5828</v>
      </c>
      <c r="J420" s="281" t="s">
        <v>3736</v>
      </c>
      <c r="K420" s="282">
        <v>44294</v>
      </c>
      <c r="L420" s="282">
        <v>45737</v>
      </c>
      <c r="M420" s="282">
        <v>45699</v>
      </c>
      <c r="N420" s="371">
        <v>800000000</v>
      </c>
      <c r="O420" s="444" t="s">
        <v>3866</v>
      </c>
      <c r="P420" s="397">
        <v>799998971</v>
      </c>
      <c r="Q420" s="397">
        <v>799998971</v>
      </c>
      <c r="R420" s="397"/>
      <c r="S420" s="398">
        <f t="shared" si="19"/>
        <v>799998971</v>
      </c>
      <c r="T420" s="353"/>
      <c r="U420" s="353">
        <f t="shared" si="20"/>
        <v>799998971</v>
      </c>
      <c r="V420" s="399"/>
      <c r="W420" s="399"/>
      <c r="X420" s="400" t="s">
        <v>492</v>
      </c>
      <c r="Y420" s="400"/>
      <c r="Z420" s="283"/>
    </row>
    <row r="421" spans="2:26" ht="19.5" hidden="1" customHeight="1">
      <c r="B421" s="29">
        <f t="shared" si="18"/>
        <v>411</v>
      </c>
      <c r="C421" s="30" t="s">
        <v>206</v>
      </c>
      <c r="D421" s="30" t="s">
        <v>359</v>
      </c>
      <c r="E421" s="234" t="s">
        <v>919</v>
      </c>
      <c r="F421" s="235" t="s">
        <v>1323</v>
      </c>
      <c r="G421" s="284">
        <f>IFERROR(VLOOKUP(E421,Assign!$C$2:$J$142,8,FALSE),)</f>
        <v>0</v>
      </c>
      <c r="H421" s="279" t="s">
        <v>6485</v>
      </c>
      <c r="I421" s="280" t="s">
        <v>5829</v>
      </c>
      <c r="J421" s="281" t="s">
        <v>3762</v>
      </c>
      <c r="K421" s="282">
        <v>43931</v>
      </c>
      <c r="L421" s="282">
        <v>45757</v>
      </c>
      <c r="M421" s="282">
        <v>45695</v>
      </c>
      <c r="N421" s="371">
        <v>120000000</v>
      </c>
      <c r="O421" s="444" t="s">
        <v>3866</v>
      </c>
      <c r="P421" s="397">
        <v>120000000</v>
      </c>
      <c r="Q421" s="397">
        <v>120000000</v>
      </c>
      <c r="R421" s="397"/>
      <c r="S421" s="398">
        <f t="shared" si="19"/>
        <v>120000000</v>
      </c>
      <c r="T421" s="353"/>
      <c r="U421" s="353">
        <f t="shared" si="20"/>
        <v>120000000</v>
      </c>
      <c r="V421" s="399"/>
      <c r="W421" s="399"/>
      <c r="X421" s="400" t="s">
        <v>492</v>
      </c>
      <c r="Y421" s="400"/>
      <c r="Z421" s="283"/>
    </row>
    <row r="422" spans="2:26" ht="19.5" hidden="1" customHeight="1">
      <c r="B422" s="29">
        <f t="shared" si="18"/>
        <v>412</v>
      </c>
      <c r="C422" s="30" t="s">
        <v>206</v>
      </c>
      <c r="D422" s="30" t="s">
        <v>359</v>
      </c>
      <c r="E422" s="234" t="s">
        <v>919</v>
      </c>
      <c r="F422" s="235" t="s">
        <v>1323</v>
      </c>
      <c r="G422" s="284">
        <f>IFERROR(VLOOKUP(E422,Assign!$C$2:$J$142,8,FALSE),)</f>
        <v>0</v>
      </c>
      <c r="H422" s="279" t="s">
        <v>6486</v>
      </c>
      <c r="I422" s="280" t="s">
        <v>5830</v>
      </c>
      <c r="J422" s="281" t="s">
        <v>3762</v>
      </c>
      <c r="K422" s="282">
        <v>45092</v>
      </c>
      <c r="L422" s="282">
        <v>45823</v>
      </c>
      <c r="M422" s="282">
        <v>45695</v>
      </c>
      <c r="N422" s="371">
        <v>1000000000</v>
      </c>
      <c r="O422" s="444" t="s">
        <v>3866</v>
      </c>
      <c r="P422" s="397">
        <v>1000000000</v>
      </c>
      <c r="Q422" s="397">
        <v>1000000000</v>
      </c>
      <c r="R422" s="397"/>
      <c r="S422" s="398">
        <f t="shared" si="19"/>
        <v>1000000000</v>
      </c>
      <c r="T422" s="353"/>
      <c r="U422" s="353">
        <f t="shared" si="20"/>
        <v>1000000000</v>
      </c>
      <c r="V422" s="399"/>
      <c r="W422" s="399"/>
      <c r="X422" s="400" t="s">
        <v>492</v>
      </c>
      <c r="Y422" s="400"/>
      <c r="Z422" s="283"/>
    </row>
    <row r="423" spans="2:26" ht="19.5" hidden="1" customHeight="1">
      <c r="B423" s="29">
        <f t="shared" si="18"/>
        <v>413</v>
      </c>
      <c r="C423" s="30" t="s">
        <v>206</v>
      </c>
      <c r="D423" s="30" t="s">
        <v>359</v>
      </c>
      <c r="E423" s="234" t="s">
        <v>919</v>
      </c>
      <c r="F423" s="235" t="s">
        <v>1323</v>
      </c>
      <c r="G423" s="284">
        <f>IFERROR(VLOOKUP(E423,Assign!$C$2:$J$142,8,FALSE),)</f>
        <v>0</v>
      </c>
      <c r="H423" s="279" t="s">
        <v>6487</v>
      </c>
      <c r="I423" s="280" t="s">
        <v>5820</v>
      </c>
      <c r="J423" s="281" t="s">
        <v>3762</v>
      </c>
      <c r="K423" s="282">
        <v>45184</v>
      </c>
      <c r="L423" s="282">
        <v>45915</v>
      </c>
      <c r="M423" s="282">
        <v>45695</v>
      </c>
      <c r="N423" s="371">
        <v>300000000</v>
      </c>
      <c r="O423" s="444" t="s">
        <v>3866</v>
      </c>
      <c r="P423" s="397">
        <v>300000000</v>
      </c>
      <c r="Q423" s="397">
        <v>300000000</v>
      </c>
      <c r="R423" s="397"/>
      <c r="S423" s="398">
        <f t="shared" si="19"/>
        <v>300000000</v>
      </c>
      <c r="T423" s="353"/>
      <c r="U423" s="353">
        <f t="shared" si="20"/>
        <v>300000000</v>
      </c>
      <c r="V423" s="399"/>
      <c r="W423" s="399"/>
      <c r="X423" s="400" t="s">
        <v>492</v>
      </c>
      <c r="Y423" s="400"/>
      <c r="Z423" s="283"/>
    </row>
    <row r="424" spans="2:26" ht="19.5" hidden="1" customHeight="1">
      <c r="B424" s="29">
        <f t="shared" si="18"/>
        <v>414</v>
      </c>
      <c r="C424" s="30" t="s">
        <v>206</v>
      </c>
      <c r="D424" s="30" t="s">
        <v>359</v>
      </c>
      <c r="E424" s="234" t="s">
        <v>919</v>
      </c>
      <c r="F424" s="235" t="s">
        <v>1323</v>
      </c>
      <c r="G424" s="284">
        <f>IFERROR(VLOOKUP(E424,Assign!$C$2:$J$142,8,FALSE),)</f>
        <v>0</v>
      </c>
      <c r="H424" s="279" t="s">
        <v>6488</v>
      </c>
      <c r="I424" s="280" t="s">
        <v>5831</v>
      </c>
      <c r="J424" s="281" t="s">
        <v>3762</v>
      </c>
      <c r="K424" s="282">
        <v>45184</v>
      </c>
      <c r="L424" s="282">
        <v>45915</v>
      </c>
      <c r="M424" s="282">
        <v>45695</v>
      </c>
      <c r="N424" s="371">
        <v>1000000000</v>
      </c>
      <c r="O424" s="444" t="s">
        <v>3866</v>
      </c>
      <c r="P424" s="397">
        <v>1000000000</v>
      </c>
      <c r="Q424" s="397">
        <v>1000000000</v>
      </c>
      <c r="R424" s="397"/>
      <c r="S424" s="398">
        <f t="shared" si="19"/>
        <v>1000000000</v>
      </c>
      <c r="T424" s="353"/>
      <c r="U424" s="353">
        <f t="shared" si="20"/>
        <v>1000000000</v>
      </c>
      <c r="V424" s="399"/>
      <c r="W424" s="399"/>
      <c r="X424" s="400" t="s">
        <v>492</v>
      </c>
      <c r="Y424" s="400"/>
      <c r="Z424" s="283"/>
    </row>
    <row r="425" spans="2:26" ht="19.5" hidden="1" customHeight="1">
      <c r="B425" s="29">
        <f t="shared" si="18"/>
        <v>415</v>
      </c>
      <c r="C425" s="30" t="s">
        <v>206</v>
      </c>
      <c r="D425" s="30" t="s">
        <v>359</v>
      </c>
      <c r="E425" s="234" t="s">
        <v>919</v>
      </c>
      <c r="F425" s="235" t="s">
        <v>1323</v>
      </c>
      <c r="G425" s="284">
        <f>IFERROR(VLOOKUP(E425,Assign!$C$2:$J$142,8,FALSE),)</f>
        <v>0</v>
      </c>
      <c r="H425" s="279" t="s">
        <v>6489</v>
      </c>
      <c r="I425" s="280" t="s">
        <v>5832</v>
      </c>
      <c r="J425" s="281" t="s">
        <v>3773</v>
      </c>
      <c r="K425" s="282">
        <v>45365</v>
      </c>
      <c r="L425" s="282">
        <v>45730</v>
      </c>
      <c r="M425" s="282">
        <v>45695</v>
      </c>
      <c r="N425" s="371">
        <v>1000000000</v>
      </c>
      <c r="O425" s="444" t="s">
        <v>3866</v>
      </c>
      <c r="P425" s="397">
        <v>898450145</v>
      </c>
      <c r="Q425" s="397">
        <v>898450145</v>
      </c>
      <c r="R425" s="397"/>
      <c r="S425" s="398">
        <f t="shared" si="19"/>
        <v>898450145</v>
      </c>
      <c r="T425" s="353"/>
      <c r="U425" s="353">
        <f t="shared" si="20"/>
        <v>898450145</v>
      </c>
      <c r="V425" s="399"/>
      <c r="W425" s="399"/>
      <c r="X425" s="400" t="s">
        <v>492</v>
      </c>
      <c r="Y425" s="400"/>
      <c r="Z425" s="283"/>
    </row>
    <row r="426" spans="2:26" ht="19.5" hidden="1" customHeight="1">
      <c r="B426" s="29">
        <f t="shared" si="18"/>
        <v>416</v>
      </c>
      <c r="C426" s="30" t="s">
        <v>206</v>
      </c>
      <c r="D426" s="30" t="s">
        <v>359</v>
      </c>
      <c r="E426" s="234" t="s">
        <v>920</v>
      </c>
      <c r="F426" s="235" t="s">
        <v>1272</v>
      </c>
      <c r="G426" s="284">
        <f>IFERROR(VLOOKUP(E426,Assign!$C$2:$J$142,8,FALSE),)</f>
        <v>0</v>
      </c>
      <c r="H426" s="279" t="s">
        <v>6891</v>
      </c>
      <c r="I426" s="280" t="s">
        <v>5816</v>
      </c>
      <c r="J426" s="281" t="s">
        <v>3807</v>
      </c>
      <c r="K426" s="282">
        <v>44074</v>
      </c>
      <c r="L426" s="282">
        <v>45880</v>
      </c>
      <c r="M426" s="282">
        <v>45734</v>
      </c>
      <c r="N426" s="371">
        <v>990000000</v>
      </c>
      <c r="O426" s="444" t="s">
        <v>3866</v>
      </c>
      <c r="P426" s="397">
        <v>990000000</v>
      </c>
      <c r="Q426" s="397">
        <v>990000000</v>
      </c>
      <c r="R426" s="397"/>
      <c r="S426" s="398">
        <f t="shared" si="19"/>
        <v>990000000</v>
      </c>
      <c r="T426" s="353"/>
      <c r="U426" s="353">
        <f t="shared" si="20"/>
        <v>990000000</v>
      </c>
      <c r="V426" s="399"/>
      <c r="W426" s="399"/>
      <c r="X426" s="400" t="s">
        <v>492</v>
      </c>
      <c r="Y426" s="400"/>
      <c r="Z426" s="283"/>
    </row>
    <row r="427" spans="2:26" ht="19.5" hidden="1" customHeight="1">
      <c r="B427" s="29">
        <f t="shared" si="18"/>
        <v>417</v>
      </c>
      <c r="C427" s="30" t="s">
        <v>206</v>
      </c>
      <c r="D427" s="30" t="s">
        <v>359</v>
      </c>
      <c r="E427" s="234" t="s">
        <v>920</v>
      </c>
      <c r="F427" s="235" t="s">
        <v>1272</v>
      </c>
      <c r="G427" s="284">
        <f>IFERROR(VLOOKUP(E427,Assign!$C$2:$J$142,8,FALSE),)</f>
        <v>0</v>
      </c>
      <c r="H427" s="279" t="s">
        <v>6892</v>
      </c>
      <c r="I427" s="280" t="s">
        <v>6098</v>
      </c>
      <c r="J427" s="281" t="s">
        <v>3734</v>
      </c>
      <c r="K427" s="282">
        <v>44518</v>
      </c>
      <c r="L427" s="282">
        <v>45968</v>
      </c>
      <c r="M427" s="282">
        <v>45734</v>
      </c>
      <c r="N427" s="371">
        <v>300000000</v>
      </c>
      <c r="O427" s="444" t="s">
        <v>3866</v>
      </c>
      <c r="P427" s="397">
        <v>300000000</v>
      </c>
      <c r="Q427" s="397">
        <v>300000000</v>
      </c>
      <c r="R427" s="397"/>
      <c r="S427" s="398">
        <f t="shared" si="19"/>
        <v>300000000</v>
      </c>
      <c r="T427" s="353"/>
      <c r="U427" s="353">
        <f t="shared" si="20"/>
        <v>300000000</v>
      </c>
      <c r="V427" s="399"/>
      <c r="W427" s="399"/>
      <c r="X427" s="400" t="s">
        <v>492</v>
      </c>
      <c r="Y427" s="400"/>
      <c r="Z427" s="283"/>
    </row>
    <row r="428" spans="2:26" ht="19.5" hidden="1" customHeight="1">
      <c r="B428" s="29">
        <f t="shared" si="18"/>
        <v>418</v>
      </c>
      <c r="C428" s="30" t="s">
        <v>206</v>
      </c>
      <c r="D428" s="30" t="s">
        <v>359</v>
      </c>
      <c r="E428" s="234" t="s">
        <v>920</v>
      </c>
      <c r="F428" s="235" t="s">
        <v>1272</v>
      </c>
      <c r="G428" s="284">
        <f>IFERROR(VLOOKUP(E428,Assign!$C$2:$J$142,8,FALSE),)</f>
        <v>0</v>
      </c>
      <c r="H428" s="279" t="s">
        <v>6893</v>
      </c>
      <c r="I428" s="280" t="s">
        <v>5753</v>
      </c>
      <c r="J428" s="281" t="s">
        <v>3733</v>
      </c>
      <c r="K428" s="282">
        <v>45268</v>
      </c>
      <c r="L428" s="282">
        <v>45816</v>
      </c>
      <c r="M428" s="282">
        <v>45734</v>
      </c>
      <c r="N428" s="371">
        <v>1170000000</v>
      </c>
      <c r="O428" s="444" t="s">
        <v>3866</v>
      </c>
      <c r="P428" s="397">
        <v>1170000000</v>
      </c>
      <c r="Q428" s="397">
        <v>1170000000</v>
      </c>
      <c r="R428" s="397"/>
      <c r="S428" s="398">
        <f t="shared" si="19"/>
        <v>1170000000</v>
      </c>
      <c r="T428" s="353"/>
      <c r="U428" s="353">
        <f t="shared" si="20"/>
        <v>1170000000</v>
      </c>
      <c r="V428" s="399"/>
      <c r="W428" s="399"/>
      <c r="X428" s="400" t="s">
        <v>492</v>
      </c>
      <c r="Y428" s="400"/>
      <c r="Z428" s="283"/>
    </row>
    <row r="429" spans="2:26" ht="19.5" hidden="1" customHeight="1">
      <c r="B429" s="29">
        <f t="shared" si="18"/>
        <v>419</v>
      </c>
      <c r="C429" s="30" t="s">
        <v>206</v>
      </c>
      <c r="D429" s="30" t="s">
        <v>359</v>
      </c>
      <c r="E429" s="234" t="s">
        <v>920</v>
      </c>
      <c r="F429" s="235" t="s">
        <v>1272</v>
      </c>
      <c r="G429" s="284">
        <f>IFERROR(VLOOKUP(E429,Assign!$C$2:$J$142,8,FALSE),)</f>
        <v>0</v>
      </c>
      <c r="H429" s="279" t="s">
        <v>6894</v>
      </c>
      <c r="I429" s="280" t="s">
        <v>6104</v>
      </c>
      <c r="J429" s="281" t="s">
        <v>3733</v>
      </c>
      <c r="K429" s="282">
        <v>45268</v>
      </c>
      <c r="L429" s="282">
        <v>45816</v>
      </c>
      <c r="M429" s="282">
        <v>45734</v>
      </c>
      <c r="N429" s="371">
        <v>1470000000</v>
      </c>
      <c r="O429" s="444" t="s">
        <v>3866</v>
      </c>
      <c r="P429" s="397">
        <v>1470000000</v>
      </c>
      <c r="Q429" s="397">
        <v>1470000000</v>
      </c>
      <c r="R429" s="397"/>
      <c r="S429" s="398">
        <f t="shared" si="19"/>
        <v>1470000000</v>
      </c>
      <c r="T429" s="353"/>
      <c r="U429" s="353">
        <f t="shared" si="20"/>
        <v>1470000000</v>
      </c>
      <c r="V429" s="399"/>
      <c r="W429" s="399"/>
      <c r="X429" s="400" t="s">
        <v>492</v>
      </c>
      <c r="Y429" s="400"/>
      <c r="Z429" s="283"/>
    </row>
    <row r="430" spans="2:26" ht="19.5" hidden="1" customHeight="1">
      <c r="B430" s="29">
        <f t="shared" si="18"/>
        <v>420</v>
      </c>
      <c r="C430" s="30" t="s">
        <v>206</v>
      </c>
      <c r="D430" s="30" t="s">
        <v>359</v>
      </c>
      <c r="E430" s="234" t="s">
        <v>920</v>
      </c>
      <c r="F430" s="235" t="s">
        <v>1272</v>
      </c>
      <c r="G430" s="284">
        <f>IFERROR(VLOOKUP(E430,Assign!$C$2:$J$142,8,FALSE),)</f>
        <v>0</v>
      </c>
      <c r="H430" s="279" t="s">
        <v>6895</v>
      </c>
      <c r="I430" s="280" t="s">
        <v>6105</v>
      </c>
      <c r="J430" s="281" t="s">
        <v>3754</v>
      </c>
      <c r="K430" s="282">
        <v>45289</v>
      </c>
      <c r="L430" s="282">
        <v>46385</v>
      </c>
      <c r="M430" s="282">
        <v>45748</v>
      </c>
      <c r="N430" s="371">
        <v>120000000</v>
      </c>
      <c r="O430" s="444" t="s">
        <v>3866</v>
      </c>
      <c r="P430" s="397">
        <v>73333326</v>
      </c>
      <c r="Q430" s="397">
        <v>73333326</v>
      </c>
      <c r="R430" s="397"/>
      <c r="S430" s="398">
        <f t="shared" si="19"/>
        <v>73333326</v>
      </c>
      <c r="T430" s="353"/>
      <c r="U430" s="353">
        <f t="shared" si="20"/>
        <v>73333326</v>
      </c>
      <c r="V430" s="399"/>
      <c r="W430" s="399"/>
      <c r="X430" s="400" t="s">
        <v>492</v>
      </c>
      <c r="Y430" s="400"/>
      <c r="Z430" s="283"/>
    </row>
    <row r="431" spans="2:26" ht="19.5" hidden="1" customHeight="1">
      <c r="B431" s="29">
        <f t="shared" si="18"/>
        <v>421</v>
      </c>
      <c r="C431" s="30" t="s">
        <v>206</v>
      </c>
      <c r="D431" s="30" t="s">
        <v>359</v>
      </c>
      <c r="E431" s="234" t="s">
        <v>921</v>
      </c>
      <c r="F431" s="235" t="s">
        <v>1273</v>
      </c>
      <c r="G431" s="284">
        <f>IFERROR(VLOOKUP(E431,Assign!$C$2:$J$142,8,FALSE),)</f>
        <v>0</v>
      </c>
      <c r="H431" s="279" t="s">
        <v>6873</v>
      </c>
      <c r="I431" s="280" t="s">
        <v>6094</v>
      </c>
      <c r="J431" s="281" t="s">
        <v>3736</v>
      </c>
      <c r="K431" s="282">
        <v>44330</v>
      </c>
      <c r="L431" s="282">
        <v>45738</v>
      </c>
      <c r="M431" s="282">
        <v>45699</v>
      </c>
      <c r="N431" s="371">
        <v>20000000</v>
      </c>
      <c r="O431" s="444" t="s">
        <v>3866</v>
      </c>
      <c r="P431" s="397">
        <v>20000000</v>
      </c>
      <c r="Q431" s="397">
        <v>20000000</v>
      </c>
      <c r="R431" s="397"/>
      <c r="S431" s="398">
        <f t="shared" si="19"/>
        <v>20000000</v>
      </c>
      <c r="T431" s="353"/>
      <c r="U431" s="353">
        <f t="shared" si="20"/>
        <v>20000000</v>
      </c>
      <c r="V431" s="399"/>
      <c r="W431" s="399"/>
      <c r="X431" s="400" t="s">
        <v>492</v>
      </c>
      <c r="Y431" s="400"/>
      <c r="Z431" s="283"/>
    </row>
    <row r="432" spans="2:26" ht="19.5" hidden="1" customHeight="1">
      <c r="B432" s="29">
        <f t="shared" si="18"/>
        <v>422</v>
      </c>
      <c r="C432" s="30" t="s">
        <v>206</v>
      </c>
      <c r="D432" s="30" t="s">
        <v>359</v>
      </c>
      <c r="E432" s="234" t="s">
        <v>921</v>
      </c>
      <c r="F432" s="235" t="s">
        <v>1273</v>
      </c>
      <c r="G432" s="284">
        <f>IFERROR(VLOOKUP(E432,Assign!$C$2:$J$142,8,FALSE),)</f>
        <v>0</v>
      </c>
      <c r="H432" s="279" t="s">
        <v>6874</v>
      </c>
      <c r="I432" s="280" t="s">
        <v>6095</v>
      </c>
      <c r="J432" s="281" t="s">
        <v>3802</v>
      </c>
      <c r="K432" s="282">
        <v>44565</v>
      </c>
      <c r="L432" s="282">
        <v>45751</v>
      </c>
      <c r="M432" s="282">
        <v>45692</v>
      </c>
      <c r="N432" s="371">
        <v>3128000000</v>
      </c>
      <c r="O432" s="444" t="s">
        <v>3866</v>
      </c>
      <c r="P432" s="397">
        <v>3128000000</v>
      </c>
      <c r="Q432" s="397">
        <v>3128000000</v>
      </c>
      <c r="R432" s="397"/>
      <c r="S432" s="398">
        <f t="shared" si="19"/>
        <v>3128000000</v>
      </c>
      <c r="T432" s="353"/>
      <c r="U432" s="353">
        <f t="shared" si="20"/>
        <v>3128000000</v>
      </c>
      <c r="V432" s="399"/>
      <c r="W432" s="399"/>
      <c r="X432" s="400" t="s">
        <v>492</v>
      </c>
      <c r="Y432" s="400"/>
      <c r="Z432" s="283"/>
    </row>
    <row r="433" spans="2:26" ht="19.5" hidden="1" customHeight="1">
      <c r="B433" s="29">
        <f t="shared" si="18"/>
        <v>423</v>
      </c>
      <c r="C433" s="30" t="s">
        <v>206</v>
      </c>
      <c r="D433" s="30" t="s">
        <v>359</v>
      </c>
      <c r="E433" s="234" t="s">
        <v>921</v>
      </c>
      <c r="F433" s="235" t="s">
        <v>1273</v>
      </c>
      <c r="G433" s="284">
        <f>IFERROR(VLOOKUP(E433,Assign!$C$2:$J$142,8,FALSE),)</f>
        <v>0</v>
      </c>
      <c r="H433" s="279" t="s">
        <v>6875</v>
      </c>
      <c r="I433" s="280" t="s">
        <v>6096</v>
      </c>
      <c r="J433" s="281" t="s">
        <v>3803</v>
      </c>
      <c r="K433" s="282">
        <v>44796</v>
      </c>
      <c r="L433" s="282">
        <v>46622</v>
      </c>
      <c r="M433" s="282">
        <v>45681</v>
      </c>
      <c r="N433" s="371">
        <v>300000000</v>
      </c>
      <c r="O433" s="444" t="s">
        <v>3866</v>
      </c>
      <c r="P433" s="397">
        <v>300000000</v>
      </c>
      <c r="Q433" s="397">
        <v>300000000</v>
      </c>
      <c r="R433" s="397"/>
      <c r="S433" s="398">
        <f t="shared" si="19"/>
        <v>300000000</v>
      </c>
      <c r="T433" s="353"/>
      <c r="U433" s="353">
        <f t="shared" si="20"/>
        <v>300000000</v>
      </c>
      <c r="V433" s="399"/>
      <c r="W433" s="399"/>
      <c r="X433" s="400" t="s">
        <v>492</v>
      </c>
      <c r="Y433" s="400"/>
      <c r="Z433" s="283"/>
    </row>
    <row r="434" spans="2:26" ht="19.5" hidden="1" customHeight="1">
      <c r="B434" s="29">
        <f t="shared" si="18"/>
        <v>424</v>
      </c>
      <c r="C434" s="30" t="s">
        <v>206</v>
      </c>
      <c r="D434" s="30" t="s">
        <v>359</v>
      </c>
      <c r="E434" s="234" t="s">
        <v>921</v>
      </c>
      <c r="F434" s="235" t="s">
        <v>1273</v>
      </c>
      <c r="G434" s="284">
        <f>IFERROR(VLOOKUP(E434,Assign!$C$2:$J$142,8,FALSE),)</f>
        <v>0</v>
      </c>
      <c r="H434" s="279" t="s">
        <v>6876</v>
      </c>
      <c r="I434" s="280" t="s">
        <v>6097</v>
      </c>
      <c r="J434" s="281" t="s">
        <v>3734</v>
      </c>
      <c r="K434" s="282">
        <v>45007</v>
      </c>
      <c r="L434" s="282">
        <v>45738</v>
      </c>
      <c r="M434" s="282">
        <v>45681</v>
      </c>
      <c r="N434" s="371">
        <v>350000000</v>
      </c>
      <c r="O434" s="444" t="s">
        <v>3866</v>
      </c>
      <c r="P434" s="397">
        <v>350000000</v>
      </c>
      <c r="Q434" s="397">
        <v>350000000</v>
      </c>
      <c r="R434" s="397"/>
      <c r="S434" s="398">
        <f t="shared" si="19"/>
        <v>350000000</v>
      </c>
      <c r="T434" s="353"/>
      <c r="U434" s="353">
        <f t="shared" si="20"/>
        <v>350000000</v>
      </c>
      <c r="V434" s="399"/>
      <c r="W434" s="399"/>
      <c r="X434" s="400" t="s">
        <v>492</v>
      </c>
      <c r="Y434" s="400"/>
      <c r="Z434" s="283"/>
    </row>
    <row r="435" spans="2:26" ht="19.5" hidden="1" customHeight="1">
      <c r="B435" s="29">
        <f t="shared" si="18"/>
        <v>425</v>
      </c>
      <c r="C435" s="30" t="s">
        <v>206</v>
      </c>
      <c r="D435" s="30" t="s">
        <v>359</v>
      </c>
      <c r="E435" s="234" t="s">
        <v>921</v>
      </c>
      <c r="F435" s="235" t="s">
        <v>1273</v>
      </c>
      <c r="G435" s="284">
        <f>IFERROR(VLOOKUP(E435,Assign!$C$2:$J$142,8,FALSE),)</f>
        <v>0</v>
      </c>
      <c r="H435" s="279" t="s">
        <v>6877</v>
      </c>
      <c r="I435" s="280" t="s">
        <v>6098</v>
      </c>
      <c r="J435" s="281" t="s">
        <v>3734</v>
      </c>
      <c r="K435" s="282">
        <v>45048</v>
      </c>
      <c r="L435" s="282">
        <v>45738</v>
      </c>
      <c r="M435" s="282">
        <v>45681</v>
      </c>
      <c r="N435" s="371">
        <v>93000000</v>
      </c>
      <c r="O435" s="444" t="s">
        <v>3866</v>
      </c>
      <c r="P435" s="397">
        <v>93000000</v>
      </c>
      <c r="Q435" s="397">
        <v>93000000</v>
      </c>
      <c r="R435" s="397"/>
      <c r="S435" s="398">
        <f t="shared" si="19"/>
        <v>93000000</v>
      </c>
      <c r="T435" s="353"/>
      <c r="U435" s="353">
        <f t="shared" si="20"/>
        <v>93000000</v>
      </c>
      <c r="V435" s="399"/>
      <c r="W435" s="399"/>
      <c r="X435" s="400" t="s">
        <v>492</v>
      </c>
      <c r="Y435" s="400"/>
      <c r="Z435" s="283"/>
    </row>
    <row r="436" spans="2:26" ht="19.5" hidden="1" customHeight="1">
      <c r="B436" s="29">
        <f t="shared" si="18"/>
        <v>426</v>
      </c>
      <c r="C436" s="30" t="s">
        <v>206</v>
      </c>
      <c r="D436" s="30" t="s">
        <v>359</v>
      </c>
      <c r="E436" s="234" t="s">
        <v>922</v>
      </c>
      <c r="F436" s="235" t="s">
        <v>1324</v>
      </c>
      <c r="G436" s="284">
        <f>IFERROR(VLOOKUP(E436,Assign!$C$2:$J$142,8,FALSE),)</f>
        <v>0</v>
      </c>
      <c r="H436" s="279" t="s">
        <v>7001</v>
      </c>
      <c r="I436" s="280" t="s">
        <v>6159</v>
      </c>
      <c r="J436" s="281" t="s">
        <v>3764</v>
      </c>
      <c r="K436" s="282">
        <v>44102</v>
      </c>
      <c r="L436" s="282">
        <v>45716</v>
      </c>
      <c r="M436" s="282">
        <v>45703</v>
      </c>
      <c r="N436" s="371">
        <v>1590000000</v>
      </c>
      <c r="O436" s="444" t="s">
        <v>3866</v>
      </c>
      <c r="P436" s="397">
        <v>1590000000</v>
      </c>
      <c r="Q436" s="397">
        <v>1590000000</v>
      </c>
      <c r="R436" s="397"/>
      <c r="S436" s="398">
        <f t="shared" si="19"/>
        <v>1590000000</v>
      </c>
      <c r="T436" s="353"/>
      <c r="U436" s="353">
        <f t="shared" si="20"/>
        <v>1590000000</v>
      </c>
      <c r="V436" s="399"/>
      <c r="W436" s="399"/>
      <c r="X436" s="400" t="s">
        <v>492</v>
      </c>
      <c r="Y436" s="400"/>
      <c r="Z436" s="283"/>
    </row>
    <row r="437" spans="2:26" ht="19.5" hidden="1" customHeight="1">
      <c r="B437" s="29">
        <f t="shared" si="18"/>
        <v>427</v>
      </c>
      <c r="C437" s="30" t="s">
        <v>206</v>
      </c>
      <c r="D437" s="30" t="s">
        <v>359</v>
      </c>
      <c r="E437" s="234" t="s">
        <v>922</v>
      </c>
      <c r="F437" s="235" t="s">
        <v>1324</v>
      </c>
      <c r="G437" s="284">
        <f>IFERROR(VLOOKUP(E437,Assign!$C$2:$J$142,8,FALSE),)</f>
        <v>0</v>
      </c>
      <c r="H437" s="279" t="s">
        <v>7002</v>
      </c>
      <c r="I437" s="280" t="s">
        <v>6160</v>
      </c>
      <c r="J437" s="281" t="s">
        <v>3764</v>
      </c>
      <c r="K437" s="282">
        <v>44133</v>
      </c>
      <c r="L437" s="282">
        <v>45716</v>
      </c>
      <c r="M437" s="282">
        <v>45703</v>
      </c>
      <c r="N437" s="371">
        <v>555000000</v>
      </c>
      <c r="O437" s="444" t="s">
        <v>3866</v>
      </c>
      <c r="P437" s="397">
        <v>555000000</v>
      </c>
      <c r="Q437" s="397">
        <v>555000000</v>
      </c>
      <c r="R437" s="397"/>
      <c r="S437" s="398">
        <f t="shared" si="19"/>
        <v>555000000</v>
      </c>
      <c r="T437" s="353"/>
      <c r="U437" s="353">
        <f t="shared" si="20"/>
        <v>555000000</v>
      </c>
      <c r="V437" s="399"/>
      <c r="W437" s="399"/>
      <c r="X437" s="400" t="s">
        <v>492</v>
      </c>
      <c r="Y437" s="400"/>
      <c r="Z437" s="283"/>
    </row>
    <row r="438" spans="2:26" ht="19.5" hidden="1" customHeight="1">
      <c r="B438" s="29">
        <f t="shared" si="18"/>
        <v>428</v>
      </c>
      <c r="C438" s="30" t="s">
        <v>206</v>
      </c>
      <c r="D438" s="30" t="s">
        <v>359</v>
      </c>
      <c r="E438" s="234" t="s">
        <v>923</v>
      </c>
      <c r="F438" s="235" t="s">
        <v>1325</v>
      </c>
      <c r="G438" s="284">
        <f>IFERROR(VLOOKUP(E438,Assign!$C$2:$J$142,8,FALSE),)</f>
        <v>0</v>
      </c>
      <c r="H438" s="279" t="s">
        <v>6921</v>
      </c>
      <c r="I438" s="280" t="s">
        <v>6117</v>
      </c>
      <c r="J438" s="281" t="s">
        <v>3734</v>
      </c>
      <c r="K438" s="282">
        <v>43979</v>
      </c>
      <c r="L438" s="282">
        <v>45800</v>
      </c>
      <c r="M438" s="282">
        <v>45695</v>
      </c>
      <c r="N438" s="371">
        <v>300000000</v>
      </c>
      <c r="O438" s="444" t="s">
        <v>3866</v>
      </c>
      <c r="P438" s="397">
        <v>30000000</v>
      </c>
      <c r="Q438" s="397">
        <v>30000000</v>
      </c>
      <c r="R438" s="397"/>
      <c r="S438" s="398">
        <f t="shared" si="19"/>
        <v>30000000</v>
      </c>
      <c r="T438" s="353"/>
      <c r="U438" s="353">
        <f t="shared" si="20"/>
        <v>30000000</v>
      </c>
      <c r="V438" s="399"/>
      <c r="W438" s="399"/>
      <c r="X438" s="400" t="s">
        <v>492</v>
      </c>
      <c r="Y438" s="400"/>
      <c r="Z438" s="283"/>
    </row>
    <row r="439" spans="2:26" ht="19.5" hidden="1" customHeight="1">
      <c r="B439" s="29">
        <f t="shared" si="18"/>
        <v>429</v>
      </c>
      <c r="C439" s="30" t="s">
        <v>206</v>
      </c>
      <c r="D439" s="30" t="s">
        <v>359</v>
      </c>
      <c r="E439" s="234" t="s">
        <v>923</v>
      </c>
      <c r="F439" s="235" t="s">
        <v>1325</v>
      </c>
      <c r="G439" s="284">
        <f>IFERROR(VLOOKUP(E439,Assign!$C$2:$J$142,8,FALSE),)</f>
        <v>0</v>
      </c>
      <c r="H439" s="279" t="s">
        <v>6922</v>
      </c>
      <c r="I439" s="280" t="s">
        <v>5903</v>
      </c>
      <c r="J439" s="281" t="s">
        <v>3774</v>
      </c>
      <c r="K439" s="282">
        <v>44076</v>
      </c>
      <c r="L439" s="282">
        <v>48817</v>
      </c>
      <c r="M439" s="282">
        <v>45695</v>
      </c>
      <c r="N439" s="371">
        <v>680000000</v>
      </c>
      <c r="O439" s="444" t="s">
        <v>3866</v>
      </c>
      <c r="P439" s="397">
        <v>210988866</v>
      </c>
      <c r="Q439" s="397">
        <v>210988866</v>
      </c>
      <c r="R439" s="397"/>
      <c r="S439" s="398">
        <f t="shared" si="19"/>
        <v>210988866</v>
      </c>
      <c r="T439" s="353"/>
      <c r="U439" s="353">
        <f t="shared" si="20"/>
        <v>210988866</v>
      </c>
      <c r="V439" s="399"/>
      <c r="W439" s="399"/>
      <c r="X439" s="400" t="s">
        <v>492</v>
      </c>
      <c r="Y439" s="400"/>
      <c r="Z439" s="283"/>
    </row>
    <row r="440" spans="2:26" ht="19.5" hidden="1" customHeight="1">
      <c r="B440" s="29">
        <f t="shared" si="18"/>
        <v>430</v>
      </c>
      <c r="C440" s="30" t="s">
        <v>206</v>
      </c>
      <c r="D440" s="30" t="s">
        <v>359</v>
      </c>
      <c r="E440" s="234" t="s">
        <v>923</v>
      </c>
      <c r="F440" s="235" t="s">
        <v>1325</v>
      </c>
      <c r="G440" s="284">
        <f>IFERROR(VLOOKUP(E440,Assign!$C$2:$J$142,8,FALSE),)</f>
        <v>0</v>
      </c>
      <c r="H440" s="279" t="s">
        <v>6923</v>
      </c>
      <c r="I440" s="280" t="s">
        <v>6118</v>
      </c>
      <c r="J440" s="281" t="s">
        <v>3748</v>
      </c>
      <c r="K440" s="282">
        <v>44651</v>
      </c>
      <c r="L440" s="282">
        <v>45744</v>
      </c>
      <c r="M440" s="282">
        <v>45695</v>
      </c>
      <c r="N440" s="371">
        <v>300000000</v>
      </c>
      <c r="O440" s="444" t="s">
        <v>3866</v>
      </c>
      <c r="P440" s="397">
        <v>15000000</v>
      </c>
      <c r="Q440" s="397">
        <v>15000000</v>
      </c>
      <c r="R440" s="397"/>
      <c r="S440" s="398">
        <f t="shared" si="19"/>
        <v>15000000</v>
      </c>
      <c r="T440" s="353"/>
      <c r="U440" s="353">
        <f t="shared" si="20"/>
        <v>15000000</v>
      </c>
      <c r="V440" s="399"/>
      <c r="W440" s="399"/>
      <c r="X440" s="400" t="s">
        <v>492</v>
      </c>
      <c r="Y440" s="400"/>
      <c r="Z440" s="283"/>
    </row>
    <row r="441" spans="2:26" ht="19.5" hidden="1" customHeight="1">
      <c r="B441" s="29">
        <f t="shared" si="18"/>
        <v>431</v>
      </c>
      <c r="C441" s="30" t="s">
        <v>206</v>
      </c>
      <c r="D441" s="30" t="s">
        <v>359</v>
      </c>
      <c r="E441" s="234" t="s">
        <v>923</v>
      </c>
      <c r="F441" s="235" t="s">
        <v>1325</v>
      </c>
      <c r="G441" s="284">
        <f>IFERROR(VLOOKUP(E441,Assign!$C$2:$J$142,8,FALSE),)</f>
        <v>0</v>
      </c>
      <c r="H441" s="279" t="s">
        <v>6924</v>
      </c>
      <c r="I441" s="280" t="s">
        <v>6119</v>
      </c>
      <c r="J441" s="281" t="s">
        <v>3748</v>
      </c>
      <c r="K441" s="282">
        <v>44827</v>
      </c>
      <c r="L441" s="282">
        <v>45923</v>
      </c>
      <c r="M441" s="282">
        <v>45695</v>
      </c>
      <c r="N441" s="371">
        <v>220000000</v>
      </c>
      <c r="O441" s="444" t="s">
        <v>3866</v>
      </c>
      <c r="P441" s="397">
        <v>220000000</v>
      </c>
      <c r="Q441" s="397">
        <v>220000000</v>
      </c>
      <c r="R441" s="397"/>
      <c r="S441" s="398">
        <f t="shared" si="19"/>
        <v>220000000</v>
      </c>
      <c r="T441" s="353"/>
      <c r="U441" s="353">
        <f t="shared" si="20"/>
        <v>220000000</v>
      </c>
      <c r="V441" s="399"/>
      <c r="W441" s="399"/>
      <c r="X441" s="400" t="s">
        <v>492</v>
      </c>
      <c r="Y441" s="400"/>
      <c r="Z441" s="283"/>
    </row>
    <row r="442" spans="2:26" ht="19.5" hidden="1" customHeight="1">
      <c r="B442" s="29">
        <f t="shared" si="18"/>
        <v>432</v>
      </c>
      <c r="C442" s="30" t="s">
        <v>206</v>
      </c>
      <c r="D442" s="30" t="s">
        <v>359</v>
      </c>
      <c r="E442" s="234" t="s">
        <v>923</v>
      </c>
      <c r="F442" s="235" t="s">
        <v>1325</v>
      </c>
      <c r="G442" s="284">
        <f>IFERROR(VLOOKUP(E442,Assign!$C$2:$J$142,8,FALSE),)</f>
        <v>0</v>
      </c>
      <c r="H442" s="279" t="s">
        <v>6925</v>
      </c>
      <c r="I442" s="280" t="s">
        <v>6120</v>
      </c>
      <c r="J442" s="281" t="s">
        <v>3745</v>
      </c>
      <c r="K442" s="282">
        <v>45400</v>
      </c>
      <c r="L442" s="282">
        <v>46009</v>
      </c>
      <c r="M442" s="282">
        <v>45695</v>
      </c>
      <c r="N442" s="371">
        <v>100000000</v>
      </c>
      <c r="O442" s="444" t="s">
        <v>3866</v>
      </c>
      <c r="P442" s="397">
        <v>55000000</v>
      </c>
      <c r="Q442" s="397">
        <v>55000000</v>
      </c>
      <c r="R442" s="397"/>
      <c r="S442" s="398">
        <f t="shared" si="19"/>
        <v>55000000</v>
      </c>
      <c r="T442" s="353"/>
      <c r="U442" s="353">
        <f t="shared" si="20"/>
        <v>55000000</v>
      </c>
      <c r="V442" s="399"/>
      <c r="W442" s="399"/>
      <c r="X442" s="400" t="s">
        <v>492</v>
      </c>
      <c r="Y442" s="400"/>
      <c r="Z442" s="283"/>
    </row>
    <row r="443" spans="2:26" ht="19.5" hidden="1" customHeight="1">
      <c r="B443" s="29">
        <f t="shared" si="18"/>
        <v>433</v>
      </c>
      <c r="C443" s="30" t="s">
        <v>206</v>
      </c>
      <c r="D443" s="30" t="s">
        <v>359</v>
      </c>
      <c r="E443" s="234" t="s">
        <v>924</v>
      </c>
      <c r="F443" s="235" t="s">
        <v>1247</v>
      </c>
      <c r="G443" s="284" t="str">
        <f>IFERROR(VLOOKUP(E443,Assign!$C$2:$J$142,8,FALSE),)</f>
        <v>문선영</v>
      </c>
      <c r="H443" s="279" t="s">
        <v>6331</v>
      </c>
      <c r="I443" s="280" t="s">
        <v>5705</v>
      </c>
      <c r="J443" s="281" t="s">
        <v>3740</v>
      </c>
      <c r="K443" s="282">
        <v>44676</v>
      </c>
      <c r="L443" s="282">
        <v>45772</v>
      </c>
      <c r="M443" s="282">
        <v>45622</v>
      </c>
      <c r="N443" s="371">
        <v>520000000</v>
      </c>
      <c r="O443" s="444" t="s">
        <v>3866</v>
      </c>
      <c r="P443" s="397">
        <v>520000000</v>
      </c>
      <c r="Q443" s="397">
        <v>520000000</v>
      </c>
      <c r="R443" s="397"/>
      <c r="S443" s="398">
        <f t="shared" si="19"/>
        <v>520000000</v>
      </c>
      <c r="T443" s="353"/>
      <c r="U443" s="353">
        <f t="shared" si="20"/>
        <v>520000000</v>
      </c>
      <c r="V443" s="399"/>
      <c r="W443" s="399"/>
      <c r="X443" s="400" t="s">
        <v>492</v>
      </c>
      <c r="Y443" s="400"/>
      <c r="Z443" s="283"/>
    </row>
    <row r="444" spans="2:26" ht="19.5" hidden="1" customHeight="1">
      <c r="B444" s="29">
        <f t="shared" si="18"/>
        <v>434</v>
      </c>
      <c r="C444" s="30" t="s">
        <v>206</v>
      </c>
      <c r="D444" s="30" t="s">
        <v>359</v>
      </c>
      <c r="E444" s="234" t="s">
        <v>924</v>
      </c>
      <c r="F444" s="235" t="s">
        <v>1247</v>
      </c>
      <c r="G444" s="284" t="str">
        <f>IFERROR(VLOOKUP(E444,Assign!$C$2:$J$142,8,FALSE),)</f>
        <v>문선영</v>
      </c>
      <c r="H444" s="279" t="s">
        <v>6332</v>
      </c>
      <c r="I444" s="280" t="s">
        <v>5706</v>
      </c>
      <c r="J444" s="281" t="s">
        <v>3760</v>
      </c>
      <c r="K444" s="282">
        <v>45056</v>
      </c>
      <c r="L444" s="282">
        <v>45787</v>
      </c>
      <c r="M444" s="282">
        <v>45609</v>
      </c>
      <c r="N444" s="371">
        <v>450000000</v>
      </c>
      <c r="O444" s="444" t="s">
        <v>3866</v>
      </c>
      <c r="P444" s="397">
        <v>450000000</v>
      </c>
      <c r="Q444" s="397">
        <v>450000000</v>
      </c>
      <c r="R444" s="397"/>
      <c r="S444" s="398">
        <f t="shared" si="19"/>
        <v>450000000</v>
      </c>
      <c r="T444" s="353"/>
      <c r="U444" s="353">
        <f t="shared" si="20"/>
        <v>450000000</v>
      </c>
      <c r="V444" s="399"/>
      <c r="W444" s="399"/>
      <c r="X444" s="400" t="s">
        <v>492</v>
      </c>
      <c r="Y444" s="400"/>
      <c r="Z444" s="283"/>
    </row>
    <row r="445" spans="2:26" ht="19.5" hidden="1" customHeight="1">
      <c r="B445" s="29">
        <f t="shared" si="18"/>
        <v>435</v>
      </c>
      <c r="C445" s="30" t="s">
        <v>206</v>
      </c>
      <c r="D445" s="30" t="s">
        <v>359</v>
      </c>
      <c r="E445" s="234" t="s">
        <v>925</v>
      </c>
      <c r="F445" s="235" t="s">
        <v>1326</v>
      </c>
      <c r="G445" s="284">
        <f>IFERROR(VLOOKUP(E445,Assign!$C$2:$J$142,8,FALSE),)</f>
        <v>0</v>
      </c>
      <c r="H445" s="279" t="s">
        <v>7088</v>
      </c>
      <c r="I445" s="280" t="s">
        <v>5633</v>
      </c>
      <c r="J445" s="281" t="s">
        <v>3764</v>
      </c>
      <c r="K445" s="282">
        <v>44687</v>
      </c>
      <c r="L445" s="282">
        <v>45783</v>
      </c>
      <c r="M445" s="282">
        <v>45695</v>
      </c>
      <c r="N445" s="371">
        <v>300000000</v>
      </c>
      <c r="O445" s="444" t="s">
        <v>3866</v>
      </c>
      <c r="P445" s="397">
        <v>300000000</v>
      </c>
      <c r="Q445" s="397">
        <v>300000000</v>
      </c>
      <c r="R445" s="397"/>
      <c r="S445" s="398">
        <f t="shared" si="19"/>
        <v>300000000</v>
      </c>
      <c r="T445" s="353"/>
      <c r="U445" s="353">
        <f t="shared" si="20"/>
        <v>300000000</v>
      </c>
      <c r="V445" s="399"/>
      <c r="W445" s="399"/>
      <c r="X445" s="400" t="s">
        <v>492</v>
      </c>
      <c r="Y445" s="400"/>
      <c r="Z445" s="283"/>
    </row>
    <row r="446" spans="2:26" ht="19.5" hidden="1" customHeight="1">
      <c r="B446" s="29">
        <f t="shared" si="18"/>
        <v>436</v>
      </c>
      <c r="C446" s="30" t="s">
        <v>206</v>
      </c>
      <c r="D446" s="30" t="s">
        <v>359</v>
      </c>
      <c r="E446" s="234" t="s">
        <v>926</v>
      </c>
      <c r="F446" s="235" t="s">
        <v>1225</v>
      </c>
      <c r="G446" s="284" t="str">
        <f>IFERROR(VLOOKUP(E446,Assign!$C$2:$J$142,8,FALSE),)</f>
        <v>문선영</v>
      </c>
      <c r="H446" s="279" t="s">
        <v>6676</v>
      </c>
      <c r="I446" s="280" t="s">
        <v>5979</v>
      </c>
      <c r="J446" s="281" t="s">
        <v>3734</v>
      </c>
      <c r="K446" s="282">
        <v>44529</v>
      </c>
      <c r="L446" s="282">
        <v>45990</v>
      </c>
      <c r="M446" s="282">
        <v>45643</v>
      </c>
      <c r="N446" s="371">
        <v>230000000</v>
      </c>
      <c r="O446" s="444" t="s">
        <v>3866</v>
      </c>
      <c r="P446" s="397">
        <v>229260115</v>
      </c>
      <c r="Q446" s="397">
        <v>229260115</v>
      </c>
      <c r="R446" s="397"/>
      <c r="S446" s="398">
        <f t="shared" si="19"/>
        <v>229260115</v>
      </c>
      <c r="T446" s="353"/>
      <c r="U446" s="353">
        <f t="shared" si="20"/>
        <v>229260115</v>
      </c>
      <c r="V446" s="399"/>
      <c r="W446" s="399"/>
      <c r="X446" s="400" t="s">
        <v>492</v>
      </c>
      <c r="Y446" s="400"/>
      <c r="Z446" s="283"/>
    </row>
    <row r="447" spans="2:26" ht="19.5" hidden="1" customHeight="1">
      <c r="B447" s="29">
        <f t="shared" si="18"/>
        <v>437</v>
      </c>
      <c r="C447" s="30" t="s">
        <v>206</v>
      </c>
      <c r="D447" s="30" t="s">
        <v>359</v>
      </c>
      <c r="E447" s="234" t="s">
        <v>927</v>
      </c>
      <c r="F447" s="235" t="s">
        <v>1232</v>
      </c>
      <c r="G447" s="284">
        <f>IFERROR(VLOOKUP(E447,Assign!$C$2:$J$142,8,FALSE),)</f>
        <v>0</v>
      </c>
      <c r="H447" s="279" t="s">
        <v>6411</v>
      </c>
      <c r="I447" s="280" t="s">
        <v>5771</v>
      </c>
      <c r="J447" s="281" t="s">
        <v>3735</v>
      </c>
      <c r="K447" s="282">
        <v>43686</v>
      </c>
      <c r="L447" s="282">
        <v>54644</v>
      </c>
      <c r="M447" s="282">
        <v>45727</v>
      </c>
      <c r="N447" s="371">
        <v>260000000</v>
      </c>
      <c r="O447" s="444" t="s">
        <v>3866</v>
      </c>
      <c r="P447" s="397">
        <v>212333268</v>
      </c>
      <c r="Q447" s="397">
        <v>212333268</v>
      </c>
      <c r="R447" s="397"/>
      <c r="S447" s="398">
        <f t="shared" si="19"/>
        <v>212333268</v>
      </c>
      <c r="T447" s="353"/>
      <c r="U447" s="353">
        <f t="shared" si="20"/>
        <v>212333268</v>
      </c>
      <c r="V447" s="399"/>
      <c r="W447" s="399"/>
      <c r="X447" s="400" t="s">
        <v>492</v>
      </c>
      <c r="Y447" s="400"/>
      <c r="Z447" s="283"/>
    </row>
    <row r="448" spans="2:26" ht="19.5" hidden="1" customHeight="1">
      <c r="B448" s="29">
        <f t="shared" si="18"/>
        <v>438</v>
      </c>
      <c r="C448" s="30" t="s">
        <v>206</v>
      </c>
      <c r="D448" s="30" t="s">
        <v>359</v>
      </c>
      <c r="E448" s="234" t="s">
        <v>7148</v>
      </c>
      <c r="F448" s="235" t="s">
        <v>7149</v>
      </c>
      <c r="G448" s="284" t="str">
        <f>IFERROR(VLOOKUP(E448,Assign!$C$2:$J$142,8,FALSE),)</f>
        <v>문선영</v>
      </c>
      <c r="H448" s="279" t="s">
        <v>7125</v>
      </c>
      <c r="I448" s="280" t="s">
        <v>6213</v>
      </c>
      <c r="J448" s="281" t="s">
        <v>3736</v>
      </c>
      <c r="K448" s="282">
        <v>44369</v>
      </c>
      <c r="L448" s="282">
        <v>45830</v>
      </c>
      <c r="M448" s="282" t="s">
        <v>203</v>
      </c>
      <c r="N448" s="371">
        <v>200000000</v>
      </c>
      <c r="O448" s="444" t="s">
        <v>3866</v>
      </c>
      <c r="P448" s="397">
        <v>199999900</v>
      </c>
      <c r="Q448" s="397">
        <v>199999900</v>
      </c>
      <c r="R448" s="397"/>
      <c r="S448" s="398">
        <f t="shared" si="19"/>
        <v>199999900</v>
      </c>
      <c r="T448" s="353"/>
      <c r="U448" s="353">
        <f t="shared" si="20"/>
        <v>199999900</v>
      </c>
      <c r="V448" s="399"/>
      <c r="W448" s="399"/>
      <c r="X448" s="400" t="s">
        <v>492</v>
      </c>
      <c r="Y448" s="400"/>
      <c r="Z448" s="283"/>
    </row>
    <row r="449" spans="2:26" ht="19.5" hidden="1" customHeight="1">
      <c r="B449" s="29">
        <f t="shared" si="18"/>
        <v>439</v>
      </c>
      <c r="C449" s="30" t="s">
        <v>206</v>
      </c>
      <c r="D449" s="30" t="s">
        <v>359</v>
      </c>
      <c r="E449" s="234" t="s">
        <v>7148</v>
      </c>
      <c r="F449" s="235" t="s">
        <v>7149</v>
      </c>
      <c r="G449" s="284" t="str">
        <f>IFERROR(VLOOKUP(E449,Assign!$C$2:$J$142,8,FALSE),)</f>
        <v>문선영</v>
      </c>
      <c r="H449" s="279" t="s">
        <v>7126</v>
      </c>
      <c r="I449" s="280" t="s">
        <v>6214</v>
      </c>
      <c r="J449" s="281" t="s">
        <v>3733</v>
      </c>
      <c r="K449" s="282">
        <v>44369</v>
      </c>
      <c r="L449" s="282">
        <v>45830</v>
      </c>
      <c r="M449" s="282">
        <v>45770</v>
      </c>
      <c r="N449" s="501">
        <v>126000000</v>
      </c>
      <c r="O449" s="444" t="s">
        <v>3866</v>
      </c>
      <c r="P449" s="397">
        <v>126000000</v>
      </c>
      <c r="Q449" s="397">
        <v>126000000</v>
      </c>
      <c r="R449" s="397"/>
      <c r="S449" s="398">
        <f t="shared" si="19"/>
        <v>126000000</v>
      </c>
      <c r="T449" s="353"/>
      <c r="U449" s="353">
        <f t="shared" si="20"/>
        <v>126000000</v>
      </c>
      <c r="V449" s="399"/>
      <c r="W449" s="399"/>
      <c r="X449" s="400" t="s">
        <v>492</v>
      </c>
      <c r="Y449" s="400"/>
      <c r="Z449" s="283"/>
    </row>
    <row r="450" spans="2:26" ht="19.5" hidden="1" customHeight="1">
      <c r="B450" s="29">
        <f t="shared" si="18"/>
        <v>440</v>
      </c>
      <c r="C450" s="30" t="s">
        <v>206</v>
      </c>
      <c r="D450" s="30" t="s">
        <v>359</v>
      </c>
      <c r="E450" s="234" t="s">
        <v>7148</v>
      </c>
      <c r="F450" s="235" t="s">
        <v>7149</v>
      </c>
      <c r="G450" s="284" t="str">
        <f>IFERROR(VLOOKUP(E450,Assign!$C$2:$J$142,8,FALSE),)</f>
        <v>문선영</v>
      </c>
      <c r="H450" s="279" t="s">
        <v>7127</v>
      </c>
      <c r="I450" s="280" t="s">
        <v>6215</v>
      </c>
      <c r="J450" s="281" t="s">
        <v>3734</v>
      </c>
      <c r="K450" s="282">
        <v>44369</v>
      </c>
      <c r="L450" s="282">
        <v>45830</v>
      </c>
      <c r="M450" s="282">
        <v>45770</v>
      </c>
      <c r="N450" s="501">
        <v>500000000</v>
      </c>
      <c r="O450" s="444" t="s">
        <v>3866</v>
      </c>
      <c r="P450" s="397">
        <v>500000000</v>
      </c>
      <c r="Q450" s="397">
        <v>500000000</v>
      </c>
      <c r="R450" s="397"/>
      <c r="S450" s="398">
        <f t="shared" si="19"/>
        <v>500000000</v>
      </c>
      <c r="T450" s="353"/>
      <c r="U450" s="353">
        <f t="shared" si="20"/>
        <v>500000000</v>
      </c>
      <c r="V450" s="399"/>
      <c r="W450" s="399"/>
      <c r="X450" s="400" t="s">
        <v>492</v>
      </c>
      <c r="Y450" s="400"/>
      <c r="Z450" s="283"/>
    </row>
    <row r="451" spans="2:26" ht="19.5" hidden="1" customHeight="1">
      <c r="B451" s="29">
        <f t="shared" si="18"/>
        <v>441</v>
      </c>
      <c r="C451" s="30" t="s">
        <v>206</v>
      </c>
      <c r="D451" s="30" t="s">
        <v>359</v>
      </c>
      <c r="E451" s="234" t="s">
        <v>7148</v>
      </c>
      <c r="F451" s="235" t="s">
        <v>7149</v>
      </c>
      <c r="G451" s="284" t="str">
        <f>IFERROR(VLOOKUP(E451,Assign!$C$2:$J$142,8,FALSE),)</f>
        <v>문선영</v>
      </c>
      <c r="H451" s="279" t="s">
        <v>7128</v>
      </c>
      <c r="I451" s="280" t="s">
        <v>6216</v>
      </c>
      <c r="J451" s="281" t="s">
        <v>3734</v>
      </c>
      <c r="K451" s="282">
        <v>44890</v>
      </c>
      <c r="L451" s="282">
        <v>45989</v>
      </c>
      <c r="M451" s="282">
        <v>45773</v>
      </c>
      <c r="N451" s="371">
        <v>200000000</v>
      </c>
      <c r="O451" s="444" t="s">
        <v>3866</v>
      </c>
      <c r="P451" s="397">
        <v>200000000</v>
      </c>
      <c r="Q451" s="397">
        <v>200000000</v>
      </c>
      <c r="R451" s="397"/>
      <c r="S451" s="398">
        <f t="shared" si="19"/>
        <v>200000000</v>
      </c>
      <c r="T451" s="353"/>
      <c r="U451" s="353">
        <f t="shared" si="20"/>
        <v>200000000</v>
      </c>
      <c r="V451" s="399"/>
      <c r="W451" s="399"/>
      <c r="X451" s="400" t="s">
        <v>492</v>
      </c>
      <c r="Y451" s="400"/>
      <c r="Z451" s="283"/>
    </row>
    <row r="452" spans="2:26" ht="19.5" hidden="1" customHeight="1">
      <c r="B452" s="29">
        <f t="shared" si="18"/>
        <v>442</v>
      </c>
      <c r="C452" s="30" t="s">
        <v>206</v>
      </c>
      <c r="D452" s="30" t="s">
        <v>359</v>
      </c>
      <c r="E452" s="234" t="s">
        <v>7148</v>
      </c>
      <c r="F452" s="235" t="s">
        <v>7149</v>
      </c>
      <c r="G452" s="284" t="str">
        <f>IFERROR(VLOOKUP(E452,Assign!$C$2:$J$142,8,FALSE),)</f>
        <v>문선영</v>
      </c>
      <c r="H452" s="279" t="s">
        <v>7129</v>
      </c>
      <c r="I452" s="280" t="s">
        <v>6217</v>
      </c>
      <c r="J452" s="281" t="s">
        <v>3734</v>
      </c>
      <c r="K452" s="282">
        <v>44890</v>
      </c>
      <c r="L452" s="282">
        <v>45989</v>
      </c>
      <c r="M452" s="282">
        <v>45773</v>
      </c>
      <c r="N452" s="371">
        <v>200000000</v>
      </c>
      <c r="O452" s="444" t="s">
        <v>3866</v>
      </c>
      <c r="P452" s="397">
        <v>200000000</v>
      </c>
      <c r="Q452" s="397">
        <v>200000000</v>
      </c>
      <c r="R452" s="397"/>
      <c r="S452" s="398">
        <f t="shared" si="19"/>
        <v>200000000</v>
      </c>
      <c r="T452" s="353"/>
      <c r="U452" s="353">
        <f t="shared" si="20"/>
        <v>200000000</v>
      </c>
      <c r="V452" s="399"/>
      <c r="W452" s="399"/>
      <c r="X452" s="400" t="s">
        <v>492</v>
      </c>
      <c r="Y452" s="400"/>
      <c r="Z452" s="283"/>
    </row>
    <row r="453" spans="2:26" ht="19.5" hidden="1" customHeight="1">
      <c r="B453" s="29">
        <f t="shared" si="18"/>
        <v>443</v>
      </c>
      <c r="C453" s="30" t="s">
        <v>206</v>
      </c>
      <c r="D453" s="30" t="s">
        <v>359</v>
      </c>
      <c r="E453" s="234" t="s">
        <v>7148</v>
      </c>
      <c r="F453" s="235" t="s">
        <v>7149</v>
      </c>
      <c r="G453" s="284" t="str">
        <f>IFERROR(VLOOKUP(E453,Assign!$C$2:$J$142,8,FALSE),)</f>
        <v>문선영</v>
      </c>
      <c r="H453" s="279" t="s">
        <v>7130</v>
      </c>
      <c r="I453" s="280" t="s">
        <v>5639</v>
      </c>
      <c r="J453" s="281" t="s">
        <v>3734</v>
      </c>
      <c r="K453" s="282">
        <v>45467</v>
      </c>
      <c r="L453" s="282">
        <v>45832</v>
      </c>
      <c r="M453" s="282">
        <v>45772</v>
      </c>
      <c r="N453" s="501">
        <v>70000000</v>
      </c>
      <c r="O453" s="444" t="s">
        <v>3866</v>
      </c>
      <c r="P453" s="397">
        <v>70000000</v>
      </c>
      <c r="Q453" s="397">
        <v>70000000</v>
      </c>
      <c r="R453" s="397"/>
      <c r="S453" s="398">
        <f t="shared" si="19"/>
        <v>70000000</v>
      </c>
      <c r="T453" s="353"/>
      <c r="U453" s="353">
        <f t="shared" si="20"/>
        <v>70000000</v>
      </c>
      <c r="V453" s="399"/>
      <c r="W453" s="399"/>
      <c r="X453" s="400" t="s">
        <v>492</v>
      </c>
      <c r="Y453" s="400"/>
      <c r="Z453" s="283"/>
    </row>
    <row r="454" spans="2:26" ht="19.5" hidden="1" customHeight="1">
      <c r="B454" s="29">
        <f t="shared" si="18"/>
        <v>444</v>
      </c>
      <c r="C454" s="30" t="s">
        <v>206</v>
      </c>
      <c r="D454" s="30" t="s">
        <v>359</v>
      </c>
      <c r="E454" s="234" t="s">
        <v>7148</v>
      </c>
      <c r="F454" s="235" t="s">
        <v>7149</v>
      </c>
      <c r="G454" s="284" t="str">
        <f>IFERROR(VLOOKUP(E454,Assign!$C$2:$J$142,8,FALSE),)</f>
        <v>문선영</v>
      </c>
      <c r="H454" s="279" t="s">
        <v>7131</v>
      </c>
      <c r="I454" s="280" t="s">
        <v>6218</v>
      </c>
      <c r="J454" s="281" t="s">
        <v>3734</v>
      </c>
      <c r="K454" s="282">
        <v>45483</v>
      </c>
      <c r="L454" s="282">
        <v>45848</v>
      </c>
      <c r="M454" s="282" t="s">
        <v>203</v>
      </c>
      <c r="N454" s="501">
        <v>150000000</v>
      </c>
      <c r="O454" s="444" t="s">
        <v>3866</v>
      </c>
      <c r="P454" s="397">
        <v>150000000</v>
      </c>
      <c r="Q454" s="397">
        <v>150000000</v>
      </c>
      <c r="R454" s="397"/>
      <c r="S454" s="398">
        <f t="shared" si="19"/>
        <v>150000000</v>
      </c>
      <c r="T454" s="353"/>
      <c r="U454" s="353">
        <f t="shared" si="20"/>
        <v>150000000</v>
      </c>
      <c r="V454" s="399"/>
      <c r="W454" s="399"/>
      <c r="X454" s="400" t="s">
        <v>492</v>
      </c>
      <c r="Y454" s="400"/>
      <c r="Z454" s="283"/>
    </row>
    <row r="455" spans="2:26" ht="19.5" hidden="1" customHeight="1">
      <c r="B455" s="29">
        <f t="shared" si="18"/>
        <v>445</v>
      </c>
      <c r="C455" s="30" t="s">
        <v>206</v>
      </c>
      <c r="D455" s="30" t="s">
        <v>359</v>
      </c>
      <c r="E455" s="234" t="s">
        <v>7148</v>
      </c>
      <c r="F455" s="235" t="s">
        <v>7149</v>
      </c>
      <c r="G455" s="284" t="str">
        <f>IFERROR(VLOOKUP(E455,Assign!$C$2:$J$142,8,FALSE),)</f>
        <v>문선영</v>
      </c>
      <c r="H455" s="279" t="s">
        <v>7132</v>
      </c>
      <c r="I455" s="280" t="s">
        <v>6004</v>
      </c>
      <c r="J455" s="281" t="s">
        <v>3769</v>
      </c>
      <c r="K455" s="282">
        <v>45467</v>
      </c>
      <c r="L455" s="282">
        <v>45832</v>
      </c>
      <c r="M455" s="282">
        <v>45770</v>
      </c>
      <c r="N455" s="371">
        <v>200000000</v>
      </c>
      <c r="O455" s="444" t="s">
        <v>3866</v>
      </c>
      <c r="P455" s="397">
        <v>37103000</v>
      </c>
      <c r="Q455" s="397">
        <v>37103000</v>
      </c>
      <c r="R455" s="397"/>
      <c r="S455" s="398">
        <f t="shared" si="19"/>
        <v>37103000</v>
      </c>
      <c r="T455" s="353"/>
      <c r="U455" s="353">
        <f t="shared" si="20"/>
        <v>37103000</v>
      </c>
      <c r="V455" s="399"/>
      <c r="W455" s="399"/>
      <c r="X455" s="400" t="s">
        <v>492</v>
      </c>
      <c r="Y455" s="400"/>
      <c r="Z455" s="283"/>
    </row>
    <row r="456" spans="2:26" ht="19.5" hidden="1" customHeight="1">
      <c r="B456" s="29">
        <f t="shared" si="18"/>
        <v>446</v>
      </c>
      <c r="C456" s="30" t="s">
        <v>206</v>
      </c>
      <c r="D456" s="30" t="s">
        <v>359</v>
      </c>
      <c r="E456" s="234" t="s">
        <v>7148</v>
      </c>
      <c r="F456" s="235" t="s">
        <v>7149</v>
      </c>
      <c r="G456" s="284" t="str">
        <f>IFERROR(VLOOKUP(E456,Assign!$C$2:$J$142,8,FALSE),)</f>
        <v>문선영</v>
      </c>
      <c r="H456" s="279" t="s">
        <v>7133</v>
      </c>
      <c r="I456" s="280" t="s">
        <v>6004</v>
      </c>
      <c r="J456" s="281" t="s">
        <v>3830</v>
      </c>
      <c r="K456" s="282">
        <v>45467</v>
      </c>
      <c r="L456" s="282">
        <v>45832</v>
      </c>
      <c r="M456" s="282">
        <v>45770</v>
      </c>
      <c r="N456" s="371">
        <v>200000000</v>
      </c>
      <c r="O456" s="444" t="s">
        <v>3866</v>
      </c>
      <c r="P456" s="397">
        <v>189200</v>
      </c>
      <c r="Q456" s="397">
        <v>189200</v>
      </c>
      <c r="R456" s="397"/>
      <c r="S456" s="398">
        <f t="shared" si="19"/>
        <v>189200</v>
      </c>
      <c r="T456" s="353"/>
      <c r="U456" s="353">
        <f t="shared" si="20"/>
        <v>189200</v>
      </c>
      <c r="V456" s="399"/>
      <c r="W456" s="399"/>
      <c r="X456" s="400" t="s">
        <v>492</v>
      </c>
      <c r="Y456" s="400"/>
      <c r="Z456" s="283"/>
    </row>
    <row r="457" spans="2:26" ht="19.5" hidden="1" customHeight="1">
      <c r="B457" s="29">
        <f t="shared" si="18"/>
        <v>447</v>
      </c>
      <c r="C457" s="30" t="s">
        <v>206</v>
      </c>
      <c r="D457" s="30" t="s">
        <v>359</v>
      </c>
      <c r="E457" s="234" t="s">
        <v>7148</v>
      </c>
      <c r="F457" s="235" t="s">
        <v>7149</v>
      </c>
      <c r="G457" s="284" t="str">
        <f>IFERROR(VLOOKUP(E457,Assign!$C$2:$J$142,8,FALSE),)</f>
        <v>문선영</v>
      </c>
      <c r="H457" s="279" t="s">
        <v>7134</v>
      </c>
      <c r="I457" s="280" t="s">
        <v>6004</v>
      </c>
      <c r="J457" s="281" t="s">
        <v>3831</v>
      </c>
      <c r="K457" s="282">
        <v>45467</v>
      </c>
      <c r="L457" s="282">
        <v>45832</v>
      </c>
      <c r="M457" s="282">
        <v>45770</v>
      </c>
      <c r="N457" s="371">
        <v>200000000</v>
      </c>
      <c r="O457" s="444" t="s">
        <v>3866</v>
      </c>
      <c r="P457" s="397">
        <v>2420000</v>
      </c>
      <c r="Q457" s="397">
        <v>2420000</v>
      </c>
      <c r="R457" s="397"/>
      <c r="S457" s="398">
        <f t="shared" si="19"/>
        <v>2420000</v>
      </c>
      <c r="T457" s="353"/>
      <c r="U457" s="353">
        <f t="shared" si="20"/>
        <v>2420000</v>
      </c>
      <c r="V457" s="399"/>
      <c r="W457" s="399"/>
      <c r="X457" s="400" t="s">
        <v>492</v>
      </c>
      <c r="Y457" s="400"/>
      <c r="Z457" s="283"/>
    </row>
    <row r="458" spans="2:26" ht="19.5" hidden="1" customHeight="1">
      <c r="B458" s="29">
        <f t="shared" si="18"/>
        <v>448</v>
      </c>
      <c r="C458" s="30" t="s">
        <v>206</v>
      </c>
      <c r="D458" s="30" t="s">
        <v>359</v>
      </c>
      <c r="E458" s="234" t="s">
        <v>7148</v>
      </c>
      <c r="F458" s="235" t="s">
        <v>7149</v>
      </c>
      <c r="G458" s="284" t="str">
        <f>IFERROR(VLOOKUP(E458,Assign!$C$2:$J$142,8,FALSE),)</f>
        <v>문선영</v>
      </c>
      <c r="H458" s="279" t="s">
        <v>7135</v>
      </c>
      <c r="I458" s="280" t="s">
        <v>6004</v>
      </c>
      <c r="J458" s="281" t="s">
        <v>3832</v>
      </c>
      <c r="K458" s="282">
        <v>45467</v>
      </c>
      <c r="L458" s="282">
        <v>45832</v>
      </c>
      <c r="M458" s="282">
        <v>45770</v>
      </c>
      <c r="N458" s="371">
        <v>200000000</v>
      </c>
      <c r="O458" s="444" t="s">
        <v>3866</v>
      </c>
      <c r="P458" s="397">
        <v>23617000</v>
      </c>
      <c r="Q458" s="397">
        <v>23617000</v>
      </c>
      <c r="R458" s="397"/>
      <c r="S458" s="398">
        <f t="shared" si="19"/>
        <v>23617000</v>
      </c>
      <c r="T458" s="353"/>
      <c r="U458" s="353">
        <f t="shared" si="20"/>
        <v>23617000</v>
      </c>
      <c r="V458" s="399"/>
      <c r="W458" s="399"/>
      <c r="X458" s="400" t="s">
        <v>492</v>
      </c>
      <c r="Y458" s="400"/>
      <c r="Z458" s="283"/>
    </row>
    <row r="459" spans="2:26" ht="19.5" hidden="1" customHeight="1">
      <c r="B459" s="29">
        <f t="shared" ref="B459:B522" si="21">ROW()-10</f>
        <v>449</v>
      </c>
      <c r="C459" s="30" t="s">
        <v>206</v>
      </c>
      <c r="D459" s="30" t="s">
        <v>359</v>
      </c>
      <c r="E459" s="234" t="s">
        <v>7148</v>
      </c>
      <c r="F459" s="235" t="s">
        <v>7149</v>
      </c>
      <c r="G459" s="284" t="str">
        <f>IFERROR(VLOOKUP(E459,Assign!$C$2:$J$142,8,FALSE),)</f>
        <v>문선영</v>
      </c>
      <c r="H459" s="279" t="s">
        <v>7136</v>
      </c>
      <c r="I459" s="280" t="s">
        <v>6004</v>
      </c>
      <c r="J459" s="281" t="s">
        <v>3833</v>
      </c>
      <c r="K459" s="282">
        <v>45467</v>
      </c>
      <c r="L459" s="282">
        <v>45832</v>
      </c>
      <c r="M459" s="282">
        <v>45770</v>
      </c>
      <c r="N459" s="371">
        <v>200000000</v>
      </c>
      <c r="O459" s="444" t="s">
        <v>3866</v>
      </c>
      <c r="P459" s="397">
        <v>660000</v>
      </c>
      <c r="Q459" s="397">
        <v>660000</v>
      </c>
      <c r="R459" s="397"/>
      <c r="S459" s="398">
        <f t="shared" ref="S459:S522" si="22">Q459+R459</f>
        <v>660000</v>
      </c>
      <c r="T459" s="353"/>
      <c r="U459" s="353">
        <f t="shared" ref="U459:U522" si="23">S459+T459</f>
        <v>660000</v>
      </c>
      <c r="V459" s="399"/>
      <c r="W459" s="399"/>
      <c r="X459" s="400" t="s">
        <v>492</v>
      </c>
      <c r="Y459" s="400"/>
      <c r="Z459" s="283"/>
    </row>
    <row r="460" spans="2:26" ht="19.5" hidden="1" customHeight="1">
      <c r="B460" s="29">
        <f t="shared" si="21"/>
        <v>450</v>
      </c>
      <c r="C460" s="30" t="s">
        <v>206</v>
      </c>
      <c r="D460" s="30" t="s">
        <v>359</v>
      </c>
      <c r="E460" s="234" t="s">
        <v>7148</v>
      </c>
      <c r="F460" s="235" t="s">
        <v>7149</v>
      </c>
      <c r="G460" s="284" t="str">
        <f>IFERROR(VLOOKUP(E460,Assign!$C$2:$J$142,8,FALSE),)</f>
        <v>문선영</v>
      </c>
      <c r="H460" s="279" t="s">
        <v>7137</v>
      </c>
      <c r="I460" s="280" t="s">
        <v>6004</v>
      </c>
      <c r="J460" s="281" t="s">
        <v>3834</v>
      </c>
      <c r="K460" s="282">
        <v>45467</v>
      </c>
      <c r="L460" s="282">
        <v>45832</v>
      </c>
      <c r="M460" s="282">
        <v>45770</v>
      </c>
      <c r="N460" s="371">
        <v>200000000</v>
      </c>
      <c r="O460" s="444" t="s">
        <v>3866</v>
      </c>
      <c r="P460" s="397">
        <v>1892000</v>
      </c>
      <c r="Q460" s="397">
        <v>1892000</v>
      </c>
      <c r="R460" s="397"/>
      <c r="S460" s="398">
        <f t="shared" si="22"/>
        <v>1892000</v>
      </c>
      <c r="T460" s="353"/>
      <c r="U460" s="353">
        <f t="shared" si="23"/>
        <v>1892000</v>
      </c>
      <c r="V460" s="399"/>
      <c r="W460" s="399"/>
      <c r="X460" s="400" t="s">
        <v>492</v>
      </c>
      <c r="Y460" s="400"/>
      <c r="Z460" s="283"/>
    </row>
    <row r="461" spans="2:26" ht="19.5" hidden="1" customHeight="1">
      <c r="B461" s="29">
        <f t="shared" si="21"/>
        <v>451</v>
      </c>
      <c r="C461" s="30" t="s">
        <v>206</v>
      </c>
      <c r="D461" s="30" t="s">
        <v>359</v>
      </c>
      <c r="E461" s="234" t="s">
        <v>7148</v>
      </c>
      <c r="F461" s="235" t="s">
        <v>7149</v>
      </c>
      <c r="G461" s="284" t="str">
        <f>IFERROR(VLOOKUP(E461,Assign!$C$2:$J$142,8,FALSE),)</f>
        <v>문선영</v>
      </c>
      <c r="H461" s="279" t="s">
        <v>7138</v>
      </c>
      <c r="I461" s="280" t="s">
        <v>6004</v>
      </c>
      <c r="J461" s="281" t="s">
        <v>3835</v>
      </c>
      <c r="K461" s="282">
        <v>45467</v>
      </c>
      <c r="L461" s="282">
        <v>45832</v>
      </c>
      <c r="M461" s="282">
        <v>45770</v>
      </c>
      <c r="N461" s="371">
        <v>200000000</v>
      </c>
      <c r="O461" s="444" t="s">
        <v>3866</v>
      </c>
      <c r="P461" s="397">
        <v>38687000</v>
      </c>
      <c r="Q461" s="397">
        <v>38687000</v>
      </c>
      <c r="R461" s="397"/>
      <c r="S461" s="398">
        <f t="shared" si="22"/>
        <v>38687000</v>
      </c>
      <c r="T461" s="353"/>
      <c r="U461" s="353">
        <f t="shared" si="23"/>
        <v>38687000</v>
      </c>
      <c r="V461" s="399"/>
      <c r="W461" s="399"/>
      <c r="X461" s="400" t="s">
        <v>492</v>
      </c>
      <c r="Y461" s="400"/>
      <c r="Z461" s="283"/>
    </row>
    <row r="462" spans="2:26" ht="19.5" hidden="1" customHeight="1">
      <c r="B462" s="29">
        <f t="shared" si="21"/>
        <v>452</v>
      </c>
      <c r="C462" s="30" t="s">
        <v>206</v>
      </c>
      <c r="D462" s="30" t="s">
        <v>359</v>
      </c>
      <c r="E462" s="234" t="s">
        <v>7148</v>
      </c>
      <c r="F462" s="235" t="s">
        <v>7149</v>
      </c>
      <c r="G462" s="284" t="str">
        <f>IFERROR(VLOOKUP(E462,Assign!$C$2:$J$142,8,FALSE),)</f>
        <v>문선영</v>
      </c>
      <c r="H462" s="279" t="s">
        <v>7139</v>
      </c>
      <c r="I462" s="280" t="s">
        <v>6004</v>
      </c>
      <c r="J462" s="281" t="s">
        <v>3836</v>
      </c>
      <c r="K462" s="282">
        <v>45467</v>
      </c>
      <c r="L462" s="282">
        <v>45832</v>
      </c>
      <c r="M462" s="282">
        <v>45770</v>
      </c>
      <c r="N462" s="371">
        <v>200000000</v>
      </c>
      <c r="O462" s="444" t="s">
        <v>3866</v>
      </c>
      <c r="P462" s="397">
        <v>2365000</v>
      </c>
      <c r="Q462" s="397">
        <v>2365000</v>
      </c>
      <c r="R462" s="397"/>
      <c r="S462" s="398">
        <f t="shared" si="22"/>
        <v>2365000</v>
      </c>
      <c r="T462" s="353"/>
      <c r="U462" s="353">
        <f t="shared" si="23"/>
        <v>2365000</v>
      </c>
      <c r="V462" s="399"/>
      <c r="W462" s="399"/>
      <c r="X462" s="400" t="s">
        <v>492</v>
      </c>
      <c r="Y462" s="400"/>
      <c r="Z462" s="283"/>
    </row>
    <row r="463" spans="2:26" ht="19.5" hidden="1" customHeight="1">
      <c r="B463" s="29">
        <f t="shared" si="21"/>
        <v>453</v>
      </c>
      <c r="C463" s="30" t="s">
        <v>206</v>
      </c>
      <c r="D463" s="30" t="s">
        <v>359</v>
      </c>
      <c r="E463" s="234" t="s">
        <v>7148</v>
      </c>
      <c r="F463" s="235" t="s">
        <v>7149</v>
      </c>
      <c r="G463" s="284" t="str">
        <f>IFERROR(VLOOKUP(E463,Assign!$C$2:$J$142,8,FALSE),)</f>
        <v>문선영</v>
      </c>
      <c r="H463" s="279" t="s">
        <v>7140</v>
      </c>
      <c r="I463" s="280" t="s">
        <v>6004</v>
      </c>
      <c r="J463" s="281" t="s">
        <v>3837</v>
      </c>
      <c r="K463" s="282">
        <v>45467</v>
      </c>
      <c r="L463" s="282">
        <v>45832</v>
      </c>
      <c r="M463" s="282">
        <v>45770</v>
      </c>
      <c r="N463" s="371">
        <v>200000000</v>
      </c>
      <c r="O463" s="444" t="s">
        <v>3866</v>
      </c>
      <c r="P463" s="397">
        <v>1980000</v>
      </c>
      <c r="Q463" s="397">
        <v>1980000</v>
      </c>
      <c r="R463" s="397"/>
      <c r="S463" s="398">
        <f t="shared" si="22"/>
        <v>1980000</v>
      </c>
      <c r="T463" s="353"/>
      <c r="U463" s="353">
        <f t="shared" si="23"/>
        <v>1980000</v>
      </c>
      <c r="V463" s="399"/>
      <c r="W463" s="399"/>
      <c r="X463" s="400" t="s">
        <v>492</v>
      </c>
      <c r="Y463" s="400"/>
      <c r="Z463" s="283"/>
    </row>
    <row r="464" spans="2:26" ht="19.5" hidden="1" customHeight="1">
      <c r="B464" s="29">
        <f t="shared" si="21"/>
        <v>454</v>
      </c>
      <c r="C464" s="30" t="s">
        <v>206</v>
      </c>
      <c r="D464" s="30" t="s">
        <v>359</v>
      </c>
      <c r="E464" s="234" t="s">
        <v>7148</v>
      </c>
      <c r="F464" s="235" t="s">
        <v>7149</v>
      </c>
      <c r="G464" s="284" t="str">
        <f>IFERROR(VLOOKUP(E464,Assign!$C$2:$J$142,8,FALSE),)</f>
        <v>문선영</v>
      </c>
      <c r="H464" s="279" t="s">
        <v>7141</v>
      </c>
      <c r="I464" s="280" t="s">
        <v>6004</v>
      </c>
      <c r="J464" s="281" t="s">
        <v>3838</v>
      </c>
      <c r="K464" s="282">
        <v>45467</v>
      </c>
      <c r="L464" s="282">
        <v>45832</v>
      </c>
      <c r="M464" s="282">
        <v>45776</v>
      </c>
      <c r="N464" s="371">
        <v>200000000</v>
      </c>
      <c r="O464" s="444" t="s">
        <v>3866</v>
      </c>
      <c r="P464" s="397">
        <v>13486000</v>
      </c>
      <c r="Q464" s="397">
        <v>13486000</v>
      </c>
      <c r="R464" s="397"/>
      <c r="S464" s="398">
        <f t="shared" si="22"/>
        <v>13486000</v>
      </c>
      <c r="T464" s="353"/>
      <c r="U464" s="353">
        <f t="shared" si="23"/>
        <v>13486000</v>
      </c>
      <c r="V464" s="399"/>
      <c r="W464" s="399"/>
      <c r="X464" s="400" t="s">
        <v>492</v>
      </c>
      <c r="Y464" s="400"/>
      <c r="Z464" s="283"/>
    </row>
    <row r="465" spans="2:26" ht="19.5" hidden="1" customHeight="1">
      <c r="B465" s="29">
        <f t="shared" si="21"/>
        <v>455</v>
      </c>
      <c r="C465" s="30" t="s">
        <v>206</v>
      </c>
      <c r="D465" s="30" t="s">
        <v>359</v>
      </c>
      <c r="E465" s="234" t="s">
        <v>7148</v>
      </c>
      <c r="F465" s="235" t="s">
        <v>7149</v>
      </c>
      <c r="G465" s="284" t="str">
        <f>IFERROR(VLOOKUP(E465,Assign!$C$2:$J$142,8,FALSE),)</f>
        <v>문선영</v>
      </c>
      <c r="H465" s="279" t="s">
        <v>7142</v>
      </c>
      <c r="I465" s="280" t="s">
        <v>6004</v>
      </c>
      <c r="J465" s="281" t="s">
        <v>3839</v>
      </c>
      <c r="K465" s="282">
        <v>45467</v>
      </c>
      <c r="L465" s="282">
        <v>45832</v>
      </c>
      <c r="M465" s="282" t="e">
        <f>IF(#REF!="","",(LEFT(#REF!,4)&amp;"-"&amp;MID(#REF!,5,2)&amp;"-"&amp;RIGHT(#REF!,2)))</f>
        <v>#REF!</v>
      </c>
      <c r="N465" s="371">
        <v>200000000</v>
      </c>
      <c r="O465" s="444" t="s">
        <v>3866</v>
      </c>
      <c r="P465" s="397">
        <v>1980000</v>
      </c>
      <c r="Q465" s="397">
        <v>1980000</v>
      </c>
      <c r="R465" s="397"/>
      <c r="S465" s="398">
        <f t="shared" si="22"/>
        <v>1980000</v>
      </c>
      <c r="T465" s="353"/>
      <c r="U465" s="353">
        <f t="shared" si="23"/>
        <v>1980000</v>
      </c>
      <c r="V465" s="399"/>
      <c r="W465" s="399"/>
      <c r="X465" s="400" t="s">
        <v>492</v>
      </c>
      <c r="Y465" s="400"/>
      <c r="Z465" s="283"/>
    </row>
    <row r="466" spans="2:26" ht="19.5" hidden="1" customHeight="1">
      <c r="B466" s="29">
        <f t="shared" si="21"/>
        <v>456</v>
      </c>
      <c r="C466" s="30" t="s">
        <v>202</v>
      </c>
      <c r="D466" s="30" t="s">
        <v>225</v>
      </c>
      <c r="E466" s="234" t="s">
        <v>928</v>
      </c>
      <c r="F466" s="235" t="s">
        <v>1327</v>
      </c>
      <c r="G466" s="284">
        <f>IFERROR(VLOOKUP(E466,Assign!$C$2:$J$142,8,FALSE),)</f>
        <v>0</v>
      </c>
      <c r="H466" s="279" t="s">
        <v>7112</v>
      </c>
      <c r="I466" s="280" t="s">
        <v>6207</v>
      </c>
      <c r="J466" s="281" t="s">
        <v>3734</v>
      </c>
      <c r="K466" s="282">
        <v>45260</v>
      </c>
      <c r="L466" s="282">
        <v>45991</v>
      </c>
      <c r="M466" s="282">
        <v>45699</v>
      </c>
      <c r="N466" s="371">
        <v>3650000000</v>
      </c>
      <c r="O466" s="444" t="s">
        <v>3866</v>
      </c>
      <c r="P466" s="397">
        <v>3650000000</v>
      </c>
      <c r="Q466" s="397">
        <v>3650000000</v>
      </c>
      <c r="R466" s="397"/>
      <c r="S466" s="398">
        <f t="shared" si="22"/>
        <v>3650000000</v>
      </c>
      <c r="T466" s="353"/>
      <c r="U466" s="353">
        <f t="shared" si="23"/>
        <v>3650000000</v>
      </c>
      <c r="V466" s="399"/>
      <c r="W466" s="399"/>
      <c r="X466" s="400" t="s">
        <v>492</v>
      </c>
      <c r="Y466" s="400"/>
      <c r="Z466" s="283"/>
    </row>
    <row r="467" spans="2:26" ht="19.5" hidden="1" customHeight="1">
      <c r="B467" s="29">
        <f t="shared" si="21"/>
        <v>457</v>
      </c>
      <c r="C467" s="30" t="s">
        <v>202</v>
      </c>
      <c r="D467" s="30" t="s">
        <v>225</v>
      </c>
      <c r="E467" s="234" t="s">
        <v>928</v>
      </c>
      <c r="F467" s="235" t="s">
        <v>1327</v>
      </c>
      <c r="G467" s="284">
        <f>IFERROR(VLOOKUP(E467,Assign!$C$2:$J$142,8,FALSE),)</f>
        <v>0</v>
      </c>
      <c r="H467" s="279" t="s">
        <v>7113</v>
      </c>
      <c r="I467" s="280" t="s">
        <v>6208</v>
      </c>
      <c r="J467" s="281" t="s">
        <v>3733</v>
      </c>
      <c r="K467" s="282">
        <v>45260</v>
      </c>
      <c r="L467" s="282">
        <v>45991</v>
      </c>
      <c r="M467" s="282">
        <v>45699</v>
      </c>
      <c r="N467" s="371">
        <v>5350000000</v>
      </c>
      <c r="O467" s="444" t="s">
        <v>3866</v>
      </c>
      <c r="P467" s="397">
        <v>5350000000</v>
      </c>
      <c r="Q467" s="397">
        <v>5350000000</v>
      </c>
      <c r="R467" s="397"/>
      <c r="S467" s="398">
        <f t="shared" si="22"/>
        <v>5350000000</v>
      </c>
      <c r="T467" s="353"/>
      <c r="U467" s="353">
        <f t="shared" si="23"/>
        <v>5350000000</v>
      </c>
      <c r="V467" s="399"/>
      <c r="W467" s="399"/>
      <c r="X467" s="400" t="s">
        <v>492</v>
      </c>
      <c r="Y467" s="400"/>
      <c r="Z467" s="283"/>
    </row>
    <row r="468" spans="2:26" ht="19.5" hidden="1" customHeight="1">
      <c r="B468" s="29">
        <f t="shared" si="21"/>
        <v>458</v>
      </c>
      <c r="C468" s="30" t="s">
        <v>202</v>
      </c>
      <c r="D468" s="30" t="s">
        <v>225</v>
      </c>
      <c r="E468" s="234" t="s">
        <v>929</v>
      </c>
      <c r="F468" s="235" t="s">
        <v>1329</v>
      </c>
      <c r="G468" s="284">
        <f>IFERROR(VLOOKUP(E468,Assign!$C$2:$J$142,8,FALSE),)</f>
        <v>0</v>
      </c>
      <c r="H468" s="279" t="s">
        <v>6533</v>
      </c>
      <c r="I468" s="280" t="s">
        <v>5867</v>
      </c>
      <c r="J468" s="281" t="s">
        <v>3777</v>
      </c>
      <c r="K468" s="282">
        <v>38960</v>
      </c>
      <c r="L468" s="282">
        <v>45717</v>
      </c>
      <c r="M468" s="282">
        <v>45701</v>
      </c>
      <c r="N468" s="371">
        <v>256625551.69999999</v>
      </c>
      <c r="O468" s="444" t="s">
        <v>3867</v>
      </c>
      <c r="P468" s="397">
        <v>24107700</v>
      </c>
      <c r="Q468" s="397">
        <v>240361001.31</v>
      </c>
      <c r="R468" s="397"/>
      <c r="S468" s="398">
        <f t="shared" si="22"/>
        <v>240361001.31</v>
      </c>
      <c r="T468" s="353"/>
      <c r="U468" s="353">
        <f t="shared" si="23"/>
        <v>240361001.31</v>
      </c>
      <c r="V468" s="399"/>
      <c r="W468" s="399"/>
      <c r="X468" s="400" t="s">
        <v>492</v>
      </c>
      <c r="Y468" s="400"/>
      <c r="Z468" s="283"/>
    </row>
    <row r="469" spans="2:26" ht="19.5" hidden="1" customHeight="1">
      <c r="B469" s="29">
        <f t="shared" si="21"/>
        <v>459</v>
      </c>
      <c r="C469" s="30" t="s">
        <v>202</v>
      </c>
      <c r="D469" s="30" t="s">
        <v>225</v>
      </c>
      <c r="E469" s="234" t="s">
        <v>929</v>
      </c>
      <c r="F469" s="235" t="s">
        <v>1329</v>
      </c>
      <c r="G469" s="284">
        <f>IFERROR(VLOOKUP(E469,Assign!$C$2:$J$142,8,FALSE),)</f>
        <v>0</v>
      </c>
      <c r="H469" s="279" t="s">
        <v>6534</v>
      </c>
      <c r="I469" s="280" t="s">
        <v>5868</v>
      </c>
      <c r="J469" s="281" t="s">
        <v>3778</v>
      </c>
      <c r="K469" s="282">
        <v>38960</v>
      </c>
      <c r="L469" s="282">
        <v>45717</v>
      </c>
      <c r="M469" s="282">
        <v>45701</v>
      </c>
      <c r="N469" s="371">
        <v>6777809940</v>
      </c>
      <c r="O469" s="444" t="s">
        <v>3867</v>
      </c>
      <c r="P469" s="397">
        <v>679800000</v>
      </c>
      <c r="Q469" s="397">
        <v>6777809940</v>
      </c>
      <c r="R469" s="397"/>
      <c r="S469" s="398">
        <f t="shared" si="22"/>
        <v>6777809940</v>
      </c>
      <c r="T469" s="353"/>
      <c r="U469" s="353">
        <f t="shared" si="23"/>
        <v>6777809940</v>
      </c>
      <c r="V469" s="399"/>
      <c r="W469" s="399"/>
      <c r="X469" s="400" t="s">
        <v>492</v>
      </c>
      <c r="Y469" s="400"/>
      <c r="Z469" s="283"/>
    </row>
    <row r="470" spans="2:26" ht="19.5" hidden="1" customHeight="1">
      <c r="B470" s="29">
        <f t="shared" si="21"/>
        <v>460</v>
      </c>
      <c r="C470" s="30" t="s">
        <v>202</v>
      </c>
      <c r="D470" s="30" t="s">
        <v>225</v>
      </c>
      <c r="E470" s="234" t="s">
        <v>930</v>
      </c>
      <c r="F470" s="235" t="s">
        <v>1330</v>
      </c>
      <c r="G470" s="284">
        <f>IFERROR(VLOOKUP(E470,Assign!$C$2:$J$142,8,FALSE),)</f>
        <v>0</v>
      </c>
      <c r="H470" s="279" t="s">
        <v>6601</v>
      </c>
      <c r="I470" s="280" t="s">
        <v>5921</v>
      </c>
      <c r="J470" s="281" t="s">
        <v>3734</v>
      </c>
      <c r="K470" s="282">
        <v>45531</v>
      </c>
      <c r="L470" s="282">
        <v>45896</v>
      </c>
      <c r="M470" s="282">
        <v>45717</v>
      </c>
      <c r="N470" s="371">
        <v>4375000000</v>
      </c>
      <c r="O470" s="444" t="s">
        <v>3866</v>
      </c>
      <c r="P470" s="397">
        <v>4375000000</v>
      </c>
      <c r="Q470" s="397">
        <v>4375000000</v>
      </c>
      <c r="R470" s="397"/>
      <c r="S470" s="398">
        <f t="shared" si="22"/>
        <v>4375000000</v>
      </c>
      <c r="T470" s="353"/>
      <c r="U470" s="353">
        <f t="shared" si="23"/>
        <v>4375000000</v>
      </c>
      <c r="V470" s="399"/>
      <c r="W470" s="399"/>
      <c r="X470" s="400" t="s">
        <v>492</v>
      </c>
      <c r="Y470" s="400"/>
      <c r="Z470" s="283"/>
    </row>
    <row r="471" spans="2:26" ht="19.5" hidden="1" customHeight="1">
      <c r="B471" s="29">
        <f t="shared" si="21"/>
        <v>461</v>
      </c>
      <c r="C471" s="30" t="s">
        <v>202</v>
      </c>
      <c r="D471" s="30" t="s">
        <v>225</v>
      </c>
      <c r="E471" s="234" t="s">
        <v>930</v>
      </c>
      <c r="F471" s="235" t="s">
        <v>1330</v>
      </c>
      <c r="G471" s="284">
        <f>IFERROR(VLOOKUP(E471,Assign!$C$2:$J$142,8,FALSE),)</f>
        <v>0</v>
      </c>
      <c r="H471" s="279" t="s">
        <v>6602</v>
      </c>
      <c r="I471" s="280" t="s">
        <v>5922</v>
      </c>
      <c r="J471" s="281" t="s">
        <v>3745</v>
      </c>
      <c r="K471" s="282">
        <v>45531</v>
      </c>
      <c r="L471" s="282">
        <v>46626</v>
      </c>
      <c r="M471" s="282">
        <v>45716</v>
      </c>
      <c r="N471" s="371">
        <v>1000000000</v>
      </c>
      <c r="O471" s="444" t="s">
        <v>3866</v>
      </c>
      <c r="P471" s="397">
        <v>860991811</v>
      </c>
      <c r="Q471" s="397">
        <v>860991811</v>
      </c>
      <c r="R471" s="397"/>
      <c r="S471" s="398">
        <f t="shared" si="22"/>
        <v>860991811</v>
      </c>
      <c r="T471" s="353"/>
      <c r="U471" s="353">
        <f t="shared" si="23"/>
        <v>860991811</v>
      </c>
      <c r="V471" s="399"/>
      <c r="W471" s="399"/>
      <c r="X471" s="400" t="s">
        <v>492</v>
      </c>
      <c r="Y471" s="400"/>
      <c r="Z471" s="283"/>
    </row>
    <row r="472" spans="2:26" ht="19.5" hidden="1" customHeight="1">
      <c r="B472" s="29">
        <f t="shared" si="21"/>
        <v>462</v>
      </c>
      <c r="C472" s="30" t="s">
        <v>202</v>
      </c>
      <c r="D472" s="30" t="s">
        <v>225</v>
      </c>
      <c r="E472" s="234" t="s">
        <v>931</v>
      </c>
      <c r="F472" s="235" t="s">
        <v>1331</v>
      </c>
      <c r="G472" s="284">
        <f>IFERROR(VLOOKUP(E472,Assign!$C$2:$J$142,8,FALSE),)</f>
        <v>0</v>
      </c>
      <c r="H472" s="279" t="s">
        <v>7057</v>
      </c>
      <c r="I472" s="280" t="s">
        <v>6147</v>
      </c>
      <c r="J472" s="281" t="s">
        <v>3733</v>
      </c>
      <c r="K472" s="282">
        <v>45411</v>
      </c>
      <c r="L472" s="282">
        <v>45748</v>
      </c>
      <c r="M472" s="282">
        <v>45749</v>
      </c>
      <c r="N472" s="371">
        <v>2370000000</v>
      </c>
      <c r="O472" s="444" t="s">
        <v>3866</v>
      </c>
      <c r="P472" s="397">
        <v>2370000000</v>
      </c>
      <c r="Q472" s="397">
        <v>2370000000</v>
      </c>
      <c r="R472" s="397"/>
      <c r="S472" s="398">
        <f t="shared" si="22"/>
        <v>2370000000</v>
      </c>
      <c r="T472" s="353"/>
      <c r="U472" s="353">
        <f t="shared" si="23"/>
        <v>2370000000</v>
      </c>
      <c r="V472" s="399"/>
      <c r="W472" s="399"/>
      <c r="X472" s="400" t="s">
        <v>492</v>
      </c>
      <c r="Y472" s="400"/>
      <c r="Z472" s="283"/>
    </row>
    <row r="473" spans="2:26" ht="19.5" hidden="1" customHeight="1">
      <c r="B473" s="29">
        <f t="shared" si="21"/>
        <v>463</v>
      </c>
      <c r="C473" s="30" t="s">
        <v>202</v>
      </c>
      <c r="D473" s="30" t="s">
        <v>225</v>
      </c>
      <c r="E473" s="234" t="s">
        <v>931</v>
      </c>
      <c r="F473" s="235" t="s">
        <v>1331</v>
      </c>
      <c r="G473" s="284">
        <f>IFERROR(VLOOKUP(E473,Assign!$C$2:$J$142,8,FALSE),)</f>
        <v>0</v>
      </c>
      <c r="H473" s="279" t="s">
        <v>7058</v>
      </c>
      <c r="I473" s="280" t="s">
        <v>6186</v>
      </c>
      <c r="J473" s="281" t="s">
        <v>3733</v>
      </c>
      <c r="K473" s="282">
        <v>45446</v>
      </c>
      <c r="L473" s="282">
        <v>45748</v>
      </c>
      <c r="M473" s="282">
        <v>45749</v>
      </c>
      <c r="N473" s="371">
        <v>1060000000</v>
      </c>
      <c r="O473" s="444" t="s">
        <v>3866</v>
      </c>
      <c r="P473" s="397">
        <v>1060000000</v>
      </c>
      <c r="Q473" s="397">
        <v>1060000000</v>
      </c>
      <c r="R473" s="397"/>
      <c r="S473" s="398">
        <f t="shared" si="22"/>
        <v>1060000000</v>
      </c>
      <c r="T473" s="353"/>
      <c r="U473" s="353">
        <f t="shared" si="23"/>
        <v>1060000000</v>
      </c>
      <c r="V473" s="399"/>
      <c r="W473" s="399"/>
      <c r="X473" s="400" t="s">
        <v>492</v>
      </c>
      <c r="Y473" s="400"/>
      <c r="Z473" s="283"/>
    </row>
    <row r="474" spans="2:26" ht="19.5" hidden="1" customHeight="1">
      <c r="B474" s="29">
        <f t="shared" si="21"/>
        <v>464</v>
      </c>
      <c r="C474" s="30" t="s">
        <v>202</v>
      </c>
      <c r="D474" s="30" t="s">
        <v>225</v>
      </c>
      <c r="E474" s="234" t="s">
        <v>931</v>
      </c>
      <c r="F474" s="235" t="s">
        <v>1331</v>
      </c>
      <c r="G474" s="284">
        <f>IFERROR(VLOOKUP(E474,Assign!$C$2:$J$142,8,FALSE),)</f>
        <v>0</v>
      </c>
      <c r="H474" s="279" t="s">
        <v>7059</v>
      </c>
      <c r="I474" s="280" t="s">
        <v>6187</v>
      </c>
      <c r="J474" s="281" t="s">
        <v>3824</v>
      </c>
      <c r="K474" s="282">
        <v>44613</v>
      </c>
      <c r="L474" s="282">
        <v>48197</v>
      </c>
      <c r="M474" s="282">
        <v>45734</v>
      </c>
      <c r="N474" s="371">
        <v>2000000000</v>
      </c>
      <c r="O474" s="444" t="s">
        <v>3866</v>
      </c>
      <c r="P474" s="397">
        <v>1750000000</v>
      </c>
      <c r="Q474" s="397">
        <v>1750000000</v>
      </c>
      <c r="R474" s="397"/>
      <c r="S474" s="398">
        <f t="shared" si="22"/>
        <v>1750000000</v>
      </c>
      <c r="T474" s="353"/>
      <c r="U474" s="353">
        <f t="shared" si="23"/>
        <v>1750000000</v>
      </c>
      <c r="V474" s="399"/>
      <c r="W474" s="399"/>
      <c r="X474" s="400" t="s">
        <v>492</v>
      </c>
      <c r="Y474" s="400"/>
      <c r="Z474" s="283"/>
    </row>
    <row r="475" spans="2:26" ht="19.5" hidden="1" customHeight="1">
      <c r="B475" s="29">
        <f t="shared" si="21"/>
        <v>465</v>
      </c>
      <c r="C475" s="30" t="s">
        <v>202</v>
      </c>
      <c r="D475" s="30" t="s">
        <v>225</v>
      </c>
      <c r="E475" s="234" t="s">
        <v>932</v>
      </c>
      <c r="F475" s="235" t="s">
        <v>1332</v>
      </c>
      <c r="G475" s="284">
        <f>IFERROR(VLOOKUP(E475,Assign!$C$2:$J$142,8,FALSE),)</f>
        <v>0</v>
      </c>
      <c r="H475" s="279" t="s">
        <v>6972</v>
      </c>
      <c r="I475" s="280" t="s">
        <v>5694</v>
      </c>
      <c r="J475" s="281" t="s">
        <v>3785</v>
      </c>
      <c r="K475" s="282">
        <v>43405</v>
      </c>
      <c r="L475" s="282">
        <v>45772</v>
      </c>
      <c r="M475" s="282">
        <v>45665</v>
      </c>
      <c r="N475" s="371">
        <v>200000000</v>
      </c>
      <c r="O475" s="444" t="s">
        <v>3866</v>
      </c>
      <c r="P475" s="397">
        <v>200000000</v>
      </c>
      <c r="Q475" s="397">
        <v>200000000</v>
      </c>
      <c r="R475" s="397"/>
      <c r="S475" s="398">
        <f t="shared" si="22"/>
        <v>200000000</v>
      </c>
      <c r="T475" s="353"/>
      <c r="U475" s="353">
        <f t="shared" si="23"/>
        <v>200000000</v>
      </c>
      <c r="V475" s="399"/>
      <c r="W475" s="399"/>
      <c r="X475" s="400" t="s">
        <v>492</v>
      </c>
      <c r="Y475" s="400"/>
      <c r="Z475" s="283"/>
    </row>
    <row r="476" spans="2:26" ht="19.5" hidden="1" customHeight="1">
      <c r="B476" s="29">
        <f t="shared" si="21"/>
        <v>466</v>
      </c>
      <c r="C476" s="30" t="s">
        <v>202</v>
      </c>
      <c r="D476" s="30" t="s">
        <v>225</v>
      </c>
      <c r="E476" s="234" t="s">
        <v>932</v>
      </c>
      <c r="F476" s="235" t="s">
        <v>1332</v>
      </c>
      <c r="G476" s="284">
        <f>IFERROR(VLOOKUP(E476,Assign!$C$2:$J$142,8,FALSE),)</f>
        <v>0</v>
      </c>
      <c r="H476" s="279" t="s">
        <v>6973</v>
      </c>
      <c r="I476" s="280" t="s">
        <v>6090</v>
      </c>
      <c r="J476" s="281" t="s">
        <v>3785</v>
      </c>
      <c r="K476" s="282">
        <v>43405</v>
      </c>
      <c r="L476" s="282">
        <v>45772</v>
      </c>
      <c r="M476" s="282">
        <v>45665</v>
      </c>
      <c r="N476" s="371">
        <v>235000000</v>
      </c>
      <c r="O476" s="444" t="s">
        <v>3866</v>
      </c>
      <c r="P476" s="397">
        <v>235000000</v>
      </c>
      <c r="Q476" s="397">
        <v>235000000</v>
      </c>
      <c r="R476" s="397"/>
      <c r="S476" s="398">
        <f t="shared" si="22"/>
        <v>235000000</v>
      </c>
      <c r="T476" s="353"/>
      <c r="U476" s="353">
        <f t="shared" si="23"/>
        <v>235000000</v>
      </c>
      <c r="V476" s="399"/>
      <c r="W476" s="399"/>
      <c r="X476" s="400" t="s">
        <v>492</v>
      </c>
      <c r="Y476" s="400"/>
      <c r="Z476" s="283"/>
    </row>
    <row r="477" spans="2:26" ht="19.5" hidden="1" customHeight="1">
      <c r="B477" s="29">
        <f t="shared" si="21"/>
        <v>467</v>
      </c>
      <c r="C477" s="30" t="s">
        <v>202</v>
      </c>
      <c r="D477" s="30" t="s">
        <v>225</v>
      </c>
      <c r="E477" s="234" t="s">
        <v>932</v>
      </c>
      <c r="F477" s="235" t="s">
        <v>1332</v>
      </c>
      <c r="G477" s="284">
        <f>IFERROR(VLOOKUP(E477,Assign!$C$2:$J$142,8,FALSE),)</f>
        <v>0</v>
      </c>
      <c r="H477" s="279" t="s">
        <v>6974</v>
      </c>
      <c r="I477" s="280" t="s">
        <v>6143</v>
      </c>
      <c r="J477" s="281" t="s">
        <v>3733</v>
      </c>
      <c r="K477" s="282">
        <v>44762</v>
      </c>
      <c r="L477" s="282">
        <v>45674</v>
      </c>
      <c r="M477" s="282">
        <v>45664</v>
      </c>
      <c r="N477" s="371">
        <v>1360000000</v>
      </c>
      <c r="O477" s="444" t="s">
        <v>3866</v>
      </c>
      <c r="P477" s="397">
        <v>1360000000</v>
      </c>
      <c r="Q477" s="397">
        <v>1360000000</v>
      </c>
      <c r="R477" s="397"/>
      <c r="S477" s="398">
        <f t="shared" si="22"/>
        <v>1360000000</v>
      </c>
      <c r="T477" s="353"/>
      <c r="U477" s="353">
        <f t="shared" si="23"/>
        <v>1360000000</v>
      </c>
      <c r="V477" s="399"/>
      <c r="W477" s="399"/>
      <c r="X477" s="400" t="s">
        <v>492</v>
      </c>
      <c r="Y477" s="400"/>
      <c r="Z477" s="283"/>
    </row>
    <row r="478" spans="2:26" ht="19.5" hidden="1" customHeight="1">
      <c r="B478" s="29">
        <f t="shared" si="21"/>
        <v>468</v>
      </c>
      <c r="C478" s="30" t="s">
        <v>202</v>
      </c>
      <c r="D478" s="30" t="s">
        <v>225</v>
      </c>
      <c r="E478" s="234" t="s">
        <v>932</v>
      </c>
      <c r="F478" s="235" t="s">
        <v>1332</v>
      </c>
      <c r="G478" s="284">
        <f>IFERROR(VLOOKUP(E478,Assign!$C$2:$J$142,8,FALSE),)</f>
        <v>0</v>
      </c>
      <c r="H478" s="279" t="s">
        <v>6975</v>
      </c>
      <c r="I478" s="280" t="s">
        <v>6144</v>
      </c>
      <c r="J478" s="281" t="s">
        <v>3754</v>
      </c>
      <c r="K478" s="282">
        <v>44886</v>
      </c>
      <c r="L478" s="282">
        <v>46710</v>
      </c>
      <c r="M478" s="282">
        <v>45678</v>
      </c>
      <c r="N478" s="371">
        <v>1040000000</v>
      </c>
      <c r="O478" s="444" t="s">
        <v>3866</v>
      </c>
      <c r="P478" s="397">
        <v>1004726764</v>
      </c>
      <c r="Q478" s="397">
        <v>1004726764</v>
      </c>
      <c r="R478" s="397"/>
      <c r="S478" s="398">
        <f t="shared" si="22"/>
        <v>1004726764</v>
      </c>
      <c r="T478" s="353"/>
      <c r="U478" s="353">
        <f t="shared" si="23"/>
        <v>1004726764</v>
      </c>
      <c r="V478" s="399"/>
      <c r="W478" s="399"/>
      <c r="X478" s="400" t="s">
        <v>492</v>
      </c>
      <c r="Y478" s="400"/>
      <c r="Z478" s="283"/>
    </row>
    <row r="479" spans="2:26" ht="19.5" hidden="1" customHeight="1">
      <c r="B479" s="29">
        <f t="shared" si="21"/>
        <v>469</v>
      </c>
      <c r="C479" s="30" t="s">
        <v>202</v>
      </c>
      <c r="D479" s="30" t="s">
        <v>225</v>
      </c>
      <c r="E479" s="234" t="s">
        <v>932</v>
      </c>
      <c r="F479" s="235" t="s">
        <v>1332</v>
      </c>
      <c r="G479" s="284">
        <f>IFERROR(VLOOKUP(E479,Assign!$C$2:$J$142,8,FALSE),)</f>
        <v>0</v>
      </c>
      <c r="H479" s="279" t="s">
        <v>6976</v>
      </c>
      <c r="I479" s="280" t="s">
        <v>5607</v>
      </c>
      <c r="J479" s="281" t="s">
        <v>3734</v>
      </c>
      <c r="K479" s="282">
        <v>45362</v>
      </c>
      <c r="L479" s="282">
        <v>45758</v>
      </c>
      <c r="M479" s="282">
        <v>45665</v>
      </c>
      <c r="N479" s="371">
        <v>500000000</v>
      </c>
      <c r="O479" s="444" t="s">
        <v>3866</v>
      </c>
      <c r="P479" s="397">
        <v>500000000</v>
      </c>
      <c r="Q479" s="397">
        <v>500000000</v>
      </c>
      <c r="R479" s="397"/>
      <c r="S479" s="398">
        <f t="shared" si="22"/>
        <v>500000000</v>
      </c>
      <c r="T479" s="353"/>
      <c r="U479" s="353">
        <f t="shared" si="23"/>
        <v>500000000</v>
      </c>
      <c r="V479" s="399"/>
      <c r="W479" s="399"/>
      <c r="X479" s="400" t="s">
        <v>492</v>
      </c>
      <c r="Y479" s="400"/>
      <c r="Z479" s="283"/>
    </row>
    <row r="480" spans="2:26" ht="19.5" hidden="1" customHeight="1">
      <c r="B480" s="29">
        <f t="shared" si="21"/>
        <v>470</v>
      </c>
      <c r="C480" s="30" t="s">
        <v>202</v>
      </c>
      <c r="D480" s="30" t="s">
        <v>225</v>
      </c>
      <c r="E480" s="234" t="s">
        <v>932</v>
      </c>
      <c r="F480" s="235" t="s">
        <v>1332</v>
      </c>
      <c r="G480" s="284">
        <f>IFERROR(VLOOKUP(E480,Assign!$C$2:$J$142,8,FALSE),)</f>
        <v>0</v>
      </c>
      <c r="H480" s="279" t="s">
        <v>6977</v>
      </c>
      <c r="I480" s="280" t="s">
        <v>5974</v>
      </c>
      <c r="J480" s="281" t="s">
        <v>3745</v>
      </c>
      <c r="K480" s="282">
        <v>45539</v>
      </c>
      <c r="L480" s="282">
        <v>46269</v>
      </c>
      <c r="M480" s="282">
        <v>45693</v>
      </c>
      <c r="N480" s="371">
        <v>63000000</v>
      </c>
      <c r="O480" s="444" t="s">
        <v>3866</v>
      </c>
      <c r="P480" s="397">
        <v>52500000</v>
      </c>
      <c r="Q480" s="397">
        <v>52500000</v>
      </c>
      <c r="R480" s="397"/>
      <c r="S480" s="398">
        <f t="shared" si="22"/>
        <v>52500000</v>
      </c>
      <c r="T480" s="353"/>
      <c r="U480" s="353">
        <f t="shared" si="23"/>
        <v>52500000</v>
      </c>
      <c r="V480" s="399"/>
      <c r="W480" s="399"/>
      <c r="X480" s="400" t="s">
        <v>492</v>
      </c>
      <c r="Y480" s="400"/>
      <c r="Z480" s="283"/>
    </row>
    <row r="481" spans="2:26" ht="19.5" hidden="1" customHeight="1">
      <c r="B481" s="29">
        <f t="shared" si="21"/>
        <v>471</v>
      </c>
      <c r="C481" s="30" t="s">
        <v>202</v>
      </c>
      <c r="D481" s="30" t="s">
        <v>225</v>
      </c>
      <c r="E481" s="234" t="s">
        <v>932</v>
      </c>
      <c r="F481" s="235" t="s">
        <v>1332</v>
      </c>
      <c r="G481" s="284">
        <f>IFERROR(VLOOKUP(E481,Assign!$C$2:$J$142,8,FALSE),)</f>
        <v>0</v>
      </c>
      <c r="H481" s="279" t="s">
        <v>6978</v>
      </c>
      <c r="I481" s="280" t="s">
        <v>6145</v>
      </c>
      <c r="J481" s="281" t="s">
        <v>3734</v>
      </c>
      <c r="K481" s="282">
        <v>45582</v>
      </c>
      <c r="L481" s="282">
        <v>45762</v>
      </c>
      <c r="M481" s="282">
        <v>45678</v>
      </c>
      <c r="N481" s="371">
        <v>76000000</v>
      </c>
      <c r="O481" s="444" t="s">
        <v>3866</v>
      </c>
      <c r="P481" s="397">
        <v>76000000</v>
      </c>
      <c r="Q481" s="397">
        <v>76000000</v>
      </c>
      <c r="R481" s="397"/>
      <c r="S481" s="398">
        <f t="shared" si="22"/>
        <v>76000000</v>
      </c>
      <c r="T481" s="353"/>
      <c r="U481" s="353">
        <f t="shared" si="23"/>
        <v>76000000</v>
      </c>
      <c r="V481" s="399"/>
      <c r="W481" s="399"/>
      <c r="X481" s="400" t="s">
        <v>492</v>
      </c>
      <c r="Y481" s="400"/>
      <c r="Z481" s="283"/>
    </row>
    <row r="482" spans="2:26" ht="19.5" hidden="1" customHeight="1">
      <c r="B482" s="29">
        <f t="shared" si="21"/>
        <v>472</v>
      </c>
      <c r="C482" s="30" t="s">
        <v>202</v>
      </c>
      <c r="D482" s="30" t="s">
        <v>225</v>
      </c>
      <c r="E482" s="234" t="s">
        <v>932</v>
      </c>
      <c r="F482" s="235" t="s">
        <v>1332</v>
      </c>
      <c r="G482" s="284">
        <f>IFERROR(VLOOKUP(E482,Assign!$C$2:$J$142,8,FALSE),)</f>
        <v>0</v>
      </c>
      <c r="H482" s="279" t="s">
        <v>6979</v>
      </c>
      <c r="I482" s="280" t="s">
        <v>6146</v>
      </c>
      <c r="J482" s="281" t="s">
        <v>3813</v>
      </c>
      <c r="K482" s="282">
        <v>44762</v>
      </c>
      <c r="L482" s="282">
        <v>47649</v>
      </c>
      <c r="M482" s="282">
        <v>45673</v>
      </c>
      <c r="N482" s="371">
        <v>1230000000</v>
      </c>
      <c r="O482" s="444" t="s">
        <v>3866</v>
      </c>
      <c r="P482" s="397">
        <v>1230000000</v>
      </c>
      <c r="Q482" s="397">
        <v>1230000000</v>
      </c>
      <c r="R482" s="397"/>
      <c r="S482" s="398">
        <f t="shared" si="22"/>
        <v>1230000000</v>
      </c>
      <c r="T482" s="353"/>
      <c r="U482" s="353">
        <f t="shared" si="23"/>
        <v>1230000000</v>
      </c>
      <c r="V482" s="399"/>
      <c r="W482" s="399"/>
      <c r="X482" s="400" t="s">
        <v>492</v>
      </c>
      <c r="Y482" s="400"/>
      <c r="Z482" s="283"/>
    </row>
    <row r="483" spans="2:26" ht="19.5" hidden="1" customHeight="1">
      <c r="B483" s="29">
        <f t="shared" si="21"/>
        <v>473</v>
      </c>
      <c r="C483" s="30" t="s">
        <v>202</v>
      </c>
      <c r="D483" s="30" t="s">
        <v>225</v>
      </c>
      <c r="E483" s="234" t="s">
        <v>932</v>
      </c>
      <c r="F483" s="235" t="s">
        <v>1332</v>
      </c>
      <c r="G483" s="284">
        <f>IFERROR(VLOOKUP(E483,Assign!$C$2:$J$142,8,FALSE),)</f>
        <v>0</v>
      </c>
      <c r="H483" s="279" t="s">
        <v>6980</v>
      </c>
      <c r="I483" s="280" t="s">
        <v>6147</v>
      </c>
      <c r="J483" s="281" t="s">
        <v>3814</v>
      </c>
      <c r="K483" s="282">
        <v>45152</v>
      </c>
      <c r="L483" s="282">
        <v>50571</v>
      </c>
      <c r="M483" s="282">
        <v>45708</v>
      </c>
      <c r="N483" s="371">
        <v>307000000</v>
      </c>
      <c r="O483" s="444" t="s">
        <v>3866</v>
      </c>
      <c r="P483" s="397">
        <v>307000000</v>
      </c>
      <c r="Q483" s="397">
        <v>307000000</v>
      </c>
      <c r="R483" s="397"/>
      <c r="S483" s="398">
        <f t="shared" si="22"/>
        <v>307000000</v>
      </c>
      <c r="T483" s="353"/>
      <c r="U483" s="353">
        <f t="shared" si="23"/>
        <v>307000000</v>
      </c>
      <c r="V483" s="399"/>
      <c r="W483" s="399"/>
      <c r="X483" s="400" t="s">
        <v>492</v>
      </c>
      <c r="Y483" s="400"/>
      <c r="Z483" s="283"/>
    </row>
    <row r="484" spans="2:26" ht="19.5" hidden="1" customHeight="1">
      <c r="B484" s="29">
        <f t="shared" si="21"/>
        <v>474</v>
      </c>
      <c r="C484" s="30" t="s">
        <v>202</v>
      </c>
      <c r="D484" s="30" t="s">
        <v>225</v>
      </c>
      <c r="E484" s="234" t="s">
        <v>933</v>
      </c>
      <c r="F484" s="235" t="s">
        <v>1266</v>
      </c>
      <c r="G484" s="284">
        <f>IFERROR(VLOOKUP(E484,Assign!$C$2:$J$142,8,FALSE),)</f>
        <v>0</v>
      </c>
      <c r="H484" s="279" t="s">
        <v>6266</v>
      </c>
      <c r="I484" s="280" t="s">
        <v>5644</v>
      </c>
      <c r="J484" s="281" t="s">
        <v>3736</v>
      </c>
      <c r="K484" s="282">
        <v>45225</v>
      </c>
      <c r="L484" s="282">
        <v>45748</v>
      </c>
      <c r="M484" s="282">
        <v>45749</v>
      </c>
      <c r="N484" s="371">
        <v>70000000</v>
      </c>
      <c r="O484" s="444" t="s">
        <v>3866</v>
      </c>
      <c r="P484" s="397">
        <v>63012305</v>
      </c>
      <c r="Q484" s="397">
        <v>63012305</v>
      </c>
      <c r="R484" s="397"/>
      <c r="S484" s="398">
        <f t="shared" si="22"/>
        <v>63012305</v>
      </c>
      <c r="T484" s="353"/>
      <c r="U484" s="353">
        <f t="shared" si="23"/>
        <v>63012305</v>
      </c>
      <c r="V484" s="399"/>
      <c r="W484" s="399"/>
      <c r="X484" s="400" t="s">
        <v>492</v>
      </c>
      <c r="Y484" s="400"/>
      <c r="Z484" s="283"/>
    </row>
    <row r="485" spans="2:26" ht="19.5" hidden="1" customHeight="1">
      <c r="B485" s="29">
        <f t="shared" si="21"/>
        <v>475</v>
      </c>
      <c r="C485" s="30" t="s">
        <v>202</v>
      </c>
      <c r="D485" s="30" t="s">
        <v>225</v>
      </c>
      <c r="E485" s="234" t="s">
        <v>933</v>
      </c>
      <c r="F485" s="235" t="s">
        <v>1266</v>
      </c>
      <c r="G485" s="284">
        <f>IFERROR(VLOOKUP(E485,Assign!$C$2:$J$142,8,FALSE),)</f>
        <v>0</v>
      </c>
      <c r="H485" s="279" t="s">
        <v>6267</v>
      </c>
      <c r="I485" s="280" t="s">
        <v>5645</v>
      </c>
      <c r="J485" s="281" t="s">
        <v>3733</v>
      </c>
      <c r="K485" s="282">
        <v>41180</v>
      </c>
      <c r="L485" s="282">
        <v>45748</v>
      </c>
      <c r="M485" s="282">
        <v>45749</v>
      </c>
      <c r="N485" s="371">
        <v>550000000</v>
      </c>
      <c r="O485" s="444" t="s">
        <v>3866</v>
      </c>
      <c r="P485" s="397">
        <v>550000000</v>
      </c>
      <c r="Q485" s="397">
        <v>550000000</v>
      </c>
      <c r="R485" s="397"/>
      <c r="S485" s="398">
        <f t="shared" si="22"/>
        <v>550000000</v>
      </c>
      <c r="T485" s="353"/>
      <c r="U485" s="353">
        <f t="shared" si="23"/>
        <v>550000000</v>
      </c>
      <c r="V485" s="399"/>
      <c r="W485" s="399"/>
      <c r="X485" s="400" t="s">
        <v>492</v>
      </c>
      <c r="Y485" s="400"/>
      <c r="Z485" s="283"/>
    </row>
    <row r="486" spans="2:26" ht="19.5" hidden="1" customHeight="1">
      <c r="B486" s="29">
        <f t="shared" si="21"/>
        <v>476</v>
      </c>
      <c r="C486" s="30" t="s">
        <v>202</v>
      </c>
      <c r="D486" s="30" t="s">
        <v>225</v>
      </c>
      <c r="E486" s="234" t="s">
        <v>933</v>
      </c>
      <c r="F486" s="235" t="s">
        <v>1266</v>
      </c>
      <c r="G486" s="284">
        <f>IFERROR(VLOOKUP(E486,Assign!$C$2:$J$142,8,FALSE),)</f>
        <v>0</v>
      </c>
      <c r="H486" s="279" t="s">
        <v>6268</v>
      </c>
      <c r="I486" s="280" t="s">
        <v>5646</v>
      </c>
      <c r="J486" s="281" t="s">
        <v>3733</v>
      </c>
      <c r="K486" s="282">
        <v>42122</v>
      </c>
      <c r="L486" s="282">
        <v>45748</v>
      </c>
      <c r="M486" s="282">
        <v>45749</v>
      </c>
      <c r="N486" s="371">
        <v>50000000</v>
      </c>
      <c r="O486" s="444" t="s">
        <v>3866</v>
      </c>
      <c r="P486" s="397">
        <v>50000000</v>
      </c>
      <c r="Q486" s="397">
        <v>50000000</v>
      </c>
      <c r="R486" s="397"/>
      <c r="S486" s="398">
        <f t="shared" si="22"/>
        <v>50000000</v>
      </c>
      <c r="T486" s="353"/>
      <c r="U486" s="353">
        <f t="shared" si="23"/>
        <v>50000000</v>
      </c>
      <c r="V486" s="399"/>
      <c r="W486" s="399"/>
      <c r="X486" s="400" t="s">
        <v>492</v>
      </c>
      <c r="Y486" s="400"/>
      <c r="Z486" s="283"/>
    </row>
    <row r="487" spans="2:26" ht="19.5" hidden="1" customHeight="1">
      <c r="B487" s="29">
        <f t="shared" si="21"/>
        <v>477</v>
      </c>
      <c r="C487" s="30" t="s">
        <v>202</v>
      </c>
      <c r="D487" s="30" t="s">
        <v>225</v>
      </c>
      <c r="E487" s="234" t="s">
        <v>933</v>
      </c>
      <c r="F487" s="235" t="s">
        <v>1266</v>
      </c>
      <c r="G487" s="284">
        <f>IFERROR(VLOOKUP(E487,Assign!$C$2:$J$142,8,FALSE),)</f>
        <v>0</v>
      </c>
      <c r="H487" s="279" t="s">
        <v>6269</v>
      </c>
      <c r="I487" s="280" t="s">
        <v>5647</v>
      </c>
      <c r="J487" s="281" t="s">
        <v>3751</v>
      </c>
      <c r="K487" s="282">
        <v>43864</v>
      </c>
      <c r="L487" s="282">
        <v>45872</v>
      </c>
      <c r="M487" s="282">
        <v>45763</v>
      </c>
      <c r="N487" s="371">
        <v>186995689</v>
      </c>
      <c r="O487" s="444" t="s">
        <v>3866</v>
      </c>
      <c r="P487" s="397">
        <v>186995689</v>
      </c>
      <c r="Q487" s="397">
        <v>186995689</v>
      </c>
      <c r="R487" s="397"/>
      <c r="S487" s="398">
        <f t="shared" si="22"/>
        <v>186995689</v>
      </c>
      <c r="T487" s="353"/>
      <c r="U487" s="353">
        <f t="shared" si="23"/>
        <v>186995689</v>
      </c>
      <c r="V487" s="399"/>
      <c r="W487" s="399"/>
      <c r="X487" s="400" t="s">
        <v>492</v>
      </c>
      <c r="Y487" s="400"/>
      <c r="Z487" s="283"/>
    </row>
    <row r="488" spans="2:26" ht="19.5" hidden="1" customHeight="1">
      <c r="B488" s="29">
        <f t="shared" si="21"/>
        <v>478</v>
      </c>
      <c r="C488" s="30" t="s">
        <v>202</v>
      </c>
      <c r="D488" s="30" t="s">
        <v>225</v>
      </c>
      <c r="E488" s="234" t="s">
        <v>933</v>
      </c>
      <c r="F488" s="235" t="s">
        <v>1266</v>
      </c>
      <c r="G488" s="284">
        <f>IFERROR(VLOOKUP(E488,Assign!$C$2:$J$142,8,FALSE),)</f>
        <v>0</v>
      </c>
      <c r="H488" s="279" t="s">
        <v>6270</v>
      </c>
      <c r="I488" s="280" t="s">
        <v>5648</v>
      </c>
      <c r="J488" s="281" t="s">
        <v>3734</v>
      </c>
      <c r="K488" s="282">
        <v>44348</v>
      </c>
      <c r="L488" s="282">
        <v>45748</v>
      </c>
      <c r="M488" s="282">
        <v>45749</v>
      </c>
      <c r="N488" s="371">
        <v>500000000</v>
      </c>
      <c r="O488" s="444" t="s">
        <v>3866</v>
      </c>
      <c r="P488" s="397">
        <v>500000000</v>
      </c>
      <c r="Q488" s="397">
        <v>500000000</v>
      </c>
      <c r="R488" s="397"/>
      <c r="S488" s="398">
        <f t="shared" si="22"/>
        <v>500000000</v>
      </c>
      <c r="T488" s="353"/>
      <c r="U488" s="353">
        <f t="shared" si="23"/>
        <v>500000000</v>
      </c>
      <c r="V488" s="399"/>
      <c r="W488" s="399"/>
      <c r="X488" s="400" t="s">
        <v>492</v>
      </c>
      <c r="Y488" s="400"/>
      <c r="Z488" s="283"/>
    </row>
    <row r="489" spans="2:26" ht="19.5" hidden="1" customHeight="1">
      <c r="B489" s="29">
        <f t="shared" si="21"/>
        <v>479</v>
      </c>
      <c r="C489" s="30" t="s">
        <v>202</v>
      </c>
      <c r="D489" s="30" t="s">
        <v>225</v>
      </c>
      <c r="E489" s="234" t="s">
        <v>933</v>
      </c>
      <c r="F489" s="235" t="s">
        <v>1266</v>
      </c>
      <c r="G489" s="284">
        <f>IFERROR(VLOOKUP(E489,Assign!$C$2:$J$142,8,FALSE),)</f>
        <v>0</v>
      </c>
      <c r="H489" s="279" t="s">
        <v>6271</v>
      </c>
      <c r="I489" s="280" t="s">
        <v>5649</v>
      </c>
      <c r="J489" s="281" t="s">
        <v>3734</v>
      </c>
      <c r="K489" s="282">
        <v>44405</v>
      </c>
      <c r="L489" s="282">
        <v>45748</v>
      </c>
      <c r="M489" s="282">
        <v>45749</v>
      </c>
      <c r="N489" s="371">
        <v>350000000</v>
      </c>
      <c r="O489" s="444" t="s">
        <v>3866</v>
      </c>
      <c r="P489" s="397">
        <v>350000000</v>
      </c>
      <c r="Q489" s="397">
        <v>350000000</v>
      </c>
      <c r="R489" s="397"/>
      <c r="S489" s="398">
        <f t="shared" si="22"/>
        <v>350000000</v>
      </c>
      <c r="T489" s="353"/>
      <c r="U489" s="353">
        <f t="shared" si="23"/>
        <v>350000000</v>
      </c>
      <c r="V489" s="399"/>
      <c r="W489" s="399"/>
      <c r="X489" s="400" t="s">
        <v>492</v>
      </c>
      <c r="Y489" s="400"/>
      <c r="Z489" s="283"/>
    </row>
    <row r="490" spans="2:26" ht="19.5" hidden="1" customHeight="1">
      <c r="B490" s="29">
        <f t="shared" si="21"/>
        <v>480</v>
      </c>
      <c r="C490" s="30" t="s">
        <v>202</v>
      </c>
      <c r="D490" s="30" t="s">
        <v>225</v>
      </c>
      <c r="E490" s="234" t="s">
        <v>933</v>
      </c>
      <c r="F490" s="235" t="s">
        <v>1266</v>
      </c>
      <c r="G490" s="284">
        <f>IFERROR(VLOOKUP(E490,Assign!$C$2:$J$142,8,FALSE),)</f>
        <v>0</v>
      </c>
      <c r="H490" s="279" t="s">
        <v>6272</v>
      </c>
      <c r="I490" s="280" t="s">
        <v>5650</v>
      </c>
      <c r="J490" s="281" t="s">
        <v>3734</v>
      </c>
      <c r="K490" s="282">
        <v>45225</v>
      </c>
      <c r="L490" s="282">
        <v>45748</v>
      </c>
      <c r="M490" s="282">
        <v>45729</v>
      </c>
      <c r="N490" s="371">
        <v>3000000000</v>
      </c>
      <c r="O490" s="444" t="s">
        <v>3866</v>
      </c>
      <c r="P490" s="397">
        <v>3000000000</v>
      </c>
      <c r="Q490" s="397">
        <v>3000000000</v>
      </c>
      <c r="R490" s="397"/>
      <c r="S490" s="398">
        <f t="shared" si="22"/>
        <v>3000000000</v>
      </c>
      <c r="T490" s="353"/>
      <c r="U490" s="353">
        <f t="shared" si="23"/>
        <v>3000000000</v>
      </c>
      <c r="V490" s="399"/>
      <c r="W490" s="399"/>
      <c r="X490" s="400" t="s">
        <v>492</v>
      </c>
      <c r="Y490" s="400"/>
      <c r="Z490" s="283"/>
    </row>
    <row r="491" spans="2:26" ht="19.5" hidden="1" customHeight="1">
      <c r="B491" s="29">
        <f t="shared" si="21"/>
        <v>481</v>
      </c>
      <c r="C491" s="30" t="s">
        <v>202</v>
      </c>
      <c r="D491" s="30" t="s">
        <v>225</v>
      </c>
      <c r="E491" s="234" t="s">
        <v>934</v>
      </c>
      <c r="F491" s="235" t="s">
        <v>1333</v>
      </c>
      <c r="G491" s="284">
        <f>IFERROR(VLOOKUP(E491,Assign!$C$2:$J$142,8,FALSE),)</f>
        <v>0</v>
      </c>
      <c r="H491" s="279" t="s">
        <v>6769</v>
      </c>
      <c r="I491" s="280" t="s">
        <v>6034</v>
      </c>
      <c r="J491" s="281" t="s">
        <v>3736</v>
      </c>
      <c r="K491" s="282">
        <v>41240</v>
      </c>
      <c r="L491" s="282">
        <v>45801</v>
      </c>
      <c r="M491" s="282">
        <v>45699</v>
      </c>
      <c r="N491" s="371">
        <v>270000000</v>
      </c>
      <c r="O491" s="444" t="s">
        <v>3866</v>
      </c>
      <c r="P491" s="397">
        <v>264901902</v>
      </c>
      <c r="Q491" s="397">
        <v>264901902</v>
      </c>
      <c r="R491" s="397"/>
      <c r="S491" s="398">
        <f t="shared" si="22"/>
        <v>264901902</v>
      </c>
      <c r="T491" s="353"/>
      <c r="U491" s="353">
        <f t="shared" si="23"/>
        <v>264901902</v>
      </c>
      <c r="V491" s="399"/>
      <c r="W491" s="399"/>
      <c r="X491" s="400" t="s">
        <v>492</v>
      </c>
      <c r="Y491" s="400"/>
      <c r="Z491" s="283"/>
    </row>
    <row r="492" spans="2:26" ht="19.5" hidden="1" customHeight="1">
      <c r="B492" s="29">
        <f t="shared" si="21"/>
        <v>482</v>
      </c>
      <c r="C492" s="30" t="s">
        <v>202</v>
      </c>
      <c r="D492" s="30" t="s">
        <v>225</v>
      </c>
      <c r="E492" s="234" t="s">
        <v>934</v>
      </c>
      <c r="F492" s="235" t="s">
        <v>1333</v>
      </c>
      <c r="G492" s="284">
        <f>IFERROR(VLOOKUP(E492,Assign!$C$2:$J$142,8,FALSE),)</f>
        <v>0</v>
      </c>
      <c r="H492" s="279" t="s">
        <v>6770</v>
      </c>
      <c r="I492" s="280" t="s">
        <v>6035</v>
      </c>
      <c r="J492" s="281" t="s">
        <v>3734</v>
      </c>
      <c r="K492" s="282">
        <v>43266</v>
      </c>
      <c r="L492" s="282">
        <v>45807</v>
      </c>
      <c r="M492" s="282">
        <v>45673</v>
      </c>
      <c r="N492" s="371">
        <v>300000000</v>
      </c>
      <c r="O492" s="444" t="s">
        <v>3866</v>
      </c>
      <c r="P492" s="397">
        <v>300000000</v>
      </c>
      <c r="Q492" s="397">
        <v>300000000</v>
      </c>
      <c r="R492" s="397"/>
      <c r="S492" s="398">
        <f t="shared" si="22"/>
        <v>300000000</v>
      </c>
      <c r="T492" s="353"/>
      <c r="U492" s="353">
        <f t="shared" si="23"/>
        <v>300000000</v>
      </c>
      <c r="V492" s="399"/>
      <c r="W492" s="399"/>
      <c r="X492" s="400" t="s">
        <v>492</v>
      </c>
      <c r="Y492" s="400"/>
      <c r="Z492" s="283"/>
    </row>
    <row r="493" spans="2:26" ht="19.5" hidden="1" customHeight="1">
      <c r="B493" s="29">
        <f t="shared" si="21"/>
        <v>483</v>
      </c>
      <c r="C493" s="30" t="s">
        <v>202</v>
      </c>
      <c r="D493" s="30" t="s">
        <v>225</v>
      </c>
      <c r="E493" s="234" t="s">
        <v>934</v>
      </c>
      <c r="F493" s="235" t="s">
        <v>1333</v>
      </c>
      <c r="G493" s="284">
        <f>IFERROR(VLOOKUP(E493,Assign!$C$2:$J$142,8,FALSE),)</f>
        <v>0</v>
      </c>
      <c r="H493" s="279" t="s">
        <v>6771</v>
      </c>
      <c r="I493" s="280" t="s">
        <v>5961</v>
      </c>
      <c r="J493" s="281" t="s">
        <v>3734</v>
      </c>
      <c r="K493" s="282">
        <v>43782</v>
      </c>
      <c r="L493" s="282">
        <v>45968</v>
      </c>
      <c r="M493" s="282">
        <v>45671</v>
      </c>
      <c r="N493" s="371">
        <v>450000000</v>
      </c>
      <c r="O493" s="444" t="s">
        <v>3866</v>
      </c>
      <c r="P493" s="397">
        <v>450000000</v>
      </c>
      <c r="Q493" s="397">
        <v>450000000</v>
      </c>
      <c r="R493" s="397"/>
      <c r="S493" s="398">
        <f t="shared" si="22"/>
        <v>450000000</v>
      </c>
      <c r="T493" s="353"/>
      <c r="U493" s="353">
        <f t="shared" si="23"/>
        <v>450000000</v>
      </c>
      <c r="V493" s="399"/>
      <c r="W493" s="399"/>
      <c r="X493" s="400" t="s">
        <v>492</v>
      </c>
      <c r="Y493" s="400"/>
      <c r="Z493" s="283"/>
    </row>
    <row r="494" spans="2:26" ht="19.5" hidden="1" customHeight="1">
      <c r="B494" s="29">
        <f t="shared" si="21"/>
        <v>484</v>
      </c>
      <c r="C494" s="30" t="s">
        <v>202</v>
      </c>
      <c r="D494" s="30" t="s">
        <v>225</v>
      </c>
      <c r="E494" s="234" t="s">
        <v>934</v>
      </c>
      <c r="F494" s="235" t="s">
        <v>1333</v>
      </c>
      <c r="G494" s="284">
        <f>IFERROR(VLOOKUP(E494,Assign!$C$2:$J$142,8,FALSE),)</f>
        <v>0</v>
      </c>
      <c r="H494" s="279" t="s">
        <v>6772</v>
      </c>
      <c r="I494" s="280" t="s">
        <v>6036</v>
      </c>
      <c r="J494" s="281" t="s">
        <v>3745</v>
      </c>
      <c r="K494" s="282">
        <v>44064</v>
      </c>
      <c r="L494" s="282">
        <v>45768</v>
      </c>
      <c r="M494" s="282">
        <v>45679</v>
      </c>
      <c r="N494" s="371">
        <v>24000000</v>
      </c>
      <c r="O494" s="444" t="s">
        <v>3866</v>
      </c>
      <c r="P494" s="397">
        <v>12000000</v>
      </c>
      <c r="Q494" s="397">
        <v>12000000</v>
      </c>
      <c r="R494" s="397"/>
      <c r="S494" s="398">
        <f t="shared" si="22"/>
        <v>12000000</v>
      </c>
      <c r="T494" s="353"/>
      <c r="U494" s="353">
        <f t="shared" si="23"/>
        <v>12000000</v>
      </c>
      <c r="V494" s="399"/>
      <c r="W494" s="399"/>
      <c r="X494" s="400" t="s">
        <v>492</v>
      </c>
      <c r="Y494" s="400"/>
      <c r="Z494" s="283"/>
    </row>
    <row r="495" spans="2:26" ht="19.5" hidden="1" customHeight="1">
      <c r="B495" s="29">
        <f t="shared" si="21"/>
        <v>485</v>
      </c>
      <c r="C495" s="30" t="s">
        <v>202</v>
      </c>
      <c r="D495" s="30" t="s">
        <v>225</v>
      </c>
      <c r="E495" s="234" t="s">
        <v>934</v>
      </c>
      <c r="F495" s="235" t="s">
        <v>1333</v>
      </c>
      <c r="G495" s="284">
        <f>IFERROR(VLOOKUP(E495,Assign!$C$2:$J$142,8,FALSE),)</f>
        <v>0</v>
      </c>
      <c r="H495" s="279" t="s">
        <v>6773</v>
      </c>
      <c r="I495" s="280" t="s">
        <v>6037</v>
      </c>
      <c r="J495" s="281" t="s">
        <v>3793</v>
      </c>
      <c r="K495" s="282">
        <v>44971</v>
      </c>
      <c r="L495" s="282">
        <v>46063</v>
      </c>
      <c r="M495" s="282">
        <v>45668</v>
      </c>
      <c r="N495" s="371">
        <v>1307200000</v>
      </c>
      <c r="O495" s="444" t="s">
        <v>3866</v>
      </c>
      <c r="P495" s="397">
        <v>1307200000</v>
      </c>
      <c r="Q495" s="397">
        <v>1307200000</v>
      </c>
      <c r="R495" s="397"/>
      <c r="S495" s="398">
        <f t="shared" si="22"/>
        <v>1307200000</v>
      </c>
      <c r="T495" s="353"/>
      <c r="U495" s="353">
        <f t="shared" si="23"/>
        <v>1307200000</v>
      </c>
      <c r="V495" s="399"/>
      <c r="W495" s="399"/>
      <c r="X495" s="400" t="s">
        <v>492</v>
      </c>
      <c r="Y495" s="400"/>
      <c r="Z495" s="283"/>
    </row>
    <row r="496" spans="2:26" ht="19.5" hidden="1" customHeight="1">
      <c r="B496" s="29">
        <f t="shared" si="21"/>
        <v>486</v>
      </c>
      <c r="C496" s="30" t="s">
        <v>202</v>
      </c>
      <c r="D496" s="30" t="s">
        <v>225</v>
      </c>
      <c r="E496" s="234" t="s">
        <v>934</v>
      </c>
      <c r="F496" s="235" t="s">
        <v>1333</v>
      </c>
      <c r="G496" s="284">
        <f>IFERROR(VLOOKUP(E496,Assign!$C$2:$J$142,8,FALSE),)</f>
        <v>0</v>
      </c>
      <c r="H496" s="279" t="s">
        <v>6774</v>
      </c>
      <c r="I496" s="280" t="s">
        <v>6038</v>
      </c>
      <c r="J496" s="281" t="s">
        <v>3734</v>
      </c>
      <c r="K496" s="282">
        <v>45336</v>
      </c>
      <c r="L496" s="282">
        <v>45702</v>
      </c>
      <c r="M496" s="282">
        <v>45672</v>
      </c>
      <c r="N496" s="371">
        <v>585000000</v>
      </c>
      <c r="O496" s="444" t="s">
        <v>3866</v>
      </c>
      <c r="P496" s="397">
        <v>585000000</v>
      </c>
      <c r="Q496" s="397">
        <v>585000000</v>
      </c>
      <c r="R496" s="397"/>
      <c r="S496" s="398">
        <f t="shared" si="22"/>
        <v>585000000</v>
      </c>
      <c r="T496" s="353"/>
      <c r="U496" s="353">
        <f t="shared" si="23"/>
        <v>585000000</v>
      </c>
      <c r="V496" s="399"/>
      <c r="W496" s="399"/>
      <c r="X496" s="400" t="s">
        <v>492</v>
      </c>
      <c r="Y496" s="400"/>
      <c r="Z496" s="283"/>
    </row>
    <row r="497" spans="2:26" ht="19.5" hidden="1" customHeight="1">
      <c r="B497" s="29">
        <f t="shared" si="21"/>
        <v>487</v>
      </c>
      <c r="C497" s="30" t="s">
        <v>202</v>
      </c>
      <c r="D497" s="30" t="s">
        <v>225</v>
      </c>
      <c r="E497" s="234" t="s">
        <v>934</v>
      </c>
      <c r="F497" s="235" t="s">
        <v>1333</v>
      </c>
      <c r="G497" s="284">
        <f>IFERROR(VLOOKUP(E497,Assign!$C$2:$J$142,8,FALSE),)</f>
        <v>0</v>
      </c>
      <c r="H497" s="279" t="s">
        <v>6775</v>
      </c>
      <c r="I497" s="280" t="s">
        <v>6039</v>
      </c>
      <c r="J497" s="281" t="s">
        <v>3773</v>
      </c>
      <c r="K497" s="282">
        <v>45336</v>
      </c>
      <c r="L497" s="282">
        <v>45702</v>
      </c>
      <c r="M497" s="282">
        <v>45672</v>
      </c>
      <c r="N497" s="371">
        <v>1000000000</v>
      </c>
      <c r="O497" s="444" t="s">
        <v>3866</v>
      </c>
      <c r="P497" s="397">
        <v>1000000000</v>
      </c>
      <c r="Q497" s="397">
        <v>1000000000</v>
      </c>
      <c r="R497" s="397"/>
      <c r="S497" s="398">
        <f t="shared" si="22"/>
        <v>1000000000</v>
      </c>
      <c r="T497" s="353"/>
      <c r="U497" s="353">
        <f t="shared" si="23"/>
        <v>1000000000</v>
      </c>
      <c r="V497" s="399"/>
      <c r="W497" s="399"/>
      <c r="X497" s="400" t="s">
        <v>492</v>
      </c>
      <c r="Y497" s="400"/>
      <c r="Z497" s="283"/>
    </row>
    <row r="498" spans="2:26" ht="19.5" hidden="1" customHeight="1">
      <c r="B498" s="29">
        <f t="shared" si="21"/>
        <v>488</v>
      </c>
      <c r="C498" s="30" t="s">
        <v>202</v>
      </c>
      <c r="D498" s="30" t="s">
        <v>225</v>
      </c>
      <c r="E498" s="234" t="s">
        <v>935</v>
      </c>
      <c r="F498" s="235" t="s">
        <v>1334</v>
      </c>
      <c r="G498" s="284">
        <f>IFERROR(VLOOKUP(E498,Assign!$C$2:$J$142,8,FALSE),)</f>
        <v>0</v>
      </c>
      <c r="H498" s="279" t="s">
        <v>6959</v>
      </c>
      <c r="I498" s="280" t="s">
        <v>6136</v>
      </c>
      <c r="J498" s="281" t="s">
        <v>3754</v>
      </c>
      <c r="K498" s="282">
        <v>44376</v>
      </c>
      <c r="L498" s="282">
        <v>45844</v>
      </c>
      <c r="M498" s="282">
        <v>45709</v>
      </c>
      <c r="N498" s="371">
        <v>3243200000</v>
      </c>
      <c r="O498" s="444" t="s">
        <v>3866</v>
      </c>
      <c r="P498" s="397">
        <v>3213200000</v>
      </c>
      <c r="Q498" s="397">
        <v>3213200000</v>
      </c>
      <c r="R498" s="397"/>
      <c r="S498" s="398">
        <f t="shared" si="22"/>
        <v>3213200000</v>
      </c>
      <c r="T498" s="353"/>
      <c r="U498" s="353">
        <f t="shared" si="23"/>
        <v>3213200000</v>
      </c>
      <c r="V498" s="399"/>
      <c r="W498" s="399"/>
      <c r="X498" s="400" t="s">
        <v>492</v>
      </c>
      <c r="Y498" s="400"/>
      <c r="Z498" s="283"/>
    </row>
    <row r="499" spans="2:26" ht="19.5" hidden="1" customHeight="1">
      <c r="B499" s="29">
        <f t="shared" si="21"/>
        <v>489</v>
      </c>
      <c r="C499" s="30" t="s">
        <v>202</v>
      </c>
      <c r="D499" s="30" t="s">
        <v>225</v>
      </c>
      <c r="E499" s="234" t="s">
        <v>935</v>
      </c>
      <c r="F499" s="235" t="s">
        <v>1334</v>
      </c>
      <c r="G499" s="284">
        <f>IFERROR(VLOOKUP(E499,Assign!$C$2:$J$142,8,FALSE),)</f>
        <v>0</v>
      </c>
      <c r="H499" s="279" t="s">
        <v>6960</v>
      </c>
      <c r="I499" s="280" t="s">
        <v>6134</v>
      </c>
      <c r="J499" s="281" t="s">
        <v>3733</v>
      </c>
      <c r="K499" s="282">
        <v>44671</v>
      </c>
      <c r="L499" s="282">
        <v>45767</v>
      </c>
      <c r="M499" s="282">
        <v>45709</v>
      </c>
      <c r="N499" s="371">
        <v>500000000</v>
      </c>
      <c r="O499" s="444" t="s">
        <v>3866</v>
      </c>
      <c r="P499" s="397">
        <v>500000000</v>
      </c>
      <c r="Q499" s="397">
        <v>500000000</v>
      </c>
      <c r="R499" s="397"/>
      <c r="S499" s="398">
        <f t="shared" si="22"/>
        <v>500000000</v>
      </c>
      <c r="T499" s="353"/>
      <c r="U499" s="353">
        <f t="shared" si="23"/>
        <v>500000000</v>
      </c>
      <c r="V499" s="399"/>
      <c r="W499" s="399"/>
      <c r="X499" s="400" t="s">
        <v>492</v>
      </c>
      <c r="Y499" s="400"/>
      <c r="Z499" s="283"/>
    </row>
    <row r="500" spans="2:26" ht="19.5" hidden="1" customHeight="1">
      <c r="B500" s="29">
        <f t="shared" si="21"/>
        <v>490</v>
      </c>
      <c r="C500" s="30" t="s">
        <v>202</v>
      </c>
      <c r="D500" s="30" t="s">
        <v>225</v>
      </c>
      <c r="E500" s="234" t="s">
        <v>936</v>
      </c>
      <c r="F500" s="235" t="s">
        <v>1335</v>
      </c>
      <c r="G500" s="284">
        <f>IFERROR(VLOOKUP(E500,Assign!$C$2:$J$142,8,FALSE),)</f>
        <v>0</v>
      </c>
      <c r="H500" s="279" t="s">
        <v>7101</v>
      </c>
      <c r="I500" s="280" t="s">
        <v>5857</v>
      </c>
      <c r="J500" s="281" t="s">
        <v>3802</v>
      </c>
      <c r="K500" s="282">
        <v>45033</v>
      </c>
      <c r="L500" s="282">
        <v>46677</v>
      </c>
      <c r="M500" s="282">
        <v>45734</v>
      </c>
      <c r="N500" s="371">
        <v>800000000</v>
      </c>
      <c r="O500" s="444" t="s">
        <v>3866</v>
      </c>
      <c r="P500" s="397">
        <v>650549408</v>
      </c>
      <c r="Q500" s="397">
        <v>650549408</v>
      </c>
      <c r="R500" s="397"/>
      <c r="S500" s="398">
        <f t="shared" si="22"/>
        <v>650549408</v>
      </c>
      <c r="T500" s="353"/>
      <c r="U500" s="353">
        <f t="shared" si="23"/>
        <v>650549408</v>
      </c>
      <c r="V500" s="399"/>
      <c r="W500" s="399"/>
      <c r="X500" s="400" t="s">
        <v>492</v>
      </c>
      <c r="Y500" s="400"/>
      <c r="Z500" s="283"/>
    </row>
    <row r="501" spans="2:26" ht="19.5" hidden="1" customHeight="1">
      <c r="B501" s="29">
        <f t="shared" si="21"/>
        <v>491</v>
      </c>
      <c r="C501" s="30" t="s">
        <v>202</v>
      </c>
      <c r="D501" s="30" t="s">
        <v>225</v>
      </c>
      <c r="E501" s="234" t="s">
        <v>936</v>
      </c>
      <c r="F501" s="235" t="s">
        <v>1335</v>
      </c>
      <c r="G501" s="284">
        <f>IFERROR(VLOOKUP(E501,Assign!$C$2:$J$142,8,FALSE),)</f>
        <v>0</v>
      </c>
      <c r="H501" s="279" t="s">
        <v>7102</v>
      </c>
      <c r="I501" s="280" t="s">
        <v>5913</v>
      </c>
      <c r="J501" s="281" t="s">
        <v>3828</v>
      </c>
      <c r="K501" s="282">
        <v>45033</v>
      </c>
      <c r="L501" s="282">
        <v>46129</v>
      </c>
      <c r="M501" s="282">
        <v>45741</v>
      </c>
      <c r="N501" s="371">
        <v>2492575000</v>
      </c>
      <c r="O501" s="444" t="s">
        <v>3867</v>
      </c>
      <c r="P501" s="397">
        <v>247900000</v>
      </c>
      <c r="Q501" s="397">
        <v>2471637370</v>
      </c>
      <c r="R501" s="397"/>
      <c r="S501" s="398">
        <f t="shared" si="22"/>
        <v>2471637370</v>
      </c>
      <c r="T501" s="353"/>
      <c r="U501" s="353">
        <f t="shared" si="23"/>
        <v>2471637370</v>
      </c>
      <c r="V501" s="399"/>
      <c r="W501" s="399"/>
      <c r="X501" s="400" t="s">
        <v>492</v>
      </c>
      <c r="Y501" s="400"/>
      <c r="Z501" s="283"/>
    </row>
    <row r="502" spans="2:26" ht="19.5" hidden="1" customHeight="1">
      <c r="B502" s="29">
        <f t="shared" si="21"/>
        <v>492</v>
      </c>
      <c r="C502" s="30" t="s">
        <v>202</v>
      </c>
      <c r="D502" s="30" t="s">
        <v>225</v>
      </c>
      <c r="E502" s="234" t="s">
        <v>937</v>
      </c>
      <c r="F502" s="235" t="s">
        <v>1336</v>
      </c>
      <c r="G502" s="284">
        <f>IFERROR(VLOOKUP(E502,Assign!$C$2:$J$142,8,FALSE),)</f>
        <v>0</v>
      </c>
      <c r="H502" s="279" t="s">
        <v>7042</v>
      </c>
      <c r="I502" s="280" t="s">
        <v>5986</v>
      </c>
      <c r="J502" s="281" t="s">
        <v>3793</v>
      </c>
      <c r="K502" s="282">
        <v>44196</v>
      </c>
      <c r="L502" s="282">
        <v>45777</v>
      </c>
      <c r="M502" s="282">
        <v>45710</v>
      </c>
      <c r="N502" s="371">
        <v>773000000</v>
      </c>
      <c r="O502" s="444" t="s">
        <v>3866</v>
      </c>
      <c r="P502" s="397">
        <v>773000000</v>
      </c>
      <c r="Q502" s="397">
        <v>773000000</v>
      </c>
      <c r="R502" s="397"/>
      <c r="S502" s="398">
        <f t="shared" si="22"/>
        <v>773000000</v>
      </c>
      <c r="T502" s="353"/>
      <c r="U502" s="353">
        <f t="shared" si="23"/>
        <v>773000000</v>
      </c>
      <c r="V502" s="399"/>
      <c r="W502" s="399"/>
      <c r="X502" s="400" t="s">
        <v>492</v>
      </c>
      <c r="Y502" s="400"/>
      <c r="Z502" s="283"/>
    </row>
    <row r="503" spans="2:26" ht="19.5" hidden="1" customHeight="1">
      <c r="B503" s="29">
        <f t="shared" si="21"/>
        <v>493</v>
      </c>
      <c r="C503" s="30" t="s">
        <v>202</v>
      </c>
      <c r="D503" s="30" t="s">
        <v>225</v>
      </c>
      <c r="E503" s="234" t="s">
        <v>937</v>
      </c>
      <c r="F503" s="235" t="s">
        <v>1336</v>
      </c>
      <c r="G503" s="284">
        <f>IFERROR(VLOOKUP(E503,Assign!$C$2:$J$142,8,FALSE),)</f>
        <v>0</v>
      </c>
      <c r="H503" s="279" t="s">
        <v>7043</v>
      </c>
      <c r="I503" s="280" t="s">
        <v>6179</v>
      </c>
      <c r="J503" s="281" t="s">
        <v>3774</v>
      </c>
      <c r="K503" s="282">
        <v>44225</v>
      </c>
      <c r="L503" s="282">
        <v>47872</v>
      </c>
      <c r="M503" s="282">
        <v>45675</v>
      </c>
      <c r="N503" s="371">
        <v>2290000000</v>
      </c>
      <c r="O503" s="444" t="s">
        <v>3866</v>
      </c>
      <c r="P503" s="397">
        <v>2290000000</v>
      </c>
      <c r="Q503" s="397">
        <v>2290000000</v>
      </c>
      <c r="R503" s="397"/>
      <c r="S503" s="398">
        <f t="shared" si="22"/>
        <v>2290000000</v>
      </c>
      <c r="T503" s="353"/>
      <c r="U503" s="353">
        <f t="shared" si="23"/>
        <v>2290000000</v>
      </c>
      <c r="V503" s="399"/>
      <c r="W503" s="399"/>
      <c r="X503" s="400" t="s">
        <v>492</v>
      </c>
      <c r="Y503" s="400"/>
      <c r="Z503" s="283"/>
    </row>
    <row r="504" spans="2:26" ht="19.5" hidden="1" customHeight="1">
      <c r="B504" s="29">
        <f t="shared" si="21"/>
        <v>494</v>
      </c>
      <c r="C504" s="30" t="s">
        <v>202</v>
      </c>
      <c r="D504" s="30" t="s">
        <v>225</v>
      </c>
      <c r="E504" s="234" t="s">
        <v>938</v>
      </c>
      <c r="F504" s="235" t="s">
        <v>1231</v>
      </c>
      <c r="G504" s="284">
        <f>IFERROR(VLOOKUP(E504,Assign!$C$2:$J$142,8,FALSE),)</f>
        <v>0</v>
      </c>
      <c r="H504" s="279" t="s">
        <v>6764</v>
      </c>
      <c r="I504" s="280" t="s">
        <v>6032</v>
      </c>
      <c r="J504" s="281" t="s">
        <v>3734</v>
      </c>
      <c r="K504" s="282">
        <v>44292</v>
      </c>
      <c r="L504" s="282">
        <v>45723</v>
      </c>
      <c r="M504" s="282">
        <v>45603</v>
      </c>
      <c r="N504" s="371">
        <v>120000000</v>
      </c>
      <c r="O504" s="444" t="s">
        <v>3866</v>
      </c>
      <c r="P504" s="397">
        <v>18000000</v>
      </c>
      <c r="Q504" s="397">
        <v>18000000</v>
      </c>
      <c r="R504" s="397"/>
      <c r="S504" s="398">
        <f t="shared" si="22"/>
        <v>18000000</v>
      </c>
      <c r="T504" s="353"/>
      <c r="U504" s="353">
        <f t="shared" si="23"/>
        <v>18000000</v>
      </c>
      <c r="V504" s="399"/>
      <c r="W504" s="399"/>
      <c r="X504" s="400" t="s">
        <v>492</v>
      </c>
      <c r="Y504" s="400"/>
      <c r="Z504" s="283"/>
    </row>
    <row r="505" spans="2:26" ht="19.5" hidden="1" customHeight="1">
      <c r="B505" s="29">
        <f t="shared" si="21"/>
        <v>495</v>
      </c>
      <c r="C505" s="30" t="s">
        <v>202</v>
      </c>
      <c r="D505" s="30" t="s">
        <v>225</v>
      </c>
      <c r="E505" s="234" t="s">
        <v>938</v>
      </c>
      <c r="F505" s="235" t="s">
        <v>1231</v>
      </c>
      <c r="G505" s="284">
        <f>IFERROR(VLOOKUP(E505,Assign!$C$2:$J$142,8,FALSE),)</f>
        <v>0</v>
      </c>
      <c r="H505" s="279" t="s">
        <v>6765</v>
      </c>
      <c r="I505" s="280" t="s">
        <v>5601</v>
      </c>
      <c r="J505" s="281" t="s">
        <v>3733</v>
      </c>
      <c r="K505" s="282">
        <v>44368</v>
      </c>
      <c r="L505" s="282">
        <v>45829</v>
      </c>
      <c r="M505" s="282">
        <v>45588</v>
      </c>
      <c r="N505" s="371">
        <v>1860000000</v>
      </c>
      <c r="O505" s="444" t="s">
        <v>3866</v>
      </c>
      <c r="P505" s="397">
        <v>1860000000</v>
      </c>
      <c r="Q505" s="397">
        <v>1860000000</v>
      </c>
      <c r="R505" s="397"/>
      <c r="S505" s="398">
        <f t="shared" si="22"/>
        <v>1860000000</v>
      </c>
      <c r="T505" s="353"/>
      <c r="U505" s="353">
        <f t="shared" si="23"/>
        <v>1860000000</v>
      </c>
      <c r="V505" s="399"/>
      <c r="W505" s="399"/>
      <c r="X505" s="400" t="s">
        <v>492</v>
      </c>
      <c r="Y505" s="400"/>
      <c r="Z505" s="283"/>
    </row>
    <row r="506" spans="2:26" ht="19.5" hidden="1" customHeight="1">
      <c r="B506" s="29">
        <f t="shared" si="21"/>
        <v>496</v>
      </c>
      <c r="C506" s="30" t="s">
        <v>202</v>
      </c>
      <c r="D506" s="30" t="s">
        <v>225</v>
      </c>
      <c r="E506" s="234" t="s">
        <v>938</v>
      </c>
      <c r="F506" s="235" t="s">
        <v>1231</v>
      </c>
      <c r="G506" s="284">
        <f>IFERROR(VLOOKUP(E506,Assign!$C$2:$J$142,8,FALSE),)</f>
        <v>0</v>
      </c>
      <c r="H506" s="279" t="s">
        <v>6766</v>
      </c>
      <c r="I506" s="280" t="s">
        <v>5648</v>
      </c>
      <c r="J506" s="281" t="s">
        <v>3754</v>
      </c>
      <c r="K506" s="282">
        <v>44453</v>
      </c>
      <c r="L506" s="282">
        <v>45615</v>
      </c>
      <c r="M506" s="282">
        <v>45588</v>
      </c>
      <c r="N506" s="371">
        <v>952000000</v>
      </c>
      <c r="O506" s="444" t="s">
        <v>3866</v>
      </c>
      <c r="P506" s="397">
        <v>952000000</v>
      </c>
      <c r="Q506" s="397">
        <v>952000000</v>
      </c>
      <c r="R506" s="397"/>
      <c r="S506" s="398">
        <f t="shared" si="22"/>
        <v>952000000</v>
      </c>
      <c r="T506" s="353"/>
      <c r="U506" s="353">
        <f t="shared" si="23"/>
        <v>952000000</v>
      </c>
      <c r="V506" s="399"/>
      <c r="W506" s="399"/>
      <c r="X506" s="400" t="s">
        <v>492</v>
      </c>
      <c r="Y506" s="400"/>
      <c r="Z506" s="283"/>
    </row>
    <row r="507" spans="2:26" ht="19.5" hidden="1" customHeight="1">
      <c r="B507" s="29">
        <f t="shared" si="21"/>
        <v>497</v>
      </c>
      <c r="C507" s="30" t="s">
        <v>202</v>
      </c>
      <c r="D507" s="30" t="s">
        <v>225</v>
      </c>
      <c r="E507" s="234" t="s">
        <v>938</v>
      </c>
      <c r="F507" s="235" t="s">
        <v>1231</v>
      </c>
      <c r="G507" s="284">
        <f>IFERROR(VLOOKUP(E507,Assign!$C$2:$J$142,8,FALSE),)</f>
        <v>0</v>
      </c>
      <c r="H507" s="279" t="s">
        <v>6767</v>
      </c>
      <c r="I507" s="280" t="s">
        <v>6033</v>
      </c>
      <c r="J507" s="281" t="s">
        <v>3734</v>
      </c>
      <c r="K507" s="282">
        <v>45229</v>
      </c>
      <c r="L507" s="282">
        <v>46325</v>
      </c>
      <c r="M507" s="282">
        <v>45588</v>
      </c>
      <c r="N507" s="371">
        <v>100000000</v>
      </c>
      <c r="O507" s="444" t="s">
        <v>3866</v>
      </c>
      <c r="P507" s="397">
        <v>100000000</v>
      </c>
      <c r="Q507" s="397">
        <v>100000000</v>
      </c>
      <c r="R507" s="397"/>
      <c r="S507" s="398">
        <f t="shared" si="22"/>
        <v>100000000</v>
      </c>
      <c r="T507" s="353"/>
      <c r="U507" s="353">
        <f t="shared" si="23"/>
        <v>100000000</v>
      </c>
      <c r="V507" s="399"/>
      <c r="W507" s="399"/>
      <c r="X507" s="400" t="s">
        <v>492</v>
      </c>
      <c r="Y507" s="400"/>
      <c r="Z507" s="283"/>
    </row>
    <row r="508" spans="2:26" ht="19.5" hidden="1" customHeight="1">
      <c r="B508" s="29">
        <f t="shared" si="21"/>
        <v>498</v>
      </c>
      <c r="C508" s="30" t="s">
        <v>202</v>
      </c>
      <c r="D508" s="30" t="s">
        <v>225</v>
      </c>
      <c r="E508" s="234" t="s">
        <v>939</v>
      </c>
      <c r="F508" s="235" t="s">
        <v>1338</v>
      </c>
      <c r="G508" s="284">
        <f>IFERROR(VLOOKUP(E508,Assign!$C$2:$J$142,8,FALSE),)</f>
        <v>0</v>
      </c>
      <c r="H508" s="279" t="s">
        <v>6934</v>
      </c>
      <c r="I508" s="280" t="s">
        <v>5620</v>
      </c>
      <c r="J508" s="281" t="s">
        <v>3764</v>
      </c>
      <c r="K508" s="282">
        <v>43965</v>
      </c>
      <c r="L508" s="282">
        <v>45791</v>
      </c>
      <c r="M508" s="282">
        <v>45762</v>
      </c>
      <c r="N508" s="371">
        <v>417700000</v>
      </c>
      <c r="O508" s="444" t="s">
        <v>3866</v>
      </c>
      <c r="P508" s="397">
        <v>417700000</v>
      </c>
      <c r="Q508" s="397">
        <v>417700000</v>
      </c>
      <c r="R508" s="397"/>
      <c r="S508" s="398">
        <f t="shared" si="22"/>
        <v>417700000</v>
      </c>
      <c r="T508" s="353"/>
      <c r="U508" s="353">
        <f t="shared" si="23"/>
        <v>417700000</v>
      </c>
      <c r="V508" s="399"/>
      <c r="W508" s="399"/>
      <c r="X508" s="400" t="s">
        <v>492</v>
      </c>
      <c r="Y508" s="400"/>
      <c r="Z508" s="283"/>
    </row>
    <row r="509" spans="2:26" ht="19.5" hidden="1" customHeight="1">
      <c r="B509" s="29">
        <f t="shared" si="21"/>
        <v>499</v>
      </c>
      <c r="C509" s="30" t="s">
        <v>202</v>
      </c>
      <c r="D509" s="30" t="s">
        <v>225</v>
      </c>
      <c r="E509" s="234" t="s">
        <v>939</v>
      </c>
      <c r="F509" s="235" t="s">
        <v>1338</v>
      </c>
      <c r="G509" s="284">
        <f>IFERROR(VLOOKUP(E509,Assign!$C$2:$J$142,8,FALSE),)</f>
        <v>0</v>
      </c>
      <c r="H509" s="279" t="s">
        <v>6935</v>
      </c>
      <c r="I509" s="280" t="s">
        <v>6125</v>
      </c>
      <c r="J509" s="281" t="s">
        <v>3764</v>
      </c>
      <c r="K509" s="282">
        <v>44014</v>
      </c>
      <c r="L509" s="282">
        <v>45791</v>
      </c>
      <c r="M509" s="282">
        <v>45762</v>
      </c>
      <c r="N509" s="371">
        <v>132300000</v>
      </c>
      <c r="O509" s="444" t="s">
        <v>3866</v>
      </c>
      <c r="P509" s="397">
        <v>132300000</v>
      </c>
      <c r="Q509" s="397">
        <v>132300000</v>
      </c>
      <c r="R509" s="397"/>
      <c r="S509" s="398">
        <f t="shared" si="22"/>
        <v>132300000</v>
      </c>
      <c r="T509" s="353"/>
      <c r="U509" s="353">
        <f t="shared" si="23"/>
        <v>132300000</v>
      </c>
      <c r="V509" s="399"/>
      <c r="W509" s="399"/>
      <c r="X509" s="400" t="s">
        <v>492</v>
      </c>
      <c r="Y509" s="400"/>
      <c r="Z509" s="283"/>
    </row>
    <row r="510" spans="2:26" ht="19.5" hidden="1" customHeight="1">
      <c r="B510" s="29">
        <f t="shared" si="21"/>
        <v>500</v>
      </c>
      <c r="C510" s="30" t="s">
        <v>202</v>
      </c>
      <c r="D510" s="30" t="s">
        <v>225</v>
      </c>
      <c r="E510" s="234" t="s">
        <v>939</v>
      </c>
      <c r="F510" s="235" t="s">
        <v>1338</v>
      </c>
      <c r="G510" s="284">
        <f>IFERROR(VLOOKUP(E510,Assign!$C$2:$J$142,8,FALSE),)</f>
        <v>0</v>
      </c>
      <c r="H510" s="279" t="s">
        <v>6936</v>
      </c>
      <c r="I510" s="280" t="s">
        <v>6126</v>
      </c>
      <c r="J510" s="281" t="s">
        <v>3764</v>
      </c>
      <c r="K510" s="282">
        <v>44314</v>
      </c>
      <c r="L510" s="282">
        <v>45766</v>
      </c>
      <c r="M510" s="282">
        <v>45750</v>
      </c>
      <c r="N510" s="371">
        <v>1218000000</v>
      </c>
      <c r="O510" s="444" t="s">
        <v>3866</v>
      </c>
      <c r="P510" s="397">
        <v>1218000000</v>
      </c>
      <c r="Q510" s="397">
        <v>1218000000</v>
      </c>
      <c r="R510" s="397"/>
      <c r="S510" s="398">
        <f t="shared" si="22"/>
        <v>1218000000</v>
      </c>
      <c r="T510" s="353"/>
      <c r="U510" s="353">
        <f t="shared" si="23"/>
        <v>1218000000</v>
      </c>
      <c r="V510" s="399"/>
      <c r="W510" s="399"/>
      <c r="X510" s="400" t="s">
        <v>492</v>
      </c>
      <c r="Y510" s="400"/>
      <c r="Z510" s="283"/>
    </row>
    <row r="511" spans="2:26" ht="19.5" hidden="1" customHeight="1">
      <c r="B511" s="29">
        <f t="shared" si="21"/>
        <v>501</v>
      </c>
      <c r="C511" s="30" t="s">
        <v>202</v>
      </c>
      <c r="D511" s="30" t="s">
        <v>225</v>
      </c>
      <c r="E511" s="234" t="s">
        <v>939</v>
      </c>
      <c r="F511" s="235" t="s">
        <v>1338</v>
      </c>
      <c r="G511" s="284">
        <f>IFERROR(VLOOKUP(E511,Assign!$C$2:$J$142,8,FALSE),)</f>
        <v>0</v>
      </c>
      <c r="H511" s="279" t="s">
        <v>6937</v>
      </c>
      <c r="I511" s="280" t="s">
        <v>6101</v>
      </c>
      <c r="J511" s="281" t="s">
        <v>3808</v>
      </c>
      <c r="K511" s="282">
        <v>45426</v>
      </c>
      <c r="L511" s="282">
        <v>45791</v>
      </c>
      <c r="M511" s="282">
        <v>45762</v>
      </c>
      <c r="N511" s="371">
        <v>927000000</v>
      </c>
      <c r="O511" s="444" t="s">
        <v>3866</v>
      </c>
      <c r="P511" s="397">
        <v>927000000</v>
      </c>
      <c r="Q511" s="397">
        <v>927000000</v>
      </c>
      <c r="R511" s="397"/>
      <c r="S511" s="398">
        <f t="shared" si="22"/>
        <v>927000000</v>
      </c>
      <c r="T511" s="353"/>
      <c r="U511" s="353">
        <f t="shared" si="23"/>
        <v>927000000</v>
      </c>
      <c r="V511" s="399"/>
      <c r="W511" s="399"/>
      <c r="X511" s="400" t="s">
        <v>492</v>
      </c>
      <c r="Y511" s="400"/>
      <c r="Z511" s="283"/>
    </row>
    <row r="512" spans="2:26" ht="19.5" hidden="1" customHeight="1">
      <c r="B512" s="29">
        <f t="shared" si="21"/>
        <v>502</v>
      </c>
      <c r="C512" s="30" t="s">
        <v>202</v>
      </c>
      <c r="D512" s="30" t="s">
        <v>225</v>
      </c>
      <c r="E512" s="234" t="s">
        <v>940</v>
      </c>
      <c r="F512" s="235" t="s">
        <v>1339</v>
      </c>
      <c r="G512" s="284">
        <f>IFERROR(VLOOKUP(E512,Assign!$C$2:$J$142,8,FALSE),)</f>
        <v>0</v>
      </c>
      <c r="H512" s="279" t="s">
        <v>6914</v>
      </c>
      <c r="I512" s="280" t="s">
        <v>5899</v>
      </c>
      <c r="J512" s="281" t="s">
        <v>3793</v>
      </c>
      <c r="K512" s="282">
        <v>44862</v>
      </c>
      <c r="L512" s="282">
        <v>45958</v>
      </c>
      <c r="M512" s="282">
        <v>45717</v>
      </c>
      <c r="N512" s="371">
        <v>920000000</v>
      </c>
      <c r="O512" s="444" t="s">
        <v>3866</v>
      </c>
      <c r="P512" s="397">
        <v>920000000</v>
      </c>
      <c r="Q512" s="397">
        <v>920000000</v>
      </c>
      <c r="R512" s="397"/>
      <c r="S512" s="398">
        <f t="shared" si="22"/>
        <v>920000000</v>
      </c>
      <c r="T512" s="353"/>
      <c r="U512" s="353">
        <f t="shared" si="23"/>
        <v>920000000</v>
      </c>
      <c r="V512" s="399"/>
      <c r="W512" s="399"/>
      <c r="X512" s="400" t="s">
        <v>492</v>
      </c>
      <c r="Y512" s="400"/>
      <c r="Z512" s="283"/>
    </row>
    <row r="513" spans="2:26" ht="19.5" hidden="1" customHeight="1">
      <c r="B513" s="29">
        <f t="shared" si="21"/>
        <v>503</v>
      </c>
      <c r="C513" s="30" t="s">
        <v>202</v>
      </c>
      <c r="D513" s="30" t="s">
        <v>225</v>
      </c>
      <c r="E513" s="234" t="s">
        <v>940</v>
      </c>
      <c r="F513" s="235" t="s">
        <v>1339</v>
      </c>
      <c r="G513" s="284">
        <f>IFERROR(VLOOKUP(E513,Assign!$C$2:$J$142,8,FALSE),)</f>
        <v>0</v>
      </c>
      <c r="H513" s="279" t="s">
        <v>6915</v>
      </c>
      <c r="I513" s="280" t="s">
        <v>6112</v>
      </c>
      <c r="J513" s="281" t="s">
        <v>3793</v>
      </c>
      <c r="K513" s="282">
        <v>44862</v>
      </c>
      <c r="L513" s="282">
        <v>45958</v>
      </c>
      <c r="M513" s="282">
        <v>45717</v>
      </c>
      <c r="N513" s="371">
        <v>550000000</v>
      </c>
      <c r="O513" s="444" t="s">
        <v>3866</v>
      </c>
      <c r="P513" s="397">
        <v>550000000</v>
      </c>
      <c r="Q513" s="397">
        <v>550000000</v>
      </c>
      <c r="R513" s="397"/>
      <c r="S513" s="398">
        <f t="shared" si="22"/>
        <v>550000000</v>
      </c>
      <c r="T513" s="353"/>
      <c r="U513" s="353">
        <f t="shared" si="23"/>
        <v>550000000</v>
      </c>
      <c r="V513" s="399"/>
      <c r="W513" s="399"/>
      <c r="X513" s="400" t="s">
        <v>492</v>
      </c>
      <c r="Y513" s="400"/>
      <c r="Z513" s="283"/>
    </row>
    <row r="514" spans="2:26" ht="19.5" hidden="1" customHeight="1">
      <c r="B514" s="29">
        <f t="shared" si="21"/>
        <v>504</v>
      </c>
      <c r="C514" s="30" t="s">
        <v>202</v>
      </c>
      <c r="D514" s="30" t="s">
        <v>225</v>
      </c>
      <c r="E514" s="234" t="s">
        <v>940</v>
      </c>
      <c r="F514" s="235" t="s">
        <v>1339</v>
      </c>
      <c r="G514" s="284">
        <f>IFERROR(VLOOKUP(E514,Assign!$C$2:$J$142,8,FALSE),)</f>
        <v>0</v>
      </c>
      <c r="H514" s="279" t="s">
        <v>6916</v>
      </c>
      <c r="I514" s="280" t="s">
        <v>6113</v>
      </c>
      <c r="J514" s="281" t="s">
        <v>3793</v>
      </c>
      <c r="K514" s="282">
        <v>44862</v>
      </c>
      <c r="L514" s="282">
        <v>45958</v>
      </c>
      <c r="M514" s="282">
        <v>45717</v>
      </c>
      <c r="N514" s="371">
        <v>530000000</v>
      </c>
      <c r="O514" s="444" t="s">
        <v>3866</v>
      </c>
      <c r="P514" s="397">
        <v>530000000</v>
      </c>
      <c r="Q514" s="397">
        <v>530000000</v>
      </c>
      <c r="R514" s="397"/>
      <c r="S514" s="398">
        <f t="shared" si="22"/>
        <v>530000000</v>
      </c>
      <c r="T514" s="353"/>
      <c r="U514" s="353">
        <f t="shared" si="23"/>
        <v>530000000</v>
      </c>
      <c r="V514" s="399"/>
      <c r="W514" s="399"/>
      <c r="X514" s="400" t="s">
        <v>492</v>
      </c>
      <c r="Y514" s="400"/>
      <c r="Z514" s="283"/>
    </row>
    <row r="515" spans="2:26" ht="19.5" hidden="1" customHeight="1">
      <c r="B515" s="29">
        <f t="shared" si="21"/>
        <v>505</v>
      </c>
      <c r="C515" s="30" t="s">
        <v>202</v>
      </c>
      <c r="D515" s="30" t="s">
        <v>225</v>
      </c>
      <c r="E515" s="234" t="s">
        <v>940</v>
      </c>
      <c r="F515" s="235" t="s">
        <v>1339</v>
      </c>
      <c r="G515" s="284">
        <f>IFERROR(VLOOKUP(E515,Assign!$C$2:$J$142,8,FALSE),)</f>
        <v>0</v>
      </c>
      <c r="H515" s="279" t="s">
        <v>6917</v>
      </c>
      <c r="I515" s="280" t="s">
        <v>6114</v>
      </c>
      <c r="J515" s="281" t="s">
        <v>3772</v>
      </c>
      <c r="K515" s="282">
        <v>45337</v>
      </c>
      <c r="L515" s="282">
        <v>45958</v>
      </c>
      <c r="M515" s="282">
        <v>45734</v>
      </c>
      <c r="N515" s="371">
        <v>300000000</v>
      </c>
      <c r="O515" s="444" t="s">
        <v>3866</v>
      </c>
      <c r="P515" s="397">
        <v>300000000</v>
      </c>
      <c r="Q515" s="397">
        <v>300000000</v>
      </c>
      <c r="R515" s="397"/>
      <c r="S515" s="398">
        <f t="shared" si="22"/>
        <v>300000000</v>
      </c>
      <c r="T515" s="353"/>
      <c r="U515" s="353">
        <f t="shared" si="23"/>
        <v>300000000</v>
      </c>
      <c r="V515" s="399"/>
      <c r="W515" s="399"/>
      <c r="X515" s="400" t="s">
        <v>492</v>
      </c>
      <c r="Y515" s="400"/>
      <c r="Z515" s="283"/>
    </row>
    <row r="516" spans="2:26" ht="19.5" hidden="1" customHeight="1">
      <c r="B516" s="29">
        <f t="shared" si="21"/>
        <v>506</v>
      </c>
      <c r="C516" s="30" t="s">
        <v>202</v>
      </c>
      <c r="D516" s="30" t="s">
        <v>225</v>
      </c>
      <c r="E516" s="234" t="s">
        <v>941</v>
      </c>
      <c r="F516" s="235" t="s">
        <v>1229</v>
      </c>
      <c r="G516" s="284">
        <f>IFERROR(VLOOKUP(E516,Assign!$C$2:$J$142,8,FALSE),)</f>
        <v>0</v>
      </c>
      <c r="H516" s="279" t="s">
        <v>6275</v>
      </c>
      <c r="I516" s="280" t="s">
        <v>5653</v>
      </c>
      <c r="J516" s="281" t="s">
        <v>3743</v>
      </c>
      <c r="K516" s="282">
        <v>43136</v>
      </c>
      <c r="L516" s="282">
        <v>54093</v>
      </c>
      <c r="M516" s="282">
        <v>45708</v>
      </c>
      <c r="N516" s="371">
        <v>100000000</v>
      </c>
      <c r="O516" s="444" t="s">
        <v>3866</v>
      </c>
      <c r="P516" s="397">
        <v>76666452</v>
      </c>
      <c r="Q516" s="397">
        <v>76666452</v>
      </c>
      <c r="R516" s="397"/>
      <c r="S516" s="398">
        <f t="shared" si="22"/>
        <v>76666452</v>
      </c>
      <c r="T516" s="353"/>
      <c r="U516" s="353">
        <f t="shared" si="23"/>
        <v>76666452</v>
      </c>
      <c r="V516" s="399"/>
      <c r="W516" s="399"/>
      <c r="X516" s="400" t="s">
        <v>492</v>
      </c>
      <c r="Y516" s="400"/>
      <c r="Z516" s="283"/>
    </row>
    <row r="517" spans="2:26" ht="19.5" hidden="1" customHeight="1">
      <c r="B517" s="29">
        <f t="shared" si="21"/>
        <v>507</v>
      </c>
      <c r="C517" s="30" t="s">
        <v>202</v>
      </c>
      <c r="D517" s="30" t="s">
        <v>225</v>
      </c>
      <c r="E517" s="234" t="s">
        <v>941</v>
      </c>
      <c r="F517" s="235" t="s">
        <v>1229</v>
      </c>
      <c r="G517" s="284">
        <f>IFERROR(VLOOKUP(E517,Assign!$C$2:$J$142,8,FALSE),)</f>
        <v>0</v>
      </c>
      <c r="H517" s="279" t="s">
        <v>6276</v>
      </c>
      <c r="I517" s="280" t="s">
        <v>5629</v>
      </c>
      <c r="J517" s="281" t="s">
        <v>3754</v>
      </c>
      <c r="K517" s="282">
        <v>43140</v>
      </c>
      <c r="L517" s="282">
        <v>45695</v>
      </c>
      <c r="M517" s="282">
        <v>45696</v>
      </c>
      <c r="N517" s="371">
        <v>1807500000</v>
      </c>
      <c r="O517" s="444" t="s">
        <v>3866</v>
      </c>
      <c r="P517" s="397">
        <v>1795000000</v>
      </c>
      <c r="Q517" s="397">
        <v>1795000000</v>
      </c>
      <c r="R517" s="397"/>
      <c r="S517" s="398">
        <f t="shared" si="22"/>
        <v>1795000000</v>
      </c>
      <c r="T517" s="353"/>
      <c r="U517" s="353">
        <f t="shared" si="23"/>
        <v>1795000000</v>
      </c>
      <c r="V517" s="399"/>
      <c r="W517" s="399"/>
      <c r="X517" s="400" t="s">
        <v>492</v>
      </c>
      <c r="Y517" s="400"/>
      <c r="Z517" s="283"/>
    </row>
    <row r="518" spans="2:26" ht="19.5" hidden="1" customHeight="1">
      <c r="B518" s="29">
        <f t="shared" si="21"/>
        <v>508</v>
      </c>
      <c r="C518" s="30" t="s">
        <v>202</v>
      </c>
      <c r="D518" s="30" t="s">
        <v>225</v>
      </c>
      <c r="E518" s="234" t="s">
        <v>942</v>
      </c>
      <c r="F518" s="235" t="s">
        <v>1340</v>
      </c>
      <c r="G518" s="284">
        <f>IFERROR(VLOOKUP(E518,Assign!$C$2:$J$142,8,FALSE),)</f>
        <v>0</v>
      </c>
      <c r="H518" s="279" t="s">
        <v>7104</v>
      </c>
      <c r="I518" s="280" t="s">
        <v>5850</v>
      </c>
      <c r="J518" s="281" t="s">
        <v>3733</v>
      </c>
      <c r="K518" s="282">
        <v>45286</v>
      </c>
      <c r="L518" s="282">
        <v>46382</v>
      </c>
      <c r="M518" s="282">
        <v>45584</v>
      </c>
      <c r="N518" s="371">
        <v>950000000</v>
      </c>
      <c r="O518" s="444" t="s">
        <v>3866</v>
      </c>
      <c r="P518" s="397">
        <v>950000000</v>
      </c>
      <c r="Q518" s="397">
        <v>950000000</v>
      </c>
      <c r="R518" s="397"/>
      <c r="S518" s="398">
        <f t="shared" si="22"/>
        <v>950000000</v>
      </c>
      <c r="T518" s="353"/>
      <c r="U518" s="353">
        <f t="shared" si="23"/>
        <v>950000000</v>
      </c>
      <c r="V518" s="399"/>
      <c r="W518" s="399"/>
      <c r="X518" s="400" t="s">
        <v>492</v>
      </c>
      <c r="Y518" s="400"/>
      <c r="Z518" s="283"/>
    </row>
    <row r="519" spans="2:26" ht="19.5" hidden="1" customHeight="1">
      <c r="B519" s="29">
        <f t="shared" si="21"/>
        <v>509</v>
      </c>
      <c r="C519" s="30" t="s">
        <v>202</v>
      </c>
      <c r="D519" s="30" t="s">
        <v>225</v>
      </c>
      <c r="E519" s="234" t="s">
        <v>942</v>
      </c>
      <c r="F519" s="235" t="s">
        <v>1340</v>
      </c>
      <c r="G519" s="284">
        <f>IFERROR(VLOOKUP(E519,Assign!$C$2:$J$142,8,FALSE),)</f>
        <v>0</v>
      </c>
      <c r="H519" s="279" t="s">
        <v>7105</v>
      </c>
      <c r="I519" s="280" t="s">
        <v>6047</v>
      </c>
      <c r="J519" s="281" t="s">
        <v>3754</v>
      </c>
      <c r="K519" s="282">
        <v>45369</v>
      </c>
      <c r="L519" s="282">
        <v>46464</v>
      </c>
      <c r="M519" s="282">
        <v>45584</v>
      </c>
      <c r="N519" s="371">
        <v>800000000</v>
      </c>
      <c r="O519" s="444" t="s">
        <v>3866</v>
      </c>
      <c r="P519" s="397">
        <v>800000000</v>
      </c>
      <c r="Q519" s="397">
        <v>800000000</v>
      </c>
      <c r="R519" s="397"/>
      <c r="S519" s="398">
        <f t="shared" si="22"/>
        <v>800000000</v>
      </c>
      <c r="T519" s="353"/>
      <c r="U519" s="353">
        <f t="shared" si="23"/>
        <v>800000000</v>
      </c>
      <c r="V519" s="399"/>
      <c r="W519" s="399"/>
      <c r="X519" s="400" t="s">
        <v>492</v>
      </c>
      <c r="Y519" s="400"/>
      <c r="Z519" s="283"/>
    </row>
    <row r="520" spans="2:26" ht="19.5" hidden="1" customHeight="1">
      <c r="B520" s="29">
        <f t="shared" si="21"/>
        <v>510</v>
      </c>
      <c r="C520" s="30" t="s">
        <v>202</v>
      </c>
      <c r="D520" s="30" t="s">
        <v>225</v>
      </c>
      <c r="E520" s="234" t="s">
        <v>943</v>
      </c>
      <c r="F520" s="235" t="s">
        <v>1341</v>
      </c>
      <c r="G520" s="284" t="str">
        <f>IFERROR(VLOOKUP(E520,Assign!$C$2:$J$142,8,FALSE),)</f>
        <v>문선영</v>
      </c>
      <c r="H520" s="279" t="s">
        <v>7018</v>
      </c>
      <c r="I520" s="280" t="s">
        <v>5943</v>
      </c>
      <c r="J520" s="281" t="s">
        <v>3802</v>
      </c>
      <c r="K520" s="282">
        <v>43769</v>
      </c>
      <c r="L520" s="282">
        <v>49244</v>
      </c>
      <c r="M520" s="282">
        <v>45619</v>
      </c>
      <c r="N520" s="371">
        <v>1120000000</v>
      </c>
      <c r="O520" s="444" t="s">
        <v>3866</v>
      </c>
      <c r="P520" s="397">
        <v>1120000000</v>
      </c>
      <c r="Q520" s="397">
        <v>1120000000</v>
      </c>
      <c r="R520" s="397"/>
      <c r="S520" s="398">
        <f t="shared" si="22"/>
        <v>1120000000</v>
      </c>
      <c r="T520" s="353"/>
      <c r="U520" s="353">
        <f t="shared" si="23"/>
        <v>1120000000</v>
      </c>
      <c r="V520" s="399"/>
      <c r="W520" s="399"/>
      <c r="X520" s="400" t="s">
        <v>492</v>
      </c>
      <c r="Y520" s="400"/>
      <c r="Z520" s="283"/>
    </row>
    <row r="521" spans="2:26" ht="19.5" hidden="1" customHeight="1">
      <c r="B521" s="29">
        <f t="shared" si="21"/>
        <v>511</v>
      </c>
      <c r="C521" s="30" t="s">
        <v>202</v>
      </c>
      <c r="D521" s="30" t="s">
        <v>225</v>
      </c>
      <c r="E521" s="234" t="s">
        <v>943</v>
      </c>
      <c r="F521" s="235" t="s">
        <v>1341</v>
      </c>
      <c r="G521" s="284" t="str">
        <f>IFERROR(VLOOKUP(E521,Assign!$C$2:$J$142,8,FALSE),)</f>
        <v>문선영</v>
      </c>
      <c r="H521" s="279" t="s">
        <v>7019</v>
      </c>
      <c r="I521" s="280" t="s">
        <v>5929</v>
      </c>
      <c r="J521" s="281" t="s">
        <v>3774</v>
      </c>
      <c r="K521" s="282">
        <v>43794</v>
      </c>
      <c r="L521" s="282">
        <v>46322</v>
      </c>
      <c r="M521" s="282">
        <v>45674</v>
      </c>
      <c r="N521" s="371">
        <v>292000000</v>
      </c>
      <c r="O521" s="444" t="s">
        <v>3866</v>
      </c>
      <c r="P521" s="397">
        <v>238000000</v>
      </c>
      <c r="Q521" s="397">
        <v>238000000</v>
      </c>
      <c r="R521" s="397"/>
      <c r="S521" s="398">
        <f t="shared" si="22"/>
        <v>238000000</v>
      </c>
      <c r="T521" s="353"/>
      <c r="U521" s="353">
        <f t="shared" si="23"/>
        <v>238000000</v>
      </c>
      <c r="V521" s="399"/>
      <c r="W521" s="399"/>
      <c r="X521" s="400" t="s">
        <v>492</v>
      </c>
      <c r="Y521" s="400"/>
      <c r="Z521" s="283"/>
    </row>
    <row r="522" spans="2:26" ht="19.5" hidden="1" customHeight="1">
      <c r="B522" s="29">
        <f t="shared" si="21"/>
        <v>512</v>
      </c>
      <c r="C522" s="30" t="s">
        <v>202</v>
      </c>
      <c r="D522" s="30" t="s">
        <v>225</v>
      </c>
      <c r="E522" s="234" t="s">
        <v>943</v>
      </c>
      <c r="F522" s="235" t="s">
        <v>1341</v>
      </c>
      <c r="G522" s="284" t="str">
        <f>IFERROR(VLOOKUP(E522,Assign!$C$2:$J$142,8,FALSE),)</f>
        <v>문선영</v>
      </c>
      <c r="H522" s="279" t="s">
        <v>7020</v>
      </c>
      <c r="I522" s="280" t="s">
        <v>6170</v>
      </c>
      <c r="J522" s="281" t="s">
        <v>3754</v>
      </c>
      <c r="K522" s="282">
        <v>43794</v>
      </c>
      <c r="L522" s="282">
        <v>45684</v>
      </c>
      <c r="M522" s="282">
        <v>45657</v>
      </c>
      <c r="N522" s="371">
        <v>140000000</v>
      </c>
      <c r="O522" s="444" t="s">
        <v>3866</v>
      </c>
      <c r="P522" s="397">
        <v>139800000</v>
      </c>
      <c r="Q522" s="397">
        <v>139800000</v>
      </c>
      <c r="R522" s="397"/>
      <c r="S522" s="398">
        <f t="shared" si="22"/>
        <v>139800000</v>
      </c>
      <c r="T522" s="353"/>
      <c r="U522" s="353">
        <f t="shared" si="23"/>
        <v>139800000</v>
      </c>
      <c r="V522" s="399"/>
      <c r="W522" s="399"/>
      <c r="X522" s="400" t="s">
        <v>492</v>
      </c>
      <c r="Y522" s="400"/>
      <c r="Z522" s="283"/>
    </row>
    <row r="523" spans="2:26" ht="19.5" hidden="1" customHeight="1">
      <c r="B523" s="29">
        <f t="shared" ref="B523:B586" si="24">ROW()-10</f>
        <v>513</v>
      </c>
      <c r="C523" s="30" t="s">
        <v>202</v>
      </c>
      <c r="D523" s="30" t="s">
        <v>225</v>
      </c>
      <c r="E523" s="234" t="s">
        <v>944</v>
      </c>
      <c r="F523" s="235" t="s">
        <v>1342</v>
      </c>
      <c r="G523" s="284">
        <f>IFERROR(VLOOKUP(E523,Assign!$C$2:$J$142,8,FALSE),)</f>
        <v>0</v>
      </c>
      <c r="H523" s="279" t="s">
        <v>7121</v>
      </c>
      <c r="I523" s="280" t="s">
        <v>6211</v>
      </c>
      <c r="J523" s="281" t="s">
        <v>3733</v>
      </c>
      <c r="K523" s="282">
        <v>45288</v>
      </c>
      <c r="L523" s="282">
        <v>46019</v>
      </c>
      <c r="M523" s="282">
        <v>45717</v>
      </c>
      <c r="N523" s="371">
        <v>1400000000</v>
      </c>
      <c r="O523" s="444" t="s">
        <v>3866</v>
      </c>
      <c r="P523" s="397">
        <v>1400000000</v>
      </c>
      <c r="Q523" s="397">
        <v>1400000000</v>
      </c>
      <c r="R523" s="397"/>
      <c r="S523" s="398">
        <f t="shared" ref="S523:S586" si="25">Q523+R523</f>
        <v>1400000000</v>
      </c>
      <c r="T523" s="353"/>
      <c r="U523" s="353">
        <f t="shared" ref="U523:U586" si="26">S523+T523</f>
        <v>1400000000</v>
      </c>
      <c r="V523" s="399"/>
      <c r="W523" s="399"/>
      <c r="X523" s="400" t="s">
        <v>492</v>
      </c>
      <c r="Y523" s="400"/>
      <c r="Z523" s="283"/>
    </row>
    <row r="524" spans="2:26" ht="19.5" hidden="1" customHeight="1">
      <c r="B524" s="29">
        <f t="shared" si="24"/>
        <v>514</v>
      </c>
      <c r="C524" s="30" t="s">
        <v>202</v>
      </c>
      <c r="D524" s="30" t="s">
        <v>225</v>
      </c>
      <c r="E524" s="234" t="s">
        <v>945</v>
      </c>
      <c r="F524" s="235" t="s">
        <v>1235</v>
      </c>
      <c r="G524" s="284">
        <f>IFERROR(VLOOKUP(E524,Assign!$C$2:$J$142,8,FALSE),)</f>
        <v>0</v>
      </c>
      <c r="H524" s="279" t="s">
        <v>6734</v>
      </c>
      <c r="I524" s="280" t="s">
        <v>6014</v>
      </c>
      <c r="J524" s="281" t="s">
        <v>3751</v>
      </c>
      <c r="K524" s="282">
        <v>45488</v>
      </c>
      <c r="L524" s="282">
        <v>45853</v>
      </c>
      <c r="M524" s="282">
        <v>45629</v>
      </c>
      <c r="N524" s="371">
        <v>1400000000</v>
      </c>
      <c r="O524" s="444" t="s">
        <v>3866</v>
      </c>
      <c r="P524" s="397">
        <v>1399999256</v>
      </c>
      <c r="Q524" s="397">
        <v>1399999256</v>
      </c>
      <c r="R524" s="397"/>
      <c r="S524" s="398">
        <f t="shared" si="25"/>
        <v>1399999256</v>
      </c>
      <c r="T524" s="353"/>
      <c r="U524" s="353">
        <f t="shared" si="26"/>
        <v>1399999256</v>
      </c>
      <c r="V524" s="399"/>
      <c r="W524" s="399"/>
      <c r="X524" s="400" t="s">
        <v>492</v>
      </c>
      <c r="Y524" s="400"/>
      <c r="Z524" s="283"/>
    </row>
    <row r="525" spans="2:26" ht="19.5" hidden="1" customHeight="1">
      <c r="B525" s="29">
        <f t="shared" si="24"/>
        <v>515</v>
      </c>
      <c r="C525" s="30" t="s">
        <v>202</v>
      </c>
      <c r="D525" s="30" t="s">
        <v>225</v>
      </c>
      <c r="E525" s="234" t="s">
        <v>946</v>
      </c>
      <c r="F525" s="235" t="s">
        <v>1343</v>
      </c>
      <c r="G525" s="284">
        <f>IFERROR(VLOOKUP(E525,Assign!$C$2:$J$142,8,FALSE),)</f>
        <v>0</v>
      </c>
      <c r="H525" s="279" t="s">
        <v>7014</v>
      </c>
      <c r="I525" s="280" t="s">
        <v>6069</v>
      </c>
      <c r="J525" s="281" t="s">
        <v>3764</v>
      </c>
      <c r="K525" s="282">
        <v>44173</v>
      </c>
      <c r="L525" s="282">
        <v>45726</v>
      </c>
      <c r="M525" s="282">
        <v>45727</v>
      </c>
      <c r="N525" s="371">
        <v>1359000000</v>
      </c>
      <c r="O525" s="444" t="s">
        <v>3866</v>
      </c>
      <c r="P525" s="397">
        <v>1359000000</v>
      </c>
      <c r="Q525" s="397">
        <v>1359000000</v>
      </c>
      <c r="R525" s="397"/>
      <c r="S525" s="398">
        <f t="shared" si="25"/>
        <v>1359000000</v>
      </c>
      <c r="T525" s="353"/>
      <c r="U525" s="353">
        <f t="shared" si="26"/>
        <v>1359000000</v>
      </c>
      <c r="V525" s="399"/>
      <c r="W525" s="399"/>
      <c r="X525" s="400" t="s">
        <v>492</v>
      </c>
      <c r="Y525" s="400"/>
      <c r="Z525" s="283"/>
    </row>
    <row r="526" spans="2:26" ht="19.5" hidden="1" customHeight="1">
      <c r="B526" s="29">
        <f t="shared" si="24"/>
        <v>516</v>
      </c>
      <c r="C526" s="30" t="s">
        <v>202</v>
      </c>
      <c r="D526" s="30" t="s">
        <v>225</v>
      </c>
      <c r="E526" s="234" t="s">
        <v>947</v>
      </c>
      <c r="F526" s="235" t="s">
        <v>1244</v>
      </c>
      <c r="G526" s="284">
        <f>IFERROR(VLOOKUP(E526,Assign!$C$2:$J$142,8,FALSE),)</f>
        <v>0</v>
      </c>
      <c r="H526" s="279" t="s">
        <v>6681</v>
      </c>
      <c r="I526" s="280" t="s">
        <v>5984</v>
      </c>
      <c r="J526" s="281" t="s">
        <v>3737</v>
      </c>
      <c r="K526" s="282">
        <v>42698</v>
      </c>
      <c r="L526" s="282">
        <v>53655</v>
      </c>
      <c r="M526" s="282">
        <v>45682</v>
      </c>
      <c r="N526" s="371">
        <v>200000000</v>
      </c>
      <c r="O526" s="444" t="s">
        <v>3866</v>
      </c>
      <c r="P526" s="397">
        <v>146110965</v>
      </c>
      <c r="Q526" s="397">
        <v>146110965</v>
      </c>
      <c r="R526" s="397"/>
      <c r="S526" s="398">
        <f t="shared" si="25"/>
        <v>146110965</v>
      </c>
      <c r="T526" s="353"/>
      <c r="U526" s="353">
        <f t="shared" si="26"/>
        <v>146110965</v>
      </c>
      <c r="V526" s="399"/>
      <c r="W526" s="399"/>
      <c r="X526" s="400" t="s">
        <v>492</v>
      </c>
      <c r="Y526" s="400"/>
      <c r="Z526" s="283"/>
    </row>
    <row r="527" spans="2:26" ht="19.5" hidden="1" customHeight="1">
      <c r="B527" s="29">
        <f t="shared" si="24"/>
        <v>517</v>
      </c>
      <c r="C527" s="30" t="s">
        <v>202</v>
      </c>
      <c r="D527" s="30" t="s">
        <v>225</v>
      </c>
      <c r="E527" s="234" t="s">
        <v>947</v>
      </c>
      <c r="F527" s="235" t="s">
        <v>1244</v>
      </c>
      <c r="G527" s="284">
        <f>IFERROR(VLOOKUP(E527,Assign!$C$2:$J$142,8,FALSE),)</f>
        <v>0</v>
      </c>
      <c r="H527" s="279" t="s">
        <v>6682</v>
      </c>
      <c r="I527" s="280" t="s">
        <v>5985</v>
      </c>
      <c r="J527" s="281" t="s">
        <v>3743</v>
      </c>
      <c r="K527" s="282">
        <v>42766</v>
      </c>
      <c r="L527" s="282">
        <v>53723</v>
      </c>
      <c r="M527" s="282">
        <v>45658</v>
      </c>
      <c r="N527" s="371">
        <v>200000000</v>
      </c>
      <c r="O527" s="444" t="s">
        <v>3866</v>
      </c>
      <c r="P527" s="397">
        <v>147777630</v>
      </c>
      <c r="Q527" s="397">
        <v>147777630</v>
      </c>
      <c r="R527" s="397"/>
      <c r="S527" s="398">
        <f t="shared" si="25"/>
        <v>147777630</v>
      </c>
      <c r="T527" s="353"/>
      <c r="U527" s="353">
        <f t="shared" si="26"/>
        <v>147777630</v>
      </c>
      <c r="V527" s="399"/>
      <c r="W527" s="399"/>
      <c r="X527" s="400" t="s">
        <v>492</v>
      </c>
      <c r="Y527" s="400"/>
      <c r="Z527" s="283"/>
    </row>
    <row r="528" spans="2:26" ht="19.5" hidden="1" customHeight="1">
      <c r="B528" s="29">
        <f t="shared" si="24"/>
        <v>518</v>
      </c>
      <c r="C528" s="30" t="s">
        <v>202</v>
      </c>
      <c r="D528" s="30" t="s">
        <v>225</v>
      </c>
      <c r="E528" s="234" t="s">
        <v>947</v>
      </c>
      <c r="F528" s="235" t="s">
        <v>1244</v>
      </c>
      <c r="G528" s="284">
        <f>IFERROR(VLOOKUP(E528,Assign!$C$2:$J$142,8,FALSE),)</f>
        <v>0</v>
      </c>
      <c r="H528" s="279" t="s">
        <v>6683</v>
      </c>
      <c r="I528" s="280" t="s">
        <v>5986</v>
      </c>
      <c r="J528" s="281" t="s">
        <v>3739</v>
      </c>
      <c r="K528" s="282">
        <v>43938</v>
      </c>
      <c r="L528" s="282">
        <v>45764</v>
      </c>
      <c r="M528" s="282">
        <v>45675</v>
      </c>
      <c r="N528" s="371">
        <v>1000000000</v>
      </c>
      <c r="O528" s="444" t="s">
        <v>3866</v>
      </c>
      <c r="P528" s="397">
        <v>1000000000</v>
      </c>
      <c r="Q528" s="397">
        <v>1000000000</v>
      </c>
      <c r="R528" s="397"/>
      <c r="S528" s="398">
        <f t="shared" si="25"/>
        <v>1000000000</v>
      </c>
      <c r="T528" s="353"/>
      <c r="U528" s="353">
        <f t="shared" si="26"/>
        <v>1000000000</v>
      </c>
      <c r="V528" s="399"/>
      <c r="W528" s="399"/>
      <c r="X528" s="400" t="s">
        <v>492</v>
      </c>
      <c r="Y528" s="400"/>
      <c r="Z528" s="283"/>
    </row>
    <row r="529" spans="2:26" ht="19.5" hidden="1" customHeight="1">
      <c r="B529" s="29">
        <f t="shared" si="24"/>
        <v>519</v>
      </c>
      <c r="C529" s="30" t="s">
        <v>202</v>
      </c>
      <c r="D529" s="30" t="s">
        <v>225</v>
      </c>
      <c r="E529" s="234" t="s">
        <v>948</v>
      </c>
      <c r="F529" s="235" t="s">
        <v>1344</v>
      </c>
      <c r="G529" s="284">
        <f>IFERROR(VLOOKUP(E529,Assign!$C$2:$J$142,8,FALSE),)</f>
        <v>0</v>
      </c>
      <c r="H529" s="279" t="s">
        <v>6939</v>
      </c>
      <c r="I529" s="280" t="s">
        <v>5898</v>
      </c>
      <c r="J529" s="281" t="s">
        <v>3748</v>
      </c>
      <c r="K529" s="282">
        <v>43539</v>
      </c>
      <c r="L529" s="282">
        <v>45723</v>
      </c>
      <c r="M529" s="282">
        <v>45724</v>
      </c>
      <c r="N529" s="371">
        <v>190000000</v>
      </c>
      <c r="O529" s="444" t="s">
        <v>3866</v>
      </c>
      <c r="P529" s="397">
        <v>190000000</v>
      </c>
      <c r="Q529" s="397">
        <v>190000000</v>
      </c>
      <c r="R529" s="397"/>
      <c r="S529" s="398">
        <f t="shared" si="25"/>
        <v>190000000</v>
      </c>
      <c r="T529" s="353"/>
      <c r="U529" s="353">
        <f t="shared" si="26"/>
        <v>190000000</v>
      </c>
      <c r="V529" s="399"/>
      <c r="W529" s="399"/>
      <c r="X529" s="400" t="s">
        <v>492</v>
      </c>
      <c r="Y529" s="400"/>
      <c r="Z529" s="283"/>
    </row>
    <row r="530" spans="2:26" ht="19.5" hidden="1" customHeight="1">
      <c r="B530" s="29">
        <f t="shared" si="24"/>
        <v>520</v>
      </c>
      <c r="C530" s="30" t="s">
        <v>202</v>
      </c>
      <c r="D530" s="30" t="s">
        <v>225</v>
      </c>
      <c r="E530" s="234" t="s">
        <v>948</v>
      </c>
      <c r="F530" s="235" t="s">
        <v>1344</v>
      </c>
      <c r="G530" s="284">
        <f>IFERROR(VLOOKUP(E530,Assign!$C$2:$J$142,8,FALSE),)</f>
        <v>0</v>
      </c>
      <c r="H530" s="279" t="s">
        <v>6940</v>
      </c>
      <c r="I530" s="280" t="s">
        <v>6013</v>
      </c>
      <c r="J530" s="281" t="s">
        <v>3748</v>
      </c>
      <c r="K530" s="282">
        <v>43539</v>
      </c>
      <c r="L530" s="282">
        <v>45723</v>
      </c>
      <c r="M530" s="282">
        <v>45724</v>
      </c>
      <c r="N530" s="371">
        <v>110000000</v>
      </c>
      <c r="O530" s="444" t="s">
        <v>3866</v>
      </c>
      <c r="P530" s="397">
        <v>110000000</v>
      </c>
      <c r="Q530" s="397">
        <v>110000000</v>
      </c>
      <c r="R530" s="397"/>
      <c r="S530" s="398">
        <f t="shared" si="25"/>
        <v>110000000</v>
      </c>
      <c r="T530" s="353"/>
      <c r="U530" s="353">
        <f t="shared" si="26"/>
        <v>110000000</v>
      </c>
      <c r="V530" s="399"/>
      <c r="W530" s="399"/>
      <c r="X530" s="400" t="s">
        <v>492</v>
      </c>
      <c r="Y530" s="400"/>
      <c r="Z530" s="283"/>
    </row>
    <row r="531" spans="2:26" ht="19.5" hidden="1" customHeight="1">
      <c r="B531" s="29">
        <f t="shared" si="24"/>
        <v>521</v>
      </c>
      <c r="C531" s="30" t="s">
        <v>202</v>
      </c>
      <c r="D531" s="30" t="s">
        <v>225</v>
      </c>
      <c r="E531" s="234" t="s">
        <v>948</v>
      </c>
      <c r="F531" s="235" t="s">
        <v>1344</v>
      </c>
      <c r="G531" s="284">
        <f>IFERROR(VLOOKUP(E531,Assign!$C$2:$J$142,8,FALSE),)</f>
        <v>0</v>
      </c>
      <c r="H531" s="279" t="s">
        <v>6941</v>
      </c>
      <c r="I531" s="280" t="s">
        <v>5807</v>
      </c>
      <c r="J531" s="281" t="s">
        <v>3809</v>
      </c>
      <c r="K531" s="282">
        <v>44936</v>
      </c>
      <c r="L531" s="282">
        <v>46762</v>
      </c>
      <c r="M531" s="282">
        <v>45727</v>
      </c>
      <c r="N531" s="371">
        <v>65000000</v>
      </c>
      <c r="O531" s="444" t="s">
        <v>3866</v>
      </c>
      <c r="P531" s="397">
        <v>63194425</v>
      </c>
      <c r="Q531" s="397">
        <v>63194425</v>
      </c>
      <c r="R531" s="397"/>
      <c r="S531" s="398">
        <f t="shared" si="25"/>
        <v>63194425</v>
      </c>
      <c r="T531" s="353"/>
      <c r="U531" s="353">
        <f t="shared" si="26"/>
        <v>63194425</v>
      </c>
      <c r="V531" s="399"/>
      <c r="W531" s="399"/>
      <c r="X531" s="400" t="s">
        <v>492</v>
      </c>
      <c r="Y531" s="400"/>
      <c r="Z531" s="283"/>
    </row>
    <row r="532" spans="2:26" ht="19.5" hidden="1" customHeight="1">
      <c r="B532" s="29">
        <f t="shared" si="24"/>
        <v>522</v>
      </c>
      <c r="C532" s="30" t="s">
        <v>202</v>
      </c>
      <c r="D532" s="30" t="s">
        <v>225</v>
      </c>
      <c r="E532" s="234" t="s">
        <v>948</v>
      </c>
      <c r="F532" s="235" t="s">
        <v>1344</v>
      </c>
      <c r="G532" s="284">
        <f>IFERROR(VLOOKUP(E532,Assign!$C$2:$J$142,8,FALSE),)</f>
        <v>0</v>
      </c>
      <c r="H532" s="279" t="s">
        <v>6942</v>
      </c>
      <c r="I532" s="280" t="s">
        <v>6128</v>
      </c>
      <c r="J532" s="281" t="s">
        <v>3810</v>
      </c>
      <c r="K532" s="282">
        <v>43347</v>
      </c>
      <c r="L532" s="282">
        <v>46993</v>
      </c>
      <c r="M532" s="282">
        <v>45721</v>
      </c>
      <c r="N532" s="371">
        <v>255000000</v>
      </c>
      <c r="O532" s="444" t="s">
        <v>3866</v>
      </c>
      <c r="P532" s="397">
        <v>207776000</v>
      </c>
      <c r="Q532" s="397">
        <v>207776000</v>
      </c>
      <c r="R532" s="397"/>
      <c r="S532" s="398">
        <f t="shared" si="25"/>
        <v>207776000</v>
      </c>
      <c r="T532" s="353"/>
      <c r="U532" s="353">
        <f t="shared" si="26"/>
        <v>207776000</v>
      </c>
      <c r="V532" s="399"/>
      <c r="W532" s="399"/>
      <c r="X532" s="400" t="s">
        <v>492</v>
      </c>
      <c r="Y532" s="400"/>
      <c r="Z532" s="283"/>
    </row>
    <row r="533" spans="2:26" ht="19.5" hidden="1" customHeight="1">
      <c r="B533" s="29">
        <f t="shared" si="24"/>
        <v>523</v>
      </c>
      <c r="C533" s="30" t="s">
        <v>202</v>
      </c>
      <c r="D533" s="30" t="s">
        <v>225</v>
      </c>
      <c r="E533" s="234" t="s">
        <v>948</v>
      </c>
      <c r="F533" s="235" t="s">
        <v>1344</v>
      </c>
      <c r="G533" s="284">
        <f>IFERROR(VLOOKUP(E533,Assign!$C$2:$J$142,8,FALSE),)</f>
        <v>0</v>
      </c>
      <c r="H533" s="279" t="s">
        <v>6943</v>
      </c>
      <c r="I533" s="280" t="s">
        <v>6129</v>
      </c>
      <c r="J533" s="281" t="s">
        <v>3810</v>
      </c>
      <c r="K533" s="282">
        <v>44075</v>
      </c>
      <c r="L533" s="282">
        <v>47726</v>
      </c>
      <c r="M533" s="282">
        <v>45717</v>
      </c>
      <c r="N533" s="371">
        <v>700000000</v>
      </c>
      <c r="O533" s="444" t="s">
        <v>3866</v>
      </c>
      <c r="P533" s="397">
        <v>679551567</v>
      </c>
      <c r="Q533" s="397">
        <v>679551567</v>
      </c>
      <c r="R533" s="397"/>
      <c r="S533" s="398">
        <f t="shared" si="25"/>
        <v>679551567</v>
      </c>
      <c r="T533" s="353"/>
      <c r="U533" s="353">
        <f t="shared" si="26"/>
        <v>679551567</v>
      </c>
      <c r="V533" s="399"/>
      <c r="W533" s="399"/>
      <c r="X533" s="400" t="s">
        <v>492</v>
      </c>
      <c r="Y533" s="400"/>
      <c r="Z533" s="283"/>
    </row>
    <row r="534" spans="2:26" ht="19.5" hidden="1" customHeight="1">
      <c r="B534" s="29">
        <f t="shared" si="24"/>
        <v>524</v>
      </c>
      <c r="C534" s="30" t="s">
        <v>202</v>
      </c>
      <c r="D534" s="30" t="s">
        <v>225</v>
      </c>
      <c r="E534" s="234" t="s">
        <v>949</v>
      </c>
      <c r="F534" s="235" t="s">
        <v>1252</v>
      </c>
      <c r="G534" s="284" t="str">
        <f>IFERROR(VLOOKUP(E534,Assign!$C$2:$J$142,8,FALSE),)</f>
        <v>문선영</v>
      </c>
      <c r="H534" s="279" t="s">
        <v>7010</v>
      </c>
      <c r="I534" s="280" t="s">
        <v>6106</v>
      </c>
      <c r="J534" s="281" t="s">
        <v>3735</v>
      </c>
      <c r="K534" s="282">
        <v>43724</v>
      </c>
      <c r="L534" s="282">
        <v>54682</v>
      </c>
      <c r="M534" s="282">
        <v>45615</v>
      </c>
      <c r="N534" s="371">
        <v>228000000</v>
      </c>
      <c r="O534" s="444" t="s">
        <v>3866</v>
      </c>
      <c r="P534" s="397">
        <v>201180980</v>
      </c>
      <c r="Q534" s="397">
        <v>201180980</v>
      </c>
      <c r="R534" s="397"/>
      <c r="S534" s="398">
        <f t="shared" si="25"/>
        <v>201180980</v>
      </c>
      <c r="T534" s="353"/>
      <c r="U534" s="353">
        <f t="shared" si="26"/>
        <v>201180980</v>
      </c>
      <c r="V534" s="399"/>
      <c r="W534" s="399"/>
      <c r="X534" s="400" t="s">
        <v>492</v>
      </c>
      <c r="Y534" s="400"/>
      <c r="Z534" s="283"/>
    </row>
    <row r="535" spans="2:26" ht="19.5" hidden="1" customHeight="1">
      <c r="B535" s="29">
        <f t="shared" si="24"/>
        <v>525</v>
      </c>
      <c r="C535" s="30" t="s">
        <v>202</v>
      </c>
      <c r="D535" s="30" t="s">
        <v>225</v>
      </c>
      <c r="E535" s="234" t="s">
        <v>949</v>
      </c>
      <c r="F535" s="235" t="s">
        <v>1252</v>
      </c>
      <c r="G535" s="284" t="str">
        <f>IFERROR(VLOOKUP(E535,Assign!$C$2:$J$142,8,FALSE),)</f>
        <v>문선영</v>
      </c>
      <c r="H535" s="279" t="s">
        <v>7011</v>
      </c>
      <c r="I535" s="280" t="s">
        <v>6165</v>
      </c>
      <c r="J535" s="281" t="s">
        <v>3734</v>
      </c>
      <c r="K535" s="282">
        <v>44309</v>
      </c>
      <c r="L535" s="282">
        <v>45770</v>
      </c>
      <c r="M535" s="282">
        <v>45622</v>
      </c>
      <c r="N535" s="371">
        <v>142000000</v>
      </c>
      <c r="O535" s="444" t="s">
        <v>3866</v>
      </c>
      <c r="P535" s="397">
        <v>142000000</v>
      </c>
      <c r="Q535" s="397">
        <v>142000000</v>
      </c>
      <c r="R535" s="397"/>
      <c r="S535" s="398">
        <f t="shared" si="25"/>
        <v>142000000</v>
      </c>
      <c r="T535" s="353"/>
      <c r="U535" s="353">
        <f t="shared" si="26"/>
        <v>142000000</v>
      </c>
      <c r="V535" s="399"/>
      <c r="W535" s="399"/>
      <c r="X535" s="400" t="s">
        <v>492</v>
      </c>
      <c r="Y535" s="400"/>
      <c r="Z535" s="283"/>
    </row>
    <row r="536" spans="2:26" ht="19.5" hidden="1" customHeight="1">
      <c r="B536" s="29">
        <f t="shared" si="24"/>
        <v>526</v>
      </c>
      <c r="C536" s="30" t="s">
        <v>202</v>
      </c>
      <c r="D536" s="30" t="s">
        <v>225</v>
      </c>
      <c r="E536" s="234" t="s">
        <v>949</v>
      </c>
      <c r="F536" s="235" t="s">
        <v>1252</v>
      </c>
      <c r="G536" s="284" t="str">
        <f>IFERROR(VLOOKUP(E536,Assign!$C$2:$J$142,8,FALSE),)</f>
        <v>문선영</v>
      </c>
      <c r="H536" s="279" t="s">
        <v>7012</v>
      </c>
      <c r="I536" s="280" t="s">
        <v>5978</v>
      </c>
      <c r="J536" s="281" t="s">
        <v>3816</v>
      </c>
      <c r="K536" s="282">
        <v>44309</v>
      </c>
      <c r="L536" s="282">
        <v>45770</v>
      </c>
      <c r="M536" s="282">
        <v>45622</v>
      </c>
      <c r="N536" s="371">
        <v>810000000</v>
      </c>
      <c r="O536" s="444" t="s">
        <v>3866</v>
      </c>
      <c r="P536" s="397">
        <v>810000000</v>
      </c>
      <c r="Q536" s="397">
        <v>810000000</v>
      </c>
      <c r="R536" s="397"/>
      <c r="S536" s="398">
        <f t="shared" si="25"/>
        <v>810000000</v>
      </c>
      <c r="T536" s="353"/>
      <c r="U536" s="353">
        <f t="shared" si="26"/>
        <v>810000000</v>
      </c>
      <c r="V536" s="399"/>
      <c r="W536" s="399"/>
      <c r="X536" s="400" t="s">
        <v>492</v>
      </c>
      <c r="Y536" s="400"/>
      <c r="Z536" s="283"/>
    </row>
    <row r="537" spans="2:26" ht="19.5" hidden="1" customHeight="1">
      <c r="B537" s="29">
        <f t="shared" si="24"/>
        <v>527</v>
      </c>
      <c r="C537" s="30" t="s">
        <v>202</v>
      </c>
      <c r="D537" s="30" t="s">
        <v>225</v>
      </c>
      <c r="E537" s="234" t="s">
        <v>950</v>
      </c>
      <c r="F537" s="235" t="s">
        <v>1271</v>
      </c>
      <c r="G537" s="284" t="str">
        <f>IFERROR(VLOOKUP(E537,Assign!$C$2:$J$142,8,FALSE),)</f>
        <v>문선영</v>
      </c>
      <c r="H537" s="279" t="s">
        <v>6375</v>
      </c>
      <c r="I537" s="280" t="s">
        <v>5635</v>
      </c>
      <c r="J537" s="281" t="s">
        <v>3764</v>
      </c>
      <c r="K537" s="282">
        <v>45155</v>
      </c>
      <c r="L537" s="282">
        <v>46251</v>
      </c>
      <c r="M537" s="282">
        <v>45636</v>
      </c>
      <c r="N537" s="371">
        <v>900000000</v>
      </c>
      <c r="O537" s="444" t="s">
        <v>3866</v>
      </c>
      <c r="P537" s="397">
        <v>900000000</v>
      </c>
      <c r="Q537" s="397">
        <v>900000000</v>
      </c>
      <c r="R537" s="397"/>
      <c r="S537" s="398">
        <f t="shared" si="25"/>
        <v>900000000</v>
      </c>
      <c r="T537" s="353"/>
      <c r="U537" s="353">
        <f t="shared" si="26"/>
        <v>900000000</v>
      </c>
      <c r="V537" s="399"/>
      <c r="W537" s="399"/>
      <c r="X537" s="400" t="s">
        <v>492</v>
      </c>
      <c r="Y537" s="400"/>
      <c r="Z537" s="283"/>
    </row>
    <row r="538" spans="2:26" ht="19.5" hidden="1" customHeight="1">
      <c r="B538" s="29">
        <f t="shared" si="24"/>
        <v>528</v>
      </c>
      <c r="C538" s="30" t="s">
        <v>202</v>
      </c>
      <c r="D538" s="30" t="s">
        <v>225</v>
      </c>
      <c r="E538" s="234" t="s">
        <v>950</v>
      </c>
      <c r="F538" s="235" t="s">
        <v>1271</v>
      </c>
      <c r="G538" s="284" t="str">
        <f>IFERROR(VLOOKUP(E538,Assign!$C$2:$J$142,8,FALSE),)</f>
        <v>문선영</v>
      </c>
      <c r="H538" s="279" t="s">
        <v>6376</v>
      </c>
      <c r="I538" s="280" t="s">
        <v>5743</v>
      </c>
      <c r="J538" s="281" t="s">
        <v>3763</v>
      </c>
      <c r="K538" s="282">
        <v>45159</v>
      </c>
      <c r="L538" s="282">
        <v>45525</v>
      </c>
      <c r="M538" s="282">
        <v>45526</v>
      </c>
      <c r="N538" s="371">
        <v>150000000</v>
      </c>
      <c r="O538" s="444" t="s">
        <v>3866</v>
      </c>
      <c r="P538" s="397">
        <v>150000000</v>
      </c>
      <c r="Q538" s="397">
        <v>150000000</v>
      </c>
      <c r="R538" s="397"/>
      <c r="S538" s="398">
        <f t="shared" si="25"/>
        <v>150000000</v>
      </c>
      <c r="T538" s="353"/>
      <c r="U538" s="353">
        <f t="shared" si="26"/>
        <v>150000000</v>
      </c>
      <c r="V538" s="399"/>
      <c r="W538" s="399"/>
      <c r="X538" s="400" t="s">
        <v>492</v>
      </c>
      <c r="Y538" s="400"/>
      <c r="Z538" s="283"/>
    </row>
    <row r="539" spans="2:26" ht="19.5" hidden="1" customHeight="1">
      <c r="B539" s="29">
        <f t="shared" si="24"/>
        <v>529</v>
      </c>
      <c r="C539" s="30" t="s">
        <v>202</v>
      </c>
      <c r="D539" s="30" t="s">
        <v>225</v>
      </c>
      <c r="E539" s="234" t="s">
        <v>950</v>
      </c>
      <c r="F539" s="235" t="s">
        <v>1271</v>
      </c>
      <c r="G539" s="284" t="str">
        <f>IFERROR(VLOOKUP(E539,Assign!$C$2:$J$142,8,FALSE),)</f>
        <v>문선영</v>
      </c>
      <c r="H539" s="279" t="s">
        <v>6377</v>
      </c>
      <c r="I539" s="280" t="s">
        <v>5744</v>
      </c>
      <c r="J539" s="281" t="s">
        <v>3763</v>
      </c>
      <c r="K539" s="282">
        <v>45250</v>
      </c>
      <c r="L539" s="282">
        <v>45616</v>
      </c>
      <c r="M539" s="282">
        <v>45617</v>
      </c>
      <c r="N539" s="371">
        <v>100000000</v>
      </c>
      <c r="O539" s="444" t="s">
        <v>3866</v>
      </c>
      <c r="P539" s="397">
        <v>58113668</v>
      </c>
      <c r="Q539" s="397">
        <v>58113668</v>
      </c>
      <c r="R539" s="397"/>
      <c r="S539" s="398">
        <f t="shared" si="25"/>
        <v>58113668</v>
      </c>
      <c r="T539" s="353"/>
      <c r="U539" s="353">
        <f t="shared" si="26"/>
        <v>58113668</v>
      </c>
      <c r="V539" s="399"/>
      <c r="W539" s="399"/>
      <c r="X539" s="400" t="s">
        <v>492</v>
      </c>
      <c r="Y539" s="400"/>
      <c r="Z539" s="283"/>
    </row>
    <row r="540" spans="2:26" ht="19.5" hidden="1" customHeight="1">
      <c r="B540" s="29">
        <f t="shared" si="24"/>
        <v>530</v>
      </c>
      <c r="C540" s="30" t="s">
        <v>202</v>
      </c>
      <c r="D540" s="30" t="s">
        <v>225</v>
      </c>
      <c r="E540" s="234" t="s">
        <v>951</v>
      </c>
      <c r="F540" s="235" t="s">
        <v>1217</v>
      </c>
      <c r="G540" s="284">
        <f>IFERROR(VLOOKUP(E540,Assign!$C$2:$J$142,8,FALSE),)</f>
        <v>0</v>
      </c>
      <c r="H540" s="279" t="s">
        <v>6879</v>
      </c>
      <c r="I540" s="280" t="s">
        <v>6099</v>
      </c>
      <c r="J540" s="281" t="s">
        <v>3775</v>
      </c>
      <c r="K540" s="282">
        <v>44103</v>
      </c>
      <c r="L540" s="282">
        <v>45686</v>
      </c>
      <c r="M540" s="282">
        <v>45629</v>
      </c>
      <c r="N540" s="371">
        <v>1050000000</v>
      </c>
      <c r="O540" s="444" t="s">
        <v>3866</v>
      </c>
      <c r="P540" s="397">
        <v>1050000000</v>
      </c>
      <c r="Q540" s="397">
        <v>1050000000</v>
      </c>
      <c r="R540" s="397"/>
      <c r="S540" s="398">
        <f t="shared" si="25"/>
        <v>1050000000</v>
      </c>
      <c r="T540" s="353"/>
      <c r="U540" s="353">
        <f t="shared" si="26"/>
        <v>1050000000</v>
      </c>
      <c r="V540" s="399"/>
      <c r="W540" s="399"/>
      <c r="X540" s="400" t="s">
        <v>492</v>
      </c>
      <c r="Y540" s="400"/>
      <c r="Z540" s="283"/>
    </row>
    <row r="541" spans="2:26" ht="19.5" hidden="1" customHeight="1">
      <c r="B541" s="29">
        <f t="shared" si="24"/>
        <v>531</v>
      </c>
      <c r="C541" s="30" t="s">
        <v>202</v>
      </c>
      <c r="D541" s="30" t="s">
        <v>225</v>
      </c>
      <c r="E541" s="234" t="s">
        <v>952</v>
      </c>
      <c r="F541" s="235" t="s">
        <v>1231</v>
      </c>
      <c r="G541" s="284">
        <f>IFERROR(VLOOKUP(E541,Assign!$C$2:$J$142,8,FALSE),)</f>
        <v>0</v>
      </c>
      <c r="H541" s="279" t="s">
        <v>6525</v>
      </c>
      <c r="I541" s="280" t="s">
        <v>5861</v>
      </c>
      <c r="J541" s="281" t="s">
        <v>3736</v>
      </c>
      <c r="K541" s="282">
        <v>41305</v>
      </c>
      <c r="L541" s="282">
        <v>45677</v>
      </c>
      <c r="M541" s="282">
        <v>45545</v>
      </c>
      <c r="N541" s="371">
        <v>200000000</v>
      </c>
      <c r="O541" s="444" t="s">
        <v>3866</v>
      </c>
      <c r="P541" s="397">
        <v>200000000</v>
      </c>
      <c r="Q541" s="397">
        <v>200000000</v>
      </c>
      <c r="R541" s="397"/>
      <c r="S541" s="398">
        <f t="shared" si="25"/>
        <v>200000000</v>
      </c>
      <c r="T541" s="353"/>
      <c r="U541" s="353">
        <f t="shared" si="26"/>
        <v>200000000</v>
      </c>
      <c r="V541" s="399"/>
      <c r="W541" s="399"/>
      <c r="X541" s="400" t="s">
        <v>492</v>
      </c>
      <c r="Y541" s="400"/>
      <c r="Z541" s="283"/>
    </row>
    <row r="542" spans="2:26" ht="19.5" hidden="1" customHeight="1">
      <c r="B542" s="29">
        <f t="shared" si="24"/>
        <v>532</v>
      </c>
      <c r="C542" s="30" t="s">
        <v>202</v>
      </c>
      <c r="D542" s="30" t="s">
        <v>225</v>
      </c>
      <c r="E542" s="234" t="s">
        <v>952</v>
      </c>
      <c r="F542" s="235" t="s">
        <v>1231</v>
      </c>
      <c r="G542" s="284">
        <f>IFERROR(VLOOKUP(E542,Assign!$C$2:$J$142,8,FALSE),)</f>
        <v>0</v>
      </c>
      <c r="H542" s="279" t="s">
        <v>6526</v>
      </c>
      <c r="I542" s="280" t="s">
        <v>5862</v>
      </c>
      <c r="J542" s="281" t="s">
        <v>3736</v>
      </c>
      <c r="K542" s="282">
        <v>40976</v>
      </c>
      <c r="L542" s="282">
        <v>45685</v>
      </c>
      <c r="M542" s="282">
        <v>45601</v>
      </c>
      <c r="N542" s="371">
        <v>400000000</v>
      </c>
      <c r="O542" s="444" t="s">
        <v>3866</v>
      </c>
      <c r="P542" s="397">
        <v>394848610</v>
      </c>
      <c r="Q542" s="397">
        <v>394848610</v>
      </c>
      <c r="R542" s="397"/>
      <c r="S542" s="398">
        <f t="shared" si="25"/>
        <v>394848610</v>
      </c>
      <c r="T542" s="353"/>
      <c r="U542" s="353">
        <f t="shared" si="26"/>
        <v>394848610</v>
      </c>
      <c r="V542" s="399"/>
      <c r="W542" s="399"/>
      <c r="X542" s="400" t="s">
        <v>492</v>
      </c>
      <c r="Y542" s="400"/>
      <c r="Z542" s="283"/>
    </row>
    <row r="543" spans="2:26" ht="19.5" hidden="1" customHeight="1">
      <c r="B543" s="29">
        <f t="shared" si="24"/>
        <v>533</v>
      </c>
      <c r="C543" s="30" t="s">
        <v>202</v>
      </c>
      <c r="D543" s="30" t="s">
        <v>225</v>
      </c>
      <c r="E543" s="234" t="s">
        <v>952</v>
      </c>
      <c r="F543" s="235" t="s">
        <v>1231</v>
      </c>
      <c r="G543" s="284">
        <f>IFERROR(VLOOKUP(E543,Assign!$C$2:$J$142,8,FALSE),)</f>
        <v>0</v>
      </c>
      <c r="H543" s="279" t="s">
        <v>6527</v>
      </c>
      <c r="I543" s="280" t="s">
        <v>5863</v>
      </c>
      <c r="J543" s="281" t="s">
        <v>3858</v>
      </c>
      <c r="K543" s="282">
        <v>44376</v>
      </c>
      <c r="L543" s="282">
        <v>46202</v>
      </c>
      <c r="M543" s="282"/>
      <c r="N543" s="371">
        <v>50000000</v>
      </c>
      <c r="O543" s="444" t="s">
        <v>3866</v>
      </c>
      <c r="P543" s="397">
        <v>0</v>
      </c>
      <c r="Q543" s="397">
        <v>0</v>
      </c>
      <c r="R543" s="397"/>
      <c r="S543" s="398">
        <f t="shared" si="25"/>
        <v>0</v>
      </c>
      <c r="T543" s="353"/>
      <c r="U543" s="353">
        <f t="shared" si="26"/>
        <v>0</v>
      </c>
      <c r="V543" s="399"/>
      <c r="W543" s="399"/>
      <c r="X543" s="400" t="s">
        <v>492</v>
      </c>
      <c r="Y543" s="400"/>
      <c r="Z543" s="283"/>
    </row>
    <row r="544" spans="2:26" ht="19.5" hidden="1" customHeight="1">
      <c r="B544" s="29">
        <f t="shared" si="24"/>
        <v>534</v>
      </c>
      <c r="C544" s="30" t="s">
        <v>202</v>
      </c>
      <c r="D544" s="30" t="s">
        <v>225</v>
      </c>
      <c r="E544" s="234" t="s">
        <v>952</v>
      </c>
      <c r="F544" s="235" t="s">
        <v>1231</v>
      </c>
      <c r="G544" s="284">
        <f>IFERROR(VLOOKUP(E544,Assign!$C$2:$J$142,8,FALSE),)</f>
        <v>0</v>
      </c>
      <c r="H544" s="279" t="s">
        <v>6528</v>
      </c>
      <c r="I544" s="280" t="s">
        <v>5617</v>
      </c>
      <c r="J544" s="281" t="s">
        <v>3776</v>
      </c>
      <c r="K544" s="282">
        <v>45296</v>
      </c>
      <c r="L544" s="282">
        <v>59906</v>
      </c>
      <c r="M544" s="282">
        <v>45503</v>
      </c>
      <c r="N544" s="371">
        <v>222083235</v>
      </c>
      <c r="O544" s="444" t="s">
        <v>3866</v>
      </c>
      <c r="P544" s="397">
        <v>222083235</v>
      </c>
      <c r="Q544" s="397">
        <v>222083235</v>
      </c>
      <c r="R544" s="397"/>
      <c r="S544" s="398">
        <f t="shared" si="25"/>
        <v>222083235</v>
      </c>
      <c r="T544" s="353"/>
      <c r="U544" s="353">
        <f t="shared" si="26"/>
        <v>222083235</v>
      </c>
      <c r="V544" s="399"/>
      <c r="W544" s="399"/>
      <c r="X544" s="400" t="s">
        <v>492</v>
      </c>
      <c r="Y544" s="400"/>
      <c r="Z544" s="283"/>
    </row>
    <row r="545" spans="2:26" ht="19.5" hidden="1" customHeight="1">
      <c r="B545" s="29">
        <f t="shared" si="24"/>
        <v>535</v>
      </c>
      <c r="C545" s="30" t="s">
        <v>202</v>
      </c>
      <c r="D545" s="30" t="s">
        <v>225</v>
      </c>
      <c r="E545" s="234" t="s">
        <v>952</v>
      </c>
      <c r="F545" s="235" t="s">
        <v>1231</v>
      </c>
      <c r="G545" s="284">
        <f>IFERROR(VLOOKUP(E545,Assign!$C$2:$J$142,8,FALSE),)</f>
        <v>0</v>
      </c>
      <c r="H545" s="279" t="s">
        <v>6529</v>
      </c>
      <c r="I545" s="280" t="s">
        <v>5671</v>
      </c>
      <c r="J545" s="281" t="s">
        <v>3734</v>
      </c>
      <c r="K545" s="282">
        <v>45321</v>
      </c>
      <c r="L545" s="282">
        <v>45687</v>
      </c>
      <c r="M545" s="282">
        <v>45504</v>
      </c>
      <c r="N545" s="371">
        <v>100000000</v>
      </c>
      <c r="O545" s="444" t="s">
        <v>3866</v>
      </c>
      <c r="P545" s="397">
        <v>100000000</v>
      </c>
      <c r="Q545" s="397">
        <v>100000000</v>
      </c>
      <c r="R545" s="397"/>
      <c r="S545" s="398">
        <f t="shared" si="25"/>
        <v>100000000</v>
      </c>
      <c r="T545" s="353"/>
      <c r="U545" s="353">
        <f t="shared" si="26"/>
        <v>100000000</v>
      </c>
      <c r="V545" s="399"/>
      <c r="W545" s="399"/>
      <c r="X545" s="400" t="s">
        <v>492</v>
      </c>
      <c r="Y545" s="400"/>
      <c r="Z545" s="283"/>
    </row>
    <row r="546" spans="2:26" ht="19.5" hidden="1" customHeight="1">
      <c r="B546" s="29">
        <f t="shared" si="24"/>
        <v>536</v>
      </c>
      <c r="C546" s="30" t="s">
        <v>202</v>
      </c>
      <c r="D546" s="30" t="s">
        <v>225</v>
      </c>
      <c r="E546" s="234" t="s">
        <v>954</v>
      </c>
      <c r="F546" s="235" t="s">
        <v>1346</v>
      </c>
      <c r="G546" s="284" t="str">
        <f>IFERROR(VLOOKUP(E546,Assign!$C$2:$J$142,8,FALSE),)</f>
        <v>문선영</v>
      </c>
      <c r="H546" s="279" t="s">
        <v>6903</v>
      </c>
      <c r="I546" s="280" t="s">
        <v>5742</v>
      </c>
      <c r="J546" s="281" t="s">
        <v>3734</v>
      </c>
      <c r="K546" s="282">
        <v>45518</v>
      </c>
      <c r="L546" s="282">
        <v>45702</v>
      </c>
      <c r="M546" s="282">
        <v>45703</v>
      </c>
      <c r="N546" s="371">
        <v>723000000</v>
      </c>
      <c r="O546" s="444" t="s">
        <v>3866</v>
      </c>
      <c r="P546" s="397">
        <v>707528316</v>
      </c>
      <c r="Q546" s="397">
        <v>707528316</v>
      </c>
      <c r="R546" s="397"/>
      <c r="S546" s="398">
        <f t="shared" si="25"/>
        <v>707528316</v>
      </c>
      <c r="T546" s="353"/>
      <c r="U546" s="353">
        <f t="shared" si="26"/>
        <v>707528316</v>
      </c>
      <c r="V546" s="399"/>
      <c r="W546" s="399"/>
      <c r="X546" s="400" t="s">
        <v>492</v>
      </c>
      <c r="Y546" s="400"/>
      <c r="Z546" s="283"/>
    </row>
    <row r="547" spans="2:26" ht="19.5" hidden="1" customHeight="1">
      <c r="B547" s="29">
        <f t="shared" si="24"/>
        <v>537</v>
      </c>
      <c r="C547" s="30" t="s">
        <v>202</v>
      </c>
      <c r="D547" s="30" t="s">
        <v>225</v>
      </c>
      <c r="E547" s="234" t="s">
        <v>954</v>
      </c>
      <c r="F547" s="235" t="s">
        <v>1346</v>
      </c>
      <c r="G547" s="284" t="str">
        <f>IFERROR(VLOOKUP(E547,Assign!$C$2:$J$142,8,FALSE),)</f>
        <v>문선영</v>
      </c>
      <c r="H547" s="279" t="s">
        <v>6904</v>
      </c>
      <c r="I547" s="280" t="s">
        <v>5857</v>
      </c>
      <c r="J547" s="281" t="s">
        <v>3753</v>
      </c>
      <c r="K547" s="282">
        <v>44279</v>
      </c>
      <c r="L547" s="282">
        <v>45740</v>
      </c>
      <c r="M547" s="282">
        <v>45604</v>
      </c>
      <c r="N547" s="371">
        <v>270000</v>
      </c>
      <c r="O547" s="444" t="s">
        <v>3866</v>
      </c>
      <c r="P547" s="397">
        <v>27080007</v>
      </c>
      <c r="Q547" s="397">
        <v>27080007</v>
      </c>
      <c r="R547" s="397"/>
      <c r="S547" s="398">
        <f t="shared" si="25"/>
        <v>27080007</v>
      </c>
      <c r="T547" s="353"/>
      <c r="U547" s="353">
        <f t="shared" si="26"/>
        <v>27080007</v>
      </c>
      <c r="V547" s="399"/>
      <c r="W547" s="399"/>
      <c r="X547" s="400" t="s">
        <v>492</v>
      </c>
      <c r="Y547" s="400"/>
      <c r="Z547" s="283"/>
    </row>
    <row r="548" spans="2:26" ht="19.5" hidden="1" customHeight="1">
      <c r="B548" s="29">
        <f t="shared" si="24"/>
        <v>538</v>
      </c>
      <c r="C548" s="30" t="s">
        <v>202</v>
      </c>
      <c r="D548" s="30" t="s">
        <v>225</v>
      </c>
      <c r="E548" s="234" t="s">
        <v>954</v>
      </c>
      <c r="F548" s="235" t="s">
        <v>1346</v>
      </c>
      <c r="G548" s="284" t="str">
        <f>IFERROR(VLOOKUP(E548,Assign!$C$2:$J$142,8,FALSE),)</f>
        <v>문선영</v>
      </c>
      <c r="H548" s="279" t="s">
        <v>6905</v>
      </c>
      <c r="I548" s="280" t="s">
        <v>5754</v>
      </c>
      <c r="J548" s="281" t="s">
        <v>3753</v>
      </c>
      <c r="K548" s="282">
        <v>44279</v>
      </c>
      <c r="L548" s="282">
        <v>45740</v>
      </c>
      <c r="M548" s="282">
        <v>45623</v>
      </c>
      <c r="N548" s="371">
        <v>270000</v>
      </c>
      <c r="O548" s="444" t="s">
        <v>3866</v>
      </c>
      <c r="P548" s="397">
        <v>15678385</v>
      </c>
      <c r="Q548" s="397">
        <v>15678385</v>
      </c>
      <c r="R548" s="397"/>
      <c r="S548" s="398">
        <f t="shared" si="25"/>
        <v>15678385</v>
      </c>
      <c r="T548" s="353"/>
      <c r="U548" s="353">
        <f t="shared" si="26"/>
        <v>15678385</v>
      </c>
      <c r="V548" s="399"/>
      <c r="W548" s="399"/>
      <c r="X548" s="400" t="s">
        <v>492</v>
      </c>
      <c r="Y548" s="400"/>
      <c r="Z548" s="283"/>
    </row>
    <row r="549" spans="2:26" ht="19.5" hidden="1" customHeight="1">
      <c r="B549" s="29">
        <f t="shared" si="24"/>
        <v>539</v>
      </c>
      <c r="C549" s="30" t="s">
        <v>202</v>
      </c>
      <c r="D549" s="30" t="s">
        <v>225</v>
      </c>
      <c r="E549" s="234" t="s">
        <v>954</v>
      </c>
      <c r="F549" s="235" t="s">
        <v>1346</v>
      </c>
      <c r="G549" s="284" t="str">
        <f>IFERROR(VLOOKUP(E549,Assign!$C$2:$J$142,8,FALSE),)</f>
        <v>문선영</v>
      </c>
      <c r="H549" s="279" t="s">
        <v>6906</v>
      </c>
      <c r="I549" s="280" t="s">
        <v>6109</v>
      </c>
      <c r="J549" s="281" t="s">
        <v>3753</v>
      </c>
      <c r="K549" s="282">
        <v>44279</v>
      </c>
      <c r="L549" s="282">
        <v>45740</v>
      </c>
      <c r="M549" s="282">
        <v>45629</v>
      </c>
      <c r="N549" s="371">
        <v>270000</v>
      </c>
      <c r="O549" s="444" t="s">
        <v>3866</v>
      </c>
      <c r="P549" s="397">
        <v>35041762</v>
      </c>
      <c r="Q549" s="397">
        <v>35041762</v>
      </c>
      <c r="R549" s="397"/>
      <c r="S549" s="398">
        <f t="shared" si="25"/>
        <v>35041762</v>
      </c>
      <c r="T549" s="353"/>
      <c r="U549" s="353">
        <f t="shared" si="26"/>
        <v>35041762</v>
      </c>
      <c r="V549" s="399"/>
      <c r="W549" s="399"/>
      <c r="X549" s="400" t="s">
        <v>492</v>
      </c>
      <c r="Y549" s="400"/>
      <c r="Z549" s="283"/>
    </row>
    <row r="550" spans="2:26" ht="19.5" hidden="1" customHeight="1">
      <c r="B550" s="29">
        <f t="shared" si="24"/>
        <v>540</v>
      </c>
      <c r="C550" s="30" t="s">
        <v>202</v>
      </c>
      <c r="D550" s="30" t="s">
        <v>225</v>
      </c>
      <c r="E550" s="234" t="s">
        <v>954</v>
      </c>
      <c r="F550" s="235" t="s">
        <v>1346</v>
      </c>
      <c r="G550" s="284" t="str">
        <f>IFERROR(VLOOKUP(E550,Assign!$C$2:$J$142,8,FALSE),)</f>
        <v>문선영</v>
      </c>
      <c r="H550" s="279" t="s">
        <v>6907</v>
      </c>
      <c r="I550" s="280" t="s">
        <v>5866</v>
      </c>
      <c r="J550" s="281" t="s">
        <v>3753</v>
      </c>
      <c r="K550" s="282">
        <v>44279</v>
      </c>
      <c r="L550" s="282">
        <v>45740</v>
      </c>
      <c r="M550" s="282">
        <v>45631</v>
      </c>
      <c r="N550" s="371">
        <v>270000</v>
      </c>
      <c r="O550" s="444" t="s">
        <v>3866</v>
      </c>
      <c r="P550" s="397">
        <v>87684892</v>
      </c>
      <c r="Q550" s="397">
        <v>87684892</v>
      </c>
      <c r="R550" s="397"/>
      <c r="S550" s="398">
        <f t="shared" si="25"/>
        <v>87684892</v>
      </c>
      <c r="T550" s="353"/>
      <c r="U550" s="353">
        <f t="shared" si="26"/>
        <v>87684892</v>
      </c>
      <c r="V550" s="399"/>
      <c r="W550" s="399"/>
      <c r="X550" s="400" t="s">
        <v>492</v>
      </c>
      <c r="Y550" s="400"/>
      <c r="Z550" s="283"/>
    </row>
    <row r="551" spans="2:26" ht="19.5" hidden="1" customHeight="1">
      <c r="B551" s="29">
        <f t="shared" si="24"/>
        <v>541</v>
      </c>
      <c r="C551" s="30" t="s">
        <v>202</v>
      </c>
      <c r="D551" s="30" t="s">
        <v>225</v>
      </c>
      <c r="E551" s="234" t="s">
        <v>954</v>
      </c>
      <c r="F551" s="235" t="s">
        <v>1346</v>
      </c>
      <c r="G551" s="284" t="str">
        <f>IFERROR(VLOOKUP(E551,Assign!$C$2:$J$142,8,FALSE),)</f>
        <v>문선영</v>
      </c>
      <c r="H551" s="279" t="s">
        <v>6908</v>
      </c>
      <c r="I551" s="280" t="s">
        <v>6110</v>
      </c>
      <c r="J551" s="281" t="s">
        <v>3753</v>
      </c>
      <c r="K551" s="282">
        <v>44279</v>
      </c>
      <c r="L551" s="282">
        <v>45740</v>
      </c>
      <c r="M551" s="282">
        <v>45650</v>
      </c>
      <c r="N551" s="371">
        <v>270000</v>
      </c>
      <c r="O551" s="444" t="s">
        <v>3866</v>
      </c>
      <c r="P551" s="397">
        <v>47147665</v>
      </c>
      <c r="Q551" s="397">
        <v>47147665</v>
      </c>
      <c r="R551" s="397"/>
      <c r="S551" s="398">
        <f t="shared" si="25"/>
        <v>47147665</v>
      </c>
      <c r="T551" s="353"/>
      <c r="U551" s="353">
        <f t="shared" si="26"/>
        <v>47147665</v>
      </c>
      <c r="V551" s="399"/>
      <c r="W551" s="399"/>
      <c r="X551" s="400" t="s">
        <v>492</v>
      </c>
      <c r="Y551" s="400"/>
      <c r="Z551" s="283"/>
    </row>
    <row r="552" spans="2:26" ht="19.5" hidden="1" customHeight="1">
      <c r="B552" s="29">
        <f t="shared" si="24"/>
        <v>542</v>
      </c>
      <c r="C552" s="30" t="s">
        <v>202</v>
      </c>
      <c r="D552" s="30" t="s">
        <v>225</v>
      </c>
      <c r="E552" s="234" t="s">
        <v>954</v>
      </c>
      <c r="F552" s="235" t="s">
        <v>1346</v>
      </c>
      <c r="G552" s="284" t="str">
        <f>IFERROR(VLOOKUP(E552,Assign!$C$2:$J$142,8,FALSE),)</f>
        <v>문선영</v>
      </c>
      <c r="H552" s="279" t="s">
        <v>6909</v>
      </c>
      <c r="I552" s="280" t="s">
        <v>5860</v>
      </c>
      <c r="J552" s="281" t="s">
        <v>3753</v>
      </c>
      <c r="K552" s="282">
        <v>44279</v>
      </c>
      <c r="L552" s="282">
        <v>45740</v>
      </c>
      <c r="M552" s="282">
        <v>45699</v>
      </c>
      <c r="N552" s="371">
        <v>270000</v>
      </c>
      <c r="O552" s="444" t="s">
        <v>3866</v>
      </c>
      <c r="P552" s="397">
        <v>30012774</v>
      </c>
      <c r="Q552" s="397">
        <v>30012774</v>
      </c>
      <c r="R552" s="397"/>
      <c r="S552" s="398">
        <f t="shared" si="25"/>
        <v>30012774</v>
      </c>
      <c r="T552" s="353"/>
      <c r="U552" s="353">
        <f t="shared" si="26"/>
        <v>30012774</v>
      </c>
      <c r="V552" s="399"/>
      <c r="W552" s="399"/>
      <c r="X552" s="400" t="s">
        <v>492</v>
      </c>
      <c r="Y552" s="400"/>
      <c r="Z552" s="283"/>
    </row>
    <row r="553" spans="2:26" ht="19.5" hidden="1" customHeight="1">
      <c r="B553" s="29">
        <f t="shared" si="24"/>
        <v>543</v>
      </c>
      <c r="C553" s="30" t="s">
        <v>202</v>
      </c>
      <c r="D553" s="30" t="s">
        <v>225</v>
      </c>
      <c r="E553" s="234" t="s">
        <v>954</v>
      </c>
      <c r="F553" s="235" t="s">
        <v>1346</v>
      </c>
      <c r="G553" s="284" t="str">
        <f>IFERROR(VLOOKUP(E553,Assign!$C$2:$J$142,8,FALSE),)</f>
        <v>문선영</v>
      </c>
      <c r="H553" s="279" t="s">
        <v>6910</v>
      </c>
      <c r="I553" s="280" t="s">
        <v>5729</v>
      </c>
      <c r="J553" s="281" t="s">
        <v>3753</v>
      </c>
      <c r="K553" s="282">
        <v>44279</v>
      </c>
      <c r="L553" s="282">
        <v>45740</v>
      </c>
      <c r="M553" s="282">
        <v>45699</v>
      </c>
      <c r="N553" s="371">
        <v>270000</v>
      </c>
      <c r="O553" s="444" t="s">
        <v>3866</v>
      </c>
      <c r="P553" s="397">
        <v>43458379</v>
      </c>
      <c r="Q553" s="397">
        <v>43458379</v>
      </c>
      <c r="R553" s="397"/>
      <c r="S553" s="398">
        <f t="shared" si="25"/>
        <v>43458379</v>
      </c>
      <c r="T553" s="353"/>
      <c r="U553" s="353">
        <f t="shared" si="26"/>
        <v>43458379</v>
      </c>
      <c r="V553" s="399"/>
      <c r="W553" s="399"/>
      <c r="X553" s="400" t="s">
        <v>492</v>
      </c>
      <c r="Y553" s="400"/>
      <c r="Z553" s="283"/>
    </row>
    <row r="554" spans="2:26" ht="19.5" hidden="1" customHeight="1">
      <c r="B554" s="29">
        <f t="shared" si="24"/>
        <v>544</v>
      </c>
      <c r="C554" s="30" t="s">
        <v>202</v>
      </c>
      <c r="D554" s="30" t="s">
        <v>225</v>
      </c>
      <c r="E554" s="234" t="s">
        <v>955</v>
      </c>
      <c r="F554" s="235" t="s">
        <v>1347</v>
      </c>
      <c r="G554" s="284" t="str">
        <f>IFERROR(VLOOKUP(E554,Assign!$C$2:$J$142,8,FALSE),)</f>
        <v>문선영</v>
      </c>
      <c r="H554" s="279" t="s">
        <v>6944</v>
      </c>
      <c r="I554" s="280" t="s">
        <v>6130</v>
      </c>
      <c r="J554" s="281" t="s">
        <v>3793</v>
      </c>
      <c r="K554" s="282">
        <v>43676</v>
      </c>
      <c r="L554" s="282">
        <v>45807</v>
      </c>
      <c r="M554" s="282">
        <v>45717</v>
      </c>
      <c r="N554" s="371">
        <v>654000000</v>
      </c>
      <c r="O554" s="444" t="s">
        <v>3866</v>
      </c>
      <c r="P554" s="397">
        <v>633000000</v>
      </c>
      <c r="Q554" s="397">
        <v>633000000</v>
      </c>
      <c r="R554" s="397"/>
      <c r="S554" s="398">
        <f t="shared" si="25"/>
        <v>633000000</v>
      </c>
      <c r="T554" s="353"/>
      <c r="U554" s="353">
        <f t="shared" si="26"/>
        <v>633000000</v>
      </c>
      <c r="V554" s="399"/>
      <c r="W554" s="399"/>
      <c r="X554" s="400" t="s">
        <v>492</v>
      </c>
      <c r="Y554" s="400"/>
      <c r="Z554" s="283"/>
    </row>
    <row r="555" spans="2:26" ht="19.5" hidden="1" customHeight="1">
      <c r="B555" s="29">
        <f t="shared" si="24"/>
        <v>545</v>
      </c>
      <c r="C555" s="30" t="s">
        <v>202</v>
      </c>
      <c r="D555" s="30" t="s">
        <v>225</v>
      </c>
      <c r="E555" s="234" t="s">
        <v>955</v>
      </c>
      <c r="F555" s="235" t="s">
        <v>1347</v>
      </c>
      <c r="G555" s="284" t="str">
        <f>IFERROR(VLOOKUP(E555,Assign!$C$2:$J$142,8,FALSE),)</f>
        <v>문선영</v>
      </c>
      <c r="H555" s="279" t="s">
        <v>6945</v>
      </c>
      <c r="I555" s="280" t="s">
        <v>6131</v>
      </c>
      <c r="J555" s="281" t="s">
        <v>3734</v>
      </c>
      <c r="K555" s="282">
        <v>44039</v>
      </c>
      <c r="L555" s="282">
        <v>45807</v>
      </c>
      <c r="M555" s="282">
        <v>45717</v>
      </c>
      <c r="N555" s="371">
        <v>279000000</v>
      </c>
      <c r="O555" s="444" t="s">
        <v>3866</v>
      </c>
      <c r="P555" s="397">
        <v>279000000</v>
      </c>
      <c r="Q555" s="397">
        <v>279000000</v>
      </c>
      <c r="R555" s="397"/>
      <c r="S555" s="398">
        <f t="shared" si="25"/>
        <v>279000000</v>
      </c>
      <c r="T555" s="353"/>
      <c r="U555" s="353">
        <f t="shared" si="26"/>
        <v>279000000</v>
      </c>
      <c r="V555" s="399"/>
      <c r="W555" s="399"/>
      <c r="X555" s="400" t="s">
        <v>492</v>
      </c>
      <c r="Y555" s="400"/>
      <c r="Z555" s="283"/>
    </row>
    <row r="556" spans="2:26" ht="19.5" hidden="1" customHeight="1">
      <c r="B556" s="29">
        <f t="shared" si="24"/>
        <v>546</v>
      </c>
      <c r="C556" s="30" t="s">
        <v>202</v>
      </c>
      <c r="D556" s="30" t="s">
        <v>225</v>
      </c>
      <c r="E556" s="234" t="s">
        <v>956</v>
      </c>
      <c r="F556" s="235" t="s">
        <v>1348</v>
      </c>
      <c r="G556" s="284">
        <f>IFERROR(VLOOKUP(E556,Assign!$C$2:$J$142,8,FALSE),)</f>
        <v>0</v>
      </c>
      <c r="H556" s="279" t="s">
        <v>7077</v>
      </c>
      <c r="I556" s="280" t="s">
        <v>5977</v>
      </c>
      <c r="J556" s="281" t="s">
        <v>3733</v>
      </c>
      <c r="K556" s="282">
        <v>44547</v>
      </c>
      <c r="L556" s="282">
        <v>45733</v>
      </c>
      <c r="M556" s="282">
        <v>45644</v>
      </c>
      <c r="N556" s="371">
        <v>900000000</v>
      </c>
      <c r="O556" s="444" t="s">
        <v>3866</v>
      </c>
      <c r="P556" s="397">
        <v>900000000</v>
      </c>
      <c r="Q556" s="397">
        <v>900000000</v>
      </c>
      <c r="R556" s="397"/>
      <c r="S556" s="398">
        <f t="shared" si="25"/>
        <v>900000000</v>
      </c>
      <c r="T556" s="353"/>
      <c r="U556" s="353">
        <f t="shared" si="26"/>
        <v>900000000</v>
      </c>
      <c r="V556" s="399"/>
      <c r="W556" s="399"/>
      <c r="X556" s="400" t="s">
        <v>492</v>
      </c>
      <c r="Y556" s="400"/>
      <c r="Z556" s="283"/>
    </row>
    <row r="557" spans="2:26" ht="19.5" hidden="1" customHeight="1">
      <c r="B557" s="29">
        <f t="shared" si="24"/>
        <v>547</v>
      </c>
      <c r="C557" s="30" t="s">
        <v>202</v>
      </c>
      <c r="D557" s="30" t="s">
        <v>225</v>
      </c>
      <c r="E557" s="234" t="s">
        <v>957</v>
      </c>
      <c r="F557" s="235" t="s">
        <v>1220</v>
      </c>
      <c r="G557" s="284">
        <f>IFERROR(VLOOKUP(E557,Assign!$C$2:$J$142,8,FALSE),)</f>
        <v>0</v>
      </c>
      <c r="H557" s="279" t="s">
        <v>6408</v>
      </c>
      <c r="I557" s="280" t="s">
        <v>5769</v>
      </c>
      <c r="J557" s="281" t="s">
        <v>3733</v>
      </c>
      <c r="K557" s="282">
        <v>45390</v>
      </c>
      <c r="L557" s="282">
        <v>46485</v>
      </c>
      <c r="M557" s="282">
        <v>45666</v>
      </c>
      <c r="N557" s="371">
        <v>880000000</v>
      </c>
      <c r="O557" s="444" t="s">
        <v>3866</v>
      </c>
      <c r="P557" s="397">
        <v>880000000</v>
      </c>
      <c r="Q557" s="397">
        <v>880000000</v>
      </c>
      <c r="R557" s="397"/>
      <c r="S557" s="398">
        <f t="shared" si="25"/>
        <v>880000000</v>
      </c>
      <c r="T557" s="353"/>
      <c r="U557" s="353">
        <f t="shared" si="26"/>
        <v>880000000</v>
      </c>
      <c r="V557" s="399"/>
      <c r="W557" s="399"/>
      <c r="X557" s="400" t="s">
        <v>492</v>
      </c>
      <c r="Y557" s="400"/>
      <c r="Z557" s="283"/>
    </row>
    <row r="558" spans="2:26" ht="19.5" hidden="1" customHeight="1">
      <c r="B558" s="29">
        <f t="shared" si="24"/>
        <v>548</v>
      </c>
      <c r="C558" s="30" t="s">
        <v>202</v>
      </c>
      <c r="D558" s="30" t="s">
        <v>225</v>
      </c>
      <c r="E558" s="234" t="s">
        <v>958</v>
      </c>
      <c r="F558" s="235" t="s">
        <v>1274</v>
      </c>
      <c r="G558" s="284" t="str">
        <f>IFERROR(VLOOKUP(E558,Assign!$C$2:$J$142,8,FALSE),)</f>
        <v>문선영</v>
      </c>
      <c r="H558" s="279" t="s">
        <v>7021</v>
      </c>
      <c r="I558" s="280" t="s">
        <v>6071</v>
      </c>
      <c r="J558" s="281" t="s">
        <v>3793</v>
      </c>
      <c r="K558" s="282">
        <v>43774</v>
      </c>
      <c r="L558" s="282">
        <v>45742</v>
      </c>
      <c r="M558" s="282">
        <v>45694</v>
      </c>
      <c r="N558" s="371">
        <v>630000000</v>
      </c>
      <c r="O558" s="444" t="s">
        <v>3866</v>
      </c>
      <c r="P558" s="397">
        <v>630000000</v>
      </c>
      <c r="Q558" s="397">
        <v>630000000</v>
      </c>
      <c r="R558" s="397"/>
      <c r="S558" s="398">
        <f t="shared" si="25"/>
        <v>630000000</v>
      </c>
      <c r="T558" s="353"/>
      <c r="U558" s="353">
        <f t="shared" si="26"/>
        <v>630000000</v>
      </c>
      <c r="V558" s="399"/>
      <c r="W558" s="399"/>
      <c r="X558" s="400" t="s">
        <v>492</v>
      </c>
      <c r="Y558" s="400"/>
      <c r="Z558" s="283"/>
    </row>
    <row r="559" spans="2:26" ht="19.5" hidden="1" customHeight="1">
      <c r="B559" s="29">
        <f t="shared" si="24"/>
        <v>549</v>
      </c>
      <c r="C559" s="30" t="s">
        <v>202</v>
      </c>
      <c r="D559" s="30" t="s">
        <v>225</v>
      </c>
      <c r="E559" s="234" t="s">
        <v>958</v>
      </c>
      <c r="F559" s="235" t="s">
        <v>1274</v>
      </c>
      <c r="G559" s="284" t="str">
        <f>IFERROR(VLOOKUP(E559,Assign!$C$2:$J$142,8,FALSE),)</f>
        <v>문선영</v>
      </c>
      <c r="H559" s="279" t="s">
        <v>7022</v>
      </c>
      <c r="I559" s="280" t="s">
        <v>6171</v>
      </c>
      <c r="J559" s="281" t="s">
        <v>3763</v>
      </c>
      <c r="K559" s="282">
        <v>44771</v>
      </c>
      <c r="L559" s="282">
        <v>45778</v>
      </c>
      <c r="M559" s="282">
        <v>45721</v>
      </c>
      <c r="N559" s="371">
        <v>92000000</v>
      </c>
      <c r="O559" s="444" t="s">
        <v>3866</v>
      </c>
      <c r="P559" s="397">
        <v>92000000</v>
      </c>
      <c r="Q559" s="397">
        <v>92000000</v>
      </c>
      <c r="R559" s="397"/>
      <c r="S559" s="398">
        <f t="shared" si="25"/>
        <v>92000000</v>
      </c>
      <c r="T559" s="353"/>
      <c r="U559" s="353">
        <f t="shared" si="26"/>
        <v>92000000</v>
      </c>
      <c r="V559" s="399"/>
      <c r="W559" s="399"/>
      <c r="X559" s="400" t="s">
        <v>492</v>
      </c>
      <c r="Y559" s="400"/>
      <c r="Z559" s="283"/>
    </row>
    <row r="560" spans="2:26" ht="19.5" hidden="1" customHeight="1">
      <c r="B560" s="29">
        <f t="shared" si="24"/>
        <v>550</v>
      </c>
      <c r="C560" s="30" t="s">
        <v>202</v>
      </c>
      <c r="D560" s="30" t="s">
        <v>225</v>
      </c>
      <c r="E560" s="234" t="s">
        <v>958</v>
      </c>
      <c r="F560" s="235" t="s">
        <v>1274</v>
      </c>
      <c r="G560" s="284" t="str">
        <f>IFERROR(VLOOKUP(E560,Assign!$C$2:$J$142,8,FALSE),)</f>
        <v>문선영</v>
      </c>
      <c r="H560" s="279" t="s">
        <v>7023</v>
      </c>
      <c r="I560" s="280" t="s">
        <v>6172</v>
      </c>
      <c r="J560" s="281" t="s">
        <v>3745</v>
      </c>
      <c r="K560" s="282">
        <v>44830</v>
      </c>
      <c r="L560" s="282">
        <v>45926</v>
      </c>
      <c r="M560" s="282">
        <v>45721</v>
      </c>
      <c r="N560" s="371">
        <v>100000000</v>
      </c>
      <c r="O560" s="444" t="s">
        <v>3866</v>
      </c>
      <c r="P560" s="397">
        <v>71000000</v>
      </c>
      <c r="Q560" s="397">
        <v>71000000</v>
      </c>
      <c r="R560" s="397"/>
      <c r="S560" s="398">
        <f t="shared" si="25"/>
        <v>71000000</v>
      </c>
      <c r="T560" s="353"/>
      <c r="U560" s="353">
        <f t="shared" si="26"/>
        <v>71000000</v>
      </c>
      <c r="V560" s="399"/>
      <c r="W560" s="399"/>
      <c r="X560" s="400" t="s">
        <v>492</v>
      </c>
      <c r="Y560" s="400"/>
      <c r="Z560" s="283"/>
    </row>
    <row r="561" spans="2:26" ht="19.5" hidden="1" customHeight="1">
      <c r="B561" s="29">
        <f t="shared" si="24"/>
        <v>551</v>
      </c>
      <c r="C561" s="30" t="s">
        <v>202</v>
      </c>
      <c r="D561" s="30" t="s">
        <v>225</v>
      </c>
      <c r="E561" s="234" t="s">
        <v>958</v>
      </c>
      <c r="F561" s="235" t="s">
        <v>1274</v>
      </c>
      <c r="G561" s="284" t="str">
        <f>IFERROR(VLOOKUP(E561,Assign!$C$2:$J$142,8,FALSE),)</f>
        <v>문선영</v>
      </c>
      <c r="H561" s="279" t="s">
        <v>7024</v>
      </c>
      <c r="I561" s="280" t="s">
        <v>5602</v>
      </c>
      <c r="J561" s="281" t="s">
        <v>3745</v>
      </c>
      <c r="K561" s="282">
        <v>45561</v>
      </c>
      <c r="L561" s="282">
        <v>45926</v>
      </c>
      <c r="M561" s="282">
        <v>45694</v>
      </c>
      <c r="N561" s="371">
        <v>47000000</v>
      </c>
      <c r="O561" s="444" t="s">
        <v>3866</v>
      </c>
      <c r="P561" s="397">
        <v>34926405</v>
      </c>
      <c r="Q561" s="397">
        <v>34926405</v>
      </c>
      <c r="R561" s="397"/>
      <c r="S561" s="398">
        <f t="shared" si="25"/>
        <v>34926405</v>
      </c>
      <c r="T561" s="353"/>
      <c r="U561" s="353">
        <f t="shared" si="26"/>
        <v>34926405</v>
      </c>
      <c r="V561" s="399"/>
      <c r="W561" s="399"/>
      <c r="X561" s="400" t="s">
        <v>492</v>
      </c>
      <c r="Y561" s="400"/>
      <c r="Z561" s="283"/>
    </row>
    <row r="562" spans="2:26" ht="19.5" hidden="1" customHeight="1">
      <c r="B562" s="29">
        <f t="shared" si="24"/>
        <v>552</v>
      </c>
      <c r="C562" s="30" t="s">
        <v>202</v>
      </c>
      <c r="D562" s="30" t="s">
        <v>225</v>
      </c>
      <c r="E562" s="234" t="s">
        <v>959</v>
      </c>
      <c r="F562" s="235" t="s">
        <v>1221</v>
      </c>
      <c r="G562" s="284" t="str">
        <f>IFERROR(VLOOKUP(E562,Assign!$C$2:$J$142,8,FALSE),)</f>
        <v>문선영</v>
      </c>
      <c r="H562" s="279" t="s">
        <v>6418</v>
      </c>
      <c r="I562" s="280" t="s">
        <v>5777</v>
      </c>
      <c r="J562" s="281" t="s">
        <v>3733</v>
      </c>
      <c r="K562" s="282">
        <v>45595</v>
      </c>
      <c r="L562" s="282">
        <v>46690</v>
      </c>
      <c r="M562" s="282">
        <v>45667</v>
      </c>
      <c r="N562" s="371">
        <v>800000000</v>
      </c>
      <c r="O562" s="444" t="s">
        <v>3866</v>
      </c>
      <c r="P562" s="397">
        <v>800000000</v>
      </c>
      <c r="Q562" s="397">
        <v>800000000</v>
      </c>
      <c r="R562" s="397"/>
      <c r="S562" s="398">
        <f t="shared" si="25"/>
        <v>800000000</v>
      </c>
      <c r="T562" s="353"/>
      <c r="U562" s="353">
        <f t="shared" si="26"/>
        <v>800000000</v>
      </c>
      <c r="V562" s="399"/>
      <c r="W562" s="399"/>
      <c r="X562" s="400" t="s">
        <v>492</v>
      </c>
      <c r="Y562" s="400"/>
      <c r="Z562" s="283"/>
    </row>
    <row r="563" spans="2:26" ht="19.5" hidden="1" customHeight="1">
      <c r="B563" s="29">
        <f t="shared" si="24"/>
        <v>553</v>
      </c>
      <c r="C563" s="30" t="s">
        <v>202</v>
      </c>
      <c r="D563" s="30" t="s">
        <v>225</v>
      </c>
      <c r="E563" s="234" t="s">
        <v>960</v>
      </c>
      <c r="F563" s="235" t="s">
        <v>1349</v>
      </c>
      <c r="G563" s="284" t="str">
        <f>IFERROR(VLOOKUP(E563,Assign!$C$2:$J$142,8,FALSE),)</f>
        <v>문선영</v>
      </c>
      <c r="H563" s="279" t="s">
        <v>7091</v>
      </c>
      <c r="I563" s="280" t="s">
        <v>5834</v>
      </c>
      <c r="J563" s="281" t="s">
        <v>3733</v>
      </c>
      <c r="K563" s="282">
        <v>44697</v>
      </c>
      <c r="L563" s="282">
        <v>45658</v>
      </c>
      <c r="M563" s="282">
        <v>45646</v>
      </c>
      <c r="N563" s="371">
        <v>630000000</v>
      </c>
      <c r="O563" s="444" t="s">
        <v>3866</v>
      </c>
      <c r="P563" s="397">
        <v>630000000</v>
      </c>
      <c r="Q563" s="397">
        <v>630000000</v>
      </c>
      <c r="R563" s="397"/>
      <c r="S563" s="398">
        <f t="shared" si="25"/>
        <v>630000000</v>
      </c>
      <c r="T563" s="353"/>
      <c r="U563" s="353">
        <f t="shared" si="26"/>
        <v>630000000</v>
      </c>
      <c r="V563" s="399"/>
      <c r="W563" s="399"/>
      <c r="X563" s="400" t="s">
        <v>492</v>
      </c>
      <c r="Y563" s="400"/>
      <c r="Z563" s="283"/>
    </row>
    <row r="564" spans="2:26" ht="19.5" hidden="1" customHeight="1">
      <c r="B564" s="29">
        <f t="shared" si="24"/>
        <v>554</v>
      </c>
      <c r="C564" s="30" t="s">
        <v>202</v>
      </c>
      <c r="D564" s="30" t="s">
        <v>225</v>
      </c>
      <c r="E564" s="234" t="s">
        <v>960</v>
      </c>
      <c r="F564" s="235" t="s">
        <v>1349</v>
      </c>
      <c r="G564" s="284" t="str">
        <f>IFERROR(VLOOKUP(E564,Assign!$C$2:$J$142,8,FALSE),)</f>
        <v>문선영</v>
      </c>
      <c r="H564" s="279" t="s">
        <v>7092</v>
      </c>
      <c r="I564" s="280" t="s">
        <v>6087</v>
      </c>
      <c r="J564" s="281" t="s">
        <v>3734</v>
      </c>
      <c r="K564" s="282">
        <v>44697</v>
      </c>
      <c r="L564" s="282">
        <v>45658</v>
      </c>
      <c r="M564" s="282">
        <v>45660</v>
      </c>
      <c r="N564" s="371">
        <v>120000000</v>
      </c>
      <c r="O564" s="444" t="s">
        <v>3866</v>
      </c>
      <c r="P564" s="397">
        <v>120000000</v>
      </c>
      <c r="Q564" s="397">
        <v>120000000</v>
      </c>
      <c r="R564" s="397"/>
      <c r="S564" s="398">
        <f t="shared" si="25"/>
        <v>120000000</v>
      </c>
      <c r="T564" s="353"/>
      <c r="U564" s="353">
        <f t="shared" si="26"/>
        <v>120000000</v>
      </c>
      <c r="V564" s="399"/>
      <c r="W564" s="399"/>
      <c r="X564" s="400" t="s">
        <v>492</v>
      </c>
      <c r="Y564" s="400"/>
      <c r="Z564" s="283"/>
    </row>
    <row r="565" spans="2:26" ht="19.5" hidden="1" customHeight="1">
      <c r="B565" s="29">
        <f t="shared" si="24"/>
        <v>555</v>
      </c>
      <c r="C565" s="30" t="s">
        <v>202</v>
      </c>
      <c r="D565" s="30" t="s">
        <v>225</v>
      </c>
      <c r="E565" s="234" t="s">
        <v>960</v>
      </c>
      <c r="F565" s="235" t="s">
        <v>1349</v>
      </c>
      <c r="G565" s="284" t="str">
        <f>IFERROR(VLOOKUP(E565,Assign!$C$2:$J$142,8,FALSE),)</f>
        <v>문선영</v>
      </c>
      <c r="H565" s="279" t="s">
        <v>7093</v>
      </c>
      <c r="I565" s="280" t="s">
        <v>5675</v>
      </c>
      <c r="J565" s="281" t="s">
        <v>3734</v>
      </c>
      <c r="K565" s="282">
        <v>44774</v>
      </c>
      <c r="L565" s="282">
        <v>45658</v>
      </c>
      <c r="M565" s="282">
        <v>45660</v>
      </c>
      <c r="N565" s="371">
        <v>24600000</v>
      </c>
      <c r="O565" s="444" t="s">
        <v>3866</v>
      </c>
      <c r="P565" s="397">
        <v>24600000</v>
      </c>
      <c r="Q565" s="397">
        <v>24600000</v>
      </c>
      <c r="R565" s="397"/>
      <c r="S565" s="398">
        <f t="shared" si="25"/>
        <v>24600000</v>
      </c>
      <c r="T565" s="353"/>
      <c r="U565" s="353">
        <f t="shared" si="26"/>
        <v>24600000</v>
      </c>
      <c r="V565" s="399"/>
      <c r="W565" s="399"/>
      <c r="X565" s="400" t="s">
        <v>492</v>
      </c>
      <c r="Y565" s="400"/>
      <c r="Z565" s="283"/>
    </row>
    <row r="566" spans="2:26" ht="19.5" hidden="1" customHeight="1">
      <c r="B566" s="29">
        <f t="shared" si="24"/>
        <v>556</v>
      </c>
      <c r="C566" s="30" t="s">
        <v>202</v>
      </c>
      <c r="D566" s="30" t="s">
        <v>225</v>
      </c>
      <c r="E566" s="234" t="s">
        <v>961</v>
      </c>
      <c r="F566" s="235" t="s">
        <v>1275</v>
      </c>
      <c r="G566" s="284">
        <f>IFERROR(VLOOKUP(E566,Assign!$C$2:$J$142,8,FALSE),)</f>
        <v>0</v>
      </c>
      <c r="H566" s="279" t="s">
        <v>7015</v>
      </c>
      <c r="I566" s="280" t="s">
        <v>6167</v>
      </c>
      <c r="J566" s="281" t="s">
        <v>3763</v>
      </c>
      <c r="K566" s="282">
        <v>44833</v>
      </c>
      <c r="L566" s="282">
        <v>45625</v>
      </c>
      <c r="M566" s="282">
        <v>45626</v>
      </c>
      <c r="N566" s="371">
        <v>280000000</v>
      </c>
      <c r="O566" s="444" t="s">
        <v>3866</v>
      </c>
      <c r="P566" s="397">
        <v>280000000</v>
      </c>
      <c r="Q566" s="397">
        <v>280000000</v>
      </c>
      <c r="R566" s="397"/>
      <c r="S566" s="398">
        <f t="shared" si="25"/>
        <v>280000000</v>
      </c>
      <c r="T566" s="353"/>
      <c r="U566" s="353">
        <f t="shared" si="26"/>
        <v>280000000</v>
      </c>
      <c r="V566" s="399"/>
      <c r="W566" s="399"/>
      <c r="X566" s="400" t="s">
        <v>492</v>
      </c>
      <c r="Y566" s="400"/>
      <c r="Z566" s="283"/>
    </row>
    <row r="567" spans="2:26" ht="19.5" hidden="1" customHeight="1">
      <c r="B567" s="29">
        <f t="shared" si="24"/>
        <v>557</v>
      </c>
      <c r="C567" s="30" t="s">
        <v>202</v>
      </c>
      <c r="D567" s="30" t="s">
        <v>225</v>
      </c>
      <c r="E567" s="234" t="s">
        <v>961</v>
      </c>
      <c r="F567" s="235" t="s">
        <v>1275</v>
      </c>
      <c r="G567" s="284">
        <f>IFERROR(VLOOKUP(E567,Assign!$C$2:$J$142,8,FALSE),)</f>
        <v>0</v>
      </c>
      <c r="H567" s="279" t="s">
        <v>7016</v>
      </c>
      <c r="I567" s="280" t="s">
        <v>6168</v>
      </c>
      <c r="J567" s="281" t="s">
        <v>3764</v>
      </c>
      <c r="K567" s="282">
        <v>44833</v>
      </c>
      <c r="L567" s="282">
        <v>45655</v>
      </c>
      <c r="M567" s="282">
        <v>45626</v>
      </c>
      <c r="N567" s="371">
        <v>222000000</v>
      </c>
      <c r="O567" s="444" t="s">
        <v>3866</v>
      </c>
      <c r="P567" s="397">
        <v>222000000</v>
      </c>
      <c r="Q567" s="397">
        <v>222000000</v>
      </c>
      <c r="R567" s="397"/>
      <c r="S567" s="398">
        <f t="shared" si="25"/>
        <v>222000000</v>
      </c>
      <c r="T567" s="353"/>
      <c r="U567" s="353">
        <f t="shared" si="26"/>
        <v>222000000</v>
      </c>
      <c r="V567" s="399"/>
      <c r="W567" s="399"/>
      <c r="X567" s="400" t="s">
        <v>492</v>
      </c>
      <c r="Y567" s="400"/>
      <c r="Z567" s="283"/>
    </row>
    <row r="568" spans="2:26" ht="19.5" hidden="1" customHeight="1">
      <c r="B568" s="29">
        <f t="shared" si="24"/>
        <v>558</v>
      </c>
      <c r="C568" s="30" t="s">
        <v>202</v>
      </c>
      <c r="D568" s="30" t="s">
        <v>225</v>
      </c>
      <c r="E568" s="234" t="s">
        <v>961</v>
      </c>
      <c r="F568" s="235" t="s">
        <v>1275</v>
      </c>
      <c r="G568" s="284">
        <f>IFERROR(VLOOKUP(E568,Assign!$C$2:$J$142,8,FALSE),)</f>
        <v>0</v>
      </c>
      <c r="H568" s="279" t="s">
        <v>7017</v>
      </c>
      <c r="I568" s="280" t="s">
        <v>6169</v>
      </c>
      <c r="J568" s="281" t="s">
        <v>3764</v>
      </c>
      <c r="K568" s="282">
        <v>44833</v>
      </c>
      <c r="L568" s="282">
        <v>45641</v>
      </c>
      <c r="M568" s="282">
        <v>45626</v>
      </c>
      <c r="N568" s="371">
        <v>240000000</v>
      </c>
      <c r="O568" s="444" t="s">
        <v>3866</v>
      </c>
      <c r="P568" s="397">
        <v>240000000</v>
      </c>
      <c r="Q568" s="397">
        <v>240000000</v>
      </c>
      <c r="R568" s="397"/>
      <c r="S568" s="398">
        <f t="shared" si="25"/>
        <v>240000000</v>
      </c>
      <c r="T568" s="353"/>
      <c r="U568" s="353">
        <f t="shared" si="26"/>
        <v>240000000</v>
      </c>
      <c r="V568" s="399"/>
      <c r="W568" s="399"/>
      <c r="X568" s="400" t="s">
        <v>492</v>
      </c>
      <c r="Y568" s="400"/>
      <c r="Z568" s="283"/>
    </row>
    <row r="569" spans="2:26" ht="19.5" hidden="1" customHeight="1">
      <c r="B569" s="29">
        <f t="shared" si="24"/>
        <v>559</v>
      </c>
      <c r="C569" s="30" t="s">
        <v>202</v>
      </c>
      <c r="D569" s="30" t="s">
        <v>225</v>
      </c>
      <c r="E569" s="234" t="s">
        <v>962</v>
      </c>
      <c r="F569" s="235" t="s">
        <v>1229</v>
      </c>
      <c r="G569" s="284">
        <f>IFERROR(VLOOKUP(E569,Assign!$C$2:$J$142,8,FALSE),)</f>
        <v>0</v>
      </c>
      <c r="H569" s="279" t="s">
        <v>7103</v>
      </c>
      <c r="I569" s="280" t="s">
        <v>6066</v>
      </c>
      <c r="J569" s="281" t="s">
        <v>3752</v>
      </c>
      <c r="K569" s="282">
        <v>45009</v>
      </c>
      <c r="L569" s="282">
        <v>45740</v>
      </c>
      <c r="M569" s="282">
        <v>45622</v>
      </c>
      <c r="N569" s="371">
        <v>700000000</v>
      </c>
      <c r="O569" s="444" t="s">
        <v>3866</v>
      </c>
      <c r="P569" s="397">
        <v>684040000</v>
      </c>
      <c r="Q569" s="397">
        <v>684040000</v>
      </c>
      <c r="R569" s="397"/>
      <c r="S569" s="398">
        <f t="shared" si="25"/>
        <v>684040000</v>
      </c>
      <c r="T569" s="353"/>
      <c r="U569" s="353">
        <f t="shared" si="26"/>
        <v>684040000</v>
      </c>
      <c r="V569" s="399"/>
      <c r="W569" s="399"/>
      <c r="X569" s="400" t="s">
        <v>492</v>
      </c>
      <c r="Y569" s="400"/>
      <c r="Z569" s="283"/>
    </row>
    <row r="570" spans="2:26" ht="19.5" hidden="1" customHeight="1">
      <c r="B570" s="29">
        <f t="shared" si="24"/>
        <v>560</v>
      </c>
      <c r="C570" s="30" t="s">
        <v>202</v>
      </c>
      <c r="D570" s="30" t="s">
        <v>225</v>
      </c>
      <c r="E570" s="234" t="s">
        <v>963</v>
      </c>
      <c r="F570" s="235" t="s">
        <v>1276</v>
      </c>
      <c r="G570" s="284" t="str">
        <f>IFERROR(VLOOKUP(E570,Assign!$C$2:$J$142,8,FALSE),)</f>
        <v>문선영</v>
      </c>
      <c r="H570" s="279" t="s">
        <v>6503</v>
      </c>
      <c r="I570" s="280" t="s">
        <v>5843</v>
      </c>
      <c r="J570" s="281" t="s">
        <v>3736</v>
      </c>
      <c r="K570" s="282">
        <v>43364</v>
      </c>
      <c r="L570" s="282">
        <v>45737</v>
      </c>
      <c r="M570" s="282">
        <v>45650</v>
      </c>
      <c r="N570" s="371">
        <v>440000000</v>
      </c>
      <c r="O570" s="444" t="s">
        <v>3866</v>
      </c>
      <c r="P570" s="397">
        <v>439866944</v>
      </c>
      <c r="Q570" s="397">
        <v>439866944</v>
      </c>
      <c r="R570" s="397"/>
      <c r="S570" s="398">
        <f t="shared" si="25"/>
        <v>439866944</v>
      </c>
      <c r="T570" s="353"/>
      <c r="U570" s="353">
        <f t="shared" si="26"/>
        <v>439866944</v>
      </c>
      <c r="V570" s="399"/>
      <c r="W570" s="399"/>
      <c r="X570" s="400" t="s">
        <v>492</v>
      </c>
      <c r="Y570" s="400"/>
      <c r="Z570" s="283"/>
    </row>
    <row r="571" spans="2:26" ht="19.5" hidden="1" customHeight="1">
      <c r="B571" s="29">
        <f t="shared" si="24"/>
        <v>561</v>
      </c>
      <c r="C571" s="30" t="s">
        <v>202</v>
      </c>
      <c r="D571" s="30" t="s">
        <v>225</v>
      </c>
      <c r="E571" s="234" t="s">
        <v>963</v>
      </c>
      <c r="F571" s="235" t="s">
        <v>1276</v>
      </c>
      <c r="G571" s="284" t="str">
        <f>IFERROR(VLOOKUP(E571,Assign!$C$2:$J$142,8,FALSE),)</f>
        <v>문선영</v>
      </c>
      <c r="H571" s="279" t="s">
        <v>6504</v>
      </c>
      <c r="I571" s="280" t="s">
        <v>5844</v>
      </c>
      <c r="J571" s="281" t="s">
        <v>3753</v>
      </c>
      <c r="K571" s="282">
        <v>45190</v>
      </c>
      <c r="L571" s="282">
        <v>45737</v>
      </c>
      <c r="M571" s="282">
        <v>45594</v>
      </c>
      <c r="N571" s="371">
        <v>300000</v>
      </c>
      <c r="O571" s="444" t="s">
        <v>3866</v>
      </c>
      <c r="P571" s="397">
        <v>40479118</v>
      </c>
      <c r="Q571" s="397">
        <v>40479118</v>
      </c>
      <c r="R571" s="397"/>
      <c r="S571" s="398">
        <f t="shared" si="25"/>
        <v>40479118</v>
      </c>
      <c r="T571" s="353"/>
      <c r="U571" s="353">
        <f t="shared" si="26"/>
        <v>40479118</v>
      </c>
      <c r="V571" s="399"/>
      <c r="W571" s="399"/>
      <c r="X571" s="400" t="s">
        <v>492</v>
      </c>
      <c r="Y571" s="400"/>
      <c r="Z571" s="283"/>
    </row>
    <row r="572" spans="2:26" ht="19.5" hidden="1" customHeight="1">
      <c r="B572" s="29">
        <f t="shared" si="24"/>
        <v>562</v>
      </c>
      <c r="C572" s="30" t="s">
        <v>202</v>
      </c>
      <c r="D572" s="30" t="s">
        <v>225</v>
      </c>
      <c r="E572" s="234" t="s">
        <v>963</v>
      </c>
      <c r="F572" s="235" t="s">
        <v>1276</v>
      </c>
      <c r="G572" s="284" t="str">
        <f>IFERROR(VLOOKUP(E572,Assign!$C$2:$J$142,8,FALSE),)</f>
        <v>문선영</v>
      </c>
      <c r="H572" s="279" t="s">
        <v>6505</v>
      </c>
      <c r="I572" s="280" t="s">
        <v>5845</v>
      </c>
      <c r="J572" s="281" t="s">
        <v>3753</v>
      </c>
      <c r="K572" s="282">
        <v>45190</v>
      </c>
      <c r="L572" s="282">
        <v>45737</v>
      </c>
      <c r="M572" s="282">
        <v>45608</v>
      </c>
      <c r="N572" s="371">
        <v>300000</v>
      </c>
      <c r="O572" s="444" t="s">
        <v>3866</v>
      </c>
      <c r="P572" s="397">
        <v>29318630</v>
      </c>
      <c r="Q572" s="397">
        <v>29318630</v>
      </c>
      <c r="R572" s="397"/>
      <c r="S572" s="398">
        <f t="shared" si="25"/>
        <v>29318630</v>
      </c>
      <c r="T572" s="353"/>
      <c r="U572" s="353">
        <f t="shared" si="26"/>
        <v>29318630</v>
      </c>
      <c r="V572" s="399"/>
      <c r="W572" s="399"/>
      <c r="X572" s="400" t="s">
        <v>492</v>
      </c>
      <c r="Y572" s="400"/>
      <c r="Z572" s="283"/>
    </row>
    <row r="573" spans="2:26" ht="19.5" hidden="1" customHeight="1">
      <c r="B573" s="29">
        <f t="shared" si="24"/>
        <v>563</v>
      </c>
      <c r="C573" s="30" t="s">
        <v>202</v>
      </c>
      <c r="D573" s="30" t="s">
        <v>225</v>
      </c>
      <c r="E573" s="234" t="s">
        <v>963</v>
      </c>
      <c r="F573" s="235" t="s">
        <v>1276</v>
      </c>
      <c r="G573" s="284" t="str">
        <f>IFERROR(VLOOKUP(E573,Assign!$C$2:$J$142,8,FALSE),)</f>
        <v>문선영</v>
      </c>
      <c r="H573" s="279" t="s">
        <v>6506</v>
      </c>
      <c r="I573" s="280" t="s">
        <v>5846</v>
      </c>
      <c r="J573" s="281" t="s">
        <v>3753</v>
      </c>
      <c r="K573" s="282">
        <v>45190</v>
      </c>
      <c r="L573" s="282">
        <v>45737</v>
      </c>
      <c r="M573" s="282">
        <v>45614</v>
      </c>
      <c r="N573" s="371">
        <v>300000</v>
      </c>
      <c r="O573" s="444" t="s">
        <v>3866</v>
      </c>
      <c r="P573" s="397">
        <v>19852880</v>
      </c>
      <c r="Q573" s="397">
        <v>19852880</v>
      </c>
      <c r="R573" s="397"/>
      <c r="S573" s="398">
        <f t="shared" si="25"/>
        <v>19852880</v>
      </c>
      <c r="T573" s="353"/>
      <c r="U573" s="353">
        <f t="shared" si="26"/>
        <v>19852880</v>
      </c>
      <c r="V573" s="399"/>
      <c r="W573" s="399"/>
      <c r="X573" s="400" t="s">
        <v>492</v>
      </c>
      <c r="Y573" s="400"/>
      <c r="Z573" s="283"/>
    </row>
    <row r="574" spans="2:26" ht="19.5" hidden="1" customHeight="1">
      <c r="B574" s="29">
        <f t="shared" si="24"/>
        <v>564</v>
      </c>
      <c r="C574" s="30" t="s">
        <v>202</v>
      </c>
      <c r="D574" s="30" t="s">
        <v>225</v>
      </c>
      <c r="E574" s="234" t="s">
        <v>963</v>
      </c>
      <c r="F574" s="235" t="s">
        <v>1276</v>
      </c>
      <c r="G574" s="284" t="str">
        <f>IFERROR(VLOOKUP(E574,Assign!$C$2:$J$142,8,FALSE),)</f>
        <v>문선영</v>
      </c>
      <c r="H574" s="279" t="s">
        <v>6507</v>
      </c>
      <c r="I574" s="280" t="s">
        <v>5847</v>
      </c>
      <c r="J574" s="281" t="s">
        <v>3753</v>
      </c>
      <c r="K574" s="282">
        <v>45190</v>
      </c>
      <c r="L574" s="282">
        <v>45737</v>
      </c>
      <c r="M574" s="282">
        <v>45643</v>
      </c>
      <c r="N574" s="371">
        <v>300000</v>
      </c>
      <c r="O574" s="444" t="s">
        <v>3866</v>
      </c>
      <c r="P574" s="397">
        <v>748411</v>
      </c>
      <c r="Q574" s="397">
        <v>748411</v>
      </c>
      <c r="R574" s="397"/>
      <c r="S574" s="398">
        <f t="shared" si="25"/>
        <v>748411</v>
      </c>
      <c r="T574" s="353"/>
      <c r="U574" s="353">
        <f t="shared" si="26"/>
        <v>748411</v>
      </c>
      <c r="V574" s="399"/>
      <c r="W574" s="399"/>
      <c r="X574" s="400" t="s">
        <v>492</v>
      </c>
      <c r="Y574" s="400"/>
      <c r="Z574" s="283"/>
    </row>
    <row r="575" spans="2:26" ht="19.5" hidden="1" customHeight="1">
      <c r="B575" s="29">
        <f t="shared" si="24"/>
        <v>565</v>
      </c>
      <c r="C575" s="30" t="s">
        <v>202</v>
      </c>
      <c r="D575" s="30" t="s">
        <v>225</v>
      </c>
      <c r="E575" s="234" t="s">
        <v>963</v>
      </c>
      <c r="F575" s="235" t="s">
        <v>1276</v>
      </c>
      <c r="G575" s="284" t="str">
        <f>IFERROR(VLOOKUP(E575,Assign!$C$2:$J$142,8,FALSE),)</f>
        <v>문선영</v>
      </c>
      <c r="H575" s="279" t="s">
        <v>6508</v>
      </c>
      <c r="I575" s="280" t="s">
        <v>5673</v>
      </c>
      <c r="J575" s="281" t="s">
        <v>3753</v>
      </c>
      <c r="K575" s="282">
        <v>45190</v>
      </c>
      <c r="L575" s="282">
        <v>45737</v>
      </c>
      <c r="M575" s="282">
        <v>45643</v>
      </c>
      <c r="N575" s="371">
        <v>300000</v>
      </c>
      <c r="O575" s="444" t="s">
        <v>3866</v>
      </c>
      <c r="P575" s="397">
        <v>498805</v>
      </c>
      <c r="Q575" s="397">
        <v>498805</v>
      </c>
      <c r="R575" s="397"/>
      <c r="S575" s="398">
        <f t="shared" si="25"/>
        <v>498805</v>
      </c>
      <c r="T575" s="353"/>
      <c r="U575" s="353">
        <f t="shared" si="26"/>
        <v>498805</v>
      </c>
      <c r="V575" s="399"/>
      <c r="W575" s="399"/>
      <c r="X575" s="400" t="s">
        <v>492</v>
      </c>
      <c r="Y575" s="400"/>
      <c r="Z575" s="283"/>
    </row>
    <row r="576" spans="2:26" ht="19.5" hidden="1" customHeight="1">
      <c r="B576" s="29">
        <f t="shared" si="24"/>
        <v>566</v>
      </c>
      <c r="C576" s="30" t="s">
        <v>202</v>
      </c>
      <c r="D576" s="30" t="s">
        <v>225</v>
      </c>
      <c r="E576" s="234" t="s">
        <v>963</v>
      </c>
      <c r="F576" s="235" t="s">
        <v>1276</v>
      </c>
      <c r="G576" s="284" t="str">
        <f>IFERROR(VLOOKUP(E576,Assign!$C$2:$J$142,8,FALSE),)</f>
        <v>문선영</v>
      </c>
      <c r="H576" s="279" t="s">
        <v>6509</v>
      </c>
      <c r="I576" s="280" t="s">
        <v>5848</v>
      </c>
      <c r="J576" s="281" t="s">
        <v>3753</v>
      </c>
      <c r="K576" s="282">
        <v>45190</v>
      </c>
      <c r="L576" s="282">
        <v>45737</v>
      </c>
      <c r="M576" s="282">
        <v>45659</v>
      </c>
      <c r="N576" s="371">
        <v>300000</v>
      </c>
      <c r="O576" s="444" t="s">
        <v>3866</v>
      </c>
      <c r="P576" s="397">
        <v>7860833</v>
      </c>
      <c r="Q576" s="397">
        <v>7860833</v>
      </c>
      <c r="R576" s="397"/>
      <c r="S576" s="398">
        <f t="shared" si="25"/>
        <v>7860833</v>
      </c>
      <c r="T576" s="353"/>
      <c r="U576" s="353">
        <f t="shared" si="26"/>
        <v>7860833</v>
      </c>
      <c r="V576" s="399"/>
      <c r="W576" s="399"/>
      <c r="X576" s="400" t="s">
        <v>492</v>
      </c>
      <c r="Y576" s="400"/>
      <c r="Z576" s="283"/>
    </row>
    <row r="577" spans="2:26" ht="19.5" hidden="1" customHeight="1">
      <c r="B577" s="29">
        <f t="shared" si="24"/>
        <v>567</v>
      </c>
      <c r="C577" s="30" t="s">
        <v>202</v>
      </c>
      <c r="D577" s="30" t="s">
        <v>225</v>
      </c>
      <c r="E577" s="234" t="s">
        <v>963</v>
      </c>
      <c r="F577" s="235" t="s">
        <v>1276</v>
      </c>
      <c r="G577" s="284" t="str">
        <f>IFERROR(VLOOKUP(E577,Assign!$C$2:$J$142,8,FALSE),)</f>
        <v>문선영</v>
      </c>
      <c r="H577" s="279" t="s">
        <v>6510</v>
      </c>
      <c r="I577" s="280" t="s">
        <v>5711</v>
      </c>
      <c r="J577" s="281" t="s">
        <v>3753</v>
      </c>
      <c r="K577" s="282">
        <v>45190</v>
      </c>
      <c r="L577" s="282">
        <v>45737</v>
      </c>
      <c r="M577" s="282">
        <v>45659</v>
      </c>
      <c r="N577" s="371">
        <v>300000</v>
      </c>
      <c r="O577" s="444" t="s">
        <v>3866</v>
      </c>
      <c r="P577" s="397">
        <v>181348</v>
      </c>
      <c r="Q577" s="397">
        <v>181348</v>
      </c>
      <c r="R577" s="397"/>
      <c r="S577" s="398">
        <f t="shared" si="25"/>
        <v>181348</v>
      </c>
      <c r="T577" s="353"/>
      <c r="U577" s="353">
        <f t="shared" si="26"/>
        <v>181348</v>
      </c>
      <c r="V577" s="399"/>
      <c r="W577" s="399"/>
      <c r="X577" s="400" t="s">
        <v>492</v>
      </c>
      <c r="Y577" s="400"/>
      <c r="Z577" s="283"/>
    </row>
    <row r="578" spans="2:26" ht="19.5" hidden="1" customHeight="1">
      <c r="B578" s="29">
        <f t="shared" si="24"/>
        <v>568</v>
      </c>
      <c r="C578" s="30" t="s">
        <v>202</v>
      </c>
      <c r="D578" s="30" t="s">
        <v>225</v>
      </c>
      <c r="E578" s="234" t="s">
        <v>963</v>
      </c>
      <c r="F578" s="235" t="s">
        <v>1276</v>
      </c>
      <c r="G578" s="284" t="str">
        <f>IFERROR(VLOOKUP(E578,Assign!$C$2:$J$142,8,FALSE),)</f>
        <v>문선영</v>
      </c>
      <c r="H578" s="279" t="s">
        <v>6511</v>
      </c>
      <c r="I578" s="280" t="s">
        <v>5849</v>
      </c>
      <c r="J578" s="281" t="s">
        <v>3753</v>
      </c>
      <c r="K578" s="282">
        <v>45190</v>
      </c>
      <c r="L578" s="282">
        <v>45737</v>
      </c>
      <c r="M578" s="282">
        <v>45691</v>
      </c>
      <c r="N578" s="371">
        <v>300000</v>
      </c>
      <c r="O578" s="444" t="s">
        <v>3866</v>
      </c>
      <c r="P578" s="397">
        <v>18887882</v>
      </c>
      <c r="Q578" s="397">
        <v>18887882</v>
      </c>
      <c r="R578" s="397"/>
      <c r="S578" s="398">
        <f t="shared" si="25"/>
        <v>18887882</v>
      </c>
      <c r="T578" s="353"/>
      <c r="U578" s="353">
        <f t="shared" si="26"/>
        <v>18887882</v>
      </c>
      <c r="V578" s="399"/>
      <c r="W578" s="399"/>
      <c r="X578" s="400" t="s">
        <v>492</v>
      </c>
      <c r="Y578" s="400"/>
      <c r="Z578" s="283"/>
    </row>
    <row r="579" spans="2:26" ht="19.5" hidden="1" customHeight="1">
      <c r="B579" s="29">
        <f t="shared" si="24"/>
        <v>569</v>
      </c>
      <c r="C579" s="30" t="s">
        <v>202</v>
      </c>
      <c r="D579" s="30" t="s">
        <v>225</v>
      </c>
      <c r="E579" s="234" t="s">
        <v>963</v>
      </c>
      <c r="F579" s="235" t="s">
        <v>1276</v>
      </c>
      <c r="G579" s="284" t="str">
        <f>IFERROR(VLOOKUP(E579,Assign!$C$2:$J$142,8,FALSE),)</f>
        <v>문선영</v>
      </c>
      <c r="H579" s="279" t="s">
        <v>6512</v>
      </c>
      <c r="I579" s="280" t="s">
        <v>5850</v>
      </c>
      <c r="J579" s="281" t="s">
        <v>3753</v>
      </c>
      <c r="K579" s="282">
        <v>45190</v>
      </c>
      <c r="L579" s="282">
        <v>45737</v>
      </c>
      <c r="M579" s="282">
        <v>45691</v>
      </c>
      <c r="N579" s="371">
        <v>300000</v>
      </c>
      <c r="O579" s="444" t="s">
        <v>3866</v>
      </c>
      <c r="P579" s="397">
        <v>419075</v>
      </c>
      <c r="Q579" s="397">
        <v>419075</v>
      </c>
      <c r="R579" s="397"/>
      <c r="S579" s="398">
        <f t="shared" si="25"/>
        <v>419075</v>
      </c>
      <c r="T579" s="353"/>
      <c r="U579" s="353">
        <f t="shared" si="26"/>
        <v>419075</v>
      </c>
      <c r="V579" s="399"/>
      <c r="W579" s="399"/>
      <c r="X579" s="400" t="s">
        <v>492</v>
      </c>
      <c r="Y579" s="400"/>
      <c r="Z579" s="283"/>
    </row>
    <row r="580" spans="2:26" ht="19.5" hidden="1" customHeight="1">
      <c r="B580" s="29">
        <f t="shared" si="24"/>
        <v>570</v>
      </c>
      <c r="C580" s="30" t="s">
        <v>202</v>
      </c>
      <c r="D580" s="30" t="s">
        <v>225</v>
      </c>
      <c r="E580" s="234" t="s">
        <v>963</v>
      </c>
      <c r="F580" s="235" t="s">
        <v>1276</v>
      </c>
      <c r="G580" s="284" t="str">
        <f>IFERROR(VLOOKUP(E580,Assign!$C$2:$J$142,8,FALSE),)</f>
        <v>문선영</v>
      </c>
      <c r="H580" s="279" t="s">
        <v>6513</v>
      </c>
      <c r="I580" s="280" t="s">
        <v>5851</v>
      </c>
      <c r="J580" s="281" t="s">
        <v>3753</v>
      </c>
      <c r="K580" s="282">
        <v>45190</v>
      </c>
      <c r="L580" s="282">
        <v>45737</v>
      </c>
      <c r="M580" s="282">
        <v>45695</v>
      </c>
      <c r="N580" s="371">
        <v>300000</v>
      </c>
      <c r="O580" s="444" t="s">
        <v>3866</v>
      </c>
      <c r="P580" s="397">
        <v>40340760</v>
      </c>
      <c r="Q580" s="397">
        <v>40340760</v>
      </c>
      <c r="R580" s="397"/>
      <c r="S580" s="398">
        <f t="shared" si="25"/>
        <v>40340760</v>
      </c>
      <c r="T580" s="353"/>
      <c r="U580" s="353">
        <f t="shared" si="26"/>
        <v>40340760</v>
      </c>
      <c r="V580" s="399"/>
      <c r="W580" s="399"/>
      <c r="X580" s="400" t="s">
        <v>492</v>
      </c>
      <c r="Y580" s="400"/>
      <c r="Z580" s="283"/>
    </row>
    <row r="581" spans="2:26" ht="19.5" hidden="1" customHeight="1">
      <c r="B581" s="29">
        <f t="shared" si="24"/>
        <v>571</v>
      </c>
      <c r="C581" s="30" t="s">
        <v>202</v>
      </c>
      <c r="D581" s="30" t="s">
        <v>225</v>
      </c>
      <c r="E581" s="234" t="s">
        <v>963</v>
      </c>
      <c r="F581" s="235" t="s">
        <v>1276</v>
      </c>
      <c r="G581" s="284" t="str">
        <f>IFERROR(VLOOKUP(E581,Assign!$C$2:$J$142,8,FALSE),)</f>
        <v>문선영</v>
      </c>
      <c r="H581" s="279" t="s">
        <v>6514</v>
      </c>
      <c r="I581" s="280" t="s">
        <v>5852</v>
      </c>
      <c r="J581" s="281" t="s">
        <v>3753</v>
      </c>
      <c r="K581" s="282">
        <v>45190</v>
      </c>
      <c r="L581" s="282">
        <v>45737</v>
      </c>
      <c r="M581" s="282">
        <v>45695</v>
      </c>
      <c r="N581" s="371">
        <v>300000</v>
      </c>
      <c r="O581" s="444" t="s">
        <v>3866</v>
      </c>
      <c r="P581" s="397">
        <v>899562</v>
      </c>
      <c r="Q581" s="397">
        <v>899562</v>
      </c>
      <c r="R581" s="397"/>
      <c r="S581" s="398">
        <f t="shared" si="25"/>
        <v>899562</v>
      </c>
      <c r="T581" s="353"/>
      <c r="U581" s="353">
        <f t="shared" si="26"/>
        <v>899562</v>
      </c>
      <c r="V581" s="399"/>
      <c r="W581" s="399"/>
      <c r="X581" s="400" t="s">
        <v>492</v>
      </c>
      <c r="Y581" s="400"/>
      <c r="Z581" s="283"/>
    </row>
    <row r="582" spans="2:26" ht="19.5" hidden="1" customHeight="1">
      <c r="B582" s="29">
        <f t="shared" si="24"/>
        <v>572</v>
      </c>
      <c r="C582" s="30" t="s">
        <v>202</v>
      </c>
      <c r="D582" s="30" t="s">
        <v>225</v>
      </c>
      <c r="E582" s="234" t="s">
        <v>963</v>
      </c>
      <c r="F582" s="235" t="s">
        <v>1276</v>
      </c>
      <c r="G582" s="284" t="str">
        <f>IFERROR(VLOOKUP(E582,Assign!$C$2:$J$142,8,FALSE),)</f>
        <v>문선영</v>
      </c>
      <c r="H582" s="279" t="s">
        <v>6515</v>
      </c>
      <c r="I582" s="280" t="s">
        <v>5853</v>
      </c>
      <c r="J582" s="281" t="s">
        <v>3753</v>
      </c>
      <c r="K582" s="282">
        <v>45190</v>
      </c>
      <c r="L582" s="282">
        <v>45737</v>
      </c>
      <c r="M582" s="282">
        <v>45701</v>
      </c>
      <c r="N582" s="371">
        <v>300000</v>
      </c>
      <c r="O582" s="444" t="s">
        <v>3866</v>
      </c>
      <c r="P582" s="397">
        <v>38204753</v>
      </c>
      <c r="Q582" s="397">
        <v>38204753</v>
      </c>
      <c r="R582" s="397"/>
      <c r="S582" s="398">
        <f t="shared" si="25"/>
        <v>38204753</v>
      </c>
      <c r="T582" s="353"/>
      <c r="U582" s="353">
        <f t="shared" si="26"/>
        <v>38204753</v>
      </c>
      <c r="V582" s="399"/>
      <c r="W582" s="399"/>
      <c r="X582" s="400" t="s">
        <v>492</v>
      </c>
      <c r="Y582" s="400"/>
      <c r="Z582" s="283"/>
    </row>
    <row r="583" spans="2:26" ht="19.5" hidden="1" customHeight="1">
      <c r="B583" s="29">
        <f t="shared" si="24"/>
        <v>573</v>
      </c>
      <c r="C583" s="30" t="s">
        <v>202</v>
      </c>
      <c r="D583" s="30" t="s">
        <v>225</v>
      </c>
      <c r="E583" s="234" t="s">
        <v>963</v>
      </c>
      <c r="F583" s="235" t="s">
        <v>1276</v>
      </c>
      <c r="G583" s="284" t="str">
        <f>IFERROR(VLOOKUP(E583,Assign!$C$2:$J$142,8,FALSE),)</f>
        <v>문선영</v>
      </c>
      <c r="H583" s="279" t="s">
        <v>6516</v>
      </c>
      <c r="I583" s="280" t="s">
        <v>5854</v>
      </c>
      <c r="J583" s="281" t="s">
        <v>3753</v>
      </c>
      <c r="K583" s="282">
        <v>45190</v>
      </c>
      <c r="L583" s="282">
        <v>45737</v>
      </c>
      <c r="M583" s="282">
        <v>45701</v>
      </c>
      <c r="N583" s="371">
        <v>300000</v>
      </c>
      <c r="O583" s="444" t="s">
        <v>3866</v>
      </c>
      <c r="P583" s="397">
        <v>848302</v>
      </c>
      <c r="Q583" s="397">
        <v>848302</v>
      </c>
      <c r="R583" s="397"/>
      <c r="S583" s="398">
        <f t="shared" si="25"/>
        <v>848302</v>
      </c>
      <c r="T583" s="353"/>
      <c r="U583" s="353">
        <f t="shared" si="26"/>
        <v>848302</v>
      </c>
      <c r="V583" s="399"/>
      <c r="W583" s="399"/>
      <c r="X583" s="400" t="s">
        <v>492</v>
      </c>
      <c r="Y583" s="400"/>
      <c r="Z583" s="283"/>
    </row>
    <row r="584" spans="2:26" ht="19.5" hidden="1" customHeight="1">
      <c r="B584" s="29">
        <f t="shared" si="24"/>
        <v>574</v>
      </c>
      <c r="C584" s="30" t="s">
        <v>202</v>
      </c>
      <c r="D584" s="30" t="s">
        <v>225</v>
      </c>
      <c r="E584" s="234" t="s">
        <v>963</v>
      </c>
      <c r="F584" s="235" t="s">
        <v>1276</v>
      </c>
      <c r="G584" s="284" t="str">
        <f>IFERROR(VLOOKUP(E584,Assign!$C$2:$J$142,8,FALSE),)</f>
        <v>문선영</v>
      </c>
      <c r="H584" s="279" t="s">
        <v>6517</v>
      </c>
      <c r="I584" s="280" t="s">
        <v>5855</v>
      </c>
      <c r="J584" s="281" t="s">
        <v>3753</v>
      </c>
      <c r="K584" s="282">
        <v>45190</v>
      </c>
      <c r="L584" s="282">
        <v>45737</v>
      </c>
      <c r="M584" s="282">
        <v>45701</v>
      </c>
      <c r="N584" s="371">
        <v>300000</v>
      </c>
      <c r="O584" s="444" t="s">
        <v>3866</v>
      </c>
      <c r="P584" s="397">
        <v>8595291</v>
      </c>
      <c r="Q584" s="397">
        <v>8595291</v>
      </c>
      <c r="R584" s="397"/>
      <c r="S584" s="398">
        <f t="shared" si="25"/>
        <v>8595291</v>
      </c>
      <c r="T584" s="353"/>
      <c r="U584" s="353">
        <f t="shared" si="26"/>
        <v>8595291</v>
      </c>
      <c r="V584" s="399"/>
      <c r="W584" s="399"/>
      <c r="X584" s="400" t="s">
        <v>492</v>
      </c>
      <c r="Y584" s="400"/>
      <c r="Z584" s="283"/>
    </row>
    <row r="585" spans="2:26" ht="19.5" hidden="1" customHeight="1">
      <c r="B585" s="29">
        <f t="shared" si="24"/>
        <v>575</v>
      </c>
      <c r="C585" s="30" t="s">
        <v>202</v>
      </c>
      <c r="D585" s="30" t="s">
        <v>225</v>
      </c>
      <c r="E585" s="234" t="s">
        <v>963</v>
      </c>
      <c r="F585" s="235" t="s">
        <v>1276</v>
      </c>
      <c r="G585" s="284" t="str">
        <f>IFERROR(VLOOKUP(E585,Assign!$C$2:$J$142,8,FALSE),)</f>
        <v>문선영</v>
      </c>
      <c r="H585" s="279" t="s">
        <v>6518</v>
      </c>
      <c r="I585" s="280" t="s">
        <v>5856</v>
      </c>
      <c r="J585" s="281" t="s">
        <v>3753</v>
      </c>
      <c r="K585" s="282">
        <v>45190</v>
      </c>
      <c r="L585" s="282">
        <v>45737</v>
      </c>
      <c r="M585" s="282">
        <v>45701</v>
      </c>
      <c r="N585" s="371">
        <v>300000</v>
      </c>
      <c r="O585" s="444" t="s">
        <v>3866</v>
      </c>
      <c r="P585" s="397">
        <v>191319</v>
      </c>
      <c r="Q585" s="397">
        <v>191319</v>
      </c>
      <c r="R585" s="397"/>
      <c r="S585" s="398">
        <f t="shared" si="25"/>
        <v>191319</v>
      </c>
      <c r="T585" s="353"/>
      <c r="U585" s="353">
        <f t="shared" si="26"/>
        <v>191319</v>
      </c>
      <c r="V585" s="399"/>
      <c r="W585" s="399"/>
      <c r="X585" s="400" t="s">
        <v>492</v>
      </c>
      <c r="Y585" s="400"/>
      <c r="Z585" s="283"/>
    </row>
    <row r="586" spans="2:26" ht="19.5" hidden="1" customHeight="1">
      <c r="B586" s="29">
        <f t="shared" si="24"/>
        <v>576</v>
      </c>
      <c r="C586" s="30" t="s">
        <v>202</v>
      </c>
      <c r="D586" s="30" t="s">
        <v>225</v>
      </c>
      <c r="E586" s="234" t="s">
        <v>963</v>
      </c>
      <c r="F586" s="235" t="s">
        <v>1276</v>
      </c>
      <c r="G586" s="284" t="str">
        <f>IFERROR(VLOOKUP(E586,Assign!$C$2:$J$142,8,FALSE),)</f>
        <v>문선영</v>
      </c>
      <c r="H586" s="279" t="s">
        <v>6519</v>
      </c>
      <c r="I586" s="280" t="s">
        <v>5857</v>
      </c>
      <c r="J586" s="281" t="s">
        <v>3753</v>
      </c>
      <c r="K586" s="282">
        <v>45190</v>
      </c>
      <c r="L586" s="282">
        <v>45737</v>
      </c>
      <c r="M586" s="282">
        <v>45702</v>
      </c>
      <c r="N586" s="371">
        <v>300000</v>
      </c>
      <c r="O586" s="444" t="s">
        <v>3866</v>
      </c>
      <c r="P586" s="397">
        <v>17967514</v>
      </c>
      <c r="Q586" s="397">
        <v>17967514</v>
      </c>
      <c r="R586" s="397"/>
      <c r="S586" s="398">
        <f t="shared" si="25"/>
        <v>17967514</v>
      </c>
      <c r="T586" s="353"/>
      <c r="U586" s="353">
        <f t="shared" si="26"/>
        <v>17967514</v>
      </c>
      <c r="V586" s="399"/>
      <c r="W586" s="399"/>
      <c r="X586" s="400" t="s">
        <v>492</v>
      </c>
      <c r="Y586" s="400"/>
      <c r="Z586" s="283"/>
    </row>
    <row r="587" spans="2:26" ht="19.5" hidden="1" customHeight="1">
      <c r="B587" s="29">
        <f t="shared" ref="B587:B650" si="27">ROW()-10</f>
        <v>577</v>
      </c>
      <c r="C587" s="30" t="s">
        <v>202</v>
      </c>
      <c r="D587" s="30" t="s">
        <v>225</v>
      </c>
      <c r="E587" s="234" t="s">
        <v>963</v>
      </c>
      <c r="F587" s="235" t="s">
        <v>1276</v>
      </c>
      <c r="G587" s="284" t="str">
        <f>IFERROR(VLOOKUP(E587,Assign!$C$2:$J$142,8,FALSE),)</f>
        <v>문선영</v>
      </c>
      <c r="H587" s="279" t="s">
        <v>6520</v>
      </c>
      <c r="I587" s="280" t="s">
        <v>5639</v>
      </c>
      <c r="J587" s="281" t="s">
        <v>3753</v>
      </c>
      <c r="K587" s="282">
        <v>45190</v>
      </c>
      <c r="L587" s="282">
        <v>45737</v>
      </c>
      <c r="M587" s="282">
        <v>45702</v>
      </c>
      <c r="N587" s="371">
        <v>300000</v>
      </c>
      <c r="O587" s="444" t="s">
        <v>3866</v>
      </c>
      <c r="P587" s="397">
        <v>397677</v>
      </c>
      <c r="Q587" s="397">
        <v>397677</v>
      </c>
      <c r="R587" s="397"/>
      <c r="S587" s="398">
        <f t="shared" ref="S587:S650" si="28">Q587+R587</f>
        <v>397677</v>
      </c>
      <c r="T587" s="353"/>
      <c r="U587" s="353">
        <f t="shared" ref="U587:U650" si="29">S587+T587</f>
        <v>397677</v>
      </c>
      <c r="V587" s="399"/>
      <c r="W587" s="399"/>
      <c r="X587" s="400" t="s">
        <v>492</v>
      </c>
      <c r="Y587" s="400"/>
      <c r="Z587" s="283"/>
    </row>
    <row r="588" spans="2:26" ht="19.5" hidden="1" customHeight="1">
      <c r="B588" s="29">
        <f t="shared" si="27"/>
        <v>578</v>
      </c>
      <c r="C588" s="30" t="s">
        <v>202</v>
      </c>
      <c r="D588" s="30" t="s">
        <v>225</v>
      </c>
      <c r="E588" s="234" t="s">
        <v>964</v>
      </c>
      <c r="F588" s="235" t="s">
        <v>1225</v>
      </c>
      <c r="G588" s="284" t="str">
        <f>IFERROR(VLOOKUP(E588,Assign!$C$2:$J$142,8,FALSE),)</f>
        <v>문선영</v>
      </c>
      <c r="H588" s="279" t="s">
        <v>6990</v>
      </c>
      <c r="I588" s="280" t="s">
        <v>6152</v>
      </c>
      <c r="J588" s="281" t="s">
        <v>3736</v>
      </c>
      <c r="K588" s="282">
        <v>43763</v>
      </c>
      <c r="L588" s="282">
        <v>45677</v>
      </c>
      <c r="M588" s="282">
        <v>45678</v>
      </c>
      <c r="N588" s="371">
        <v>87000000</v>
      </c>
      <c r="O588" s="444" t="s">
        <v>3866</v>
      </c>
      <c r="P588" s="397">
        <v>85715916</v>
      </c>
      <c r="Q588" s="397">
        <v>85715916</v>
      </c>
      <c r="R588" s="397"/>
      <c r="S588" s="398">
        <f t="shared" si="28"/>
        <v>85715916</v>
      </c>
      <c r="T588" s="353"/>
      <c r="U588" s="353">
        <f t="shared" si="29"/>
        <v>85715916</v>
      </c>
      <c r="V588" s="399"/>
      <c r="W588" s="399"/>
      <c r="X588" s="400" t="s">
        <v>492</v>
      </c>
      <c r="Y588" s="400"/>
      <c r="Z588" s="283"/>
    </row>
    <row r="589" spans="2:26" ht="19.5" hidden="1" customHeight="1">
      <c r="B589" s="29">
        <f t="shared" si="27"/>
        <v>579</v>
      </c>
      <c r="C589" s="30" t="s">
        <v>202</v>
      </c>
      <c r="D589" s="30" t="s">
        <v>225</v>
      </c>
      <c r="E589" s="234" t="s">
        <v>964</v>
      </c>
      <c r="F589" s="235" t="s">
        <v>1225</v>
      </c>
      <c r="G589" s="284" t="str">
        <f>IFERROR(VLOOKUP(E589,Assign!$C$2:$J$142,8,FALSE),)</f>
        <v>문선영</v>
      </c>
      <c r="H589" s="279" t="s">
        <v>6991</v>
      </c>
      <c r="I589" s="280" t="s">
        <v>5747</v>
      </c>
      <c r="J589" s="281" t="s">
        <v>3733</v>
      </c>
      <c r="K589" s="282">
        <v>43301</v>
      </c>
      <c r="L589" s="282">
        <v>45677</v>
      </c>
      <c r="M589" s="282">
        <v>45674</v>
      </c>
      <c r="N589" s="371">
        <v>433000000</v>
      </c>
      <c r="O589" s="444" t="s">
        <v>3866</v>
      </c>
      <c r="P589" s="397">
        <v>433000000</v>
      </c>
      <c r="Q589" s="397">
        <v>433000000</v>
      </c>
      <c r="R589" s="397"/>
      <c r="S589" s="398">
        <f t="shared" si="28"/>
        <v>433000000</v>
      </c>
      <c r="T589" s="353"/>
      <c r="U589" s="353">
        <f t="shared" si="29"/>
        <v>433000000</v>
      </c>
      <c r="V589" s="399"/>
      <c r="W589" s="399"/>
      <c r="X589" s="400" t="s">
        <v>492</v>
      </c>
      <c r="Y589" s="400"/>
      <c r="Z589" s="283"/>
    </row>
    <row r="590" spans="2:26" ht="19.5" hidden="1" customHeight="1">
      <c r="B590" s="29">
        <f t="shared" si="27"/>
        <v>580</v>
      </c>
      <c r="C590" s="30" t="s">
        <v>202</v>
      </c>
      <c r="D590" s="30" t="s">
        <v>225</v>
      </c>
      <c r="E590" s="234" t="s">
        <v>964</v>
      </c>
      <c r="F590" s="235" t="s">
        <v>1225</v>
      </c>
      <c r="G590" s="284" t="str">
        <f>IFERROR(VLOOKUP(E590,Assign!$C$2:$J$142,8,FALSE),)</f>
        <v>문선영</v>
      </c>
      <c r="H590" s="279" t="s">
        <v>6992</v>
      </c>
      <c r="I590" s="280" t="s">
        <v>6153</v>
      </c>
      <c r="J590" s="281" t="s">
        <v>3733</v>
      </c>
      <c r="K590" s="282">
        <v>43301</v>
      </c>
      <c r="L590" s="282">
        <v>45677</v>
      </c>
      <c r="M590" s="282">
        <v>45675</v>
      </c>
      <c r="N590" s="371">
        <v>133650000</v>
      </c>
      <c r="O590" s="444" t="s">
        <v>3866</v>
      </c>
      <c r="P590" s="397">
        <v>133650000</v>
      </c>
      <c r="Q590" s="397">
        <v>133650000</v>
      </c>
      <c r="R590" s="397"/>
      <c r="S590" s="398">
        <f t="shared" si="28"/>
        <v>133650000</v>
      </c>
      <c r="T590" s="353"/>
      <c r="U590" s="353">
        <f t="shared" si="29"/>
        <v>133650000</v>
      </c>
      <c r="V590" s="399"/>
      <c r="W590" s="399"/>
      <c r="X590" s="400" t="s">
        <v>492</v>
      </c>
      <c r="Y590" s="400"/>
      <c r="Z590" s="283"/>
    </row>
    <row r="591" spans="2:26" ht="19.5" hidden="1" customHeight="1">
      <c r="B591" s="29">
        <f t="shared" si="27"/>
        <v>581</v>
      </c>
      <c r="C591" s="30" t="s">
        <v>202</v>
      </c>
      <c r="D591" s="30" t="s">
        <v>225</v>
      </c>
      <c r="E591" s="234" t="s">
        <v>965</v>
      </c>
      <c r="F591" s="235" t="s">
        <v>1224</v>
      </c>
      <c r="G591" s="284" t="str">
        <f>IFERROR(VLOOKUP(E591,Assign!$C$2:$J$142,8,FALSE),)</f>
        <v>문선영</v>
      </c>
      <c r="H591" s="279" t="s">
        <v>6661</v>
      </c>
      <c r="I591" s="280" t="s">
        <v>5966</v>
      </c>
      <c r="J591" s="281" t="s">
        <v>3736</v>
      </c>
      <c r="K591" s="282">
        <v>42542</v>
      </c>
      <c r="L591" s="282">
        <v>45680</v>
      </c>
      <c r="M591" s="282">
        <v>45636</v>
      </c>
      <c r="N591" s="371">
        <v>42000000</v>
      </c>
      <c r="O591" s="444" t="s">
        <v>3866</v>
      </c>
      <c r="P591" s="397">
        <v>38500000</v>
      </c>
      <c r="Q591" s="397">
        <v>38500000</v>
      </c>
      <c r="R591" s="397"/>
      <c r="S591" s="398">
        <f t="shared" si="28"/>
        <v>38500000</v>
      </c>
      <c r="T591" s="353"/>
      <c r="U591" s="353">
        <f t="shared" si="29"/>
        <v>38500000</v>
      </c>
      <c r="V591" s="399"/>
      <c r="W591" s="399"/>
      <c r="X591" s="400" t="s">
        <v>492</v>
      </c>
      <c r="Y591" s="400"/>
      <c r="Z591" s="283"/>
    </row>
    <row r="592" spans="2:26" ht="19.5" hidden="1" customHeight="1">
      <c r="B592" s="29">
        <f t="shared" si="27"/>
        <v>582</v>
      </c>
      <c r="C592" s="30" t="s">
        <v>202</v>
      </c>
      <c r="D592" s="30" t="s">
        <v>225</v>
      </c>
      <c r="E592" s="234" t="s">
        <v>965</v>
      </c>
      <c r="F592" s="235" t="s">
        <v>1224</v>
      </c>
      <c r="G592" s="284" t="str">
        <f>IFERROR(VLOOKUP(E592,Assign!$C$2:$J$142,8,FALSE),)</f>
        <v>문선영</v>
      </c>
      <c r="H592" s="279" t="s">
        <v>6662</v>
      </c>
      <c r="I592" s="280" t="s">
        <v>5967</v>
      </c>
      <c r="J592" s="281" t="s">
        <v>3774</v>
      </c>
      <c r="K592" s="282">
        <v>42901</v>
      </c>
      <c r="L592" s="282">
        <v>48380</v>
      </c>
      <c r="M592" s="282">
        <v>45612</v>
      </c>
      <c r="N592" s="371">
        <v>689000000</v>
      </c>
      <c r="O592" s="444" t="s">
        <v>3866</v>
      </c>
      <c r="P592" s="397">
        <v>607172590</v>
      </c>
      <c r="Q592" s="397">
        <v>607172590</v>
      </c>
      <c r="R592" s="397"/>
      <c r="S592" s="398">
        <f t="shared" si="28"/>
        <v>607172590</v>
      </c>
      <c r="T592" s="353"/>
      <c r="U592" s="353">
        <f t="shared" si="29"/>
        <v>607172590</v>
      </c>
      <c r="V592" s="399"/>
      <c r="W592" s="399"/>
      <c r="X592" s="400" t="s">
        <v>492</v>
      </c>
      <c r="Y592" s="400"/>
      <c r="Z592" s="283"/>
    </row>
    <row r="593" spans="2:26" ht="19.5" hidden="1" customHeight="1">
      <c r="B593" s="29">
        <f t="shared" si="27"/>
        <v>583</v>
      </c>
      <c r="C593" s="30" t="s">
        <v>202</v>
      </c>
      <c r="D593" s="30" t="s">
        <v>225</v>
      </c>
      <c r="E593" s="234" t="s">
        <v>966</v>
      </c>
      <c r="F593" s="235" t="s">
        <v>1247</v>
      </c>
      <c r="G593" s="284">
        <f>IFERROR(VLOOKUP(E593,Assign!$C$2:$J$142,8,FALSE),)</f>
        <v>0</v>
      </c>
      <c r="H593" s="279" t="s">
        <v>6429</v>
      </c>
      <c r="I593" s="280" t="s">
        <v>5667</v>
      </c>
      <c r="J593" s="281" t="s">
        <v>3733</v>
      </c>
      <c r="K593" s="282">
        <v>44783</v>
      </c>
      <c r="L593" s="282">
        <v>45698</v>
      </c>
      <c r="M593" s="282">
        <v>45639</v>
      </c>
      <c r="N593" s="371">
        <v>635000000</v>
      </c>
      <c r="O593" s="444" t="s">
        <v>3866</v>
      </c>
      <c r="P593" s="397">
        <v>635000000</v>
      </c>
      <c r="Q593" s="397">
        <v>635000000</v>
      </c>
      <c r="R593" s="397"/>
      <c r="S593" s="398">
        <f t="shared" si="28"/>
        <v>635000000</v>
      </c>
      <c r="T593" s="353"/>
      <c r="U593" s="353">
        <f t="shared" si="29"/>
        <v>635000000</v>
      </c>
      <c r="V593" s="399"/>
      <c r="W593" s="399"/>
      <c r="X593" s="400" t="s">
        <v>492</v>
      </c>
      <c r="Y593" s="400"/>
      <c r="Z593" s="283"/>
    </row>
    <row r="594" spans="2:26" ht="19.5" hidden="1" customHeight="1">
      <c r="B594" s="29">
        <f t="shared" si="27"/>
        <v>584</v>
      </c>
      <c r="C594" s="30" t="s">
        <v>202</v>
      </c>
      <c r="D594" s="30" t="s">
        <v>225</v>
      </c>
      <c r="E594" s="234" t="s">
        <v>967</v>
      </c>
      <c r="F594" s="235" t="s">
        <v>1225</v>
      </c>
      <c r="G594" s="284">
        <f>IFERROR(VLOOKUP(E594,Assign!$C$2:$J$142,8,FALSE),)</f>
        <v>0</v>
      </c>
      <c r="H594" s="279" t="s">
        <v>6580</v>
      </c>
      <c r="I594" s="280" t="s">
        <v>5906</v>
      </c>
      <c r="J594" s="281" t="s">
        <v>3736</v>
      </c>
      <c r="K594" s="282">
        <v>45425</v>
      </c>
      <c r="L594" s="282">
        <v>45665</v>
      </c>
      <c r="M594" s="282">
        <v>45636</v>
      </c>
      <c r="N594" s="371">
        <v>100000000</v>
      </c>
      <c r="O594" s="444" t="s">
        <v>3866</v>
      </c>
      <c r="P594" s="397">
        <v>99991600</v>
      </c>
      <c r="Q594" s="397">
        <v>99991600</v>
      </c>
      <c r="R594" s="397"/>
      <c r="S594" s="398">
        <f t="shared" si="28"/>
        <v>99991600</v>
      </c>
      <c r="T594" s="353"/>
      <c r="U594" s="353">
        <f t="shared" si="29"/>
        <v>99991600</v>
      </c>
      <c r="V594" s="399"/>
      <c r="W594" s="399"/>
      <c r="X594" s="400" t="s">
        <v>492</v>
      </c>
      <c r="Y594" s="400"/>
      <c r="Z594" s="283"/>
    </row>
    <row r="595" spans="2:26" ht="19.5" hidden="1" customHeight="1">
      <c r="B595" s="29">
        <f t="shared" si="27"/>
        <v>585</v>
      </c>
      <c r="C595" s="30" t="s">
        <v>202</v>
      </c>
      <c r="D595" s="30" t="s">
        <v>225</v>
      </c>
      <c r="E595" s="234" t="s">
        <v>967</v>
      </c>
      <c r="F595" s="235" t="s">
        <v>1225</v>
      </c>
      <c r="G595" s="284">
        <f>IFERROR(VLOOKUP(E595,Assign!$C$2:$J$142,8,FALSE),)</f>
        <v>0</v>
      </c>
      <c r="H595" s="279" t="s">
        <v>6581</v>
      </c>
      <c r="I595" s="280" t="s">
        <v>5907</v>
      </c>
      <c r="J595" s="281" t="s">
        <v>3761</v>
      </c>
      <c r="K595" s="282">
        <v>42703</v>
      </c>
      <c r="L595" s="282">
        <v>45990</v>
      </c>
      <c r="M595" s="282">
        <v>45626</v>
      </c>
      <c r="N595" s="371">
        <v>410000000</v>
      </c>
      <c r="O595" s="444" t="s">
        <v>3866</v>
      </c>
      <c r="P595" s="397">
        <v>410000000</v>
      </c>
      <c r="Q595" s="397">
        <v>410000000</v>
      </c>
      <c r="R595" s="397"/>
      <c r="S595" s="398">
        <f t="shared" si="28"/>
        <v>410000000</v>
      </c>
      <c r="T595" s="353"/>
      <c r="U595" s="353">
        <f t="shared" si="29"/>
        <v>410000000</v>
      </c>
      <c r="V595" s="399"/>
      <c r="W595" s="399"/>
      <c r="X595" s="400" t="s">
        <v>492</v>
      </c>
      <c r="Y595" s="400"/>
      <c r="Z595" s="283"/>
    </row>
    <row r="596" spans="2:26" ht="19.5" hidden="1" customHeight="1">
      <c r="B596" s="29">
        <f t="shared" si="27"/>
        <v>586</v>
      </c>
      <c r="C596" s="30" t="s">
        <v>202</v>
      </c>
      <c r="D596" s="30" t="s">
        <v>225</v>
      </c>
      <c r="E596" s="234" t="s">
        <v>967</v>
      </c>
      <c r="F596" s="235" t="s">
        <v>1225</v>
      </c>
      <c r="G596" s="284">
        <f>IFERROR(VLOOKUP(E596,Assign!$C$2:$J$142,8,FALSE),)</f>
        <v>0</v>
      </c>
      <c r="H596" s="279" t="s">
        <v>6582</v>
      </c>
      <c r="I596" s="280" t="s">
        <v>5908</v>
      </c>
      <c r="J596" s="281" t="s">
        <v>3734</v>
      </c>
      <c r="K596" s="282">
        <v>43473</v>
      </c>
      <c r="L596" s="282">
        <v>45665</v>
      </c>
      <c r="M596" s="282">
        <v>45636</v>
      </c>
      <c r="N596" s="371">
        <v>100000000</v>
      </c>
      <c r="O596" s="444" t="s">
        <v>3866</v>
      </c>
      <c r="P596" s="397">
        <v>100000000</v>
      </c>
      <c r="Q596" s="397">
        <v>100000000</v>
      </c>
      <c r="R596" s="397"/>
      <c r="S596" s="398">
        <f t="shared" si="28"/>
        <v>100000000</v>
      </c>
      <c r="T596" s="353"/>
      <c r="U596" s="353">
        <f t="shared" si="29"/>
        <v>100000000</v>
      </c>
      <c r="V596" s="399"/>
      <c r="W596" s="399"/>
      <c r="X596" s="400" t="s">
        <v>492</v>
      </c>
      <c r="Y596" s="400"/>
      <c r="Z596" s="283"/>
    </row>
    <row r="597" spans="2:26" ht="19.5" hidden="1" customHeight="1">
      <c r="B597" s="29">
        <f t="shared" si="27"/>
        <v>587</v>
      </c>
      <c r="C597" s="30" t="s">
        <v>202</v>
      </c>
      <c r="D597" s="30" t="s">
        <v>225</v>
      </c>
      <c r="E597" s="234" t="s">
        <v>968</v>
      </c>
      <c r="F597" s="235" t="s">
        <v>1252</v>
      </c>
      <c r="G597" s="284">
        <f>IFERROR(VLOOKUP(E597,Assign!$C$2:$J$142,8,FALSE),)</f>
        <v>0</v>
      </c>
      <c r="H597" s="279" t="s">
        <v>6492</v>
      </c>
      <c r="I597" s="280" t="s">
        <v>5833</v>
      </c>
      <c r="J597" s="281" t="s">
        <v>3734</v>
      </c>
      <c r="K597" s="282">
        <v>44810</v>
      </c>
      <c r="L597" s="282">
        <v>45906</v>
      </c>
      <c r="M597" s="282">
        <v>45629</v>
      </c>
      <c r="N597" s="371">
        <v>230000000</v>
      </c>
      <c r="O597" s="444" t="s">
        <v>3866</v>
      </c>
      <c r="P597" s="397">
        <v>230000000</v>
      </c>
      <c r="Q597" s="397">
        <v>230000000</v>
      </c>
      <c r="R597" s="397"/>
      <c r="S597" s="398">
        <f t="shared" si="28"/>
        <v>230000000</v>
      </c>
      <c r="T597" s="353"/>
      <c r="U597" s="353">
        <f t="shared" si="29"/>
        <v>230000000</v>
      </c>
      <c r="V597" s="399"/>
      <c r="W597" s="399"/>
      <c r="X597" s="400" t="s">
        <v>492</v>
      </c>
      <c r="Y597" s="400"/>
      <c r="Z597" s="283"/>
    </row>
    <row r="598" spans="2:26" ht="19.5" hidden="1" customHeight="1">
      <c r="B598" s="29">
        <f t="shared" si="27"/>
        <v>588</v>
      </c>
      <c r="C598" s="30" t="s">
        <v>202</v>
      </c>
      <c r="D598" s="30" t="s">
        <v>225</v>
      </c>
      <c r="E598" s="234" t="s">
        <v>968</v>
      </c>
      <c r="F598" s="235" t="s">
        <v>1252</v>
      </c>
      <c r="G598" s="284">
        <f>IFERROR(VLOOKUP(E598,Assign!$C$2:$J$142,8,FALSE),)</f>
        <v>0</v>
      </c>
      <c r="H598" s="279" t="s">
        <v>6493</v>
      </c>
      <c r="I598" s="280" t="s">
        <v>5834</v>
      </c>
      <c r="J598" s="281" t="s">
        <v>3734</v>
      </c>
      <c r="K598" s="282">
        <v>44826</v>
      </c>
      <c r="L598" s="282">
        <v>45922</v>
      </c>
      <c r="M598" s="282">
        <v>45619</v>
      </c>
      <c r="N598" s="371">
        <v>190000000</v>
      </c>
      <c r="O598" s="444" t="s">
        <v>3866</v>
      </c>
      <c r="P598" s="397">
        <v>190000000</v>
      </c>
      <c r="Q598" s="397">
        <v>190000000</v>
      </c>
      <c r="R598" s="397"/>
      <c r="S598" s="398">
        <f t="shared" si="28"/>
        <v>190000000</v>
      </c>
      <c r="T598" s="353"/>
      <c r="U598" s="353">
        <f t="shared" si="29"/>
        <v>190000000</v>
      </c>
      <c r="V598" s="399"/>
      <c r="W598" s="399"/>
      <c r="X598" s="400" t="s">
        <v>492</v>
      </c>
      <c r="Y598" s="400"/>
      <c r="Z598" s="283"/>
    </row>
    <row r="599" spans="2:26" ht="19.5" hidden="1" customHeight="1">
      <c r="B599" s="29">
        <f t="shared" si="27"/>
        <v>589</v>
      </c>
      <c r="C599" s="30" t="s">
        <v>202</v>
      </c>
      <c r="D599" s="30" t="s">
        <v>225</v>
      </c>
      <c r="E599" s="234" t="s">
        <v>968</v>
      </c>
      <c r="F599" s="235" t="s">
        <v>1252</v>
      </c>
      <c r="G599" s="284">
        <f>IFERROR(VLOOKUP(E599,Assign!$C$2:$J$142,8,FALSE),)</f>
        <v>0</v>
      </c>
      <c r="H599" s="279" t="s">
        <v>6494</v>
      </c>
      <c r="I599" s="280" t="s">
        <v>5835</v>
      </c>
      <c r="J599" s="281" t="s">
        <v>3734</v>
      </c>
      <c r="K599" s="282">
        <v>44972</v>
      </c>
      <c r="L599" s="282">
        <v>45703</v>
      </c>
      <c r="M599" s="282">
        <v>45566</v>
      </c>
      <c r="N599" s="371">
        <v>170000000</v>
      </c>
      <c r="O599" s="444" t="s">
        <v>3866</v>
      </c>
      <c r="P599" s="397">
        <v>170000000</v>
      </c>
      <c r="Q599" s="397">
        <v>170000000</v>
      </c>
      <c r="R599" s="397"/>
      <c r="S599" s="398">
        <f t="shared" si="28"/>
        <v>170000000</v>
      </c>
      <c r="T599" s="353"/>
      <c r="U599" s="353">
        <f t="shared" si="29"/>
        <v>170000000</v>
      </c>
      <c r="V599" s="399"/>
      <c r="W599" s="399"/>
      <c r="X599" s="400" t="s">
        <v>492</v>
      </c>
      <c r="Y599" s="400"/>
      <c r="Z599" s="283"/>
    </row>
    <row r="600" spans="2:26" ht="19.5" hidden="1" customHeight="1">
      <c r="B600" s="29">
        <f t="shared" si="27"/>
        <v>590</v>
      </c>
      <c r="C600" s="30" t="s">
        <v>202</v>
      </c>
      <c r="D600" s="30" t="s">
        <v>225</v>
      </c>
      <c r="E600" s="234" t="s">
        <v>969</v>
      </c>
      <c r="F600" s="235" t="s">
        <v>1229</v>
      </c>
      <c r="G600" s="284">
        <f>IFERROR(VLOOKUP(E600,Assign!$C$2:$J$142,8,FALSE),)</f>
        <v>0</v>
      </c>
      <c r="H600" s="279" t="s">
        <v>6452</v>
      </c>
      <c r="I600" s="280" t="s">
        <v>5801</v>
      </c>
      <c r="J600" s="281" t="s">
        <v>3756</v>
      </c>
      <c r="K600" s="282">
        <v>44186</v>
      </c>
      <c r="L600" s="282">
        <v>56969</v>
      </c>
      <c r="M600" s="282">
        <v>45559</v>
      </c>
      <c r="N600" s="371">
        <v>595000000</v>
      </c>
      <c r="O600" s="444" t="s">
        <v>3866</v>
      </c>
      <c r="P600" s="397">
        <v>554403245</v>
      </c>
      <c r="Q600" s="397">
        <v>554403245</v>
      </c>
      <c r="R600" s="397"/>
      <c r="S600" s="398">
        <f t="shared" si="28"/>
        <v>554403245</v>
      </c>
      <c r="T600" s="353"/>
      <c r="U600" s="353">
        <f t="shared" si="29"/>
        <v>554403245</v>
      </c>
      <c r="V600" s="399"/>
      <c r="W600" s="399"/>
      <c r="X600" s="400" t="s">
        <v>492</v>
      </c>
      <c r="Y600" s="400"/>
      <c r="Z600" s="283"/>
    </row>
    <row r="601" spans="2:26" ht="19.5" hidden="1" customHeight="1">
      <c r="B601" s="29">
        <f t="shared" si="27"/>
        <v>591</v>
      </c>
      <c r="C601" s="30" t="s">
        <v>202</v>
      </c>
      <c r="D601" s="30" t="s">
        <v>225</v>
      </c>
      <c r="E601" s="234" t="s">
        <v>970</v>
      </c>
      <c r="F601" s="235" t="s">
        <v>1350</v>
      </c>
      <c r="G601" s="284">
        <f>IFERROR(VLOOKUP(E601,Assign!$C$2:$J$142,8,FALSE),)</f>
        <v>0</v>
      </c>
      <c r="H601" s="279" t="s">
        <v>7029</v>
      </c>
      <c r="I601" s="280" t="s">
        <v>5965</v>
      </c>
      <c r="J601" s="281" t="s">
        <v>3733</v>
      </c>
      <c r="K601" s="282">
        <v>44543</v>
      </c>
      <c r="L601" s="282">
        <v>45729</v>
      </c>
      <c r="M601" s="282">
        <v>45640</v>
      </c>
      <c r="N601" s="371">
        <v>535000000</v>
      </c>
      <c r="O601" s="444" t="s">
        <v>3866</v>
      </c>
      <c r="P601" s="397">
        <v>535000000</v>
      </c>
      <c r="Q601" s="397">
        <v>535000000</v>
      </c>
      <c r="R601" s="397"/>
      <c r="S601" s="398">
        <f t="shared" si="28"/>
        <v>535000000</v>
      </c>
      <c r="T601" s="353"/>
      <c r="U601" s="353">
        <f t="shared" si="29"/>
        <v>535000000</v>
      </c>
      <c r="V601" s="399"/>
      <c r="W601" s="399"/>
      <c r="X601" s="400" t="s">
        <v>492</v>
      </c>
      <c r="Y601" s="400"/>
      <c r="Z601" s="283"/>
    </row>
    <row r="602" spans="2:26" ht="19.5" hidden="1" customHeight="1">
      <c r="B602" s="29">
        <f t="shared" si="27"/>
        <v>592</v>
      </c>
      <c r="C602" s="30" t="s">
        <v>202</v>
      </c>
      <c r="D602" s="30" t="s">
        <v>225</v>
      </c>
      <c r="E602" s="234" t="s">
        <v>971</v>
      </c>
      <c r="F602" s="235" t="s">
        <v>1352</v>
      </c>
      <c r="G602" s="284">
        <f>IFERROR(VLOOKUP(E602,Assign!$C$2:$J$142,8,FALSE),)</f>
        <v>0</v>
      </c>
      <c r="H602" s="279" t="s">
        <v>6981</v>
      </c>
      <c r="I602" s="280" t="s">
        <v>6148</v>
      </c>
      <c r="J602" s="281" t="s">
        <v>3796</v>
      </c>
      <c r="K602" s="282">
        <v>43196</v>
      </c>
      <c r="L602" s="282">
        <v>45691</v>
      </c>
      <c r="M602" s="282">
        <v>45692</v>
      </c>
      <c r="N602" s="371">
        <v>197000000</v>
      </c>
      <c r="O602" s="444" t="s">
        <v>3866</v>
      </c>
      <c r="P602" s="397">
        <v>197000000</v>
      </c>
      <c r="Q602" s="397">
        <v>197000000</v>
      </c>
      <c r="R602" s="397"/>
      <c r="S602" s="398">
        <f t="shared" si="28"/>
        <v>197000000</v>
      </c>
      <c r="T602" s="353"/>
      <c r="U602" s="353">
        <f t="shared" si="29"/>
        <v>197000000</v>
      </c>
      <c r="V602" s="399"/>
      <c r="W602" s="399"/>
      <c r="X602" s="400" t="s">
        <v>492</v>
      </c>
      <c r="Y602" s="400"/>
      <c r="Z602" s="283"/>
    </row>
    <row r="603" spans="2:26" ht="19.5" hidden="1" customHeight="1">
      <c r="B603" s="29">
        <f t="shared" si="27"/>
        <v>593</v>
      </c>
      <c r="C603" s="30" t="s">
        <v>202</v>
      </c>
      <c r="D603" s="30" t="s">
        <v>225</v>
      </c>
      <c r="E603" s="234" t="s">
        <v>971</v>
      </c>
      <c r="F603" s="235" t="s">
        <v>1352</v>
      </c>
      <c r="G603" s="284">
        <f>IFERROR(VLOOKUP(E603,Assign!$C$2:$J$142,8,FALSE),)</f>
        <v>0</v>
      </c>
      <c r="H603" s="279" t="s">
        <v>6982</v>
      </c>
      <c r="I603" s="280" t="s">
        <v>6149</v>
      </c>
      <c r="J603" s="281" t="s">
        <v>3812</v>
      </c>
      <c r="K603" s="282">
        <v>43196</v>
      </c>
      <c r="L603" s="282">
        <v>45691</v>
      </c>
      <c r="M603" s="282">
        <v>45692</v>
      </c>
      <c r="N603" s="371">
        <v>122000000</v>
      </c>
      <c r="O603" s="444" t="s">
        <v>3866</v>
      </c>
      <c r="P603" s="397">
        <v>122000000</v>
      </c>
      <c r="Q603" s="397">
        <v>122000000</v>
      </c>
      <c r="R603" s="397"/>
      <c r="S603" s="398">
        <f t="shared" si="28"/>
        <v>122000000</v>
      </c>
      <c r="T603" s="353"/>
      <c r="U603" s="353">
        <f t="shared" si="29"/>
        <v>122000000</v>
      </c>
      <c r="V603" s="399"/>
      <c r="W603" s="399"/>
      <c r="X603" s="400" t="s">
        <v>492</v>
      </c>
      <c r="Y603" s="400"/>
      <c r="Z603" s="283"/>
    </row>
    <row r="604" spans="2:26" ht="19.5" hidden="1" customHeight="1">
      <c r="B604" s="29">
        <f t="shared" si="27"/>
        <v>594</v>
      </c>
      <c r="C604" s="30" t="s">
        <v>202</v>
      </c>
      <c r="D604" s="30" t="s">
        <v>225</v>
      </c>
      <c r="E604" s="234" t="s">
        <v>971</v>
      </c>
      <c r="F604" s="235" t="s">
        <v>1352</v>
      </c>
      <c r="G604" s="284">
        <f>IFERROR(VLOOKUP(E604,Assign!$C$2:$J$142,8,FALSE),)</f>
        <v>0</v>
      </c>
      <c r="H604" s="279" t="s">
        <v>6983</v>
      </c>
      <c r="I604" s="280" t="s">
        <v>6150</v>
      </c>
      <c r="J604" s="281" t="s">
        <v>3815</v>
      </c>
      <c r="K604" s="282">
        <v>43196</v>
      </c>
      <c r="L604" s="282">
        <v>45691</v>
      </c>
      <c r="M604" s="282">
        <v>45692</v>
      </c>
      <c r="N604" s="371">
        <v>197000000</v>
      </c>
      <c r="O604" s="444" t="s">
        <v>3866</v>
      </c>
      <c r="P604" s="397">
        <v>197000000</v>
      </c>
      <c r="Q604" s="397">
        <v>197000000</v>
      </c>
      <c r="R604" s="397"/>
      <c r="S604" s="398">
        <f t="shared" si="28"/>
        <v>197000000</v>
      </c>
      <c r="T604" s="353"/>
      <c r="U604" s="353">
        <f t="shared" si="29"/>
        <v>197000000</v>
      </c>
      <c r="V604" s="399"/>
      <c r="W604" s="399"/>
      <c r="X604" s="400" t="s">
        <v>492</v>
      </c>
      <c r="Y604" s="400"/>
      <c r="Z604" s="283"/>
    </row>
    <row r="605" spans="2:26" ht="19.5" hidden="1" customHeight="1">
      <c r="B605" s="29">
        <f t="shared" si="27"/>
        <v>595</v>
      </c>
      <c r="C605" s="30" t="s">
        <v>202</v>
      </c>
      <c r="D605" s="30" t="s">
        <v>225</v>
      </c>
      <c r="E605" s="234" t="s">
        <v>972</v>
      </c>
      <c r="F605" s="235" t="s">
        <v>1225</v>
      </c>
      <c r="G605" s="284">
        <f>IFERROR(VLOOKUP(E605,Assign!$C$2:$J$142,8,FALSE),)</f>
        <v>0</v>
      </c>
      <c r="H605" s="279" t="s">
        <v>6644</v>
      </c>
      <c r="I605" s="280" t="s">
        <v>5953</v>
      </c>
      <c r="J605" s="281" t="s">
        <v>3733</v>
      </c>
      <c r="K605" s="282">
        <v>44613</v>
      </c>
      <c r="L605" s="282">
        <v>45709</v>
      </c>
      <c r="M605" s="282">
        <v>45674</v>
      </c>
      <c r="N605" s="371">
        <v>510000000</v>
      </c>
      <c r="O605" s="444" t="s">
        <v>3866</v>
      </c>
      <c r="P605" s="397">
        <v>510000000</v>
      </c>
      <c r="Q605" s="397">
        <v>510000000</v>
      </c>
      <c r="R605" s="397"/>
      <c r="S605" s="398">
        <f t="shared" si="28"/>
        <v>510000000</v>
      </c>
      <c r="T605" s="353"/>
      <c r="U605" s="353">
        <f t="shared" si="29"/>
        <v>510000000</v>
      </c>
      <c r="V605" s="399"/>
      <c r="W605" s="399"/>
      <c r="X605" s="400" t="s">
        <v>492</v>
      </c>
      <c r="Y605" s="400"/>
      <c r="Z605" s="283"/>
    </row>
    <row r="606" spans="2:26" ht="19.5" hidden="1" customHeight="1">
      <c r="B606" s="29">
        <f t="shared" si="27"/>
        <v>596</v>
      </c>
      <c r="C606" s="30" t="s">
        <v>202</v>
      </c>
      <c r="D606" s="30" t="s">
        <v>225</v>
      </c>
      <c r="E606" s="234" t="s">
        <v>973</v>
      </c>
      <c r="F606" s="235" t="s">
        <v>1277</v>
      </c>
      <c r="G606" s="284">
        <f>IFERROR(VLOOKUP(E606,Assign!$C$2:$J$142,8,FALSE),)</f>
        <v>0</v>
      </c>
      <c r="H606" s="279" t="s">
        <v>7122</v>
      </c>
      <c r="I606" s="280" t="s">
        <v>5969</v>
      </c>
      <c r="J606" s="281" t="s">
        <v>3754</v>
      </c>
      <c r="K606" s="282">
        <v>45512</v>
      </c>
      <c r="L606" s="282">
        <v>46607</v>
      </c>
      <c r="M606" s="282">
        <v>45666</v>
      </c>
      <c r="N606" s="371">
        <v>500000000</v>
      </c>
      <c r="O606" s="444" t="s">
        <v>3866</v>
      </c>
      <c r="P606" s="397">
        <v>496000000</v>
      </c>
      <c r="Q606" s="397">
        <v>496000000</v>
      </c>
      <c r="R606" s="397"/>
      <c r="S606" s="398">
        <f t="shared" si="28"/>
        <v>496000000</v>
      </c>
      <c r="T606" s="353"/>
      <c r="U606" s="353">
        <f t="shared" si="29"/>
        <v>496000000</v>
      </c>
      <c r="V606" s="399"/>
      <c r="W606" s="399"/>
      <c r="X606" s="400" t="s">
        <v>492</v>
      </c>
      <c r="Y606" s="400"/>
      <c r="Z606" s="283"/>
    </row>
    <row r="607" spans="2:26" ht="19.5" hidden="1" customHeight="1">
      <c r="B607" s="29">
        <f t="shared" si="27"/>
        <v>597</v>
      </c>
      <c r="C607" s="30" t="s">
        <v>202</v>
      </c>
      <c r="D607" s="30" t="s">
        <v>225</v>
      </c>
      <c r="E607" s="234" t="s">
        <v>974</v>
      </c>
      <c r="F607" s="235" t="s">
        <v>1353</v>
      </c>
      <c r="G607" s="284">
        <f>IFERROR(VLOOKUP(E607,Assign!$C$2:$J$142,8,FALSE),)</f>
        <v>0</v>
      </c>
      <c r="H607" s="279" t="s">
        <v>7030</v>
      </c>
      <c r="I607" s="280" t="s">
        <v>6174</v>
      </c>
      <c r="J607" s="281" t="s">
        <v>3793</v>
      </c>
      <c r="K607" s="282">
        <v>44008</v>
      </c>
      <c r="L607" s="282">
        <v>45183</v>
      </c>
      <c r="M607" s="282">
        <v>45111</v>
      </c>
      <c r="N607" s="371">
        <v>990000000</v>
      </c>
      <c r="O607" s="444" t="s">
        <v>3866</v>
      </c>
      <c r="P607" s="397">
        <v>490000000</v>
      </c>
      <c r="Q607" s="397">
        <v>490000000</v>
      </c>
      <c r="R607" s="397"/>
      <c r="S607" s="398">
        <f t="shared" si="28"/>
        <v>490000000</v>
      </c>
      <c r="T607" s="353"/>
      <c r="U607" s="353">
        <f t="shared" si="29"/>
        <v>490000000</v>
      </c>
      <c r="V607" s="399"/>
      <c r="W607" s="399"/>
      <c r="X607" s="400" t="s">
        <v>492</v>
      </c>
      <c r="Y607" s="400"/>
      <c r="Z607" s="283"/>
    </row>
    <row r="608" spans="2:26" ht="19.5" hidden="1" customHeight="1">
      <c r="B608" s="29">
        <f t="shared" si="27"/>
        <v>598</v>
      </c>
      <c r="C608" s="30" t="s">
        <v>202</v>
      </c>
      <c r="D608" s="30" t="s">
        <v>225</v>
      </c>
      <c r="E608" s="234" t="s">
        <v>975</v>
      </c>
      <c r="F608" s="235" t="s">
        <v>1225</v>
      </c>
      <c r="G608" s="284">
        <f>IFERROR(VLOOKUP(E608,Assign!$C$2:$J$142,8,FALSE),)</f>
        <v>0</v>
      </c>
      <c r="H608" s="279" t="s">
        <v>6248</v>
      </c>
      <c r="I608" s="280" t="s">
        <v>5627</v>
      </c>
      <c r="J608" s="281" t="s">
        <v>3736</v>
      </c>
      <c r="K608" s="282">
        <v>45539</v>
      </c>
      <c r="L608" s="282">
        <v>45904</v>
      </c>
      <c r="M608" s="282">
        <v>45736</v>
      </c>
      <c r="N608" s="371">
        <v>65000000</v>
      </c>
      <c r="O608" s="444" t="s">
        <v>3866</v>
      </c>
      <c r="P608" s="397">
        <v>65000000</v>
      </c>
      <c r="Q608" s="397">
        <v>65000000</v>
      </c>
      <c r="R608" s="397"/>
      <c r="S608" s="398">
        <f t="shared" si="28"/>
        <v>65000000</v>
      </c>
      <c r="T608" s="353"/>
      <c r="U608" s="353">
        <f t="shared" si="29"/>
        <v>65000000</v>
      </c>
      <c r="V608" s="399"/>
      <c r="W608" s="399"/>
      <c r="X608" s="400" t="s">
        <v>492</v>
      </c>
      <c r="Y608" s="400"/>
      <c r="Z608" s="283"/>
    </row>
    <row r="609" spans="2:26" ht="19.5" hidden="1" customHeight="1">
      <c r="B609" s="29">
        <f t="shared" si="27"/>
        <v>599</v>
      </c>
      <c r="C609" s="30" t="s">
        <v>202</v>
      </c>
      <c r="D609" s="30" t="s">
        <v>225</v>
      </c>
      <c r="E609" s="234" t="s">
        <v>975</v>
      </c>
      <c r="F609" s="235" t="s">
        <v>1225</v>
      </c>
      <c r="G609" s="284">
        <f>IFERROR(VLOOKUP(E609,Assign!$C$2:$J$142,8,FALSE),)</f>
        <v>0</v>
      </c>
      <c r="H609" s="279" t="s">
        <v>6249</v>
      </c>
      <c r="I609" s="280" t="s">
        <v>5628</v>
      </c>
      <c r="J609" s="281" t="s">
        <v>3745</v>
      </c>
      <c r="K609" s="282">
        <v>45539</v>
      </c>
      <c r="L609" s="282">
        <v>46634</v>
      </c>
      <c r="M609" s="282">
        <v>45721</v>
      </c>
      <c r="N609" s="371">
        <v>425000000</v>
      </c>
      <c r="O609" s="444" t="s">
        <v>3866</v>
      </c>
      <c r="P609" s="397">
        <v>422500000</v>
      </c>
      <c r="Q609" s="397">
        <v>422500000</v>
      </c>
      <c r="R609" s="397"/>
      <c r="S609" s="398">
        <f t="shared" si="28"/>
        <v>422500000</v>
      </c>
      <c r="T609" s="353"/>
      <c r="U609" s="353">
        <f t="shared" si="29"/>
        <v>422500000</v>
      </c>
      <c r="V609" s="399"/>
      <c r="W609" s="399"/>
      <c r="X609" s="400" t="s">
        <v>492</v>
      </c>
      <c r="Y609" s="400"/>
      <c r="Z609" s="283"/>
    </row>
    <row r="610" spans="2:26" ht="19.5" hidden="1" customHeight="1">
      <c r="B610" s="29">
        <f t="shared" si="27"/>
        <v>600</v>
      </c>
      <c r="C610" s="30" t="s">
        <v>202</v>
      </c>
      <c r="D610" s="30" t="s">
        <v>225</v>
      </c>
      <c r="E610" s="234" t="s">
        <v>976</v>
      </c>
      <c r="F610" s="235" t="s">
        <v>1354</v>
      </c>
      <c r="G610" s="284" t="str">
        <f>IFERROR(VLOOKUP(E610,Assign!$C$2:$J$142,8,FALSE),)</f>
        <v>문선영</v>
      </c>
      <c r="H610" s="279" t="s">
        <v>7048</v>
      </c>
      <c r="I610" s="280" t="s">
        <v>6181</v>
      </c>
      <c r="J610" s="281" t="s">
        <v>3734</v>
      </c>
      <c r="K610" s="282">
        <v>44188</v>
      </c>
      <c r="L610" s="282">
        <v>45739</v>
      </c>
      <c r="M610" s="282">
        <v>45671</v>
      </c>
      <c r="N610" s="371">
        <v>472000000</v>
      </c>
      <c r="O610" s="444" t="s">
        <v>3866</v>
      </c>
      <c r="P610" s="397">
        <v>472000000</v>
      </c>
      <c r="Q610" s="397">
        <v>472000000</v>
      </c>
      <c r="R610" s="397"/>
      <c r="S610" s="398">
        <f t="shared" si="28"/>
        <v>472000000</v>
      </c>
      <c r="T610" s="353"/>
      <c r="U610" s="353">
        <f t="shared" si="29"/>
        <v>472000000</v>
      </c>
      <c r="V610" s="399"/>
      <c r="W610" s="399"/>
      <c r="X610" s="400" t="s">
        <v>492</v>
      </c>
      <c r="Y610" s="400"/>
      <c r="Z610" s="283"/>
    </row>
    <row r="611" spans="2:26" ht="19.5" hidden="1" customHeight="1">
      <c r="B611" s="29">
        <f t="shared" si="27"/>
        <v>601</v>
      </c>
      <c r="C611" s="30" t="s">
        <v>202</v>
      </c>
      <c r="D611" s="30" t="s">
        <v>225</v>
      </c>
      <c r="E611" s="234" t="s">
        <v>977</v>
      </c>
      <c r="F611" s="235" t="s">
        <v>1226</v>
      </c>
      <c r="G611" s="284">
        <f>IFERROR(VLOOKUP(E611,Assign!$C$2:$J$142,8,FALSE),)</f>
        <v>0</v>
      </c>
      <c r="H611" s="279" t="s">
        <v>6664</v>
      </c>
      <c r="I611" s="280" t="s">
        <v>5969</v>
      </c>
      <c r="J611" s="281" t="s">
        <v>3735</v>
      </c>
      <c r="K611" s="282">
        <v>44624</v>
      </c>
      <c r="L611" s="282">
        <v>57408</v>
      </c>
      <c r="M611" s="282">
        <v>45570</v>
      </c>
      <c r="N611" s="371">
        <v>503000000</v>
      </c>
      <c r="O611" s="444" t="s">
        <v>3866</v>
      </c>
      <c r="P611" s="397">
        <v>467071410</v>
      </c>
      <c r="Q611" s="397">
        <v>467071410</v>
      </c>
      <c r="R611" s="397"/>
      <c r="S611" s="398">
        <f t="shared" si="28"/>
        <v>467071410</v>
      </c>
      <c r="T611" s="353"/>
      <c r="U611" s="353">
        <f t="shared" si="29"/>
        <v>467071410</v>
      </c>
      <c r="V611" s="399"/>
      <c r="W611" s="399"/>
      <c r="X611" s="400" t="s">
        <v>492</v>
      </c>
      <c r="Y611" s="400"/>
      <c r="Z611" s="283"/>
    </row>
    <row r="612" spans="2:26" ht="19.5" hidden="1" customHeight="1">
      <c r="B612" s="29">
        <f t="shared" si="27"/>
        <v>602</v>
      </c>
      <c r="C612" s="30" t="s">
        <v>202</v>
      </c>
      <c r="D612" s="30" t="s">
        <v>225</v>
      </c>
      <c r="E612" s="234" t="s">
        <v>978</v>
      </c>
      <c r="F612" s="235" t="s">
        <v>1234</v>
      </c>
      <c r="G612" s="284">
        <f>IFERROR(VLOOKUP(E612,Assign!$C$2:$J$142,8,FALSE),)</f>
        <v>0</v>
      </c>
      <c r="H612" s="279" t="s">
        <v>6360</v>
      </c>
      <c r="I612" s="280" t="s">
        <v>5730</v>
      </c>
      <c r="J612" s="281" t="s">
        <v>3754</v>
      </c>
      <c r="K612" s="282">
        <v>44132</v>
      </c>
      <c r="L612" s="282">
        <v>45958</v>
      </c>
      <c r="M612" s="282">
        <v>45657</v>
      </c>
      <c r="N612" s="371">
        <v>432480000</v>
      </c>
      <c r="O612" s="444" t="s">
        <v>3866</v>
      </c>
      <c r="P612" s="397">
        <v>431490000</v>
      </c>
      <c r="Q612" s="397">
        <v>431490000</v>
      </c>
      <c r="R612" s="397"/>
      <c r="S612" s="398">
        <f t="shared" si="28"/>
        <v>431490000</v>
      </c>
      <c r="T612" s="353"/>
      <c r="U612" s="353">
        <f t="shared" si="29"/>
        <v>431490000</v>
      </c>
      <c r="V612" s="399"/>
      <c r="W612" s="399"/>
      <c r="X612" s="400" t="s">
        <v>492</v>
      </c>
      <c r="Y612" s="400"/>
      <c r="Z612" s="283"/>
    </row>
    <row r="613" spans="2:26" ht="19.5" hidden="1" customHeight="1">
      <c r="B613" s="29">
        <f t="shared" si="27"/>
        <v>603</v>
      </c>
      <c r="C613" s="30" t="s">
        <v>202</v>
      </c>
      <c r="D613" s="30" t="s">
        <v>225</v>
      </c>
      <c r="E613" s="234" t="s">
        <v>979</v>
      </c>
      <c r="F613" s="235" t="s">
        <v>1225</v>
      </c>
      <c r="G613" s="284">
        <f>IFERROR(VLOOKUP(E613,Assign!$C$2:$J$142,8,FALSE),)</f>
        <v>0</v>
      </c>
      <c r="H613" s="279" t="s">
        <v>6691</v>
      </c>
      <c r="I613" s="280" t="s">
        <v>5713</v>
      </c>
      <c r="J613" s="281" t="s">
        <v>3735</v>
      </c>
      <c r="K613" s="282">
        <v>45253</v>
      </c>
      <c r="L613" s="282">
        <v>63516</v>
      </c>
      <c r="M613" s="282">
        <v>45681</v>
      </c>
      <c r="N613" s="371">
        <v>413000000</v>
      </c>
      <c r="O613" s="444" t="s">
        <v>3866</v>
      </c>
      <c r="P613" s="397">
        <v>412777021</v>
      </c>
      <c r="Q613" s="397">
        <v>412777021</v>
      </c>
      <c r="R613" s="397"/>
      <c r="S613" s="398">
        <f t="shared" si="28"/>
        <v>412777021</v>
      </c>
      <c r="T613" s="353"/>
      <c r="U613" s="353">
        <f t="shared" si="29"/>
        <v>412777021</v>
      </c>
      <c r="V613" s="399"/>
      <c r="W613" s="399"/>
      <c r="X613" s="400" t="s">
        <v>492</v>
      </c>
      <c r="Y613" s="400"/>
      <c r="Z613" s="283"/>
    </row>
    <row r="614" spans="2:26" ht="19.5" hidden="1" customHeight="1">
      <c r="B614" s="29">
        <f t="shared" si="27"/>
        <v>604</v>
      </c>
      <c r="C614" s="30" t="s">
        <v>202</v>
      </c>
      <c r="D614" s="30" t="s">
        <v>225</v>
      </c>
      <c r="E614" s="234" t="s">
        <v>980</v>
      </c>
      <c r="F614" s="235" t="s">
        <v>1248</v>
      </c>
      <c r="G614" s="284">
        <f>IFERROR(VLOOKUP(E614,Assign!$C$2:$J$142,8,FALSE),)</f>
        <v>0</v>
      </c>
      <c r="H614" s="279" t="s">
        <v>6948</v>
      </c>
      <c r="I614" s="280" t="s">
        <v>6132</v>
      </c>
      <c r="J614" s="281" t="s">
        <v>3745</v>
      </c>
      <c r="K614" s="282">
        <v>43784</v>
      </c>
      <c r="L614" s="282">
        <v>45609</v>
      </c>
      <c r="M614" s="282">
        <v>45538</v>
      </c>
      <c r="N614" s="371">
        <v>315000000</v>
      </c>
      <c r="O614" s="444" t="s">
        <v>3866</v>
      </c>
      <c r="P614" s="397">
        <v>1312400</v>
      </c>
      <c r="Q614" s="397">
        <v>1312400</v>
      </c>
      <c r="R614" s="397"/>
      <c r="S614" s="398">
        <f t="shared" si="28"/>
        <v>1312400</v>
      </c>
      <c r="T614" s="353"/>
      <c r="U614" s="353">
        <f t="shared" si="29"/>
        <v>1312400</v>
      </c>
      <c r="V614" s="399"/>
      <c r="W614" s="399"/>
      <c r="X614" s="400" t="s">
        <v>492</v>
      </c>
      <c r="Y614" s="400"/>
      <c r="Z614" s="283"/>
    </row>
    <row r="615" spans="2:26" ht="19.5" hidden="1" customHeight="1">
      <c r="B615" s="29">
        <f t="shared" si="27"/>
        <v>605</v>
      </c>
      <c r="C615" s="30" t="s">
        <v>202</v>
      </c>
      <c r="D615" s="30" t="s">
        <v>225</v>
      </c>
      <c r="E615" s="234" t="s">
        <v>980</v>
      </c>
      <c r="F615" s="235" t="s">
        <v>1248</v>
      </c>
      <c r="G615" s="284">
        <f>IFERROR(VLOOKUP(E615,Assign!$C$2:$J$142,8,FALSE),)</f>
        <v>0</v>
      </c>
      <c r="H615" s="279" t="s">
        <v>6949</v>
      </c>
      <c r="I615" s="280" t="s">
        <v>6022</v>
      </c>
      <c r="J615" s="281" t="s">
        <v>3811</v>
      </c>
      <c r="K615" s="282">
        <v>44414</v>
      </c>
      <c r="L615" s="282">
        <v>45870</v>
      </c>
      <c r="M615" s="282">
        <v>45538</v>
      </c>
      <c r="N615" s="371">
        <v>500000000</v>
      </c>
      <c r="O615" s="444" t="s">
        <v>3866</v>
      </c>
      <c r="P615" s="397">
        <v>49554435</v>
      </c>
      <c r="Q615" s="397">
        <v>49554435</v>
      </c>
      <c r="R615" s="397"/>
      <c r="S615" s="398">
        <f t="shared" si="28"/>
        <v>49554435</v>
      </c>
      <c r="T615" s="353"/>
      <c r="U615" s="353">
        <f t="shared" si="29"/>
        <v>49554435</v>
      </c>
      <c r="V615" s="399"/>
      <c r="W615" s="399"/>
      <c r="X615" s="400" t="s">
        <v>492</v>
      </c>
      <c r="Y615" s="400"/>
      <c r="Z615" s="283"/>
    </row>
    <row r="616" spans="2:26" ht="19.5" hidden="1" customHeight="1">
      <c r="B616" s="29">
        <f t="shared" si="27"/>
        <v>606</v>
      </c>
      <c r="C616" s="30" t="s">
        <v>202</v>
      </c>
      <c r="D616" s="30" t="s">
        <v>225</v>
      </c>
      <c r="E616" s="234" t="s">
        <v>980</v>
      </c>
      <c r="F616" s="235" t="s">
        <v>1248</v>
      </c>
      <c r="G616" s="284">
        <f>IFERROR(VLOOKUP(E616,Assign!$C$2:$J$142,8,FALSE),)</f>
        <v>0</v>
      </c>
      <c r="H616" s="279" t="s">
        <v>6950</v>
      </c>
      <c r="I616" s="280" t="s">
        <v>6133</v>
      </c>
      <c r="J616" s="281" t="s">
        <v>3735</v>
      </c>
      <c r="K616" s="282">
        <v>44531</v>
      </c>
      <c r="L616" s="282">
        <v>55488</v>
      </c>
      <c r="M616" s="282">
        <v>45174</v>
      </c>
      <c r="N616" s="371">
        <v>136000000</v>
      </c>
      <c r="O616" s="444" t="s">
        <v>3866</v>
      </c>
      <c r="P616" s="397">
        <v>74152652</v>
      </c>
      <c r="Q616" s="397">
        <v>74152652</v>
      </c>
      <c r="R616" s="397"/>
      <c r="S616" s="398">
        <f t="shared" si="28"/>
        <v>74152652</v>
      </c>
      <c r="T616" s="353"/>
      <c r="U616" s="353">
        <f t="shared" si="29"/>
        <v>74152652</v>
      </c>
      <c r="V616" s="399"/>
      <c r="W616" s="399"/>
      <c r="X616" s="400" t="s">
        <v>492</v>
      </c>
      <c r="Y616" s="400"/>
      <c r="Z616" s="283"/>
    </row>
    <row r="617" spans="2:26" ht="19.5" hidden="1" customHeight="1">
      <c r="B617" s="29">
        <f t="shared" si="27"/>
        <v>607</v>
      </c>
      <c r="C617" s="30" t="s">
        <v>202</v>
      </c>
      <c r="D617" s="30" t="s">
        <v>225</v>
      </c>
      <c r="E617" s="234" t="s">
        <v>980</v>
      </c>
      <c r="F617" s="235" t="s">
        <v>1248</v>
      </c>
      <c r="G617" s="284">
        <f>IFERROR(VLOOKUP(E617,Assign!$C$2:$J$142,8,FALSE),)</f>
        <v>0</v>
      </c>
      <c r="H617" s="279" t="s">
        <v>6951</v>
      </c>
      <c r="I617" s="280" t="s">
        <v>6126</v>
      </c>
      <c r="J617" s="281" t="s">
        <v>3745</v>
      </c>
      <c r="K617" s="282">
        <v>44705</v>
      </c>
      <c r="L617" s="282">
        <v>45801</v>
      </c>
      <c r="M617" s="282">
        <v>45531</v>
      </c>
      <c r="N617" s="371">
        <v>70000000</v>
      </c>
      <c r="O617" s="444" t="s">
        <v>3866</v>
      </c>
      <c r="P617" s="397">
        <v>20000000</v>
      </c>
      <c r="Q617" s="397">
        <v>20000000</v>
      </c>
      <c r="R617" s="397"/>
      <c r="S617" s="398">
        <f t="shared" si="28"/>
        <v>20000000</v>
      </c>
      <c r="T617" s="353"/>
      <c r="U617" s="353">
        <f t="shared" si="29"/>
        <v>20000000</v>
      </c>
      <c r="V617" s="399"/>
      <c r="W617" s="399"/>
      <c r="X617" s="400" t="s">
        <v>492</v>
      </c>
      <c r="Y617" s="400"/>
      <c r="Z617" s="283"/>
    </row>
    <row r="618" spans="2:26" ht="19.5" hidden="1" customHeight="1">
      <c r="B618" s="29">
        <f t="shared" si="27"/>
        <v>608</v>
      </c>
      <c r="C618" s="30" t="s">
        <v>202</v>
      </c>
      <c r="D618" s="30" t="s">
        <v>225</v>
      </c>
      <c r="E618" s="234" t="s">
        <v>980</v>
      </c>
      <c r="F618" s="235" t="s">
        <v>1248</v>
      </c>
      <c r="G618" s="284">
        <f>IFERROR(VLOOKUP(E618,Assign!$C$2:$J$142,8,FALSE),)</f>
        <v>0</v>
      </c>
      <c r="H618" s="279" t="s">
        <v>6952</v>
      </c>
      <c r="I618" s="280" t="s">
        <v>5888</v>
      </c>
      <c r="J618" s="281" t="s">
        <v>3745</v>
      </c>
      <c r="K618" s="282">
        <v>44993</v>
      </c>
      <c r="L618" s="282">
        <v>46089</v>
      </c>
      <c r="M618" s="282">
        <v>45513</v>
      </c>
      <c r="N618" s="371">
        <v>50000000</v>
      </c>
      <c r="O618" s="444" t="s">
        <v>3866</v>
      </c>
      <c r="P618" s="397">
        <v>27777760</v>
      </c>
      <c r="Q618" s="397">
        <v>27777760</v>
      </c>
      <c r="R618" s="397"/>
      <c r="S618" s="398">
        <f t="shared" si="28"/>
        <v>27777760</v>
      </c>
      <c r="T618" s="353"/>
      <c r="U618" s="353">
        <f t="shared" si="29"/>
        <v>27777760</v>
      </c>
      <c r="V618" s="399"/>
      <c r="W618" s="399"/>
      <c r="X618" s="400" t="s">
        <v>492</v>
      </c>
      <c r="Y618" s="400"/>
      <c r="Z618" s="283"/>
    </row>
    <row r="619" spans="2:26" ht="19.5" hidden="1" customHeight="1">
      <c r="B619" s="29">
        <f t="shared" si="27"/>
        <v>609</v>
      </c>
      <c r="C619" s="30" t="s">
        <v>202</v>
      </c>
      <c r="D619" s="30" t="s">
        <v>225</v>
      </c>
      <c r="E619" s="234" t="s">
        <v>980</v>
      </c>
      <c r="F619" s="235" t="s">
        <v>1248</v>
      </c>
      <c r="G619" s="284">
        <f>IFERROR(VLOOKUP(E619,Assign!$C$2:$J$142,8,FALSE),)</f>
        <v>0</v>
      </c>
      <c r="H619" s="279" t="s">
        <v>6953</v>
      </c>
      <c r="I619" s="280" t="s">
        <v>6134</v>
      </c>
      <c r="J619" s="281" t="s">
        <v>3780</v>
      </c>
      <c r="K619" s="282">
        <v>45146</v>
      </c>
      <c r="L619" s="282">
        <v>46426</v>
      </c>
      <c r="M619" s="282">
        <v>45513</v>
      </c>
      <c r="N619" s="371">
        <v>275000000</v>
      </c>
      <c r="O619" s="444" t="s">
        <v>3866</v>
      </c>
      <c r="P619" s="397">
        <v>236655519</v>
      </c>
      <c r="Q619" s="397">
        <v>236655519</v>
      </c>
      <c r="R619" s="397"/>
      <c r="S619" s="398">
        <f t="shared" si="28"/>
        <v>236655519</v>
      </c>
      <c r="T619" s="353"/>
      <c r="U619" s="353">
        <f t="shared" si="29"/>
        <v>236655519</v>
      </c>
      <c r="V619" s="399"/>
      <c r="W619" s="399"/>
      <c r="X619" s="400" t="s">
        <v>492</v>
      </c>
      <c r="Y619" s="400"/>
      <c r="Z619" s="283"/>
    </row>
    <row r="620" spans="2:26" ht="19.5" hidden="1" customHeight="1">
      <c r="B620" s="29">
        <f t="shared" si="27"/>
        <v>610</v>
      </c>
      <c r="C620" s="30" t="s">
        <v>202</v>
      </c>
      <c r="D620" s="30" t="s">
        <v>225</v>
      </c>
      <c r="E620" s="234" t="s">
        <v>981</v>
      </c>
      <c r="F620" s="235" t="s">
        <v>1356</v>
      </c>
      <c r="G620" s="284">
        <f>IFERROR(VLOOKUP(E620,Assign!$C$2:$J$142,8,FALSE),)</f>
        <v>0</v>
      </c>
      <c r="H620" s="279" t="s">
        <v>7046</v>
      </c>
      <c r="I620" s="280" t="s">
        <v>5653</v>
      </c>
      <c r="J620" s="281" t="s">
        <v>3734</v>
      </c>
      <c r="K620" s="282">
        <v>44595</v>
      </c>
      <c r="L620" s="282">
        <v>45719</v>
      </c>
      <c r="M620" s="282">
        <v>45671</v>
      </c>
      <c r="N620" s="371">
        <v>400000000</v>
      </c>
      <c r="O620" s="444" t="s">
        <v>3866</v>
      </c>
      <c r="P620" s="397">
        <v>396408567</v>
      </c>
      <c r="Q620" s="397">
        <v>396408567</v>
      </c>
      <c r="R620" s="397"/>
      <c r="S620" s="398">
        <f t="shared" si="28"/>
        <v>396408567</v>
      </c>
      <c r="T620" s="353"/>
      <c r="U620" s="353">
        <f t="shared" si="29"/>
        <v>396408567</v>
      </c>
      <c r="V620" s="399"/>
      <c r="W620" s="399"/>
      <c r="X620" s="400" t="s">
        <v>492</v>
      </c>
      <c r="Y620" s="400"/>
      <c r="Z620" s="283"/>
    </row>
    <row r="621" spans="2:26" ht="19.5" hidden="1" customHeight="1">
      <c r="B621" s="29">
        <f t="shared" si="27"/>
        <v>611</v>
      </c>
      <c r="C621" s="30" t="s">
        <v>202</v>
      </c>
      <c r="D621" s="30" t="s">
        <v>225</v>
      </c>
      <c r="E621" s="234" t="s">
        <v>982</v>
      </c>
      <c r="F621" s="235" t="s">
        <v>1235</v>
      </c>
      <c r="G621" s="284">
        <f>IFERROR(VLOOKUP(E621,Assign!$C$2:$J$142,8,FALSE),)</f>
        <v>0</v>
      </c>
      <c r="H621" s="279" t="s">
        <v>6441</v>
      </c>
      <c r="I621" s="280" t="s">
        <v>5731</v>
      </c>
      <c r="J621" s="281" t="s">
        <v>3746</v>
      </c>
      <c r="K621" s="282">
        <v>42116</v>
      </c>
      <c r="L621" s="282">
        <v>53074</v>
      </c>
      <c r="M621" s="282">
        <v>45619</v>
      </c>
      <c r="N621" s="371">
        <v>340000000</v>
      </c>
      <c r="O621" s="444" t="s">
        <v>3866</v>
      </c>
      <c r="P621" s="397">
        <v>209919918</v>
      </c>
      <c r="Q621" s="397">
        <v>209919918</v>
      </c>
      <c r="R621" s="397"/>
      <c r="S621" s="398">
        <f t="shared" si="28"/>
        <v>209919918</v>
      </c>
      <c r="T621" s="353"/>
      <c r="U621" s="353">
        <f t="shared" si="29"/>
        <v>209919918</v>
      </c>
      <c r="V621" s="399"/>
      <c r="W621" s="399"/>
      <c r="X621" s="400" t="s">
        <v>492</v>
      </c>
      <c r="Y621" s="400"/>
      <c r="Z621" s="283"/>
    </row>
    <row r="622" spans="2:26" ht="19.5" hidden="1" customHeight="1">
      <c r="B622" s="29">
        <f t="shared" si="27"/>
        <v>612</v>
      </c>
      <c r="C622" s="30" t="s">
        <v>202</v>
      </c>
      <c r="D622" s="30" t="s">
        <v>225</v>
      </c>
      <c r="E622" s="234" t="s">
        <v>982</v>
      </c>
      <c r="F622" s="235" t="s">
        <v>1235</v>
      </c>
      <c r="G622" s="284">
        <f>IFERROR(VLOOKUP(E622,Assign!$C$2:$J$142,8,FALSE),)</f>
        <v>0</v>
      </c>
      <c r="H622" s="279" t="s">
        <v>6442</v>
      </c>
      <c r="I622" s="280" t="s">
        <v>5788</v>
      </c>
      <c r="J622" s="281" t="s">
        <v>3742</v>
      </c>
      <c r="K622" s="282">
        <v>42285</v>
      </c>
      <c r="L622" s="282">
        <v>53243</v>
      </c>
      <c r="M622" s="282">
        <v>45636</v>
      </c>
      <c r="N622" s="371">
        <v>184000000</v>
      </c>
      <c r="O622" s="444" t="s">
        <v>3866</v>
      </c>
      <c r="P622" s="397">
        <v>128288861</v>
      </c>
      <c r="Q622" s="397">
        <v>128288861</v>
      </c>
      <c r="R622" s="397"/>
      <c r="S622" s="398">
        <f t="shared" si="28"/>
        <v>128288861</v>
      </c>
      <c r="T622" s="353"/>
      <c r="U622" s="353">
        <f t="shared" si="29"/>
        <v>128288861</v>
      </c>
      <c r="V622" s="399"/>
      <c r="W622" s="399"/>
      <c r="X622" s="400" t="s">
        <v>492</v>
      </c>
      <c r="Y622" s="400"/>
      <c r="Z622" s="283"/>
    </row>
    <row r="623" spans="2:26" ht="19.5" hidden="1" customHeight="1">
      <c r="B623" s="29">
        <f t="shared" si="27"/>
        <v>613</v>
      </c>
      <c r="C623" s="30" t="s">
        <v>202</v>
      </c>
      <c r="D623" s="30" t="s">
        <v>225</v>
      </c>
      <c r="E623" s="234" t="s">
        <v>982</v>
      </c>
      <c r="F623" s="235" t="s">
        <v>1235</v>
      </c>
      <c r="G623" s="284">
        <f>IFERROR(VLOOKUP(E623,Assign!$C$2:$J$142,8,FALSE),)</f>
        <v>0</v>
      </c>
      <c r="H623" s="279" t="s">
        <v>6443</v>
      </c>
      <c r="I623" s="280" t="s">
        <v>5793</v>
      </c>
      <c r="J623" s="281" t="s">
        <v>3746</v>
      </c>
      <c r="K623" s="282">
        <v>42562</v>
      </c>
      <c r="L623" s="282">
        <v>53519</v>
      </c>
      <c r="M623" s="282">
        <v>45577</v>
      </c>
      <c r="N623" s="371">
        <v>76000000</v>
      </c>
      <c r="O623" s="444" t="s">
        <v>3866</v>
      </c>
      <c r="P623" s="397">
        <v>55311082</v>
      </c>
      <c r="Q623" s="397">
        <v>55311082</v>
      </c>
      <c r="R623" s="397"/>
      <c r="S623" s="398">
        <f t="shared" si="28"/>
        <v>55311082</v>
      </c>
      <c r="T623" s="353"/>
      <c r="U623" s="353">
        <f t="shared" si="29"/>
        <v>55311082</v>
      </c>
      <c r="V623" s="399"/>
      <c r="W623" s="399"/>
      <c r="X623" s="400" t="s">
        <v>492</v>
      </c>
      <c r="Y623" s="400"/>
      <c r="Z623" s="283"/>
    </row>
    <row r="624" spans="2:26" ht="19.5" hidden="1" customHeight="1">
      <c r="B624" s="29">
        <f t="shared" si="27"/>
        <v>614</v>
      </c>
      <c r="C624" s="30" t="s">
        <v>202</v>
      </c>
      <c r="D624" s="30" t="s">
        <v>225</v>
      </c>
      <c r="E624" s="234" t="s">
        <v>983</v>
      </c>
      <c r="F624" s="235" t="s">
        <v>1252</v>
      </c>
      <c r="G624" s="284">
        <f>IFERROR(VLOOKUP(E624,Assign!$C$2:$J$142,8,FALSE),)</f>
        <v>0</v>
      </c>
      <c r="H624" s="279" t="s">
        <v>6724</v>
      </c>
      <c r="I624" s="280" t="s">
        <v>6007</v>
      </c>
      <c r="J624" s="281" t="s">
        <v>3733</v>
      </c>
      <c r="K624" s="282">
        <v>45184</v>
      </c>
      <c r="L624" s="282">
        <v>46280</v>
      </c>
      <c r="M624" s="282">
        <v>45615</v>
      </c>
      <c r="N624" s="371">
        <v>82000000</v>
      </c>
      <c r="O624" s="444" t="s">
        <v>3866</v>
      </c>
      <c r="P624" s="397">
        <v>82000000</v>
      </c>
      <c r="Q624" s="397">
        <v>82000000</v>
      </c>
      <c r="R624" s="397"/>
      <c r="S624" s="398">
        <f t="shared" si="28"/>
        <v>82000000</v>
      </c>
      <c r="T624" s="353"/>
      <c r="U624" s="353">
        <f t="shared" si="29"/>
        <v>82000000</v>
      </c>
      <c r="V624" s="399"/>
      <c r="W624" s="399"/>
      <c r="X624" s="400" t="s">
        <v>492</v>
      </c>
      <c r="Y624" s="400"/>
      <c r="Z624" s="283"/>
    </row>
    <row r="625" spans="2:26" ht="19.5" hidden="1" customHeight="1">
      <c r="B625" s="29">
        <f t="shared" si="27"/>
        <v>615</v>
      </c>
      <c r="C625" s="30" t="s">
        <v>202</v>
      </c>
      <c r="D625" s="30" t="s">
        <v>225</v>
      </c>
      <c r="E625" s="234" t="s">
        <v>983</v>
      </c>
      <c r="F625" s="235" t="s">
        <v>1252</v>
      </c>
      <c r="G625" s="284">
        <f>IFERROR(VLOOKUP(E625,Assign!$C$2:$J$142,8,FALSE),)</f>
        <v>0</v>
      </c>
      <c r="H625" s="279" t="s">
        <v>6725</v>
      </c>
      <c r="I625" s="280" t="s">
        <v>6008</v>
      </c>
      <c r="J625" s="281" t="s">
        <v>3733</v>
      </c>
      <c r="K625" s="282">
        <v>45184</v>
      </c>
      <c r="L625" s="282">
        <v>46280</v>
      </c>
      <c r="M625" s="282">
        <v>45612</v>
      </c>
      <c r="N625" s="371">
        <v>81000000</v>
      </c>
      <c r="O625" s="444" t="s">
        <v>3866</v>
      </c>
      <c r="P625" s="397">
        <v>81000000</v>
      </c>
      <c r="Q625" s="397">
        <v>81000000</v>
      </c>
      <c r="R625" s="397"/>
      <c r="S625" s="398">
        <f t="shared" si="28"/>
        <v>81000000</v>
      </c>
      <c r="T625" s="353"/>
      <c r="U625" s="353">
        <f t="shared" si="29"/>
        <v>81000000</v>
      </c>
      <c r="V625" s="399"/>
      <c r="W625" s="399"/>
      <c r="X625" s="400" t="s">
        <v>492</v>
      </c>
      <c r="Y625" s="400"/>
      <c r="Z625" s="354"/>
    </row>
    <row r="626" spans="2:26" ht="19.5" hidden="1" customHeight="1">
      <c r="B626" s="29">
        <f t="shared" si="27"/>
        <v>616</v>
      </c>
      <c r="C626" s="30" t="s">
        <v>202</v>
      </c>
      <c r="D626" s="30" t="s">
        <v>225</v>
      </c>
      <c r="E626" s="234" t="s">
        <v>983</v>
      </c>
      <c r="F626" s="235" t="s">
        <v>1252</v>
      </c>
      <c r="G626" s="284">
        <f>IFERROR(VLOOKUP(E626,Assign!$C$2:$J$142,8,FALSE),)</f>
        <v>0</v>
      </c>
      <c r="H626" s="279" t="s">
        <v>6726</v>
      </c>
      <c r="I626" s="280" t="s">
        <v>6009</v>
      </c>
      <c r="J626" s="281" t="s">
        <v>3733</v>
      </c>
      <c r="K626" s="282">
        <v>45184</v>
      </c>
      <c r="L626" s="282">
        <v>46280</v>
      </c>
      <c r="M626" s="282">
        <v>45612</v>
      </c>
      <c r="N626" s="371">
        <v>81000000</v>
      </c>
      <c r="O626" s="444" t="s">
        <v>3866</v>
      </c>
      <c r="P626" s="397">
        <v>81000000</v>
      </c>
      <c r="Q626" s="397">
        <v>81000000</v>
      </c>
      <c r="R626" s="397"/>
      <c r="S626" s="398">
        <f t="shared" si="28"/>
        <v>81000000</v>
      </c>
      <c r="T626" s="353"/>
      <c r="U626" s="353">
        <f t="shared" si="29"/>
        <v>81000000</v>
      </c>
      <c r="V626" s="399"/>
      <c r="W626" s="399"/>
      <c r="X626" s="400" t="s">
        <v>492</v>
      </c>
      <c r="Y626" s="400"/>
      <c r="Z626" s="283"/>
    </row>
    <row r="627" spans="2:26" ht="19.5" hidden="1" customHeight="1">
      <c r="B627" s="29">
        <f t="shared" si="27"/>
        <v>617</v>
      </c>
      <c r="C627" s="30" t="s">
        <v>202</v>
      </c>
      <c r="D627" s="30" t="s">
        <v>225</v>
      </c>
      <c r="E627" s="234" t="s">
        <v>983</v>
      </c>
      <c r="F627" s="235" t="s">
        <v>1252</v>
      </c>
      <c r="G627" s="284">
        <f>IFERROR(VLOOKUP(E627,Assign!$C$2:$J$142,8,FALSE),)</f>
        <v>0</v>
      </c>
      <c r="H627" s="279" t="s">
        <v>6727</v>
      </c>
      <c r="I627" s="280" t="s">
        <v>5776</v>
      </c>
      <c r="J627" s="281" t="s">
        <v>3733</v>
      </c>
      <c r="K627" s="282">
        <v>45287</v>
      </c>
      <c r="L627" s="282">
        <v>46383</v>
      </c>
      <c r="M627" s="282">
        <v>45624</v>
      </c>
      <c r="N627" s="371">
        <v>72000000</v>
      </c>
      <c r="O627" s="444" t="s">
        <v>3866</v>
      </c>
      <c r="P627" s="397">
        <v>72000000</v>
      </c>
      <c r="Q627" s="397">
        <v>72000000</v>
      </c>
      <c r="R627" s="397"/>
      <c r="S627" s="398">
        <f t="shared" si="28"/>
        <v>72000000</v>
      </c>
      <c r="T627" s="353"/>
      <c r="U627" s="353">
        <f t="shared" si="29"/>
        <v>72000000</v>
      </c>
      <c r="V627" s="399"/>
      <c r="W627" s="399"/>
      <c r="X627" s="400" t="s">
        <v>492</v>
      </c>
      <c r="Y627" s="400"/>
      <c r="Z627" s="283"/>
    </row>
    <row r="628" spans="2:26" ht="19.5" hidden="1" customHeight="1">
      <c r="B628" s="29">
        <f t="shared" si="27"/>
        <v>618</v>
      </c>
      <c r="C628" s="30" t="s">
        <v>202</v>
      </c>
      <c r="D628" s="30" t="s">
        <v>225</v>
      </c>
      <c r="E628" s="234" t="s">
        <v>983</v>
      </c>
      <c r="F628" s="235" t="s">
        <v>1252</v>
      </c>
      <c r="G628" s="284">
        <f>IFERROR(VLOOKUP(E628,Assign!$C$2:$J$142,8,FALSE),)</f>
        <v>0</v>
      </c>
      <c r="H628" s="279" t="s">
        <v>6728</v>
      </c>
      <c r="I628" s="280" t="s">
        <v>5853</v>
      </c>
      <c r="J628" s="281" t="s">
        <v>3733</v>
      </c>
      <c r="K628" s="282">
        <v>45287</v>
      </c>
      <c r="L628" s="282">
        <v>46383</v>
      </c>
      <c r="M628" s="282">
        <v>45624</v>
      </c>
      <c r="N628" s="371">
        <v>72000000</v>
      </c>
      <c r="O628" s="444" t="s">
        <v>3866</v>
      </c>
      <c r="P628" s="397">
        <v>72000000</v>
      </c>
      <c r="Q628" s="397">
        <v>72000000</v>
      </c>
      <c r="R628" s="397"/>
      <c r="S628" s="398">
        <f t="shared" si="28"/>
        <v>72000000</v>
      </c>
      <c r="T628" s="353"/>
      <c r="U628" s="353">
        <f t="shared" si="29"/>
        <v>72000000</v>
      </c>
      <c r="V628" s="399"/>
      <c r="W628" s="399"/>
      <c r="X628" s="400" t="s">
        <v>492</v>
      </c>
      <c r="Y628" s="400"/>
      <c r="Z628" s="283"/>
    </row>
    <row r="629" spans="2:26" ht="19.5" hidden="1" customHeight="1">
      <c r="B629" s="29">
        <f t="shared" si="27"/>
        <v>619</v>
      </c>
      <c r="C629" s="30" t="s">
        <v>202</v>
      </c>
      <c r="D629" s="30" t="s">
        <v>225</v>
      </c>
      <c r="E629" s="234" t="s">
        <v>984</v>
      </c>
      <c r="F629" s="235" t="s">
        <v>1357</v>
      </c>
      <c r="G629" s="284">
        <f>IFERROR(VLOOKUP(E629,Assign!$C$2:$J$142,8,FALSE),)</f>
        <v>0</v>
      </c>
      <c r="H629" s="279" t="s">
        <v>6965</v>
      </c>
      <c r="I629" s="280" t="s">
        <v>6140</v>
      </c>
      <c r="J629" s="281" t="s">
        <v>3812</v>
      </c>
      <c r="K629" s="282">
        <v>43202</v>
      </c>
      <c r="L629" s="282">
        <v>45691</v>
      </c>
      <c r="M629" s="282">
        <v>45692</v>
      </c>
      <c r="N629" s="371">
        <v>193000000</v>
      </c>
      <c r="O629" s="444" t="s">
        <v>3866</v>
      </c>
      <c r="P629" s="397">
        <v>193000000</v>
      </c>
      <c r="Q629" s="397">
        <v>193000000</v>
      </c>
      <c r="R629" s="397"/>
      <c r="S629" s="398">
        <f t="shared" si="28"/>
        <v>193000000</v>
      </c>
      <c r="T629" s="353"/>
      <c r="U629" s="353">
        <f t="shared" si="29"/>
        <v>193000000</v>
      </c>
      <c r="V629" s="399"/>
      <c r="W629" s="399"/>
      <c r="X629" s="400" t="s">
        <v>492</v>
      </c>
      <c r="Y629" s="400"/>
      <c r="Z629" s="283"/>
    </row>
    <row r="630" spans="2:26" ht="19.5" hidden="1" customHeight="1">
      <c r="B630" s="29">
        <f t="shared" si="27"/>
        <v>620</v>
      </c>
      <c r="C630" s="30" t="s">
        <v>202</v>
      </c>
      <c r="D630" s="30" t="s">
        <v>225</v>
      </c>
      <c r="E630" s="234" t="s">
        <v>984</v>
      </c>
      <c r="F630" s="235" t="s">
        <v>1357</v>
      </c>
      <c r="G630" s="284">
        <f>IFERROR(VLOOKUP(E630,Assign!$C$2:$J$142,8,FALSE),)</f>
        <v>0</v>
      </c>
      <c r="H630" s="279" t="s">
        <v>6966</v>
      </c>
      <c r="I630" s="280" t="s">
        <v>5807</v>
      </c>
      <c r="J630" s="281" t="s">
        <v>3796</v>
      </c>
      <c r="K630" s="282">
        <v>43202</v>
      </c>
      <c r="L630" s="282">
        <v>45691</v>
      </c>
      <c r="M630" s="282">
        <v>45692</v>
      </c>
      <c r="N630" s="371">
        <v>193000000</v>
      </c>
      <c r="O630" s="444" t="s">
        <v>3866</v>
      </c>
      <c r="P630" s="397">
        <v>193000000</v>
      </c>
      <c r="Q630" s="397">
        <v>193000000</v>
      </c>
      <c r="R630" s="397"/>
      <c r="S630" s="398">
        <f t="shared" si="28"/>
        <v>193000000</v>
      </c>
      <c r="T630" s="353"/>
      <c r="U630" s="353">
        <f t="shared" si="29"/>
        <v>193000000</v>
      </c>
      <c r="V630" s="399"/>
      <c r="W630" s="399"/>
      <c r="X630" s="400" t="s">
        <v>492</v>
      </c>
      <c r="Y630" s="400"/>
      <c r="Z630" s="283"/>
    </row>
    <row r="631" spans="2:26" ht="19.5" hidden="1" customHeight="1">
      <c r="B631" s="29">
        <f t="shared" si="27"/>
        <v>621</v>
      </c>
      <c r="C631" s="30" t="s">
        <v>202</v>
      </c>
      <c r="D631" s="30" t="s">
        <v>225</v>
      </c>
      <c r="E631" s="234" t="s">
        <v>985</v>
      </c>
      <c r="F631" s="235" t="s">
        <v>1229</v>
      </c>
      <c r="G631" s="284">
        <f>IFERROR(VLOOKUP(E631,Assign!$C$2:$J$142,8,FALSE),)</f>
        <v>0</v>
      </c>
      <c r="H631" s="279" t="s">
        <v>6747</v>
      </c>
      <c r="I631" s="280" t="s">
        <v>6021</v>
      </c>
      <c r="J631" s="281" t="s">
        <v>3735</v>
      </c>
      <c r="K631" s="282">
        <v>45016</v>
      </c>
      <c r="L631" s="282">
        <v>59626</v>
      </c>
      <c r="M631" s="282">
        <v>45538</v>
      </c>
      <c r="N631" s="371">
        <v>385700000</v>
      </c>
      <c r="O631" s="444" t="s">
        <v>3866</v>
      </c>
      <c r="P631" s="397">
        <v>383520908</v>
      </c>
      <c r="Q631" s="397">
        <v>383520908</v>
      </c>
      <c r="R631" s="397"/>
      <c r="S631" s="398">
        <f t="shared" si="28"/>
        <v>383520908</v>
      </c>
      <c r="T631" s="353"/>
      <c r="U631" s="353">
        <f t="shared" si="29"/>
        <v>383520908</v>
      </c>
      <c r="V631" s="399"/>
      <c r="W631" s="399"/>
      <c r="X631" s="400" t="s">
        <v>492</v>
      </c>
      <c r="Y631" s="400"/>
      <c r="Z631" s="283"/>
    </row>
    <row r="632" spans="2:26" ht="19.5" hidden="1" customHeight="1">
      <c r="B632" s="29">
        <f t="shared" si="27"/>
        <v>622</v>
      </c>
      <c r="C632" s="30" t="s">
        <v>202</v>
      </c>
      <c r="D632" s="30" t="s">
        <v>225</v>
      </c>
      <c r="E632" s="234" t="s">
        <v>986</v>
      </c>
      <c r="F632" s="235" t="s">
        <v>1229</v>
      </c>
      <c r="G632" s="284">
        <f>IFERROR(VLOOKUP(E632,Assign!$C$2:$J$142,8,FALSE),)</f>
        <v>0</v>
      </c>
      <c r="H632" s="279" t="s">
        <v>6371</v>
      </c>
      <c r="I632" s="280" t="s">
        <v>5740</v>
      </c>
      <c r="J632" s="281" t="s">
        <v>3756</v>
      </c>
      <c r="K632" s="282">
        <v>44804</v>
      </c>
      <c r="L632" s="282">
        <v>59414</v>
      </c>
      <c r="M632" s="282">
        <v>45538</v>
      </c>
      <c r="N632" s="371">
        <v>300000000</v>
      </c>
      <c r="O632" s="444" t="s">
        <v>3866</v>
      </c>
      <c r="P632" s="397">
        <v>200176511</v>
      </c>
      <c r="Q632" s="397">
        <v>200176511</v>
      </c>
      <c r="R632" s="397"/>
      <c r="S632" s="398">
        <f t="shared" si="28"/>
        <v>200176511</v>
      </c>
      <c r="T632" s="353"/>
      <c r="U632" s="353">
        <f t="shared" si="29"/>
        <v>200176511</v>
      </c>
      <c r="V632" s="399"/>
      <c r="W632" s="399"/>
      <c r="X632" s="400" t="s">
        <v>492</v>
      </c>
      <c r="Y632" s="400"/>
      <c r="Z632" s="283"/>
    </row>
    <row r="633" spans="2:26" ht="19.5" hidden="1" customHeight="1">
      <c r="B633" s="29">
        <f t="shared" si="27"/>
        <v>623</v>
      </c>
      <c r="C633" s="30" t="s">
        <v>202</v>
      </c>
      <c r="D633" s="30" t="s">
        <v>225</v>
      </c>
      <c r="E633" s="234" t="s">
        <v>986</v>
      </c>
      <c r="F633" s="235" t="s">
        <v>1229</v>
      </c>
      <c r="G633" s="284">
        <f>IFERROR(VLOOKUP(E633,Assign!$C$2:$J$142,8,FALSE),)</f>
        <v>0</v>
      </c>
      <c r="H633" s="279" t="s">
        <v>6372</v>
      </c>
      <c r="I633" s="280" t="s">
        <v>5741</v>
      </c>
      <c r="J633" s="281" t="s">
        <v>3763</v>
      </c>
      <c r="K633" s="282">
        <v>44924</v>
      </c>
      <c r="L633" s="282">
        <v>45564</v>
      </c>
      <c r="M633" s="282">
        <v>45499</v>
      </c>
      <c r="N633" s="371">
        <v>180000000</v>
      </c>
      <c r="O633" s="444" t="s">
        <v>3866</v>
      </c>
      <c r="P633" s="397">
        <v>180000000</v>
      </c>
      <c r="Q633" s="397">
        <v>180000000</v>
      </c>
      <c r="R633" s="397"/>
      <c r="S633" s="398">
        <f t="shared" si="28"/>
        <v>180000000</v>
      </c>
      <c r="T633" s="353"/>
      <c r="U633" s="353">
        <f t="shared" si="29"/>
        <v>180000000</v>
      </c>
      <c r="V633" s="399"/>
      <c r="W633" s="399"/>
      <c r="X633" s="400" t="s">
        <v>492</v>
      </c>
      <c r="Y633" s="400"/>
      <c r="Z633" s="283"/>
    </row>
    <row r="634" spans="2:26" ht="19.5" hidden="1" customHeight="1">
      <c r="B634" s="29">
        <f t="shared" si="27"/>
        <v>624</v>
      </c>
      <c r="C634" s="30" t="s">
        <v>202</v>
      </c>
      <c r="D634" s="30" t="s">
        <v>225</v>
      </c>
      <c r="E634" s="234" t="s">
        <v>987</v>
      </c>
      <c r="F634" s="235" t="s">
        <v>1255</v>
      </c>
      <c r="G634" s="284">
        <f>IFERROR(VLOOKUP(E634,Assign!$C$2:$J$142,8,FALSE),)</f>
        <v>0</v>
      </c>
      <c r="H634" s="279" t="s">
        <v>6318</v>
      </c>
      <c r="I634" s="280" t="s">
        <v>5693</v>
      </c>
      <c r="J634" s="281" t="s">
        <v>3733</v>
      </c>
      <c r="K634" s="282">
        <v>44932</v>
      </c>
      <c r="L634" s="282">
        <v>46028</v>
      </c>
      <c r="M634" s="282">
        <v>45702</v>
      </c>
      <c r="N634" s="371">
        <v>420000000</v>
      </c>
      <c r="O634" s="444" t="s">
        <v>3866</v>
      </c>
      <c r="P634" s="397">
        <v>379700000</v>
      </c>
      <c r="Q634" s="397">
        <v>379700000</v>
      </c>
      <c r="R634" s="397"/>
      <c r="S634" s="398">
        <f t="shared" si="28"/>
        <v>379700000</v>
      </c>
      <c r="T634" s="353"/>
      <c r="U634" s="353">
        <f t="shared" si="29"/>
        <v>379700000</v>
      </c>
      <c r="V634" s="399"/>
      <c r="W634" s="399"/>
      <c r="X634" s="400" t="s">
        <v>492</v>
      </c>
      <c r="Y634" s="400"/>
      <c r="Z634" s="283"/>
    </row>
    <row r="635" spans="2:26" ht="19.5" hidden="1" customHeight="1">
      <c r="B635" s="29">
        <f t="shared" si="27"/>
        <v>625</v>
      </c>
      <c r="C635" s="30" t="s">
        <v>202</v>
      </c>
      <c r="D635" s="30" t="s">
        <v>225</v>
      </c>
      <c r="E635" s="234" t="s">
        <v>988</v>
      </c>
      <c r="F635" s="235" t="s">
        <v>1252</v>
      </c>
      <c r="G635" s="284" t="str">
        <f>IFERROR(VLOOKUP(E635,Assign!$C$2:$J$142,8,FALSE),)</f>
        <v>문선영</v>
      </c>
      <c r="H635" s="279" t="s">
        <v>6778</v>
      </c>
      <c r="I635" s="280" t="s">
        <v>6040</v>
      </c>
      <c r="J635" s="281" t="s">
        <v>3756</v>
      </c>
      <c r="K635" s="282">
        <v>42030</v>
      </c>
      <c r="L635" s="282">
        <v>52988</v>
      </c>
      <c r="M635" s="282">
        <v>45689</v>
      </c>
      <c r="N635" s="371">
        <v>548000000</v>
      </c>
      <c r="O635" s="444" t="s">
        <v>3866</v>
      </c>
      <c r="P635" s="397">
        <v>366002481</v>
      </c>
      <c r="Q635" s="397">
        <v>366002481</v>
      </c>
      <c r="R635" s="397"/>
      <c r="S635" s="398">
        <f t="shared" si="28"/>
        <v>366002481</v>
      </c>
      <c r="T635" s="353"/>
      <c r="U635" s="353">
        <f t="shared" si="29"/>
        <v>366002481</v>
      </c>
      <c r="V635" s="399"/>
      <c r="W635" s="399"/>
      <c r="X635" s="400" t="s">
        <v>492</v>
      </c>
      <c r="Y635" s="400"/>
      <c r="Z635" s="283"/>
    </row>
    <row r="636" spans="2:26" ht="19.5" hidden="1" customHeight="1">
      <c r="B636" s="29">
        <f t="shared" si="27"/>
        <v>626</v>
      </c>
      <c r="C636" s="30" t="s">
        <v>202</v>
      </c>
      <c r="D636" s="30" t="s">
        <v>225</v>
      </c>
      <c r="E636" s="234" t="s">
        <v>989</v>
      </c>
      <c r="F636" s="235" t="s">
        <v>611</v>
      </c>
      <c r="G636" s="284">
        <f>IFERROR(VLOOKUP(E636,Assign!$C$2:$J$142,8,FALSE),)</f>
        <v>0</v>
      </c>
      <c r="H636" s="279" t="s">
        <v>6396</v>
      </c>
      <c r="I636" s="280" t="s">
        <v>5759</v>
      </c>
      <c r="J636" s="281" t="s">
        <v>3734</v>
      </c>
      <c r="K636" s="282">
        <v>41962</v>
      </c>
      <c r="L636" s="282">
        <v>45604</v>
      </c>
      <c r="M636" s="282">
        <v>45580</v>
      </c>
      <c r="N636" s="371">
        <v>76000000</v>
      </c>
      <c r="O636" s="444" t="s">
        <v>3866</v>
      </c>
      <c r="P636" s="397">
        <v>11400000</v>
      </c>
      <c r="Q636" s="397">
        <v>11400000</v>
      </c>
      <c r="R636" s="397"/>
      <c r="S636" s="398">
        <f t="shared" si="28"/>
        <v>11400000</v>
      </c>
      <c r="T636" s="353"/>
      <c r="U636" s="353">
        <f t="shared" si="29"/>
        <v>11400000</v>
      </c>
      <c r="V636" s="399"/>
      <c r="W636" s="399"/>
      <c r="X636" s="400" t="s">
        <v>492</v>
      </c>
      <c r="Y636" s="400"/>
      <c r="Z636" s="283"/>
    </row>
    <row r="637" spans="2:26" ht="19.5" hidden="1" customHeight="1">
      <c r="B637" s="29">
        <f t="shared" si="27"/>
        <v>627</v>
      </c>
      <c r="C637" s="30" t="s">
        <v>202</v>
      </c>
      <c r="D637" s="30" t="s">
        <v>225</v>
      </c>
      <c r="E637" s="234" t="s">
        <v>989</v>
      </c>
      <c r="F637" s="235" t="s">
        <v>611</v>
      </c>
      <c r="G637" s="284">
        <f>IFERROR(VLOOKUP(E637,Assign!$C$2:$J$142,8,FALSE),)</f>
        <v>0</v>
      </c>
      <c r="H637" s="279" t="s">
        <v>6397</v>
      </c>
      <c r="I637" s="280" t="s">
        <v>5760</v>
      </c>
      <c r="J637" s="281" t="s">
        <v>3734</v>
      </c>
      <c r="K637" s="282">
        <v>44834</v>
      </c>
      <c r="L637" s="282">
        <v>45656</v>
      </c>
      <c r="M637" s="282">
        <v>45647</v>
      </c>
      <c r="N637" s="371">
        <v>50000000</v>
      </c>
      <c r="O637" s="444" t="s">
        <v>3866</v>
      </c>
      <c r="P637" s="397">
        <v>50000000</v>
      </c>
      <c r="Q637" s="397">
        <v>50000000</v>
      </c>
      <c r="R637" s="397"/>
      <c r="S637" s="398">
        <f t="shared" si="28"/>
        <v>50000000</v>
      </c>
      <c r="T637" s="353"/>
      <c r="U637" s="353">
        <f t="shared" si="29"/>
        <v>50000000</v>
      </c>
      <c r="V637" s="399"/>
      <c r="W637" s="399"/>
      <c r="X637" s="400" t="s">
        <v>492</v>
      </c>
      <c r="Y637" s="400"/>
      <c r="Z637" s="283"/>
    </row>
    <row r="638" spans="2:26" ht="19.5" hidden="1" customHeight="1">
      <c r="B638" s="29">
        <f t="shared" si="27"/>
        <v>628</v>
      </c>
      <c r="C638" s="30" t="s">
        <v>202</v>
      </c>
      <c r="D638" s="30" t="s">
        <v>225</v>
      </c>
      <c r="E638" s="234" t="s">
        <v>989</v>
      </c>
      <c r="F638" s="235" t="s">
        <v>611</v>
      </c>
      <c r="G638" s="284">
        <f>IFERROR(VLOOKUP(E638,Assign!$C$2:$J$142,8,FALSE),)</f>
        <v>0</v>
      </c>
      <c r="H638" s="279" t="s">
        <v>6398</v>
      </c>
      <c r="I638" s="280" t="s">
        <v>5761</v>
      </c>
      <c r="J638" s="281" t="s">
        <v>3734</v>
      </c>
      <c r="K638" s="282">
        <v>44834</v>
      </c>
      <c r="L638" s="282">
        <v>45656</v>
      </c>
      <c r="M638" s="282">
        <v>45647</v>
      </c>
      <c r="N638" s="371">
        <v>300000000</v>
      </c>
      <c r="O638" s="444" t="s">
        <v>3866</v>
      </c>
      <c r="P638" s="397">
        <v>300000000</v>
      </c>
      <c r="Q638" s="397">
        <v>300000000</v>
      </c>
      <c r="R638" s="397"/>
      <c r="S638" s="398">
        <f t="shared" si="28"/>
        <v>300000000</v>
      </c>
      <c r="T638" s="353"/>
      <c r="U638" s="353">
        <f t="shared" si="29"/>
        <v>300000000</v>
      </c>
      <c r="V638" s="399"/>
      <c r="W638" s="399"/>
      <c r="X638" s="400" t="s">
        <v>492</v>
      </c>
      <c r="Y638" s="400"/>
      <c r="Z638" s="283"/>
    </row>
    <row r="639" spans="2:26" ht="19.5" hidden="1" customHeight="1">
      <c r="B639" s="29">
        <f t="shared" si="27"/>
        <v>629</v>
      </c>
      <c r="C639" s="30" t="s">
        <v>202</v>
      </c>
      <c r="D639" s="30" t="s">
        <v>225</v>
      </c>
      <c r="E639" s="234" t="s">
        <v>990</v>
      </c>
      <c r="F639" s="235" t="s">
        <v>1229</v>
      </c>
      <c r="G639" s="284">
        <f>IFERROR(VLOOKUP(E639,Assign!$C$2:$J$142,8,FALSE),)</f>
        <v>0</v>
      </c>
      <c r="H639" s="279" t="s">
        <v>6543</v>
      </c>
      <c r="I639" s="280" t="s">
        <v>5876</v>
      </c>
      <c r="J639" s="281" t="s">
        <v>3746</v>
      </c>
      <c r="K639" s="282">
        <v>44543</v>
      </c>
      <c r="L639" s="282">
        <v>57327</v>
      </c>
      <c r="M639" s="282">
        <v>45610</v>
      </c>
      <c r="N639" s="371">
        <v>371000000</v>
      </c>
      <c r="O639" s="444" t="s">
        <v>3866</v>
      </c>
      <c r="P639" s="397">
        <v>355966584</v>
      </c>
      <c r="Q639" s="397">
        <v>355966584</v>
      </c>
      <c r="R639" s="397"/>
      <c r="S639" s="398">
        <f t="shared" si="28"/>
        <v>355966584</v>
      </c>
      <c r="T639" s="353"/>
      <c r="U639" s="353">
        <f t="shared" si="29"/>
        <v>355966584</v>
      </c>
      <c r="V639" s="399"/>
      <c r="W639" s="399"/>
      <c r="X639" s="400" t="s">
        <v>492</v>
      </c>
      <c r="Y639" s="400"/>
      <c r="Z639" s="283"/>
    </row>
    <row r="640" spans="2:26" ht="19.5" hidden="1" customHeight="1">
      <c r="B640" s="29">
        <f t="shared" si="27"/>
        <v>630</v>
      </c>
      <c r="C640" s="30" t="s">
        <v>202</v>
      </c>
      <c r="D640" s="30" t="s">
        <v>225</v>
      </c>
      <c r="E640" s="234" t="s">
        <v>991</v>
      </c>
      <c r="F640" s="235" t="s">
        <v>1358</v>
      </c>
      <c r="G640" s="284" t="str">
        <f>IFERROR(VLOOKUP(E640,Assign!$C$2:$J$142,8,FALSE),)</f>
        <v>문선영</v>
      </c>
      <c r="H640" s="279" t="s">
        <v>7065</v>
      </c>
      <c r="I640" s="280" t="s">
        <v>5648</v>
      </c>
      <c r="J640" s="281" t="s">
        <v>3764</v>
      </c>
      <c r="K640" s="282">
        <v>44323</v>
      </c>
      <c r="L640" s="282">
        <v>45695</v>
      </c>
      <c r="M640" s="282">
        <v>45636</v>
      </c>
      <c r="N640" s="371">
        <v>340000000</v>
      </c>
      <c r="O640" s="444" t="s">
        <v>3866</v>
      </c>
      <c r="P640" s="397">
        <v>340000000</v>
      </c>
      <c r="Q640" s="397">
        <v>340000000</v>
      </c>
      <c r="R640" s="397"/>
      <c r="S640" s="398">
        <f t="shared" si="28"/>
        <v>340000000</v>
      </c>
      <c r="T640" s="353"/>
      <c r="U640" s="353">
        <f t="shared" si="29"/>
        <v>340000000</v>
      </c>
      <c r="V640" s="399"/>
      <c r="W640" s="399"/>
      <c r="X640" s="400" t="s">
        <v>492</v>
      </c>
      <c r="Y640" s="400"/>
      <c r="Z640" s="283"/>
    </row>
    <row r="641" spans="2:26" ht="19.5" hidden="1" customHeight="1">
      <c r="B641" s="29">
        <f t="shared" si="27"/>
        <v>631</v>
      </c>
      <c r="C641" s="30" t="s">
        <v>202</v>
      </c>
      <c r="D641" s="30" t="s">
        <v>225</v>
      </c>
      <c r="E641" s="234" t="s">
        <v>992</v>
      </c>
      <c r="F641" s="235" t="s">
        <v>611</v>
      </c>
      <c r="G641" s="284">
        <f>IFERROR(VLOOKUP(E641,Assign!$C$2:$J$142,8,FALSE),)</f>
        <v>0</v>
      </c>
      <c r="H641" s="279" t="s">
        <v>6701</v>
      </c>
      <c r="I641" s="280" t="s">
        <v>5994</v>
      </c>
      <c r="J641" s="281" t="s">
        <v>3734</v>
      </c>
      <c r="K641" s="282">
        <v>45364</v>
      </c>
      <c r="L641" s="282">
        <v>46459</v>
      </c>
      <c r="M641" s="282">
        <v>45615</v>
      </c>
      <c r="N641" s="371">
        <v>204000000</v>
      </c>
      <c r="O641" s="444" t="s">
        <v>3866</v>
      </c>
      <c r="P641" s="397">
        <v>204000000</v>
      </c>
      <c r="Q641" s="397">
        <v>204000000</v>
      </c>
      <c r="R641" s="397"/>
      <c r="S641" s="398">
        <f t="shared" si="28"/>
        <v>204000000</v>
      </c>
      <c r="T641" s="353"/>
      <c r="U641" s="353">
        <f t="shared" si="29"/>
        <v>204000000</v>
      </c>
      <c r="V641" s="399"/>
      <c r="W641" s="399"/>
      <c r="X641" s="400" t="s">
        <v>492</v>
      </c>
      <c r="Y641" s="400"/>
      <c r="Z641" s="283"/>
    </row>
    <row r="642" spans="2:26" ht="19.5" hidden="1" customHeight="1">
      <c r="B642" s="29">
        <f t="shared" si="27"/>
        <v>632</v>
      </c>
      <c r="C642" s="30" t="s">
        <v>202</v>
      </c>
      <c r="D642" s="30" t="s">
        <v>225</v>
      </c>
      <c r="E642" s="234" t="s">
        <v>992</v>
      </c>
      <c r="F642" s="235" t="s">
        <v>611</v>
      </c>
      <c r="G642" s="284">
        <f>IFERROR(VLOOKUP(E642,Assign!$C$2:$J$142,8,FALSE),)</f>
        <v>0</v>
      </c>
      <c r="H642" s="279" t="s">
        <v>6702</v>
      </c>
      <c r="I642" s="280" t="s">
        <v>5751</v>
      </c>
      <c r="J642" s="281" t="s">
        <v>3734</v>
      </c>
      <c r="K642" s="282">
        <v>45366</v>
      </c>
      <c r="L642" s="282">
        <v>46461</v>
      </c>
      <c r="M642" s="282">
        <v>45612</v>
      </c>
      <c r="N642" s="371">
        <v>70000000</v>
      </c>
      <c r="O642" s="444" t="s">
        <v>3866</v>
      </c>
      <c r="P642" s="397">
        <v>70000000</v>
      </c>
      <c r="Q642" s="397">
        <v>70000000</v>
      </c>
      <c r="R642" s="397"/>
      <c r="S642" s="398">
        <f t="shared" si="28"/>
        <v>70000000</v>
      </c>
      <c r="T642" s="353"/>
      <c r="U642" s="353">
        <f t="shared" si="29"/>
        <v>70000000</v>
      </c>
      <c r="V642" s="399"/>
      <c r="W642" s="399"/>
      <c r="X642" s="400" t="s">
        <v>492</v>
      </c>
      <c r="Y642" s="400"/>
      <c r="Z642" s="283"/>
    </row>
    <row r="643" spans="2:26" ht="19.5" hidden="1" customHeight="1">
      <c r="B643" s="29">
        <f t="shared" si="27"/>
        <v>633</v>
      </c>
      <c r="C643" s="30" t="s">
        <v>202</v>
      </c>
      <c r="D643" s="30" t="s">
        <v>225</v>
      </c>
      <c r="E643" s="234" t="s">
        <v>992</v>
      </c>
      <c r="F643" s="235" t="s">
        <v>611</v>
      </c>
      <c r="G643" s="284">
        <f>IFERROR(VLOOKUP(E643,Assign!$C$2:$J$142,8,FALSE),)</f>
        <v>0</v>
      </c>
      <c r="H643" s="279" t="s">
        <v>6703</v>
      </c>
      <c r="I643" s="280" t="s">
        <v>5995</v>
      </c>
      <c r="J643" s="281" t="s">
        <v>3734</v>
      </c>
      <c r="K643" s="282">
        <v>45398</v>
      </c>
      <c r="L643" s="282">
        <v>46493</v>
      </c>
      <c r="M643" s="282">
        <v>45615</v>
      </c>
      <c r="N643" s="371">
        <v>60000000</v>
      </c>
      <c r="O643" s="444" t="s">
        <v>3866</v>
      </c>
      <c r="P643" s="397">
        <v>60000000</v>
      </c>
      <c r="Q643" s="397">
        <v>60000000</v>
      </c>
      <c r="R643" s="397"/>
      <c r="S643" s="398">
        <f t="shared" si="28"/>
        <v>60000000</v>
      </c>
      <c r="T643" s="353"/>
      <c r="U643" s="353">
        <f t="shared" si="29"/>
        <v>60000000</v>
      </c>
      <c r="V643" s="399"/>
      <c r="W643" s="399"/>
      <c r="X643" s="400" t="s">
        <v>492</v>
      </c>
      <c r="Y643" s="400"/>
      <c r="Z643" s="283"/>
    </row>
    <row r="644" spans="2:26" ht="19.5" hidden="1" customHeight="1">
      <c r="B644" s="29">
        <f t="shared" si="27"/>
        <v>634</v>
      </c>
      <c r="C644" s="30" t="s">
        <v>202</v>
      </c>
      <c r="D644" s="30" t="s">
        <v>225</v>
      </c>
      <c r="E644" s="234" t="s">
        <v>993</v>
      </c>
      <c r="F644" s="235" t="s">
        <v>1217</v>
      </c>
      <c r="G644" s="284">
        <f>IFERROR(VLOOKUP(E644,Assign!$C$2:$J$142,8,FALSE),)</f>
        <v>0</v>
      </c>
      <c r="H644" s="279" t="s">
        <v>6368</v>
      </c>
      <c r="I644" s="280" t="s">
        <v>5737</v>
      </c>
      <c r="J644" s="281" t="s">
        <v>3737</v>
      </c>
      <c r="K644" s="282">
        <v>44011</v>
      </c>
      <c r="L644" s="282">
        <v>54968</v>
      </c>
      <c r="M644" s="282">
        <v>45566</v>
      </c>
      <c r="N644" s="371">
        <v>250000000</v>
      </c>
      <c r="O644" s="444" t="s">
        <v>3866</v>
      </c>
      <c r="P644" s="397">
        <v>227292466</v>
      </c>
      <c r="Q644" s="397">
        <v>227292466</v>
      </c>
      <c r="R644" s="397"/>
      <c r="S644" s="398">
        <f t="shared" si="28"/>
        <v>227292466</v>
      </c>
      <c r="T644" s="353"/>
      <c r="U644" s="353">
        <f t="shared" si="29"/>
        <v>227292466</v>
      </c>
      <c r="V644" s="399"/>
      <c r="W644" s="399"/>
      <c r="X644" s="400" t="s">
        <v>492</v>
      </c>
      <c r="Y644" s="400"/>
      <c r="Z644" s="283"/>
    </row>
    <row r="645" spans="2:26" ht="19.5" hidden="1" customHeight="1">
      <c r="B645" s="29">
        <f t="shared" si="27"/>
        <v>635</v>
      </c>
      <c r="C645" s="30" t="s">
        <v>202</v>
      </c>
      <c r="D645" s="30" t="s">
        <v>225</v>
      </c>
      <c r="E645" s="234" t="s">
        <v>993</v>
      </c>
      <c r="F645" s="235" t="s">
        <v>1217</v>
      </c>
      <c r="G645" s="284">
        <f>IFERROR(VLOOKUP(E645,Assign!$C$2:$J$142,8,FALSE),)</f>
        <v>0</v>
      </c>
      <c r="H645" s="279" t="s">
        <v>6369</v>
      </c>
      <c r="I645" s="280" t="s">
        <v>5738</v>
      </c>
      <c r="J645" s="281" t="s">
        <v>3762</v>
      </c>
      <c r="K645" s="282">
        <v>44406</v>
      </c>
      <c r="L645" s="282">
        <v>45564</v>
      </c>
      <c r="M645" s="282">
        <v>45566</v>
      </c>
      <c r="N645" s="371">
        <v>100000000</v>
      </c>
      <c r="O645" s="444" t="s">
        <v>3866</v>
      </c>
      <c r="P645" s="397">
        <v>100000000</v>
      </c>
      <c r="Q645" s="397">
        <v>100000000</v>
      </c>
      <c r="R645" s="397"/>
      <c r="S645" s="398">
        <f t="shared" si="28"/>
        <v>100000000</v>
      </c>
      <c r="T645" s="353"/>
      <c r="U645" s="353">
        <f t="shared" si="29"/>
        <v>100000000</v>
      </c>
      <c r="V645" s="399"/>
      <c r="W645" s="399"/>
      <c r="X645" s="400" t="s">
        <v>492</v>
      </c>
      <c r="Y645" s="400"/>
      <c r="Z645" s="283"/>
    </row>
    <row r="646" spans="2:26" ht="19.5" hidden="1" customHeight="1">
      <c r="B646" s="29">
        <f t="shared" si="27"/>
        <v>636</v>
      </c>
      <c r="C646" s="30" t="s">
        <v>202</v>
      </c>
      <c r="D646" s="30" t="s">
        <v>225</v>
      </c>
      <c r="E646" s="234" t="s">
        <v>994</v>
      </c>
      <c r="F646" s="235" t="s">
        <v>1217</v>
      </c>
      <c r="G646" s="284" t="str">
        <f>IFERROR(VLOOKUP(E646,Assign!$C$2:$J$142,8,FALSE),)</f>
        <v>문선영</v>
      </c>
      <c r="H646" s="279" t="s">
        <v>6899</v>
      </c>
      <c r="I646" s="280" t="s">
        <v>6108</v>
      </c>
      <c r="J646" s="281" t="s">
        <v>3735</v>
      </c>
      <c r="K646" s="282">
        <v>45049</v>
      </c>
      <c r="L646" s="282">
        <v>59659</v>
      </c>
      <c r="M646" s="282">
        <v>45539</v>
      </c>
      <c r="N646" s="371">
        <v>325400000</v>
      </c>
      <c r="O646" s="444" t="s">
        <v>3866</v>
      </c>
      <c r="P646" s="397">
        <v>324557633</v>
      </c>
      <c r="Q646" s="397">
        <v>324557633</v>
      </c>
      <c r="R646" s="397"/>
      <c r="S646" s="398">
        <f t="shared" si="28"/>
        <v>324557633</v>
      </c>
      <c r="T646" s="353"/>
      <c r="U646" s="353">
        <f t="shared" si="29"/>
        <v>324557633</v>
      </c>
      <c r="V646" s="399"/>
      <c r="W646" s="399"/>
      <c r="X646" s="400" t="s">
        <v>492</v>
      </c>
      <c r="Y646" s="400"/>
      <c r="Z646" s="283"/>
    </row>
    <row r="647" spans="2:26" ht="19.5" hidden="1" customHeight="1">
      <c r="B647" s="29">
        <f t="shared" si="27"/>
        <v>637</v>
      </c>
      <c r="C647" s="30" t="s">
        <v>202</v>
      </c>
      <c r="D647" s="30" t="s">
        <v>225</v>
      </c>
      <c r="E647" s="234" t="s">
        <v>995</v>
      </c>
      <c r="F647" s="235" t="s">
        <v>1229</v>
      </c>
      <c r="G647" s="284">
        <f>IFERROR(VLOOKUP(E647,Assign!$C$2:$J$142,8,FALSE),)</f>
        <v>0</v>
      </c>
      <c r="H647" s="279" t="s">
        <v>6918</v>
      </c>
      <c r="I647" s="280" t="s">
        <v>5899</v>
      </c>
      <c r="J647" s="281" t="s">
        <v>3735</v>
      </c>
      <c r="K647" s="282">
        <v>42271</v>
      </c>
      <c r="L647" s="282">
        <v>49576</v>
      </c>
      <c r="M647" s="282">
        <v>45590</v>
      </c>
      <c r="N647" s="371">
        <v>450000000</v>
      </c>
      <c r="O647" s="444" t="s">
        <v>3866</v>
      </c>
      <c r="P647" s="397">
        <v>322180180</v>
      </c>
      <c r="Q647" s="397">
        <v>322180180</v>
      </c>
      <c r="R647" s="397"/>
      <c r="S647" s="398">
        <f t="shared" si="28"/>
        <v>322180180</v>
      </c>
      <c r="T647" s="353"/>
      <c r="U647" s="353">
        <f t="shared" si="29"/>
        <v>322180180</v>
      </c>
      <c r="V647" s="399"/>
      <c r="W647" s="399"/>
      <c r="X647" s="400" t="s">
        <v>492</v>
      </c>
      <c r="Y647" s="400"/>
      <c r="Z647" s="283"/>
    </row>
    <row r="648" spans="2:26" ht="19.5" hidden="1" customHeight="1">
      <c r="B648" s="29">
        <f t="shared" si="27"/>
        <v>638</v>
      </c>
      <c r="C648" s="30" t="s">
        <v>202</v>
      </c>
      <c r="D648" s="30" t="s">
        <v>225</v>
      </c>
      <c r="E648" s="234" t="s">
        <v>996</v>
      </c>
      <c r="F648" s="235" t="s">
        <v>1359</v>
      </c>
      <c r="G648" s="284" t="str">
        <f>IFERROR(VLOOKUP(E648,Assign!$C$2:$J$142,8,FALSE),)</f>
        <v>문선영</v>
      </c>
      <c r="H648" s="279" t="s">
        <v>7049</v>
      </c>
      <c r="I648" s="280" t="s">
        <v>5687</v>
      </c>
      <c r="J648" s="281" t="s">
        <v>3763</v>
      </c>
      <c r="K648" s="282">
        <v>44236</v>
      </c>
      <c r="L648" s="282">
        <v>45666</v>
      </c>
      <c r="M648" s="282">
        <v>45667</v>
      </c>
      <c r="N648" s="371">
        <v>320000000</v>
      </c>
      <c r="O648" s="444" t="s">
        <v>3866</v>
      </c>
      <c r="P648" s="397">
        <v>320000000</v>
      </c>
      <c r="Q648" s="397">
        <v>320000000</v>
      </c>
      <c r="R648" s="397"/>
      <c r="S648" s="398">
        <f t="shared" si="28"/>
        <v>320000000</v>
      </c>
      <c r="T648" s="353"/>
      <c r="U648" s="353">
        <f t="shared" si="29"/>
        <v>320000000</v>
      </c>
      <c r="V648" s="399"/>
      <c r="W648" s="399"/>
      <c r="X648" s="400" t="s">
        <v>492</v>
      </c>
      <c r="Y648" s="400"/>
      <c r="Z648" s="283"/>
    </row>
    <row r="649" spans="2:26" ht="19.5" hidden="1" customHeight="1">
      <c r="B649" s="29">
        <f t="shared" si="27"/>
        <v>639</v>
      </c>
      <c r="C649" s="30" t="s">
        <v>202</v>
      </c>
      <c r="D649" s="30" t="s">
        <v>225</v>
      </c>
      <c r="E649" s="234" t="s">
        <v>997</v>
      </c>
      <c r="F649" s="235" t="s">
        <v>1229</v>
      </c>
      <c r="G649" s="284">
        <f>IFERROR(VLOOKUP(E649,Assign!$C$2:$J$142,8,FALSE),)</f>
        <v>0</v>
      </c>
      <c r="H649" s="279" t="s">
        <v>6677</v>
      </c>
      <c r="I649" s="280" t="s">
        <v>5980</v>
      </c>
      <c r="J649" s="281" t="s">
        <v>3789</v>
      </c>
      <c r="K649" s="282">
        <v>45071</v>
      </c>
      <c r="L649" s="282">
        <v>56029</v>
      </c>
      <c r="M649" s="282">
        <v>45618</v>
      </c>
      <c r="N649" s="371">
        <v>319000000</v>
      </c>
      <c r="O649" s="444" t="s">
        <v>3866</v>
      </c>
      <c r="P649" s="397">
        <v>314920224</v>
      </c>
      <c r="Q649" s="397">
        <v>314920224</v>
      </c>
      <c r="R649" s="397"/>
      <c r="S649" s="398">
        <f t="shared" si="28"/>
        <v>314920224</v>
      </c>
      <c r="T649" s="353"/>
      <c r="U649" s="353">
        <f t="shared" si="29"/>
        <v>314920224</v>
      </c>
      <c r="V649" s="399"/>
      <c r="W649" s="399"/>
      <c r="X649" s="400" t="s">
        <v>492</v>
      </c>
      <c r="Y649" s="400"/>
      <c r="Z649" s="283"/>
    </row>
    <row r="650" spans="2:26" ht="19.5" hidden="1" customHeight="1">
      <c r="B650" s="29">
        <f t="shared" si="27"/>
        <v>640</v>
      </c>
      <c r="C650" s="30" t="s">
        <v>202</v>
      </c>
      <c r="D650" s="30" t="s">
        <v>225</v>
      </c>
      <c r="E650" s="234" t="s">
        <v>998</v>
      </c>
      <c r="F650" s="235" t="s">
        <v>1221</v>
      </c>
      <c r="G650" s="284">
        <f>IFERROR(VLOOKUP(E650,Assign!$C$2:$J$142,8,FALSE),)</f>
        <v>0</v>
      </c>
      <c r="H650" s="279" t="s">
        <v>6815</v>
      </c>
      <c r="I650" s="280" t="s">
        <v>6059</v>
      </c>
      <c r="J650" s="281" t="s">
        <v>3735</v>
      </c>
      <c r="K650" s="282">
        <v>44515</v>
      </c>
      <c r="L650" s="282">
        <v>57299</v>
      </c>
      <c r="M650" s="282">
        <v>45612</v>
      </c>
      <c r="N650" s="371">
        <v>325000000</v>
      </c>
      <c r="O650" s="444" t="s">
        <v>3866</v>
      </c>
      <c r="P650" s="397">
        <v>311792770</v>
      </c>
      <c r="Q650" s="397">
        <v>311792770</v>
      </c>
      <c r="R650" s="397"/>
      <c r="S650" s="398">
        <f t="shared" si="28"/>
        <v>311792770</v>
      </c>
      <c r="T650" s="353"/>
      <c r="U650" s="353">
        <f t="shared" si="29"/>
        <v>311792770</v>
      </c>
      <c r="V650" s="399"/>
      <c r="W650" s="399"/>
      <c r="X650" s="400" t="s">
        <v>492</v>
      </c>
      <c r="Y650" s="400"/>
      <c r="Z650" s="283"/>
    </row>
    <row r="651" spans="2:26" ht="19.5" hidden="1" customHeight="1">
      <c r="B651" s="29">
        <f t="shared" ref="B651:B714" si="30">ROW()-10</f>
        <v>641</v>
      </c>
      <c r="C651" s="30" t="s">
        <v>202</v>
      </c>
      <c r="D651" s="30" t="s">
        <v>225</v>
      </c>
      <c r="E651" s="234" t="s">
        <v>999</v>
      </c>
      <c r="F651" s="235" t="s">
        <v>1232</v>
      </c>
      <c r="G651" s="284">
        <f>IFERROR(VLOOKUP(E651,Assign!$C$2:$J$142,8,FALSE),)</f>
        <v>0</v>
      </c>
      <c r="H651" s="279" t="s">
        <v>6539</v>
      </c>
      <c r="I651" s="280" t="s">
        <v>5872</v>
      </c>
      <c r="J651" s="281" t="s">
        <v>3737</v>
      </c>
      <c r="K651" s="282">
        <v>42083</v>
      </c>
      <c r="L651" s="282">
        <v>53041</v>
      </c>
      <c r="M651" s="282">
        <v>45405</v>
      </c>
      <c r="N651" s="371">
        <v>213000000</v>
      </c>
      <c r="O651" s="444" t="s">
        <v>3866</v>
      </c>
      <c r="P651" s="397">
        <v>149099832</v>
      </c>
      <c r="Q651" s="397">
        <v>149099832</v>
      </c>
      <c r="R651" s="397"/>
      <c r="S651" s="398">
        <f t="shared" ref="S651:S714" si="31">Q651+R651</f>
        <v>149099832</v>
      </c>
      <c r="T651" s="353"/>
      <c r="U651" s="353">
        <f t="shared" ref="U651:U714" si="32">S651+T651</f>
        <v>149099832</v>
      </c>
      <c r="V651" s="399"/>
      <c r="W651" s="399"/>
      <c r="X651" s="400" t="s">
        <v>492</v>
      </c>
      <c r="Y651" s="400"/>
      <c r="Z651" s="283"/>
    </row>
    <row r="652" spans="2:26" ht="19.5" hidden="1" customHeight="1">
      <c r="B652" s="29">
        <f t="shared" si="30"/>
        <v>642</v>
      </c>
      <c r="C652" s="30" t="s">
        <v>202</v>
      </c>
      <c r="D652" s="30" t="s">
        <v>225</v>
      </c>
      <c r="E652" s="234" t="s">
        <v>999</v>
      </c>
      <c r="F652" s="235" t="s">
        <v>1232</v>
      </c>
      <c r="G652" s="284">
        <f>IFERROR(VLOOKUP(E652,Assign!$C$2:$J$142,8,FALSE),)</f>
        <v>0</v>
      </c>
      <c r="H652" s="279" t="s">
        <v>6540</v>
      </c>
      <c r="I652" s="280" t="s">
        <v>5873</v>
      </c>
      <c r="J652" s="281" t="s">
        <v>3779</v>
      </c>
      <c r="K652" s="282">
        <v>43966</v>
      </c>
      <c r="L652" s="282">
        <v>45792</v>
      </c>
      <c r="M652" s="282">
        <v>45673</v>
      </c>
      <c r="N652" s="371">
        <v>40000000</v>
      </c>
      <c r="O652" s="444" t="s">
        <v>3866</v>
      </c>
      <c r="P652" s="397">
        <v>4023375</v>
      </c>
      <c r="Q652" s="397">
        <v>4023375</v>
      </c>
      <c r="R652" s="397"/>
      <c r="S652" s="398">
        <f t="shared" si="31"/>
        <v>4023375</v>
      </c>
      <c r="T652" s="353"/>
      <c r="U652" s="353">
        <f t="shared" si="32"/>
        <v>4023375</v>
      </c>
      <c r="V652" s="399"/>
      <c r="W652" s="399"/>
      <c r="X652" s="400" t="s">
        <v>492</v>
      </c>
      <c r="Y652" s="400"/>
      <c r="Z652" s="283"/>
    </row>
    <row r="653" spans="2:26" ht="19.5" hidden="1" customHeight="1">
      <c r="B653" s="29">
        <f t="shared" si="30"/>
        <v>643</v>
      </c>
      <c r="C653" s="30" t="s">
        <v>202</v>
      </c>
      <c r="D653" s="30" t="s">
        <v>225</v>
      </c>
      <c r="E653" s="234" t="s">
        <v>999</v>
      </c>
      <c r="F653" s="235" t="s">
        <v>1232</v>
      </c>
      <c r="G653" s="284">
        <f>IFERROR(VLOOKUP(E653,Assign!$C$2:$J$142,8,FALSE),)</f>
        <v>0</v>
      </c>
      <c r="H653" s="279" t="s">
        <v>6541</v>
      </c>
      <c r="I653" s="280" t="s">
        <v>5874</v>
      </c>
      <c r="J653" s="281" t="s">
        <v>3745</v>
      </c>
      <c r="K653" s="282">
        <v>44887</v>
      </c>
      <c r="L653" s="282">
        <v>45983</v>
      </c>
      <c r="M653" s="282">
        <v>45345</v>
      </c>
      <c r="N653" s="371">
        <v>192000000</v>
      </c>
      <c r="O653" s="444" t="s">
        <v>3866</v>
      </c>
      <c r="P653" s="397">
        <v>156489307</v>
      </c>
      <c r="Q653" s="397">
        <v>156489307</v>
      </c>
      <c r="R653" s="397"/>
      <c r="S653" s="398">
        <f t="shared" si="31"/>
        <v>156489307</v>
      </c>
      <c r="T653" s="353"/>
      <c r="U653" s="353">
        <f t="shared" si="32"/>
        <v>156489307</v>
      </c>
      <c r="V653" s="399"/>
      <c r="W653" s="399"/>
      <c r="X653" s="400" t="s">
        <v>492</v>
      </c>
      <c r="Y653" s="400"/>
      <c r="Z653" s="283"/>
    </row>
    <row r="654" spans="2:26" ht="19.5" hidden="1" customHeight="1">
      <c r="B654" s="29">
        <f t="shared" si="30"/>
        <v>644</v>
      </c>
      <c r="C654" s="30" t="s">
        <v>202</v>
      </c>
      <c r="D654" s="30" t="s">
        <v>225</v>
      </c>
      <c r="E654" s="234" t="s">
        <v>1000</v>
      </c>
      <c r="F654" s="235" t="s">
        <v>1256</v>
      </c>
      <c r="G654" s="284" t="str">
        <f>IFERROR(VLOOKUP(E654,Assign!$C$2:$J$142,8,FALSE),)</f>
        <v>문선영</v>
      </c>
      <c r="H654" s="279" t="s">
        <v>6221</v>
      </c>
      <c r="I654" s="280" t="s">
        <v>5600</v>
      </c>
      <c r="J654" s="281" t="s">
        <v>3733</v>
      </c>
      <c r="K654" s="282">
        <v>43164</v>
      </c>
      <c r="L654" s="282">
        <v>45721</v>
      </c>
      <c r="M654" s="282">
        <v>45622</v>
      </c>
      <c r="N654" s="371">
        <v>308000000</v>
      </c>
      <c r="O654" s="444" t="s">
        <v>3866</v>
      </c>
      <c r="P654" s="397">
        <v>308000000</v>
      </c>
      <c r="Q654" s="397">
        <v>308000000</v>
      </c>
      <c r="R654" s="397"/>
      <c r="S654" s="398">
        <f t="shared" si="31"/>
        <v>308000000</v>
      </c>
      <c r="T654" s="353"/>
      <c r="U654" s="353">
        <f t="shared" si="32"/>
        <v>308000000</v>
      </c>
      <c r="V654" s="399"/>
      <c r="W654" s="399"/>
      <c r="X654" s="400" t="s">
        <v>492</v>
      </c>
      <c r="Y654" s="400"/>
      <c r="Z654" s="283"/>
    </row>
    <row r="655" spans="2:26" ht="19.5" hidden="1" customHeight="1">
      <c r="B655" s="29">
        <f t="shared" si="30"/>
        <v>645</v>
      </c>
      <c r="C655" s="30" t="s">
        <v>202</v>
      </c>
      <c r="D655" s="30" t="s">
        <v>225</v>
      </c>
      <c r="E655" s="234" t="s">
        <v>1001</v>
      </c>
      <c r="F655" s="235" t="s">
        <v>1217</v>
      </c>
      <c r="G655" s="284">
        <f>IFERROR(VLOOKUP(E655,Assign!$C$2:$J$142,8,FALSE),)</f>
        <v>0</v>
      </c>
      <c r="H655" s="279" t="s">
        <v>6497</v>
      </c>
      <c r="I655" s="280" t="s">
        <v>5838</v>
      </c>
      <c r="J655" s="281" t="s">
        <v>3761</v>
      </c>
      <c r="K655" s="282">
        <v>43215</v>
      </c>
      <c r="L655" s="282">
        <v>45772</v>
      </c>
      <c r="M655" s="282">
        <v>45617</v>
      </c>
      <c r="N655" s="371">
        <v>400000000</v>
      </c>
      <c r="O655" s="444" t="s">
        <v>3866</v>
      </c>
      <c r="P655" s="397">
        <v>300000000</v>
      </c>
      <c r="Q655" s="397">
        <v>300000000</v>
      </c>
      <c r="R655" s="397"/>
      <c r="S655" s="398">
        <f t="shared" si="31"/>
        <v>300000000</v>
      </c>
      <c r="T655" s="353"/>
      <c r="U655" s="353">
        <f t="shared" si="32"/>
        <v>300000000</v>
      </c>
      <c r="V655" s="399"/>
      <c r="W655" s="399"/>
      <c r="X655" s="400" t="s">
        <v>492</v>
      </c>
      <c r="Y655" s="400"/>
      <c r="Z655" s="283"/>
    </row>
    <row r="656" spans="2:26" ht="19.5" hidden="1" customHeight="1">
      <c r="B656" s="29">
        <f t="shared" si="30"/>
        <v>646</v>
      </c>
      <c r="C656" s="30" t="s">
        <v>202</v>
      </c>
      <c r="D656" s="30" t="s">
        <v>225</v>
      </c>
      <c r="E656" s="234" t="s">
        <v>1002</v>
      </c>
      <c r="F656" s="235" t="s">
        <v>1360</v>
      </c>
      <c r="G656" s="284">
        <f>IFERROR(VLOOKUP(E656,Assign!$C$2:$J$142,8,FALSE),)</f>
        <v>0</v>
      </c>
      <c r="H656" s="279" t="s">
        <v>6911</v>
      </c>
      <c r="I656" s="280" t="s">
        <v>5719</v>
      </c>
      <c r="J656" s="281" t="s">
        <v>3808</v>
      </c>
      <c r="K656" s="282">
        <v>45372</v>
      </c>
      <c r="L656" s="282">
        <v>45737</v>
      </c>
      <c r="M656" s="282">
        <v>45650</v>
      </c>
      <c r="N656" s="371">
        <v>300000000</v>
      </c>
      <c r="O656" s="444" t="s">
        <v>3866</v>
      </c>
      <c r="P656" s="397">
        <v>300000000</v>
      </c>
      <c r="Q656" s="397">
        <v>300000000</v>
      </c>
      <c r="R656" s="397"/>
      <c r="S656" s="398">
        <f t="shared" si="31"/>
        <v>300000000</v>
      </c>
      <c r="T656" s="353"/>
      <c r="U656" s="353">
        <f t="shared" si="32"/>
        <v>300000000</v>
      </c>
      <c r="V656" s="399"/>
      <c r="W656" s="399"/>
      <c r="X656" s="400" t="s">
        <v>492</v>
      </c>
      <c r="Y656" s="400"/>
      <c r="Z656" s="283"/>
    </row>
    <row r="657" spans="2:26" ht="19.5" hidden="1" customHeight="1">
      <c r="B657" s="29">
        <f t="shared" si="30"/>
        <v>647</v>
      </c>
      <c r="C657" s="30" t="s">
        <v>202</v>
      </c>
      <c r="D657" s="30" t="s">
        <v>225</v>
      </c>
      <c r="E657" s="234" t="s">
        <v>1003</v>
      </c>
      <c r="F657" s="235" t="s">
        <v>1231</v>
      </c>
      <c r="G657" s="284">
        <f>IFERROR(VLOOKUP(E657,Assign!$C$2:$J$142,8,FALSE),)</f>
        <v>0</v>
      </c>
      <c r="H657" s="279" t="s">
        <v>6584</v>
      </c>
      <c r="I657" s="280" t="s">
        <v>5910</v>
      </c>
      <c r="J657" s="281" t="s">
        <v>3741</v>
      </c>
      <c r="K657" s="282">
        <v>44876</v>
      </c>
      <c r="L657" s="282">
        <v>59486</v>
      </c>
      <c r="M657" s="282">
        <v>45700</v>
      </c>
      <c r="N657" s="371">
        <v>303000000</v>
      </c>
      <c r="O657" s="444" t="s">
        <v>3866</v>
      </c>
      <c r="P657" s="397">
        <v>299633636</v>
      </c>
      <c r="Q657" s="397">
        <v>299633636</v>
      </c>
      <c r="R657" s="397"/>
      <c r="S657" s="398">
        <f t="shared" si="31"/>
        <v>299633636</v>
      </c>
      <c r="T657" s="353"/>
      <c r="U657" s="353">
        <f t="shared" si="32"/>
        <v>299633636</v>
      </c>
      <c r="V657" s="399"/>
      <c r="W657" s="399"/>
      <c r="X657" s="400" t="s">
        <v>492</v>
      </c>
      <c r="Y657" s="400"/>
      <c r="Z657" s="283"/>
    </row>
    <row r="658" spans="2:26" ht="19.5" hidden="1" customHeight="1">
      <c r="B658" s="29">
        <f t="shared" si="30"/>
        <v>648</v>
      </c>
      <c r="C658" s="30" t="s">
        <v>202</v>
      </c>
      <c r="D658" s="30" t="s">
        <v>225</v>
      </c>
      <c r="E658" s="234" t="s">
        <v>1004</v>
      </c>
      <c r="F658" s="235" t="s">
        <v>1361</v>
      </c>
      <c r="G658" s="284" t="str">
        <f>IFERROR(VLOOKUP(E658,Assign!$C$2:$J$142,8,FALSE),)</f>
        <v>문선영</v>
      </c>
      <c r="H658" s="279" t="s">
        <v>6900</v>
      </c>
      <c r="I658" s="280" t="s">
        <v>6033</v>
      </c>
      <c r="J658" s="281" t="s">
        <v>3754</v>
      </c>
      <c r="K658" s="282">
        <v>42885</v>
      </c>
      <c r="L658" s="282">
        <v>45807</v>
      </c>
      <c r="M658" s="282">
        <v>45629</v>
      </c>
      <c r="N658" s="371">
        <v>300000000</v>
      </c>
      <c r="O658" s="444" t="s">
        <v>3866</v>
      </c>
      <c r="P658" s="397">
        <v>290000000</v>
      </c>
      <c r="Q658" s="397">
        <v>290000000</v>
      </c>
      <c r="R658" s="397"/>
      <c r="S658" s="398">
        <f t="shared" si="31"/>
        <v>290000000</v>
      </c>
      <c r="T658" s="353"/>
      <c r="U658" s="353">
        <f t="shared" si="32"/>
        <v>290000000</v>
      </c>
      <c r="V658" s="399"/>
      <c r="W658" s="399"/>
      <c r="X658" s="400" t="s">
        <v>492</v>
      </c>
      <c r="Y658" s="400"/>
      <c r="Z658" s="283"/>
    </row>
    <row r="659" spans="2:26" ht="19.5" hidden="1" customHeight="1">
      <c r="B659" s="29">
        <f t="shared" si="30"/>
        <v>649</v>
      </c>
      <c r="C659" s="30" t="s">
        <v>202</v>
      </c>
      <c r="D659" s="30" t="s">
        <v>225</v>
      </c>
      <c r="E659" s="234" t="s">
        <v>1005</v>
      </c>
      <c r="F659" s="235" t="s">
        <v>1226</v>
      </c>
      <c r="G659" s="284" t="str">
        <f>IFERROR(VLOOKUP(E659,Assign!$C$2:$J$142,8,FALSE),)</f>
        <v>문선영</v>
      </c>
      <c r="H659" s="279" t="s">
        <v>6252</v>
      </c>
      <c r="I659" s="280" t="s">
        <v>5631</v>
      </c>
      <c r="J659" s="281" t="s">
        <v>3735</v>
      </c>
      <c r="K659" s="282">
        <v>45000</v>
      </c>
      <c r="L659" s="282">
        <v>59610</v>
      </c>
      <c r="M659" s="282">
        <v>45521</v>
      </c>
      <c r="N659" s="371">
        <v>290000000</v>
      </c>
      <c r="O659" s="444" t="s">
        <v>3866</v>
      </c>
      <c r="P659" s="397">
        <v>289056660</v>
      </c>
      <c r="Q659" s="397">
        <v>289056660</v>
      </c>
      <c r="R659" s="397"/>
      <c r="S659" s="398">
        <f t="shared" si="31"/>
        <v>289056660</v>
      </c>
      <c r="T659" s="353"/>
      <c r="U659" s="353">
        <f t="shared" si="32"/>
        <v>289056660</v>
      </c>
      <c r="V659" s="399"/>
      <c r="W659" s="399"/>
      <c r="X659" s="400" t="s">
        <v>492</v>
      </c>
      <c r="Y659" s="400"/>
      <c r="Z659" s="283"/>
    </row>
    <row r="660" spans="2:26" ht="19.5" hidden="1" customHeight="1">
      <c r="B660" s="29">
        <f t="shared" si="30"/>
        <v>650</v>
      </c>
      <c r="C660" s="30" t="s">
        <v>202</v>
      </c>
      <c r="D660" s="30" t="s">
        <v>225</v>
      </c>
      <c r="E660" s="234" t="s">
        <v>1006</v>
      </c>
      <c r="F660" s="235" t="s">
        <v>1231</v>
      </c>
      <c r="G660" s="284" t="str">
        <f>IFERROR(VLOOKUP(E660,Assign!$C$2:$J$142,8,FALSE),)</f>
        <v>문선영</v>
      </c>
      <c r="H660" s="279" t="s">
        <v>6405</v>
      </c>
      <c r="I660" s="280" t="s">
        <v>5675</v>
      </c>
      <c r="J660" s="281" t="s">
        <v>3737</v>
      </c>
      <c r="K660" s="282">
        <v>43301</v>
      </c>
      <c r="L660" s="282">
        <v>54259</v>
      </c>
      <c r="M660" s="282">
        <v>45496</v>
      </c>
      <c r="N660" s="371">
        <v>360000000</v>
      </c>
      <c r="O660" s="444" t="s">
        <v>3866</v>
      </c>
      <c r="P660" s="397">
        <v>289000000</v>
      </c>
      <c r="Q660" s="397">
        <v>289000000</v>
      </c>
      <c r="R660" s="397"/>
      <c r="S660" s="398">
        <f t="shared" si="31"/>
        <v>289000000</v>
      </c>
      <c r="T660" s="353"/>
      <c r="U660" s="353">
        <f t="shared" si="32"/>
        <v>289000000</v>
      </c>
      <c r="V660" s="399"/>
      <c r="W660" s="399"/>
      <c r="X660" s="400" t="s">
        <v>492</v>
      </c>
      <c r="Y660" s="400"/>
      <c r="Z660" s="283"/>
    </row>
    <row r="661" spans="2:26" ht="19.5" hidden="1" customHeight="1">
      <c r="B661" s="29">
        <f t="shared" si="30"/>
        <v>651</v>
      </c>
      <c r="C661" s="30" t="s">
        <v>202</v>
      </c>
      <c r="D661" s="30" t="s">
        <v>225</v>
      </c>
      <c r="E661" s="234" t="s">
        <v>1007</v>
      </c>
      <c r="F661" s="235" t="s">
        <v>1229</v>
      </c>
      <c r="G661" s="284">
        <f>IFERROR(VLOOKUP(E661,Assign!$C$2:$J$142,8,FALSE),)</f>
        <v>0</v>
      </c>
      <c r="H661" s="279" t="s">
        <v>6795</v>
      </c>
      <c r="I661" s="280" t="s">
        <v>6047</v>
      </c>
      <c r="J661" s="281" t="s">
        <v>3735</v>
      </c>
      <c r="K661" s="282">
        <v>44897</v>
      </c>
      <c r="L661" s="282">
        <v>59507</v>
      </c>
      <c r="M661" s="282">
        <v>45601</v>
      </c>
      <c r="N661" s="371">
        <v>292000000</v>
      </c>
      <c r="O661" s="444" t="s">
        <v>3866</v>
      </c>
      <c r="P661" s="397">
        <v>285760398</v>
      </c>
      <c r="Q661" s="397">
        <v>285760398</v>
      </c>
      <c r="R661" s="397"/>
      <c r="S661" s="398">
        <f t="shared" si="31"/>
        <v>285760398</v>
      </c>
      <c r="T661" s="353"/>
      <c r="U661" s="353">
        <f t="shared" si="32"/>
        <v>285760398</v>
      </c>
      <c r="V661" s="399"/>
      <c r="W661" s="399"/>
      <c r="X661" s="400" t="s">
        <v>492</v>
      </c>
      <c r="Y661" s="400"/>
      <c r="Z661" s="283"/>
    </row>
    <row r="662" spans="2:26" ht="19.5" hidden="1" customHeight="1">
      <c r="B662" s="29">
        <f t="shared" si="30"/>
        <v>652</v>
      </c>
      <c r="C662" s="30" t="s">
        <v>202</v>
      </c>
      <c r="D662" s="30" t="s">
        <v>225</v>
      </c>
      <c r="E662" s="234" t="s">
        <v>1008</v>
      </c>
      <c r="F662" s="235" t="s">
        <v>1229</v>
      </c>
      <c r="G662" s="284">
        <f>IFERROR(VLOOKUP(E662,Assign!$C$2:$J$142,8,FALSE),)</f>
        <v>0</v>
      </c>
      <c r="H662" s="279" t="s">
        <v>6714</v>
      </c>
      <c r="I662" s="280" t="s">
        <v>5893</v>
      </c>
      <c r="J662" s="281" t="s">
        <v>3792</v>
      </c>
      <c r="K662" s="282">
        <v>44179</v>
      </c>
      <c r="L662" s="282">
        <v>56962</v>
      </c>
      <c r="M662" s="282">
        <v>45555</v>
      </c>
      <c r="N662" s="371">
        <v>284600000</v>
      </c>
      <c r="O662" s="444" t="s">
        <v>3866</v>
      </c>
      <c r="P662" s="397">
        <v>278670520</v>
      </c>
      <c r="Q662" s="397">
        <v>278670520</v>
      </c>
      <c r="R662" s="397"/>
      <c r="S662" s="398">
        <f t="shared" si="31"/>
        <v>278670520</v>
      </c>
      <c r="T662" s="353"/>
      <c r="U662" s="353">
        <f t="shared" si="32"/>
        <v>278670520</v>
      </c>
      <c r="V662" s="399"/>
      <c r="W662" s="399"/>
      <c r="X662" s="400" t="s">
        <v>492</v>
      </c>
      <c r="Y662" s="400"/>
      <c r="Z662" s="283"/>
    </row>
    <row r="663" spans="2:26" ht="19.5" hidden="1" customHeight="1">
      <c r="B663" s="29">
        <f t="shared" si="30"/>
        <v>653</v>
      </c>
      <c r="C663" s="30" t="s">
        <v>202</v>
      </c>
      <c r="D663" s="30" t="s">
        <v>225</v>
      </c>
      <c r="E663" s="234" t="s">
        <v>1009</v>
      </c>
      <c r="F663" s="235" t="s">
        <v>1221</v>
      </c>
      <c r="G663" s="284" t="str">
        <f>IFERROR(VLOOKUP(E663,Assign!$C$2:$J$142,8,FALSE),)</f>
        <v>문선영</v>
      </c>
      <c r="H663" s="279" t="s">
        <v>6699</v>
      </c>
      <c r="I663" s="280" t="s">
        <v>5918</v>
      </c>
      <c r="J663" s="281" t="s">
        <v>3735</v>
      </c>
      <c r="K663" s="282">
        <v>44211</v>
      </c>
      <c r="L663" s="282">
        <v>56994</v>
      </c>
      <c r="M663" s="282">
        <v>45521</v>
      </c>
      <c r="N663" s="371">
        <v>210000000</v>
      </c>
      <c r="O663" s="444" t="s">
        <v>3866</v>
      </c>
      <c r="P663" s="397">
        <v>201023609</v>
      </c>
      <c r="Q663" s="397">
        <v>201023609</v>
      </c>
      <c r="R663" s="397"/>
      <c r="S663" s="398">
        <f t="shared" si="31"/>
        <v>201023609</v>
      </c>
      <c r="T663" s="353"/>
      <c r="U663" s="353">
        <f t="shared" si="32"/>
        <v>201023609</v>
      </c>
      <c r="V663" s="399"/>
      <c r="W663" s="399"/>
      <c r="X663" s="400" t="s">
        <v>492</v>
      </c>
      <c r="Y663" s="400"/>
      <c r="Z663" s="283"/>
    </row>
    <row r="664" spans="2:26" ht="19.5" hidden="1" customHeight="1">
      <c r="B664" s="29">
        <f t="shared" si="30"/>
        <v>654</v>
      </c>
      <c r="C664" s="30" t="s">
        <v>202</v>
      </c>
      <c r="D664" s="30" t="s">
        <v>225</v>
      </c>
      <c r="E664" s="234" t="s">
        <v>1009</v>
      </c>
      <c r="F664" s="235" t="s">
        <v>1221</v>
      </c>
      <c r="G664" s="284" t="str">
        <f>IFERROR(VLOOKUP(E664,Assign!$C$2:$J$142,8,FALSE),)</f>
        <v>문선영</v>
      </c>
      <c r="H664" s="279" t="s">
        <v>6700</v>
      </c>
      <c r="I664" s="280" t="s">
        <v>5651</v>
      </c>
      <c r="J664" s="281" t="s">
        <v>3734</v>
      </c>
      <c r="K664" s="282">
        <v>44868</v>
      </c>
      <c r="L664" s="282">
        <v>45568</v>
      </c>
      <c r="M664" s="282">
        <v>45533</v>
      </c>
      <c r="N664" s="371">
        <v>73000000</v>
      </c>
      <c r="O664" s="444" t="s">
        <v>3866</v>
      </c>
      <c r="P664" s="397">
        <v>73000000</v>
      </c>
      <c r="Q664" s="397">
        <v>73000000</v>
      </c>
      <c r="R664" s="397"/>
      <c r="S664" s="398">
        <f t="shared" si="31"/>
        <v>73000000</v>
      </c>
      <c r="T664" s="353"/>
      <c r="U664" s="353">
        <f t="shared" si="32"/>
        <v>73000000</v>
      </c>
      <c r="V664" s="399"/>
      <c r="W664" s="399"/>
      <c r="X664" s="400" t="s">
        <v>492</v>
      </c>
      <c r="Y664" s="400"/>
      <c r="Z664" s="283"/>
    </row>
    <row r="665" spans="2:26" ht="19.5" hidden="1" customHeight="1">
      <c r="B665" s="29">
        <f t="shared" si="30"/>
        <v>655</v>
      </c>
      <c r="C665" s="30" t="s">
        <v>202</v>
      </c>
      <c r="D665" s="30" t="s">
        <v>225</v>
      </c>
      <c r="E665" s="234" t="s">
        <v>1010</v>
      </c>
      <c r="F665" s="235" t="s">
        <v>1217</v>
      </c>
      <c r="G665" s="284">
        <f>IFERROR(VLOOKUP(E665,Assign!$C$2:$J$142,8,FALSE),)</f>
        <v>0</v>
      </c>
      <c r="H665" s="279" t="s">
        <v>6570</v>
      </c>
      <c r="I665" s="280" t="s">
        <v>5898</v>
      </c>
      <c r="J665" s="281" t="s">
        <v>3756</v>
      </c>
      <c r="K665" s="282">
        <v>44882</v>
      </c>
      <c r="L665" s="282">
        <v>59492</v>
      </c>
      <c r="M665" s="282">
        <v>45491</v>
      </c>
      <c r="N665" s="371">
        <v>267000000</v>
      </c>
      <c r="O665" s="444" t="s">
        <v>3866</v>
      </c>
      <c r="P665" s="397">
        <v>263761011</v>
      </c>
      <c r="Q665" s="397">
        <v>263761011</v>
      </c>
      <c r="R665" s="397"/>
      <c r="S665" s="398">
        <f t="shared" si="31"/>
        <v>263761011</v>
      </c>
      <c r="T665" s="353"/>
      <c r="U665" s="353">
        <f t="shared" si="32"/>
        <v>263761011</v>
      </c>
      <c r="V665" s="399"/>
      <c r="W665" s="399"/>
      <c r="X665" s="400" t="s">
        <v>492</v>
      </c>
      <c r="Y665" s="400"/>
      <c r="Z665" s="283"/>
    </row>
    <row r="666" spans="2:26" ht="19.5" hidden="1" customHeight="1">
      <c r="B666" s="29">
        <f t="shared" si="30"/>
        <v>656</v>
      </c>
      <c r="C666" s="30" t="s">
        <v>202</v>
      </c>
      <c r="D666" s="30" t="s">
        <v>225</v>
      </c>
      <c r="E666" s="234" t="s">
        <v>1011</v>
      </c>
      <c r="F666" s="235" t="s">
        <v>1220</v>
      </c>
      <c r="G666" s="284">
        <f>IFERROR(VLOOKUP(E666,Assign!$C$2:$J$142,8,FALSE),)</f>
        <v>0</v>
      </c>
      <c r="H666" s="279" t="s">
        <v>6459</v>
      </c>
      <c r="I666" s="280" t="s">
        <v>5807</v>
      </c>
      <c r="J666" s="281" t="s">
        <v>3735</v>
      </c>
      <c r="K666" s="282">
        <v>45056</v>
      </c>
      <c r="L666" s="282">
        <v>59666</v>
      </c>
      <c r="M666" s="282">
        <v>45608</v>
      </c>
      <c r="N666" s="371">
        <v>259000000</v>
      </c>
      <c r="O666" s="444" t="s">
        <v>3866</v>
      </c>
      <c r="P666" s="397">
        <v>257143765</v>
      </c>
      <c r="Q666" s="397">
        <v>257143765</v>
      </c>
      <c r="R666" s="397"/>
      <c r="S666" s="398">
        <f t="shared" si="31"/>
        <v>257143765</v>
      </c>
      <c r="T666" s="353"/>
      <c r="U666" s="353">
        <f t="shared" si="32"/>
        <v>257143765</v>
      </c>
      <c r="V666" s="399"/>
      <c r="W666" s="399"/>
      <c r="X666" s="400" t="s">
        <v>492</v>
      </c>
      <c r="Y666" s="400"/>
      <c r="Z666" s="283"/>
    </row>
    <row r="667" spans="2:26" ht="19.5" hidden="1" customHeight="1">
      <c r="B667" s="29">
        <f t="shared" si="30"/>
        <v>657</v>
      </c>
      <c r="C667" s="30" t="s">
        <v>202</v>
      </c>
      <c r="D667" s="30" t="s">
        <v>225</v>
      </c>
      <c r="E667" s="234" t="s">
        <v>1012</v>
      </c>
      <c r="F667" s="235" t="s">
        <v>1218</v>
      </c>
      <c r="G667" s="284">
        <f>IFERROR(VLOOKUP(E667,Assign!$C$2:$J$142,8,FALSE),)</f>
        <v>0</v>
      </c>
      <c r="H667" s="279" t="s">
        <v>7087</v>
      </c>
      <c r="I667" s="280" t="s">
        <v>6200</v>
      </c>
      <c r="J667" s="281" t="s">
        <v>3756</v>
      </c>
      <c r="K667" s="282">
        <v>45239</v>
      </c>
      <c r="L667" s="282">
        <v>59849</v>
      </c>
      <c r="M667" s="282">
        <v>45468</v>
      </c>
      <c r="N667" s="371">
        <v>250000000</v>
      </c>
      <c r="O667" s="444" t="s">
        <v>3866</v>
      </c>
      <c r="P667" s="397">
        <v>250000000</v>
      </c>
      <c r="Q667" s="397">
        <v>250000000</v>
      </c>
      <c r="R667" s="397"/>
      <c r="S667" s="398">
        <f t="shared" si="31"/>
        <v>250000000</v>
      </c>
      <c r="T667" s="353"/>
      <c r="U667" s="353">
        <f t="shared" si="32"/>
        <v>250000000</v>
      </c>
      <c r="V667" s="399"/>
      <c r="W667" s="399"/>
      <c r="X667" s="400" t="s">
        <v>492</v>
      </c>
      <c r="Y667" s="400"/>
      <c r="Z667" s="283"/>
    </row>
    <row r="668" spans="2:26" ht="19.5" hidden="1" customHeight="1">
      <c r="B668" s="29">
        <f t="shared" si="30"/>
        <v>658</v>
      </c>
      <c r="C668" s="30" t="s">
        <v>202</v>
      </c>
      <c r="D668" s="30" t="s">
        <v>225</v>
      </c>
      <c r="E668" s="234" t="s">
        <v>1013</v>
      </c>
      <c r="F668" s="235" t="s">
        <v>1278</v>
      </c>
      <c r="G668" s="284" t="str">
        <f>IFERROR(VLOOKUP(E668,Assign!$C$2:$J$142,8,FALSE),)</f>
        <v>문선영</v>
      </c>
      <c r="H668" s="279" t="s">
        <v>6417</v>
      </c>
      <c r="I668" s="280" t="s">
        <v>5776</v>
      </c>
      <c r="J668" s="281" t="s">
        <v>3746</v>
      </c>
      <c r="K668" s="282">
        <v>43845</v>
      </c>
      <c r="L668" s="282">
        <v>54803</v>
      </c>
      <c r="M668" s="282">
        <v>45612</v>
      </c>
      <c r="N668" s="371">
        <v>278000000</v>
      </c>
      <c r="O668" s="444" t="s">
        <v>3866</v>
      </c>
      <c r="P668" s="397">
        <v>248684545</v>
      </c>
      <c r="Q668" s="397">
        <v>248684545</v>
      </c>
      <c r="R668" s="397"/>
      <c r="S668" s="398">
        <f t="shared" si="31"/>
        <v>248684545</v>
      </c>
      <c r="T668" s="353"/>
      <c r="U668" s="353">
        <f t="shared" si="32"/>
        <v>248684545</v>
      </c>
      <c r="V668" s="399"/>
      <c r="W668" s="399"/>
      <c r="X668" s="400" t="s">
        <v>492</v>
      </c>
      <c r="Y668" s="400"/>
      <c r="Z668" s="283"/>
    </row>
    <row r="669" spans="2:26" ht="19.5" hidden="1" customHeight="1">
      <c r="B669" s="29">
        <f t="shared" si="30"/>
        <v>659</v>
      </c>
      <c r="C669" s="30" t="s">
        <v>202</v>
      </c>
      <c r="D669" s="30" t="s">
        <v>225</v>
      </c>
      <c r="E669" s="234" t="s">
        <v>1014</v>
      </c>
      <c r="F669" s="235" t="s">
        <v>1221</v>
      </c>
      <c r="G669" s="284" t="str">
        <f>IFERROR(VLOOKUP(E669,Assign!$C$2:$J$142,8,FALSE),)</f>
        <v>문선영</v>
      </c>
      <c r="H669" s="279" t="s">
        <v>6548</v>
      </c>
      <c r="I669" s="280" t="s">
        <v>5881</v>
      </c>
      <c r="J669" s="281" t="s">
        <v>3735</v>
      </c>
      <c r="K669" s="282">
        <v>43217</v>
      </c>
      <c r="L669" s="282">
        <v>48696</v>
      </c>
      <c r="M669" s="282">
        <v>45563</v>
      </c>
      <c r="N669" s="371">
        <v>276000000</v>
      </c>
      <c r="O669" s="444" t="s">
        <v>3866</v>
      </c>
      <c r="P669" s="397">
        <v>246645777</v>
      </c>
      <c r="Q669" s="397">
        <v>246645777</v>
      </c>
      <c r="R669" s="397"/>
      <c r="S669" s="398">
        <f t="shared" si="31"/>
        <v>246645777</v>
      </c>
      <c r="T669" s="353"/>
      <c r="U669" s="353">
        <f t="shared" si="32"/>
        <v>246645777</v>
      </c>
      <c r="V669" s="399"/>
      <c r="W669" s="399"/>
      <c r="X669" s="400" t="s">
        <v>492</v>
      </c>
      <c r="Y669" s="400"/>
      <c r="Z669" s="283"/>
    </row>
    <row r="670" spans="2:26" ht="19.5" hidden="1" customHeight="1">
      <c r="B670" s="29">
        <f t="shared" si="30"/>
        <v>660</v>
      </c>
      <c r="C670" s="30" t="s">
        <v>202</v>
      </c>
      <c r="D670" s="30" t="s">
        <v>225</v>
      </c>
      <c r="E670" s="234" t="s">
        <v>1015</v>
      </c>
      <c r="F670" s="235" t="s">
        <v>1217</v>
      </c>
      <c r="G670" s="284">
        <f>IFERROR(VLOOKUP(E670,Assign!$C$2:$J$142,8,FALSE),)</f>
        <v>0</v>
      </c>
      <c r="H670" s="279" t="s">
        <v>6565</v>
      </c>
      <c r="I670" s="280" t="s">
        <v>5893</v>
      </c>
      <c r="J670" s="281" t="s">
        <v>3733</v>
      </c>
      <c r="K670" s="282">
        <v>41551</v>
      </c>
      <c r="L670" s="282">
        <v>45934</v>
      </c>
      <c r="M670" s="282">
        <v>45631</v>
      </c>
      <c r="N670" s="371">
        <v>243000000</v>
      </c>
      <c r="O670" s="444" t="s">
        <v>3866</v>
      </c>
      <c r="P670" s="397">
        <v>243000000</v>
      </c>
      <c r="Q670" s="397">
        <v>243000000</v>
      </c>
      <c r="R670" s="397"/>
      <c r="S670" s="398">
        <f t="shared" si="31"/>
        <v>243000000</v>
      </c>
      <c r="T670" s="353"/>
      <c r="U670" s="353">
        <f t="shared" si="32"/>
        <v>243000000</v>
      </c>
      <c r="V670" s="399"/>
      <c r="W670" s="399"/>
      <c r="X670" s="400" t="s">
        <v>492</v>
      </c>
      <c r="Y670" s="400"/>
      <c r="Z670" s="283"/>
    </row>
    <row r="671" spans="2:26" ht="19.5" hidden="1" customHeight="1">
      <c r="B671" s="29">
        <f t="shared" si="30"/>
        <v>661</v>
      </c>
      <c r="C671" s="30" t="s">
        <v>202</v>
      </c>
      <c r="D671" s="30" t="s">
        <v>225</v>
      </c>
      <c r="E671" s="234" t="s">
        <v>1016</v>
      </c>
      <c r="F671" s="235" t="s">
        <v>1221</v>
      </c>
      <c r="G671" s="284">
        <f>IFERROR(VLOOKUP(E671,Assign!$C$2:$J$142,8,FALSE),)</f>
        <v>0</v>
      </c>
      <c r="H671" s="279" t="s">
        <v>7090</v>
      </c>
      <c r="I671" s="280" t="s">
        <v>6202</v>
      </c>
      <c r="J671" s="281" t="s">
        <v>3774</v>
      </c>
      <c r="K671" s="282">
        <v>45034</v>
      </c>
      <c r="L671" s="282">
        <v>45765</v>
      </c>
      <c r="M671" s="282">
        <v>45555</v>
      </c>
      <c r="N671" s="371">
        <v>250000000</v>
      </c>
      <c r="O671" s="444" t="s">
        <v>3866</v>
      </c>
      <c r="P671" s="397">
        <v>236400000</v>
      </c>
      <c r="Q671" s="397">
        <v>236400000</v>
      </c>
      <c r="R671" s="397"/>
      <c r="S671" s="398">
        <f t="shared" si="31"/>
        <v>236400000</v>
      </c>
      <c r="T671" s="353"/>
      <c r="U671" s="353">
        <f t="shared" si="32"/>
        <v>236400000</v>
      </c>
      <c r="V671" s="399"/>
      <c r="W671" s="399"/>
      <c r="X671" s="400" t="s">
        <v>492</v>
      </c>
      <c r="Y671" s="400"/>
      <c r="Z671" s="283"/>
    </row>
    <row r="672" spans="2:26" ht="19.5" hidden="1" customHeight="1">
      <c r="B672" s="29">
        <f t="shared" si="30"/>
        <v>662</v>
      </c>
      <c r="C672" s="30" t="s">
        <v>202</v>
      </c>
      <c r="D672" s="30" t="s">
        <v>225</v>
      </c>
      <c r="E672" s="234" t="s">
        <v>1017</v>
      </c>
      <c r="F672" s="235" t="s">
        <v>1229</v>
      </c>
      <c r="G672" s="284" t="str">
        <f>IFERROR(VLOOKUP(E672,Assign!$C$2:$J$142,8,FALSE),)</f>
        <v>문선영</v>
      </c>
      <c r="H672" s="279" t="s">
        <v>6654</v>
      </c>
      <c r="I672" s="280" t="s">
        <v>5961</v>
      </c>
      <c r="J672" s="281" t="s">
        <v>3751</v>
      </c>
      <c r="K672" s="282">
        <v>42318</v>
      </c>
      <c r="L672" s="282">
        <v>45971</v>
      </c>
      <c r="M672" s="282">
        <v>45608</v>
      </c>
      <c r="N672" s="371">
        <v>230000000</v>
      </c>
      <c r="O672" s="444" t="s">
        <v>3866</v>
      </c>
      <c r="P672" s="397">
        <v>230000000</v>
      </c>
      <c r="Q672" s="397">
        <v>230000000</v>
      </c>
      <c r="R672" s="397"/>
      <c r="S672" s="398">
        <f t="shared" si="31"/>
        <v>230000000</v>
      </c>
      <c r="T672" s="353"/>
      <c r="U672" s="353">
        <f t="shared" si="32"/>
        <v>230000000</v>
      </c>
      <c r="V672" s="399"/>
      <c r="W672" s="399"/>
      <c r="X672" s="400" t="s">
        <v>492</v>
      </c>
      <c r="Y672" s="400"/>
      <c r="Z672" s="283"/>
    </row>
    <row r="673" spans="2:26" ht="19.5" hidden="1" customHeight="1">
      <c r="B673" s="29">
        <f t="shared" si="30"/>
        <v>663</v>
      </c>
      <c r="C673" s="30" t="s">
        <v>202</v>
      </c>
      <c r="D673" s="30" t="s">
        <v>225</v>
      </c>
      <c r="E673" s="234" t="s">
        <v>1018</v>
      </c>
      <c r="F673" s="235" t="s">
        <v>1229</v>
      </c>
      <c r="G673" s="284">
        <f>IFERROR(VLOOKUP(E673,Assign!$C$2:$J$142,8,FALSE),)</f>
        <v>0</v>
      </c>
      <c r="H673" s="279" t="s">
        <v>6239</v>
      </c>
      <c r="I673" s="280" t="s">
        <v>5618</v>
      </c>
      <c r="J673" s="281" t="s">
        <v>3735</v>
      </c>
      <c r="K673" s="282">
        <v>43535</v>
      </c>
      <c r="L673" s="282">
        <v>54493</v>
      </c>
      <c r="M673" s="282">
        <v>45547</v>
      </c>
      <c r="N673" s="371">
        <v>260000000</v>
      </c>
      <c r="O673" s="444" t="s">
        <v>3866</v>
      </c>
      <c r="P673" s="397">
        <v>228904804</v>
      </c>
      <c r="Q673" s="397">
        <v>228904804</v>
      </c>
      <c r="R673" s="397"/>
      <c r="S673" s="398">
        <f t="shared" si="31"/>
        <v>228904804</v>
      </c>
      <c r="T673" s="353"/>
      <c r="U673" s="353">
        <f t="shared" si="32"/>
        <v>228904804</v>
      </c>
      <c r="V673" s="399"/>
      <c r="W673" s="399"/>
      <c r="X673" s="400" t="s">
        <v>492</v>
      </c>
      <c r="Y673" s="400"/>
      <c r="Z673" s="283"/>
    </row>
    <row r="674" spans="2:26" ht="19.5" hidden="1" customHeight="1">
      <c r="B674" s="29">
        <f t="shared" si="30"/>
        <v>664</v>
      </c>
      <c r="C674" s="30" t="s">
        <v>202</v>
      </c>
      <c r="D674" s="30" t="s">
        <v>225</v>
      </c>
      <c r="E674" s="234" t="s">
        <v>1019</v>
      </c>
      <c r="F674" s="235" t="s">
        <v>1219</v>
      </c>
      <c r="G674" s="284" t="str">
        <f>IFERROR(VLOOKUP(E674,Assign!$C$2:$J$142,8,FALSE),)</f>
        <v>문선영</v>
      </c>
      <c r="H674" s="279" t="s">
        <v>6422</v>
      </c>
      <c r="I674" s="280" t="s">
        <v>5781</v>
      </c>
      <c r="J674" s="281" t="s">
        <v>3735</v>
      </c>
      <c r="K674" s="282">
        <v>42963</v>
      </c>
      <c r="L674" s="282">
        <v>53920</v>
      </c>
      <c r="M674" s="282">
        <v>45555</v>
      </c>
      <c r="N674" s="371">
        <v>267000000</v>
      </c>
      <c r="O674" s="444" t="s">
        <v>3866</v>
      </c>
      <c r="P674" s="397">
        <v>228727365</v>
      </c>
      <c r="Q674" s="397">
        <v>228727365</v>
      </c>
      <c r="R674" s="397"/>
      <c r="S674" s="398">
        <f t="shared" si="31"/>
        <v>228727365</v>
      </c>
      <c r="T674" s="353"/>
      <c r="U674" s="353">
        <f t="shared" si="32"/>
        <v>228727365</v>
      </c>
      <c r="V674" s="399"/>
      <c r="W674" s="399"/>
      <c r="X674" s="400" t="s">
        <v>492</v>
      </c>
      <c r="Y674" s="400"/>
      <c r="Z674" s="283"/>
    </row>
    <row r="675" spans="2:26" ht="19.5" hidden="1" customHeight="1">
      <c r="B675" s="29">
        <f t="shared" si="30"/>
        <v>665</v>
      </c>
      <c r="C675" s="30" t="s">
        <v>202</v>
      </c>
      <c r="D675" s="30" t="s">
        <v>225</v>
      </c>
      <c r="E675" s="234" t="s">
        <v>1020</v>
      </c>
      <c r="F675" s="235" t="s">
        <v>1247</v>
      </c>
      <c r="G675" s="284">
        <f>IFERROR(VLOOKUP(E675,Assign!$C$2:$J$142,8,FALSE),)</f>
        <v>0</v>
      </c>
      <c r="H675" s="279" t="s">
        <v>6498</v>
      </c>
      <c r="I675" s="280" t="s">
        <v>5839</v>
      </c>
      <c r="J675" s="281" t="s">
        <v>3741</v>
      </c>
      <c r="K675" s="282">
        <v>44852</v>
      </c>
      <c r="L675" s="282">
        <v>59462</v>
      </c>
      <c r="M675" s="282">
        <v>45612</v>
      </c>
      <c r="N675" s="371">
        <v>340000000</v>
      </c>
      <c r="O675" s="444" t="s">
        <v>3866</v>
      </c>
      <c r="P675" s="397">
        <v>222300223</v>
      </c>
      <c r="Q675" s="397">
        <v>222300223</v>
      </c>
      <c r="R675" s="397"/>
      <c r="S675" s="398">
        <f t="shared" si="31"/>
        <v>222300223</v>
      </c>
      <c r="T675" s="353"/>
      <c r="U675" s="353">
        <f t="shared" si="32"/>
        <v>222300223</v>
      </c>
      <c r="V675" s="399"/>
      <c r="W675" s="399"/>
      <c r="X675" s="400" t="s">
        <v>492</v>
      </c>
      <c r="Y675" s="400"/>
      <c r="Z675" s="283"/>
    </row>
    <row r="676" spans="2:26" ht="19.5" hidden="1" customHeight="1">
      <c r="B676" s="29">
        <f t="shared" si="30"/>
        <v>666</v>
      </c>
      <c r="C676" s="30" t="s">
        <v>202</v>
      </c>
      <c r="D676" s="30" t="s">
        <v>225</v>
      </c>
      <c r="E676" s="234" t="s">
        <v>1021</v>
      </c>
      <c r="F676" s="235" t="s">
        <v>1229</v>
      </c>
      <c r="G676" s="284">
        <f>IFERROR(VLOOKUP(E676,Assign!$C$2:$J$142,8,FALSE),)</f>
        <v>0</v>
      </c>
      <c r="H676" s="279" t="s">
        <v>6553</v>
      </c>
      <c r="I676" s="280" t="s">
        <v>5885</v>
      </c>
      <c r="J676" s="281" t="s">
        <v>3735</v>
      </c>
      <c r="K676" s="282">
        <v>44134</v>
      </c>
      <c r="L676" s="282">
        <v>55091</v>
      </c>
      <c r="M676" s="282">
        <v>45443</v>
      </c>
      <c r="N676" s="371">
        <v>238000000</v>
      </c>
      <c r="O676" s="444" t="s">
        <v>3866</v>
      </c>
      <c r="P676" s="397">
        <v>222235146</v>
      </c>
      <c r="Q676" s="397">
        <v>222235146</v>
      </c>
      <c r="R676" s="397"/>
      <c r="S676" s="398">
        <f t="shared" si="31"/>
        <v>222235146</v>
      </c>
      <c r="T676" s="353"/>
      <c r="U676" s="353">
        <f t="shared" si="32"/>
        <v>222235146</v>
      </c>
      <c r="V676" s="399"/>
      <c r="W676" s="399"/>
      <c r="X676" s="400" t="s">
        <v>492</v>
      </c>
      <c r="Y676" s="400"/>
      <c r="Z676" s="283"/>
    </row>
    <row r="677" spans="2:26" ht="19.5" hidden="1" customHeight="1">
      <c r="B677" s="29">
        <f t="shared" si="30"/>
        <v>667</v>
      </c>
      <c r="C677" s="30" t="s">
        <v>202</v>
      </c>
      <c r="D677" s="30" t="s">
        <v>225</v>
      </c>
      <c r="E677" s="234" t="s">
        <v>1022</v>
      </c>
      <c r="F677" s="235" t="s">
        <v>1225</v>
      </c>
      <c r="G677" s="284">
        <f>IFERROR(VLOOKUP(E677,Assign!$C$2:$J$142,8,FALSE),)</f>
        <v>0</v>
      </c>
      <c r="H677" s="279" t="s">
        <v>6801</v>
      </c>
      <c r="I677" s="280" t="s">
        <v>6051</v>
      </c>
      <c r="J677" s="281" t="s">
        <v>3735</v>
      </c>
      <c r="K677" s="282">
        <v>44117</v>
      </c>
      <c r="L677" s="282">
        <v>56900</v>
      </c>
      <c r="M677" s="282">
        <v>45549</v>
      </c>
      <c r="N677" s="371">
        <v>238000000</v>
      </c>
      <c r="O677" s="444" t="s">
        <v>3866</v>
      </c>
      <c r="P677" s="397">
        <v>218166542</v>
      </c>
      <c r="Q677" s="397">
        <v>218166542</v>
      </c>
      <c r="R677" s="397"/>
      <c r="S677" s="398">
        <f t="shared" si="31"/>
        <v>218166542</v>
      </c>
      <c r="T677" s="353"/>
      <c r="U677" s="353">
        <f t="shared" si="32"/>
        <v>218166542</v>
      </c>
      <c r="V677" s="399"/>
      <c r="W677" s="399"/>
      <c r="X677" s="400" t="s">
        <v>492</v>
      </c>
      <c r="Y677" s="400"/>
      <c r="Z677" s="283"/>
    </row>
    <row r="678" spans="2:26" ht="19.5" hidden="1" customHeight="1">
      <c r="B678" s="29">
        <f t="shared" si="30"/>
        <v>668</v>
      </c>
      <c r="C678" s="30" t="s">
        <v>202</v>
      </c>
      <c r="D678" s="30" t="s">
        <v>225</v>
      </c>
      <c r="E678" s="234" t="s">
        <v>1023</v>
      </c>
      <c r="F678" s="235" t="s">
        <v>1279</v>
      </c>
      <c r="G678" s="284">
        <f>IFERROR(VLOOKUP(E678,Assign!$C$2:$J$142,8,FALSE),)</f>
        <v>0</v>
      </c>
      <c r="H678" s="279" t="s">
        <v>6427</v>
      </c>
      <c r="I678" s="280" t="s">
        <v>5785</v>
      </c>
      <c r="J678" s="281" t="s">
        <v>3735</v>
      </c>
      <c r="K678" s="282">
        <v>42094</v>
      </c>
      <c r="L678" s="282">
        <v>53052</v>
      </c>
      <c r="M678" s="282">
        <v>45597</v>
      </c>
      <c r="N678" s="371">
        <v>310000000</v>
      </c>
      <c r="O678" s="444" t="s">
        <v>3866</v>
      </c>
      <c r="P678" s="397">
        <v>211833306</v>
      </c>
      <c r="Q678" s="397">
        <v>211833306</v>
      </c>
      <c r="R678" s="397"/>
      <c r="S678" s="398">
        <f t="shared" si="31"/>
        <v>211833306</v>
      </c>
      <c r="T678" s="353"/>
      <c r="U678" s="353">
        <f t="shared" si="32"/>
        <v>211833306</v>
      </c>
      <c r="V678" s="399"/>
      <c r="W678" s="399"/>
      <c r="X678" s="400" t="s">
        <v>492</v>
      </c>
      <c r="Y678" s="400"/>
      <c r="Z678" s="283"/>
    </row>
    <row r="679" spans="2:26" ht="19.5" hidden="1" customHeight="1">
      <c r="B679" s="29">
        <f t="shared" si="30"/>
        <v>669</v>
      </c>
      <c r="C679" s="30" t="s">
        <v>202</v>
      </c>
      <c r="D679" s="30" t="s">
        <v>225</v>
      </c>
      <c r="E679" s="234" t="s">
        <v>1024</v>
      </c>
      <c r="F679" s="235" t="s">
        <v>1226</v>
      </c>
      <c r="G679" s="284">
        <f>IFERROR(VLOOKUP(E679,Assign!$C$2:$J$142,8,FALSE),)</f>
        <v>0</v>
      </c>
      <c r="H679" s="279" t="s">
        <v>6455</v>
      </c>
      <c r="I679" s="280" t="s">
        <v>5803</v>
      </c>
      <c r="J679" s="281" t="s">
        <v>3735</v>
      </c>
      <c r="K679" s="282">
        <v>44281</v>
      </c>
      <c r="L679" s="282">
        <v>55238</v>
      </c>
      <c r="M679" s="282">
        <v>45470</v>
      </c>
      <c r="N679" s="371">
        <v>226000000</v>
      </c>
      <c r="O679" s="444" t="s">
        <v>3866</v>
      </c>
      <c r="P679" s="397">
        <v>208274820</v>
      </c>
      <c r="Q679" s="397">
        <v>208274820</v>
      </c>
      <c r="R679" s="397"/>
      <c r="S679" s="398">
        <f t="shared" si="31"/>
        <v>208274820</v>
      </c>
      <c r="T679" s="353"/>
      <c r="U679" s="353">
        <f t="shared" si="32"/>
        <v>208274820</v>
      </c>
      <c r="V679" s="399"/>
      <c r="W679" s="399"/>
      <c r="X679" s="400" t="s">
        <v>492</v>
      </c>
      <c r="Y679" s="400"/>
      <c r="Z679" s="283"/>
    </row>
    <row r="680" spans="2:26" ht="19.5" hidden="1" customHeight="1">
      <c r="B680" s="29">
        <f t="shared" si="30"/>
        <v>670</v>
      </c>
      <c r="C680" s="30" t="s">
        <v>202</v>
      </c>
      <c r="D680" s="30" t="s">
        <v>225</v>
      </c>
      <c r="E680" s="234" t="s">
        <v>1025</v>
      </c>
      <c r="F680" s="235" t="s">
        <v>1232</v>
      </c>
      <c r="G680" s="284">
        <f>IFERROR(VLOOKUP(E680,Assign!$C$2:$J$142,8,FALSE),)</f>
        <v>0</v>
      </c>
      <c r="H680" s="279" t="s">
        <v>6720</v>
      </c>
      <c r="I680" s="280" t="s">
        <v>6003</v>
      </c>
      <c r="J680" s="281" t="s">
        <v>3735</v>
      </c>
      <c r="K680" s="282">
        <v>44547</v>
      </c>
      <c r="L680" s="282">
        <v>57331</v>
      </c>
      <c r="M680" s="282">
        <v>45555</v>
      </c>
      <c r="N680" s="371">
        <v>214000000</v>
      </c>
      <c r="O680" s="444" t="s">
        <v>3866</v>
      </c>
      <c r="P680" s="397">
        <v>205652632</v>
      </c>
      <c r="Q680" s="397">
        <v>205652632</v>
      </c>
      <c r="R680" s="397"/>
      <c r="S680" s="398">
        <f t="shared" si="31"/>
        <v>205652632</v>
      </c>
      <c r="T680" s="353"/>
      <c r="U680" s="353">
        <f t="shared" si="32"/>
        <v>205652632</v>
      </c>
      <c r="V680" s="399"/>
      <c r="W680" s="399"/>
      <c r="X680" s="400" t="s">
        <v>492</v>
      </c>
      <c r="Y680" s="400"/>
      <c r="Z680" s="283"/>
    </row>
    <row r="681" spans="2:26" ht="19.5" hidden="1" customHeight="1">
      <c r="B681" s="29">
        <f t="shared" si="30"/>
        <v>671</v>
      </c>
      <c r="C681" s="30" t="s">
        <v>202</v>
      </c>
      <c r="D681" s="30" t="s">
        <v>225</v>
      </c>
      <c r="E681" s="234" t="s">
        <v>1026</v>
      </c>
      <c r="F681" s="235" t="s">
        <v>1232</v>
      </c>
      <c r="G681" s="284">
        <f>IFERROR(VLOOKUP(E681,Assign!$C$2:$J$142,8,FALSE),)</f>
        <v>0</v>
      </c>
      <c r="H681" s="279" t="s">
        <v>6545</v>
      </c>
      <c r="I681" s="280" t="s">
        <v>5878</v>
      </c>
      <c r="J681" s="281" t="s">
        <v>3780</v>
      </c>
      <c r="K681" s="282">
        <v>44552</v>
      </c>
      <c r="L681" s="282">
        <v>45993</v>
      </c>
      <c r="M681" s="282">
        <v>45507</v>
      </c>
      <c r="N681" s="371">
        <v>300000000</v>
      </c>
      <c r="O681" s="444" t="s">
        <v>3866</v>
      </c>
      <c r="P681" s="397">
        <v>204074060</v>
      </c>
      <c r="Q681" s="397">
        <v>204074060</v>
      </c>
      <c r="R681" s="397"/>
      <c r="S681" s="398">
        <f t="shared" si="31"/>
        <v>204074060</v>
      </c>
      <c r="T681" s="353"/>
      <c r="U681" s="353">
        <f t="shared" si="32"/>
        <v>204074060</v>
      </c>
      <c r="V681" s="399"/>
      <c r="W681" s="399"/>
      <c r="X681" s="400" t="s">
        <v>492</v>
      </c>
      <c r="Y681" s="400"/>
      <c r="Z681" s="283"/>
    </row>
    <row r="682" spans="2:26" ht="19.5" hidden="1" customHeight="1">
      <c r="B682" s="29">
        <f t="shared" si="30"/>
        <v>672</v>
      </c>
      <c r="C682" s="30" t="s">
        <v>202</v>
      </c>
      <c r="D682" s="30" t="s">
        <v>225</v>
      </c>
      <c r="E682" s="234" t="s">
        <v>1027</v>
      </c>
      <c r="F682" s="235" t="s">
        <v>1271</v>
      </c>
      <c r="G682" s="284">
        <f>IFERROR(VLOOKUP(E682,Assign!$C$2:$J$142,8,FALSE),)</f>
        <v>0</v>
      </c>
      <c r="H682" s="279" t="s">
        <v>6286</v>
      </c>
      <c r="I682" s="280" t="s">
        <v>5662</v>
      </c>
      <c r="J682" s="281" t="s">
        <v>3736</v>
      </c>
      <c r="K682" s="282">
        <v>42044</v>
      </c>
      <c r="L682" s="282">
        <v>45697</v>
      </c>
      <c r="M682" s="282">
        <v>45699</v>
      </c>
      <c r="N682" s="371">
        <v>200000000</v>
      </c>
      <c r="O682" s="444" t="s">
        <v>3866</v>
      </c>
      <c r="P682" s="397">
        <v>200000000</v>
      </c>
      <c r="Q682" s="397">
        <v>200000000</v>
      </c>
      <c r="R682" s="397"/>
      <c r="S682" s="398">
        <f t="shared" si="31"/>
        <v>200000000</v>
      </c>
      <c r="T682" s="353"/>
      <c r="U682" s="353">
        <f t="shared" si="32"/>
        <v>200000000</v>
      </c>
      <c r="V682" s="399"/>
      <c r="W682" s="399"/>
      <c r="X682" s="400" t="s">
        <v>492</v>
      </c>
      <c r="Y682" s="400"/>
      <c r="Z682" s="283"/>
    </row>
    <row r="683" spans="2:26" ht="19.5" hidden="1" customHeight="1">
      <c r="B683" s="29">
        <f t="shared" si="30"/>
        <v>673</v>
      </c>
      <c r="C683" s="30" t="s">
        <v>202</v>
      </c>
      <c r="D683" s="30" t="s">
        <v>225</v>
      </c>
      <c r="E683" s="234" t="s">
        <v>1028</v>
      </c>
      <c r="F683" s="235" t="s">
        <v>1218</v>
      </c>
      <c r="G683" s="284" t="str">
        <f>IFERROR(VLOOKUP(E683,Assign!$C$2:$J$142,8,FALSE),)</f>
        <v>문선영</v>
      </c>
      <c r="H683" s="279" t="s">
        <v>6273</v>
      </c>
      <c r="I683" s="280" t="s">
        <v>5651</v>
      </c>
      <c r="J683" s="281" t="s">
        <v>3735</v>
      </c>
      <c r="K683" s="282">
        <v>45308</v>
      </c>
      <c r="L683" s="282">
        <v>59918</v>
      </c>
      <c r="M683" s="282">
        <v>45615</v>
      </c>
      <c r="N683" s="371">
        <v>200000000</v>
      </c>
      <c r="O683" s="444" t="s">
        <v>3866</v>
      </c>
      <c r="P683" s="397">
        <v>198490579</v>
      </c>
      <c r="Q683" s="397">
        <v>198490579</v>
      </c>
      <c r="R683" s="397"/>
      <c r="S683" s="398">
        <f t="shared" si="31"/>
        <v>198490579</v>
      </c>
      <c r="T683" s="353"/>
      <c r="U683" s="353">
        <f t="shared" si="32"/>
        <v>198490579</v>
      </c>
      <c r="V683" s="399"/>
      <c r="W683" s="399"/>
      <c r="X683" s="400" t="s">
        <v>492</v>
      </c>
      <c r="Y683" s="400"/>
      <c r="Z683" s="283"/>
    </row>
    <row r="684" spans="2:26" ht="19.5" hidden="1" customHeight="1">
      <c r="B684" s="29">
        <f t="shared" si="30"/>
        <v>674</v>
      </c>
      <c r="C684" s="30" t="s">
        <v>202</v>
      </c>
      <c r="D684" s="30" t="s">
        <v>225</v>
      </c>
      <c r="E684" s="234" t="s">
        <v>1029</v>
      </c>
      <c r="F684" s="235" t="s">
        <v>1280</v>
      </c>
      <c r="G684" s="284">
        <f>IFERROR(VLOOKUP(E684,Assign!$C$2:$J$142,8,FALSE),)</f>
        <v>0</v>
      </c>
      <c r="H684" s="279" t="s">
        <v>7083</v>
      </c>
      <c r="I684" s="280" t="s">
        <v>5605</v>
      </c>
      <c r="J684" s="281" t="s">
        <v>3733</v>
      </c>
      <c r="K684" s="282">
        <v>44565</v>
      </c>
      <c r="L684" s="282">
        <v>45661</v>
      </c>
      <c r="M684" s="282">
        <v>45664</v>
      </c>
      <c r="N684" s="371">
        <v>100000000</v>
      </c>
      <c r="O684" s="444" t="s">
        <v>3866</v>
      </c>
      <c r="P684" s="397">
        <v>97288368</v>
      </c>
      <c r="Q684" s="397">
        <v>97288368</v>
      </c>
      <c r="R684" s="397"/>
      <c r="S684" s="398">
        <f t="shared" si="31"/>
        <v>97288368</v>
      </c>
      <c r="T684" s="353"/>
      <c r="U684" s="353">
        <f t="shared" si="32"/>
        <v>97288368</v>
      </c>
      <c r="V684" s="399"/>
      <c r="W684" s="399"/>
      <c r="X684" s="400" t="s">
        <v>492</v>
      </c>
      <c r="Y684" s="400"/>
      <c r="Z684" s="283"/>
    </row>
    <row r="685" spans="2:26" ht="19.5" hidden="1" customHeight="1">
      <c r="B685" s="29">
        <f t="shared" si="30"/>
        <v>675</v>
      </c>
      <c r="C685" s="30" t="s">
        <v>202</v>
      </c>
      <c r="D685" s="30" t="s">
        <v>225</v>
      </c>
      <c r="E685" s="234" t="s">
        <v>1029</v>
      </c>
      <c r="F685" s="235" t="s">
        <v>1280</v>
      </c>
      <c r="G685" s="284">
        <f>IFERROR(VLOOKUP(E685,Assign!$C$2:$J$142,8,FALSE),)</f>
        <v>0</v>
      </c>
      <c r="H685" s="279" t="s">
        <v>7084</v>
      </c>
      <c r="I685" s="280" t="s">
        <v>6198</v>
      </c>
      <c r="J685" s="281" t="s">
        <v>3733</v>
      </c>
      <c r="K685" s="282">
        <v>44565</v>
      </c>
      <c r="L685" s="282">
        <v>45661</v>
      </c>
      <c r="M685" s="282">
        <v>45664</v>
      </c>
      <c r="N685" s="371">
        <v>100000000</v>
      </c>
      <c r="O685" s="444" t="s">
        <v>3866</v>
      </c>
      <c r="P685" s="397">
        <v>100000000</v>
      </c>
      <c r="Q685" s="397">
        <v>100000000</v>
      </c>
      <c r="R685" s="397"/>
      <c r="S685" s="398">
        <f t="shared" si="31"/>
        <v>100000000</v>
      </c>
      <c r="T685" s="353"/>
      <c r="U685" s="353">
        <f t="shared" si="32"/>
        <v>100000000</v>
      </c>
      <c r="V685" s="399"/>
      <c r="W685" s="399"/>
      <c r="X685" s="400" t="s">
        <v>492</v>
      </c>
      <c r="Y685" s="400"/>
      <c r="Z685" s="283"/>
    </row>
    <row r="686" spans="2:26" ht="19.5" hidden="1" customHeight="1">
      <c r="B686" s="29">
        <f t="shared" si="30"/>
        <v>676</v>
      </c>
      <c r="C686" s="30" t="s">
        <v>202</v>
      </c>
      <c r="D686" s="30" t="s">
        <v>225</v>
      </c>
      <c r="E686" s="234" t="s">
        <v>1030</v>
      </c>
      <c r="F686" s="235" t="s">
        <v>1231</v>
      </c>
      <c r="G686" s="284">
        <f>IFERROR(VLOOKUP(E686,Assign!$C$2:$J$142,8,FALSE),)</f>
        <v>0</v>
      </c>
      <c r="H686" s="279" t="s">
        <v>6361</v>
      </c>
      <c r="I686" s="280" t="s">
        <v>5701</v>
      </c>
      <c r="J686" s="281" t="s">
        <v>3756</v>
      </c>
      <c r="K686" s="282">
        <v>44881</v>
      </c>
      <c r="L686" s="282">
        <v>59491</v>
      </c>
      <c r="M686" s="282">
        <v>45555</v>
      </c>
      <c r="N686" s="371">
        <v>200000000</v>
      </c>
      <c r="O686" s="444" t="s">
        <v>3866</v>
      </c>
      <c r="P686" s="397">
        <v>196153650</v>
      </c>
      <c r="Q686" s="397">
        <v>196153650</v>
      </c>
      <c r="R686" s="397"/>
      <c r="S686" s="398">
        <f t="shared" si="31"/>
        <v>196153650</v>
      </c>
      <c r="T686" s="353"/>
      <c r="U686" s="353">
        <f t="shared" si="32"/>
        <v>196153650</v>
      </c>
      <c r="V686" s="399"/>
      <c r="W686" s="399"/>
      <c r="X686" s="400" t="s">
        <v>492</v>
      </c>
      <c r="Y686" s="400"/>
      <c r="Z686" s="283"/>
    </row>
    <row r="687" spans="2:26" ht="19.5" hidden="1" customHeight="1">
      <c r="B687" s="29">
        <f t="shared" si="30"/>
        <v>677</v>
      </c>
      <c r="C687" s="30" t="s">
        <v>202</v>
      </c>
      <c r="D687" s="30" t="s">
        <v>225</v>
      </c>
      <c r="E687" s="234" t="s">
        <v>1031</v>
      </c>
      <c r="F687" s="235" t="s">
        <v>1238</v>
      </c>
      <c r="G687" s="284" t="str">
        <f>IFERROR(VLOOKUP(E687,Assign!$C$2:$J$142,8,FALSE),)</f>
        <v>문선영</v>
      </c>
      <c r="H687" s="279" t="s">
        <v>7026</v>
      </c>
      <c r="I687" s="280" t="s">
        <v>5907</v>
      </c>
      <c r="J687" s="281" t="s">
        <v>3754</v>
      </c>
      <c r="K687" s="282">
        <v>45195</v>
      </c>
      <c r="L687" s="282">
        <v>45926</v>
      </c>
      <c r="M687" s="282">
        <v>45470</v>
      </c>
      <c r="N687" s="371">
        <v>200000000</v>
      </c>
      <c r="O687" s="444" t="s">
        <v>3866</v>
      </c>
      <c r="P687" s="397">
        <v>192000000</v>
      </c>
      <c r="Q687" s="397">
        <v>192000000</v>
      </c>
      <c r="R687" s="397"/>
      <c r="S687" s="398">
        <f t="shared" si="31"/>
        <v>192000000</v>
      </c>
      <c r="T687" s="353"/>
      <c r="U687" s="353">
        <f t="shared" si="32"/>
        <v>192000000</v>
      </c>
      <c r="V687" s="399"/>
      <c r="W687" s="399"/>
      <c r="X687" s="400" t="s">
        <v>492</v>
      </c>
      <c r="Y687" s="400"/>
      <c r="Z687" s="283"/>
    </row>
    <row r="688" spans="2:26" ht="19.5" hidden="1" customHeight="1">
      <c r="B688" s="29">
        <f t="shared" si="30"/>
        <v>678</v>
      </c>
      <c r="C688" s="30" t="s">
        <v>202</v>
      </c>
      <c r="D688" s="30" t="s">
        <v>225</v>
      </c>
      <c r="E688" s="234" t="s">
        <v>1032</v>
      </c>
      <c r="F688" s="235" t="s">
        <v>1231</v>
      </c>
      <c r="G688" s="284" t="str">
        <f>IFERROR(VLOOKUP(E688,Assign!$C$2:$J$142,8,FALSE),)</f>
        <v>문선영</v>
      </c>
      <c r="H688" s="279" t="s">
        <v>6636</v>
      </c>
      <c r="I688" s="280" t="s">
        <v>5947</v>
      </c>
      <c r="J688" s="281" t="s">
        <v>3733</v>
      </c>
      <c r="K688" s="282">
        <v>43707</v>
      </c>
      <c r="L688" s="282">
        <v>45624</v>
      </c>
      <c r="M688" s="282">
        <v>45609</v>
      </c>
      <c r="N688" s="371">
        <v>95700000</v>
      </c>
      <c r="O688" s="444" t="s">
        <v>3866</v>
      </c>
      <c r="P688" s="397">
        <v>95700000</v>
      </c>
      <c r="Q688" s="397">
        <v>95700000</v>
      </c>
      <c r="R688" s="397"/>
      <c r="S688" s="398">
        <f t="shared" si="31"/>
        <v>95700000</v>
      </c>
      <c r="T688" s="353"/>
      <c r="U688" s="353">
        <f t="shared" si="32"/>
        <v>95700000</v>
      </c>
      <c r="V688" s="399"/>
      <c r="W688" s="399"/>
      <c r="X688" s="400" t="s">
        <v>492</v>
      </c>
      <c r="Y688" s="400"/>
      <c r="Z688" s="283"/>
    </row>
    <row r="689" spans="2:26" ht="19.5" hidden="1" customHeight="1">
      <c r="B689" s="29">
        <f t="shared" si="30"/>
        <v>679</v>
      </c>
      <c r="C689" s="30" t="s">
        <v>202</v>
      </c>
      <c r="D689" s="30" t="s">
        <v>225</v>
      </c>
      <c r="E689" s="234" t="s">
        <v>1032</v>
      </c>
      <c r="F689" s="235" t="s">
        <v>1231</v>
      </c>
      <c r="G689" s="284" t="str">
        <f>IFERROR(VLOOKUP(E689,Assign!$C$2:$J$142,8,FALSE),)</f>
        <v>문선영</v>
      </c>
      <c r="H689" s="279" t="s">
        <v>6637</v>
      </c>
      <c r="I689" s="280" t="s">
        <v>5659</v>
      </c>
      <c r="J689" s="281" t="s">
        <v>3733</v>
      </c>
      <c r="K689" s="282">
        <v>43707</v>
      </c>
      <c r="L689" s="282">
        <v>45624</v>
      </c>
      <c r="M689" s="282">
        <v>45597</v>
      </c>
      <c r="N689" s="371">
        <v>95700000</v>
      </c>
      <c r="O689" s="444" t="s">
        <v>3866</v>
      </c>
      <c r="P689" s="397">
        <v>95700000</v>
      </c>
      <c r="Q689" s="397">
        <v>95700000</v>
      </c>
      <c r="R689" s="397"/>
      <c r="S689" s="398">
        <f t="shared" si="31"/>
        <v>95700000</v>
      </c>
      <c r="T689" s="353"/>
      <c r="U689" s="353">
        <f t="shared" si="32"/>
        <v>95700000</v>
      </c>
      <c r="V689" s="399"/>
      <c r="W689" s="399"/>
      <c r="X689" s="400" t="s">
        <v>492</v>
      </c>
      <c r="Y689" s="400"/>
      <c r="Z689" s="283"/>
    </row>
    <row r="690" spans="2:26" ht="19.5" hidden="1" customHeight="1">
      <c r="B690" s="29">
        <f t="shared" si="30"/>
        <v>680</v>
      </c>
      <c r="C690" s="30" t="s">
        <v>202</v>
      </c>
      <c r="D690" s="30" t="s">
        <v>225</v>
      </c>
      <c r="E690" s="234" t="s">
        <v>1033</v>
      </c>
      <c r="F690" s="235" t="s">
        <v>1229</v>
      </c>
      <c r="G690" s="284" t="str">
        <f>IFERROR(VLOOKUP(E690,Assign!$C$2:$J$142,8,FALSE),)</f>
        <v>문선영</v>
      </c>
      <c r="H690" s="279" t="s">
        <v>6867</v>
      </c>
      <c r="I690" s="280" t="s">
        <v>5910</v>
      </c>
      <c r="J690" s="281" t="s">
        <v>3733</v>
      </c>
      <c r="K690" s="282">
        <v>43707</v>
      </c>
      <c r="L690" s="282">
        <v>45624</v>
      </c>
      <c r="M690" s="282">
        <v>45604</v>
      </c>
      <c r="N690" s="371">
        <v>95700000</v>
      </c>
      <c r="O690" s="444" t="s">
        <v>3866</v>
      </c>
      <c r="P690" s="397">
        <v>95700000</v>
      </c>
      <c r="Q690" s="397">
        <v>95700000</v>
      </c>
      <c r="R690" s="397"/>
      <c r="S690" s="398">
        <f t="shared" si="31"/>
        <v>95700000</v>
      </c>
      <c r="T690" s="353"/>
      <c r="U690" s="353">
        <f t="shared" si="32"/>
        <v>95700000</v>
      </c>
      <c r="V690" s="399"/>
      <c r="W690" s="399"/>
      <c r="X690" s="400" t="s">
        <v>492</v>
      </c>
      <c r="Y690" s="400"/>
      <c r="Z690" s="283"/>
    </row>
    <row r="691" spans="2:26" ht="19.5" hidden="1" customHeight="1">
      <c r="B691" s="29">
        <f t="shared" si="30"/>
        <v>681</v>
      </c>
      <c r="C691" s="30" t="s">
        <v>202</v>
      </c>
      <c r="D691" s="30" t="s">
        <v>225</v>
      </c>
      <c r="E691" s="234" t="s">
        <v>1033</v>
      </c>
      <c r="F691" s="235" t="s">
        <v>1229</v>
      </c>
      <c r="G691" s="284" t="str">
        <f>IFERROR(VLOOKUP(E691,Assign!$C$2:$J$142,8,FALSE),)</f>
        <v>문선영</v>
      </c>
      <c r="H691" s="279" t="s">
        <v>6868</v>
      </c>
      <c r="I691" s="280" t="s">
        <v>5951</v>
      </c>
      <c r="J691" s="281" t="s">
        <v>3733</v>
      </c>
      <c r="K691" s="282">
        <v>43707</v>
      </c>
      <c r="L691" s="282">
        <v>45624</v>
      </c>
      <c r="M691" s="282">
        <v>45615</v>
      </c>
      <c r="N691" s="371">
        <v>95700000</v>
      </c>
      <c r="O691" s="444" t="s">
        <v>3866</v>
      </c>
      <c r="P691" s="397">
        <v>95700000</v>
      </c>
      <c r="Q691" s="397">
        <v>95700000</v>
      </c>
      <c r="R691" s="397"/>
      <c r="S691" s="398">
        <f t="shared" si="31"/>
        <v>95700000</v>
      </c>
      <c r="T691" s="353"/>
      <c r="U691" s="353">
        <f t="shared" si="32"/>
        <v>95700000</v>
      </c>
      <c r="V691" s="399"/>
      <c r="W691" s="399"/>
      <c r="X691" s="400" t="s">
        <v>492</v>
      </c>
      <c r="Y691" s="400"/>
      <c r="Z691" s="283"/>
    </row>
    <row r="692" spans="2:26" ht="19.5" hidden="1" customHeight="1">
      <c r="B692" s="29">
        <f t="shared" si="30"/>
        <v>682</v>
      </c>
      <c r="C692" s="30" t="s">
        <v>202</v>
      </c>
      <c r="D692" s="30" t="s">
        <v>225</v>
      </c>
      <c r="E692" s="234" t="s">
        <v>1034</v>
      </c>
      <c r="F692" s="235" t="s">
        <v>1226</v>
      </c>
      <c r="G692" s="284">
        <f>IFERROR(VLOOKUP(E692,Assign!$C$2:$J$142,8,FALSE),)</f>
        <v>0</v>
      </c>
      <c r="H692" s="279" t="s">
        <v>6638</v>
      </c>
      <c r="I692" s="280" t="s">
        <v>5948</v>
      </c>
      <c r="J692" s="281" t="s">
        <v>3735</v>
      </c>
      <c r="K692" s="282">
        <v>42173</v>
      </c>
      <c r="L692" s="282">
        <v>53131</v>
      </c>
      <c r="M692" s="282">
        <v>45555</v>
      </c>
      <c r="N692" s="371">
        <v>210000000</v>
      </c>
      <c r="O692" s="444" t="s">
        <v>3866</v>
      </c>
      <c r="P692" s="397">
        <v>190755189</v>
      </c>
      <c r="Q692" s="397">
        <v>190755189</v>
      </c>
      <c r="R692" s="397"/>
      <c r="S692" s="398">
        <f t="shared" si="31"/>
        <v>190755189</v>
      </c>
      <c r="T692" s="353"/>
      <c r="U692" s="353">
        <f t="shared" si="32"/>
        <v>190755189</v>
      </c>
      <c r="V692" s="399"/>
      <c r="W692" s="399"/>
      <c r="X692" s="400" t="s">
        <v>492</v>
      </c>
      <c r="Y692" s="400"/>
      <c r="Z692" s="283"/>
    </row>
    <row r="693" spans="2:26" ht="19.5" hidden="1" customHeight="1">
      <c r="B693" s="29">
        <f t="shared" si="30"/>
        <v>683</v>
      </c>
      <c r="C693" s="30" t="s">
        <v>202</v>
      </c>
      <c r="D693" s="30" t="s">
        <v>225</v>
      </c>
      <c r="E693" s="234" t="s">
        <v>1035</v>
      </c>
      <c r="F693" s="235" t="s">
        <v>1232</v>
      </c>
      <c r="G693" s="284" t="str">
        <f>IFERROR(VLOOKUP(E693,Assign!$C$2:$J$142,8,FALSE),)</f>
        <v>문선영</v>
      </c>
      <c r="H693" s="279" t="s">
        <v>6994</v>
      </c>
      <c r="I693" s="280" t="s">
        <v>6154</v>
      </c>
      <c r="J693" s="281" t="s">
        <v>3733</v>
      </c>
      <c r="K693" s="282">
        <v>43796</v>
      </c>
      <c r="L693" s="282">
        <v>45672</v>
      </c>
      <c r="M693" s="282">
        <v>45608</v>
      </c>
      <c r="N693" s="371">
        <v>95200000</v>
      </c>
      <c r="O693" s="444" t="s">
        <v>3866</v>
      </c>
      <c r="P693" s="397">
        <v>95200000</v>
      </c>
      <c r="Q693" s="397">
        <v>95200000</v>
      </c>
      <c r="R693" s="397"/>
      <c r="S693" s="398">
        <f t="shared" si="31"/>
        <v>95200000</v>
      </c>
      <c r="T693" s="353"/>
      <c r="U693" s="353">
        <f t="shared" si="32"/>
        <v>95200000</v>
      </c>
      <c r="V693" s="399"/>
      <c r="W693" s="399"/>
      <c r="X693" s="400" t="s">
        <v>492</v>
      </c>
      <c r="Y693" s="400"/>
      <c r="Z693" s="283"/>
    </row>
    <row r="694" spans="2:26" ht="19.5" hidden="1" customHeight="1">
      <c r="B694" s="29">
        <f t="shared" si="30"/>
        <v>684</v>
      </c>
      <c r="C694" s="30" t="s">
        <v>202</v>
      </c>
      <c r="D694" s="30" t="s">
        <v>225</v>
      </c>
      <c r="E694" s="234" t="s">
        <v>1035</v>
      </c>
      <c r="F694" s="235" t="s">
        <v>1232</v>
      </c>
      <c r="G694" s="284" t="str">
        <f>IFERROR(VLOOKUP(E694,Assign!$C$2:$J$142,8,FALSE),)</f>
        <v>문선영</v>
      </c>
      <c r="H694" s="279" t="s">
        <v>6995</v>
      </c>
      <c r="I694" s="280" t="s">
        <v>6102</v>
      </c>
      <c r="J694" s="281" t="s">
        <v>3733</v>
      </c>
      <c r="K694" s="282">
        <v>43796</v>
      </c>
      <c r="L694" s="282">
        <v>45672</v>
      </c>
      <c r="M694" s="282">
        <v>45608</v>
      </c>
      <c r="N694" s="371">
        <v>95200000</v>
      </c>
      <c r="O694" s="444" t="s">
        <v>3866</v>
      </c>
      <c r="P694" s="397">
        <v>95200000</v>
      </c>
      <c r="Q694" s="397">
        <v>95200000</v>
      </c>
      <c r="R694" s="397"/>
      <c r="S694" s="398">
        <f t="shared" si="31"/>
        <v>95200000</v>
      </c>
      <c r="T694" s="353"/>
      <c r="U694" s="353">
        <f t="shared" si="32"/>
        <v>95200000</v>
      </c>
      <c r="V694" s="399"/>
      <c r="W694" s="399"/>
      <c r="X694" s="400" t="s">
        <v>492</v>
      </c>
      <c r="Y694" s="400"/>
      <c r="Z694" s="283"/>
    </row>
    <row r="695" spans="2:26" ht="19.5" hidden="1" customHeight="1">
      <c r="B695" s="29">
        <f t="shared" si="30"/>
        <v>685</v>
      </c>
      <c r="C695" s="30" t="s">
        <v>202</v>
      </c>
      <c r="D695" s="30" t="s">
        <v>225</v>
      </c>
      <c r="E695" s="234" t="s">
        <v>1036</v>
      </c>
      <c r="F695" s="235" t="s">
        <v>1244</v>
      </c>
      <c r="G695" s="284" t="str">
        <f>IFERROR(VLOOKUP(E695,Assign!$C$2:$J$142,8,FALSE),)</f>
        <v>문선영</v>
      </c>
      <c r="H695" s="279" t="s">
        <v>6308</v>
      </c>
      <c r="I695" s="280" t="s">
        <v>5684</v>
      </c>
      <c r="J695" s="281" t="s">
        <v>3733</v>
      </c>
      <c r="K695" s="282">
        <v>43997</v>
      </c>
      <c r="L695" s="282">
        <v>45641</v>
      </c>
      <c r="M695" s="282">
        <v>45612</v>
      </c>
      <c r="N695" s="371">
        <v>94500000</v>
      </c>
      <c r="O695" s="444" t="s">
        <v>3866</v>
      </c>
      <c r="P695" s="397">
        <v>94500000</v>
      </c>
      <c r="Q695" s="397">
        <v>94500000</v>
      </c>
      <c r="R695" s="397"/>
      <c r="S695" s="398">
        <f t="shared" si="31"/>
        <v>94500000</v>
      </c>
      <c r="T695" s="353"/>
      <c r="U695" s="353">
        <f t="shared" si="32"/>
        <v>94500000</v>
      </c>
      <c r="V695" s="399"/>
      <c r="W695" s="399"/>
      <c r="X695" s="400" t="s">
        <v>492</v>
      </c>
      <c r="Y695" s="400"/>
      <c r="Z695" s="283"/>
    </row>
    <row r="696" spans="2:26" ht="19.5" hidden="1" customHeight="1">
      <c r="B696" s="29">
        <f t="shared" si="30"/>
        <v>686</v>
      </c>
      <c r="C696" s="30" t="s">
        <v>202</v>
      </c>
      <c r="D696" s="30" t="s">
        <v>225</v>
      </c>
      <c r="E696" s="234" t="s">
        <v>1036</v>
      </c>
      <c r="F696" s="235" t="s">
        <v>1244</v>
      </c>
      <c r="G696" s="284" t="str">
        <f>IFERROR(VLOOKUP(E696,Assign!$C$2:$J$142,8,FALSE),)</f>
        <v>문선영</v>
      </c>
      <c r="H696" s="279" t="s">
        <v>6309</v>
      </c>
      <c r="I696" s="280" t="s">
        <v>5685</v>
      </c>
      <c r="J696" s="281" t="s">
        <v>3733</v>
      </c>
      <c r="K696" s="282">
        <v>43997</v>
      </c>
      <c r="L696" s="282">
        <v>45641</v>
      </c>
      <c r="M696" s="282">
        <v>45609</v>
      </c>
      <c r="N696" s="371">
        <v>94500000</v>
      </c>
      <c r="O696" s="444" t="s">
        <v>3866</v>
      </c>
      <c r="P696" s="397">
        <v>94500000</v>
      </c>
      <c r="Q696" s="397">
        <v>94500000</v>
      </c>
      <c r="R696" s="397"/>
      <c r="S696" s="398">
        <f t="shared" si="31"/>
        <v>94500000</v>
      </c>
      <c r="T696" s="353"/>
      <c r="U696" s="353">
        <f t="shared" si="32"/>
        <v>94500000</v>
      </c>
      <c r="V696" s="399"/>
      <c r="W696" s="399"/>
      <c r="X696" s="400" t="s">
        <v>492</v>
      </c>
      <c r="Y696" s="400"/>
      <c r="Z696" s="283"/>
    </row>
    <row r="697" spans="2:26" ht="19.5" hidden="1" customHeight="1">
      <c r="B697" s="29">
        <f t="shared" si="30"/>
        <v>687</v>
      </c>
      <c r="C697" s="30" t="s">
        <v>202</v>
      </c>
      <c r="D697" s="30" t="s">
        <v>225</v>
      </c>
      <c r="E697" s="234" t="s">
        <v>1037</v>
      </c>
      <c r="F697" s="235" t="s">
        <v>1229</v>
      </c>
      <c r="G697" s="284">
        <f>IFERROR(VLOOKUP(E697,Assign!$C$2:$J$142,8,FALSE),)</f>
        <v>0</v>
      </c>
      <c r="H697" s="279" t="s">
        <v>6353</v>
      </c>
      <c r="I697" s="280" t="s">
        <v>5723</v>
      </c>
      <c r="J697" s="281" t="s">
        <v>3735</v>
      </c>
      <c r="K697" s="282">
        <v>43609</v>
      </c>
      <c r="L697" s="282">
        <v>54567</v>
      </c>
      <c r="M697" s="282">
        <v>45377</v>
      </c>
      <c r="N697" s="371">
        <v>210000000</v>
      </c>
      <c r="O697" s="444" t="s">
        <v>3866</v>
      </c>
      <c r="P697" s="397">
        <v>188025187</v>
      </c>
      <c r="Q697" s="397">
        <v>188025187</v>
      </c>
      <c r="R697" s="397"/>
      <c r="S697" s="398">
        <f t="shared" si="31"/>
        <v>188025187</v>
      </c>
      <c r="T697" s="353"/>
      <c r="U697" s="353">
        <f t="shared" si="32"/>
        <v>188025187</v>
      </c>
      <c r="V697" s="399"/>
      <c r="W697" s="399"/>
      <c r="X697" s="400" t="s">
        <v>492</v>
      </c>
      <c r="Y697" s="400"/>
      <c r="Z697" s="283"/>
    </row>
    <row r="698" spans="2:26" ht="19.5" hidden="1" customHeight="1">
      <c r="B698" s="29">
        <f t="shared" si="30"/>
        <v>688</v>
      </c>
      <c r="C698" s="30" t="s">
        <v>202</v>
      </c>
      <c r="D698" s="30" t="s">
        <v>225</v>
      </c>
      <c r="E698" s="234" t="s">
        <v>1038</v>
      </c>
      <c r="F698" s="235" t="s">
        <v>1225</v>
      </c>
      <c r="G698" s="284">
        <f>IFERROR(VLOOKUP(E698,Assign!$C$2:$J$142,8,FALSE),)</f>
        <v>0</v>
      </c>
      <c r="H698" s="279" t="s">
        <v>6243</v>
      </c>
      <c r="I698" s="280" t="s">
        <v>5622</v>
      </c>
      <c r="J698" s="281" t="s">
        <v>3741</v>
      </c>
      <c r="K698" s="282">
        <v>44607</v>
      </c>
      <c r="L698" s="282">
        <v>57391</v>
      </c>
      <c r="M698" s="282">
        <v>45643</v>
      </c>
      <c r="N698" s="371">
        <v>190000000</v>
      </c>
      <c r="O698" s="444" t="s">
        <v>3866</v>
      </c>
      <c r="P698" s="397">
        <v>183468296</v>
      </c>
      <c r="Q698" s="397">
        <v>183468296</v>
      </c>
      <c r="R698" s="397"/>
      <c r="S698" s="398">
        <f t="shared" si="31"/>
        <v>183468296</v>
      </c>
      <c r="T698" s="353"/>
      <c r="U698" s="353">
        <f t="shared" si="32"/>
        <v>183468296</v>
      </c>
      <c r="V698" s="399"/>
      <c r="W698" s="399"/>
      <c r="X698" s="400" t="s">
        <v>492</v>
      </c>
      <c r="Y698" s="400"/>
      <c r="Z698" s="283"/>
    </row>
    <row r="699" spans="2:26" ht="19.5" hidden="1" customHeight="1">
      <c r="B699" s="29">
        <f t="shared" si="30"/>
        <v>689</v>
      </c>
      <c r="C699" s="30" t="s">
        <v>202</v>
      </c>
      <c r="D699" s="30" t="s">
        <v>225</v>
      </c>
      <c r="E699" s="234" t="s">
        <v>1039</v>
      </c>
      <c r="F699" s="235" t="s">
        <v>1281</v>
      </c>
      <c r="G699" s="284">
        <f>IFERROR(VLOOKUP(E699,Assign!$C$2:$J$142,8,FALSE),)</f>
        <v>0</v>
      </c>
      <c r="H699" s="279" t="s">
        <v>6289</v>
      </c>
      <c r="I699" s="280" t="s">
        <v>5665</v>
      </c>
      <c r="J699" s="281" t="s">
        <v>3737</v>
      </c>
      <c r="K699" s="282">
        <v>44442</v>
      </c>
      <c r="L699" s="282">
        <v>59052</v>
      </c>
      <c r="M699" s="282">
        <v>45477</v>
      </c>
      <c r="N699" s="371">
        <v>190000000</v>
      </c>
      <c r="O699" s="444" t="s">
        <v>3866</v>
      </c>
      <c r="P699" s="397">
        <v>182863338</v>
      </c>
      <c r="Q699" s="397">
        <v>182863338</v>
      </c>
      <c r="R699" s="397"/>
      <c r="S699" s="398">
        <f t="shared" si="31"/>
        <v>182863338</v>
      </c>
      <c r="T699" s="353"/>
      <c r="U699" s="353">
        <f t="shared" si="32"/>
        <v>182863338</v>
      </c>
      <c r="V699" s="399"/>
      <c r="W699" s="399"/>
      <c r="X699" s="400" t="s">
        <v>492</v>
      </c>
      <c r="Y699" s="400"/>
      <c r="Z699" s="283"/>
    </row>
    <row r="700" spans="2:26" ht="19.5" hidden="1" customHeight="1">
      <c r="B700" s="29">
        <f t="shared" si="30"/>
        <v>690</v>
      </c>
      <c r="C700" s="30" t="s">
        <v>202</v>
      </c>
      <c r="D700" s="30" t="s">
        <v>225</v>
      </c>
      <c r="E700" s="234" t="s">
        <v>1040</v>
      </c>
      <c r="F700" s="235" t="s">
        <v>1362</v>
      </c>
      <c r="G700" s="284" t="str">
        <f>IFERROR(VLOOKUP(E700,Assign!$C$2:$J$142,8,FALSE),)</f>
        <v>문선영</v>
      </c>
      <c r="H700" s="279" t="s">
        <v>6898</v>
      </c>
      <c r="I700" s="280" t="s">
        <v>5872</v>
      </c>
      <c r="J700" s="281" t="s">
        <v>3746</v>
      </c>
      <c r="K700" s="282">
        <v>42412</v>
      </c>
      <c r="L700" s="282">
        <v>53370</v>
      </c>
      <c r="M700" s="282">
        <v>45273</v>
      </c>
      <c r="N700" s="371">
        <v>220000000</v>
      </c>
      <c r="O700" s="444" t="s">
        <v>3866</v>
      </c>
      <c r="P700" s="397">
        <v>180671604</v>
      </c>
      <c r="Q700" s="397">
        <v>180671604</v>
      </c>
      <c r="R700" s="397"/>
      <c r="S700" s="398">
        <f t="shared" si="31"/>
        <v>180671604</v>
      </c>
      <c r="T700" s="353"/>
      <c r="U700" s="353">
        <f t="shared" si="32"/>
        <v>180671604</v>
      </c>
      <c r="V700" s="399"/>
      <c r="W700" s="399"/>
      <c r="X700" s="400" t="s">
        <v>492</v>
      </c>
      <c r="Y700" s="400"/>
      <c r="Z700" s="283"/>
    </row>
    <row r="701" spans="2:26" ht="19.5" hidden="1" customHeight="1">
      <c r="B701" s="29">
        <f t="shared" si="30"/>
        <v>691</v>
      </c>
      <c r="C701" s="30" t="s">
        <v>202</v>
      </c>
      <c r="D701" s="30" t="s">
        <v>225</v>
      </c>
      <c r="E701" s="234" t="s">
        <v>1041</v>
      </c>
      <c r="F701" s="235" t="s">
        <v>1231</v>
      </c>
      <c r="G701" s="284">
        <f>IFERROR(VLOOKUP(E701,Assign!$C$2:$J$142,8,FALSE),)</f>
        <v>0</v>
      </c>
      <c r="H701" s="279" t="s">
        <v>6297</v>
      </c>
      <c r="I701" s="280" t="s">
        <v>5673</v>
      </c>
      <c r="J701" s="281" t="s">
        <v>3735</v>
      </c>
      <c r="K701" s="282">
        <v>43873</v>
      </c>
      <c r="L701" s="282">
        <v>54831</v>
      </c>
      <c r="M701" s="282">
        <v>45486</v>
      </c>
      <c r="N701" s="371">
        <v>168000000</v>
      </c>
      <c r="O701" s="444" t="s">
        <v>3866</v>
      </c>
      <c r="P701" s="397">
        <v>152368053</v>
      </c>
      <c r="Q701" s="397">
        <v>152368053</v>
      </c>
      <c r="R701" s="397"/>
      <c r="S701" s="398">
        <f t="shared" si="31"/>
        <v>152368053</v>
      </c>
      <c r="T701" s="353"/>
      <c r="U701" s="353">
        <f t="shared" si="32"/>
        <v>152368053</v>
      </c>
      <c r="V701" s="399"/>
      <c r="W701" s="399"/>
      <c r="X701" s="400" t="s">
        <v>492</v>
      </c>
      <c r="Y701" s="400"/>
      <c r="Z701" s="283"/>
    </row>
    <row r="702" spans="2:26" ht="19.5" hidden="1" customHeight="1">
      <c r="B702" s="29">
        <f t="shared" si="30"/>
        <v>692</v>
      </c>
      <c r="C702" s="30" t="s">
        <v>202</v>
      </c>
      <c r="D702" s="30" t="s">
        <v>225</v>
      </c>
      <c r="E702" s="234" t="s">
        <v>1041</v>
      </c>
      <c r="F702" s="235" t="s">
        <v>1231</v>
      </c>
      <c r="G702" s="284">
        <f>IFERROR(VLOOKUP(E702,Assign!$C$2:$J$142,8,FALSE),)</f>
        <v>0</v>
      </c>
      <c r="H702" s="279" t="s">
        <v>6298</v>
      </c>
      <c r="I702" s="280" t="s">
        <v>5674</v>
      </c>
      <c r="J702" s="281" t="s">
        <v>3746</v>
      </c>
      <c r="K702" s="282">
        <v>44166</v>
      </c>
      <c r="L702" s="282">
        <v>55123</v>
      </c>
      <c r="M702" s="282">
        <v>45560</v>
      </c>
      <c r="N702" s="371">
        <v>33000000</v>
      </c>
      <c r="O702" s="444" t="s">
        <v>3866</v>
      </c>
      <c r="P702" s="397">
        <v>28233128</v>
      </c>
      <c r="Q702" s="397">
        <v>28233128</v>
      </c>
      <c r="R702" s="397"/>
      <c r="S702" s="398">
        <f t="shared" si="31"/>
        <v>28233128</v>
      </c>
      <c r="T702" s="353"/>
      <c r="U702" s="353">
        <f t="shared" si="32"/>
        <v>28233128</v>
      </c>
      <c r="V702" s="399"/>
      <c r="W702" s="399"/>
      <c r="X702" s="400" t="s">
        <v>492</v>
      </c>
      <c r="Y702" s="400"/>
      <c r="Z702" s="283"/>
    </row>
    <row r="703" spans="2:26" ht="19.5" hidden="1" customHeight="1">
      <c r="B703" s="29">
        <f t="shared" si="30"/>
        <v>693</v>
      </c>
      <c r="C703" s="30" t="s">
        <v>202</v>
      </c>
      <c r="D703" s="30" t="s">
        <v>225</v>
      </c>
      <c r="E703" s="234" t="s">
        <v>1042</v>
      </c>
      <c r="F703" s="235" t="s">
        <v>1229</v>
      </c>
      <c r="G703" s="284">
        <f>IFERROR(VLOOKUP(E703,Assign!$C$2:$J$142,8,FALSE),)</f>
        <v>0</v>
      </c>
      <c r="H703" s="279" t="s">
        <v>6938</v>
      </c>
      <c r="I703" s="280" t="s">
        <v>6127</v>
      </c>
      <c r="J703" s="281" t="s">
        <v>3766</v>
      </c>
      <c r="K703" s="282">
        <v>44482</v>
      </c>
      <c r="L703" s="282">
        <v>55439</v>
      </c>
      <c r="M703" s="282">
        <v>45640</v>
      </c>
      <c r="N703" s="371">
        <v>190000000</v>
      </c>
      <c r="O703" s="444" t="s">
        <v>3866</v>
      </c>
      <c r="P703" s="397">
        <v>179023803</v>
      </c>
      <c r="Q703" s="397">
        <v>179023803</v>
      </c>
      <c r="R703" s="397"/>
      <c r="S703" s="398">
        <f t="shared" si="31"/>
        <v>179023803</v>
      </c>
      <c r="T703" s="353"/>
      <c r="U703" s="353">
        <f t="shared" si="32"/>
        <v>179023803</v>
      </c>
      <c r="V703" s="399"/>
      <c r="W703" s="399"/>
      <c r="X703" s="400" t="s">
        <v>492</v>
      </c>
      <c r="Y703" s="400"/>
      <c r="Z703" s="283"/>
    </row>
    <row r="704" spans="2:26" ht="19.5" hidden="1" customHeight="1">
      <c r="B704" s="29">
        <f t="shared" si="30"/>
        <v>694</v>
      </c>
      <c r="C704" s="30" t="s">
        <v>202</v>
      </c>
      <c r="D704" s="30" t="s">
        <v>225</v>
      </c>
      <c r="E704" s="234" t="s">
        <v>1043</v>
      </c>
      <c r="F704" s="235" t="s">
        <v>1280</v>
      </c>
      <c r="G704" s="284">
        <f>IFERROR(VLOOKUP(E704,Assign!$C$2:$J$142,8,FALSE),)</f>
        <v>0</v>
      </c>
      <c r="H704" s="279" t="s">
        <v>6971</v>
      </c>
      <c r="I704" s="280" t="s">
        <v>5700</v>
      </c>
      <c r="J704" s="281" t="s">
        <v>3735</v>
      </c>
      <c r="K704" s="282">
        <v>43433</v>
      </c>
      <c r="L704" s="282">
        <v>54391</v>
      </c>
      <c r="M704" s="282">
        <v>45491</v>
      </c>
      <c r="N704" s="371">
        <v>200000000</v>
      </c>
      <c r="O704" s="444" t="s">
        <v>3866</v>
      </c>
      <c r="P704" s="397">
        <v>177911166</v>
      </c>
      <c r="Q704" s="397">
        <v>177911166</v>
      </c>
      <c r="R704" s="397"/>
      <c r="S704" s="398">
        <f t="shared" si="31"/>
        <v>177911166</v>
      </c>
      <c r="T704" s="353"/>
      <c r="U704" s="353">
        <f t="shared" si="32"/>
        <v>177911166</v>
      </c>
      <c r="V704" s="399"/>
      <c r="W704" s="399"/>
      <c r="X704" s="400" t="s">
        <v>492</v>
      </c>
      <c r="Y704" s="400"/>
      <c r="Z704" s="283"/>
    </row>
    <row r="705" spans="2:26" ht="19.5" hidden="1" customHeight="1">
      <c r="B705" s="29">
        <f t="shared" si="30"/>
        <v>695</v>
      </c>
      <c r="C705" s="30" t="s">
        <v>202</v>
      </c>
      <c r="D705" s="30" t="s">
        <v>225</v>
      </c>
      <c r="E705" s="234" t="s">
        <v>1044</v>
      </c>
      <c r="F705" s="235" t="s">
        <v>1217</v>
      </c>
      <c r="G705" s="284">
        <f>IFERROR(VLOOKUP(E705,Assign!$C$2:$J$142,8,FALSE),)</f>
        <v>0</v>
      </c>
      <c r="H705" s="279" t="s">
        <v>6647</v>
      </c>
      <c r="I705" s="280" t="s">
        <v>5955</v>
      </c>
      <c r="J705" s="281" t="s">
        <v>3735</v>
      </c>
      <c r="K705" s="282">
        <v>43516</v>
      </c>
      <c r="L705" s="282">
        <v>54474</v>
      </c>
      <c r="M705" s="282">
        <v>45343</v>
      </c>
      <c r="N705" s="371">
        <v>201000000</v>
      </c>
      <c r="O705" s="444" t="s">
        <v>3866</v>
      </c>
      <c r="P705" s="397">
        <v>175150888</v>
      </c>
      <c r="Q705" s="397">
        <v>175150888</v>
      </c>
      <c r="R705" s="397"/>
      <c r="S705" s="398">
        <f t="shared" si="31"/>
        <v>175150888</v>
      </c>
      <c r="T705" s="353"/>
      <c r="U705" s="353">
        <f t="shared" si="32"/>
        <v>175150888</v>
      </c>
      <c r="V705" s="399"/>
      <c r="W705" s="399"/>
      <c r="X705" s="400" t="s">
        <v>492</v>
      </c>
      <c r="Y705" s="400"/>
      <c r="Z705" s="283"/>
    </row>
    <row r="706" spans="2:26" ht="19.5" hidden="1" customHeight="1">
      <c r="B706" s="29">
        <f t="shared" si="30"/>
        <v>696</v>
      </c>
      <c r="C706" s="30" t="s">
        <v>202</v>
      </c>
      <c r="D706" s="30" t="s">
        <v>225</v>
      </c>
      <c r="E706" s="234" t="s">
        <v>1045</v>
      </c>
      <c r="F706" s="235" t="s">
        <v>1229</v>
      </c>
      <c r="G706" s="284" t="str">
        <f>IFERROR(VLOOKUP(E706,Assign!$C$2:$J$142,8,FALSE),)</f>
        <v>문선영</v>
      </c>
      <c r="H706" s="279" t="s">
        <v>6323</v>
      </c>
      <c r="I706" s="280" t="s">
        <v>5656</v>
      </c>
      <c r="J706" s="281" t="s">
        <v>3746</v>
      </c>
      <c r="K706" s="282">
        <v>41795</v>
      </c>
      <c r="L706" s="282">
        <v>52753</v>
      </c>
      <c r="M706" s="282">
        <v>45664</v>
      </c>
      <c r="N706" s="371">
        <v>123000000</v>
      </c>
      <c r="O706" s="444" t="s">
        <v>3866</v>
      </c>
      <c r="P706" s="397">
        <v>79608178</v>
      </c>
      <c r="Q706" s="397">
        <v>79608178</v>
      </c>
      <c r="R706" s="397"/>
      <c r="S706" s="398">
        <f t="shared" si="31"/>
        <v>79608178</v>
      </c>
      <c r="T706" s="353"/>
      <c r="U706" s="353">
        <f t="shared" si="32"/>
        <v>79608178</v>
      </c>
      <c r="V706" s="399"/>
      <c r="W706" s="399"/>
      <c r="X706" s="400" t="s">
        <v>492</v>
      </c>
      <c r="Y706" s="400"/>
      <c r="Z706" s="283"/>
    </row>
    <row r="707" spans="2:26" ht="19.5" hidden="1" customHeight="1">
      <c r="B707" s="29">
        <f t="shared" si="30"/>
        <v>697</v>
      </c>
      <c r="C707" s="30" t="s">
        <v>202</v>
      </c>
      <c r="D707" s="30" t="s">
        <v>225</v>
      </c>
      <c r="E707" s="234" t="s">
        <v>1045</v>
      </c>
      <c r="F707" s="235" t="s">
        <v>1229</v>
      </c>
      <c r="G707" s="284" t="str">
        <f>IFERROR(VLOOKUP(E707,Assign!$C$2:$J$142,8,FALSE),)</f>
        <v>문선영</v>
      </c>
      <c r="H707" s="279" t="s">
        <v>6324</v>
      </c>
      <c r="I707" s="280" t="s">
        <v>5698</v>
      </c>
      <c r="J707" s="281" t="s">
        <v>3746</v>
      </c>
      <c r="K707" s="282">
        <v>42807</v>
      </c>
      <c r="L707" s="282">
        <v>53764</v>
      </c>
      <c r="M707" s="282">
        <v>45664</v>
      </c>
      <c r="N707" s="371">
        <v>40000000</v>
      </c>
      <c r="O707" s="444" t="s">
        <v>3866</v>
      </c>
      <c r="P707" s="397">
        <v>29666637</v>
      </c>
      <c r="Q707" s="397">
        <v>29666637</v>
      </c>
      <c r="R707" s="397"/>
      <c r="S707" s="398">
        <f t="shared" si="31"/>
        <v>29666637</v>
      </c>
      <c r="T707" s="353"/>
      <c r="U707" s="353">
        <f t="shared" si="32"/>
        <v>29666637</v>
      </c>
      <c r="V707" s="399"/>
      <c r="W707" s="399"/>
      <c r="X707" s="400" t="s">
        <v>492</v>
      </c>
      <c r="Y707" s="400"/>
      <c r="Z707" s="283"/>
    </row>
    <row r="708" spans="2:26" ht="19.5" hidden="1" customHeight="1">
      <c r="B708" s="29">
        <f t="shared" si="30"/>
        <v>698</v>
      </c>
      <c r="C708" s="30" t="s">
        <v>202</v>
      </c>
      <c r="D708" s="30" t="s">
        <v>225</v>
      </c>
      <c r="E708" s="234" t="s">
        <v>1045</v>
      </c>
      <c r="F708" s="235" t="s">
        <v>1229</v>
      </c>
      <c r="G708" s="284" t="str">
        <f>IFERROR(VLOOKUP(E708,Assign!$C$2:$J$142,8,FALSE),)</f>
        <v>문선영</v>
      </c>
      <c r="H708" s="279" t="s">
        <v>6325</v>
      </c>
      <c r="I708" s="280" t="s">
        <v>5699</v>
      </c>
      <c r="J708" s="281" t="s">
        <v>3734</v>
      </c>
      <c r="K708" s="282">
        <v>45544</v>
      </c>
      <c r="L708" s="282">
        <v>45909</v>
      </c>
      <c r="M708" s="282">
        <v>45636</v>
      </c>
      <c r="N708" s="371">
        <v>64000000</v>
      </c>
      <c r="O708" s="444" t="s">
        <v>3866</v>
      </c>
      <c r="P708" s="397">
        <v>64000000</v>
      </c>
      <c r="Q708" s="397">
        <v>64000000</v>
      </c>
      <c r="R708" s="397"/>
      <c r="S708" s="398">
        <f t="shared" si="31"/>
        <v>64000000</v>
      </c>
      <c r="T708" s="353"/>
      <c r="U708" s="353">
        <f t="shared" si="32"/>
        <v>64000000</v>
      </c>
      <c r="V708" s="399"/>
      <c r="W708" s="399"/>
      <c r="X708" s="400" t="s">
        <v>492</v>
      </c>
      <c r="Y708" s="400"/>
      <c r="Z708" s="283"/>
    </row>
    <row r="709" spans="2:26" ht="19.5" hidden="1" customHeight="1">
      <c r="B709" s="29">
        <f t="shared" si="30"/>
        <v>699</v>
      </c>
      <c r="C709" s="30" t="s">
        <v>202</v>
      </c>
      <c r="D709" s="30" t="s">
        <v>225</v>
      </c>
      <c r="E709" s="234" t="s">
        <v>1046</v>
      </c>
      <c r="F709" s="235" t="s">
        <v>1220</v>
      </c>
      <c r="G709" s="284">
        <f>IFERROR(VLOOKUP(E709,Assign!$C$2:$J$142,8,FALSE),)</f>
        <v>0</v>
      </c>
      <c r="H709" s="279" t="s">
        <v>6334</v>
      </c>
      <c r="I709" s="280" t="s">
        <v>5708</v>
      </c>
      <c r="J709" s="281" t="s">
        <v>3735</v>
      </c>
      <c r="K709" s="282">
        <v>41904</v>
      </c>
      <c r="L709" s="282">
        <v>52862</v>
      </c>
      <c r="M709" s="282">
        <v>45651</v>
      </c>
      <c r="N709" s="371">
        <v>171500000</v>
      </c>
      <c r="O709" s="444" t="s">
        <v>3866</v>
      </c>
      <c r="P709" s="397">
        <v>169354101</v>
      </c>
      <c r="Q709" s="397">
        <v>169354101</v>
      </c>
      <c r="R709" s="397"/>
      <c r="S709" s="398">
        <f t="shared" si="31"/>
        <v>169354101</v>
      </c>
      <c r="T709" s="353"/>
      <c r="U709" s="353">
        <f t="shared" si="32"/>
        <v>169354101</v>
      </c>
      <c r="V709" s="399"/>
      <c r="W709" s="399"/>
      <c r="X709" s="400" t="s">
        <v>492</v>
      </c>
      <c r="Y709" s="400"/>
      <c r="Z709" s="283"/>
    </row>
    <row r="710" spans="2:26" ht="19.5" hidden="1" customHeight="1">
      <c r="B710" s="29">
        <f t="shared" si="30"/>
        <v>700</v>
      </c>
      <c r="C710" s="30" t="s">
        <v>202</v>
      </c>
      <c r="D710" s="30" t="s">
        <v>225</v>
      </c>
      <c r="E710" s="234" t="s">
        <v>1047</v>
      </c>
      <c r="F710" s="235" t="s">
        <v>1244</v>
      </c>
      <c r="G710" s="284">
        <f>IFERROR(VLOOKUP(E710,Assign!$C$2:$J$142,8,FALSE),)</f>
        <v>0</v>
      </c>
      <c r="H710" s="279" t="s">
        <v>6574</v>
      </c>
      <c r="I710" s="280" t="s">
        <v>5782</v>
      </c>
      <c r="J710" s="281" t="s">
        <v>3735</v>
      </c>
      <c r="K710" s="282">
        <v>43437</v>
      </c>
      <c r="L710" s="282">
        <v>54395</v>
      </c>
      <c r="M710" s="282">
        <v>45601</v>
      </c>
      <c r="N710" s="371">
        <v>189000000</v>
      </c>
      <c r="O710" s="444" t="s">
        <v>3866</v>
      </c>
      <c r="P710" s="397">
        <v>168902494</v>
      </c>
      <c r="Q710" s="397">
        <v>168902494</v>
      </c>
      <c r="R710" s="397"/>
      <c r="S710" s="398">
        <f t="shared" si="31"/>
        <v>168902494</v>
      </c>
      <c r="T710" s="353"/>
      <c r="U710" s="353">
        <f t="shared" si="32"/>
        <v>168902494</v>
      </c>
      <c r="V710" s="399"/>
      <c r="W710" s="399"/>
      <c r="X710" s="400" t="s">
        <v>492</v>
      </c>
      <c r="Y710" s="400"/>
      <c r="Z710" s="283"/>
    </row>
    <row r="711" spans="2:26" ht="19.5" hidden="1" customHeight="1">
      <c r="B711" s="29">
        <f t="shared" si="30"/>
        <v>701</v>
      </c>
      <c r="C711" s="30" t="s">
        <v>202</v>
      </c>
      <c r="D711" s="30" t="s">
        <v>225</v>
      </c>
      <c r="E711" s="234" t="s">
        <v>1048</v>
      </c>
      <c r="F711" s="235" t="s">
        <v>1266</v>
      </c>
      <c r="G711" s="284">
        <f>IFERROR(VLOOKUP(E711,Assign!$C$2:$J$142,8,FALSE),)</f>
        <v>0</v>
      </c>
      <c r="H711" s="279" t="s">
        <v>6421</v>
      </c>
      <c r="I711" s="280" t="s">
        <v>5780</v>
      </c>
      <c r="J711" s="281" t="s">
        <v>3754</v>
      </c>
      <c r="K711" s="282">
        <v>44435</v>
      </c>
      <c r="L711" s="282">
        <v>45896</v>
      </c>
      <c r="M711" s="282">
        <v>45624</v>
      </c>
      <c r="N711" s="371">
        <v>168450000</v>
      </c>
      <c r="O711" s="444" t="s">
        <v>3866</v>
      </c>
      <c r="P711" s="397">
        <v>167460000</v>
      </c>
      <c r="Q711" s="397">
        <v>167460000</v>
      </c>
      <c r="R711" s="397"/>
      <c r="S711" s="398">
        <f t="shared" si="31"/>
        <v>167460000</v>
      </c>
      <c r="T711" s="353"/>
      <c r="U711" s="353">
        <f t="shared" si="32"/>
        <v>167460000</v>
      </c>
      <c r="V711" s="399"/>
      <c r="W711" s="399"/>
      <c r="X711" s="400" t="s">
        <v>492</v>
      </c>
      <c r="Y711" s="400"/>
      <c r="Z711" s="283"/>
    </row>
    <row r="712" spans="2:26" ht="19.5" hidden="1" customHeight="1">
      <c r="B712" s="29">
        <f t="shared" si="30"/>
        <v>702</v>
      </c>
      <c r="C712" s="30" t="s">
        <v>202</v>
      </c>
      <c r="D712" s="30" t="s">
        <v>225</v>
      </c>
      <c r="E712" s="234" t="s">
        <v>1049</v>
      </c>
      <c r="F712" s="235" t="s">
        <v>1225</v>
      </c>
      <c r="G712" s="284">
        <f>IFERROR(VLOOKUP(E712,Assign!$C$2:$J$142,8,FALSE),)</f>
        <v>0</v>
      </c>
      <c r="H712" s="279" t="s">
        <v>6735</v>
      </c>
      <c r="I712" s="280" t="s">
        <v>5883</v>
      </c>
      <c r="J712" s="281" t="s">
        <v>3735</v>
      </c>
      <c r="K712" s="282">
        <v>44924</v>
      </c>
      <c r="L712" s="282">
        <v>59534</v>
      </c>
      <c r="M712" s="282">
        <v>45566</v>
      </c>
      <c r="N712" s="371">
        <v>168000000</v>
      </c>
      <c r="O712" s="444" t="s">
        <v>3866</v>
      </c>
      <c r="P712" s="397">
        <v>165247744</v>
      </c>
      <c r="Q712" s="397">
        <v>165247744</v>
      </c>
      <c r="R712" s="397"/>
      <c r="S712" s="398">
        <f t="shared" si="31"/>
        <v>165247744</v>
      </c>
      <c r="T712" s="353"/>
      <c r="U712" s="353">
        <f t="shared" si="32"/>
        <v>165247744</v>
      </c>
      <c r="V712" s="399"/>
      <c r="W712" s="399"/>
      <c r="X712" s="400" t="s">
        <v>492</v>
      </c>
      <c r="Y712" s="400"/>
      <c r="Z712" s="283"/>
    </row>
    <row r="713" spans="2:26" ht="19.5" hidden="1" customHeight="1">
      <c r="B713" s="29">
        <f t="shared" si="30"/>
        <v>703</v>
      </c>
      <c r="C713" s="30" t="s">
        <v>202</v>
      </c>
      <c r="D713" s="30" t="s">
        <v>225</v>
      </c>
      <c r="E713" s="234" t="s">
        <v>1050</v>
      </c>
      <c r="F713" s="235" t="s">
        <v>1271</v>
      </c>
      <c r="G713" s="284">
        <f>IFERROR(VLOOKUP(E713,Assign!$C$2:$J$142,8,FALSE),)</f>
        <v>0</v>
      </c>
      <c r="H713" s="279" t="s">
        <v>6400</v>
      </c>
      <c r="I713" s="280" t="s">
        <v>5763</v>
      </c>
      <c r="J713" s="281" t="s">
        <v>3766</v>
      </c>
      <c r="K713" s="282">
        <v>43614</v>
      </c>
      <c r="L713" s="282">
        <v>54572</v>
      </c>
      <c r="M713" s="282">
        <v>45657</v>
      </c>
      <c r="N713" s="371">
        <v>165000000</v>
      </c>
      <c r="O713" s="444" t="s">
        <v>3866</v>
      </c>
      <c r="P713" s="397">
        <v>163223306</v>
      </c>
      <c r="Q713" s="397">
        <v>163223306</v>
      </c>
      <c r="R713" s="397"/>
      <c r="S713" s="398">
        <f t="shared" si="31"/>
        <v>163223306</v>
      </c>
      <c r="T713" s="353"/>
      <c r="U713" s="353">
        <f t="shared" si="32"/>
        <v>163223306</v>
      </c>
      <c r="V713" s="399"/>
      <c r="W713" s="399"/>
      <c r="X713" s="400" t="s">
        <v>492</v>
      </c>
      <c r="Y713" s="400"/>
      <c r="Z713" s="283"/>
    </row>
    <row r="714" spans="2:26" ht="19.5" hidden="1" customHeight="1">
      <c r="B714" s="29">
        <f t="shared" si="30"/>
        <v>704</v>
      </c>
      <c r="C714" s="30" t="s">
        <v>202</v>
      </c>
      <c r="D714" s="30" t="s">
        <v>225</v>
      </c>
      <c r="E714" s="234" t="s">
        <v>1051</v>
      </c>
      <c r="F714" s="235" t="s">
        <v>1224</v>
      </c>
      <c r="G714" s="284">
        <f>IFERROR(VLOOKUP(E714,Assign!$C$2:$J$142,8,FALSE),)</f>
        <v>0</v>
      </c>
      <c r="H714" s="279" t="s">
        <v>6564</v>
      </c>
      <c r="I714" s="280" t="s">
        <v>5892</v>
      </c>
      <c r="J714" s="281" t="s">
        <v>3735</v>
      </c>
      <c r="K714" s="282">
        <v>44091</v>
      </c>
      <c r="L714" s="282">
        <v>55048</v>
      </c>
      <c r="M714" s="282">
        <v>45598</v>
      </c>
      <c r="N714" s="371">
        <v>175000000</v>
      </c>
      <c r="O714" s="444" t="s">
        <v>3866</v>
      </c>
      <c r="P714" s="397">
        <v>161573935</v>
      </c>
      <c r="Q714" s="397">
        <v>161573935</v>
      </c>
      <c r="R714" s="397"/>
      <c r="S714" s="398">
        <f t="shared" si="31"/>
        <v>161573935</v>
      </c>
      <c r="T714" s="353"/>
      <c r="U714" s="353">
        <f t="shared" si="32"/>
        <v>161573935</v>
      </c>
      <c r="V714" s="399"/>
      <c r="W714" s="399"/>
      <c r="X714" s="400" t="s">
        <v>492</v>
      </c>
      <c r="Y714" s="400"/>
      <c r="Z714" s="283"/>
    </row>
    <row r="715" spans="2:26" ht="19.5" hidden="1" customHeight="1">
      <c r="B715" s="29">
        <f t="shared" ref="B715:B778" si="33">ROW()-10</f>
        <v>705</v>
      </c>
      <c r="C715" s="30" t="s">
        <v>202</v>
      </c>
      <c r="D715" s="30" t="s">
        <v>225</v>
      </c>
      <c r="E715" s="234" t="s">
        <v>1052</v>
      </c>
      <c r="F715" s="235" t="s">
        <v>1225</v>
      </c>
      <c r="G715" s="284" t="str">
        <f>IFERROR(VLOOKUP(E715,Assign!$C$2:$J$142,8,FALSE),)</f>
        <v>문선영</v>
      </c>
      <c r="H715" s="279" t="s">
        <v>6754</v>
      </c>
      <c r="I715" s="280" t="s">
        <v>5926</v>
      </c>
      <c r="J715" s="281" t="s">
        <v>3735</v>
      </c>
      <c r="K715" s="282">
        <v>43467</v>
      </c>
      <c r="L715" s="282">
        <v>54425</v>
      </c>
      <c r="M715" s="282">
        <v>45447</v>
      </c>
      <c r="N715" s="371">
        <v>163000000</v>
      </c>
      <c r="O715" s="444" t="s">
        <v>3866</v>
      </c>
      <c r="P715" s="397">
        <v>160826568</v>
      </c>
      <c r="Q715" s="397">
        <v>160826568</v>
      </c>
      <c r="R715" s="397"/>
      <c r="S715" s="398">
        <f t="shared" ref="S715:S778" si="34">Q715+R715</f>
        <v>160826568</v>
      </c>
      <c r="T715" s="353"/>
      <c r="U715" s="353">
        <f t="shared" ref="U715:U778" si="35">S715+T715</f>
        <v>160826568</v>
      </c>
      <c r="V715" s="399"/>
      <c r="W715" s="399"/>
      <c r="X715" s="400" t="s">
        <v>492</v>
      </c>
      <c r="Y715" s="400"/>
      <c r="Z715" s="283"/>
    </row>
    <row r="716" spans="2:26" ht="19.5" hidden="1" customHeight="1">
      <c r="B716" s="29">
        <f t="shared" si="33"/>
        <v>706</v>
      </c>
      <c r="C716" s="30" t="s">
        <v>202</v>
      </c>
      <c r="D716" s="30" t="s">
        <v>225</v>
      </c>
      <c r="E716" s="234" t="s">
        <v>1053</v>
      </c>
      <c r="F716" s="235" t="s">
        <v>1229</v>
      </c>
      <c r="G716" s="284" t="str">
        <f>IFERROR(VLOOKUP(E716,Assign!$C$2:$J$142,8,FALSE),)</f>
        <v>문선영</v>
      </c>
      <c r="H716" s="279" t="s">
        <v>6474</v>
      </c>
      <c r="I716" s="280" t="s">
        <v>5819</v>
      </c>
      <c r="J716" s="281" t="s">
        <v>3737</v>
      </c>
      <c r="K716" s="282">
        <v>43707</v>
      </c>
      <c r="L716" s="282">
        <v>54665</v>
      </c>
      <c r="M716" s="282">
        <v>45475</v>
      </c>
      <c r="N716" s="371">
        <v>114000000</v>
      </c>
      <c r="O716" s="444" t="s">
        <v>3866</v>
      </c>
      <c r="P716" s="397">
        <v>101200719</v>
      </c>
      <c r="Q716" s="397">
        <v>101200719</v>
      </c>
      <c r="R716" s="397"/>
      <c r="S716" s="398">
        <f t="shared" si="34"/>
        <v>101200719</v>
      </c>
      <c r="T716" s="353"/>
      <c r="U716" s="353">
        <f t="shared" si="35"/>
        <v>101200719</v>
      </c>
      <c r="V716" s="399"/>
      <c r="W716" s="399"/>
      <c r="X716" s="400" t="s">
        <v>492</v>
      </c>
      <c r="Y716" s="400"/>
      <c r="Z716" s="283"/>
    </row>
    <row r="717" spans="2:26" ht="19.5" hidden="1" customHeight="1">
      <c r="B717" s="29">
        <f t="shared" si="33"/>
        <v>707</v>
      </c>
      <c r="C717" s="30" t="s">
        <v>202</v>
      </c>
      <c r="D717" s="30" t="s">
        <v>225</v>
      </c>
      <c r="E717" s="234" t="s">
        <v>1053</v>
      </c>
      <c r="F717" s="235" t="s">
        <v>1229</v>
      </c>
      <c r="G717" s="284" t="str">
        <f>IFERROR(VLOOKUP(E717,Assign!$C$2:$J$142,8,FALSE),)</f>
        <v>문선영</v>
      </c>
      <c r="H717" s="279" t="s">
        <v>6475</v>
      </c>
      <c r="I717" s="280" t="s">
        <v>5820</v>
      </c>
      <c r="J717" s="281" t="s">
        <v>3746</v>
      </c>
      <c r="K717" s="282">
        <v>43903</v>
      </c>
      <c r="L717" s="282">
        <v>54860</v>
      </c>
      <c r="M717" s="282">
        <v>45489</v>
      </c>
      <c r="N717" s="371">
        <v>65000000</v>
      </c>
      <c r="O717" s="444" t="s">
        <v>3866</v>
      </c>
      <c r="P717" s="397">
        <v>58644953</v>
      </c>
      <c r="Q717" s="397">
        <v>58644953</v>
      </c>
      <c r="R717" s="397"/>
      <c r="S717" s="398">
        <f t="shared" si="34"/>
        <v>58644953</v>
      </c>
      <c r="T717" s="353"/>
      <c r="U717" s="353">
        <f t="shared" si="35"/>
        <v>58644953</v>
      </c>
      <c r="V717" s="399"/>
      <c r="W717" s="399"/>
      <c r="X717" s="400" t="s">
        <v>492</v>
      </c>
      <c r="Y717" s="400"/>
      <c r="Z717" s="283"/>
    </row>
    <row r="718" spans="2:26" ht="19.5" hidden="1" customHeight="1">
      <c r="B718" s="29">
        <f t="shared" si="33"/>
        <v>708</v>
      </c>
      <c r="C718" s="30" t="s">
        <v>202</v>
      </c>
      <c r="D718" s="30" t="s">
        <v>225</v>
      </c>
      <c r="E718" s="234" t="s">
        <v>1054</v>
      </c>
      <c r="F718" s="235" t="s">
        <v>1251</v>
      </c>
      <c r="G718" s="284">
        <f>IFERROR(VLOOKUP(E718,Assign!$C$2:$J$142,8,FALSE),)</f>
        <v>0</v>
      </c>
      <c r="H718" s="279" t="s">
        <v>6476</v>
      </c>
      <c r="I718" s="280" t="s">
        <v>5821</v>
      </c>
      <c r="J718" s="281" t="s">
        <v>3772</v>
      </c>
      <c r="K718" s="282">
        <v>44253</v>
      </c>
      <c r="L718" s="282">
        <v>45714</v>
      </c>
      <c r="M718" s="282">
        <v>45709</v>
      </c>
      <c r="N718" s="371">
        <v>95000000</v>
      </c>
      <c r="O718" s="444" t="s">
        <v>3866</v>
      </c>
      <c r="P718" s="397">
        <v>95000000</v>
      </c>
      <c r="Q718" s="397">
        <v>95000000</v>
      </c>
      <c r="R718" s="397"/>
      <c r="S718" s="398">
        <f t="shared" si="34"/>
        <v>95000000</v>
      </c>
      <c r="T718" s="353"/>
      <c r="U718" s="353">
        <f t="shared" si="35"/>
        <v>95000000</v>
      </c>
      <c r="V718" s="399"/>
      <c r="W718" s="399"/>
      <c r="X718" s="400" t="s">
        <v>492</v>
      </c>
      <c r="Y718" s="400"/>
      <c r="Z718" s="283"/>
    </row>
    <row r="719" spans="2:26" ht="19.5" hidden="1" customHeight="1">
      <c r="B719" s="29">
        <f t="shared" si="33"/>
        <v>709</v>
      </c>
      <c r="C719" s="30" t="s">
        <v>202</v>
      </c>
      <c r="D719" s="30" t="s">
        <v>225</v>
      </c>
      <c r="E719" s="234" t="s">
        <v>1054</v>
      </c>
      <c r="F719" s="235" t="s">
        <v>1251</v>
      </c>
      <c r="G719" s="284">
        <f>IFERROR(VLOOKUP(E719,Assign!$C$2:$J$142,8,FALSE),)</f>
        <v>0</v>
      </c>
      <c r="H719" s="279" t="s">
        <v>6477</v>
      </c>
      <c r="I719" s="280" t="s">
        <v>5766</v>
      </c>
      <c r="J719" s="281" t="s">
        <v>3734</v>
      </c>
      <c r="K719" s="282">
        <v>44295</v>
      </c>
      <c r="L719" s="282">
        <v>45666</v>
      </c>
      <c r="M719" s="282">
        <v>45667</v>
      </c>
      <c r="N719" s="371">
        <v>85000000</v>
      </c>
      <c r="O719" s="444" t="s">
        <v>3866</v>
      </c>
      <c r="P719" s="397">
        <v>63835292</v>
      </c>
      <c r="Q719" s="397">
        <v>63835292</v>
      </c>
      <c r="R719" s="397"/>
      <c r="S719" s="398">
        <f t="shared" si="34"/>
        <v>63835292</v>
      </c>
      <c r="T719" s="353"/>
      <c r="U719" s="353">
        <f t="shared" si="35"/>
        <v>63835292</v>
      </c>
      <c r="V719" s="399"/>
      <c r="W719" s="399"/>
      <c r="X719" s="400" t="s">
        <v>492</v>
      </c>
      <c r="Y719" s="400"/>
      <c r="Z719" s="283"/>
    </row>
    <row r="720" spans="2:26" ht="19.5" hidden="1" customHeight="1">
      <c r="B720" s="29">
        <f t="shared" si="33"/>
        <v>710</v>
      </c>
      <c r="C720" s="30" t="s">
        <v>202</v>
      </c>
      <c r="D720" s="30" t="s">
        <v>225</v>
      </c>
      <c r="E720" s="234" t="s">
        <v>1055</v>
      </c>
      <c r="F720" s="235" t="s">
        <v>1225</v>
      </c>
      <c r="G720" s="284">
        <f>IFERROR(VLOOKUP(E720,Assign!$C$2:$J$142,8,FALSE),)</f>
        <v>0</v>
      </c>
      <c r="H720" s="279" t="s">
        <v>6532</v>
      </c>
      <c r="I720" s="280" t="s">
        <v>5866</v>
      </c>
      <c r="J720" s="281" t="s">
        <v>3742</v>
      </c>
      <c r="K720" s="282">
        <v>42010</v>
      </c>
      <c r="L720" s="282">
        <v>52968</v>
      </c>
      <c r="M720" s="282">
        <v>45573</v>
      </c>
      <c r="N720" s="371">
        <v>194000000</v>
      </c>
      <c r="O720" s="444" t="s">
        <v>3866</v>
      </c>
      <c r="P720" s="397">
        <v>157786504</v>
      </c>
      <c r="Q720" s="397">
        <v>157786504</v>
      </c>
      <c r="R720" s="397"/>
      <c r="S720" s="398">
        <f t="shared" si="34"/>
        <v>157786504</v>
      </c>
      <c r="T720" s="353"/>
      <c r="U720" s="353">
        <f t="shared" si="35"/>
        <v>157786504</v>
      </c>
      <c r="V720" s="399"/>
      <c r="W720" s="399"/>
      <c r="X720" s="400" t="s">
        <v>492</v>
      </c>
      <c r="Y720" s="400"/>
      <c r="Z720" s="283"/>
    </row>
    <row r="721" spans="2:26" ht="19.5" hidden="1" customHeight="1">
      <c r="B721" s="29">
        <f t="shared" si="33"/>
        <v>711</v>
      </c>
      <c r="C721" s="30" t="s">
        <v>202</v>
      </c>
      <c r="D721" s="30" t="s">
        <v>225</v>
      </c>
      <c r="E721" s="234" t="s">
        <v>1056</v>
      </c>
      <c r="F721" s="235" t="s">
        <v>1229</v>
      </c>
      <c r="G721" s="284">
        <f>IFERROR(VLOOKUP(E721,Assign!$C$2:$J$142,8,FALSE),)</f>
        <v>0</v>
      </c>
      <c r="H721" s="279" t="s">
        <v>6354</v>
      </c>
      <c r="I721" s="280" t="s">
        <v>5724</v>
      </c>
      <c r="J721" s="281" t="s">
        <v>3735</v>
      </c>
      <c r="K721" s="282">
        <v>42907</v>
      </c>
      <c r="L721" s="282">
        <v>53864</v>
      </c>
      <c r="M721" s="282">
        <v>45252</v>
      </c>
      <c r="N721" s="371">
        <v>180000000</v>
      </c>
      <c r="O721" s="444" t="s">
        <v>3866</v>
      </c>
      <c r="P721" s="397">
        <v>156312252</v>
      </c>
      <c r="Q721" s="397">
        <v>156312252</v>
      </c>
      <c r="R721" s="397"/>
      <c r="S721" s="398">
        <f t="shared" si="34"/>
        <v>156312252</v>
      </c>
      <c r="T721" s="353"/>
      <c r="U721" s="353">
        <f t="shared" si="35"/>
        <v>156312252</v>
      </c>
      <c r="V721" s="399"/>
      <c r="W721" s="399"/>
      <c r="X721" s="400" t="s">
        <v>492</v>
      </c>
      <c r="Y721" s="400"/>
      <c r="Z721" s="283"/>
    </row>
    <row r="722" spans="2:26" ht="19.5" hidden="1" customHeight="1">
      <c r="B722" s="29">
        <f t="shared" si="33"/>
        <v>712</v>
      </c>
      <c r="C722" s="30" t="s">
        <v>202</v>
      </c>
      <c r="D722" s="30" t="s">
        <v>225</v>
      </c>
      <c r="E722" s="234" t="s">
        <v>1057</v>
      </c>
      <c r="F722" s="235" t="s">
        <v>1282</v>
      </c>
      <c r="G722" s="284">
        <f>IFERROR(VLOOKUP(E722,Assign!$C$2:$J$142,8,FALSE),)</f>
        <v>0</v>
      </c>
      <c r="H722" s="279" t="s">
        <v>6621</v>
      </c>
      <c r="I722" s="280" t="s">
        <v>5935</v>
      </c>
      <c r="J722" s="281" t="s">
        <v>3785</v>
      </c>
      <c r="K722" s="282">
        <v>43915</v>
      </c>
      <c r="L722" s="282">
        <v>45631</v>
      </c>
      <c r="M722" s="282">
        <v>45629</v>
      </c>
      <c r="N722" s="371">
        <v>155000000</v>
      </c>
      <c r="O722" s="444" t="s">
        <v>3866</v>
      </c>
      <c r="P722" s="397">
        <v>155000000</v>
      </c>
      <c r="Q722" s="397">
        <v>155000000</v>
      </c>
      <c r="R722" s="397"/>
      <c r="S722" s="398">
        <f t="shared" si="34"/>
        <v>155000000</v>
      </c>
      <c r="T722" s="353"/>
      <c r="U722" s="353">
        <f t="shared" si="35"/>
        <v>155000000</v>
      </c>
      <c r="V722" s="399"/>
      <c r="W722" s="399"/>
      <c r="X722" s="400" t="s">
        <v>492</v>
      </c>
      <c r="Y722" s="400"/>
      <c r="Z722" s="283"/>
    </row>
    <row r="723" spans="2:26" ht="19.5" hidden="1" customHeight="1">
      <c r="B723" s="29">
        <f t="shared" si="33"/>
        <v>713</v>
      </c>
      <c r="C723" s="30" t="s">
        <v>202</v>
      </c>
      <c r="D723" s="30" t="s">
        <v>225</v>
      </c>
      <c r="E723" s="234" t="s">
        <v>1058</v>
      </c>
      <c r="F723" s="235" t="s">
        <v>1229</v>
      </c>
      <c r="G723" s="284" t="str">
        <f>IFERROR(VLOOKUP(E723,Assign!$C$2:$J$142,8,FALSE),)</f>
        <v>문선영</v>
      </c>
      <c r="H723" s="279" t="s">
        <v>6444</v>
      </c>
      <c r="I723" s="280" t="s">
        <v>5794</v>
      </c>
      <c r="J723" s="281" t="s">
        <v>3734</v>
      </c>
      <c r="K723" s="282">
        <v>44333</v>
      </c>
      <c r="L723" s="282">
        <v>45459</v>
      </c>
      <c r="M723" s="282">
        <v>45401</v>
      </c>
      <c r="N723" s="371">
        <v>154000000</v>
      </c>
      <c r="O723" s="444" t="s">
        <v>3866</v>
      </c>
      <c r="P723" s="397">
        <v>154000000</v>
      </c>
      <c r="Q723" s="397">
        <v>154000000</v>
      </c>
      <c r="R723" s="397"/>
      <c r="S723" s="398">
        <f t="shared" si="34"/>
        <v>154000000</v>
      </c>
      <c r="T723" s="353"/>
      <c r="U723" s="353">
        <f t="shared" si="35"/>
        <v>154000000</v>
      </c>
      <c r="V723" s="399"/>
      <c r="W723" s="399"/>
      <c r="X723" s="400" t="s">
        <v>492</v>
      </c>
      <c r="Y723" s="400"/>
      <c r="Z723" s="283"/>
    </row>
    <row r="724" spans="2:26" ht="19.5" hidden="1" customHeight="1">
      <c r="B724" s="29">
        <f t="shared" si="33"/>
        <v>714</v>
      </c>
      <c r="C724" s="30" t="s">
        <v>202</v>
      </c>
      <c r="D724" s="30" t="s">
        <v>225</v>
      </c>
      <c r="E724" s="234" t="s">
        <v>1059</v>
      </c>
      <c r="F724" s="235" t="s">
        <v>1225</v>
      </c>
      <c r="G724" s="284">
        <f>IFERROR(VLOOKUP(E724,Assign!$C$2:$J$142,8,FALSE),)</f>
        <v>0</v>
      </c>
      <c r="H724" s="279" t="s">
        <v>6628</v>
      </c>
      <c r="I724" s="280" t="s">
        <v>5654</v>
      </c>
      <c r="J724" s="281" t="s">
        <v>3759</v>
      </c>
      <c r="K724" s="282">
        <v>42296</v>
      </c>
      <c r="L724" s="282">
        <v>53254</v>
      </c>
      <c r="M724" s="282">
        <v>45587</v>
      </c>
      <c r="N724" s="371">
        <v>190000000</v>
      </c>
      <c r="O724" s="444" t="s">
        <v>3866</v>
      </c>
      <c r="P724" s="397">
        <v>150534689</v>
      </c>
      <c r="Q724" s="397">
        <v>150534689</v>
      </c>
      <c r="R724" s="397"/>
      <c r="S724" s="398">
        <f t="shared" si="34"/>
        <v>150534689</v>
      </c>
      <c r="T724" s="353"/>
      <c r="U724" s="353">
        <f t="shared" si="35"/>
        <v>150534689</v>
      </c>
      <c r="V724" s="399"/>
      <c r="W724" s="399"/>
      <c r="X724" s="400" t="s">
        <v>492</v>
      </c>
      <c r="Y724" s="400"/>
      <c r="Z724" s="283"/>
    </row>
    <row r="725" spans="2:26" ht="19.5" hidden="1" customHeight="1">
      <c r="B725" s="29">
        <f t="shared" si="33"/>
        <v>715</v>
      </c>
      <c r="C725" s="30" t="s">
        <v>202</v>
      </c>
      <c r="D725" s="30" t="s">
        <v>225</v>
      </c>
      <c r="E725" s="234" t="s">
        <v>1060</v>
      </c>
      <c r="F725" s="235" t="s">
        <v>1229</v>
      </c>
      <c r="G725" s="284">
        <f>IFERROR(VLOOKUP(E725,Assign!$C$2:$J$142,8,FALSE),)</f>
        <v>0</v>
      </c>
      <c r="H725" s="279" t="s">
        <v>6404</v>
      </c>
      <c r="I725" s="280" t="s">
        <v>5767</v>
      </c>
      <c r="J725" s="281" t="s">
        <v>3767</v>
      </c>
      <c r="K725" s="282">
        <v>43795</v>
      </c>
      <c r="L725" s="282">
        <v>45803</v>
      </c>
      <c r="M725" s="282">
        <v>45623</v>
      </c>
      <c r="N725" s="371">
        <v>150000000</v>
      </c>
      <c r="O725" s="444" t="s">
        <v>3866</v>
      </c>
      <c r="P725" s="397">
        <v>150000000</v>
      </c>
      <c r="Q725" s="397">
        <v>150000000</v>
      </c>
      <c r="R725" s="397"/>
      <c r="S725" s="398">
        <f t="shared" si="34"/>
        <v>150000000</v>
      </c>
      <c r="T725" s="353"/>
      <c r="U725" s="353">
        <f t="shared" si="35"/>
        <v>150000000</v>
      </c>
      <c r="V725" s="399"/>
      <c r="W725" s="399"/>
      <c r="X725" s="400" t="s">
        <v>492</v>
      </c>
      <c r="Y725" s="400"/>
      <c r="Z725" s="283"/>
    </row>
    <row r="726" spans="2:26" ht="19.5" hidden="1" customHeight="1">
      <c r="B726" s="29">
        <f t="shared" si="33"/>
        <v>716</v>
      </c>
      <c r="C726" s="30" t="s">
        <v>202</v>
      </c>
      <c r="D726" s="30" t="s">
        <v>225</v>
      </c>
      <c r="E726" s="234" t="s">
        <v>1061</v>
      </c>
      <c r="F726" s="235" t="s">
        <v>1225</v>
      </c>
      <c r="G726" s="284">
        <f>IFERROR(VLOOKUP(E726,Assign!$C$2:$J$142,8,FALSE),)</f>
        <v>0</v>
      </c>
      <c r="H726" s="279" t="s">
        <v>6566</v>
      </c>
      <c r="I726" s="280" t="s">
        <v>5894</v>
      </c>
      <c r="J726" s="281" t="s">
        <v>3734</v>
      </c>
      <c r="K726" s="282">
        <v>44315</v>
      </c>
      <c r="L726" s="282">
        <v>45776</v>
      </c>
      <c r="M726" s="282">
        <v>45566</v>
      </c>
      <c r="N726" s="371">
        <v>50000000</v>
      </c>
      <c r="O726" s="444" t="s">
        <v>3866</v>
      </c>
      <c r="P726" s="397">
        <v>50000000</v>
      </c>
      <c r="Q726" s="397">
        <v>50000000</v>
      </c>
      <c r="R726" s="397"/>
      <c r="S726" s="398">
        <f t="shared" si="34"/>
        <v>50000000</v>
      </c>
      <c r="T726" s="353"/>
      <c r="U726" s="353">
        <f t="shared" si="35"/>
        <v>50000000</v>
      </c>
      <c r="V726" s="399"/>
      <c r="W726" s="399"/>
      <c r="X726" s="400" t="s">
        <v>492</v>
      </c>
      <c r="Y726" s="400"/>
      <c r="Z726" s="283"/>
    </row>
    <row r="727" spans="2:26" ht="19.5" hidden="1" customHeight="1">
      <c r="B727" s="29">
        <f t="shared" si="33"/>
        <v>717</v>
      </c>
      <c r="C727" s="30" t="s">
        <v>202</v>
      </c>
      <c r="D727" s="30" t="s">
        <v>225</v>
      </c>
      <c r="E727" s="234" t="s">
        <v>1061</v>
      </c>
      <c r="F727" s="235" t="s">
        <v>1225</v>
      </c>
      <c r="G727" s="284">
        <f>IFERROR(VLOOKUP(E727,Assign!$C$2:$J$142,8,FALSE),)</f>
        <v>0</v>
      </c>
      <c r="H727" s="279" t="s">
        <v>6567</v>
      </c>
      <c r="I727" s="280" t="s">
        <v>5895</v>
      </c>
      <c r="J727" s="281" t="s">
        <v>3734</v>
      </c>
      <c r="K727" s="282">
        <v>44348</v>
      </c>
      <c r="L727" s="282">
        <v>45809</v>
      </c>
      <c r="M727" s="282">
        <v>45566</v>
      </c>
      <c r="N727" s="371">
        <v>100000000</v>
      </c>
      <c r="O727" s="444" t="s">
        <v>3866</v>
      </c>
      <c r="P727" s="397">
        <v>100000000</v>
      </c>
      <c r="Q727" s="397">
        <v>100000000</v>
      </c>
      <c r="R727" s="397"/>
      <c r="S727" s="398">
        <f t="shared" si="34"/>
        <v>100000000</v>
      </c>
      <c r="T727" s="353"/>
      <c r="U727" s="353">
        <f t="shared" si="35"/>
        <v>100000000</v>
      </c>
      <c r="V727" s="399"/>
      <c r="W727" s="399"/>
      <c r="X727" s="400" t="s">
        <v>492</v>
      </c>
      <c r="Y727" s="400"/>
      <c r="Z727" s="283"/>
    </row>
    <row r="728" spans="2:26" ht="19.5" hidden="1" customHeight="1">
      <c r="B728" s="29">
        <f t="shared" si="33"/>
        <v>718</v>
      </c>
      <c r="C728" s="30" t="s">
        <v>202</v>
      </c>
      <c r="D728" s="30" t="s">
        <v>225</v>
      </c>
      <c r="E728" s="234" t="s">
        <v>1062</v>
      </c>
      <c r="F728" s="235" t="s">
        <v>1221</v>
      </c>
      <c r="G728" s="284" t="str">
        <f>IFERROR(VLOOKUP(E728,Assign!$C$2:$J$142,8,FALSE),)</f>
        <v>문선영</v>
      </c>
      <c r="H728" s="279" t="s">
        <v>6549</v>
      </c>
      <c r="I728" s="280" t="s">
        <v>5882</v>
      </c>
      <c r="J728" s="281" t="s">
        <v>3756</v>
      </c>
      <c r="K728" s="282">
        <v>43462</v>
      </c>
      <c r="L728" s="282">
        <v>48941</v>
      </c>
      <c r="M728" s="282">
        <v>45533</v>
      </c>
      <c r="N728" s="371">
        <v>130000000</v>
      </c>
      <c r="O728" s="444" t="s">
        <v>3866</v>
      </c>
      <c r="P728" s="397">
        <v>59638801</v>
      </c>
      <c r="Q728" s="397">
        <v>59638801</v>
      </c>
      <c r="R728" s="397"/>
      <c r="S728" s="398">
        <f t="shared" si="34"/>
        <v>59638801</v>
      </c>
      <c r="T728" s="353"/>
      <c r="U728" s="353">
        <f t="shared" si="35"/>
        <v>59638801</v>
      </c>
      <c r="V728" s="399"/>
      <c r="W728" s="399"/>
      <c r="X728" s="400" t="s">
        <v>492</v>
      </c>
      <c r="Y728" s="400"/>
      <c r="Z728" s="283"/>
    </row>
    <row r="729" spans="2:26" ht="19.5" hidden="1" customHeight="1">
      <c r="B729" s="29">
        <f t="shared" si="33"/>
        <v>719</v>
      </c>
      <c r="C729" s="30" t="s">
        <v>202</v>
      </c>
      <c r="D729" s="30" t="s">
        <v>225</v>
      </c>
      <c r="E729" s="234" t="s">
        <v>1062</v>
      </c>
      <c r="F729" s="235" t="s">
        <v>1221</v>
      </c>
      <c r="G729" s="284" t="str">
        <f>IFERROR(VLOOKUP(E729,Assign!$C$2:$J$142,8,FALSE),)</f>
        <v>문선영</v>
      </c>
      <c r="H729" s="279" t="s">
        <v>6550</v>
      </c>
      <c r="I729" s="280" t="s">
        <v>5676</v>
      </c>
      <c r="J729" s="281" t="s">
        <v>3756</v>
      </c>
      <c r="K729" s="282">
        <v>44368</v>
      </c>
      <c r="L729" s="282">
        <v>55325</v>
      </c>
      <c r="M729" s="282">
        <v>45559</v>
      </c>
      <c r="N729" s="371">
        <v>100000000</v>
      </c>
      <c r="O729" s="444" t="s">
        <v>3866</v>
      </c>
      <c r="P729" s="397">
        <v>89100298</v>
      </c>
      <c r="Q729" s="397">
        <v>89100298</v>
      </c>
      <c r="R729" s="397"/>
      <c r="S729" s="398">
        <f t="shared" si="34"/>
        <v>89100298</v>
      </c>
      <c r="T729" s="353"/>
      <c r="U729" s="353">
        <f t="shared" si="35"/>
        <v>89100298</v>
      </c>
      <c r="V729" s="399"/>
      <c r="W729" s="399"/>
      <c r="X729" s="400" t="s">
        <v>492</v>
      </c>
      <c r="Y729" s="400"/>
      <c r="Z729" s="283"/>
    </row>
    <row r="730" spans="2:26" ht="19.5" hidden="1" customHeight="1">
      <c r="B730" s="29">
        <f t="shared" si="33"/>
        <v>720</v>
      </c>
      <c r="C730" s="30" t="s">
        <v>202</v>
      </c>
      <c r="D730" s="30" t="s">
        <v>225</v>
      </c>
      <c r="E730" s="234" t="s">
        <v>1063</v>
      </c>
      <c r="F730" s="235" t="s">
        <v>1225</v>
      </c>
      <c r="G730" s="284" t="str">
        <f>IFERROR(VLOOKUP(E730,Assign!$C$2:$J$142,8,FALSE),)</f>
        <v>문선영</v>
      </c>
      <c r="H730" s="279" t="s">
        <v>6710</v>
      </c>
      <c r="I730" s="280" t="s">
        <v>5997</v>
      </c>
      <c r="J730" s="281" t="s">
        <v>3756</v>
      </c>
      <c r="K730" s="282">
        <v>43731</v>
      </c>
      <c r="L730" s="282">
        <v>54689</v>
      </c>
      <c r="M730" s="282">
        <v>45559</v>
      </c>
      <c r="N730" s="371">
        <v>179500000</v>
      </c>
      <c r="O730" s="444" t="s">
        <v>3866</v>
      </c>
      <c r="P730" s="397">
        <v>147890976</v>
      </c>
      <c r="Q730" s="397">
        <v>147890976</v>
      </c>
      <c r="R730" s="397"/>
      <c r="S730" s="398">
        <f t="shared" si="34"/>
        <v>147890976</v>
      </c>
      <c r="T730" s="353"/>
      <c r="U730" s="353">
        <f t="shared" si="35"/>
        <v>147890976</v>
      </c>
      <c r="V730" s="399"/>
      <c r="W730" s="399"/>
      <c r="X730" s="400" t="s">
        <v>492</v>
      </c>
      <c r="Y730" s="400"/>
      <c r="Z730" s="283"/>
    </row>
    <row r="731" spans="2:26" ht="19.5" hidden="1" customHeight="1">
      <c r="B731" s="29">
        <f t="shared" si="33"/>
        <v>721</v>
      </c>
      <c r="C731" s="30" t="s">
        <v>202</v>
      </c>
      <c r="D731" s="30" t="s">
        <v>225</v>
      </c>
      <c r="E731" s="234" t="s">
        <v>1064</v>
      </c>
      <c r="F731" s="235" t="s">
        <v>1225</v>
      </c>
      <c r="G731" s="284">
        <f>IFERROR(VLOOKUP(E731,Assign!$C$2:$J$142,8,FALSE),)</f>
        <v>0</v>
      </c>
      <c r="H731" s="279" t="s">
        <v>6450</v>
      </c>
      <c r="I731" s="280" t="s">
        <v>5799</v>
      </c>
      <c r="J731" s="281" t="s">
        <v>3746</v>
      </c>
      <c r="K731" s="282">
        <v>38947</v>
      </c>
      <c r="L731" s="282">
        <v>49905</v>
      </c>
      <c r="M731" s="282">
        <v>45584</v>
      </c>
      <c r="N731" s="371">
        <v>360000000</v>
      </c>
      <c r="O731" s="444" t="s">
        <v>3866</v>
      </c>
      <c r="P731" s="397">
        <v>147411604</v>
      </c>
      <c r="Q731" s="397">
        <v>147411604</v>
      </c>
      <c r="R731" s="397"/>
      <c r="S731" s="398">
        <f t="shared" si="34"/>
        <v>147411604</v>
      </c>
      <c r="T731" s="353"/>
      <c r="U731" s="353">
        <f t="shared" si="35"/>
        <v>147411604</v>
      </c>
      <c r="V731" s="399"/>
      <c r="W731" s="399"/>
      <c r="X731" s="400" t="s">
        <v>492</v>
      </c>
      <c r="Y731" s="400"/>
      <c r="Z731" s="283"/>
    </row>
    <row r="732" spans="2:26" ht="19.5" hidden="1" customHeight="1">
      <c r="B732" s="29">
        <f t="shared" si="33"/>
        <v>722</v>
      </c>
      <c r="C732" s="30" t="s">
        <v>202</v>
      </c>
      <c r="D732" s="30" t="s">
        <v>225</v>
      </c>
      <c r="E732" s="234" t="s">
        <v>1065</v>
      </c>
      <c r="F732" s="235" t="s">
        <v>1223</v>
      </c>
      <c r="G732" s="284">
        <f>IFERROR(VLOOKUP(E732,Assign!$C$2:$J$142,8,FALSE),)</f>
        <v>0</v>
      </c>
      <c r="H732" s="279" t="s">
        <v>6704</v>
      </c>
      <c r="I732" s="280" t="s">
        <v>5996</v>
      </c>
      <c r="J732" s="281" t="s">
        <v>3756</v>
      </c>
      <c r="K732" s="282">
        <v>44057</v>
      </c>
      <c r="L732" s="282">
        <v>56840</v>
      </c>
      <c r="M732" s="282">
        <v>45245</v>
      </c>
      <c r="N732" s="371">
        <v>150000000</v>
      </c>
      <c r="O732" s="444" t="s">
        <v>3866</v>
      </c>
      <c r="P732" s="397">
        <v>143673239</v>
      </c>
      <c r="Q732" s="397">
        <v>143673239</v>
      </c>
      <c r="R732" s="397"/>
      <c r="S732" s="398">
        <f t="shared" si="34"/>
        <v>143673239</v>
      </c>
      <c r="T732" s="353"/>
      <c r="U732" s="353">
        <f t="shared" si="35"/>
        <v>143673239</v>
      </c>
      <c r="V732" s="399"/>
      <c r="W732" s="399"/>
      <c r="X732" s="400" t="s">
        <v>492</v>
      </c>
      <c r="Y732" s="400"/>
      <c r="Z732" s="283"/>
    </row>
    <row r="733" spans="2:26" ht="19.5" hidden="1" customHeight="1">
      <c r="B733" s="29">
        <f t="shared" si="33"/>
        <v>723</v>
      </c>
      <c r="C733" s="30" t="s">
        <v>202</v>
      </c>
      <c r="D733" s="30" t="s">
        <v>225</v>
      </c>
      <c r="E733" s="234" t="s">
        <v>1066</v>
      </c>
      <c r="F733" s="235" t="s">
        <v>1217</v>
      </c>
      <c r="G733" s="284" t="str">
        <f>IFERROR(VLOOKUP(E733,Assign!$C$2:$J$142,8,FALSE),)</f>
        <v>문선영</v>
      </c>
      <c r="H733" s="279" t="s">
        <v>6675</v>
      </c>
      <c r="I733" s="280" t="s">
        <v>5978</v>
      </c>
      <c r="J733" s="281" t="s">
        <v>3735</v>
      </c>
      <c r="K733" s="282">
        <v>43196</v>
      </c>
      <c r="L733" s="282">
        <v>54154</v>
      </c>
      <c r="M733" s="282">
        <v>45391</v>
      </c>
      <c r="N733" s="371">
        <v>160000000</v>
      </c>
      <c r="O733" s="444" t="s">
        <v>3866</v>
      </c>
      <c r="P733" s="397">
        <v>141783821</v>
      </c>
      <c r="Q733" s="397">
        <v>141783821</v>
      </c>
      <c r="R733" s="397"/>
      <c r="S733" s="398">
        <f t="shared" si="34"/>
        <v>141783821</v>
      </c>
      <c r="T733" s="353"/>
      <c r="U733" s="353">
        <f t="shared" si="35"/>
        <v>141783821</v>
      </c>
      <c r="V733" s="399"/>
      <c r="W733" s="399"/>
      <c r="X733" s="400" t="s">
        <v>492</v>
      </c>
      <c r="Y733" s="400"/>
      <c r="Z733" s="283"/>
    </row>
    <row r="734" spans="2:26" ht="19.5" hidden="1" customHeight="1">
      <c r="B734" s="29">
        <f t="shared" si="33"/>
        <v>724</v>
      </c>
      <c r="C734" s="30" t="s">
        <v>202</v>
      </c>
      <c r="D734" s="30" t="s">
        <v>225</v>
      </c>
      <c r="E734" s="234" t="s">
        <v>1067</v>
      </c>
      <c r="F734" s="235" t="s">
        <v>1225</v>
      </c>
      <c r="G734" s="284">
        <f>IFERROR(VLOOKUP(E734,Assign!$C$2:$J$142,8,FALSE),)</f>
        <v>0</v>
      </c>
      <c r="H734" s="279" t="s">
        <v>6433</v>
      </c>
      <c r="I734" s="280" t="s">
        <v>5790</v>
      </c>
      <c r="J734" s="281" t="s">
        <v>3735</v>
      </c>
      <c r="K734" s="282">
        <v>43560</v>
      </c>
      <c r="L734" s="282">
        <v>54518</v>
      </c>
      <c r="M734" s="282">
        <v>45022</v>
      </c>
      <c r="N734" s="371">
        <v>160000000</v>
      </c>
      <c r="O734" s="444" t="s">
        <v>3866</v>
      </c>
      <c r="P734" s="397">
        <v>140036912</v>
      </c>
      <c r="Q734" s="397">
        <v>140036912</v>
      </c>
      <c r="R734" s="397"/>
      <c r="S734" s="398">
        <f t="shared" si="34"/>
        <v>140036912</v>
      </c>
      <c r="T734" s="353"/>
      <c r="U734" s="353">
        <f t="shared" si="35"/>
        <v>140036912</v>
      </c>
      <c r="V734" s="399"/>
      <c r="W734" s="399"/>
      <c r="X734" s="400" t="s">
        <v>492</v>
      </c>
      <c r="Y734" s="400"/>
      <c r="Z734" s="283"/>
    </row>
    <row r="735" spans="2:26" ht="19.5" hidden="1" customHeight="1">
      <c r="B735" s="29">
        <f t="shared" si="33"/>
        <v>725</v>
      </c>
      <c r="C735" s="30" t="s">
        <v>202</v>
      </c>
      <c r="D735" s="30" t="s">
        <v>225</v>
      </c>
      <c r="E735" s="234" t="s">
        <v>1068</v>
      </c>
      <c r="F735" s="235" t="s">
        <v>1252</v>
      </c>
      <c r="G735" s="284">
        <f>IFERROR(VLOOKUP(E735,Assign!$C$2:$J$142,8,FALSE),)</f>
        <v>0</v>
      </c>
      <c r="H735" s="279" t="s">
        <v>6364</v>
      </c>
      <c r="I735" s="280" t="s">
        <v>5733</v>
      </c>
      <c r="J735" s="281" t="s">
        <v>3755</v>
      </c>
      <c r="K735" s="282">
        <v>41257</v>
      </c>
      <c r="L735" s="282">
        <v>52214</v>
      </c>
      <c r="M735" s="282">
        <v>45420</v>
      </c>
      <c r="N735" s="371">
        <v>100000000</v>
      </c>
      <c r="O735" s="444" t="s">
        <v>3866</v>
      </c>
      <c r="P735" s="397">
        <v>74666592</v>
      </c>
      <c r="Q735" s="397">
        <v>74666592</v>
      </c>
      <c r="R735" s="397"/>
      <c r="S735" s="398">
        <f t="shared" si="34"/>
        <v>74666592</v>
      </c>
      <c r="T735" s="353"/>
      <c r="U735" s="353">
        <f t="shared" si="35"/>
        <v>74666592</v>
      </c>
      <c r="V735" s="399"/>
      <c r="W735" s="399"/>
      <c r="X735" s="400" t="s">
        <v>492</v>
      </c>
      <c r="Y735" s="400"/>
      <c r="Z735" s="283"/>
    </row>
    <row r="736" spans="2:26" ht="19.5" hidden="1" customHeight="1">
      <c r="B736" s="29">
        <f t="shared" si="33"/>
        <v>726</v>
      </c>
      <c r="C736" s="30" t="s">
        <v>202</v>
      </c>
      <c r="D736" s="30" t="s">
        <v>225</v>
      </c>
      <c r="E736" s="234" t="s">
        <v>1068</v>
      </c>
      <c r="F736" s="235" t="s">
        <v>1252</v>
      </c>
      <c r="G736" s="284">
        <f>IFERROR(VLOOKUP(E736,Assign!$C$2:$J$142,8,FALSE),)</f>
        <v>0</v>
      </c>
      <c r="H736" s="279" t="s">
        <v>6365</v>
      </c>
      <c r="I736" s="280" t="s">
        <v>5734</v>
      </c>
      <c r="J736" s="281" t="s">
        <v>3755</v>
      </c>
      <c r="K736" s="282">
        <v>42521</v>
      </c>
      <c r="L736" s="282">
        <v>53478</v>
      </c>
      <c r="M736" s="282">
        <v>45413</v>
      </c>
      <c r="N736" s="371">
        <v>86000000</v>
      </c>
      <c r="O736" s="444" t="s">
        <v>3866</v>
      </c>
      <c r="P736" s="397">
        <v>63544208</v>
      </c>
      <c r="Q736" s="397">
        <v>63544208</v>
      </c>
      <c r="R736" s="397"/>
      <c r="S736" s="398">
        <f t="shared" si="34"/>
        <v>63544208</v>
      </c>
      <c r="T736" s="353"/>
      <c r="U736" s="353">
        <f t="shared" si="35"/>
        <v>63544208</v>
      </c>
      <c r="V736" s="399"/>
      <c r="W736" s="399"/>
      <c r="X736" s="400" t="s">
        <v>492</v>
      </c>
      <c r="Y736" s="400"/>
      <c r="Z736" s="283"/>
    </row>
    <row r="737" spans="2:26" ht="19.5" hidden="1" customHeight="1">
      <c r="B737" s="29">
        <f t="shared" si="33"/>
        <v>727</v>
      </c>
      <c r="C737" s="30" t="s">
        <v>202</v>
      </c>
      <c r="D737" s="30" t="s">
        <v>225</v>
      </c>
      <c r="E737" s="234" t="s">
        <v>1069</v>
      </c>
      <c r="F737" s="235" t="s">
        <v>1235</v>
      </c>
      <c r="G737" s="284">
        <f>IFERROR(VLOOKUP(E737,Assign!$C$2:$J$142,8,FALSE),)</f>
        <v>0</v>
      </c>
      <c r="H737" s="279" t="s">
        <v>6970</v>
      </c>
      <c r="I737" s="280" t="s">
        <v>6142</v>
      </c>
      <c r="J737" s="281" t="s">
        <v>3733</v>
      </c>
      <c r="K737" s="282">
        <v>43167</v>
      </c>
      <c r="L737" s="282">
        <v>45724</v>
      </c>
      <c r="M737" s="282">
        <v>45421</v>
      </c>
      <c r="N737" s="371">
        <v>137000000</v>
      </c>
      <c r="O737" s="444" t="s">
        <v>3866</v>
      </c>
      <c r="P737" s="397">
        <v>137000000</v>
      </c>
      <c r="Q737" s="397">
        <v>137000000</v>
      </c>
      <c r="R737" s="397"/>
      <c r="S737" s="398">
        <f t="shared" si="34"/>
        <v>137000000</v>
      </c>
      <c r="T737" s="353"/>
      <c r="U737" s="353">
        <f t="shared" si="35"/>
        <v>137000000</v>
      </c>
      <c r="V737" s="399"/>
      <c r="W737" s="399"/>
      <c r="X737" s="400" t="s">
        <v>492</v>
      </c>
      <c r="Y737" s="400"/>
      <c r="Z737" s="283"/>
    </row>
    <row r="738" spans="2:26" ht="19.5" hidden="1" customHeight="1">
      <c r="B738" s="29">
        <f t="shared" si="33"/>
        <v>728</v>
      </c>
      <c r="C738" s="30" t="s">
        <v>202</v>
      </c>
      <c r="D738" s="30" t="s">
        <v>225</v>
      </c>
      <c r="E738" s="234" t="s">
        <v>1070</v>
      </c>
      <c r="F738" s="235" t="s">
        <v>1318</v>
      </c>
      <c r="G738" s="284">
        <f>IFERROR(VLOOKUP(E738,Assign!$C$2:$J$142,8,FALSE),)</f>
        <v>0</v>
      </c>
      <c r="H738" s="279" t="s">
        <v>6837</v>
      </c>
      <c r="I738" s="280" t="s">
        <v>6075</v>
      </c>
      <c r="J738" s="281" t="s">
        <v>3741</v>
      </c>
      <c r="K738" s="282">
        <v>43342</v>
      </c>
      <c r="L738" s="282">
        <v>54300</v>
      </c>
      <c r="M738" s="282">
        <v>45566</v>
      </c>
      <c r="N738" s="371">
        <v>156000000</v>
      </c>
      <c r="O738" s="444" t="s">
        <v>3866</v>
      </c>
      <c r="P738" s="397">
        <v>136867403</v>
      </c>
      <c r="Q738" s="397">
        <v>136867403</v>
      </c>
      <c r="R738" s="397"/>
      <c r="S738" s="398">
        <f t="shared" si="34"/>
        <v>136867403</v>
      </c>
      <c r="T738" s="353"/>
      <c r="U738" s="353">
        <f t="shared" si="35"/>
        <v>136867403</v>
      </c>
      <c r="V738" s="399"/>
      <c r="W738" s="399"/>
      <c r="X738" s="400" t="s">
        <v>492</v>
      </c>
      <c r="Y738" s="400"/>
      <c r="Z738" s="283"/>
    </row>
    <row r="739" spans="2:26" ht="19.5" hidden="1" customHeight="1">
      <c r="B739" s="29">
        <f t="shared" si="33"/>
        <v>729</v>
      </c>
      <c r="C739" s="30" t="s">
        <v>202</v>
      </c>
      <c r="D739" s="30" t="s">
        <v>225</v>
      </c>
      <c r="E739" s="234" t="s">
        <v>1071</v>
      </c>
      <c r="F739" s="235" t="s">
        <v>1244</v>
      </c>
      <c r="G739" s="284">
        <f>IFERROR(VLOOKUP(E739,Assign!$C$2:$J$142,8,FALSE),)</f>
        <v>0</v>
      </c>
      <c r="H739" s="279" t="s">
        <v>6836</v>
      </c>
      <c r="I739" s="280" t="s">
        <v>6074</v>
      </c>
      <c r="J739" s="281" t="s">
        <v>3797</v>
      </c>
      <c r="K739" s="282">
        <v>43189</v>
      </c>
      <c r="L739" s="282">
        <v>54147</v>
      </c>
      <c r="M739" s="282">
        <v>45504</v>
      </c>
      <c r="N739" s="371">
        <v>165000000</v>
      </c>
      <c r="O739" s="444" t="s">
        <v>3866</v>
      </c>
      <c r="P739" s="397">
        <v>135129045</v>
      </c>
      <c r="Q739" s="397">
        <v>135129045</v>
      </c>
      <c r="R739" s="397"/>
      <c r="S739" s="398">
        <f t="shared" si="34"/>
        <v>135129045</v>
      </c>
      <c r="T739" s="353"/>
      <c r="U739" s="353">
        <f t="shared" si="35"/>
        <v>135129045</v>
      </c>
      <c r="V739" s="399"/>
      <c r="W739" s="399"/>
      <c r="X739" s="400" t="s">
        <v>492</v>
      </c>
      <c r="Y739" s="400"/>
      <c r="Z739" s="283"/>
    </row>
    <row r="740" spans="2:26" ht="19.5" hidden="1" customHeight="1">
      <c r="B740" s="29">
        <f t="shared" si="33"/>
        <v>730</v>
      </c>
      <c r="C740" s="30" t="s">
        <v>202</v>
      </c>
      <c r="D740" s="30" t="s">
        <v>225</v>
      </c>
      <c r="E740" s="234" t="s">
        <v>1072</v>
      </c>
      <c r="F740" s="235" t="s">
        <v>1225</v>
      </c>
      <c r="G740" s="284" t="str">
        <f>IFERROR(VLOOKUP(E740,Assign!$C$2:$J$142,8,FALSE),)</f>
        <v>문선영</v>
      </c>
      <c r="H740" s="279" t="s">
        <v>6730</v>
      </c>
      <c r="I740" s="280" t="s">
        <v>5871</v>
      </c>
      <c r="J740" s="281" t="s">
        <v>3735</v>
      </c>
      <c r="K740" s="282">
        <v>42101</v>
      </c>
      <c r="L740" s="282">
        <v>53059</v>
      </c>
      <c r="M740" s="282">
        <v>45482</v>
      </c>
      <c r="N740" s="371">
        <v>158000000</v>
      </c>
      <c r="O740" s="444" t="s">
        <v>3866</v>
      </c>
      <c r="P740" s="397">
        <v>101996719</v>
      </c>
      <c r="Q740" s="397">
        <v>101996719</v>
      </c>
      <c r="R740" s="397"/>
      <c r="S740" s="398">
        <f t="shared" si="34"/>
        <v>101996719</v>
      </c>
      <c r="T740" s="353"/>
      <c r="U740" s="353">
        <f t="shared" si="35"/>
        <v>101996719</v>
      </c>
      <c r="V740" s="399"/>
      <c r="W740" s="399"/>
      <c r="X740" s="400" t="s">
        <v>492</v>
      </c>
      <c r="Y740" s="400"/>
      <c r="Z740" s="283"/>
    </row>
    <row r="741" spans="2:26" ht="19.5" hidden="1" customHeight="1">
      <c r="B741" s="29">
        <f t="shared" si="33"/>
        <v>731</v>
      </c>
      <c r="C741" s="30" t="s">
        <v>202</v>
      </c>
      <c r="D741" s="30" t="s">
        <v>225</v>
      </c>
      <c r="E741" s="234" t="s">
        <v>1072</v>
      </c>
      <c r="F741" s="235" t="s">
        <v>1225</v>
      </c>
      <c r="G741" s="284" t="str">
        <f>IFERROR(VLOOKUP(E741,Assign!$C$2:$J$142,8,FALSE),)</f>
        <v>문선영</v>
      </c>
      <c r="H741" s="279" t="s">
        <v>6731</v>
      </c>
      <c r="I741" s="280" t="s">
        <v>6011</v>
      </c>
      <c r="J741" s="281" t="s">
        <v>3742</v>
      </c>
      <c r="K741" s="282">
        <v>42285</v>
      </c>
      <c r="L741" s="282">
        <v>53243</v>
      </c>
      <c r="M741" s="282">
        <v>45454</v>
      </c>
      <c r="N741" s="371">
        <v>40500000</v>
      </c>
      <c r="O741" s="444" t="s">
        <v>3866</v>
      </c>
      <c r="P741" s="397">
        <v>31874514</v>
      </c>
      <c r="Q741" s="397">
        <v>31874514</v>
      </c>
      <c r="R741" s="397"/>
      <c r="S741" s="398">
        <f t="shared" si="34"/>
        <v>31874514</v>
      </c>
      <c r="T741" s="353"/>
      <c r="U741" s="353">
        <f t="shared" si="35"/>
        <v>31874514</v>
      </c>
      <c r="V741" s="399"/>
      <c r="W741" s="399"/>
      <c r="X741" s="400" t="s">
        <v>492</v>
      </c>
      <c r="Y741" s="400"/>
      <c r="Z741" s="283"/>
    </row>
    <row r="742" spans="2:26" ht="19.5" hidden="1" customHeight="1">
      <c r="B742" s="29">
        <f t="shared" si="33"/>
        <v>732</v>
      </c>
      <c r="C742" s="30" t="s">
        <v>202</v>
      </c>
      <c r="D742" s="30" t="s">
        <v>225</v>
      </c>
      <c r="E742" s="234" t="s">
        <v>1073</v>
      </c>
      <c r="F742" s="235" t="s">
        <v>1279</v>
      </c>
      <c r="G742" s="284">
        <f>IFERROR(VLOOKUP(E742,Assign!$C$2:$J$142,8,FALSE),)</f>
        <v>0</v>
      </c>
      <c r="H742" s="279" t="s">
        <v>6746</v>
      </c>
      <c r="I742" s="280" t="s">
        <v>5724</v>
      </c>
      <c r="J742" s="281" t="s">
        <v>3735</v>
      </c>
      <c r="K742" s="282">
        <v>42930</v>
      </c>
      <c r="L742" s="282">
        <v>53887</v>
      </c>
      <c r="M742" s="282">
        <v>45275</v>
      </c>
      <c r="N742" s="371">
        <v>154000000</v>
      </c>
      <c r="O742" s="444" t="s">
        <v>3866</v>
      </c>
      <c r="P742" s="397">
        <v>133831092</v>
      </c>
      <c r="Q742" s="397">
        <v>133831092</v>
      </c>
      <c r="R742" s="397"/>
      <c r="S742" s="398">
        <f t="shared" si="34"/>
        <v>133831092</v>
      </c>
      <c r="T742" s="353"/>
      <c r="U742" s="353">
        <f t="shared" si="35"/>
        <v>133831092</v>
      </c>
      <c r="V742" s="399"/>
      <c r="W742" s="399"/>
      <c r="X742" s="400" t="s">
        <v>492</v>
      </c>
      <c r="Y742" s="400"/>
      <c r="Z742" s="283"/>
    </row>
    <row r="743" spans="2:26" ht="19.5" hidden="1" customHeight="1">
      <c r="B743" s="29">
        <f t="shared" si="33"/>
        <v>733</v>
      </c>
      <c r="C743" s="30" t="s">
        <v>202</v>
      </c>
      <c r="D743" s="30" t="s">
        <v>225</v>
      </c>
      <c r="E743" s="234" t="s">
        <v>1074</v>
      </c>
      <c r="F743" s="235" t="s">
        <v>1227</v>
      </c>
      <c r="G743" s="284">
        <f>IFERROR(VLOOKUP(E743,Assign!$C$2:$J$142,8,FALSE),)</f>
        <v>0</v>
      </c>
      <c r="H743" s="279" t="s">
        <v>6685</v>
      </c>
      <c r="I743" s="280" t="s">
        <v>5971</v>
      </c>
      <c r="J743" s="281" t="s">
        <v>3735</v>
      </c>
      <c r="K743" s="282">
        <v>44267</v>
      </c>
      <c r="L743" s="282">
        <v>55224</v>
      </c>
      <c r="M743" s="282">
        <v>45671</v>
      </c>
      <c r="N743" s="371">
        <v>152000000</v>
      </c>
      <c r="O743" s="444" t="s">
        <v>3866</v>
      </c>
      <c r="P743" s="397">
        <v>132999930</v>
      </c>
      <c r="Q743" s="397">
        <v>132999930</v>
      </c>
      <c r="R743" s="397"/>
      <c r="S743" s="398">
        <f t="shared" si="34"/>
        <v>132999930</v>
      </c>
      <c r="T743" s="353"/>
      <c r="U743" s="353">
        <f t="shared" si="35"/>
        <v>132999930</v>
      </c>
      <c r="V743" s="399"/>
      <c r="W743" s="399"/>
      <c r="X743" s="400" t="s">
        <v>492</v>
      </c>
      <c r="Y743" s="400"/>
      <c r="Z743" s="283"/>
    </row>
    <row r="744" spans="2:26" ht="19.5" hidden="1" customHeight="1">
      <c r="B744" s="29">
        <f t="shared" si="33"/>
        <v>734</v>
      </c>
      <c r="C744" s="30" t="s">
        <v>202</v>
      </c>
      <c r="D744" s="30" t="s">
        <v>225</v>
      </c>
      <c r="E744" s="234" t="s">
        <v>1075</v>
      </c>
      <c r="F744" s="235" t="s">
        <v>1231</v>
      </c>
      <c r="G744" s="284">
        <f>IFERROR(VLOOKUP(E744,Assign!$C$2:$J$142,8,FALSE),)</f>
        <v>0</v>
      </c>
      <c r="H744" s="279" t="s">
        <v>7038</v>
      </c>
      <c r="I744" s="280" t="s">
        <v>6046</v>
      </c>
      <c r="J744" s="281" t="s">
        <v>3733</v>
      </c>
      <c r="K744" s="282">
        <v>45499</v>
      </c>
      <c r="L744" s="282">
        <v>46594</v>
      </c>
      <c r="M744" s="282">
        <v>45623</v>
      </c>
      <c r="N744" s="371">
        <v>130000000</v>
      </c>
      <c r="O744" s="444" t="s">
        <v>3866</v>
      </c>
      <c r="P744" s="397">
        <v>130000000</v>
      </c>
      <c r="Q744" s="397">
        <v>130000000</v>
      </c>
      <c r="R744" s="397"/>
      <c r="S744" s="398">
        <f t="shared" si="34"/>
        <v>130000000</v>
      </c>
      <c r="T744" s="353"/>
      <c r="U744" s="353">
        <f t="shared" si="35"/>
        <v>130000000</v>
      </c>
      <c r="V744" s="399"/>
      <c r="W744" s="399"/>
      <c r="X744" s="400" t="s">
        <v>492</v>
      </c>
      <c r="Y744" s="400"/>
      <c r="Z744" s="283"/>
    </row>
    <row r="745" spans="2:26" ht="19.5" hidden="1" customHeight="1">
      <c r="B745" s="29">
        <f t="shared" si="33"/>
        <v>735</v>
      </c>
      <c r="C745" s="30" t="s">
        <v>202</v>
      </c>
      <c r="D745" s="30" t="s">
        <v>225</v>
      </c>
      <c r="E745" s="234" t="s">
        <v>1076</v>
      </c>
      <c r="F745" s="235" t="s">
        <v>1229</v>
      </c>
      <c r="G745" s="284" t="str">
        <f>IFERROR(VLOOKUP(E745,Assign!$C$2:$J$142,8,FALSE),)</f>
        <v>문선영</v>
      </c>
      <c r="H745" s="279" t="s">
        <v>6432</v>
      </c>
      <c r="I745" s="280" t="s">
        <v>5789</v>
      </c>
      <c r="J745" s="281" t="s">
        <v>3733</v>
      </c>
      <c r="K745" s="282">
        <v>41522</v>
      </c>
      <c r="L745" s="282">
        <v>45721</v>
      </c>
      <c r="M745" s="282">
        <v>45666</v>
      </c>
      <c r="N745" s="371">
        <v>130000000</v>
      </c>
      <c r="O745" s="444" t="s">
        <v>3866</v>
      </c>
      <c r="P745" s="397">
        <v>130000000</v>
      </c>
      <c r="Q745" s="397">
        <v>130000000</v>
      </c>
      <c r="R745" s="397"/>
      <c r="S745" s="398">
        <f t="shared" si="34"/>
        <v>130000000</v>
      </c>
      <c r="T745" s="353"/>
      <c r="U745" s="353">
        <f t="shared" si="35"/>
        <v>130000000</v>
      </c>
      <c r="V745" s="399"/>
      <c r="W745" s="399"/>
      <c r="X745" s="400" t="s">
        <v>492</v>
      </c>
      <c r="Y745" s="400"/>
      <c r="Z745" s="283"/>
    </row>
    <row r="746" spans="2:26" ht="19.5" hidden="1" customHeight="1">
      <c r="B746" s="29">
        <f t="shared" si="33"/>
        <v>736</v>
      </c>
      <c r="C746" s="30" t="s">
        <v>202</v>
      </c>
      <c r="D746" s="30" t="s">
        <v>225</v>
      </c>
      <c r="E746" s="234" t="s">
        <v>1077</v>
      </c>
      <c r="F746" s="235" t="s">
        <v>1231</v>
      </c>
      <c r="G746" s="284">
        <f>IFERROR(VLOOKUP(E746,Assign!$C$2:$J$142,8,FALSE),)</f>
        <v>0</v>
      </c>
      <c r="H746" s="279" t="s">
        <v>6319</v>
      </c>
      <c r="I746" s="280" t="s">
        <v>5694</v>
      </c>
      <c r="J746" s="281" t="s">
        <v>3756</v>
      </c>
      <c r="K746" s="282">
        <v>45419</v>
      </c>
      <c r="L746" s="282">
        <v>60029</v>
      </c>
      <c r="M746" s="282">
        <v>45573</v>
      </c>
      <c r="N746" s="371">
        <v>130000000</v>
      </c>
      <c r="O746" s="444" t="s">
        <v>3866</v>
      </c>
      <c r="P746" s="397">
        <v>128916508</v>
      </c>
      <c r="Q746" s="397">
        <v>128916508</v>
      </c>
      <c r="R746" s="397"/>
      <c r="S746" s="398">
        <f t="shared" si="34"/>
        <v>128916508</v>
      </c>
      <c r="T746" s="353"/>
      <c r="U746" s="353">
        <f t="shared" si="35"/>
        <v>128916508</v>
      </c>
      <c r="V746" s="399"/>
      <c r="W746" s="399"/>
      <c r="X746" s="400" t="s">
        <v>492</v>
      </c>
      <c r="Y746" s="400"/>
      <c r="Z746" s="283"/>
    </row>
    <row r="747" spans="2:26" ht="19.5" hidden="1" customHeight="1">
      <c r="B747" s="29">
        <f t="shared" si="33"/>
        <v>737</v>
      </c>
      <c r="C747" s="30" t="s">
        <v>202</v>
      </c>
      <c r="D747" s="30" t="s">
        <v>225</v>
      </c>
      <c r="E747" s="234" t="s">
        <v>1078</v>
      </c>
      <c r="F747" s="235" t="s">
        <v>1217</v>
      </c>
      <c r="G747" s="284">
        <f>IFERROR(VLOOKUP(E747,Assign!$C$2:$J$142,8,FALSE),)</f>
        <v>0</v>
      </c>
      <c r="H747" s="279" t="s">
        <v>6415</v>
      </c>
      <c r="I747" s="280" t="s">
        <v>5774</v>
      </c>
      <c r="J747" s="281" t="s">
        <v>3735</v>
      </c>
      <c r="K747" s="282">
        <v>42124</v>
      </c>
      <c r="L747" s="282">
        <v>53082</v>
      </c>
      <c r="M747" s="282">
        <v>45294</v>
      </c>
      <c r="N747" s="371">
        <v>127000000</v>
      </c>
      <c r="O747" s="444" t="s">
        <v>3866</v>
      </c>
      <c r="P747" s="397">
        <v>90870591</v>
      </c>
      <c r="Q747" s="397">
        <v>90870591</v>
      </c>
      <c r="R747" s="397"/>
      <c r="S747" s="398">
        <f t="shared" si="34"/>
        <v>90870591</v>
      </c>
      <c r="T747" s="353"/>
      <c r="U747" s="353">
        <f t="shared" si="35"/>
        <v>90870591</v>
      </c>
      <c r="V747" s="399"/>
      <c r="W747" s="399"/>
      <c r="X747" s="400" t="s">
        <v>492</v>
      </c>
      <c r="Y747" s="400"/>
      <c r="Z747" s="283"/>
    </row>
    <row r="748" spans="2:26" ht="19.5" hidden="1" customHeight="1">
      <c r="B748" s="29">
        <f t="shared" si="33"/>
        <v>738</v>
      </c>
      <c r="C748" s="30" t="s">
        <v>202</v>
      </c>
      <c r="D748" s="30" t="s">
        <v>225</v>
      </c>
      <c r="E748" s="234" t="s">
        <v>1078</v>
      </c>
      <c r="F748" s="235" t="s">
        <v>1217</v>
      </c>
      <c r="G748" s="284">
        <f>IFERROR(VLOOKUP(E748,Assign!$C$2:$J$142,8,FALSE),)</f>
        <v>0</v>
      </c>
      <c r="H748" s="279" t="s">
        <v>6416</v>
      </c>
      <c r="I748" s="280" t="s">
        <v>5775</v>
      </c>
      <c r="J748" s="281" t="s">
        <v>3735</v>
      </c>
      <c r="K748" s="282">
        <v>42669</v>
      </c>
      <c r="L748" s="282">
        <v>53626</v>
      </c>
      <c r="M748" s="282">
        <v>45287</v>
      </c>
      <c r="N748" s="371">
        <v>44500000</v>
      </c>
      <c r="O748" s="444" t="s">
        <v>3866</v>
      </c>
      <c r="P748" s="397">
        <v>37974949</v>
      </c>
      <c r="Q748" s="397">
        <v>37974949</v>
      </c>
      <c r="R748" s="397"/>
      <c r="S748" s="398">
        <f t="shared" si="34"/>
        <v>37974949</v>
      </c>
      <c r="T748" s="353"/>
      <c r="U748" s="353">
        <f t="shared" si="35"/>
        <v>37974949</v>
      </c>
      <c r="V748" s="399"/>
      <c r="W748" s="399"/>
      <c r="X748" s="400" t="s">
        <v>492</v>
      </c>
      <c r="Y748" s="400"/>
      <c r="Z748" s="283"/>
    </row>
    <row r="749" spans="2:26" ht="19.5" hidden="1" customHeight="1">
      <c r="B749" s="29">
        <f t="shared" si="33"/>
        <v>739</v>
      </c>
      <c r="C749" s="30" t="s">
        <v>202</v>
      </c>
      <c r="D749" s="30" t="s">
        <v>225</v>
      </c>
      <c r="E749" s="234" t="s">
        <v>1079</v>
      </c>
      <c r="F749" s="235" t="s">
        <v>1225</v>
      </c>
      <c r="G749" s="284">
        <f>IFERROR(VLOOKUP(E749,Assign!$C$2:$J$142,8,FALSE),)</f>
        <v>0</v>
      </c>
      <c r="H749" s="279" t="s">
        <v>6595</v>
      </c>
      <c r="I749" s="280" t="s">
        <v>5894</v>
      </c>
      <c r="J749" s="281" t="s">
        <v>3784</v>
      </c>
      <c r="K749" s="282">
        <v>45149</v>
      </c>
      <c r="L749" s="282">
        <v>59759</v>
      </c>
      <c r="M749" s="282">
        <v>45577</v>
      </c>
      <c r="N749" s="371">
        <v>128000000</v>
      </c>
      <c r="O749" s="444" t="s">
        <v>3866</v>
      </c>
      <c r="P749" s="397">
        <v>127726368</v>
      </c>
      <c r="Q749" s="397">
        <v>127726368</v>
      </c>
      <c r="R749" s="397"/>
      <c r="S749" s="398">
        <f t="shared" si="34"/>
        <v>127726368</v>
      </c>
      <c r="T749" s="353"/>
      <c r="U749" s="353">
        <f t="shared" si="35"/>
        <v>127726368</v>
      </c>
      <c r="V749" s="399"/>
      <c r="W749" s="399"/>
      <c r="X749" s="400" t="s">
        <v>492</v>
      </c>
      <c r="Y749" s="400"/>
      <c r="Z749" s="283"/>
    </row>
    <row r="750" spans="2:26" ht="19.5" hidden="1" customHeight="1">
      <c r="B750" s="29">
        <f t="shared" si="33"/>
        <v>740</v>
      </c>
      <c r="C750" s="30" t="s">
        <v>202</v>
      </c>
      <c r="D750" s="30" t="s">
        <v>225</v>
      </c>
      <c r="E750" s="234" t="s">
        <v>1080</v>
      </c>
      <c r="F750" s="235" t="s">
        <v>1232</v>
      </c>
      <c r="G750" s="284" t="str">
        <f>IFERROR(VLOOKUP(E750,Assign!$C$2:$J$142,8,FALSE),)</f>
        <v>문선영</v>
      </c>
      <c r="H750" s="279" t="s">
        <v>6989</v>
      </c>
      <c r="I750" s="280" t="s">
        <v>6151</v>
      </c>
      <c r="J750" s="281" t="s">
        <v>3735</v>
      </c>
      <c r="K750" s="282">
        <v>43276</v>
      </c>
      <c r="L750" s="282">
        <v>54234</v>
      </c>
      <c r="M750" s="282">
        <v>45408</v>
      </c>
      <c r="N750" s="371">
        <v>142000000</v>
      </c>
      <c r="O750" s="444" t="s">
        <v>3866</v>
      </c>
      <c r="P750" s="397">
        <v>124316347</v>
      </c>
      <c r="Q750" s="397">
        <v>124316347</v>
      </c>
      <c r="R750" s="397"/>
      <c r="S750" s="398">
        <f t="shared" si="34"/>
        <v>124316347</v>
      </c>
      <c r="T750" s="353"/>
      <c r="U750" s="353">
        <f t="shared" si="35"/>
        <v>124316347</v>
      </c>
      <c r="V750" s="399"/>
      <c r="W750" s="399"/>
      <c r="X750" s="400" t="s">
        <v>492</v>
      </c>
      <c r="Y750" s="400"/>
      <c r="Z750" s="283"/>
    </row>
    <row r="751" spans="2:26" ht="19.5" hidden="1" customHeight="1">
      <c r="B751" s="29">
        <f t="shared" si="33"/>
        <v>741</v>
      </c>
      <c r="C751" s="30" t="s">
        <v>202</v>
      </c>
      <c r="D751" s="30" t="s">
        <v>225</v>
      </c>
      <c r="E751" s="234" t="s">
        <v>1081</v>
      </c>
      <c r="F751" s="235" t="s">
        <v>1229</v>
      </c>
      <c r="G751" s="284">
        <f>IFERROR(VLOOKUP(E751,Assign!$C$2:$J$142,8,FALSE),)</f>
        <v>0</v>
      </c>
      <c r="H751" s="279" t="s">
        <v>6523</v>
      </c>
      <c r="I751" s="280" t="s">
        <v>5859</v>
      </c>
      <c r="J751" s="281" t="s">
        <v>3756</v>
      </c>
      <c r="K751" s="282">
        <v>39568</v>
      </c>
      <c r="L751" s="282">
        <v>50525</v>
      </c>
      <c r="M751" s="282">
        <v>45231</v>
      </c>
      <c r="N751" s="371">
        <v>172000000</v>
      </c>
      <c r="O751" s="444" t="s">
        <v>3866</v>
      </c>
      <c r="P751" s="397">
        <v>125416550</v>
      </c>
      <c r="Q751" s="397">
        <v>125416550</v>
      </c>
      <c r="R751" s="397"/>
      <c r="S751" s="398">
        <f t="shared" si="34"/>
        <v>125416550</v>
      </c>
      <c r="T751" s="353"/>
      <c r="U751" s="353">
        <f t="shared" si="35"/>
        <v>125416550</v>
      </c>
      <c r="V751" s="399"/>
      <c r="W751" s="399"/>
      <c r="X751" s="400" t="s">
        <v>492</v>
      </c>
      <c r="Y751" s="400"/>
      <c r="Z751" s="283"/>
    </row>
    <row r="752" spans="2:26" ht="19.5" hidden="1" customHeight="1">
      <c r="B752" s="29">
        <f t="shared" si="33"/>
        <v>742</v>
      </c>
      <c r="C752" s="30" t="s">
        <v>202</v>
      </c>
      <c r="D752" s="30" t="s">
        <v>225</v>
      </c>
      <c r="E752" s="234" t="s">
        <v>1082</v>
      </c>
      <c r="F752" s="235" t="s">
        <v>1260</v>
      </c>
      <c r="G752" s="284">
        <f>IFERROR(VLOOKUP(E752,Assign!$C$2:$J$142,8,FALSE),)</f>
        <v>0</v>
      </c>
      <c r="H752" s="279" t="s">
        <v>6623</v>
      </c>
      <c r="I752" s="280" t="s">
        <v>5936</v>
      </c>
      <c r="J752" s="281" t="s">
        <v>3735</v>
      </c>
      <c r="K752" s="282">
        <v>44866</v>
      </c>
      <c r="L752" s="282">
        <v>59476</v>
      </c>
      <c r="M752" s="282">
        <v>45568</v>
      </c>
      <c r="N752" s="371">
        <v>130000000</v>
      </c>
      <c r="O752" s="444" t="s">
        <v>3866</v>
      </c>
      <c r="P752" s="397">
        <v>124041514</v>
      </c>
      <c r="Q752" s="397">
        <v>124041514</v>
      </c>
      <c r="R752" s="397"/>
      <c r="S752" s="398">
        <f t="shared" si="34"/>
        <v>124041514</v>
      </c>
      <c r="T752" s="353"/>
      <c r="U752" s="353">
        <f t="shared" si="35"/>
        <v>124041514</v>
      </c>
      <c r="V752" s="399"/>
      <c r="W752" s="399"/>
      <c r="X752" s="400" t="s">
        <v>492</v>
      </c>
      <c r="Y752" s="400"/>
      <c r="Z752" s="283"/>
    </row>
    <row r="753" spans="2:26" ht="19.5" hidden="1" customHeight="1">
      <c r="B753" s="29">
        <f t="shared" si="33"/>
        <v>743</v>
      </c>
      <c r="C753" s="30" t="s">
        <v>202</v>
      </c>
      <c r="D753" s="30" t="s">
        <v>225</v>
      </c>
      <c r="E753" s="234" t="s">
        <v>1083</v>
      </c>
      <c r="F753" s="235" t="s">
        <v>1229</v>
      </c>
      <c r="G753" s="284">
        <f>IFERROR(VLOOKUP(E753,Assign!$C$2:$J$142,8,FALSE),)</f>
        <v>0</v>
      </c>
      <c r="H753" s="279" t="s">
        <v>6761</v>
      </c>
      <c r="I753" s="280" t="s">
        <v>6004</v>
      </c>
      <c r="J753" s="281" t="s">
        <v>3735</v>
      </c>
      <c r="K753" s="282">
        <v>43244</v>
      </c>
      <c r="L753" s="282">
        <v>54202</v>
      </c>
      <c r="M753" s="282">
        <v>45590</v>
      </c>
      <c r="N753" s="371">
        <v>140000000</v>
      </c>
      <c r="O753" s="444" t="s">
        <v>3866</v>
      </c>
      <c r="P753" s="397">
        <v>122950299</v>
      </c>
      <c r="Q753" s="397">
        <v>122950299</v>
      </c>
      <c r="R753" s="397"/>
      <c r="S753" s="398">
        <f t="shared" si="34"/>
        <v>122950299</v>
      </c>
      <c r="T753" s="353"/>
      <c r="U753" s="353">
        <f t="shared" si="35"/>
        <v>122950299</v>
      </c>
      <c r="V753" s="399"/>
      <c r="W753" s="399"/>
      <c r="X753" s="400" t="s">
        <v>492</v>
      </c>
      <c r="Y753" s="400"/>
      <c r="Z753" s="283"/>
    </row>
    <row r="754" spans="2:26" ht="19.5" hidden="1" customHeight="1">
      <c r="B754" s="29">
        <f t="shared" si="33"/>
        <v>744</v>
      </c>
      <c r="C754" s="30" t="s">
        <v>202</v>
      </c>
      <c r="D754" s="30" t="s">
        <v>225</v>
      </c>
      <c r="E754" s="234" t="s">
        <v>1084</v>
      </c>
      <c r="F754" s="235" t="s">
        <v>1217</v>
      </c>
      <c r="G754" s="284">
        <f>IFERROR(VLOOKUP(E754,Assign!$C$2:$J$142,8,FALSE),)</f>
        <v>0</v>
      </c>
      <c r="H754" s="279" t="s">
        <v>6287</v>
      </c>
      <c r="I754" s="280" t="s">
        <v>5663</v>
      </c>
      <c r="J754" s="281" t="s">
        <v>3735</v>
      </c>
      <c r="K754" s="282">
        <v>42969</v>
      </c>
      <c r="L754" s="282">
        <v>53926</v>
      </c>
      <c r="M754" s="282">
        <v>45496</v>
      </c>
      <c r="N754" s="371">
        <v>143000000</v>
      </c>
      <c r="O754" s="444" t="s">
        <v>3866</v>
      </c>
      <c r="P754" s="397">
        <v>122557231</v>
      </c>
      <c r="Q754" s="397">
        <v>122557231</v>
      </c>
      <c r="R754" s="397"/>
      <c r="S754" s="398">
        <f t="shared" si="34"/>
        <v>122557231</v>
      </c>
      <c r="T754" s="353"/>
      <c r="U754" s="353">
        <f t="shared" si="35"/>
        <v>122557231</v>
      </c>
      <c r="V754" s="399"/>
      <c r="W754" s="399"/>
      <c r="X754" s="400" t="s">
        <v>492</v>
      </c>
      <c r="Y754" s="400"/>
      <c r="Z754" s="283"/>
    </row>
    <row r="755" spans="2:26" ht="19.5" hidden="1" customHeight="1">
      <c r="B755" s="29">
        <f t="shared" si="33"/>
        <v>745</v>
      </c>
      <c r="C755" s="30" t="s">
        <v>202</v>
      </c>
      <c r="D755" s="30" t="s">
        <v>225</v>
      </c>
      <c r="E755" s="234" t="s">
        <v>1085</v>
      </c>
      <c r="F755" s="235" t="s">
        <v>1218</v>
      </c>
      <c r="G755" s="284">
        <f>IFERROR(VLOOKUP(E755,Assign!$C$2:$J$142,8,FALSE),)</f>
        <v>0</v>
      </c>
      <c r="H755" s="279" t="s">
        <v>6597</v>
      </c>
      <c r="I755" s="280" t="s">
        <v>5917</v>
      </c>
      <c r="J755" s="281" t="s">
        <v>3735</v>
      </c>
      <c r="K755" s="282">
        <v>42625</v>
      </c>
      <c r="L755" s="282">
        <v>53582</v>
      </c>
      <c r="M755" s="282">
        <v>45609</v>
      </c>
      <c r="N755" s="371">
        <v>150000000</v>
      </c>
      <c r="O755" s="444" t="s">
        <v>3866</v>
      </c>
      <c r="P755" s="397">
        <v>122529874</v>
      </c>
      <c r="Q755" s="397">
        <v>122529874</v>
      </c>
      <c r="R755" s="397"/>
      <c r="S755" s="398">
        <f t="shared" si="34"/>
        <v>122529874</v>
      </c>
      <c r="T755" s="353"/>
      <c r="U755" s="353">
        <f t="shared" si="35"/>
        <v>122529874</v>
      </c>
      <c r="V755" s="399"/>
      <c r="W755" s="399"/>
      <c r="X755" s="400" t="s">
        <v>492</v>
      </c>
      <c r="Y755" s="400"/>
      <c r="Z755" s="283"/>
    </row>
    <row r="756" spans="2:26" ht="19.5" hidden="1" customHeight="1">
      <c r="B756" s="29">
        <f t="shared" si="33"/>
        <v>746</v>
      </c>
      <c r="C756" s="30" t="s">
        <v>202</v>
      </c>
      <c r="D756" s="30" t="s">
        <v>225</v>
      </c>
      <c r="E756" s="234" t="s">
        <v>1086</v>
      </c>
      <c r="F756" s="235" t="s">
        <v>1221</v>
      </c>
      <c r="G756" s="284">
        <f>IFERROR(VLOOKUP(E756,Assign!$C$2:$J$142,8,FALSE),)</f>
        <v>0</v>
      </c>
      <c r="H756" s="279" t="s">
        <v>7009</v>
      </c>
      <c r="I756" s="280" t="s">
        <v>5651</v>
      </c>
      <c r="J756" s="281" t="s">
        <v>3735</v>
      </c>
      <c r="K756" s="282">
        <v>43601</v>
      </c>
      <c r="L756" s="282">
        <v>54559</v>
      </c>
      <c r="M756" s="282">
        <v>45582</v>
      </c>
      <c r="N756" s="371">
        <v>138000000</v>
      </c>
      <c r="O756" s="444" t="s">
        <v>3866</v>
      </c>
      <c r="P756" s="397">
        <v>122267871</v>
      </c>
      <c r="Q756" s="397">
        <v>122267871</v>
      </c>
      <c r="R756" s="397"/>
      <c r="S756" s="398">
        <f t="shared" si="34"/>
        <v>122267871</v>
      </c>
      <c r="T756" s="353"/>
      <c r="U756" s="353">
        <f t="shared" si="35"/>
        <v>122267871</v>
      </c>
      <c r="V756" s="399"/>
      <c r="W756" s="399"/>
      <c r="X756" s="400" t="s">
        <v>492</v>
      </c>
      <c r="Y756" s="400"/>
      <c r="Z756" s="283"/>
    </row>
    <row r="757" spans="2:26" ht="19.5" hidden="1" customHeight="1">
      <c r="B757" s="29">
        <f t="shared" si="33"/>
        <v>747</v>
      </c>
      <c r="C757" s="30" t="s">
        <v>202</v>
      </c>
      <c r="D757" s="30" t="s">
        <v>225</v>
      </c>
      <c r="E757" s="234" t="s">
        <v>1087</v>
      </c>
      <c r="F757" s="235" t="s">
        <v>1283</v>
      </c>
      <c r="G757" s="284">
        <f>IFERROR(VLOOKUP(E757,Assign!$C$2:$J$142,8,FALSE),)</f>
        <v>0</v>
      </c>
      <c r="H757" s="279" t="s">
        <v>6794</v>
      </c>
      <c r="I757" s="280" t="s">
        <v>5788</v>
      </c>
      <c r="J757" s="281" t="s">
        <v>3735</v>
      </c>
      <c r="K757" s="282">
        <v>44879</v>
      </c>
      <c r="L757" s="282">
        <v>59489</v>
      </c>
      <c r="M757" s="282">
        <v>45611</v>
      </c>
      <c r="N757" s="371">
        <v>122000000</v>
      </c>
      <c r="O757" s="444" t="s">
        <v>3866</v>
      </c>
      <c r="P757" s="397">
        <v>120491268</v>
      </c>
      <c r="Q757" s="397">
        <v>120491268</v>
      </c>
      <c r="R757" s="397"/>
      <c r="S757" s="398">
        <f t="shared" si="34"/>
        <v>120491268</v>
      </c>
      <c r="T757" s="353"/>
      <c r="U757" s="353">
        <f t="shared" si="35"/>
        <v>120491268</v>
      </c>
      <c r="V757" s="399"/>
      <c r="W757" s="399"/>
      <c r="X757" s="400" t="s">
        <v>492</v>
      </c>
      <c r="Y757" s="400"/>
      <c r="Z757" s="283"/>
    </row>
    <row r="758" spans="2:26" ht="19.5" hidden="1" customHeight="1">
      <c r="B758" s="29">
        <f t="shared" si="33"/>
        <v>748</v>
      </c>
      <c r="C758" s="30" t="s">
        <v>202</v>
      </c>
      <c r="D758" s="30" t="s">
        <v>225</v>
      </c>
      <c r="E758" s="234" t="s">
        <v>1088</v>
      </c>
      <c r="F758" s="235" t="s">
        <v>1266</v>
      </c>
      <c r="G758" s="284">
        <f>IFERROR(VLOOKUP(E758,Assign!$C$2:$J$142,8,FALSE),)</f>
        <v>0</v>
      </c>
      <c r="H758" s="279" t="s">
        <v>6223</v>
      </c>
      <c r="I758" s="280" t="s">
        <v>5602</v>
      </c>
      <c r="J758" s="281" t="s">
        <v>3735</v>
      </c>
      <c r="K758" s="282">
        <v>44631</v>
      </c>
      <c r="L758" s="282">
        <v>57415</v>
      </c>
      <c r="M758" s="282">
        <v>45363</v>
      </c>
      <c r="N758" s="371">
        <v>122000000</v>
      </c>
      <c r="O758" s="444" t="s">
        <v>3866</v>
      </c>
      <c r="P758" s="397">
        <v>118490797</v>
      </c>
      <c r="Q758" s="397">
        <v>118490797</v>
      </c>
      <c r="R758" s="397"/>
      <c r="S758" s="398">
        <f t="shared" si="34"/>
        <v>118490797</v>
      </c>
      <c r="T758" s="353"/>
      <c r="U758" s="353">
        <f t="shared" si="35"/>
        <v>118490797</v>
      </c>
      <c r="V758" s="399"/>
      <c r="W758" s="399"/>
      <c r="X758" s="400" t="s">
        <v>492</v>
      </c>
      <c r="Y758" s="400"/>
      <c r="Z758" s="283"/>
    </row>
    <row r="759" spans="2:26" ht="19.5" hidden="1" customHeight="1">
      <c r="B759" s="29">
        <f t="shared" si="33"/>
        <v>749</v>
      </c>
      <c r="C759" s="30" t="s">
        <v>202</v>
      </c>
      <c r="D759" s="30" t="s">
        <v>225</v>
      </c>
      <c r="E759" s="234" t="s">
        <v>1089</v>
      </c>
      <c r="F759" s="235" t="s">
        <v>1248</v>
      </c>
      <c r="G759" s="284">
        <f>IFERROR(VLOOKUP(E759,Assign!$C$2:$J$142,8,FALSE),)</f>
        <v>0</v>
      </c>
      <c r="H759" s="279" t="s">
        <v>6290</v>
      </c>
      <c r="I759" s="280" t="s">
        <v>5666</v>
      </c>
      <c r="J759" s="281" t="s">
        <v>3742</v>
      </c>
      <c r="K759" s="282">
        <v>41299</v>
      </c>
      <c r="L759" s="282">
        <v>52256</v>
      </c>
      <c r="M759" s="282">
        <v>45531</v>
      </c>
      <c r="N759" s="371">
        <v>190000000</v>
      </c>
      <c r="O759" s="444" t="s">
        <v>3866</v>
      </c>
      <c r="P759" s="397">
        <v>58699908</v>
      </c>
      <c r="Q759" s="397">
        <v>58699908</v>
      </c>
      <c r="R759" s="397"/>
      <c r="S759" s="398">
        <f t="shared" si="34"/>
        <v>58699908</v>
      </c>
      <c r="T759" s="353"/>
      <c r="U759" s="353">
        <f t="shared" si="35"/>
        <v>58699908</v>
      </c>
      <c r="V759" s="399"/>
      <c r="W759" s="399"/>
      <c r="X759" s="400" t="s">
        <v>492</v>
      </c>
      <c r="Y759" s="400"/>
      <c r="Z759" s="283"/>
    </row>
    <row r="760" spans="2:26" ht="19.5" hidden="1" customHeight="1">
      <c r="B760" s="29">
        <f t="shared" si="33"/>
        <v>750</v>
      </c>
      <c r="C760" s="30" t="s">
        <v>202</v>
      </c>
      <c r="D760" s="30" t="s">
        <v>225</v>
      </c>
      <c r="E760" s="234" t="s">
        <v>1089</v>
      </c>
      <c r="F760" s="235" t="s">
        <v>1248</v>
      </c>
      <c r="G760" s="284">
        <f>IFERROR(VLOOKUP(E760,Assign!$C$2:$J$142,8,FALSE),)</f>
        <v>0</v>
      </c>
      <c r="H760" s="279" t="s">
        <v>6291</v>
      </c>
      <c r="I760" s="280" t="s">
        <v>5667</v>
      </c>
      <c r="J760" s="281" t="s">
        <v>3738</v>
      </c>
      <c r="K760" s="282">
        <v>43334</v>
      </c>
      <c r="L760" s="282">
        <v>45526</v>
      </c>
      <c r="M760" s="282">
        <v>45527</v>
      </c>
      <c r="N760" s="371">
        <v>45000000</v>
      </c>
      <c r="O760" s="444" t="s">
        <v>3866</v>
      </c>
      <c r="P760" s="397">
        <v>45000000</v>
      </c>
      <c r="Q760" s="397">
        <v>45000000</v>
      </c>
      <c r="R760" s="397"/>
      <c r="S760" s="398">
        <f t="shared" si="34"/>
        <v>45000000</v>
      </c>
      <c r="T760" s="353"/>
      <c r="U760" s="353">
        <f t="shared" si="35"/>
        <v>45000000</v>
      </c>
      <c r="V760" s="399"/>
      <c r="W760" s="399"/>
      <c r="X760" s="400" t="s">
        <v>492</v>
      </c>
      <c r="Y760" s="400"/>
      <c r="Z760" s="283"/>
    </row>
    <row r="761" spans="2:26" ht="19.5" hidden="1" customHeight="1">
      <c r="B761" s="29">
        <f t="shared" si="33"/>
        <v>751</v>
      </c>
      <c r="C761" s="30" t="s">
        <v>202</v>
      </c>
      <c r="D761" s="30" t="s">
        <v>225</v>
      </c>
      <c r="E761" s="234" t="s">
        <v>1089</v>
      </c>
      <c r="F761" s="235" t="s">
        <v>1248</v>
      </c>
      <c r="G761" s="284">
        <f>IFERROR(VLOOKUP(E761,Assign!$C$2:$J$142,8,FALSE),)</f>
        <v>0</v>
      </c>
      <c r="H761" s="279" t="s">
        <v>6292</v>
      </c>
      <c r="I761" s="280" t="s">
        <v>5668</v>
      </c>
      <c r="J761" s="281" t="s">
        <v>3737</v>
      </c>
      <c r="K761" s="282">
        <v>43682</v>
      </c>
      <c r="L761" s="282">
        <v>47519</v>
      </c>
      <c r="M761" s="282">
        <v>45583</v>
      </c>
      <c r="N761" s="371">
        <v>30000000</v>
      </c>
      <c r="O761" s="444" t="s">
        <v>3866</v>
      </c>
      <c r="P761" s="397">
        <v>14761890</v>
      </c>
      <c r="Q761" s="397">
        <v>14761890</v>
      </c>
      <c r="R761" s="397"/>
      <c r="S761" s="398">
        <f t="shared" si="34"/>
        <v>14761890</v>
      </c>
      <c r="T761" s="353"/>
      <c r="U761" s="353">
        <f t="shared" si="35"/>
        <v>14761890</v>
      </c>
      <c r="V761" s="399"/>
      <c r="W761" s="399"/>
      <c r="X761" s="400" t="s">
        <v>492</v>
      </c>
      <c r="Y761" s="400"/>
      <c r="Z761" s="283"/>
    </row>
    <row r="762" spans="2:26" ht="19.5" hidden="1" customHeight="1">
      <c r="B762" s="29">
        <f t="shared" si="33"/>
        <v>752</v>
      </c>
      <c r="C762" s="30" t="s">
        <v>202</v>
      </c>
      <c r="D762" s="30" t="s">
        <v>225</v>
      </c>
      <c r="E762" s="234" t="s">
        <v>1090</v>
      </c>
      <c r="F762" s="235" t="s">
        <v>1229</v>
      </c>
      <c r="G762" s="284" t="str">
        <f>IFERROR(VLOOKUP(E762,Assign!$C$2:$J$142,8,FALSE),)</f>
        <v>문선영</v>
      </c>
      <c r="H762" s="279" t="s">
        <v>6901</v>
      </c>
      <c r="I762" s="280" t="s">
        <v>5817</v>
      </c>
      <c r="J762" s="281" t="s">
        <v>3735</v>
      </c>
      <c r="K762" s="282">
        <v>42104</v>
      </c>
      <c r="L762" s="282">
        <v>53062</v>
      </c>
      <c r="M762" s="282">
        <v>45351</v>
      </c>
      <c r="N762" s="371">
        <v>116900000</v>
      </c>
      <c r="O762" s="444" t="s">
        <v>3866</v>
      </c>
      <c r="P762" s="397">
        <v>116900000</v>
      </c>
      <c r="Q762" s="397">
        <v>116900000</v>
      </c>
      <c r="R762" s="397"/>
      <c r="S762" s="398">
        <f t="shared" si="34"/>
        <v>116900000</v>
      </c>
      <c r="T762" s="353"/>
      <c r="U762" s="353">
        <f t="shared" si="35"/>
        <v>116900000</v>
      </c>
      <c r="V762" s="399"/>
      <c r="W762" s="399"/>
      <c r="X762" s="400" t="s">
        <v>492</v>
      </c>
      <c r="Y762" s="400"/>
      <c r="Z762" s="283"/>
    </row>
    <row r="763" spans="2:26" ht="19.5" hidden="1" customHeight="1">
      <c r="B763" s="29">
        <f t="shared" si="33"/>
        <v>753</v>
      </c>
      <c r="C763" s="30" t="s">
        <v>202</v>
      </c>
      <c r="D763" s="30" t="s">
        <v>225</v>
      </c>
      <c r="E763" s="234" t="s">
        <v>1091</v>
      </c>
      <c r="F763" s="235" t="s">
        <v>1226</v>
      </c>
      <c r="G763" s="284">
        <f>IFERROR(VLOOKUP(E763,Assign!$C$2:$J$142,8,FALSE),)</f>
        <v>0</v>
      </c>
      <c r="H763" s="279" t="s">
        <v>6616</v>
      </c>
      <c r="I763" s="280" t="s">
        <v>5931</v>
      </c>
      <c r="J763" s="281" t="s">
        <v>3768</v>
      </c>
      <c r="K763" s="282">
        <v>41962</v>
      </c>
      <c r="L763" s="282">
        <v>52920</v>
      </c>
      <c r="M763" s="282">
        <v>45587</v>
      </c>
      <c r="N763" s="371">
        <v>100000000</v>
      </c>
      <c r="O763" s="444" t="s">
        <v>3866</v>
      </c>
      <c r="P763" s="397">
        <v>77549654</v>
      </c>
      <c r="Q763" s="397">
        <v>77549654</v>
      </c>
      <c r="R763" s="397"/>
      <c r="S763" s="398">
        <f t="shared" si="34"/>
        <v>77549654</v>
      </c>
      <c r="T763" s="353"/>
      <c r="U763" s="353">
        <f t="shared" si="35"/>
        <v>77549654</v>
      </c>
      <c r="V763" s="399"/>
      <c r="W763" s="399"/>
      <c r="X763" s="400" t="s">
        <v>492</v>
      </c>
      <c r="Y763" s="400"/>
      <c r="Z763" s="283"/>
    </row>
    <row r="764" spans="2:26" ht="19.5" hidden="1" customHeight="1">
      <c r="B764" s="29">
        <f t="shared" si="33"/>
        <v>754</v>
      </c>
      <c r="C764" s="30" t="s">
        <v>202</v>
      </c>
      <c r="D764" s="30" t="s">
        <v>225</v>
      </c>
      <c r="E764" s="234" t="s">
        <v>1091</v>
      </c>
      <c r="F764" s="235" t="s">
        <v>1226</v>
      </c>
      <c r="G764" s="284">
        <f>IFERROR(VLOOKUP(E764,Assign!$C$2:$J$142,8,FALSE),)</f>
        <v>0</v>
      </c>
      <c r="H764" s="279" t="s">
        <v>6617</v>
      </c>
      <c r="I764" s="280" t="s">
        <v>5724</v>
      </c>
      <c r="J764" s="281" t="s">
        <v>3737</v>
      </c>
      <c r="K764" s="282">
        <v>43038</v>
      </c>
      <c r="L764" s="282">
        <v>53995</v>
      </c>
      <c r="M764" s="282">
        <v>45596</v>
      </c>
      <c r="N764" s="371">
        <v>50000000</v>
      </c>
      <c r="O764" s="444" t="s">
        <v>3866</v>
      </c>
      <c r="P764" s="397">
        <v>38471976</v>
      </c>
      <c r="Q764" s="397">
        <v>38471976</v>
      </c>
      <c r="R764" s="397"/>
      <c r="S764" s="398">
        <f t="shared" si="34"/>
        <v>38471976</v>
      </c>
      <c r="T764" s="353"/>
      <c r="U764" s="353">
        <f t="shared" si="35"/>
        <v>38471976</v>
      </c>
      <c r="V764" s="399"/>
      <c r="W764" s="399"/>
      <c r="X764" s="400" t="s">
        <v>492</v>
      </c>
      <c r="Y764" s="400"/>
      <c r="Z764" s="283"/>
    </row>
    <row r="765" spans="2:26" ht="19.5" hidden="1" customHeight="1">
      <c r="B765" s="29">
        <f t="shared" si="33"/>
        <v>755</v>
      </c>
      <c r="C765" s="30" t="s">
        <v>202</v>
      </c>
      <c r="D765" s="30" t="s">
        <v>225</v>
      </c>
      <c r="E765" s="234" t="s">
        <v>1092</v>
      </c>
      <c r="F765" s="235" t="s">
        <v>1229</v>
      </c>
      <c r="G765" s="284" t="str">
        <f>IFERROR(VLOOKUP(E765,Assign!$C$2:$J$142,8,FALSE),)</f>
        <v>문선영</v>
      </c>
      <c r="H765" s="279" t="s">
        <v>6667</v>
      </c>
      <c r="I765" s="280" t="s">
        <v>5972</v>
      </c>
      <c r="J765" s="281" t="s">
        <v>3733</v>
      </c>
      <c r="K765" s="282">
        <v>43728</v>
      </c>
      <c r="L765" s="282">
        <v>45736</v>
      </c>
      <c r="M765" s="282">
        <v>45587</v>
      </c>
      <c r="N765" s="371">
        <v>114900000</v>
      </c>
      <c r="O765" s="444" t="s">
        <v>3866</v>
      </c>
      <c r="P765" s="397">
        <v>114900000</v>
      </c>
      <c r="Q765" s="397">
        <v>114900000</v>
      </c>
      <c r="R765" s="397"/>
      <c r="S765" s="398">
        <f t="shared" si="34"/>
        <v>114900000</v>
      </c>
      <c r="T765" s="353"/>
      <c r="U765" s="353">
        <f t="shared" si="35"/>
        <v>114900000</v>
      </c>
      <c r="V765" s="399"/>
      <c r="W765" s="399"/>
      <c r="X765" s="400" t="s">
        <v>492</v>
      </c>
      <c r="Y765" s="400"/>
      <c r="Z765" s="283"/>
    </row>
    <row r="766" spans="2:26" ht="19.5" hidden="1" customHeight="1">
      <c r="B766" s="29">
        <f t="shared" si="33"/>
        <v>756</v>
      </c>
      <c r="C766" s="30" t="s">
        <v>202</v>
      </c>
      <c r="D766" s="30" t="s">
        <v>225</v>
      </c>
      <c r="E766" s="234" t="s">
        <v>1093</v>
      </c>
      <c r="F766" s="235" t="s">
        <v>1219</v>
      </c>
      <c r="G766" s="284">
        <f>IFERROR(VLOOKUP(E766,Assign!$C$2:$J$142,8,FALSE),)</f>
        <v>0</v>
      </c>
      <c r="H766" s="279" t="s">
        <v>6311</v>
      </c>
      <c r="I766" s="280" t="s">
        <v>5687</v>
      </c>
      <c r="J766" s="281" t="s">
        <v>3741</v>
      </c>
      <c r="K766" s="282">
        <v>44568</v>
      </c>
      <c r="L766" s="282">
        <v>57352</v>
      </c>
      <c r="M766" s="282">
        <v>45604</v>
      </c>
      <c r="N766" s="371">
        <v>119000000</v>
      </c>
      <c r="O766" s="444" t="s">
        <v>3866</v>
      </c>
      <c r="P766" s="397">
        <v>114554849</v>
      </c>
      <c r="Q766" s="397">
        <v>114554849</v>
      </c>
      <c r="R766" s="397"/>
      <c r="S766" s="398">
        <f t="shared" si="34"/>
        <v>114554849</v>
      </c>
      <c r="T766" s="353"/>
      <c r="U766" s="353">
        <f t="shared" si="35"/>
        <v>114554849</v>
      </c>
      <c r="V766" s="399"/>
      <c r="W766" s="399"/>
      <c r="X766" s="400" t="s">
        <v>492</v>
      </c>
      <c r="Y766" s="400"/>
      <c r="Z766" s="283"/>
    </row>
    <row r="767" spans="2:26" ht="19.5" hidden="1" customHeight="1">
      <c r="B767" s="29">
        <f t="shared" si="33"/>
        <v>757</v>
      </c>
      <c r="C767" s="30" t="s">
        <v>202</v>
      </c>
      <c r="D767" s="30" t="s">
        <v>225</v>
      </c>
      <c r="E767" s="234" t="s">
        <v>1094</v>
      </c>
      <c r="F767" s="235" t="s">
        <v>1219</v>
      </c>
      <c r="G767" s="284">
        <f>IFERROR(VLOOKUP(E767,Assign!$C$2:$J$142,8,FALSE),)</f>
        <v>0</v>
      </c>
      <c r="H767" s="279" t="s">
        <v>6787</v>
      </c>
      <c r="I767" s="280" t="s">
        <v>6043</v>
      </c>
      <c r="J767" s="281" t="s">
        <v>3735</v>
      </c>
      <c r="K767" s="282">
        <v>42983</v>
      </c>
      <c r="L767" s="282">
        <v>53940</v>
      </c>
      <c r="M767" s="282">
        <v>45573</v>
      </c>
      <c r="N767" s="371">
        <v>132000000</v>
      </c>
      <c r="O767" s="444" t="s">
        <v>3866</v>
      </c>
      <c r="P767" s="397">
        <v>113967946</v>
      </c>
      <c r="Q767" s="397">
        <v>113967946</v>
      </c>
      <c r="R767" s="397"/>
      <c r="S767" s="398">
        <f t="shared" si="34"/>
        <v>113967946</v>
      </c>
      <c r="T767" s="353"/>
      <c r="U767" s="353">
        <f t="shared" si="35"/>
        <v>113967946</v>
      </c>
      <c r="V767" s="399"/>
      <c r="W767" s="399"/>
      <c r="X767" s="400" t="s">
        <v>492</v>
      </c>
      <c r="Y767" s="400"/>
      <c r="Z767" s="283"/>
    </row>
    <row r="768" spans="2:26" ht="19.5" hidden="1" customHeight="1">
      <c r="B768" s="29">
        <f t="shared" si="33"/>
        <v>758</v>
      </c>
      <c r="C768" s="30" t="s">
        <v>202</v>
      </c>
      <c r="D768" s="30" t="s">
        <v>225</v>
      </c>
      <c r="E768" s="234" t="s">
        <v>1095</v>
      </c>
      <c r="F768" s="235" t="s">
        <v>1231</v>
      </c>
      <c r="G768" s="284">
        <f>IFERROR(VLOOKUP(E768,Assign!$C$2:$J$142,8,FALSE),)</f>
        <v>0</v>
      </c>
      <c r="H768" s="279" t="s">
        <v>6609</v>
      </c>
      <c r="I768" s="280" t="s">
        <v>5765</v>
      </c>
      <c r="J768" s="281" t="s">
        <v>3735</v>
      </c>
      <c r="K768" s="282">
        <v>43950</v>
      </c>
      <c r="L768" s="282">
        <v>58560</v>
      </c>
      <c r="M768" s="282">
        <v>45297</v>
      </c>
      <c r="N768" s="371">
        <v>122000000</v>
      </c>
      <c r="O768" s="444" t="s">
        <v>3866</v>
      </c>
      <c r="P768" s="397">
        <v>113082368</v>
      </c>
      <c r="Q768" s="397">
        <v>113082368</v>
      </c>
      <c r="R768" s="397"/>
      <c r="S768" s="398">
        <f t="shared" si="34"/>
        <v>113082368</v>
      </c>
      <c r="T768" s="353"/>
      <c r="U768" s="353">
        <f t="shared" si="35"/>
        <v>113082368</v>
      </c>
      <c r="V768" s="399"/>
      <c r="W768" s="399"/>
      <c r="X768" s="400" t="s">
        <v>492</v>
      </c>
      <c r="Y768" s="400"/>
      <c r="Z768" s="283"/>
    </row>
    <row r="769" spans="2:26" ht="19.5" hidden="1" customHeight="1">
      <c r="B769" s="29">
        <f t="shared" si="33"/>
        <v>759</v>
      </c>
      <c r="C769" s="30" t="s">
        <v>202</v>
      </c>
      <c r="D769" s="30" t="s">
        <v>225</v>
      </c>
      <c r="E769" s="234" t="s">
        <v>1096</v>
      </c>
      <c r="F769" s="235" t="s">
        <v>1229</v>
      </c>
      <c r="G769" s="284" t="str">
        <f>IFERROR(VLOOKUP(E769,Assign!$C$2:$J$142,8,FALSE),)</f>
        <v>문선영</v>
      </c>
      <c r="H769" s="279" t="s">
        <v>6327</v>
      </c>
      <c r="I769" s="280" t="s">
        <v>5701</v>
      </c>
      <c r="J769" s="281" t="s">
        <v>3735</v>
      </c>
      <c r="K769" s="282">
        <v>43084</v>
      </c>
      <c r="L769" s="282">
        <v>54041</v>
      </c>
      <c r="M769" s="282">
        <v>45673</v>
      </c>
      <c r="N769" s="371">
        <v>130000000</v>
      </c>
      <c r="O769" s="444" t="s">
        <v>3866</v>
      </c>
      <c r="P769" s="397">
        <v>112759537</v>
      </c>
      <c r="Q769" s="397">
        <v>112759537</v>
      </c>
      <c r="R769" s="397"/>
      <c r="S769" s="398">
        <f t="shared" si="34"/>
        <v>112759537</v>
      </c>
      <c r="T769" s="353"/>
      <c r="U769" s="353">
        <f t="shared" si="35"/>
        <v>112759537</v>
      </c>
      <c r="V769" s="399"/>
      <c r="W769" s="399"/>
      <c r="X769" s="400" t="s">
        <v>492</v>
      </c>
      <c r="Y769" s="400"/>
      <c r="Z769" s="283"/>
    </row>
    <row r="770" spans="2:26" ht="19.5" hidden="1" customHeight="1">
      <c r="B770" s="29">
        <f t="shared" si="33"/>
        <v>760</v>
      </c>
      <c r="C770" s="30" t="s">
        <v>202</v>
      </c>
      <c r="D770" s="30" t="s">
        <v>225</v>
      </c>
      <c r="E770" s="234" t="s">
        <v>1097</v>
      </c>
      <c r="F770" s="235" t="s">
        <v>1229</v>
      </c>
      <c r="G770" s="284">
        <f>IFERROR(VLOOKUP(E770,Assign!$C$2:$J$142,8,FALSE),)</f>
        <v>0</v>
      </c>
      <c r="H770" s="279" t="s">
        <v>6531</v>
      </c>
      <c r="I770" s="280" t="s">
        <v>5865</v>
      </c>
      <c r="J770" s="281" t="s">
        <v>3754</v>
      </c>
      <c r="K770" s="282">
        <v>44231</v>
      </c>
      <c r="L770" s="282">
        <v>45692</v>
      </c>
      <c r="M770" s="282">
        <v>45465</v>
      </c>
      <c r="N770" s="371">
        <v>112000000</v>
      </c>
      <c r="O770" s="444" t="s">
        <v>3866</v>
      </c>
      <c r="P770" s="397">
        <v>112000000</v>
      </c>
      <c r="Q770" s="397">
        <v>112000000</v>
      </c>
      <c r="R770" s="397"/>
      <c r="S770" s="398">
        <f t="shared" si="34"/>
        <v>112000000</v>
      </c>
      <c r="T770" s="353"/>
      <c r="U770" s="353">
        <f t="shared" si="35"/>
        <v>112000000</v>
      </c>
      <c r="V770" s="399"/>
      <c r="W770" s="399"/>
      <c r="X770" s="400" t="s">
        <v>492</v>
      </c>
      <c r="Y770" s="400"/>
      <c r="Z770" s="283"/>
    </row>
    <row r="771" spans="2:26" ht="19.5" hidden="1" customHeight="1">
      <c r="B771" s="29">
        <f t="shared" si="33"/>
        <v>761</v>
      </c>
      <c r="C771" s="30" t="s">
        <v>202</v>
      </c>
      <c r="D771" s="30" t="s">
        <v>225</v>
      </c>
      <c r="E771" s="234" t="s">
        <v>1098</v>
      </c>
      <c r="F771" s="235" t="s">
        <v>1271</v>
      </c>
      <c r="G771" s="284">
        <f>IFERROR(VLOOKUP(E771,Assign!$C$2:$J$142,8,FALSE),)</f>
        <v>0</v>
      </c>
      <c r="H771" s="279" t="s">
        <v>6240</v>
      </c>
      <c r="I771" s="280" t="s">
        <v>5619</v>
      </c>
      <c r="J771" s="281" t="s">
        <v>3735</v>
      </c>
      <c r="K771" s="282">
        <v>43389</v>
      </c>
      <c r="L771" s="282">
        <v>54347</v>
      </c>
      <c r="M771" s="282">
        <v>45521</v>
      </c>
      <c r="N771" s="371">
        <v>125000000</v>
      </c>
      <c r="O771" s="444" t="s">
        <v>3866</v>
      </c>
      <c r="P771" s="397">
        <v>110922084</v>
      </c>
      <c r="Q771" s="397">
        <v>110922084</v>
      </c>
      <c r="R771" s="397"/>
      <c r="S771" s="398">
        <f t="shared" si="34"/>
        <v>110922084</v>
      </c>
      <c r="T771" s="353"/>
      <c r="U771" s="353">
        <f t="shared" si="35"/>
        <v>110922084</v>
      </c>
      <c r="V771" s="399"/>
      <c r="W771" s="399"/>
      <c r="X771" s="400" t="s">
        <v>492</v>
      </c>
      <c r="Y771" s="400"/>
      <c r="Z771" s="283"/>
    </row>
    <row r="772" spans="2:26" ht="19.5" hidden="1" customHeight="1">
      <c r="B772" s="29">
        <f t="shared" si="33"/>
        <v>762</v>
      </c>
      <c r="C772" s="30" t="s">
        <v>202</v>
      </c>
      <c r="D772" s="30" t="s">
        <v>225</v>
      </c>
      <c r="E772" s="234" t="s">
        <v>1099</v>
      </c>
      <c r="F772" s="235" t="s">
        <v>1284</v>
      </c>
      <c r="G772" s="284">
        <f>IFERROR(VLOOKUP(E772,Assign!$C$2:$J$142,8,FALSE),)</f>
        <v>0</v>
      </c>
      <c r="H772" s="279" t="s">
        <v>6449</v>
      </c>
      <c r="I772" s="280" t="s">
        <v>5798</v>
      </c>
      <c r="J772" s="281" t="s">
        <v>3746</v>
      </c>
      <c r="K772" s="282">
        <v>42172</v>
      </c>
      <c r="L772" s="282">
        <v>53130</v>
      </c>
      <c r="M772" s="282">
        <v>45583</v>
      </c>
      <c r="N772" s="371">
        <v>133000000</v>
      </c>
      <c r="O772" s="444" t="s">
        <v>3866</v>
      </c>
      <c r="P772" s="397">
        <v>110389917</v>
      </c>
      <c r="Q772" s="397">
        <v>110389917</v>
      </c>
      <c r="R772" s="397"/>
      <c r="S772" s="398">
        <f t="shared" si="34"/>
        <v>110389917</v>
      </c>
      <c r="T772" s="353"/>
      <c r="U772" s="353">
        <f t="shared" si="35"/>
        <v>110389917</v>
      </c>
      <c r="V772" s="399"/>
      <c r="W772" s="399"/>
      <c r="X772" s="400" t="s">
        <v>492</v>
      </c>
      <c r="Y772" s="400"/>
      <c r="Z772" s="283"/>
    </row>
    <row r="773" spans="2:26" ht="19.5" hidden="1" customHeight="1">
      <c r="B773" s="29">
        <f t="shared" si="33"/>
        <v>763</v>
      </c>
      <c r="C773" s="30" t="s">
        <v>202</v>
      </c>
      <c r="D773" s="30" t="s">
        <v>225</v>
      </c>
      <c r="E773" s="234" t="s">
        <v>1100</v>
      </c>
      <c r="F773" s="235" t="s">
        <v>1246</v>
      </c>
      <c r="G773" s="284" t="str">
        <f>IFERROR(VLOOKUP(E773,Assign!$C$2:$J$142,8,FALSE),)</f>
        <v>문선영</v>
      </c>
      <c r="H773" s="279" t="s">
        <v>6569</v>
      </c>
      <c r="I773" s="280" t="s">
        <v>5897</v>
      </c>
      <c r="J773" s="281" t="s">
        <v>3733</v>
      </c>
      <c r="K773" s="282">
        <v>44530</v>
      </c>
      <c r="L773" s="282">
        <v>45807</v>
      </c>
      <c r="M773" s="282">
        <v>45664</v>
      </c>
      <c r="N773" s="371">
        <v>110000000</v>
      </c>
      <c r="O773" s="444" t="s">
        <v>3866</v>
      </c>
      <c r="P773" s="397">
        <v>110000000</v>
      </c>
      <c r="Q773" s="397">
        <v>110000000</v>
      </c>
      <c r="R773" s="397"/>
      <c r="S773" s="398">
        <f t="shared" si="34"/>
        <v>110000000</v>
      </c>
      <c r="T773" s="353"/>
      <c r="U773" s="353">
        <f t="shared" si="35"/>
        <v>110000000</v>
      </c>
      <c r="V773" s="399"/>
      <c r="W773" s="399"/>
      <c r="X773" s="400" t="s">
        <v>492</v>
      </c>
      <c r="Y773" s="400"/>
      <c r="Z773" s="283"/>
    </row>
    <row r="774" spans="2:26" ht="19.5" hidden="1" customHeight="1">
      <c r="B774" s="29">
        <f t="shared" si="33"/>
        <v>764</v>
      </c>
      <c r="C774" s="30" t="s">
        <v>202</v>
      </c>
      <c r="D774" s="30" t="s">
        <v>225</v>
      </c>
      <c r="E774" s="234" t="s">
        <v>1101</v>
      </c>
      <c r="F774" s="235" t="s">
        <v>1225</v>
      </c>
      <c r="G774" s="284" t="str">
        <f>IFERROR(VLOOKUP(E774,Assign!$C$2:$J$142,8,FALSE),)</f>
        <v>문선영</v>
      </c>
      <c r="H774" s="279" t="s">
        <v>6779</v>
      </c>
      <c r="I774" s="280" t="s">
        <v>6041</v>
      </c>
      <c r="J774" s="281" t="s">
        <v>3751</v>
      </c>
      <c r="K774" s="282">
        <v>43973</v>
      </c>
      <c r="L774" s="282">
        <v>45799</v>
      </c>
      <c r="M774" s="282">
        <v>45538</v>
      </c>
      <c r="N774" s="371">
        <v>110000000</v>
      </c>
      <c r="O774" s="444" t="s">
        <v>3866</v>
      </c>
      <c r="P774" s="397">
        <v>110000000</v>
      </c>
      <c r="Q774" s="397">
        <v>110000000</v>
      </c>
      <c r="R774" s="397"/>
      <c r="S774" s="398">
        <f t="shared" si="34"/>
        <v>110000000</v>
      </c>
      <c r="T774" s="353"/>
      <c r="U774" s="353">
        <f t="shared" si="35"/>
        <v>110000000</v>
      </c>
      <c r="V774" s="399"/>
      <c r="W774" s="399"/>
      <c r="X774" s="400" t="s">
        <v>492</v>
      </c>
      <c r="Y774" s="400"/>
      <c r="Z774" s="283"/>
    </row>
    <row r="775" spans="2:26" ht="19.5" hidden="1" customHeight="1">
      <c r="B775" s="29">
        <f t="shared" si="33"/>
        <v>765</v>
      </c>
      <c r="C775" s="30" t="s">
        <v>202</v>
      </c>
      <c r="D775" s="30" t="s">
        <v>225</v>
      </c>
      <c r="E775" s="234" t="s">
        <v>1102</v>
      </c>
      <c r="F775" s="235" t="s">
        <v>1229</v>
      </c>
      <c r="G775" s="284">
        <f>IFERROR(VLOOKUP(E775,Assign!$C$2:$J$142,8,FALSE),)</f>
        <v>0</v>
      </c>
      <c r="H775" s="279" t="s">
        <v>6430</v>
      </c>
      <c r="I775" s="280" t="s">
        <v>5787</v>
      </c>
      <c r="J775" s="281" t="s">
        <v>3758</v>
      </c>
      <c r="K775" s="282">
        <v>39364</v>
      </c>
      <c r="L775" s="282">
        <v>48496</v>
      </c>
      <c r="M775" s="282">
        <v>45301</v>
      </c>
      <c r="N775" s="371">
        <v>245000000</v>
      </c>
      <c r="O775" s="444" t="s">
        <v>3866</v>
      </c>
      <c r="P775" s="397">
        <v>108075985</v>
      </c>
      <c r="Q775" s="397">
        <v>108075985</v>
      </c>
      <c r="R775" s="397"/>
      <c r="S775" s="398">
        <f t="shared" si="34"/>
        <v>108075985</v>
      </c>
      <c r="T775" s="353"/>
      <c r="U775" s="353">
        <f t="shared" si="35"/>
        <v>108075985</v>
      </c>
      <c r="V775" s="399"/>
      <c r="W775" s="399"/>
      <c r="X775" s="400" t="s">
        <v>492</v>
      </c>
      <c r="Y775" s="400"/>
      <c r="Z775" s="283"/>
    </row>
    <row r="776" spans="2:26" ht="19.5" hidden="1" customHeight="1">
      <c r="B776" s="29">
        <f t="shared" si="33"/>
        <v>766</v>
      </c>
      <c r="C776" s="30" t="s">
        <v>202</v>
      </c>
      <c r="D776" s="30" t="s">
        <v>225</v>
      </c>
      <c r="E776" s="234" t="s">
        <v>1103</v>
      </c>
      <c r="F776" s="235" t="s">
        <v>1232</v>
      </c>
      <c r="G776" s="284" t="str">
        <f>IFERROR(VLOOKUP(E776,Assign!$C$2:$J$142,8,FALSE),)</f>
        <v>문선영</v>
      </c>
      <c r="H776" s="279" t="s">
        <v>6461</v>
      </c>
      <c r="I776" s="280" t="s">
        <v>5809</v>
      </c>
      <c r="J776" s="281" t="s">
        <v>3733</v>
      </c>
      <c r="K776" s="282">
        <v>44512</v>
      </c>
      <c r="L776" s="282">
        <v>45701</v>
      </c>
      <c r="M776" s="282">
        <v>45692</v>
      </c>
      <c r="N776" s="371">
        <v>107000000</v>
      </c>
      <c r="O776" s="444" t="s">
        <v>3866</v>
      </c>
      <c r="P776" s="397">
        <v>107000000</v>
      </c>
      <c r="Q776" s="397">
        <v>107000000</v>
      </c>
      <c r="R776" s="397"/>
      <c r="S776" s="398">
        <f t="shared" si="34"/>
        <v>107000000</v>
      </c>
      <c r="T776" s="353"/>
      <c r="U776" s="353">
        <f t="shared" si="35"/>
        <v>107000000</v>
      </c>
      <c r="V776" s="399"/>
      <c r="W776" s="399"/>
      <c r="X776" s="400" t="s">
        <v>492</v>
      </c>
      <c r="Y776" s="400"/>
      <c r="Z776" s="283"/>
    </row>
    <row r="777" spans="2:26" ht="19.5" hidden="1" customHeight="1">
      <c r="B777" s="29">
        <f t="shared" si="33"/>
        <v>767</v>
      </c>
      <c r="C777" s="30" t="s">
        <v>202</v>
      </c>
      <c r="D777" s="30" t="s">
        <v>225</v>
      </c>
      <c r="E777" s="234" t="s">
        <v>1104</v>
      </c>
      <c r="F777" s="235" t="s">
        <v>1285</v>
      </c>
      <c r="G777" s="284">
        <f>IFERROR(VLOOKUP(E777,Assign!$C$2:$J$142,8,FALSE),)</f>
        <v>0</v>
      </c>
      <c r="H777" s="279" t="s">
        <v>6460</v>
      </c>
      <c r="I777" s="280" t="s">
        <v>5808</v>
      </c>
      <c r="J777" s="281" t="s">
        <v>3735</v>
      </c>
      <c r="K777" s="282">
        <v>44260</v>
      </c>
      <c r="L777" s="282">
        <v>55217</v>
      </c>
      <c r="M777" s="282">
        <v>45510</v>
      </c>
      <c r="N777" s="371">
        <v>114000000</v>
      </c>
      <c r="O777" s="444" t="s">
        <v>3866</v>
      </c>
      <c r="P777" s="397">
        <v>105968191</v>
      </c>
      <c r="Q777" s="397">
        <v>105968191</v>
      </c>
      <c r="R777" s="397"/>
      <c r="S777" s="398">
        <f t="shared" si="34"/>
        <v>105968191</v>
      </c>
      <c r="T777" s="353"/>
      <c r="U777" s="353">
        <f t="shared" si="35"/>
        <v>105968191</v>
      </c>
      <c r="V777" s="399"/>
      <c r="W777" s="399"/>
      <c r="X777" s="400" t="s">
        <v>492</v>
      </c>
      <c r="Y777" s="400"/>
      <c r="Z777" s="283"/>
    </row>
    <row r="778" spans="2:26" ht="19.5" hidden="1" customHeight="1">
      <c r="B778" s="29">
        <f t="shared" si="33"/>
        <v>768</v>
      </c>
      <c r="C778" s="30" t="s">
        <v>202</v>
      </c>
      <c r="D778" s="30" t="s">
        <v>225</v>
      </c>
      <c r="E778" s="234" t="s">
        <v>1105</v>
      </c>
      <c r="F778" s="235" t="s">
        <v>1219</v>
      </c>
      <c r="G778" s="284">
        <f>IFERROR(VLOOKUP(E778,Assign!$C$2:$J$142,8,FALSE),)</f>
        <v>0</v>
      </c>
      <c r="H778" s="279" t="s">
        <v>6572</v>
      </c>
      <c r="I778" s="280" t="s">
        <v>5900</v>
      </c>
      <c r="J778" s="281" t="s">
        <v>3759</v>
      </c>
      <c r="K778" s="282">
        <v>41759</v>
      </c>
      <c r="L778" s="282">
        <v>52717</v>
      </c>
      <c r="M778" s="282">
        <v>45352</v>
      </c>
      <c r="N778" s="371">
        <v>123000000</v>
      </c>
      <c r="O778" s="444" t="s">
        <v>3866</v>
      </c>
      <c r="P778" s="397">
        <v>102956778</v>
      </c>
      <c r="Q778" s="397">
        <v>102956778</v>
      </c>
      <c r="R778" s="397"/>
      <c r="S778" s="398">
        <f t="shared" si="34"/>
        <v>102956778</v>
      </c>
      <c r="T778" s="353"/>
      <c r="U778" s="353">
        <f t="shared" si="35"/>
        <v>102956778</v>
      </c>
      <c r="V778" s="399"/>
      <c r="W778" s="399"/>
      <c r="X778" s="400" t="s">
        <v>492</v>
      </c>
      <c r="Y778" s="400"/>
      <c r="Z778" s="283"/>
    </row>
    <row r="779" spans="2:26" ht="19.5" hidden="1" customHeight="1">
      <c r="B779" s="29">
        <f t="shared" ref="B779:B842" si="36">ROW()-10</f>
        <v>769</v>
      </c>
      <c r="C779" s="30" t="s">
        <v>202</v>
      </c>
      <c r="D779" s="30" t="s">
        <v>225</v>
      </c>
      <c r="E779" s="234" t="s">
        <v>1106</v>
      </c>
      <c r="F779" s="235" t="s">
        <v>1226</v>
      </c>
      <c r="G779" s="284" t="str">
        <f>IFERROR(VLOOKUP(E779,Assign!$C$2:$J$142,8,FALSE),)</f>
        <v>문선영</v>
      </c>
      <c r="H779" s="279" t="s">
        <v>6958</v>
      </c>
      <c r="I779" s="280" t="s">
        <v>6135</v>
      </c>
      <c r="J779" s="281" t="s">
        <v>3735</v>
      </c>
      <c r="K779" s="282">
        <v>42859</v>
      </c>
      <c r="L779" s="282">
        <v>53816</v>
      </c>
      <c r="M779" s="282">
        <v>45540</v>
      </c>
      <c r="N779" s="371">
        <v>120000000</v>
      </c>
      <c r="O779" s="444" t="s">
        <v>3866</v>
      </c>
      <c r="P779" s="397">
        <v>102563249</v>
      </c>
      <c r="Q779" s="397">
        <v>102563249</v>
      </c>
      <c r="R779" s="397"/>
      <c r="S779" s="398">
        <f t="shared" ref="S779:S842" si="37">Q779+R779</f>
        <v>102563249</v>
      </c>
      <c r="T779" s="353"/>
      <c r="U779" s="353">
        <f t="shared" ref="U779:U842" si="38">S779+T779</f>
        <v>102563249</v>
      </c>
      <c r="V779" s="399"/>
      <c r="W779" s="399"/>
      <c r="X779" s="400" t="s">
        <v>492</v>
      </c>
      <c r="Y779" s="400"/>
      <c r="Z779" s="283"/>
    </row>
    <row r="780" spans="2:26" ht="19.5" hidden="1" customHeight="1">
      <c r="B780" s="29">
        <f t="shared" si="36"/>
        <v>770</v>
      </c>
      <c r="C780" s="30" t="s">
        <v>202</v>
      </c>
      <c r="D780" s="30" t="s">
        <v>225</v>
      </c>
      <c r="E780" s="234" t="s">
        <v>1107</v>
      </c>
      <c r="F780" s="235" t="s">
        <v>1225</v>
      </c>
      <c r="G780" s="284">
        <f>IFERROR(VLOOKUP(E780,Assign!$C$2:$J$142,8,FALSE),)</f>
        <v>0</v>
      </c>
      <c r="H780" s="279" t="s">
        <v>6729</v>
      </c>
      <c r="I780" s="280" t="s">
        <v>6010</v>
      </c>
      <c r="J780" s="281" t="s">
        <v>3733</v>
      </c>
      <c r="K780" s="282">
        <v>44557</v>
      </c>
      <c r="L780" s="282">
        <v>45653</v>
      </c>
      <c r="M780" s="282">
        <v>45350</v>
      </c>
      <c r="N780" s="371">
        <v>100000000</v>
      </c>
      <c r="O780" s="444" t="s">
        <v>3866</v>
      </c>
      <c r="P780" s="397">
        <v>100000000</v>
      </c>
      <c r="Q780" s="397">
        <v>100000000</v>
      </c>
      <c r="R780" s="397"/>
      <c r="S780" s="398">
        <f t="shared" si="37"/>
        <v>100000000</v>
      </c>
      <c r="T780" s="353"/>
      <c r="U780" s="353">
        <f t="shared" si="38"/>
        <v>100000000</v>
      </c>
      <c r="V780" s="399"/>
      <c r="W780" s="399"/>
      <c r="X780" s="400" t="s">
        <v>492</v>
      </c>
      <c r="Y780" s="400"/>
      <c r="Z780" s="283"/>
    </row>
    <row r="781" spans="2:26" ht="19.5" hidden="1" customHeight="1">
      <c r="B781" s="29">
        <f t="shared" si="36"/>
        <v>771</v>
      </c>
      <c r="C781" s="30" t="s">
        <v>202</v>
      </c>
      <c r="D781" s="30" t="s">
        <v>225</v>
      </c>
      <c r="E781" s="234" t="s">
        <v>1108</v>
      </c>
      <c r="F781" s="235" t="s">
        <v>1263</v>
      </c>
      <c r="G781" s="284">
        <f>IFERROR(VLOOKUP(E781,Assign!$C$2:$J$142,8,FALSE),)</f>
        <v>0</v>
      </c>
      <c r="H781" s="279" t="s">
        <v>6299</v>
      </c>
      <c r="I781" s="280" t="s">
        <v>5675</v>
      </c>
      <c r="J781" s="281" t="s">
        <v>3751</v>
      </c>
      <c r="K781" s="282">
        <v>44706</v>
      </c>
      <c r="L781" s="282">
        <v>45802</v>
      </c>
      <c r="M781" s="282">
        <v>45622</v>
      </c>
      <c r="N781" s="371">
        <v>100000000</v>
      </c>
      <c r="O781" s="444" t="s">
        <v>3866</v>
      </c>
      <c r="P781" s="397">
        <v>100000000</v>
      </c>
      <c r="Q781" s="397">
        <v>100000000</v>
      </c>
      <c r="R781" s="397"/>
      <c r="S781" s="398">
        <f t="shared" si="37"/>
        <v>100000000</v>
      </c>
      <c r="T781" s="353"/>
      <c r="U781" s="353">
        <f t="shared" si="38"/>
        <v>100000000</v>
      </c>
      <c r="V781" s="399"/>
      <c r="W781" s="399"/>
      <c r="X781" s="400" t="s">
        <v>492</v>
      </c>
      <c r="Y781" s="400"/>
      <c r="Z781" s="283"/>
    </row>
    <row r="782" spans="2:26" ht="19.5" hidden="1" customHeight="1">
      <c r="B782" s="29">
        <f t="shared" si="36"/>
        <v>772</v>
      </c>
      <c r="C782" s="30" t="s">
        <v>202</v>
      </c>
      <c r="D782" s="30" t="s">
        <v>225</v>
      </c>
      <c r="E782" s="234" t="s">
        <v>1109</v>
      </c>
      <c r="F782" s="235" t="s">
        <v>1249</v>
      </c>
      <c r="G782" s="284">
        <f>IFERROR(VLOOKUP(E782,Assign!$C$2:$J$142,8,FALSE),)</f>
        <v>0</v>
      </c>
      <c r="H782" s="279" t="s">
        <v>6562</v>
      </c>
      <c r="I782" s="280" t="s">
        <v>5891</v>
      </c>
      <c r="J782" s="281" t="s">
        <v>3734</v>
      </c>
      <c r="K782" s="282">
        <v>44495</v>
      </c>
      <c r="L782" s="282">
        <v>45591</v>
      </c>
      <c r="M782" s="282">
        <v>45559</v>
      </c>
      <c r="N782" s="371">
        <v>100000000</v>
      </c>
      <c r="O782" s="444" t="s">
        <v>3866</v>
      </c>
      <c r="P782" s="397">
        <v>100000000</v>
      </c>
      <c r="Q782" s="397">
        <v>100000000</v>
      </c>
      <c r="R782" s="397"/>
      <c r="S782" s="398">
        <f t="shared" si="37"/>
        <v>100000000</v>
      </c>
      <c r="T782" s="353"/>
      <c r="U782" s="353">
        <f t="shared" si="38"/>
        <v>100000000</v>
      </c>
      <c r="V782" s="399"/>
      <c r="W782" s="399"/>
      <c r="X782" s="400" t="s">
        <v>492</v>
      </c>
      <c r="Y782" s="400"/>
      <c r="Z782" s="283"/>
    </row>
    <row r="783" spans="2:26" ht="19.5" hidden="1" customHeight="1">
      <c r="B783" s="29">
        <f t="shared" si="36"/>
        <v>773</v>
      </c>
      <c r="C783" s="30" t="s">
        <v>202</v>
      </c>
      <c r="D783" s="30" t="s">
        <v>225</v>
      </c>
      <c r="E783" s="234" t="s">
        <v>1110</v>
      </c>
      <c r="F783" s="235" t="s">
        <v>1249</v>
      </c>
      <c r="G783" s="284" t="str">
        <f>IFERROR(VLOOKUP(E783,Assign!$C$2:$J$142,8,FALSE),)</f>
        <v>문선영</v>
      </c>
      <c r="H783" s="279" t="s">
        <v>6605</v>
      </c>
      <c r="I783" s="280" t="s">
        <v>5925</v>
      </c>
      <c r="J783" s="281" t="s">
        <v>3734</v>
      </c>
      <c r="K783" s="282">
        <v>43703</v>
      </c>
      <c r="L783" s="282">
        <v>45530</v>
      </c>
      <c r="M783" s="282">
        <v>45531</v>
      </c>
      <c r="N783" s="371">
        <v>100000000</v>
      </c>
      <c r="O783" s="444" t="s">
        <v>3866</v>
      </c>
      <c r="P783" s="397">
        <v>100000000</v>
      </c>
      <c r="Q783" s="397">
        <v>100000000</v>
      </c>
      <c r="R783" s="397"/>
      <c r="S783" s="398">
        <f t="shared" si="37"/>
        <v>100000000</v>
      </c>
      <c r="T783" s="353"/>
      <c r="U783" s="353">
        <f t="shared" si="38"/>
        <v>100000000</v>
      </c>
      <c r="V783" s="399"/>
      <c r="W783" s="399"/>
      <c r="X783" s="400" t="s">
        <v>492</v>
      </c>
      <c r="Y783" s="400"/>
      <c r="Z783" s="283"/>
    </row>
    <row r="784" spans="2:26" ht="19.5" hidden="1" customHeight="1">
      <c r="B784" s="29">
        <f t="shared" si="36"/>
        <v>774</v>
      </c>
      <c r="C784" s="30" t="s">
        <v>202</v>
      </c>
      <c r="D784" s="30" t="s">
        <v>225</v>
      </c>
      <c r="E784" s="234" t="s">
        <v>1111</v>
      </c>
      <c r="F784" s="235" t="s">
        <v>1235</v>
      </c>
      <c r="G784" s="284">
        <f>IFERROR(VLOOKUP(E784,Assign!$C$2:$J$142,8,FALSE),)</f>
        <v>0</v>
      </c>
      <c r="H784" s="279" t="s">
        <v>6810</v>
      </c>
      <c r="I784" s="280" t="s">
        <v>5692</v>
      </c>
      <c r="J784" s="281" t="s">
        <v>3734</v>
      </c>
      <c r="K784" s="282">
        <v>44510</v>
      </c>
      <c r="L784" s="282">
        <v>45606</v>
      </c>
      <c r="M784" s="282">
        <v>45484</v>
      </c>
      <c r="N784" s="371">
        <v>100000000</v>
      </c>
      <c r="O784" s="444" t="s">
        <v>3866</v>
      </c>
      <c r="P784" s="397">
        <v>100000000</v>
      </c>
      <c r="Q784" s="397">
        <v>100000000</v>
      </c>
      <c r="R784" s="397"/>
      <c r="S784" s="398">
        <f t="shared" si="37"/>
        <v>100000000</v>
      </c>
      <c r="T784" s="353"/>
      <c r="U784" s="353">
        <f t="shared" si="38"/>
        <v>100000000</v>
      </c>
      <c r="V784" s="399"/>
      <c r="W784" s="399"/>
      <c r="X784" s="400" t="s">
        <v>492</v>
      </c>
      <c r="Y784" s="400"/>
      <c r="Z784" s="283"/>
    </row>
    <row r="785" spans="2:26" ht="19.5" hidden="1" customHeight="1">
      <c r="B785" s="29">
        <f t="shared" si="36"/>
        <v>775</v>
      </c>
      <c r="C785" s="30" t="s">
        <v>202</v>
      </c>
      <c r="D785" s="30" t="s">
        <v>225</v>
      </c>
      <c r="E785" s="234" t="s">
        <v>1112</v>
      </c>
      <c r="F785" s="235" t="s">
        <v>1266</v>
      </c>
      <c r="G785" s="284">
        <f>IFERROR(VLOOKUP(E785,Assign!$C$2:$J$142,8,FALSE),)</f>
        <v>0</v>
      </c>
      <c r="H785" s="279" t="s">
        <v>6816</v>
      </c>
      <c r="I785" s="280" t="s">
        <v>5816</v>
      </c>
      <c r="J785" s="281" t="s">
        <v>3746</v>
      </c>
      <c r="K785" s="282">
        <v>44200</v>
      </c>
      <c r="L785" s="282">
        <v>55157</v>
      </c>
      <c r="M785" s="282">
        <v>45619</v>
      </c>
      <c r="N785" s="371">
        <v>40000000</v>
      </c>
      <c r="O785" s="444" t="s">
        <v>3866</v>
      </c>
      <c r="P785" s="397">
        <v>36668344</v>
      </c>
      <c r="Q785" s="397">
        <v>36668344</v>
      </c>
      <c r="R785" s="397"/>
      <c r="S785" s="398">
        <f t="shared" si="37"/>
        <v>36668344</v>
      </c>
      <c r="T785" s="353"/>
      <c r="U785" s="353">
        <f t="shared" si="38"/>
        <v>36668344</v>
      </c>
      <c r="V785" s="399"/>
      <c r="W785" s="399"/>
      <c r="X785" s="400" t="s">
        <v>492</v>
      </c>
      <c r="Y785" s="400"/>
      <c r="Z785" s="283"/>
    </row>
    <row r="786" spans="2:26" ht="19.5" hidden="1" customHeight="1">
      <c r="B786" s="29">
        <f t="shared" si="36"/>
        <v>776</v>
      </c>
      <c r="C786" s="30" t="s">
        <v>202</v>
      </c>
      <c r="D786" s="30" t="s">
        <v>225</v>
      </c>
      <c r="E786" s="234" t="s">
        <v>1112</v>
      </c>
      <c r="F786" s="235" t="s">
        <v>1266</v>
      </c>
      <c r="G786" s="284">
        <f>IFERROR(VLOOKUP(E786,Assign!$C$2:$J$142,8,FALSE),)</f>
        <v>0</v>
      </c>
      <c r="H786" s="279" t="s">
        <v>6817</v>
      </c>
      <c r="I786" s="280" t="s">
        <v>6060</v>
      </c>
      <c r="J786" s="281" t="s">
        <v>3750</v>
      </c>
      <c r="K786" s="282">
        <v>45043</v>
      </c>
      <c r="L786" s="282">
        <v>46863</v>
      </c>
      <c r="M786" s="282">
        <v>45637</v>
      </c>
      <c r="N786" s="371">
        <v>63000000</v>
      </c>
      <c r="O786" s="444" t="s">
        <v>3866</v>
      </c>
      <c r="P786" s="397">
        <v>63000000</v>
      </c>
      <c r="Q786" s="397">
        <v>63000000</v>
      </c>
      <c r="R786" s="397"/>
      <c r="S786" s="398">
        <f t="shared" si="37"/>
        <v>63000000</v>
      </c>
      <c r="T786" s="353"/>
      <c r="U786" s="353">
        <f t="shared" si="38"/>
        <v>63000000</v>
      </c>
      <c r="V786" s="399"/>
      <c r="W786" s="399"/>
      <c r="X786" s="400" t="s">
        <v>492</v>
      </c>
      <c r="Y786" s="400"/>
      <c r="Z786" s="283"/>
    </row>
    <row r="787" spans="2:26" ht="19.5" hidden="1" customHeight="1">
      <c r="B787" s="29">
        <f t="shared" si="36"/>
        <v>777</v>
      </c>
      <c r="C787" s="30" t="s">
        <v>202</v>
      </c>
      <c r="D787" s="30" t="s">
        <v>225</v>
      </c>
      <c r="E787" s="234" t="s">
        <v>1113</v>
      </c>
      <c r="F787" s="235" t="s">
        <v>1286</v>
      </c>
      <c r="G787" s="284">
        <f>IFERROR(VLOOKUP(E787,Assign!$C$2:$J$142,8,FALSE),)</f>
        <v>0</v>
      </c>
      <c r="H787" s="279" t="s">
        <v>6913</v>
      </c>
      <c r="I787" s="280" t="s">
        <v>6111</v>
      </c>
      <c r="J787" s="281" t="s">
        <v>3759</v>
      </c>
      <c r="K787" s="282">
        <v>42122</v>
      </c>
      <c r="L787" s="282">
        <v>53080</v>
      </c>
      <c r="M787" s="282">
        <v>45533</v>
      </c>
      <c r="N787" s="371">
        <v>126000000</v>
      </c>
      <c r="O787" s="444" t="s">
        <v>3866</v>
      </c>
      <c r="P787" s="397">
        <v>97797005</v>
      </c>
      <c r="Q787" s="397">
        <v>97797005</v>
      </c>
      <c r="R787" s="397"/>
      <c r="S787" s="398">
        <f t="shared" si="37"/>
        <v>97797005</v>
      </c>
      <c r="T787" s="353"/>
      <c r="U787" s="353">
        <f t="shared" si="38"/>
        <v>97797005</v>
      </c>
      <c r="V787" s="399"/>
      <c r="W787" s="399"/>
      <c r="X787" s="400" t="s">
        <v>492</v>
      </c>
      <c r="Y787" s="400"/>
      <c r="Z787" s="283"/>
    </row>
    <row r="788" spans="2:26" ht="19.5" hidden="1" customHeight="1">
      <c r="B788" s="29">
        <f t="shared" si="36"/>
        <v>778</v>
      </c>
      <c r="C788" s="30" t="s">
        <v>202</v>
      </c>
      <c r="D788" s="30" t="s">
        <v>225</v>
      </c>
      <c r="E788" s="234" t="s">
        <v>1114</v>
      </c>
      <c r="F788" s="235" t="s">
        <v>1221</v>
      </c>
      <c r="G788" s="284">
        <f>IFERROR(VLOOKUP(E788,Assign!$C$2:$J$142,8,FALSE),)</f>
        <v>0</v>
      </c>
      <c r="H788" s="279" t="s">
        <v>6933</v>
      </c>
      <c r="I788" s="280" t="s">
        <v>5801</v>
      </c>
      <c r="J788" s="281" t="s">
        <v>3746</v>
      </c>
      <c r="K788" s="282">
        <v>42900</v>
      </c>
      <c r="L788" s="282">
        <v>53857</v>
      </c>
      <c r="M788" s="282">
        <v>45245</v>
      </c>
      <c r="N788" s="371">
        <v>122500000</v>
      </c>
      <c r="O788" s="444" t="s">
        <v>3866</v>
      </c>
      <c r="P788" s="397">
        <v>96638668</v>
      </c>
      <c r="Q788" s="397">
        <v>96638668</v>
      </c>
      <c r="R788" s="397"/>
      <c r="S788" s="398">
        <f t="shared" si="37"/>
        <v>96638668</v>
      </c>
      <c r="T788" s="353"/>
      <c r="U788" s="353">
        <f t="shared" si="38"/>
        <v>96638668</v>
      </c>
      <c r="V788" s="399"/>
      <c r="W788" s="399"/>
      <c r="X788" s="400" t="s">
        <v>492</v>
      </c>
      <c r="Y788" s="400"/>
      <c r="Z788" s="283"/>
    </row>
    <row r="789" spans="2:26" ht="19.5" hidden="1" customHeight="1">
      <c r="B789" s="29">
        <f t="shared" si="36"/>
        <v>779</v>
      </c>
      <c r="C789" s="30" t="s">
        <v>202</v>
      </c>
      <c r="D789" s="30" t="s">
        <v>225</v>
      </c>
      <c r="E789" s="234" t="s">
        <v>1115</v>
      </c>
      <c r="F789" s="235" t="s">
        <v>1279</v>
      </c>
      <c r="G789" s="284">
        <f>IFERROR(VLOOKUP(E789,Assign!$C$2:$J$142,8,FALSE),)</f>
        <v>0</v>
      </c>
      <c r="H789" s="279" t="s">
        <v>6821</v>
      </c>
      <c r="I789" s="280" t="s">
        <v>5885</v>
      </c>
      <c r="J789" s="281" t="s">
        <v>3768</v>
      </c>
      <c r="K789" s="282">
        <v>42320</v>
      </c>
      <c r="L789" s="282">
        <v>47799</v>
      </c>
      <c r="M789" s="282">
        <v>45609</v>
      </c>
      <c r="N789" s="371">
        <v>48000000</v>
      </c>
      <c r="O789" s="444" t="s">
        <v>3866</v>
      </c>
      <c r="P789" s="397">
        <v>19466618</v>
      </c>
      <c r="Q789" s="397">
        <v>19466618</v>
      </c>
      <c r="R789" s="397"/>
      <c r="S789" s="398">
        <f t="shared" si="37"/>
        <v>19466618</v>
      </c>
      <c r="T789" s="353"/>
      <c r="U789" s="353">
        <f t="shared" si="38"/>
        <v>19466618</v>
      </c>
      <c r="V789" s="399"/>
      <c r="W789" s="399"/>
      <c r="X789" s="400" t="s">
        <v>492</v>
      </c>
      <c r="Y789" s="400"/>
      <c r="Z789" s="283"/>
    </row>
    <row r="790" spans="2:26" ht="19.5" hidden="1" customHeight="1">
      <c r="B790" s="29">
        <f t="shared" si="36"/>
        <v>780</v>
      </c>
      <c r="C790" s="30" t="s">
        <v>202</v>
      </c>
      <c r="D790" s="30" t="s">
        <v>225</v>
      </c>
      <c r="E790" s="234" t="s">
        <v>1115</v>
      </c>
      <c r="F790" s="235" t="s">
        <v>1279</v>
      </c>
      <c r="G790" s="284">
        <f>IFERROR(VLOOKUP(E790,Assign!$C$2:$J$142,8,FALSE),)</f>
        <v>0</v>
      </c>
      <c r="H790" s="279" t="s">
        <v>6822</v>
      </c>
      <c r="I790" s="280" t="s">
        <v>6064</v>
      </c>
      <c r="J790" s="281" t="s">
        <v>3737</v>
      </c>
      <c r="K790" s="282">
        <v>43803</v>
      </c>
      <c r="L790" s="282">
        <v>54761</v>
      </c>
      <c r="M790" s="282">
        <v>45601</v>
      </c>
      <c r="N790" s="371">
        <v>86000000</v>
      </c>
      <c r="O790" s="444" t="s">
        <v>3866</v>
      </c>
      <c r="P790" s="397">
        <v>76624058</v>
      </c>
      <c r="Q790" s="397">
        <v>76624058</v>
      </c>
      <c r="R790" s="397"/>
      <c r="S790" s="398">
        <f t="shared" si="37"/>
        <v>76624058</v>
      </c>
      <c r="T790" s="353"/>
      <c r="U790" s="353">
        <f t="shared" si="38"/>
        <v>76624058</v>
      </c>
      <c r="V790" s="399"/>
      <c r="W790" s="399"/>
      <c r="X790" s="400" t="s">
        <v>492</v>
      </c>
      <c r="Y790" s="400"/>
      <c r="Z790" s="283"/>
    </row>
    <row r="791" spans="2:26" ht="19.5" hidden="1" customHeight="1">
      <c r="B791" s="29">
        <f t="shared" si="36"/>
        <v>781</v>
      </c>
      <c r="C791" s="30" t="s">
        <v>202</v>
      </c>
      <c r="D791" s="30" t="s">
        <v>225</v>
      </c>
      <c r="E791" s="234" t="s">
        <v>1116</v>
      </c>
      <c r="F791" s="235" t="s">
        <v>1221</v>
      </c>
      <c r="G791" s="284">
        <f>IFERROR(VLOOKUP(E791,Assign!$C$2:$J$142,8,FALSE),)</f>
        <v>0</v>
      </c>
      <c r="H791" s="279" t="s">
        <v>6624</v>
      </c>
      <c r="I791" s="280" t="s">
        <v>5937</v>
      </c>
      <c r="J791" s="281" t="s">
        <v>3759</v>
      </c>
      <c r="K791" s="282">
        <v>41873</v>
      </c>
      <c r="L791" s="282">
        <v>52831</v>
      </c>
      <c r="M791" s="282">
        <v>45559</v>
      </c>
      <c r="N791" s="371">
        <v>119900000</v>
      </c>
      <c r="O791" s="444" t="s">
        <v>3866</v>
      </c>
      <c r="P791" s="397">
        <v>95899044</v>
      </c>
      <c r="Q791" s="397">
        <v>95899044</v>
      </c>
      <c r="R791" s="397"/>
      <c r="S791" s="398">
        <f t="shared" si="37"/>
        <v>95899044</v>
      </c>
      <c r="T791" s="353"/>
      <c r="U791" s="353">
        <f t="shared" si="38"/>
        <v>95899044</v>
      </c>
      <c r="V791" s="399"/>
      <c r="W791" s="399"/>
      <c r="X791" s="400" t="s">
        <v>492</v>
      </c>
      <c r="Y791" s="400"/>
      <c r="Z791" s="283"/>
    </row>
    <row r="792" spans="2:26" ht="19.5" hidden="1" customHeight="1">
      <c r="B792" s="29">
        <f t="shared" si="36"/>
        <v>782</v>
      </c>
      <c r="C792" s="30" t="s">
        <v>202</v>
      </c>
      <c r="D792" s="30" t="s">
        <v>225</v>
      </c>
      <c r="E792" s="234" t="s">
        <v>1117</v>
      </c>
      <c r="F792" s="235" t="s">
        <v>1225</v>
      </c>
      <c r="G792" s="284" t="str">
        <f>IFERROR(VLOOKUP(E792,Assign!$C$2:$J$142,8,FALSE),)</f>
        <v>문선영</v>
      </c>
      <c r="H792" s="279" t="s">
        <v>6962</v>
      </c>
      <c r="I792" s="280" t="s">
        <v>6138</v>
      </c>
      <c r="J792" s="281" t="s">
        <v>3737</v>
      </c>
      <c r="K792" s="282">
        <v>44770</v>
      </c>
      <c r="L792" s="282">
        <v>59380</v>
      </c>
      <c r="M792" s="282">
        <v>45441</v>
      </c>
      <c r="N792" s="371">
        <v>100000000</v>
      </c>
      <c r="O792" s="444" t="s">
        <v>3866</v>
      </c>
      <c r="P792" s="397">
        <v>95624847</v>
      </c>
      <c r="Q792" s="397">
        <v>95624847</v>
      </c>
      <c r="R792" s="397"/>
      <c r="S792" s="398">
        <f t="shared" si="37"/>
        <v>95624847</v>
      </c>
      <c r="T792" s="353"/>
      <c r="U792" s="353">
        <f t="shared" si="38"/>
        <v>95624847</v>
      </c>
      <c r="V792" s="399"/>
      <c r="W792" s="399"/>
      <c r="X792" s="400" t="s">
        <v>492</v>
      </c>
      <c r="Y792" s="400"/>
      <c r="Z792" s="283"/>
    </row>
    <row r="793" spans="2:26" ht="19.5" hidden="1" customHeight="1">
      <c r="B793" s="29">
        <f t="shared" si="36"/>
        <v>783</v>
      </c>
      <c r="C793" s="30" t="s">
        <v>202</v>
      </c>
      <c r="D793" s="30" t="s">
        <v>225</v>
      </c>
      <c r="E793" s="234" t="s">
        <v>1118</v>
      </c>
      <c r="F793" s="235" t="s">
        <v>1229</v>
      </c>
      <c r="G793" s="284">
        <f>IFERROR(VLOOKUP(E793,Assign!$C$2:$J$142,8,FALSE),)</f>
        <v>0</v>
      </c>
      <c r="H793" s="279" t="s">
        <v>6431</v>
      </c>
      <c r="I793" s="280" t="s">
        <v>5788</v>
      </c>
      <c r="J793" s="281" t="s">
        <v>3733</v>
      </c>
      <c r="K793" s="282">
        <v>44167</v>
      </c>
      <c r="L793" s="282">
        <v>45628</v>
      </c>
      <c r="M793" s="282">
        <v>45576</v>
      </c>
      <c r="N793" s="371">
        <v>94000000</v>
      </c>
      <c r="O793" s="444" t="s">
        <v>3866</v>
      </c>
      <c r="P793" s="397">
        <v>94000000</v>
      </c>
      <c r="Q793" s="397">
        <v>94000000</v>
      </c>
      <c r="R793" s="397"/>
      <c r="S793" s="398">
        <f t="shared" si="37"/>
        <v>94000000</v>
      </c>
      <c r="T793" s="353"/>
      <c r="U793" s="353">
        <f t="shared" si="38"/>
        <v>94000000</v>
      </c>
      <c r="V793" s="399"/>
      <c r="W793" s="399"/>
      <c r="X793" s="400" t="s">
        <v>492</v>
      </c>
      <c r="Y793" s="400"/>
      <c r="Z793" s="283"/>
    </row>
    <row r="794" spans="2:26" ht="19.5" hidden="1" customHeight="1">
      <c r="B794" s="29">
        <f t="shared" si="36"/>
        <v>784</v>
      </c>
      <c r="C794" s="30" t="s">
        <v>202</v>
      </c>
      <c r="D794" s="30" t="s">
        <v>225</v>
      </c>
      <c r="E794" s="234" t="s">
        <v>1119</v>
      </c>
      <c r="F794" s="235" t="s">
        <v>1224</v>
      </c>
      <c r="G794" s="284">
        <f>IFERROR(VLOOKUP(E794,Assign!$C$2:$J$142,8,FALSE),)</f>
        <v>0</v>
      </c>
      <c r="H794" s="279" t="s">
        <v>6964</v>
      </c>
      <c r="I794" s="280" t="s">
        <v>5650</v>
      </c>
      <c r="J794" s="281" t="s">
        <v>3735</v>
      </c>
      <c r="K794" s="282">
        <v>42955</v>
      </c>
      <c r="L794" s="282">
        <v>53912</v>
      </c>
      <c r="M794" s="282">
        <v>45574</v>
      </c>
      <c r="N794" s="371">
        <v>109000000</v>
      </c>
      <c r="O794" s="444" t="s">
        <v>3866</v>
      </c>
      <c r="P794" s="397">
        <v>93935570</v>
      </c>
      <c r="Q794" s="397">
        <v>93935570</v>
      </c>
      <c r="R794" s="397"/>
      <c r="S794" s="398">
        <f t="shared" si="37"/>
        <v>93935570</v>
      </c>
      <c r="T794" s="353"/>
      <c r="U794" s="353">
        <f t="shared" si="38"/>
        <v>93935570</v>
      </c>
      <c r="V794" s="399"/>
      <c r="W794" s="399"/>
      <c r="X794" s="400" t="s">
        <v>492</v>
      </c>
      <c r="Y794" s="400"/>
      <c r="Z794" s="283"/>
    </row>
    <row r="795" spans="2:26" ht="19.5" hidden="1" customHeight="1">
      <c r="B795" s="29">
        <f t="shared" si="36"/>
        <v>785</v>
      </c>
      <c r="C795" s="30" t="s">
        <v>202</v>
      </c>
      <c r="D795" s="30" t="s">
        <v>225</v>
      </c>
      <c r="E795" s="234" t="s">
        <v>1120</v>
      </c>
      <c r="F795" s="235" t="s">
        <v>1229</v>
      </c>
      <c r="G795" s="284">
        <f>IFERROR(VLOOKUP(E795,Assign!$C$2:$J$142,8,FALSE),)</f>
        <v>0</v>
      </c>
      <c r="H795" s="279" t="s">
        <v>6798</v>
      </c>
      <c r="I795" s="280" t="s">
        <v>5829</v>
      </c>
      <c r="J795" s="281" t="s">
        <v>3733</v>
      </c>
      <c r="K795" s="282">
        <v>45195</v>
      </c>
      <c r="L795" s="282">
        <v>46291</v>
      </c>
      <c r="M795" s="282">
        <v>45653</v>
      </c>
      <c r="N795" s="371">
        <v>93000000</v>
      </c>
      <c r="O795" s="444" t="s">
        <v>3866</v>
      </c>
      <c r="P795" s="397">
        <v>93000000</v>
      </c>
      <c r="Q795" s="397">
        <v>93000000</v>
      </c>
      <c r="R795" s="397"/>
      <c r="S795" s="398">
        <f t="shared" si="37"/>
        <v>93000000</v>
      </c>
      <c r="T795" s="353"/>
      <c r="U795" s="353">
        <f t="shared" si="38"/>
        <v>93000000</v>
      </c>
      <c r="V795" s="399"/>
      <c r="W795" s="399"/>
      <c r="X795" s="400" t="s">
        <v>492</v>
      </c>
      <c r="Y795" s="400"/>
      <c r="Z795" s="283"/>
    </row>
    <row r="796" spans="2:26" ht="19.5" hidden="1" customHeight="1">
      <c r="B796" s="29">
        <f t="shared" si="36"/>
        <v>786</v>
      </c>
      <c r="C796" s="30" t="s">
        <v>202</v>
      </c>
      <c r="D796" s="30" t="s">
        <v>225</v>
      </c>
      <c r="E796" s="234" t="s">
        <v>1121</v>
      </c>
      <c r="F796" s="235" t="s">
        <v>1218</v>
      </c>
      <c r="G796" s="284">
        <f>IFERROR(VLOOKUP(E796,Assign!$C$2:$J$142,8,FALSE),)</f>
        <v>0</v>
      </c>
      <c r="H796" s="279" t="s">
        <v>6755</v>
      </c>
      <c r="I796" s="280" t="s">
        <v>6026</v>
      </c>
      <c r="J796" s="281" t="s">
        <v>3742</v>
      </c>
      <c r="K796" s="282">
        <v>42096</v>
      </c>
      <c r="L796" s="282">
        <v>53054</v>
      </c>
      <c r="M796" s="282">
        <v>45507</v>
      </c>
      <c r="N796" s="371">
        <v>132000000</v>
      </c>
      <c r="O796" s="444" t="s">
        <v>3866</v>
      </c>
      <c r="P796" s="397">
        <v>91299834</v>
      </c>
      <c r="Q796" s="397">
        <v>91299834</v>
      </c>
      <c r="R796" s="397"/>
      <c r="S796" s="398">
        <f t="shared" si="37"/>
        <v>91299834</v>
      </c>
      <c r="T796" s="353"/>
      <c r="U796" s="353">
        <f t="shared" si="38"/>
        <v>91299834</v>
      </c>
      <c r="V796" s="399"/>
      <c r="W796" s="399"/>
      <c r="X796" s="400" t="s">
        <v>492</v>
      </c>
      <c r="Y796" s="400"/>
      <c r="Z796" s="283"/>
    </row>
    <row r="797" spans="2:26" ht="19.5" hidden="1" customHeight="1">
      <c r="B797" s="29">
        <f t="shared" si="36"/>
        <v>787</v>
      </c>
      <c r="C797" s="30" t="s">
        <v>202</v>
      </c>
      <c r="D797" s="30" t="s">
        <v>225</v>
      </c>
      <c r="E797" s="234" t="s">
        <v>1122</v>
      </c>
      <c r="F797" s="235" t="s">
        <v>1225</v>
      </c>
      <c r="G797" s="284">
        <f>IFERROR(VLOOKUP(E797,Assign!$C$2:$J$142,8,FALSE),)</f>
        <v>0</v>
      </c>
      <c r="H797" s="279" t="s">
        <v>6296</v>
      </c>
      <c r="I797" s="280" t="s">
        <v>5672</v>
      </c>
      <c r="J797" s="281" t="s">
        <v>3746</v>
      </c>
      <c r="K797" s="282">
        <v>39227</v>
      </c>
      <c r="L797" s="282">
        <v>50185</v>
      </c>
      <c r="M797" s="282">
        <v>45623</v>
      </c>
      <c r="N797" s="371">
        <v>200000000</v>
      </c>
      <c r="O797" s="444" t="s">
        <v>3866</v>
      </c>
      <c r="P797" s="397">
        <v>90000000</v>
      </c>
      <c r="Q797" s="397">
        <v>90000000</v>
      </c>
      <c r="R797" s="397"/>
      <c r="S797" s="398">
        <f t="shared" si="37"/>
        <v>90000000</v>
      </c>
      <c r="T797" s="353"/>
      <c r="U797" s="353">
        <f t="shared" si="38"/>
        <v>90000000</v>
      </c>
      <c r="V797" s="399"/>
      <c r="W797" s="399"/>
      <c r="X797" s="400" t="s">
        <v>492</v>
      </c>
      <c r="Y797" s="400"/>
      <c r="Z797" s="283"/>
    </row>
    <row r="798" spans="2:26" ht="19.5" hidden="1" customHeight="1">
      <c r="B798" s="29">
        <f t="shared" si="36"/>
        <v>788</v>
      </c>
      <c r="C798" s="30" t="s">
        <v>202</v>
      </c>
      <c r="D798" s="30" t="s">
        <v>225</v>
      </c>
      <c r="E798" s="234" t="s">
        <v>1123</v>
      </c>
      <c r="F798" s="235" t="s">
        <v>1225</v>
      </c>
      <c r="G798" s="284">
        <f>IFERROR(VLOOKUP(E798,Assign!$C$2:$J$142,8,FALSE),)</f>
        <v>0</v>
      </c>
      <c r="H798" s="279" t="s">
        <v>6385</v>
      </c>
      <c r="I798" s="280" t="s">
        <v>5751</v>
      </c>
      <c r="J798" s="281" t="s">
        <v>3737</v>
      </c>
      <c r="K798" s="282">
        <v>44363</v>
      </c>
      <c r="L798" s="282">
        <v>55320</v>
      </c>
      <c r="M798" s="282">
        <v>45521</v>
      </c>
      <c r="N798" s="371">
        <v>100000000</v>
      </c>
      <c r="O798" s="444" t="s">
        <v>3866</v>
      </c>
      <c r="P798" s="397">
        <v>89721971</v>
      </c>
      <c r="Q798" s="397">
        <v>89721971</v>
      </c>
      <c r="R798" s="397"/>
      <c r="S798" s="398">
        <f t="shared" si="37"/>
        <v>89721971</v>
      </c>
      <c r="T798" s="353"/>
      <c r="U798" s="353">
        <f t="shared" si="38"/>
        <v>89721971</v>
      </c>
      <c r="V798" s="399"/>
      <c r="W798" s="399"/>
      <c r="X798" s="400" t="s">
        <v>492</v>
      </c>
      <c r="Y798" s="400"/>
      <c r="Z798" s="283"/>
    </row>
    <row r="799" spans="2:26" ht="19.5" hidden="1" customHeight="1">
      <c r="B799" s="29">
        <f t="shared" si="36"/>
        <v>789</v>
      </c>
      <c r="C799" s="30" t="s">
        <v>202</v>
      </c>
      <c r="D799" s="30" t="s">
        <v>225</v>
      </c>
      <c r="E799" s="234" t="s">
        <v>1124</v>
      </c>
      <c r="F799" s="235" t="s">
        <v>1221</v>
      </c>
      <c r="G799" s="284">
        <f>IFERROR(VLOOKUP(E799,Assign!$C$2:$J$142,8,FALSE),)</f>
        <v>0</v>
      </c>
      <c r="H799" s="279" t="s">
        <v>6328</v>
      </c>
      <c r="I799" s="280" t="s">
        <v>5702</v>
      </c>
      <c r="J799" s="281" t="s">
        <v>3759</v>
      </c>
      <c r="K799" s="282">
        <v>42305</v>
      </c>
      <c r="L799" s="282">
        <v>53263</v>
      </c>
      <c r="M799" s="282">
        <v>45566</v>
      </c>
      <c r="N799" s="371">
        <v>112000000</v>
      </c>
      <c r="O799" s="444" t="s">
        <v>3866</v>
      </c>
      <c r="P799" s="397">
        <v>88930459</v>
      </c>
      <c r="Q799" s="397">
        <v>88930459</v>
      </c>
      <c r="R799" s="397"/>
      <c r="S799" s="398">
        <f t="shared" si="37"/>
        <v>88930459</v>
      </c>
      <c r="T799" s="353"/>
      <c r="U799" s="353">
        <f t="shared" si="38"/>
        <v>88930459</v>
      </c>
      <c r="V799" s="399"/>
      <c r="W799" s="399"/>
      <c r="X799" s="400" t="s">
        <v>492</v>
      </c>
      <c r="Y799" s="400"/>
      <c r="Z799" s="283"/>
    </row>
    <row r="800" spans="2:26" ht="19.5" hidden="1" customHeight="1">
      <c r="B800" s="29">
        <f t="shared" si="36"/>
        <v>790</v>
      </c>
      <c r="C800" s="30" t="s">
        <v>202</v>
      </c>
      <c r="D800" s="30" t="s">
        <v>225</v>
      </c>
      <c r="E800" s="234" t="s">
        <v>1125</v>
      </c>
      <c r="F800" s="235" t="s">
        <v>1287</v>
      </c>
      <c r="G800" s="284">
        <f>IFERROR(VLOOKUP(E800,Assign!$C$2:$J$142,8,FALSE),)</f>
        <v>0</v>
      </c>
      <c r="H800" s="279" t="s">
        <v>6744</v>
      </c>
      <c r="I800" s="280" t="s">
        <v>5938</v>
      </c>
      <c r="J800" s="281" t="s">
        <v>3735</v>
      </c>
      <c r="K800" s="282">
        <v>42060</v>
      </c>
      <c r="L800" s="282">
        <v>53018</v>
      </c>
      <c r="M800" s="282">
        <v>45317</v>
      </c>
      <c r="N800" s="371">
        <v>112000000</v>
      </c>
      <c r="O800" s="444" t="s">
        <v>3866</v>
      </c>
      <c r="P800" s="397">
        <v>88190023</v>
      </c>
      <c r="Q800" s="397">
        <v>88190023</v>
      </c>
      <c r="R800" s="397"/>
      <c r="S800" s="398">
        <f t="shared" si="37"/>
        <v>88190023</v>
      </c>
      <c r="T800" s="353"/>
      <c r="U800" s="353">
        <f t="shared" si="38"/>
        <v>88190023</v>
      </c>
      <c r="V800" s="399"/>
      <c r="W800" s="399"/>
      <c r="X800" s="400" t="s">
        <v>492</v>
      </c>
      <c r="Y800" s="400"/>
      <c r="Z800" s="283"/>
    </row>
    <row r="801" spans="2:26" ht="19.5" hidden="1" customHeight="1">
      <c r="B801" s="29">
        <f t="shared" si="36"/>
        <v>791</v>
      </c>
      <c r="C801" s="30" t="s">
        <v>202</v>
      </c>
      <c r="D801" s="30" t="s">
        <v>225</v>
      </c>
      <c r="E801" s="234" t="s">
        <v>1126</v>
      </c>
      <c r="F801" s="235" t="s">
        <v>1265</v>
      </c>
      <c r="G801" s="284" t="str">
        <f>IFERROR(VLOOKUP(E801,Assign!$C$2:$J$142,8,FALSE),)</f>
        <v>문선영</v>
      </c>
      <c r="H801" s="279" t="s">
        <v>6380</v>
      </c>
      <c r="I801" s="280" t="s">
        <v>5747</v>
      </c>
      <c r="J801" s="281" t="s">
        <v>3735</v>
      </c>
      <c r="K801" s="282">
        <v>41927</v>
      </c>
      <c r="L801" s="282">
        <v>52885</v>
      </c>
      <c r="M801" s="282">
        <v>45338</v>
      </c>
      <c r="N801" s="371">
        <v>87000000</v>
      </c>
      <c r="O801" s="444" t="s">
        <v>3866</v>
      </c>
      <c r="P801" s="397">
        <v>87000000</v>
      </c>
      <c r="Q801" s="397">
        <v>87000000</v>
      </c>
      <c r="R801" s="397"/>
      <c r="S801" s="398">
        <f t="shared" si="37"/>
        <v>87000000</v>
      </c>
      <c r="T801" s="353"/>
      <c r="U801" s="353">
        <f t="shared" si="38"/>
        <v>87000000</v>
      </c>
      <c r="V801" s="399"/>
      <c r="W801" s="399"/>
      <c r="X801" s="400" t="s">
        <v>492</v>
      </c>
      <c r="Y801" s="400"/>
      <c r="Z801" s="283"/>
    </row>
    <row r="802" spans="2:26" ht="19.5" hidden="1" customHeight="1">
      <c r="B802" s="29">
        <f t="shared" si="36"/>
        <v>792</v>
      </c>
      <c r="C802" s="30" t="s">
        <v>202</v>
      </c>
      <c r="D802" s="30" t="s">
        <v>225</v>
      </c>
      <c r="E802" s="234" t="s">
        <v>1127</v>
      </c>
      <c r="F802" s="235" t="s">
        <v>1224</v>
      </c>
      <c r="G802" s="284">
        <f>IFERROR(VLOOKUP(E802,Assign!$C$2:$J$142,8,FALSE),)</f>
        <v>0</v>
      </c>
      <c r="H802" s="279" t="s">
        <v>6696</v>
      </c>
      <c r="I802" s="280" t="s">
        <v>5993</v>
      </c>
      <c r="J802" s="281" t="s">
        <v>3733</v>
      </c>
      <c r="K802" s="282">
        <v>44560</v>
      </c>
      <c r="L802" s="282">
        <v>45656</v>
      </c>
      <c r="M802" s="282">
        <v>45563</v>
      </c>
      <c r="N802" s="371">
        <v>86000000</v>
      </c>
      <c r="O802" s="444" t="s">
        <v>3866</v>
      </c>
      <c r="P802" s="397">
        <v>86000000</v>
      </c>
      <c r="Q802" s="397">
        <v>86000000</v>
      </c>
      <c r="R802" s="397"/>
      <c r="S802" s="398">
        <f t="shared" si="37"/>
        <v>86000000</v>
      </c>
      <c r="T802" s="353"/>
      <c r="U802" s="353">
        <f t="shared" si="38"/>
        <v>86000000</v>
      </c>
      <c r="V802" s="399"/>
      <c r="W802" s="399"/>
      <c r="X802" s="400" t="s">
        <v>492</v>
      </c>
      <c r="Y802" s="400"/>
      <c r="Z802" s="283"/>
    </row>
    <row r="803" spans="2:26" ht="19.5" hidden="1" customHeight="1">
      <c r="B803" s="29">
        <f t="shared" si="36"/>
        <v>793</v>
      </c>
      <c r="C803" s="30" t="s">
        <v>202</v>
      </c>
      <c r="D803" s="30" t="s">
        <v>225</v>
      </c>
      <c r="E803" s="234" t="s">
        <v>1128</v>
      </c>
      <c r="F803" s="235" t="s">
        <v>1225</v>
      </c>
      <c r="G803" s="284">
        <f>IFERROR(VLOOKUP(E803,Assign!$C$2:$J$142,8,FALSE),)</f>
        <v>0</v>
      </c>
      <c r="H803" s="279" t="s">
        <v>6832</v>
      </c>
      <c r="I803" s="280" t="s">
        <v>6071</v>
      </c>
      <c r="J803" s="281" t="s">
        <v>3759</v>
      </c>
      <c r="K803" s="282">
        <v>42013</v>
      </c>
      <c r="L803" s="282">
        <v>52971</v>
      </c>
      <c r="M803" s="282">
        <v>45576</v>
      </c>
      <c r="N803" s="371">
        <v>110000000</v>
      </c>
      <c r="O803" s="444" t="s">
        <v>3866</v>
      </c>
      <c r="P803" s="397">
        <v>85612261</v>
      </c>
      <c r="Q803" s="397">
        <v>85612261</v>
      </c>
      <c r="R803" s="397"/>
      <c r="S803" s="398">
        <f t="shared" si="37"/>
        <v>85612261</v>
      </c>
      <c r="T803" s="353"/>
      <c r="U803" s="353">
        <f t="shared" si="38"/>
        <v>85612261</v>
      </c>
      <c r="V803" s="399"/>
      <c r="W803" s="399"/>
      <c r="X803" s="400" t="s">
        <v>492</v>
      </c>
      <c r="Y803" s="400"/>
      <c r="Z803" s="283"/>
    </row>
    <row r="804" spans="2:26" ht="19.5" hidden="1" customHeight="1">
      <c r="B804" s="29">
        <f t="shared" si="36"/>
        <v>794</v>
      </c>
      <c r="C804" s="30" t="s">
        <v>202</v>
      </c>
      <c r="D804" s="30" t="s">
        <v>225</v>
      </c>
      <c r="E804" s="234" t="s">
        <v>1129</v>
      </c>
      <c r="F804" s="235" t="s">
        <v>1218</v>
      </c>
      <c r="G804" s="284">
        <f>IFERROR(VLOOKUP(E804,Assign!$C$2:$J$142,8,FALSE),)</f>
        <v>0</v>
      </c>
      <c r="H804" s="279" t="s">
        <v>6366</v>
      </c>
      <c r="I804" s="280" t="s">
        <v>5735</v>
      </c>
      <c r="J804" s="281" t="s">
        <v>3735</v>
      </c>
      <c r="K804" s="282">
        <v>42887</v>
      </c>
      <c r="L804" s="282">
        <v>53844</v>
      </c>
      <c r="M804" s="282">
        <v>45598</v>
      </c>
      <c r="N804" s="371">
        <v>100000000</v>
      </c>
      <c r="O804" s="444" t="s">
        <v>3866</v>
      </c>
      <c r="P804" s="397">
        <v>84241603</v>
      </c>
      <c r="Q804" s="397">
        <v>84241603</v>
      </c>
      <c r="R804" s="397"/>
      <c r="S804" s="398">
        <f t="shared" si="37"/>
        <v>84241603</v>
      </c>
      <c r="T804" s="353"/>
      <c r="U804" s="353">
        <f t="shared" si="38"/>
        <v>84241603</v>
      </c>
      <c r="V804" s="399"/>
      <c r="W804" s="399"/>
      <c r="X804" s="400" t="s">
        <v>492</v>
      </c>
      <c r="Y804" s="400"/>
      <c r="Z804" s="283"/>
    </row>
    <row r="805" spans="2:26" ht="19.5" hidden="1" customHeight="1">
      <c r="B805" s="29">
        <f t="shared" si="36"/>
        <v>795</v>
      </c>
      <c r="C805" s="30" t="s">
        <v>202</v>
      </c>
      <c r="D805" s="30" t="s">
        <v>225</v>
      </c>
      <c r="E805" s="234" t="s">
        <v>1130</v>
      </c>
      <c r="F805" s="235" t="s">
        <v>1217</v>
      </c>
      <c r="G805" s="284" t="str">
        <f>IFERROR(VLOOKUP(E805,Assign!$C$2:$J$142,8,FALSE),)</f>
        <v>문선영</v>
      </c>
      <c r="H805" s="279" t="s">
        <v>6759</v>
      </c>
      <c r="I805" s="280" t="s">
        <v>5709</v>
      </c>
      <c r="J805" s="281" t="s">
        <v>3742</v>
      </c>
      <c r="K805" s="282">
        <v>41239</v>
      </c>
      <c r="L805" s="282">
        <v>52196</v>
      </c>
      <c r="M805" s="282">
        <v>45378</v>
      </c>
      <c r="N805" s="371">
        <v>110000000</v>
      </c>
      <c r="O805" s="444" t="s">
        <v>3866</v>
      </c>
      <c r="P805" s="397">
        <v>66054825</v>
      </c>
      <c r="Q805" s="397">
        <v>66054825</v>
      </c>
      <c r="R805" s="397"/>
      <c r="S805" s="398">
        <f t="shared" si="37"/>
        <v>66054825</v>
      </c>
      <c r="T805" s="353"/>
      <c r="U805" s="353">
        <f t="shared" si="38"/>
        <v>66054825</v>
      </c>
      <c r="V805" s="399"/>
      <c r="W805" s="399"/>
      <c r="X805" s="400" t="s">
        <v>492</v>
      </c>
      <c r="Y805" s="400"/>
      <c r="Z805" s="283"/>
    </row>
    <row r="806" spans="2:26" ht="19.5" hidden="1" customHeight="1">
      <c r="B806" s="29">
        <f t="shared" si="36"/>
        <v>796</v>
      </c>
      <c r="C806" s="30" t="s">
        <v>202</v>
      </c>
      <c r="D806" s="30" t="s">
        <v>225</v>
      </c>
      <c r="E806" s="234" t="s">
        <v>1130</v>
      </c>
      <c r="F806" s="235" t="s">
        <v>1217</v>
      </c>
      <c r="G806" s="284" t="str">
        <f>IFERROR(VLOOKUP(E806,Assign!$C$2:$J$142,8,FALSE),)</f>
        <v>문선영</v>
      </c>
      <c r="H806" s="279" t="s">
        <v>6760</v>
      </c>
      <c r="I806" s="280" t="s">
        <v>6030</v>
      </c>
      <c r="J806" s="281" t="s">
        <v>3737</v>
      </c>
      <c r="K806" s="282">
        <v>42262</v>
      </c>
      <c r="L806" s="282">
        <v>53220</v>
      </c>
      <c r="M806" s="282">
        <v>45367</v>
      </c>
      <c r="N806" s="371">
        <v>24000000</v>
      </c>
      <c r="O806" s="444" t="s">
        <v>3866</v>
      </c>
      <c r="P806" s="397">
        <v>17266494</v>
      </c>
      <c r="Q806" s="397">
        <v>17266494</v>
      </c>
      <c r="R806" s="397"/>
      <c r="S806" s="398">
        <f t="shared" si="37"/>
        <v>17266494</v>
      </c>
      <c r="T806" s="353"/>
      <c r="U806" s="353">
        <f t="shared" si="38"/>
        <v>17266494</v>
      </c>
      <c r="V806" s="399"/>
      <c r="W806" s="399"/>
      <c r="X806" s="400" t="s">
        <v>492</v>
      </c>
      <c r="Y806" s="400"/>
      <c r="Z806" s="283"/>
    </row>
    <row r="807" spans="2:26" ht="19.5" hidden="1" customHeight="1">
      <c r="B807" s="29">
        <f t="shared" si="36"/>
        <v>797</v>
      </c>
      <c r="C807" s="30" t="s">
        <v>202</v>
      </c>
      <c r="D807" s="30" t="s">
        <v>225</v>
      </c>
      <c r="E807" s="234" t="s">
        <v>1131</v>
      </c>
      <c r="F807" s="235" t="s">
        <v>1223</v>
      </c>
      <c r="G807" s="284" t="str">
        <f>IFERROR(VLOOKUP(E807,Assign!$C$2:$J$142,8,FALSE),)</f>
        <v>문선영</v>
      </c>
      <c r="H807" s="279" t="s">
        <v>6473</v>
      </c>
      <c r="I807" s="280" t="s">
        <v>5818</v>
      </c>
      <c r="J807" s="281" t="s">
        <v>3759</v>
      </c>
      <c r="K807" s="282">
        <v>41781</v>
      </c>
      <c r="L807" s="282">
        <v>52739</v>
      </c>
      <c r="M807" s="282">
        <v>45527</v>
      </c>
      <c r="N807" s="371">
        <v>126000000</v>
      </c>
      <c r="O807" s="444" t="s">
        <v>3866</v>
      </c>
      <c r="P807" s="397">
        <v>82972119</v>
      </c>
      <c r="Q807" s="397">
        <v>82972119</v>
      </c>
      <c r="R807" s="397"/>
      <c r="S807" s="398">
        <f t="shared" si="37"/>
        <v>82972119</v>
      </c>
      <c r="T807" s="353"/>
      <c r="U807" s="353">
        <f t="shared" si="38"/>
        <v>82972119</v>
      </c>
      <c r="V807" s="399"/>
      <c r="W807" s="399"/>
      <c r="X807" s="400" t="s">
        <v>492</v>
      </c>
      <c r="Y807" s="400"/>
      <c r="Z807" s="283"/>
    </row>
    <row r="808" spans="2:26" ht="19.5" hidden="1" customHeight="1">
      <c r="B808" s="29">
        <f t="shared" si="36"/>
        <v>798</v>
      </c>
      <c r="C808" s="30" t="s">
        <v>202</v>
      </c>
      <c r="D808" s="30" t="s">
        <v>225</v>
      </c>
      <c r="E808" s="234" t="s">
        <v>1132</v>
      </c>
      <c r="F808" s="235" t="s">
        <v>1217</v>
      </c>
      <c r="G808" s="284">
        <f>IFERROR(VLOOKUP(E808,Assign!$C$2:$J$142,8,FALSE),)</f>
        <v>0</v>
      </c>
      <c r="H808" s="279" t="s">
        <v>6458</v>
      </c>
      <c r="I808" s="280" t="s">
        <v>5806</v>
      </c>
      <c r="J808" s="281" t="s">
        <v>3754</v>
      </c>
      <c r="K808" s="282">
        <v>44433</v>
      </c>
      <c r="L808" s="282">
        <v>45894</v>
      </c>
      <c r="M808" s="282">
        <v>45561</v>
      </c>
      <c r="N808" s="371">
        <v>82000000</v>
      </c>
      <c r="O808" s="444" t="s">
        <v>3866</v>
      </c>
      <c r="P808" s="397">
        <v>82000000</v>
      </c>
      <c r="Q808" s="397">
        <v>82000000</v>
      </c>
      <c r="R808" s="397"/>
      <c r="S808" s="398">
        <f t="shared" si="37"/>
        <v>82000000</v>
      </c>
      <c r="T808" s="353"/>
      <c r="U808" s="353">
        <f t="shared" si="38"/>
        <v>82000000</v>
      </c>
      <c r="V808" s="399"/>
      <c r="W808" s="399"/>
      <c r="X808" s="400" t="s">
        <v>492</v>
      </c>
      <c r="Y808" s="400"/>
      <c r="Z808" s="283"/>
    </row>
    <row r="809" spans="2:26" ht="19.5" hidden="1" customHeight="1">
      <c r="B809" s="29">
        <f t="shared" si="36"/>
        <v>799</v>
      </c>
      <c r="C809" s="30" t="s">
        <v>202</v>
      </c>
      <c r="D809" s="30" t="s">
        <v>225</v>
      </c>
      <c r="E809" s="234" t="s">
        <v>1133</v>
      </c>
      <c r="F809" s="235" t="s">
        <v>1229</v>
      </c>
      <c r="G809" s="284">
        <f>IFERROR(VLOOKUP(E809,Assign!$C$2:$J$142,8,FALSE),)</f>
        <v>0</v>
      </c>
      <c r="H809" s="279" t="s">
        <v>6392</v>
      </c>
      <c r="I809" s="280" t="s">
        <v>5755</v>
      </c>
      <c r="J809" s="281" t="s">
        <v>3734</v>
      </c>
      <c r="K809" s="282">
        <v>44784</v>
      </c>
      <c r="L809" s="282">
        <v>45515</v>
      </c>
      <c r="M809" s="282">
        <v>45426</v>
      </c>
      <c r="N809" s="371">
        <v>81000000</v>
      </c>
      <c r="O809" s="444" t="s">
        <v>3866</v>
      </c>
      <c r="P809" s="397">
        <v>81000000</v>
      </c>
      <c r="Q809" s="397">
        <v>81000000</v>
      </c>
      <c r="R809" s="397"/>
      <c r="S809" s="398">
        <f t="shared" si="37"/>
        <v>81000000</v>
      </c>
      <c r="T809" s="353"/>
      <c r="U809" s="353">
        <f t="shared" si="38"/>
        <v>81000000</v>
      </c>
      <c r="V809" s="399"/>
      <c r="W809" s="399"/>
      <c r="X809" s="400" t="s">
        <v>492</v>
      </c>
      <c r="Y809" s="400"/>
      <c r="Z809" s="283"/>
    </row>
    <row r="810" spans="2:26" ht="19.5" hidden="1" customHeight="1">
      <c r="B810" s="29">
        <f t="shared" si="36"/>
        <v>800</v>
      </c>
      <c r="C810" s="30" t="s">
        <v>202</v>
      </c>
      <c r="D810" s="30" t="s">
        <v>225</v>
      </c>
      <c r="E810" s="234" t="s">
        <v>1134</v>
      </c>
      <c r="F810" s="235" t="s">
        <v>1265</v>
      </c>
      <c r="G810" s="284">
        <f>IFERROR(VLOOKUP(E810,Assign!$C$2:$J$142,8,FALSE),)</f>
        <v>0</v>
      </c>
      <c r="H810" s="279" t="s">
        <v>6612</v>
      </c>
      <c r="I810" s="280" t="s">
        <v>5927</v>
      </c>
      <c r="J810" s="281" t="s">
        <v>3733</v>
      </c>
      <c r="K810" s="282">
        <v>44446</v>
      </c>
      <c r="L810" s="282">
        <v>45542</v>
      </c>
      <c r="M810" s="282">
        <v>45545</v>
      </c>
      <c r="N810" s="371">
        <v>78000000</v>
      </c>
      <c r="O810" s="444" t="s">
        <v>3866</v>
      </c>
      <c r="P810" s="397">
        <v>78000000</v>
      </c>
      <c r="Q810" s="397">
        <v>78000000</v>
      </c>
      <c r="R810" s="397"/>
      <c r="S810" s="398">
        <f t="shared" si="37"/>
        <v>78000000</v>
      </c>
      <c r="T810" s="353"/>
      <c r="U810" s="353">
        <f t="shared" si="38"/>
        <v>78000000</v>
      </c>
      <c r="V810" s="399"/>
      <c r="W810" s="399"/>
      <c r="X810" s="400" t="s">
        <v>492</v>
      </c>
      <c r="Y810" s="400"/>
      <c r="Z810" s="283"/>
    </row>
    <row r="811" spans="2:26" ht="19.5" hidden="1" customHeight="1">
      <c r="B811" s="29">
        <f t="shared" si="36"/>
        <v>801</v>
      </c>
      <c r="C811" s="30" t="s">
        <v>202</v>
      </c>
      <c r="D811" s="30" t="s">
        <v>225</v>
      </c>
      <c r="E811" s="234" t="s">
        <v>1135</v>
      </c>
      <c r="F811" s="235" t="s">
        <v>1232</v>
      </c>
      <c r="G811" s="284">
        <f>IFERROR(VLOOKUP(E811,Assign!$C$2:$J$142,8,FALSE),)</f>
        <v>0</v>
      </c>
      <c r="H811" s="279" t="s">
        <v>6655</v>
      </c>
      <c r="I811" s="280" t="s">
        <v>5858</v>
      </c>
      <c r="J811" s="281" t="s">
        <v>3759</v>
      </c>
      <c r="K811" s="282">
        <v>42341</v>
      </c>
      <c r="L811" s="282">
        <v>53299</v>
      </c>
      <c r="M811" s="282">
        <v>45436</v>
      </c>
      <c r="N811" s="371">
        <v>108000000</v>
      </c>
      <c r="O811" s="444" t="s">
        <v>3866</v>
      </c>
      <c r="P811" s="397">
        <v>77700000</v>
      </c>
      <c r="Q811" s="397">
        <v>77700000</v>
      </c>
      <c r="R811" s="397"/>
      <c r="S811" s="398">
        <f t="shared" si="37"/>
        <v>77700000</v>
      </c>
      <c r="T811" s="353"/>
      <c r="U811" s="353">
        <f t="shared" si="38"/>
        <v>77700000</v>
      </c>
      <c r="V811" s="399"/>
      <c r="W811" s="399"/>
      <c r="X811" s="400" t="s">
        <v>492</v>
      </c>
      <c r="Y811" s="400"/>
      <c r="Z811" s="283"/>
    </row>
    <row r="812" spans="2:26" ht="19.5" hidden="1" customHeight="1">
      <c r="B812" s="29">
        <f t="shared" si="36"/>
        <v>802</v>
      </c>
      <c r="C812" s="30" t="s">
        <v>202</v>
      </c>
      <c r="D812" s="30" t="s">
        <v>225</v>
      </c>
      <c r="E812" s="234" t="s">
        <v>1136</v>
      </c>
      <c r="F812" s="235" t="s">
        <v>1239</v>
      </c>
      <c r="G812" s="284" t="str">
        <f>IFERROR(VLOOKUP(E812,Assign!$C$2:$J$142,8,FALSE),)</f>
        <v>문선영</v>
      </c>
      <c r="H812" s="279" t="s">
        <v>6610</v>
      </c>
      <c r="I812" s="280" t="s">
        <v>5633</v>
      </c>
      <c r="J812" s="281" t="s">
        <v>3742</v>
      </c>
      <c r="K812" s="282">
        <v>42339</v>
      </c>
      <c r="L812" s="282">
        <v>53297</v>
      </c>
      <c r="M812" s="282">
        <v>45598</v>
      </c>
      <c r="N812" s="371">
        <v>108000000</v>
      </c>
      <c r="O812" s="444" t="s">
        <v>3866</v>
      </c>
      <c r="P812" s="397">
        <v>76200000</v>
      </c>
      <c r="Q812" s="397">
        <v>76200000</v>
      </c>
      <c r="R812" s="397"/>
      <c r="S812" s="398">
        <f t="shared" si="37"/>
        <v>76200000</v>
      </c>
      <c r="T812" s="353"/>
      <c r="U812" s="353">
        <f t="shared" si="38"/>
        <v>76200000</v>
      </c>
      <c r="V812" s="399"/>
      <c r="W812" s="399"/>
      <c r="X812" s="400" t="s">
        <v>492</v>
      </c>
      <c r="Y812" s="400"/>
      <c r="Z812" s="283"/>
    </row>
    <row r="813" spans="2:26" ht="19.5" hidden="1" customHeight="1">
      <c r="B813" s="29">
        <f t="shared" si="36"/>
        <v>803</v>
      </c>
      <c r="C813" s="30" t="s">
        <v>202</v>
      </c>
      <c r="D813" s="30" t="s">
        <v>225</v>
      </c>
      <c r="E813" s="234" t="s">
        <v>1137</v>
      </c>
      <c r="F813" s="235" t="s">
        <v>1363</v>
      </c>
      <c r="G813" s="284" t="str">
        <f>IFERROR(VLOOKUP(E813,Assign!$C$2:$J$142,8,FALSE),)</f>
        <v>문선영</v>
      </c>
      <c r="H813" s="279" t="s">
        <v>7041</v>
      </c>
      <c r="I813" s="280" t="s">
        <v>6139</v>
      </c>
      <c r="J813" s="281" t="s">
        <v>3823</v>
      </c>
      <c r="K813" s="282">
        <v>44825</v>
      </c>
      <c r="L813" s="282">
        <v>45672</v>
      </c>
      <c r="M813" s="282">
        <v>45643</v>
      </c>
      <c r="N813" s="371">
        <v>74400000</v>
      </c>
      <c r="O813" s="444" t="s">
        <v>3866</v>
      </c>
      <c r="P813" s="397">
        <v>74400000</v>
      </c>
      <c r="Q813" s="397">
        <v>74400000</v>
      </c>
      <c r="R813" s="397"/>
      <c r="S813" s="398">
        <f t="shared" si="37"/>
        <v>74400000</v>
      </c>
      <c r="T813" s="353"/>
      <c r="U813" s="353">
        <f t="shared" si="38"/>
        <v>74400000</v>
      </c>
      <c r="V813" s="399"/>
      <c r="W813" s="399"/>
      <c r="X813" s="400" t="s">
        <v>492</v>
      </c>
      <c r="Y813" s="400"/>
      <c r="Z813" s="283"/>
    </row>
    <row r="814" spans="2:26" ht="19.5" hidden="1" customHeight="1">
      <c r="B814" s="29">
        <f t="shared" si="36"/>
        <v>804</v>
      </c>
      <c r="C814" s="30" t="s">
        <v>202</v>
      </c>
      <c r="D814" s="30" t="s">
        <v>225</v>
      </c>
      <c r="E814" s="234" t="s">
        <v>1138</v>
      </c>
      <c r="F814" s="235" t="s">
        <v>1225</v>
      </c>
      <c r="G814" s="284" t="str">
        <f>IFERROR(VLOOKUP(E814,Assign!$C$2:$J$142,8,FALSE),)</f>
        <v>문선영</v>
      </c>
      <c r="H814" s="279" t="s">
        <v>6878</v>
      </c>
      <c r="I814" s="280" t="s">
        <v>5672</v>
      </c>
      <c r="J814" s="281" t="s">
        <v>3735</v>
      </c>
      <c r="K814" s="282">
        <v>42137</v>
      </c>
      <c r="L814" s="282">
        <v>49442</v>
      </c>
      <c r="M814" s="282">
        <v>45610</v>
      </c>
      <c r="N814" s="371">
        <v>140000000</v>
      </c>
      <c r="O814" s="444" t="s">
        <v>3866</v>
      </c>
      <c r="P814" s="397">
        <v>74083291</v>
      </c>
      <c r="Q814" s="397">
        <v>74083291</v>
      </c>
      <c r="R814" s="397"/>
      <c r="S814" s="398">
        <f t="shared" si="37"/>
        <v>74083291</v>
      </c>
      <c r="T814" s="353"/>
      <c r="U814" s="353">
        <f t="shared" si="38"/>
        <v>74083291</v>
      </c>
      <c r="V814" s="399"/>
      <c r="W814" s="399"/>
      <c r="X814" s="400" t="s">
        <v>492</v>
      </c>
      <c r="Y814" s="400"/>
      <c r="Z814" s="283"/>
    </row>
    <row r="815" spans="2:26" ht="19.5" hidden="1" customHeight="1">
      <c r="B815" s="29">
        <f t="shared" si="36"/>
        <v>805</v>
      </c>
      <c r="C815" s="30" t="s">
        <v>202</v>
      </c>
      <c r="D815" s="30" t="s">
        <v>225</v>
      </c>
      <c r="E815" s="234" t="s">
        <v>1139</v>
      </c>
      <c r="F815" s="235" t="s">
        <v>1225</v>
      </c>
      <c r="G815" s="284">
        <f>IFERROR(VLOOKUP(E815,Assign!$C$2:$J$142,8,FALSE),)</f>
        <v>0</v>
      </c>
      <c r="H815" s="279" t="s">
        <v>6345</v>
      </c>
      <c r="I815" s="280" t="s">
        <v>5690</v>
      </c>
      <c r="J815" s="281" t="s">
        <v>3735</v>
      </c>
      <c r="K815" s="282">
        <v>43938</v>
      </c>
      <c r="L815" s="282">
        <v>54895</v>
      </c>
      <c r="M815" s="282">
        <v>45555</v>
      </c>
      <c r="N815" s="371">
        <v>80000000</v>
      </c>
      <c r="O815" s="444" t="s">
        <v>3866</v>
      </c>
      <c r="P815" s="397">
        <v>72386607</v>
      </c>
      <c r="Q815" s="397">
        <v>72386607</v>
      </c>
      <c r="R815" s="397"/>
      <c r="S815" s="398">
        <f t="shared" si="37"/>
        <v>72386607</v>
      </c>
      <c r="T815" s="353"/>
      <c r="U815" s="353">
        <f t="shared" si="38"/>
        <v>72386607</v>
      </c>
      <c r="V815" s="399"/>
      <c r="W815" s="399"/>
      <c r="X815" s="400" t="s">
        <v>492</v>
      </c>
      <c r="Y815" s="400"/>
      <c r="Z815" s="283"/>
    </row>
    <row r="816" spans="2:26" ht="19.5" hidden="1" customHeight="1">
      <c r="B816" s="29">
        <f t="shared" si="36"/>
        <v>806</v>
      </c>
      <c r="C816" s="30" t="s">
        <v>202</v>
      </c>
      <c r="D816" s="30" t="s">
        <v>225</v>
      </c>
      <c r="E816" s="234" t="s">
        <v>1140</v>
      </c>
      <c r="F816" s="235" t="s">
        <v>1239</v>
      </c>
      <c r="G816" s="284">
        <f>IFERROR(VLOOKUP(E816,Assign!$C$2:$J$142,8,FALSE),)</f>
        <v>0</v>
      </c>
      <c r="H816" s="279" t="s">
        <v>6604</v>
      </c>
      <c r="I816" s="280" t="s">
        <v>5924</v>
      </c>
      <c r="J816" s="281" t="s">
        <v>3756</v>
      </c>
      <c r="K816" s="282">
        <v>44273</v>
      </c>
      <c r="L816" s="282">
        <v>55230</v>
      </c>
      <c r="M816" s="282">
        <v>45524</v>
      </c>
      <c r="N816" s="371">
        <v>76000000</v>
      </c>
      <c r="O816" s="444" t="s">
        <v>3866</v>
      </c>
      <c r="P816" s="397">
        <v>71302192</v>
      </c>
      <c r="Q816" s="397">
        <v>71302192</v>
      </c>
      <c r="R816" s="397"/>
      <c r="S816" s="398">
        <f t="shared" si="37"/>
        <v>71302192</v>
      </c>
      <c r="T816" s="353"/>
      <c r="U816" s="353">
        <f t="shared" si="38"/>
        <v>71302192</v>
      </c>
      <c r="V816" s="399"/>
      <c r="W816" s="399"/>
      <c r="X816" s="401" t="s">
        <v>492</v>
      </c>
      <c r="Y816" s="400"/>
      <c r="Z816" s="283"/>
    </row>
    <row r="817" spans="2:26" ht="19.5" hidden="1" customHeight="1">
      <c r="B817" s="29">
        <f t="shared" si="36"/>
        <v>807</v>
      </c>
      <c r="C817" s="30" t="s">
        <v>202</v>
      </c>
      <c r="D817" s="30" t="s">
        <v>225</v>
      </c>
      <c r="E817" s="234" t="s">
        <v>1141</v>
      </c>
      <c r="F817" s="235" t="s">
        <v>1220</v>
      </c>
      <c r="G817" s="284">
        <f>IFERROR(VLOOKUP(E817,Assign!$C$2:$J$142,8,FALSE),)</f>
        <v>0</v>
      </c>
      <c r="H817" s="279" t="s">
        <v>6247</v>
      </c>
      <c r="I817" s="280" t="s">
        <v>5626</v>
      </c>
      <c r="J817" s="281" t="s">
        <v>3733</v>
      </c>
      <c r="K817" s="282">
        <v>44165</v>
      </c>
      <c r="L817" s="282">
        <v>45626</v>
      </c>
      <c r="M817" s="282">
        <v>45485</v>
      </c>
      <c r="N817" s="371">
        <v>70000000</v>
      </c>
      <c r="O817" s="444" t="s">
        <v>3866</v>
      </c>
      <c r="P817" s="397">
        <v>70000000</v>
      </c>
      <c r="Q817" s="397">
        <v>70000000</v>
      </c>
      <c r="R817" s="397"/>
      <c r="S817" s="398">
        <f t="shared" si="37"/>
        <v>70000000</v>
      </c>
      <c r="T817" s="353"/>
      <c r="U817" s="353">
        <f t="shared" si="38"/>
        <v>70000000</v>
      </c>
      <c r="V817" s="399"/>
      <c r="W817" s="399"/>
      <c r="X817" s="401" t="s">
        <v>492</v>
      </c>
      <c r="Y817" s="400"/>
      <c r="Z817" s="283"/>
    </row>
    <row r="818" spans="2:26" ht="19.5" hidden="1" customHeight="1">
      <c r="B818" s="29">
        <f t="shared" si="36"/>
        <v>808</v>
      </c>
      <c r="C818" s="30" t="s">
        <v>202</v>
      </c>
      <c r="D818" s="30" t="s">
        <v>225</v>
      </c>
      <c r="E818" s="234" t="s">
        <v>1142</v>
      </c>
      <c r="F818" s="235" t="s">
        <v>1251</v>
      </c>
      <c r="G818" s="284">
        <f>IFERROR(VLOOKUP(E818,Assign!$C$2:$J$142,8,FALSE),)</f>
        <v>0</v>
      </c>
      <c r="H818" s="279" t="s">
        <v>6856</v>
      </c>
      <c r="I818" s="280" t="s">
        <v>5892</v>
      </c>
      <c r="J818" s="281" t="s">
        <v>3749</v>
      </c>
      <c r="K818" s="282">
        <v>45401</v>
      </c>
      <c r="L818" s="282">
        <v>45766</v>
      </c>
      <c r="M818" s="282">
        <v>45493</v>
      </c>
      <c r="N818" s="371">
        <v>70000000</v>
      </c>
      <c r="O818" s="444" t="s">
        <v>3866</v>
      </c>
      <c r="P818" s="397">
        <v>70000000</v>
      </c>
      <c r="Q818" s="397">
        <v>70000000</v>
      </c>
      <c r="R818" s="397"/>
      <c r="S818" s="398">
        <f t="shared" si="37"/>
        <v>70000000</v>
      </c>
      <c r="T818" s="353"/>
      <c r="U818" s="353">
        <f t="shared" si="38"/>
        <v>70000000</v>
      </c>
      <c r="V818" s="399"/>
      <c r="W818" s="399"/>
      <c r="X818" s="401" t="s">
        <v>492</v>
      </c>
      <c r="Y818" s="400"/>
      <c r="Z818" s="283"/>
    </row>
    <row r="819" spans="2:26" ht="19.5" hidden="1" customHeight="1">
      <c r="B819" s="29">
        <f t="shared" si="36"/>
        <v>809</v>
      </c>
      <c r="C819" s="30" t="s">
        <v>202</v>
      </c>
      <c r="D819" s="30" t="s">
        <v>225</v>
      </c>
      <c r="E819" s="234" t="s">
        <v>1143</v>
      </c>
      <c r="F819" s="235" t="s">
        <v>1217</v>
      </c>
      <c r="G819" s="284" t="str">
        <f>IFERROR(VLOOKUP(E819,Assign!$C$2:$J$142,8,FALSE),)</f>
        <v>문선영</v>
      </c>
      <c r="H819" s="279" t="s">
        <v>6347</v>
      </c>
      <c r="I819" s="280" t="s">
        <v>5719</v>
      </c>
      <c r="J819" s="281" t="s">
        <v>3746</v>
      </c>
      <c r="K819" s="282">
        <v>44125</v>
      </c>
      <c r="L819" s="282">
        <v>55082</v>
      </c>
      <c r="M819" s="282">
        <v>45496</v>
      </c>
      <c r="N819" s="371">
        <v>75000000</v>
      </c>
      <c r="O819" s="444" t="s">
        <v>3866</v>
      </c>
      <c r="P819" s="397">
        <v>69977439</v>
      </c>
      <c r="Q819" s="397">
        <v>69977439</v>
      </c>
      <c r="R819" s="397"/>
      <c r="S819" s="398">
        <f t="shared" si="37"/>
        <v>69977439</v>
      </c>
      <c r="T819" s="353"/>
      <c r="U819" s="353">
        <f t="shared" si="38"/>
        <v>69977439</v>
      </c>
      <c r="V819" s="399"/>
      <c r="W819" s="399"/>
      <c r="X819" s="401" t="s">
        <v>492</v>
      </c>
      <c r="Y819" s="400"/>
      <c r="Z819" s="283"/>
    </row>
    <row r="820" spans="2:26" ht="19.5" hidden="1" customHeight="1">
      <c r="B820" s="29">
        <f t="shared" si="36"/>
        <v>810</v>
      </c>
      <c r="C820" s="30" t="s">
        <v>202</v>
      </c>
      <c r="D820" s="30" t="s">
        <v>225</v>
      </c>
      <c r="E820" s="234" t="s">
        <v>1144</v>
      </c>
      <c r="F820" s="235" t="s">
        <v>1269</v>
      </c>
      <c r="G820" s="284">
        <f>IFERROR(VLOOKUP(E820,Assign!$C$2:$J$142,8,FALSE),)</f>
        <v>0</v>
      </c>
      <c r="H820" s="279" t="s">
        <v>6330</v>
      </c>
      <c r="I820" s="280" t="s">
        <v>5704</v>
      </c>
      <c r="J820" s="281" t="s">
        <v>3733</v>
      </c>
      <c r="K820" s="282">
        <v>44071</v>
      </c>
      <c r="L820" s="282">
        <v>45532</v>
      </c>
      <c r="M820" s="282">
        <v>45472</v>
      </c>
      <c r="N820" s="371">
        <v>69000000</v>
      </c>
      <c r="O820" s="444" t="s">
        <v>3866</v>
      </c>
      <c r="P820" s="397">
        <v>69000000</v>
      </c>
      <c r="Q820" s="397">
        <v>69000000</v>
      </c>
      <c r="R820" s="397"/>
      <c r="S820" s="398">
        <f t="shared" si="37"/>
        <v>69000000</v>
      </c>
      <c r="T820" s="353"/>
      <c r="U820" s="353">
        <f t="shared" si="38"/>
        <v>69000000</v>
      </c>
      <c r="V820" s="399"/>
      <c r="W820" s="399"/>
      <c r="X820" s="401" t="s">
        <v>492</v>
      </c>
      <c r="Y820" s="400"/>
      <c r="Z820" s="283"/>
    </row>
    <row r="821" spans="2:26" ht="19.5" hidden="1" customHeight="1">
      <c r="B821" s="29">
        <f t="shared" si="36"/>
        <v>811</v>
      </c>
      <c r="C821" s="30" t="s">
        <v>202</v>
      </c>
      <c r="D821" s="30" t="s">
        <v>225</v>
      </c>
      <c r="E821" s="234" t="s">
        <v>1145</v>
      </c>
      <c r="F821" s="235" t="s">
        <v>1234</v>
      </c>
      <c r="G821" s="284">
        <f>IFERROR(VLOOKUP(E821,Assign!$C$2:$J$142,8,FALSE),)</f>
        <v>0</v>
      </c>
      <c r="H821" s="279" t="s">
        <v>6326</v>
      </c>
      <c r="I821" s="280" t="s">
        <v>5700</v>
      </c>
      <c r="J821" s="281" t="s">
        <v>3734</v>
      </c>
      <c r="K821" s="282">
        <v>44274</v>
      </c>
      <c r="L821" s="282">
        <v>45735</v>
      </c>
      <c r="M821" s="282">
        <v>45616</v>
      </c>
      <c r="N821" s="371">
        <v>70000000</v>
      </c>
      <c r="O821" s="444" t="s">
        <v>3866</v>
      </c>
      <c r="P821" s="397">
        <v>68443381</v>
      </c>
      <c r="Q821" s="397">
        <v>68443381</v>
      </c>
      <c r="R821" s="397"/>
      <c r="S821" s="398">
        <f t="shared" si="37"/>
        <v>68443381</v>
      </c>
      <c r="T821" s="353"/>
      <c r="U821" s="353">
        <f t="shared" si="38"/>
        <v>68443381</v>
      </c>
      <c r="V821" s="399"/>
      <c r="W821" s="399"/>
      <c r="X821" s="401" t="s">
        <v>492</v>
      </c>
      <c r="Y821" s="400"/>
      <c r="Z821" s="283"/>
    </row>
    <row r="822" spans="2:26" ht="19.5" hidden="1" customHeight="1">
      <c r="B822" s="29">
        <f t="shared" si="36"/>
        <v>812</v>
      </c>
      <c r="C822" s="30" t="s">
        <v>202</v>
      </c>
      <c r="D822" s="30" t="s">
        <v>225</v>
      </c>
      <c r="E822" s="234" t="s">
        <v>1146</v>
      </c>
      <c r="F822" s="235" t="s">
        <v>1220</v>
      </c>
      <c r="G822" s="284" t="str">
        <f>IFERROR(VLOOKUP(E822,Assign!$C$2:$J$142,8,FALSE),)</f>
        <v>문선영</v>
      </c>
      <c r="H822" s="279" t="s">
        <v>6880</v>
      </c>
      <c r="I822" s="280" t="s">
        <v>5891</v>
      </c>
      <c r="J822" s="281" t="s">
        <v>3735</v>
      </c>
      <c r="K822" s="282">
        <v>43594</v>
      </c>
      <c r="L822" s="282">
        <v>54552</v>
      </c>
      <c r="M822" s="282">
        <v>45576</v>
      </c>
      <c r="N822" s="371">
        <v>82000000</v>
      </c>
      <c r="O822" s="444" t="s">
        <v>3866</v>
      </c>
      <c r="P822" s="397">
        <v>67312609</v>
      </c>
      <c r="Q822" s="397">
        <v>67312609</v>
      </c>
      <c r="R822" s="397"/>
      <c r="S822" s="398">
        <f t="shared" si="37"/>
        <v>67312609</v>
      </c>
      <c r="T822" s="353"/>
      <c r="U822" s="353">
        <f t="shared" si="38"/>
        <v>67312609</v>
      </c>
      <c r="V822" s="399"/>
      <c r="W822" s="399"/>
      <c r="X822" s="401" t="s">
        <v>492</v>
      </c>
      <c r="Y822" s="400"/>
      <c r="Z822" s="283"/>
    </row>
    <row r="823" spans="2:26" ht="19.5" hidden="1" customHeight="1">
      <c r="B823" s="29">
        <f t="shared" si="36"/>
        <v>813</v>
      </c>
      <c r="C823" s="30" t="s">
        <v>202</v>
      </c>
      <c r="D823" s="30" t="s">
        <v>225</v>
      </c>
      <c r="E823" s="234" t="s">
        <v>1147</v>
      </c>
      <c r="F823" s="235" t="s">
        <v>1229</v>
      </c>
      <c r="G823" s="284">
        <f>IFERROR(VLOOKUP(E823,Assign!$C$2:$J$142,8,FALSE),)</f>
        <v>0</v>
      </c>
      <c r="H823" s="279" t="s">
        <v>7124</v>
      </c>
      <c r="I823" s="280" t="s">
        <v>5926</v>
      </c>
      <c r="J823" s="281" t="s">
        <v>3733</v>
      </c>
      <c r="K823" s="282">
        <v>44013</v>
      </c>
      <c r="L823" s="282">
        <v>45474</v>
      </c>
      <c r="M823" s="282">
        <v>45467</v>
      </c>
      <c r="N823" s="371">
        <v>70000000</v>
      </c>
      <c r="O823" s="444" t="s">
        <v>3866</v>
      </c>
      <c r="P823" s="397">
        <v>67000000</v>
      </c>
      <c r="Q823" s="397">
        <v>67000000</v>
      </c>
      <c r="R823" s="397"/>
      <c r="S823" s="398">
        <f t="shared" si="37"/>
        <v>67000000</v>
      </c>
      <c r="T823" s="353"/>
      <c r="U823" s="353">
        <f t="shared" si="38"/>
        <v>67000000</v>
      </c>
      <c r="V823" s="399"/>
      <c r="W823" s="399"/>
      <c r="X823" s="401" t="s">
        <v>492</v>
      </c>
      <c r="Y823" s="400"/>
      <c r="Z823" s="283"/>
    </row>
    <row r="824" spans="2:26" ht="19.5" hidden="1" customHeight="1">
      <c r="B824" s="29">
        <f t="shared" si="36"/>
        <v>814</v>
      </c>
      <c r="C824" s="30" t="s">
        <v>202</v>
      </c>
      <c r="D824" s="30" t="s">
        <v>225</v>
      </c>
      <c r="E824" s="234" t="s">
        <v>1148</v>
      </c>
      <c r="F824" s="235" t="s">
        <v>1217</v>
      </c>
      <c r="G824" s="284" t="str">
        <f>IFERROR(VLOOKUP(E824,Assign!$C$2:$J$142,8,FALSE),)</f>
        <v>문선영</v>
      </c>
      <c r="H824" s="279" t="s">
        <v>6851</v>
      </c>
      <c r="I824" s="280" t="s">
        <v>5744</v>
      </c>
      <c r="J824" s="281" t="s">
        <v>3734</v>
      </c>
      <c r="K824" s="282">
        <v>44662</v>
      </c>
      <c r="L824" s="282">
        <v>45758</v>
      </c>
      <c r="M824" s="282">
        <v>45580</v>
      </c>
      <c r="N824" s="371">
        <v>66000000</v>
      </c>
      <c r="O824" s="444" t="s">
        <v>3866</v>
      </c>
      <c r="P824" s="397">
        <v>66000000</v>
      </c>
      <c r="Q824" s="397">
        <v>66000000</v>
      </c>
      <c r="R824" s="397"/>
      <c r="S824" s="398">
        <f t="shared" si="37"/>
        <v>66000000</v>
      </c>
      <c r="T824" s="353"/>
      <c r="U824" s="353">
        <f t="shared" si="38"/>
        <v>66000000</v>
      </c>
      <c r="V824" s="399"/>
      <c r="W824" s="399"/>
      <c r="X824" s="401" t="s">
        <v>492</v>
      </c>
      <c r="Y824" s="400"/>
      <c r="Z824" s="283"/>
    </row>
    <row r="825" spans="2:26" ht="19.5" hidden="1" customHeight="1">
      <c r="B825" s="29">
        <f t="shared" si="36"/>
        <v>815</v>
      </c>
      <c r="C825" s="30" t="s">
        <v>202</v>
      </c>
      <c r="D825" s="30" t="s">
        <v>225</v>
      </c>
      <c r="E825" s="234" t="s">
        <v>1149</v>
      </c>
      <c r="F825" s="235" t="s">
        <v>1232</v>
      </c>
      <c r="G825" s="284">
        <f>IFERROR(VLOOKUP(E825,Assign!$C$2:$J$142,8,FALSE),)</f>
        <v>0</v>
      </c>
      <c r="H825" s="279" t="s">
        <v>6346</v>
      </c>
      <c r="I825" s="280" t="s">
        <v>5718</v>
      </c>
      <c r="J825" s="281" t="s">
        <v>3737</v>
      </c>
      <c r="K825" s="282">
        <v>44063</v>
      </c>
      <c r="L825" s="282">
        <v>55020</v>
      </c>
      <c r="M825" s="282">
        <v>45405</v>
      </c>
      <c r="N825" s="371">
        <v>70000000</v>
      </c>
      <c r="O825" s="444" t="s">
        <v>3866</v>
      </c>
      <c r="P825" s="397">
        <v>65444360</v>
      </c>
      <c r="Q825" s="397">
        <v>65444360</v>
      </c>
      <c r="R825" s="397"/>
      <c r="S825" s="398">
        <f t="shared" si="37"/>
        <v>65444360</v>
      </c>
      <c r="T825" s="353"/>
      <c r="U825" s="353">
        <f t="shared" si="38"/>
        <v>65444360</v>
      </c>
      <c r="V825" s="399"/>
      <c r="W825" s="399"/>
      <c r="X825" s="401" t="s">
        <v>492</v>
      </c>
      <c r="Y825" s="400"/>
      <c r="Z825" s="283"/>
    </row>
    <row r="826" spans="2:26" ht="19.5" hidden="1" customHeight="1">
      <c r="B826" s="29">
        <f t="shared" si="36"/>
        <v>816</v>
      </c>
      <c r="C826" s="30" t="s">
        <v>202</v>
      </c>
      <c r="D826" s="30" t="s">
        <v>225</v>
      </c>
      <c r="E826" s="234" t="s">
        <v>1150</v>
      </c>
      <c r="F826" s="235" t="s">
        <v>1233</v>
      </c>
      <c r="G826" s="284">
        <f>IFERROR(VLOOKUP(E826,Assign!$C$2:$J$142,8,FALSE),)</f>
        <v>0</v>
      </c>
      <c r="H826" s="279" t="s">
        <v>6544</v>
      </c>
      <c r="I826" s="280" t="s">
        <v>5877</v>
      </c>
      <c r="J826" s="281" t="s">
        <v>3735</v>
      </c>
      <c r="K826" s="282">
        <v>44858</v>
      </c>
      <c r="L826" s="282">
        <v>55816</v>
      </c>
      <c r="M826" s="282">
        <v>45590</v>
      </c>
      <c r="N826" s="371">
        <v>69000000</v>
      </c>
      <c r="O826" s="444" t="s">
        <v>3866</v>
      </c>
      <c r="P826" s="397">
        <v>64591442</v>
      </c>
      <c r="Q826" s="397">
        <v>64591442</v>
      </c>
      <c r="R826" s="397"/>
      <c r="S826" s="398">
        <f t="shared" si="37"/>
        <v>64591442</v>
      </c>
      <c r="T826" s="353"/>
      <c r="U826" s="353">
        <f t="shared" si="38"/>
        <v>64591442</v>
      </c>
      <c r="V826" s="399"/>
      <c r="W826" s="399"/>
      <c r="X826" s="401" t="s">
        <v>492</v>
      </c>
      <c r="Y826" s="400"/>
      <c r="Z826" s="283"/>
    </row>
    <row r="827" spans="2:26" ht="19.5" hidden="1" customHeight="1">
      <c r="B827" s="29">
        <f t="shared" si="36"/>
        <v>817</v>
      </c>
      <c r="C827" s="30" t="s">
        <v>202</v>
      </c>
      <c r="D827" s="30" t="s">
        <v>225</v>
      </c>
      <c r="E827" s="234" t="s">
        <v>1151</v>
      </c>
      <c r="F827" s="235" t="s">
        <v>1231</v>
      </c>
      <c r="G827" s="284">
        <f>IFERROR(VLOOKUP(E827,Assign!$C$2:$J$142,8,FALSE),)</f>
        <v>0</v>
      </c>
      <c r="H827" s="279" t="s">
        <v>6656</v>
      </c>
      <c r="I827" s="280" t="s">
        <v>5962</v>
      </c>
      <c r="J827" s="281" t="s">
        <v>3759</v>
      </c>
      <c r="K827" s="282">
        <v>42359</v>
      </c>
      <c r="L827" s="282">
        <v>53317</v>
      </c>
      <c r="M827" s="282">
        <v>45496</v>
      </c>
      <c r="N827" s="371">
        <v>79000000</v>
      </c>
      <c r="O827" s="444" t="s">
        <v>3866</v>
      </c>
      <c r="P827" s="397">
        <v>63902696</v>
      </c>
      <c r="Q827" s="397">
        <v>63902696</v>
      </c>
      <c r="R827" s="397"/>
      <c r="S827" s="398">
        <f t="shared" si="37"/>
        <v>63902696</v>
      </c>
      <c r="T827" s="353"/>
      <c r="U827" s="353">
        <f t="shared" si="38"/>
        <v>63902696</v>
      </c>
      <c r="V827" s="399"/>
      <c r="W827" s="399"/>
      <c r="X827" s="401" t="s">
        <v>492</v>
      </c>
      <c r="Y827" s="400"/>
      <c r="Z827" s="283"/>
    </row>
    <row r="828" spans="2:26" ht="19.5" hidden="1" customHeight="1">
      <c r="B828" s="29">
        <f t="shared" si="36"/>
        <v>818</v>
      </c>
      <c r="C828" s="30" t="s">
        <v>202</v>
      </c>
      <c r="D828" s="30" t="s">
        <v>225</v>
      </c>
      <c r="E828" s="234" t="s">
        <v>1152</v>
      </c>
      <c r="F828" s="235" t="s">
        <v>1220</v>
      </c>
      <c r="G828" s="284">
        <f>IFERROR(VLOOKUP(E828,Assign!$C$2:$J$142,8,FALSE),)</f>
        <v>0</v>
      </c>
      <c r="H828" s="279" t="s">
        <v>6382</v>
      </c>
      <c r="I828" s="280" t="s">
        <v>5749</v>
      </c>
      <c r="J828" s="281" t="s">
        <v>3737</v>
      </c>
      <c r="K828" s="282">
        <v>38345</v>
      </c>
      <c r="L828" s="282">
        <v>49302</v>
      </c>
      <c r="M828" s="282">
        <v>45590</v>
      </c>
      <c r="N828" s="371">
        <v>94000000</v>
      </c>
      <c r="O828" s="444" t="s">
        <v>3866</v>
      </c>
      <c r="P828" s="397">
        <v>35685129</v>
      </c>
      <c r="Q828" s="397">
        <v>35685129</v>
      </c>
      <c r="R828" s="397"/>
      <c r="S828" s="398">
        <f t="shared" si="37"/>
        <v>35685129</v>
      </c>
      <c r="T828" s="353"/>
      <c r="U828" s="353">
        <f t="shared" si="38"/>
        <v>35685129</v>
      </c>
      <c r="V828" s="399"/>
      <c r="W828" s="399"/>
      <c r="X828" s="401" t="s">
        <v>492</v>
      </c>
      <c r="Y828" s="400"/>
      <c r="Z828" s="283"/>
    </row>
    <row r="829" spans="2:26" ht="19.5" hidden="1" customHeight="1">
      <c r="B829" s="29">
        <f t="shared" si="36"/>
        <v>819</v>
      </c>
      <c r="C829" s="30" t="s">
        <v>202</v>
      </c>
      <c r="D829" s="30" t="s">
        <v>225</v>
      </c>
      <c r="E829" s="234" t="s">
        <v>1152</v>
      </c>
      <c r="F829" s="235" t="s">
        <v>1220</v>
      </c>
      <c r="G829" s="284">
        <f>IFERROR(VLOOKUP(E829,Assign!$C$2:$J$142,8,FALSE),)</f>
        <v>0</v>
      </c>
      <c r="H829" s="279" t="s">
        <v>6383</v>
      </c>
      <c r="I829" s="280" t="s">
        <v>5750</v>
      </c>
      <c r="J829" s="281" t="s">
        <v>3737</v>
      </c>
      <c r="K829" s="282">
        <v>41354</v>
      </c>
      <c r="L829" s="282">
        <v>52311</v>
      </c>
      <c r="M829" s="282">
        <v>45587</v>
      </c>
      <c r="N829" s="371">
        <v>43000000</v>
      </c>
      <c r="O829" s="444" t="s">
        <v>3866</v>
      </c>
      <c r="P829" s="397">
        <v>26516568</v>
      </c>
      <c r="Q829" s="397">
        <v>26516568</v>
      </c>
      <c r="R829" s="397"/>
      <c r="S829" s="398">
        <f t="shared" si="37"/>
        <v>26516568</v>
      </c>
      <c r="T829" s="353"/>
      <c r="U829" s="353">
        <f t="shared" si="38"/>
        <v>26516568</v>
      </c>
      <c r="V829" s="399"/>
      <c r="W829" s="399"/>
      <c r="X829" s="401" t="s">
        <v>492</v>
      </c>
      <c r="Y829" s="400"/>
      <c r="Z829" s="283"/>
    </row>
    <row r="830" spans="2:26" ht="19.5" hidden="1" customHeight="1">
      <c r="B830" s="29">
        <f t="shared" si="36"/>
        <v>820</v>
      </c>
      <c r="C830" s="30" t="s">
        <v>202</v>
      </c>
      <c r="D830" s="30" t="s">
        <v>225</v>
      </c>
      <c r="E830" s="234" t="s">
        <v>1153</v>
      </c>
      <c r="F830" s="235" t="s">
        <v>1229</v>
      </c>
      <c r="G830" s="284">
        <f>IFERROR(VLOOKUP(E830,Assign!$C$2:$J$142,8,FALSE),)</f>
        <v>0</v>
      </c>
      <c r="H830" s="279" t="s">
        <v>6961</v>
      </c>
      <c r="I830" s="280" t="s">
        <v>6137</v>
      </c>
      <c r="J830" s="281" t="s">
        <v>3735</v>
      </c>
      <c r="K830" s="282">
        <v>42886</v>
      </c>
      <c r="L830" s="282">
        <v>53843</v>
      </c>
      <c r="M830" s="282">
        <v>44866</v>
      </c>
      <c r="N830" s="371">
        <v>68000000</v>
      </c>
      <c r="O830" s="444" t="s">
        <v>3866</v>
      </c>
      <c r="P830" s="397">
        <v>60745673</v>
      </c>
      <c r="Q830" s="397">
        <v>60745673</v>
      </c>
      <c r="R830" s="397"/>
      <c r="S830" s="398">
        <f t="shared" si="37"/>
        <v>60745673</v>
      </c>
      <c r="T830" s="353"/>
      <c r="U830" s="353">
        <f t="shared" si="38"/>
        <v>60745673</v>
      </c>
      <c r="V830" s="399"/>
      <c r="W830" s="399"/>
      <c r="X830" s="401" t="s">
        <v>492</v>
      </c>
      <c r="Y830" s="400"/>
      <c r="Z830" s="283"/>
    </row>
    <row r="831" spans="2:26" ht="19.5" hidden="1" customHeight="1">
      <c r="B831" s="29">
        <f t="shared" si="36"/>
        <v>821</v>
      </c>
      <c r="C831" s="30" t="s">
        <v>202</v>
      </c>
      <c r="D831" s="30" t="s">
        <v>225</v>
      </c>
      <c r="E831" s="234" t="s">
        <v>1154</v>
      </c>
      <c r="F831" s="235" t="s">
        <v>1223</v>
      </c>
      <c r="G831" s="284">
        <f>IFERROR(VLOOKUP(E831,Assign!$C$2:$J$142,8,FALSE),)</f>
        <v>0</v>
      </c>
      <c r="H831" s="279" t="s">
        <v>6780</v>
      </c>
      <c r="I831" s="280" t="s">
        <v>5653</v>
      </c>
      <c r="J831" s="281" t="s">
        <v>3733</v>
      </c>
      <c r="K831" s="282">
        <v>44348</v>
      </c>
      <c r="L831" s="282">
        <v>45536</v>
      </c>
      <c r="M831" s="282">
        <v>45528</v>
      </c>
      <c r="N831" s="371">
        <v>100000000</v>
      </c>
      <c r="O831" s="444" t="s">
        <v>3866</v>
      </c>
      <c r="P831" s="397">
        <v>60000000</v>
      </c>
      <c r="Q831" s="397">
        <v>60000000</v>
      </c>
      <c r="R831" s="397"/>
      <c r="S831" s="398">
        <f t="shared" si="37"/>
        <v>60000000</v>
      </c>
      <c r="T831" s="353"/>
      <c r="U831" s="353">
        <f t="shared" si="38"/>
        <v>60000000</v>
      </c>
      <c r="V831" s="399"/>
      <c r="W831" s="399"/>
      <c r="X831" s="401" t="s">
        <v>492</v>
      </c>
      <c r="Y831" s="400"/>
      <c r="Z831" s="283"/>
    </row>
    <row r="832" spans="2:26" ht="19.5" hidden="1" customHeight="1">
      <c r="B832" s="29">
        <f t="shared" si="36"/>
        <v>822</v>
      </c>
      <c r="C832" s="30" t="s">
        <v>202</v>
      </c>
      <c r="D832" s="30" t="s">
        <v>225</v>
      </c>
      <c r="E832" s="234" t="s">
        <v>1155</v>
      </c>
      <c r="F832" s="235" t="s">
        <v>1229</v>
      </c>
      <c r="G832" s="284">
        <f>IFERROR(VLOOKUP(E832,Assign!$C$2:$J$142,8,FALSE),)</f>
        <v>0</v>
      </c>
      <c r="H832" s="279" t="s">
        <v>6265</v>
      </c>
      <c r="I832" s="280" t="s">
        <v>5643</v>
      </c>
      <c r="J832" s="281" t="s">
        <v>3735</v>
      </c>
      <c r="K832" s="282">
        <v>41708</v>
      </c>
      <c r="L832" s="282">
        <v>52666</v>
      </c>
      <c r="M832" s="282">
        <v>45576</v>
      </c>
      <c r="N832" s="371">
        <v>61000000</v>
      </c>
      <c r="O832" s="444" t="s">
        <v>3866</v>
      </c>
      <c r="P832" s="397">
        <v>59474844</v>
      </c>
      <c r="Q832" s="397">
        <v>59474844</v>
      </c>
      <c r="R832" s="397"/>
      <c r="S832" s="398">
        <f t="shared" si="37"/>
        <v>59474844</v>
      </c>
      <c r="T832" s="353"/>
      <c r="U832" s="353">
        <f t="shared" si="38"/>
        <v>59474844</v>
      </c>
      <c r="V832" s="399"/>
      <c r="W832" s="399"/>
      <c r="X832" s="401" t="s">
        <v>492</v>
      </c>
      <c r="Y832" s="400"/>
      <c r="Z832" s="283"/>
    </row>
    <row r="833" spans="2:26" ht="19.5" hidden="1" customHeight="1">
      <c r="B833" s="29">
        <f t="shared" si="36"/>
        <v>823</v>
      </c>
      <c r="C833" s="30" t="s">
        <v>202</v>
      </c>
      <c r="D833" s="30" t="s">
        <v>225</v>
      </c>
      <c r="E833" s="234" t="s">
        <v>1156</v>
      </c>
      <c r="F833" s="235" t="s">
        <v>1288</v>
      </c>
      <c r="G833" s="284" t="str">
        <f>IFERROR(VLOOKUP(E833,Assign!$C$2:$J$142,8,FALSE),)</f>
        <v>문선영</v>
      </c>
      <c r="H833" s="279" t="s">
        <v>6897</v>
      </c>
      <c r="I833" s="280" t="s">
        <v>6107</v>
      </c>
      <c r="J833" s="281" t="s">
        <v>3733</v>
      </c>
      <c r="K833" s="282">
        <v>42048</v>
      </c>
      <c r="L833" s="282">
        <v>45656</v>
      </c>
      <c r="M833" s="282">
        <v>45644</v>
      </c>
      <c r="N833" s="371">
        <v>58500000</v>
      </c>
      <c r="O833" s="444" t="s">
        <v>3866</v>
      </c>
      <c r="P833" s="397">
        <v>58500000</v>
      </c>
      <c r="Q833" s="397">
        <v>58500000</v>
      </c>
      <c r="R833" s="397"/>
      <c r="S833" s="398">
        <f t="shared" si="37"/>
        <v>58500000</v>
      </c>
      <c r="T833" s="353"/>
      <c r="U833" s="353">
        <f t="shared" si="38"/>
        <v>58500000</v>
      </c>
      <c r="V833" s="399"/>
      <c r="W833" s="399"/>
      <c r="X833" s="401" t="s">
        <v>492</v>
      </c>
      <c r="Y833" s="400"/>
      <c r="Z833" s="283"/>
    </row>
    <row r="834" spans="2:26" ht="19.5" hidden="1" customHeight="1">
      <c r="B834" s="29">
        <f t="shared" si="36"/>
        <v>824</v>
      </c>
      <c r="C834" s="30" t="s">
        <v>202</v>
      </c>
      <c r="D834" s="30" t="s">
        <v>225</v>
      </c>
      <c r="E834" s="234" t="s">
        <v>1157</v>
      </c>
      <c r="F834" s="235" t="s">
        <v>1229</v>
      </c>
      <c r="G834" s="284">
        <f>IFERROR(VLOOKUP(E834,Assign!$C$2:$J$142,8,FALSE),)</f>
        <v>0</v>
      </c>
      <c r="H834" s="279" t="s">
        <v>6986</v>
      </c>
      <c r="I834" s="280" t="s">
        <v>5664</v>
      </c>
      <c r="J834" s="281" t="s">
        <v>3780</v>
      </c>
      <c r="K834" s="282">
        <v>44299</v>
      </c>
      <c r="L834" s="282">
        <v>45760</v>
      </c>
      <c r="M834" s="282">
        <v>45671</v>
      </c>
      <c r="N834" s="371">
        <v>56000000</v>
      </c>
      <c r="O834" s="444" t="s">
        <v>3866</v>
      </c>
      <c r="P834" s="397">
        <v>5333332</v>
      </c>
      <c r="Q834" s="397">
        <v>5333332</v>
      </c>
      <c r="R834" s="397"/>
      <c r="S834" s="398">
        <f t="shared" si="37"/>
        <v>5333332</v>
      </c>
      <c r="T834" s="353"/>
      <c r="U834" s="353">
        <f t="shared" si="38"/>
        <v>5333332</v>
      </c>
      <c r="V834" s="399"/>
      <c r="W834" s="399"/>
      <c r="X834" s="401" t="s">
        <v>492</v>
      </c>
      <c r="Y834" s="400"/>
      <c r="Z834" s="283"/>
    </row>
    <row r="835" spans="2:26" ht="19.5" hidden="1" customHeight="1">
      <c r="B835" s="29">
        <f t="shared" si="36"/>
        <v>825</v>
      </c>
      <c r="C835" s="30" t="s">
        <v>202</v>
      </c>
      <c r="D835" s="30" t="s">
        <v>225</v>
      </c>
      <c r="E835" s="234" t="s">
        <v>1157</v>
      </c>
      <c r="F835" s="235" t="s">
        <v>1229</v>
      </c>
      <c r="G835" s="284">
        <f>IFERROR(VLOOKUP(E835,Assign!$C$2:$J$142,8,FALSE),)</f>
        <v>0</v>
      </c>
      <c r="H835" s="279" t="s">
        <v>6987</v>
      </c>
      <c r="I835" s="280" t="s">
        <v>5957</v>
      </c>
      <c r="J835" s="281" t="s">
        <v>3780</v>
      </c>
      <c r="K835" s="282">
        <v>44315</v>
      </c>
      <c r="L835" s="282">
        <v>45776</v>
      </c>
      <c r="M835" s="282">
        <v>45657</v>
      </c>
      <c r="N835" s="371">
        <v>110000000</v>
      </c>
      <c r="O835" s="444" t="s">
        <v>3866</v>
      </c>
      <c r="P835" s="397">
        <v>13095235</v>
      </c>
      <c r="Q835" s="397">
        <v>13095235</v>
      </c>
      <c r="R835" s="397"/>
      <c r="S835" s="398">
        <f t="shared" si="37"/>
        <v>13095235</v>
      </c>
      <c r="T835" s="353"/>
      <c r="U835" s="353">
        <f t="shared" si="38"/>
        <v>13095235</v>
      </c>
      <c r="V835" s="399"/>
      <c r="W835" s="399"/>
      <c r="X835" s="401" t="s">
        <v>492</v>
      </c>
      <c r="Y835" s="400"/>
      <c r="Z835" s="283"/>
    </row>
    <row r="836" spans="2:26" ht="19.5" hidden="1" customHeight="1">
      <c r="B836" s="29">
        <f t="shared" si="36"/>
        <v>826</v>
      </c>
      <c r="C836" s="30" t="s">
        <v>202</v>
      </c>
      <c r="D836" s="30" t="s">
        <v>225</v>
      </c>
      <c r="E836" s="234" t="s">
        <v>1157</v>
      </c>
      <c r="F836" s="235" t="s">
        <v>1229</v>
      </c>
      <c r="G836" s="284">
        <f>IFERROR(VLOOKUP(E836,Assign!$C$2:$J$142,8,FALSE),)</f>
        <v>0</v>
      </c>
      <c r="H836" s="279" t="s">
        <v>6988</v>
      </c>
      <c r="I836" s="280" t="s">
        <v>5708</v>
      </c>
      <c r="J836" s="281" t="s">
        <v>3745</v>
      </c>
      <c r="K836" s="282">
        <v>44316</v>
      </c>
      <c r="L836" s="282">
        <v>46136</v>
      </c>
      <c r="M836" s="282">
        <v>45678</v>
      </c>
      <c r="N836" s="371">
        <v>110000000</v>
      </c>
      <c r="O836" s="444" t="s">
        <v>3866</v>
      </c>
      <c r="P836" s="397">
        <v>3895833</v>
      </c>
      <c r="Q836" s="397">
        <v>3895833</v>
      </c>
      <c r="R836" s="397"/>
      <c r="S836" s="398">
        <f t="shared" si="37"/>
        <v>3895833</v>
      </c>
      <c r="T836" s="353"/>
      <c r="U836" s="353">
        <f t="shared" si="38"/>
        <v>3895833</v>
      </c>
      <c r="V836" s="399"/>
      <c r="W836" s="399"/>
      <c r="X836" s="401" t="s">
        <v>492</v>
      </c>
      <c r="Y836" s="400"/>
      <c r="Z836" s="283"/>
    </row>
    <row r="837" spans="2:26" ht="19.5" hidden="1" customHeight="1">
      <c r="B837" s="29">
        <f t="shared" si="36"/>
        <v>827</v>
      </c>
      <c r="C837" s="30" t="s">
        <v>202</v>
      </c>
      <c r="D837" s="30" t="s">
        <v>225</v>
      </c>
      <c r="E837" s="234" t="s">
        <v>1158</v>
      </c>
      <c r="F837" s="235" t="s">
        <v>1229</v>
      </c>
      <c r="G837" s="284">
        <f>IFERROR(VLOOKUP(E837,Assign!$C$2:$J$142,8,FALSE),)</f>
        <v>0</v>
      </c>
      <c r="H837" s="279" t="s">
        <v>6721</v>
      </c>
      <c r="I837" s="280" t="s">
        <v>6004</v>
      </c>
      <c r="J837" s="281" t="s">
        <v>3733</v>
      </c>
      <c r="K837" s="282">
        <v>43293</v>
      </c>
      <c r="L837" s="282">
        <v>45485</v>
      </c>
      <c r="M837" s="282">
        <v>45364</v>
      </c>
      <c r="N837" s="371">
        <v>57000000</v>
      </c>
      <c r="O837" s="444" t="s">
        <v>3866</v>
      </c>
      <c r="P837" s="397">
        <v>57000000</v>
      </c>
      <c r="Q837" s="397">
        <v>57000000</v>
      </c>
      <c r="R837" s="397"/>
      <c r="S837" s="398">
        <f t="shared" si="37"/>
        <v>57000000</v>
      </c>
      <c r="T837" s="353"/>
      <c r="U837" s="353">
        <f t="shared" si="38"/>
        <v>57000000</v>
      </c>
      <c r="V837" s="399"/>
      <c r="W837" s="399"/>
      <c r="X837" s="401" t="s">
        <v>492</v>
      </c>
      <c r="Y837" s="400"/>
      <c r="Z837" s="283"/>
    </row>
    <row r="838" spans="2:26" ht="19.5" hidden="1" customHeight="1">
      <c r="B838" s="29">
        <f t="shared" si="36"/>
        <v>828</v>
      </c>
      <c r="C838" s="30" t="s">
        <v>202</v>
      </c>
      <c r="D838" s="30" t="s">
        <v>225</v>
      </c>
      <c r="E838" s="234" t="s">
        <v>1159</v>
      </c>
      <c r="F838" s="235" t="s">
        <v>1221</v>
      </c>
      <c r="G838" s="284">
        <f>IFERROR(VLOOKUP(E838,Assign!$C$2:$J$142,8,FALSE),)</f>
        <v>0</v>
      </c>
      <c r="H838" s="279" t="s">
        <v>6571</v>
      </c>
      <c r="I838" s="280" t="s">
        <v>5899</v>
      </c>
      <c r="J838" s="281" t="s">
        <v>3759</v>
      </c>
      <c r="K838" s="282">
        <v>42349</v>
      </c>
      <c r="L838" s="282">
        <v>53307</v>
      </c>
      <c r="M838" s="282">
        <v>45394</v>
      </c>
      <c r="N838" s="371">
        <v>77000000</v>
      </c>
      <c r="O838" s="444" t="s">
        <v>3866</v>
      </c>
      <c r="P838" s="397">
        <v>55824768</v>
      </c>
      <c r="Q838" s="397">
        <v>55824768</v>
      </c>
      <c r="R838" s="397"/>
      <c r="S838" s="398">
        <f t="shared" si="37"/>
        <v>55824768</v>
      </c>
      <c r="T838" s="353"/>
      <c r="U838" s="353">
        <f t="shared" si="38"/>
        <v>55824768</v>
      </c>
      <c r="V838" s="399"/>
      <c r="W838" s="399"/>
      <c r="X838" s="401" t="s">
        <v>492</v>
      </c>
      <c r="Y838" s="400"/>
      <c r="Z838" s="283"/>
    </row>
    <row r="839" spans="2:26" ht="19.5" hidden="1" customHeight="1">
      <c r="B839" s="29">
        <f t="shared" si="36"/>
        <v>829</v>
      </c>
      <c r="C839" s="30" t="s">
        <v>202</v>
      </c>
      <c r="D839" s="30" t="s">
        <v>225</v>
      </c>
      <c r="E839" s="234" t="s">
        <v>1160</v>
      </c>
      <c r="F839" s="235" t="s">
        <v>1285</v>
      </c>
      <c r="G839" s="284">
        <f>IFERROR(VLOOKUP(E839,Assign!$C$2:$J$142,8,FALSE),)</f>
        <v>0</v>
      </c>
      <c r="H839" s="279" t="s">
        <v>6554</v>
      </c>
      <c r="I839" s="280" t="s">
        <v>5886</v>
      </c>
      <c r="J839" s="281" t="s">
        <v>3756</v>
      </c>
      <c r="K839" s="282">
        <v>44715</v>
      </c>
      <c r="L839" s="282">
        <v>57499</v>
      </c>
      <c r="M839" s="282">
        <v>45307</v>
      </c>
      <c r="N839" s="371">
        <v>56900000</v>
      </c>
      <c r="O839" s="444" t="s">
        <v>3866</v>
      </c>
      <c r="P839" s="397">
        <v>55554323</v>
      </c>
      <c r="Q839" s="397">
        <v>55554323</v>
      </c>
      <c r="R839" s="397"/>
      <c r="S839" s="398">
        <f t="shared" si="37"/>
        <v>55554323</v>
      </c>
      <c r="T839" s="353"/>
      <c r="U839" s="353">
        <f t="shared" si="38"/>
        <v>55554323</v>
      </c>
      <c r="V839" s="399"/>
      <c r="W839" s="399"/>
      <c r="X839" s="401" t="s">
        <v>492</v>
      </c>
      <c r="Y839" s="400"/>
      <c r="Z839" s="283"/>
    </row>
    <row r="840" spans="2:26" ht="19.5" hidden="1" customHeight="1">
      <c r="B840" s="29">
        <f t="shared" si="36"/>
        <v>830</v>
      </c>
      <c r="C840" s="30" t="s">
        <v>202</v>
      </c>
      <c r="D840" s="30" t="s">
        <v>225</v>
      </c>
      <c r="E840" s="234" t="s">
        <v>1161</v>
      </c>
      <c r="F840" s="235" t="s">
        <v>1229</v>
      </c>
      <c r="G840" s="284">
        <f>IFERROR(VLOOKUP(E840,Assign!$C$2:$J$142,8,FALSE),)</f>
        <v>0</v>
      </c>
      <c r="H840" s="279" t="s">
        <v>7078</v>
      </c>
      <c r="I840" s="280" t="s">
        <v>6195</v>
      </c>
      <c r="J840" s="281" t="s">
        <v>3735</v>
      </c>
      <c r="K840" s="282">
        <v>44736</v>
      </c>
      <c r="L840" s="282">
        <v>55694</v>
      </c>
      <c r="M840" s="282">
        <v>45590</v>
      </c>
      <c r="N840" s="371">
        <v>57000000</v>
      </c>
      <c r="O840" s="444" t="s">
        <v>3866</v>
      </c>
      <c r="P840" s="397">
        <v>55084769</v>
      </c>
      <c r="Q840" s="397">
        <v>55084769</v>
      </c>
      <c r="R840" s="397"/>
      <c r="S840" s="398">
        <f t="shared" si="37"/>
        <v>55084769</v>
      </c>
      <c r="T840" s="353"/>
      <c r="U840" s="353">
        <f t="shared" si="38"/>
        <v>55084769</v>
      </c>
      <c r="V840" s="399"/>
      <c r="W840" s="399"/>
      <c r="X840" s="401" t="s">
        <v>492</v>
      </c>
      <c r="Y840" s="400"/>
      <c r="Z840" s="283"/>
    </row>
    <row r="841" spans="2:26" ht="19.5" hidden="1" customHeight="1">
      <c r="B841" s="29">
        <f t="shared" si="36"/>
        <v>831</v>
      </c>
      <c r="C841" s="30" t="s">
        <v>202</v>
      </c>
      <c r="D841" s="30" t="s">
        <v>225</v>
      </c>
      <c r="E841" s="234" t="s">
        <v>1162</v>
      </c>
      <c r="F841" s="235" t="s">
        <v>1225</v>
      </c>
      <c r="G841" s="284">
        <f>IFERROR(VLOOKUP(E841,Assign!$C$2:$J$142,8,FALSE),)</f>
        <v>0</v>
      </c>
      <c r="H841" s="279" t="s">
        <v>7106</v>
      </c>
      <c r="I841" s="280" t="s">
        <v>5930</v>
      </c>
      <c r="J841" s="281" t="s">
        <v>3735</v>
      </c>
      <c r="K841" s="282">
        <v>45030</v>
      </c>
      <c r="L841" s="282">
        <v>52335</v>
      </c>
      <c r="M841" s="282">
        <v>45366</v>
      </c>
      <c r="N841" s="371">
        <v>55000000</v>
      </c>
      <c r="O841" s="444" t="s">
        <v>3866</v>
      </c>
      <c r="P841" s="397">
        <v>53006549</v>
      </c>
      <c r="Q841" s="397">
        <v>53006549</v>
      </c>
      <c r="R841" s="397"/>
      <c r="S841" s="398">
        <f t="shared" si="37"/>
        <v>53006549</v>
      </c>
      <c r="T841" s="353"/>
      <c r="U841" s="353">
        <f t="shared" si="38"/>
        <v>53006549</v>
      </c>
      <c r="V841" s="399"/>
      <c r="W841" s="399"/>
      <c r="X841" s="401" t="s">
        <v>492</v>
      </c>
      <c r="Y841" s="400"/>
      <c r="Z841" s="283"/>
    </row>
    <row r="842" spans="2:26" ht="19.5" hidden="1" customHeight="1">
      <c r="B842" s="29">
        <f t="shared" si="36"/>
        <v>832</v>
      </c>
      <c r="C842" s="30" t="s">
        <v>202</v>
      </c>
      <c r="D842" s="30" t="s">
        <v>225</v>
      </c>
      <c r="E842" s="234" t="s">
        <v>1163</v>
      </c>
      <c r="F842" s="235" t="s">
        <v>1252</v>
      </c>
      <c r="G842" s="284" t="str">
        <f>IFERROR(VLOOKUP(E842,Assign!$C$2:$J$142,8,FALSE),)</f>
        <v>문선영</v>
      </c>
      <c r="H842" s="279" t="s">
        <v>6686</v>
      </c>
      <c r="I842" s="280" t="s">
        <v>5629</v>
      </c>
      <c r="J842" s="281" t="s">
        <v>3751</v>
      </c>
      <c r="K842" s="282">
        <v>43265</v>
      </c>
      <c r="L842" s="282">
        <v>46918</v>
      </c>
      <c r="M842" s="282">
        <v>45672</v>
      </c>
      <c r="N842" s="371">
        <v>52600000</v>
      </c>
      <c r="O842" s="444" t="s">
        <v>3866</v>
      </c>
      <c r="P842" s="397">
        <v>52600000</v>
      </c>
      <c r="Q842" s="397">
        <v>52600000</v>
      </c>
      <c r="R842" s="397"/>
      <c r="S842" s="398">
        <f t="shared" si="37"/>
        <v>52600000</v>
      </c>
      <c r="T842" s="353"/>
      <c r="U842" s="353">
        <f t="shared" si="38"/>
        <v>52600000</v>
      </c>
      <c r="V842" s="399"/>
      <c r="W842" s="399"/>
      <c r="X842" s="401" t="s">
        <v>492</v>
      </c>
      <c r="Y842" s="400"/>
      <c r="Z842" s="283"/>
    </row>
    <row r="843" spans="2:26" ht="19.5" hidden="1" customHeight="1">
      <c r="B843" s="29">
        <f t="shared" ref="B843:B906" si="39">ROW()-10</f>
        <v>833</v>
      </c>
      <c r="C843" s="30" t="s">
        <v>202</v>
      </c>
      <c r="D843" s="30" t="s">
        <v>225</v>
      </c>
      <c r="E843" s="234" t="s">
        <v>1164</v>
      </c>
      <c r="F843" s="235" t="s">
        <v>1218</v>
      </c>
      <c r="G843" s="284">
        <f>IFERROR(VLOOKUP(E843,Assign!$C$2:$J$142,8,FALSE),)</f>
        <v>0</v>
      </c>
      <c r="H843" s="279" t="s">
        <v>6665</v>
      </c>
      <c r="I843" s="280" t="s">
        <v>5970</v>
      </c>
      <c r="J843" s="281" t="s">
        <v>3746</v>
      </c>
      <c r="K843" s="282">
        <v>43577</v>
      </c>
      <c r="L843" s="282">
        <v>54535</v>
      </c>
      <c r="M843" s="282">
        <v>45435</v>
      </c>
      <c r="N843" s="371">
        <v>58800000</v>
      </c>
      <c r="O843" s="444" t="s">
        <v>3866</v>
      </c>
      <c r="P843" s="397">
        <v>52441090</v>
      </c>
      <c r="Q843" s="397">
        <v>52441090</v>
      </c>
      <c r="R843" s="397"/>
      <c r="S843" s="398">
        <f t="shared" ref="S843:S906" si="40">Q843+R843</f>
        <v>52441090</v>
      </c>
      <c r="T843" s="353"/>
      <c r="U843" s="353">
        <f t="shared" ref="U843:U906" si="41">S843+T843</f>
        <v>52441090</v>
      </c>
      <c r="V843" s="399"/>
      <c r="W843" s="399"/>
      <c r="X843" s="401" t="s">
        <v>492</v>
      </c>
      <c r="Y843" s="400"/>
      <c r="Z843" s="283"/>
    </row>
    <row r="844" spans="2:26" ht="19.5" hidden="1" customHeight="1">
      <c r="B844" s="29">
        <f t="shared" si="39"/>
        <v>834</v>
      </c>
      <c r="C844" s="30" t="s">
        <v>202</v>
      </c>
      <c r="D844" s="30" t="s">
        <v>225</v>
      </c>
      <c r="E844" s="234" t="s">
        <v>1165</v>
      </c>
      <c r="F844" s="235" t="s">
        <v>1229</v>
      </c>
      <c r="G844" s="284">
        <f>IFERROR(VLOOKUP(E844,Assign!$C$2:$J$142,8,FALSE),)</f>
        <v>0</v>
      </c>
      <c r="H844" s="279" t="s">
        <v>6781</v>
      </c>
      <c r="I844" s="280" t="s">
        <v>6042</v>
      </c>
      <c r="J844" s="281" t="s">
        <v>3742</v>
      </c>
      <c r="K844" s="282">
        <v>41991</v>
      </c>
      <c r="L844" s="282">
        <v>52949</v>
      </c>
      <c r="M844" s="282">
        <v>45433</v>
      </c>
      <c r="N844" s="371">
        <v>75000000</v>
      </c>
      <c r="O844" s="444" t="s">
        <v>3866</v>
      </c>
      <c r="P844" s="397">
        <v>51666584</v>
      </c>
      <c r="Q844" s="397">
        <v>51666584</v>
      </c>
      <c r="R844" s="397"/>
      <c r="S844" s="398">
        <f t="shared" si="40"/>
        <v>51666584</v>
      </c>
      <c r="T844" s="353"/>
      <c r="U844" s="353">
        <f t="shared" si="41"/>
        <v>51666584</v>
      </c>
      <c r="V844" s="399"/>
      <c r="W844" s="399"/>
      <c r="X844" s="401" t="s">
        <v>492</v>
      </c>
      <c r="Y844" s="400"/>
      <c r="Z844" s="283"/>
    </row>
    <row r="845" spans="2:26" ht="19.5" hidden="1" customHeight="1">
      <c r="B845" s="29">
        <f t="shared" si="39"/>
        <v>835</v>
      </c>
      <c r="C845" s="30" t="s">
        <v>202</v>
      </c>
      <c r="D845" s="30" t="s">
        <v>225</v>
      </c>
      <c r="E845" s="234" t="s">
        <v>1166</v>
      </c>
      <c r="F845" s="235" t="s">
        <v>1222</v>
      </c>
      <c r="G845" s="284">
        <f>IFERROR(VLOOKUP(E845,Assign!$C$2:$J$142,8,FALSE),)</f>
        <v>0</v>
      </c>
      <c r="H845" s="279" t="s">
        <v>6659</v>
      </c>
      <c r="I845" s="280" t="s">
        <v>5850</v>
      </c>
      <c r="J845" s="281" t="s">
        <v>3737</v>
      </c>
      <c r="K845" s="282">
        <v>44532</v>
      </c>
      <c r="L845" s="282">
        <v>55489</v>
      </c>
      <c r="M845" s="282">
        <v>45568</v>
      </c>
      <c r="N845" s="371">
        <v>54000000</v>
      </c>
      <c r="O845" s="444" t="s">
        <v>3866</v>
      </c>
      <c r="P845" s="397">
        <v>51186588</v>
      </c>
      <c r="Q845" s="397">
        <v>51186588</v>
      </c>
      <c r="R845" s="397"/>
      <c r="S845" s="398">
        <f t="shared" si="40"/>
        <v>51186588</v>
      </c>
      <c r="T845" s="353"/>
      <c r="U845" s="353">
        <f t="shared" si="41"/>
        <v>51186588</v>
      </c>
      <c r="V845" s="399"/>
      <c r="W845" s="399"/>
      <c r="X845" s="401" t="s">
        <v>492</v>
      </c>
      <c r="Y845" s="400"/>
      <c r="Z845" s="283"/>
    </row>
    <row r="846" spans="2:26" ht="19.5" hidden="1" customHeight="1">
      <c r="B846" s="29">
        <f t="shared" si="39"/>
        <v>836</v>
      </c>
      <c r="C846" s="30" t="s">
        <v>202</v>
      </c>
      <c r="D846" s="30" t="s">
        <v>225</v>
      </c>
      <c r="E846" s="234" t="s">
        <v>1167</v>
      </c>
      <c r="F846" s="235" t="s">
        <v>1225</v>
      </c>
      <c r="G846" s="284">
        <f>IFERROR(VLOOKUP(E846,Assign!$C$2:$J$142,8,FALSE),)</f>
        <v>0</v>
      </c>
      <c r="H846" s="279" t="s">
        <v>6322</v>
      </c>
      <c r="I846" s="280" t="s">
        <v>5697</v>
      </c>
      <c r="J846" s="281" t="s">
        <v>3734</v>
      </c>
      <c r="K846" s="282">
        <v>44560</v>
      </c>
      <c r="L846" s="282">
        <v>45656</v>
      </c>
      <c r="M846" s="282">
        <v>45559</v>
      </c>
      <c r="N846" s="371">
        <v>50000000</v>
      </c>
      <c r="O846" s="444" t="s">
        <v>3866</v>
      </c>
      <c r="P846" s="397">
        <v>50000000</v>
      </c>
      <c r="Q846" s="397">
        <v>50000000</v>
      </c>
      <c r="R846" s="397"/>
      <c r="S846" s="398">
        <f t="shared" si="40"/>
        <v>50000000</v>
      </c>
      <c r="T846" s="353"/>
      <c r="U846" s="353">
        <f t="shared" si="41"/>
        <v>50000000</v>
      </c>
      <c r="V846" s="399"/>
      <c r="W846" s="399"/>
      <c r="X846" s="401" t="s">
        <v>492</v>
      </c>
      <c r="Y846" s="400"/>
      <c r="Z846" s="283"/>
    </row>
    <row r="847" spans="2:26" ht="19.5" hidden="1" customHeight="1">
      <c r="B847" s="29">
        <f t="shared" si="39"/>
        <v>837</v>
      </c>
      <c r="C847" s="30" t="s">
        <v>202</v>
      </c>
      <c r="D847" s="30" t="s">
        <v>225</v>
      </c>
      <c r="E847" s="234" t="s">
        <v>1168</v>
      </c>
      <c r="F847" s="235" t="s">
        <v>1232</v>
      </c>
      <c r="G847" s="284">
        <f>IFERROR(VLOOKUP(E847,Assign!$C$2:$J$142,8,FALSE),)</f>
        <v>0</v>
      </c>
      <c r="H847" s="279" t="s">
        <v>7064</v>
      </c>
      <c r="I847" s="280" t="s">
        <v>5680</v>
      </c>
      <c r="J847" s="281" t="s">
        <v>3762</v>
      </c>
      <c r="K847" s="282">
        <v>44314</v>
      </c>
      <c r="L847" s="282">
        <v>45775</v>
      </c>
      <c r="M847" s="282">
        <v>45503</v>
      </c>
      <c r="N847" s="371">
        <v>50000000</v>
      </c>
      <c r="O847" s="444" t="s">
        <v>3866</v>
      </c>
      <c r="P847" s="397">
        <v>50000000</v>
      </c>
      <c r="Q847" s="397">
        <v>50000000</v>
      </c>
      <c r="R847" s="397"/>
      <c r="S847" s="398">
        <f t="shared" si="40"/>
        <v>50000000</v>
      </c>
      <c r="T847" s="353"/>
      <c r="U847" s="353">
        <f t="shared" si="41"/>
        <v>50000000</v>
      </c>
      <c r="V847" s="399"/>
      <c r="W847" s="399"/>
      <c r="X847" s="401" t="s">
        <v>492</v>
      </c>
      <c r="Y847" s="400"/>
      <c r="Z847" s="283"/>
    </row>
    <row r="848" spans="2:26" ht="19.5" hidden="1" customHeight="1">
      <c r="B848" s="29">
        <f t="shared" si="39"/>
        <v>838</v>
      </c>
      <c r="C848" s="30" t="s">
        <v>202</v>
      </c>
      <c r="D848" s="30" t="s">
        <v>225</v>
      </c>
      <c r="E848" s="234" t="s">
        <v>1169</v>
      </c>
      <c r="F848" s="235" t="s">
        <v>1226</v>
      </c>
      <c r="G848" s="284" t="str">
        <f>IFERROR(VLOOKUP(E848,Assign!$C$2:$J$142,8,FALSE),)</f>
        <v>문선영</v>
      </c>
      <c r="H848" s="279" t="s">
        <v>6753</v>
      </c>
      <c r="I848" s="280" t="s">
        <v>6025</v>
      </c>
      <c r="J848" s="281" t="s">
        <v>3734</v>
      </c>
      <c r="K848" s="282">
        <v>44364</v>
      </c>
      <c r="L848" s="282">
        <v>45460</v>
      </c>
      <c r="M848" s="282">
        <v>45444</v>
      </c>
      <c r="N848" s="371">
        <v>49500000</v>
      </c>
      <c r="O848" s="444" t="s">
        <v>3866</v>
      </c>
      <c r="P848" s="397">
        <v>49500000</v>
      </c>
      <c r="Q848" s="397">
        <v>49500000</v>
      </c>
      <c r="R848" s="397"/>
      <c r="S848" s="398">
        <f t="shared" si="40"/>
        <v>49500000</v>
      </c>
      <c r="T848" s="353"/>
      <c r="U848" s="353">
        <f t="shared" si="41"/>
        <v>49500000</v>
      </c>
      <c r="V848" s="399"/>
      <c r="W848" s="399"/>
      <c r="X848" s="401" t="s">
        <v>492</v>
      </c>
      <c r="Y848" s="400"/>
      <c r="Z848" s="283"/>
    </row>
    <row r="849" spans="2:26" ht="19.5" hidden="1" customHeight="1">
      <c r="B849" s="29">
        <f t="shared" si="39"/>
        <v>839</v>
      </c>
      <c r="C849" s="30" t="s">
        <v>202</v>
      </c>
      <c r="D849" s="30" t="s">
        <v>225</v>
      </c>
      <c r="E849" s="234" t="s">
        <v>1170</v>
      </c>
      <c r="F849" s="235" t="s">
        <v>1225</v>
      </c>
      <c r="G849" s="284">
        <f>IFERROR(VLOOKUP(E849,Assign!$C$2:$J$142,8,FALSE),)</f>
        <v>0</v>
      </c>
      <c r="H849" s="279" t="s">
        <v>6824</v>
      </c>
      <c r="I849" s="280" t="s">
        <v>6066</v>
      </c>
      <c r="J849" s="281" t="s">
        <v>3737</v>
      </c>
      <c r="K849" s="282">
        <v>45062</v>
      </c>
      <c r="L849" s="282">
        <v>59672</v>
      </c>
      <c r="M849" s="282">
        <v>45615</v>
      </c>
      <c r="N849" s="371">
        <v>50000000</v>
      </c>
      <c r="O849" s="444" t="s">
        <v>3866</v>
      </c>
      <c r="P849" s="397">
        <v>48228858</v>
      </c>
      <c r="Q849" s="397">
        <v>48228858</v>
      </c>
      <c r="R849" s="397"/>
      <c r="S849" s="398">
        <f t="shared" si="40"/>
        <v>48228858</v>
      </c>
      <c r="T849" s="353"/>
      <c r="U849" s="353">
        <f t="shared" si="41"/>
        <v>48228858</v>
      </c>
      <c r="V849" s="399"/>
      <c r="W849" s="399"/>
      <c r="X849" s="401" t="s">
        <v>492</v>
      </c>
      <c r="Y849" s="400"/>
      <c r="Z849" s="283"/>
    </row>
    <row r="850" spans="2:26" ht="19.5" hidden="1" customHeight="1">
      <c r="B850" s="29">
        <f t="shared" si="39"/>
        <v>840</v>
      </c>
      <c r="C850" s="30" t="s">
        <v>202</v>
      </c>
      <c r="D850" s="30" t="s">
        <v>225</v>
      </c>
      <c r="E850" s="234" t="s">
        <v>1171</v>
      </c>
      <c r="F850" s="235" t="s">
        <v>1252</v>
      </c>
      <c r="G850" s="284">
        <f>IFERROR(VLOOKUP(E850,Assign!$C$2:$J$142,8,FALSE),)</f>
        <v>0</v>
      </c>
      <c r="H850" s="279" t="s">
        <v>6705</v>
      </c>
      <c r="I850" s="280" t="s">
        <v>5812</v>
      </c>
      <c r="J850" s="281" t="s">
        <v>3737</v>
      </c>
      <c r="K850" s="282">
        <v>42753</v>
      </c>
      <c r="L850" s="282">
        <v>53710</v>
      </c>
      <c r="M850" s="282">
        <v>45433</v>
      </c>
      <c r="N850" s="371">
        <v>60000000</v>
      </c>
      <c r="O850" s="444" t="s">
        <v>3866</v>
      </c>
      <c r="P850" s="397">
        <v>45499818</v>
      </c>
      <c r="Q850" s="397">
        <v>45499818</v>
      </c>
      <c r="R850" s="397"/>
      <c r="S850" s="398">
        <f t="shared" si="40"/>
        <v>45499818</v>
      </c>
      <c r="T850" s="353"/>
      <c r="U850" s="353">
        <f t="shared" si="41"/>
        <v>45499818</v>
      </c>
      <c r="V850" s="399"/>
      <c r="W850" s="399"/>
      <c r="X850" s="401" t="s">
        <v>492</v>
      </c>
      <c r="Y850" s="400"/>
      <c r="Z850" s="283"/>
    </row>
    <row r="851" spans="2:26" ht="19.5" hidden="1" customHeight="1">
      <c r="B851" s="29">
        <f t="shared" si="39"/>
        <v>841</v>
      </c>
      <c r="C851" s="30" t="s">
        <v>202</v>
      </c>
      <c r="D851" s="30" t="s">
        <v>225</v>
      </c>
      <c r="E851" s="234" t="s">
        <v>1172</v>
      </c>
      <c r="F851" s="235" t="s">
        <v>1233</v>
      </c>
      <c r="G851" s="284">
        <f>IFERROR(VLOOKUP(E851,Assign!$C$2:$J$142,8,FALSE),)</f>
        <v>0</v>
      </c>
      <c r="H851" s="279" t="s">
        <v>6374</v>
      </c>
      <c r="I851" s="280" t="s">
        <v>5742</v>
      </c>
      <c r="J851" s="281" t="s">
        <v>3737</v>
      </c>
      <c r="K851" s="282">
        <v>44575</v>
      </c>
      <c r="L851" s="282">
        <v>55532</v>
      </c>
      <c r="M851" s="282">
        <v>45643</v>
      </c>
      <c r="N851" s="371">
        <v>50000000</v>
      </c>
      <c r="O851" s="444" t="s">
        <v>3866</v>
      </c>
      <c r="P851" s="397">
        <v>45277488</v>
      </c>
      <c r="Q851" s="397">
        <v>45277488</v>
      </c>
      <c r="R851" s="397"/>
      <c r="S851" s="398">
        <f t="shared" si="40"/>
        <v>45277488</v>
      </c>
      <c r="T851" s="353"/>
      <c r="U851" s="353">
        <f t="shared" si="41"/>
        <v>45277488</v>
      </c>
      <c r="V851" s="399"/>
      <c r="W851" s="399"/>
      <c r="X851" s="401" t="s">
        <v>492</v>
      </c>
      <c r="Y851" s="400"/>
      <c r="Z851" s="283"/>
    </row>
    <row r="852" spans="2:26" ht="19.5" hidden="1" customHeight="1">
      <c r="B852" s="29">
        <f t="shared" si="39"/>
        <v>842</v>
      </c>
      <c r="C852" s="30" t="s">
        <v>202</v>
      </c>
      <c r="D852" s="30" t="s">
        <v>225</v>
      </c>
      <c r="E852" s="234" t="s">
        <v>1173</v>
      </c>
      <c r="F852" s="235" t="s">
        <v>1229</v>
      </c>
      <c r="G852" s="284">
        <f>IFERROR(VLOOKUP(E852,Assign!$C$2:$J$142,8,FALSE),)</f>
        <v>0</v>
      </c>
      <c r="H852" s="279" t="s">
        <v>6315</v>
      </c>
      <c r="I852" s="280" t="s">
        <v>5690</v>
      </c>
      <c r="J852" s="281" t="s">
        <v>3746</v>
      </c>
      <c r="K852" s="282">
        <v>38841</v>
      </c>
      <c r="L852" s="282">
        <v>49799</v>
      </c>
      <c r="M852" s="282">
        <v>45540</v>
      </c>
      <c r="N852" s="371">
        <v>110000000</v>
      </c>
      <c r="O852" s="444" t="s">
        <v>3866</v>
      </c>
      <c r="P852" s="397">
        <v>44000000</v>
      </c>
      <c r="Q852" s="397">
        <v>44000000</v>
      </c>
      <c r="R852" s="397"/>
      <c r="S852" s="398">
        <f t="shared" si="40"/>
        <v>44000000</v>
      </c>
      <c r="T852" s="353"/>
      <c r="U852" s="353">
        <f t="shared" si="41"/>
        <v>44000000</v>
      </c>
      <c r="V852" s="399"/>
      <c r="W852" s="399"/>
      <c r="X852" s="401" t="s">
        <v>492</v>
      </c>
      <c r="Y852" s="400"/>
      <c r="Z852" s="283"/>
    </row>
    <row r="853" spans="2:26" ht="19.5" hidden="1" customHeight="1">
      <c r="B853" s="29">
        <f t="shared" si="39"/>
        <v>843</v>
      </c>
      <c r="C853" s="30" t="s">
        <v>202</v>
      </c>
      <c r="D853" s="30" t="s">
        <v>225</v>
      </c>
      <c r="E853" s="234" t="s">
        <v>1174</v>
      </c>
      <c r="F853" s="235" t="s">
        <v>1364</v>
      </c>
      <c r="G853" s="284">
        <f>IFERROR(VLOOKUP(E853,Assign!$C$2:$J$142,8,FALSE),)</f>
        <v>0</v>
      </c>
      <c r="H853" s="279" t="s">
        <v>6745</v>
      </c>
      <c r="I853" s="280" t="s">
        <v>6020</v>
      </c>
      <c r="J853" s="281" t="s">
        <v>3759</v>
      </c>
      <c r="K853" s="282">
        <v>42326</v>
      </c>
      <c r="L853" s="282">
        <v>47805</v>
      </c>
      <c r="M853" s="282">
        <v>45615</v>
      </c>
      <c r="N853" s="371">
        <v>130000000</v>
      </c>
      <c r="O853" s="444" t="s">
        <v>3866</v>
      </c>
      <c r="P853" s="397">
        <v>43803188</v>
      </c>
      <c r="Q853" s="397">
        <v>43803188</v>
      </c>
      <c r="R853" s="397"/>
      <c r="S853" s="398">
        <f t="shared" si="40"/>
        <v>43803188</v>
      </c>
      <c r="T853" s="353"/>
      <c r="U853" s="353">
        <f t="shared" si="41"/>
        <v>43803188</v>
      </c>
      <c r="V853" s="399"/>
      <c r="W853" s="399"/>
      <c r="X853" s="401" t="s">
        <v>492</v>
      </c>
      <c r="Y853" s="400"/>
      <c r="Z853" s="283"/>
    </row>
    <row r="854" spans="2:26" ht="19.5" hidden="1" customHeight="1">
      <c r="B854" s="29">
        <f t="shared" si="39"/>
        <v>844</v>
      </c>
      <c r="C854" s="30" t="s">
        <v>202</v>
      </c>
      <c r="D854" s="30" t="s">
        <v>225</v>
      </c>
      <c r="E854" s="234" t="s">
        <v>1175</v>
      </c>
      <c r="F854" s="235" t="s">
        <v>1232</v>
      </c>
      <c r="G854" s="284">
        <f>IFERROR(VLOOKUP(E854,Assign!$C$2:$J$142,8,FALSE),)</f>
        <v>0</v>
      </c>
      <c r="H854" s="279" t="s">
        <v>6340</v>
      </c>
      <c r="I854" s="280" t="s">
        <v>5714</v>
      </c>
      <c r="J854" s="281" t="s">
        <v>3735</v>
      </c>
      <c r="K854" s="282">
        <v>43061</v>
      </c>
      <c r="L854" s="282">
        <v>54018</v>
      </c>
      <c r="M854" s="282">
        <v>45559</v>
      </c>
      <c r="N854" s="371">
        <v>55000000</v>
      </c>
      <c r="O854" s="444" t="s">
        <v>3866</v>
      </c>
      <c r="P854" s="397">
        <v>42566321</v>
      </c>
      <c r="Q854" s="397">
        <v>42566321</v>
      </c>
      <c r="R854" s="397"/>
      <c r="S854" s="398">
        <f t="shared" si="40"/>
        <v>42566321</v>
      </c>
      <c r="T854" s="353"/>
      <c r="U854" s="353">
        <f t="shared" si="41"/>
        <v>42566321</v>
      </c>
      <c r="V854" s="399"/>
      <c r="W854" s="399"/>
      <c r="X854" s="401" t="s">
        <v>492</v>
      </c>
      <c r="Y854" s="400"/>
      <c r="Z854" s="283"/>
    </row>
    <row r="855" spans="2:26" ht="19.5" hidden="1" customHeight="1">
      <c r="B855" s="29">
        <f t="shared" si="39"/>
        <v>845</v>
      </c>
      <c r="C855" s="30" t="s">
        <v>202</v>
      </c>
      <c r="D855" s="30" t="s">
        <v>225</v>
      </c>
      <c r="E855" s="234" t="s">
        <v>1176</v>
      </c>
      <c r="F855" s="235" t="s">
        <v>1235</v>
      </c>
      <c r="G855" s="284">
        <f>IFERROR(VLOOKUP(E855,Assign!$C$2:$J$142,8,FALSE),)</f>
        <v>0</v>
      </c>
      <c r="H855" s="279" t="s">
        <v>6244</v>
      </c>
      <c r="I855" s="280" t="s">
        <v>5623</v>
      </c>
      <c r="J855" s="281" t="s">
        <v>3742</v>
      </c>
      <c r="K855" s="282">
        <v>42144</v>
      </c>
      <c r="L855" s="282">
        <v>53102</v>
      </c>
      <c r="M855" s="282">
        <v>45433</v>
      </c>
      <c r="N855" s="371">
        <v>53000000</v>
      </c>
      <c r="O855" s="444" t="s">
        <v>3866</v>
      </c>
      <c r="P855" s="397">
        <v>41913016</v>
      </c>
      <c r="Q855" s="397">
        <v>41913016</v>
      </c>
      <c r="R855" s="397"/>
      <c r="S855" s="398">
        <f t="shared" si="40"/>
        <v>41913016</v>
      </c>
      <c r="T855" s="353"/>
      <c r="U855" s="353">
        <f t="shared" si="41"/>
        <v>41913016</v>
      </c>
      <c r="V855" s="399"/>
      <c r="W855" s="399"/>
      <c r="X855" s="401" t="s">
        <v>492</v>
      </c>
      <c r="Y855" s="400"/>
      <c r="Z855" s="283"/>
    </row>
    <row r="856" spans="2:26" ht="19.5" hidden="1" customHeight="1">
      <c r="B856" s="29">
        <f t="shared" si="39"/>
        <v>846</v>
      </c>
      <c r="C856" s="30" t="s">
        <v>202</v>
      </c>
      <c r="D856" s="30" t="s">
        <v>225</v>
      </c>
      <c r="E856" s="234" t="s">
        <v>1177</v>
      </c>
      <c r="F856" s="235" t="s">
        <v>1263</v>
      </c>
      <c r="G856" s="284">
        <f>IFERROR(VLOOKUP(E856,Assign!$C$2:$J$142,8,FALSE),)</f>
        <v>0</v>
      </c>
      <c r="H856" s="279" t="s">
        <v>6394</v>
      </c>
      <c r="I856" s="280" t="s">
        <v>5757</v>
      </c>
      <c r="J856" s="281" t="s">
        <v>3737</v>
      </c>
      <c r="K856" s="282">
        <v>38607</v>
      </c>
      <c r="L856" s="282">
        <v>49564</v>
      </c>
      <c r="M856" s="282">
        <v>45580</v>
      </c>
      <c r="N856" s="371">
        <v>94000000</v>
      </c>
      <c r="O856" s="444" t="s">
        <v>3866</v>
      </c>
      <c r="P856" s="397">
        <v>41360056</v>
      </c>
      <c r="Q856" s="397">
        <v>41360056</v>
      </c>
      <c r="R856" s="397"/>
      <c r="S856" s="398">
        <f t="shared" si="40"/>
        <v>41360056</v>
      </c>
      <c r="T856" s="353"/>
      <c r="U856" s="353">
        <f t="shared" si="41"/>
        <v>41360056</v>
      </c>
      <c r="V856" s="399"/>
      <c r="W856" s="399"/>
      <c r="X856" s="401" t="s">
        <v>492</v>
      </c>
      <c r="Y856" s="400"/>
      <c r="Z856" s="283"/>
    </row>
    <row r="857" spans="2:26" ht="19.5" hidden="1" customHeight="1">
      <c r="B857" s="29">
        <f t="shared" si="39"/>
        <v>847</v>
      </c>
      <c r="C857" s="30" t="s">
        <v>202</v>
      </c>
      <c r="D857" s="30" t="s">
        <v>225</v>
      </c>
      <c r="E857" s="234" t="s">
        <v>1178</v>
      </c>
      <c r="F857" s="235" t="s">
        <v>1251</v>
      </c>
      <c r="G857" s="284">
        <f>IFERROR(VLOOKUP(E857,Assign!$C$2:$J$142,8,FALSE),)</f>
        <v>0</v>
      </c>
      <c r="H857" s="279" t="s">
        <v>6542</v>
      </c>
      <c r="I857" s="280" t="s">
        <v>5875</v>
      </c>
      <c r="J857" s="281" t="s">
        <v>3735</v>
      </c>
      <c r="K857" s="282">
        <v>44680</v>
      </c>
      <c r="L857" s="282">
        <v>50159</v>
      </c>
      <c r="M857" s="282">
        <v>45534</v>
      </c>
      <c r="N857" s="371">
        <v>46000000</v>
      </c>
      <c r="O857" s="444" t="s">
        <v>3866</v>
      </c>
      <c r="P857" s="397">
        <v>41139568</v>
      </c>
      <c r="Q857" s="397">
        <v>41139568</v>
      </c>
      <c r="R857" s="397"/>
      <c r="S857" s="398">
        <f t="shared" si="40"/>
        <v>41139568</v>
      </c>
      <c r="T857" s="353"/>
      <c r="U857" s="353">
        <f t="shared" si="41"/>
        <v>41139568</v>
      </c>
      <c r="V857" s="399"/>
      <c r="W857" s="399"/>
      <c r="X857" s="401" t="s">
        <v>492</v>
      </c>
      <c r="Y857" s="400"/>
      <c r="Z857" s="283"/>
    </row>
    <row r="858" spans="2:26" ht="19.5" hidden="1" customHeight="1">
      <c r="B858" s="29">
        <f t="shared" si="39"/>
        <v>848</v>
      </c>
      <c r="C858" s="30" t="s">
        <v>202</v>
      </c>
      <c r="D858" s="30" t="s">
        <v>225</v>
      </c>
      <c r="E858" s="234" t="s">
        <v>1179</v>
      </c>
      <c r="F858" s="235" t="s">
        <v>1226</v>
      </c>
      <c r="G858" s="284">
        <f>IFERROR(VLOOKUP(E858,Assign!$C$2:$J$142,8,FALSE),)</f>
        <v>0</v>
      </c>
      <c r="H858" s="279" t="s">
        <v>6483</v>
      </c>
      <c r="I858" s="280" t="s">
        <v>5827</v>
      </c>
      <c r="J858" s="281" t="s">
        <v>3768</v>
      </c>
      <c r="K858" s="282">
        <v>41968</v>
      </c>
      <c r="L858" s="282">
        <v>52926</v>
      </c>
      <c r="M858" s="282">
        <v>45499</v>
      </c>
      <c r="N858" s="371">
        <v>95000000</v>
      </c>
      <c r="O858" s="444" t="s">
        <v>3866</v>
      </c>
      <c r="P858" s="397">
        <v>40397819</v>
      </c>
      <c r="Q858" s="397">
        <v>40397819</v>
      </c>
      <c r="R858" s="397"/>
      <c r="S858" s="398">
        <f t="shared" si="40"/>
        <v>40397819</v>
      </c>
      <c r="T858" s="353"/>
      <c r="U858" s="353">
        <f t="shared" si="41"/>
        <v>40397819</v>
      </c>
      <c r="V858" s="399"/>
      <c r="W858" s="399"/>
      <c r="X858" s="401" t="s">
        <v>492</v>
      </c>
      <c r="Y858" s="400"/>
      <c r="Z858" s="283"/>
    </row>
    <row r="859" spans="2:26" ht="19.5" hidden="1" customHeight="1">
      <c r="B859" s="29">
        <f t="shared" si="39"/>
        <v>849</v>
      </c>
      <c r="C859" s="30" t="s">
        <v>202</v>
      </c>
      <c r="D859" s="30" t="s">
        <v>225</v>
      </c>
      <c r="E859" s="234" t="s">
        <v>1180</v>
      </c>
      <c r="F859" s="235" t="s">
        <v>1226</v>
      </c>
      <c r="G859" s="284">
        <f>IFERROR(VLOOKUP(E859,Assign!$C$2:$J$142,8,FALSE),)</f>
        <v>0</v>
      </c>
      <c r="H859" s="279" t="s">
        <v>6406</v>
      </c>
      <c r="I859" s="280" t="s">
        <v>5729</v>
      </c>
      <c r="J859" s="281" t="s">
        <v>3737</v>
      </c>
      <c r="K859" s="282">
        <v>45222</v>
      </c>
      <c r="L859" s="282">
        <v>52527</v>
      </c>
      <c r="M859" s="282">
        <v>45589</v>
      </c>
      <c r="N859" s="371">
        <v>40000000</v>
      </c>
      <c r="O859" s="444" t="s">
        <v>3866</v>
      </c>
      <c r="P859" s="397">
        <v>40000000</v>
      </c>
      <c r="Q859" s="397">
        <v>40000000</v>
      </c>
      <c r="R859" s="397"/>
      <c r="S859" s="398">
        <f t="shared" si="40"/>
        <v>40000000</v>
      </c>
      <c r="T859" s="353"/>
      <c r="U859" s="353">
        <f t="shared" si="41"/>
        <v>40000000</v>
      </c>
      <c r="V859" s="399"/>
      <c r="W859" s="399"/>
      <c r="X859" s="401" t="s">
        <v>492</v>
      </c>
      <c r="Y859" s="400"/>
      <c r="Z859" s="283"/>
    </row>
    <row r="860" spans="2:26" ht="19.5" hidden="1" customHeight="1">
      <c r="B860" s="29">
        <f t="shared" si="39"/>
        <v>850</v>
      </c>
      <c r="C860" s="30" t="s">
        <v>202</v>
      </c>
      <c r="D860" s="30" t="s">
        <v>225</v>
      </c>
      <c r="E860" s="234" t="s">
        <v>1181</v>
      </c>
      <c r="F860" s="235" t="s">
        <v>1229</v>
      </c>
      <c r="G860" s="284" t="str">
        <f>IFERROR(VLOOKUP(E860,Assign!$C$2:$J$142,8,FALSE),)</f>
        <v>문선영</v>
      </c>
      <c r="H860" s="279" t="s">
        <v>6245</v>
      </c>
      <c r="I860" s="280" t="s">
        <v>5624</v>
      </c>
      <c r="J860" s="281" t="s">
        <v>3743</v>
      </c>
      <c r="K860" s="282">
        <v>43325</v>
      </c>
      <c r="L860" s="282">
        <v>54283</v>
      </c>
      <c r="M860" s="282">
        <v>45610</v>
      </c>
      <c r="N860" s="371">
        <v>50000000</v>
      </c>
      <c r="O860" s="444" t="s">
        <v>3866</v>
      </c>
      <c r="P860" s="397">
        <v>39721968</v>
      </c>
      <c r="Q860" s="397">
        <v>39721968</v>
      </c>
      <c r="R860" s="397"/>
      <c r="S860" s="398">
        <f t="shared" si="40"/>
        <v>39721968</v>
      </c>
      <c r="T860" s="353"/>
      <c r="U860" s="353">
        <f t="shared" si="41"/>
        <v>39721968</v>
      </c>
      <c r="V860" s="399"/>
      <c r="W860" s="399"/>
      <c r="X860" s="401" t="s">
        <v>492</v>
      </c>
      <c r="Y860" s="400"/>
      <c r="Z860" s="283"/>
    </row>
    <row r="861" spans="2:26" ht="19.5" hidden="1" customHeight="1">
      <c r="B861" s="29">
        <f t="shared" si="39"/>
        <v>851</v>
      </c>
      <c r="C861" s="30" t="s">
        <v>202</v>
      </c>
      <c r="D861" s="30" t="s">
        <v>225</v>
      </c>
      <c r="E861" s="234" t="s">
        <v>1182</v>
      </c>
      <c r="F861" s="235" t="s">
        <v>1225</v>
      </c>
      <c r="G861" s="284">
        <f>IFERROR(VLOOKUP(E861,Assign!$C$2:$J$142,8,FALSE),)</f>
        <v>0</v>
      </c>
      <c r="H861" s="279" t="s">
        <v>6689</v>
      </c>
      <c r="I861" s="280" t="s">
        <v>5952</v>
      </c>
      <c r="J861" s="281" t="s">
        <v>3756</v>
      </c>
      <c r="K861" s="282">
        <v>44497</v>
      </c>
      <c r="L861" s="282">
        <v>57268</v>
      </c>
      <c r="M861" s="282">
        <v>45521</v>
      </c>
      <c r="N861" s="371">
        <v>42000000</v>
      </c>
      <c r="O861" s="444" t="s">
        <v>3866</v>
      </c>
      <c r="P861" s="397">
        <v>38700000</v>
      </c>
      <c r="Q861" s="397">
        <v>38700000</v>
      </c>
      <c r="R861" s="397"/>
      <c r="S861" s="398">
        <f t="shared" si="40"/>
        <v>38700000</v>
      </c>
      <c r="T861" s="353"/>
      <c r="U861" s="353">
        <f t="shared" si="41"/>
        <v>38700000</v>
      </c>
      <c r="V861" s="399"/>
      <c r="W861" s="399"/>
      <c r="X861" s="401" t="s">
        <v>492</v>
      </c>
      <c r="Y861" s="400"/>
      <c r="Z861" s="283"/>
    </row>
    <row r="862" spans="2:26" ht="19.5" hidden="1" customHeight="1">
      <c r="B862" s="29">
        <f t="shared" si="39"/>
        <v>852</v>
      </c>
      <c r="C862" s="30" t="s">
        <v>202</v>
      </c>
      <c r="D862" s="30" t="s">
        <v>225</v>
      </c>
      <c r="E862" s="234" t="s">
        <v>1183</v>
      </c>
      <c r="F862" s="235" t="s">
        <v>1227</v>
      </c>
      <c r="G862" s="284">
        <f>IFERROR(VLOOKUP(E862,Assign!$C$2:$J$142,8,FALSE),)</f>
        <v>0</v>
      </c>
      <c r="H862" s="279" t="s">
        <v>6428</v>
      </c>
      <c r="I862" s="280" t="s">
        <v>5786</v>
      </c>
      <c r="J862" s="281" t="s">
        <v>3742</v>
      </c>
      <c r="K862" s="282">
        <v>40809</v>
      </c>
      <c r="L862" s="282">
        <v>51767</v>
      </c>
      <c r="M862" s="282">
        <v>45622</v>
      </c>
      <c r="N862" s="371">
        <v>67000000</v>
      </c>
      <c r="O862" s="444" t="s">
        <v>3866</v>
      </c>
      <c r="P862" s="397">
        <v>37780533</v>
      </c>
      <c r="Q862" s="397">
        <v>37780533</v>
      </c>
      <c r="R862" s="397"/>
      <c r="S862" s="398">
        <f t="shared" si="40"/>
        <v>37780533</v>
      </c>
      <c r="T862" s="353"/>
      <c r="U862" s="353">
        <f t="shared" si="41"/>
        <v>37780533</v>
      </c>
      <c r="V862" s="399"/>
      <c r="W862" s="399"/>
      <c r="X862" s="401" t="s">
        <v>492</v>
      </c>
      <c r="Y862" s="400"/>
      <c r="Z862" s="283"/>
    </row>
    <row r="863" spans="2:26" ht="19.5" hidden="1" customHeight="1">
      <c r="B863" s="29">
        <f t="shared" si="39"/>
        <v>853</v>
      </c>
      <c r="C863" s="30" t="s">
        <v>202</v>
      </c>
      <c r="D863" s="30" t="s">
        <v>225</v>
      </c>
      <c r="E863" s="234" t="s">
        <v>1184</v>
      </c>
      <c r="F863" s="235" t="s">
        <v>1266</v>
      </c>
      <c r="G863" s="284">
        <f>IFERROR(VLOOKUP(E863,Assign!$C$2:$J$142,8,FALSE),)</f>
        <v>0</v>
      </c>
      <c r="H863" s="279" t="s">
        <v>6402</v>
      </c>
      <c r="I863" s="280" t="s">
        <v>5765</v>
      </c>
      <c r="J863" s="281" t="s">
        <v>3735</v>
      </c>
      <c r="K863" s="282">
        <v>42706</v>
      </c>
      <c r="L863" s="282">
        <v>53663</v>
      </c>
      <c r="M863" s="282">
        <v>45568</v>
      </c>
      <c r="N863" s="371">
        <v>44800000</v>
      </c>
      <c r="O863" s="444" t="s">
        <v>3866</v>
      </c>
      <c r="P863" s="397">
        <v>37415256</v>
      </c>
      <c r="Q863" s="397">
        <v>37415256</v>
      </c>
      <c r="R863" s="397"/>
      <c r="S863" s="398">
        <f t="shared" si="40"/>
        <v>37415256</v>
      </c>
      <c r="T863" s="353"/>
      <c r="U863" s="353">
        <f t="shared" si="41"/>
        <v>37415256</v>
      </c>
      <c r="V863" s="399"/>
      <c r="W863" s="399"/>
      <c r="X863" s="401" t="s">
        <v>492</v>
      </c>
      <c r="Y863" s="400"/>
      <c r="Z863" s="283"/>
    </row>
    <row r="864" spans="2:26" ht="19.5" hidden="1" customHeight="1">
      <c r="B864" s="29">
        <f t="shared" si="39"/>
        <v>854</v>
      </c>
      <c r="C864" s="30" t="s">
        <v>202</v>
      </c>
      <c r="D864" s="30" t="s">
        <v>225</v>
      </c>
      <c r="E864" s="234" t="s">
        <v>1185</v>
      </c>
      <c r="F864" s="235" t="s">
        <v>1289</v>
      </c>
      <c r="G864" s="284" t="str">
        <f>IFERROR(VLOOKUP(E864,Assign!$C$2:$J$142,8,FALSE),)</f>
        <v>문선영</v>
      </c>
      <c r="H864" s="279" t="s">
        <v>6684</v>
      </c>
      <c r="I864" s="280" t="s">
        <v>5987</v>
      </c>
      <c r="J864" s="281" t="s">
        <v>3735</v>
      </c>
      <c r="K864" s="282">
        <v>43888</v>
      </c>
      <c r="L864" s="282">
        <v>54846</v>
      </c>
      <c r="M864" s="282">
        <v>45563</v>
      </c>
      <c r="N864" s="371">
        <v>41000000</v>
      </c>
      <c r="O864" s="444" t="s">
        <v>3866</v>
      </c>
      <c r="P864" s="397">
        <v>36784691</v>
      </c>
      <c r="Q864" s="397">
        <v>36784691</v>
      </c>
      <c r="R864" s="397"/>
      <c r="S864" s="398">
        <f t="shared" si="40"/>
        <v>36784691</v>
      </c>
      <c r="T864" s="353"/>
      <c r="U864" s="353">
        <f t="shared" si="41"/>
        <v>36784691</v>
      </c>
      <c r="V864" s="399"/>
      <c r="W864" s="399"/>
      <c r="X864" s="401" t="s">
        <v>492</v>
      </c>
      <c r="Y864" s="400"/>
      <c r="Z864" s="283"/>
    </row>
    <row r="865" spans="2:26" ht="19.5" hidden="1" customHeight="1">
      <c r="B865" s="29">
        <f t="shared" si="39"/>
        <v>855</v>
      </c>
      <c r="C865" s="30" t="s">
        <v>202</v>
      </c>
      <c r="D865" s="30" t="s">
        <v>225</v>
      </c>
      <c r="E865" s="234" t="s">
        <v>1186</v>
      </c>
      <c r="F865" s="235" t="s">
        <v>1221</v>
      </c>
      <c r="G865" s="284" t="str">
        <f>IFERROR(VLOOKUP(E865,Assign!$C$2:$J$142,8,FALSE),)</f>
        <v>문선영</v>
      </c>
      <c r="H865" s="279" t="s">
        <v>6320</v>
      </c>
      <c r="I865" s="280" t="s">
        <v>5695</v>
      </c>
      <c r="J865" s="281" t="s">
        <v>3755</v>
      </c>
      <c r="K865" s="282">
        <v>42198</v>
      </c>
      <c r="L865" s="282">
        <v>53156</v>
      </c>
      <c r="M865" s="282">
        <v>45479</v>
      </c>
      <c r="N865" s="371">
        <v>51000000</v>
      </c>
      <c r="O865" s="444" t="s">
        <v>3866</v>
      </c>
      <c r="P865" s="397">
        <v>35841498</v>
      </c>
      <c r="Q865" s="397">
        <v>35841498</v>
      </c>
      <c r="R865" s="397"/>
      <c r="S865" s="398">
        <f t="shared" si="40"/>
        <v>35841498</v>
      </c>
      <c r="T865" s="353"/>
      <c r="U865" s="353">
        <f t="shared" si="41"/>
        <v>35841498</v>
      </c>
      <c r="V865" s="399"/>
      <c r="W865" s="399"/>
      <c r="X865" s="401" t="s">
        <v>492</v>
      </c>
      <c r="Y865" s="400"/>
      <c r="Z865" s="283"/>
    </row>
    <row r="866" spans="2:26" ht="19.5" hidden="1" customHeight="1">
      <c r="B866" s="29">
        <f t="shared" si="39"/>
        <v>856</v>
      </c>
      <c r="C866" s="30" t="s">
        <v>202</v>
      </c>
      <c r="D866" s="30" t="s">
        <v>225</v>
      </c>
      <c r="E866" s="234" t="s">
        <v>1187</v>
      </c>
      <c r="F866" s="235" t="s">
        <v>1242</v>
      </c>
      <c r="G866" s="284">
        <f>IFERROR(VLOOKUP(E866,Assign!$C$2:$J$142,8,FALSE),)</f>
        <v>0</v>
      </c>
      <c r="H866" s="279" t="s">
        <v>6827</v>
      </c>
      <c r="I866" s="280" t="s">
        <v>5628</v>
      </c>
      <c r="J866" s="281" t="s">
        <v>3735</v>
      </c>
      <c r="K866" s="282">
        <v>43833</v>
      </c>
      <c r="L866" s="282">
        <v>54791</v>
      </c>
      <c r="M866" s="282">
        <v>45356</v>
      </c>
      <c r="N866" s="371">
        <v>38500000</v>
      </c>
      <c r="O866" s="444" t="s">
        <v>3866</v>
      </c>
      <c r="P866" s="397">
        <v>35065797</v>
      </c>
      <c r="Q866" s="397">
        <v>35065797</v>
      </c>
      <c r="R866" s="397"/>
      <c r="S866" s="398">
        <f t="shared" si="40"/>
        <v>35065797</v>
      </c>
      <c r="T866" s="353"/>
      <c r="U866" s="353">
        <f t="shared" si="41"/>
        <v>35065797</v>
      </c>
      <c r="V866" s="399"/>
      <c r="W866" s="399"/>
      <c r="X866" s="401" t="s">
        <v>492</v>
      </c>
      <c r="Y866" s="400"/>
      <c r="Z866" s="283"/>
    </row>
    <row r="867" spans="2:26" ht="19.5" hidden="1" customHeight="1">
      <c r="B867" s="29">
        <f t="shared" si="39"/>
        <v>857</v>
      </c>
      <c r="C867" s="30" t="s">
        <v>202</v>
      </c>
      <c r="D867" s="30" t="s">
        <v>225</v>
      </c>
      <c r="E867" s="234" t="s">
        <v>1188</v>
      </c>
      <c r="F867" s="235" t="s">
        <v>1225</v>
      </c>
      <c r="G867" s="284">
        <f>IFERROR(VLOOKUP(E867,Assign!$C$2:$J$142,8,FALSE),)</f>
        <v>0</v>
      </c>
      <c r="H867" s="279" t="s">
        <v>6648</v>
      </c>
      <c r="I867" s="280" t="s">
        <v>5956</v>
      </c>
      <c r="J867" s="281" t="s">
        <v>3735</v>
      </c>
      <c r="K867" s="282">
        <v>42853</v>
      </c>
      <c r="L867" s="282">
        <v>53810</v>
      </c>
      <c r="M867" s="282">
        <v>45650</v>
      </c>
      <c r="N867" s="371">
        <v>52000000</v>
      </c>
      <c r="O867" s="444" t="s">
        <v>3866</v>
      </c>
      <c r="P867" s="397">
        <v>34326552</v>
      </c>
      <c r="Q867" s="397">
        <v>34326552</v>
      </c>
      <c r="R867" s="397"/>
      <c r="S867" s="398">
        <f t="shared" si="40"/>
        <v>34326552</v>
      </c>
      <c r="T867" s="353"/>
      <c r="U867" s="353">
        <f t="shared" si="41"/>
        <v>34326552</v>
      </c>
      <c r="V867" s="399"/>
      <c r="W867" s="399"/>
      <c r="X867" s="401" t="s">
        <v>492</v>
      </c>
      <c r="Y867" s="400"/>
      <c r="Z867" s="283"/>
    </row>
    <row r="868" spans="2:26" ht="19.5" hidden="1" customHeight="1">
      <c r="B868" s="29">
        <f t="shared" si="39"/>
        <v>858</v>
      </c>
      <c r="C868" s="30" t="s">
        <v>202</v>
      </c>
      <c r="D868" s="30" t="s">
        <v>225</v>
      </c>
      <c r="E868" s="234" t="s">
        <v>1189</v>
      </c>
      <c r="F868" s="235" t="s">
        <v>1260</v>
      </c>
      <c r="G868" s="284">
        <f>IFERROR(VLOOKUP(E868,Assign!$C$2:$J$142,8,FALSE),)</f>
        <v>0</v>
      </c>
      <c r="H868" s="279" t="s">
        <v>6737</v>
      </c>
      <c r="I868" s="280" t="s">
        <v>6016</v>
      </c>
      <c r="J868" s="281" t="s">
        <v>3759</v>
      </c>
      <c r="K868" s="282">
        <v>40938</v>
      </c>
      <c r="L868" s="282">
        <v>48243</v>
      </c>
      <c r="M868" s="282">
        <v>45401</v>
      </c>
      <c r="N868" s="371">
        <v>58000000</v>
      </c>
      <c r="O868" s="444" t="s">
        <v>3866</v>
      </c>
      <c r="P868" s="397">
        <v>29966646</v>
      </c>
      <c r="Q868" s="397">
        <v>29966646</v>
      </c>
      <c r="R868" s="397"/>
      <c r="S868" s="398">
        <f t="shared" si="40"/>
        <v>29966646</v>
      </c>
      <c r="T868" s="353"/>
      <c r="U868" s="353">
        <f t="shared" si="41"/>
        <v>29966646</v>
      </c>
      <c r="V868" s="399"/>
      <c r="W868" s="399"/>
      <c r="X868" s="401" t="s">
        <v>492</v>
      </c>
      <c r="Y868" s="400"/>
      <c r="Z868" s="283"/>
    </row>
    <row r="869" spans="2:26" ht="19.5" hidden="1" customHeight="1">
      <c r="B869" s="29">
        <f t="shared" si="39"/>
        <v>859</v>
      </c>
      <c r="C869" s="30" t="s">
        <v>202</v>
      </c>
      <c r="D869" s="30" t="s">
        <v>225</v>
      </c>
      <c r="E869" s="234" t="s">
        <v>1190</v>
      </c>
      <c r="F869" s="235" t="s">
        <v>1244</v>
      </c>
      <c r="G869" s="284" t="str">
        <f>IFERROR(VLOOKUP(E869,Assign!$C$2:$J$142,8,FALSE),)</f>
        <v>문선영</v>
      </c>
      <c r="H869" s="279" t="s">
        <v>6855</v>
      </c>
      <c r="I869" s="280" t="s">
        <v>6086</v>
      </c>
      <c r="J869" s="281" t="s">
        <v>3759</v>
      </c>
      <c r="K869" s="282">
        <v>41290</v>
      </c>
      <c r="L869" s="282">
        <v>52247</v>
      </c>
      <c r="M869" s="282">
        <v>45461</v>
      </c>
      <c r="N869" s="371">
        <v>40000000</v>
      </c>
      <c r="O869" s="444" t="s">
        <v>3866</v>
      </c>
      <c r="P869" s="397">
        <v>29866592</v>
      </c>
      <c r="Q869" s="397">
        <v>29866592</v>
      </c>
      <c r="R869" s="397"/>
      <c r="S869" s="398">
        <f t="shared" si="40"/>
        <v>29866592</v>
      </c>
      <c r="T869" s="353"/>
      <c r="U869" s="353">
        <f t="shared" si="41"/>
        <v>29866592</v>
      </c>
      <c r="V869" s="399"/>
      <c r="W869" s="399"/>
      <c r="X869" s="401" t="s">
        <v>492</v>
      </c>
      <c r="Y869" s="400"/>
      <c r="Z869" s="283"/>
    </row>
    <row r="870" spans="2:26" ht="19.5" hidden="1" customHeight="1">
      <c r="B870" s="29">
        <f t="shared" si="39"/>
        <v>860</v>
      </c>
      <c r="C870" s="30" t="s">
        <v>202</v>
      </c>
      <c r="D870" s="30" t="s">
        <v>225</v>
      </c>
      <c r="E870" s="234" t="s">
        <v>1191</v>
      </c>
      <c r="F870" s="235" t="s">
        <v>1229</v>
      </c>
      <c r="G870" s="284">
        <f>IFERROR(VLOOKUP(E870,Assign!$C$2:$J$142,8,FALSE),)</f>
        <v>0</v>
      </c>
      <c r="H870" s="279" t="s">
        <v>6738</v>
      </c>
      <c r="I870" s="280" t="s">
        <v>5844</v>
      </c>
      <c r="J870" s="281" t="s">
        <v>3755</v>
      </c>
      <c r="K870" s="282">
        <v>42593</v>
      </c>
      <c r="L870" s="282">
        <v>53550</v>
      </c>
      <c r="M870" s="282">
        <v>45371</v>
      </c>
      <c r="N870" s="371">
        <v>39000000</v>
      </c>
      <c r="O870" s="444" t="s">
        <v>3866</v>
      </c>
      <c r="P870" s="397">
        <v>28599912</v>
      </c>
      <c r="Q870" s="397">
        <v>28599912</v>
      </c>
      <c r="R870" s="397"/>
      <c r="S870" s="398">
        <f t="shared" si="40"/>
        <v>28599912</v>
      </c>
      <c r="T870" s="353"/>
      <c r="U870" s="353">
        <f t="shared" si="41"/>
        <v>28599912</v>
      </c>
      <c r="V870" s="399"/>
      <c r="W870" s="399"/>
      <c r="X870" s="401" t="s">
        <v>492</v>
      </c>
      <c r="Y870" s="400"/>
      <c r="Z870" s="283"/>
    </row>
    <row r="871" spans="2:26" ht="19.5" hidden="1" customHeight="1">
      <c r="B871" s="29">
        <f t="shared" si="39"/>
        <v>861</v>
      </c>
      <c r="C871" s="30" t="s">
        <v>202</v>
      </c>
      <c r="D871" s="30" t="s">
        <v>225</v>
      </c>
      <c r="E871" s="234" t="s">
        <v>1192</v>
      </c>
      <c r="F871" s="235" t="s">
        <v>1234</v>
      </c>
      <c r="G871" s="284">
        <f>IFERROR(VLOOKUP(E871,Assign!$C$2:$J$142,8,FALSE),)</f>
        <v>0</v>
      </c>
      <c r="H871" s="279" t="s">
        <v>6457</v>
      </c>
      <c r="I871" s="280" t="s">
        <v>5805</v>
      </c>
      <c r="J871" s="281" t="s">
        <v>3735</v>
      </c>
      <c r="K871" s="282">
        <v>44249</v>
      </c>
      <c r="L871" s="282">
        <v>48082</v>
      </c>
      <c r="M871" s="282">
        <v>45461</v>
      </c>
      <c r="N871" s="371">
        <v>40000000</v>
      </c>
      <c r="O871" s="444" t="s">
        <v>3866</v>
      </c>
      <c r="P871" s="397">
        <v>27619020</v>
      </c>
      <c r="Q871" s="397">
        <v>27619020</v>
      </c>
      <c r="R871" s="397"/>
      <c r="S871" s="398">
        <f t="shared" si="40"/>
        <v>27619020</v>
      </c>
      <c r="T871" s="353"/>
      <c r="U871" s="353">
        <f t="shared" si="41"/>
        <v>27619020</v>
      </c>
      <c r="V871" s="399"/>
      <c r="W871" s="399"/>
      <c r="X871" s="401" t="s">
        <v>492</v>
      </c>
      <c r="Y871" s="400"/>
      <c r="Z871" s="283"/>
    </row>
    <row r="872" spans="2:26" ht="19.5" hidden="1" customHeight="1">
      <c r="B872" s="29">
        <f t="shared" si="39"/>
        <v>862</v>
      </c>
      <c r="C872" s="30" t="s">
        <v>202</v>
      </c>
      <c r="D872" s="30" t="s">
        <v>225</v>
      </c>
      <c r="E872" s="234" t="s">
        <v>1193</v>
      </c>
      <c r="F872" s="235" t="s">
        <v>1232</v>
      </c>
      <c r="G872" s="284">
        <f>IFERROR(VLOOKUP(E872,Assign!$C$2:$J$142,8,FALSE),)</f>
        <v>0</v>
      </c>
      <c r="H872" s="279" t="s">
        <v>6896</v>
      </c>
      <c r="I872" s="280" t="s">
        <v>6106</v>
      </c>
      <c r="J872" s="281" t="s">
        <v>3742</v>
      </c>
      <c r="K872" s="282">
        <v>41894</v>
      </c>
      <c r="L872" s="282">
        <v>52852</v>
      </c>
      <c r="M872" s="282">
        <v>45580</v>
      </c>
      <c r="N872" s="371">
        <v>40000000</v>
      </c>
      <c r="O872" s="444" t="s">
        <v>3866</v>
      </c>
      <c r="P872" s="397">
        <v>26666640</v>
      </c>
      <c r="Q872" s="397">
        <v>26666640</v>
      </c>
      <c r="R872" s="397"/>
      <c r="S872" s="398">
        <f t="shared" si="40"/>
        <v>26666640</v>
      </c>
      <c r="T872" s="353"/>
      <c r="U872" s="353">
        <f t="shared" si="41"/>
        <v>26666640</v>
      </c>
      <c r="V872" s="399"/>
      <c r="W872" s="399"/>
      <c r="X872" s="401" t="s">
        <v>492</v>
      </c>
      <c r="Y872" s="400"/>
      <c r="Z872" s="283"/>
    </row>
    <row r="873" spans="2:26" ht="19.5" hidden="1" customHeight="1">
      <c r="B873" s="29">
        <f t="shared" si="39"/>
        <v>863</v>
      </c>
      <c r="C873" s="30" t="s">
        <v>202</v>
      </c>
      <c r="D873" s="30" t="s">
        <v>225</v>
      </c>
      <c r="E873" s="234" t="s">
        <v>1194</v>
      </c>
      <c r="F873" s="235" t="s">
        <v>1247</v>
      </c>
      <c r="G873" s="284">
        <f>IFERROR(VLOOKUP(E873,Assign!$C$2:$J$142,8,FALSE),)</f>
        <v>0</v>
      </c>
      <c r="H873" s="279" t="s">
        <v>6521</v>
      </c>
      <c r="I873" s="280" t="s">
        <v>5687</v>
      </c>
      <c r="J873" s="281" t="s">
        <v>3750</v>
      </c>
      <c r="K873" s="282">
        <v>44579</v>
      </c>
      <c r="L873" s="282">
        <v>46407</v>
      </c>
      <c r="M873" s="282">
        <v>45587</v>
      </c>
      <c r="N873" s="371">
        <v>30000000</v>
      </c>
      <c r="O873" s="444" t="s">
        <v>3866</v>
      </c>
      <c r="P873" s="397">
        <v>26500000</v>
      </c>
      <c r="Q873" s="397">
        <v>26500000</v>
      </c>
      <c r="R873" s="397"/>
      <c r="S873" s="398">
        <f t="shared" si="40"/>
        <v>26500000</v>
      </c>
      <c r="T873" s="353"/>
      <c r="U873" s="353">
        <f t="shared" si="41"/>
        <v>26500000</v>
      </c>
      <c r="V873" s="399"/>
      <c r="W873" s="399"/>
      <c r="X873" s="401" t="s">
        <v>492</v>
      </c>
      <c r="Y873" s="400"/>
      <c r="Z873" s="283"/>
    </row>
    <row r="874" spans="2:26" ht="19.5" hidden="1" customHeight="1">
      <c r="B874" s="29">
        <f t="shared" si="39"/>
        <v>864</v>
      </c>
      <c r="C874" s="30" t="s">
        <v>202</v>
      </c>
      <c r="D874" s="30" t="s">
        <v>225</v>
      </c>
      <c r="E874" s="234" t="s">
        <v>1195</v>
      </c>
      <c r="F874" s="235" t="s">
        <v>1222</v>
      </c>
      <c r="G874" s="284">
        <f>IFERROR(VLOOKUP(E874,Assign!$C$2:$J$142,8,FALSE),)</f>
        <v>0</v>
      </c>
      <c r="H874" s="279" t="s">
        <v>6355</v>
      </c>
      <c r="I874" s="280" t="s">
        <v>5725</v>
      </c>
      <c r="J874" s="281" t="s">
        <v>3735</v>
      </c>
      <c r="K874" s="282">
        <v>44229</v>
      </c>
      <c r="L874" s="282">
        <v>48062</v>
      </c>
      <c r="M874" s="282">
        <v>45601</v>
      </c>
      <c r="N874" s="371">
        <v>36000000</v>
      </c>
      <c r="O874" s="444" t="s">
        <v>3866</v>
      </c>
      <c r="P874" s="397">
        <v>25894698</v>
      </c>
      <c r="Q874" s="397">
        <v>25894698</v>
      </c>
      <c r="R874" s="397"/>
      <c r="S874" s="398">
        <f t="shared" si="40"/>
        <v>25894698</v>
      </c>
      <c r="T874" s="353"/>
      <c r="U874" s="353">
        <f t="shared" si="41"/>
        <v>25894698</v>
      </c>
      <c r="V874" s="399"/>
      <c r="W874" s="399"/>
      <c r="X874" s="401" t="s">
        <v>492</v>
      </c>
      <c r="Y874" s="400"/>
      <c r="Z874" s="283"/>
    </row>
    <row r="875" spans="2:26" ht="19.5" hidden="1" customHeight="1">
      <c r="B875" s="29">
        <f t="shared" si="39"/>
        <v>865</v>
      </c>
      <c r="C875" s="30" t="s">
        <v>202</v>
      </c>
      <c r="D875" s="30" t="s">
        <v>225</v>
      </c>
      <c r="E875" s="234" t="s">
        <v>1196</v>
      </c>
      <c r="F875" s="235" t="s">
        <v>1218</v>
      </c>
      <c r="G875" s="284">
        <f>IFERROR(VLOOKUP(E875,Assign!$C$2:$J$142,8,FALSE),)</f>
        <v>0</v>
      </c>
      <c r="H875" s="279" t="s">
        <v>6288</v>
      </c>
      <c r="I875" s="280" t="s">
        <v>5664</v>
      </c>
      <c r="J875" s="281" t="s">
        <v>3756</v>
      </c>
      <c r="K875" s="282">
        <v>42655</v>
      </c>
      <c r="L875" s="282">
        <v>48133</v>
      </c>
      <c r="M875" s="282">
        <v>45456</v>
      </c>
      <c r="N875" s="371">
        <v>50000000</v>
      </c>
      <c r="O875" s="444" t="s">
        <v>3866</v>
      </c>
      <c r="P875" s="397">
        <v>25586904</v>
      </c>
      <c r="Q875" s="397">
        <v>25586904</v>
      </c>
      <c r="R875" s="397"/>
      <c r="S875" s="398">
        <f t="shared" si="40"/>
        <v>25586904</v>
      </c>
      <c r="T875" s="353"/>
      <c r="U875" s="353">
        <f t="shared" si="41"/>
        <v>25586904</v>
      </c>
      <c r="V875" s="399"/>
      <c r="W875" s="399"/>
      <c r="X875" s="401" t="s">
        <v>492</v>
      </c>
      <c r="Y875" s="400"/>
      <c r="Z875" s="283"/>
    </row>
    <row r="876" spans="2:26" ht="19.5" hidden="1" customHeight="1">
      <c r="B876" s="29">
        <f t="shared" si="39"/>
        <v>866</v>
      </c>
      <c r="C876" s="30" t="s">
        <v>202</v>
      </c>
      <c r="D876" s="30" t="s">
        <v>225</v>
      </c>
      <c r="E876" s="234" t="s">
        <v>1197</v>
      </c>
      <c r="F876" s="235" t="s">
        <v>1232</v>
      </c>
      <c r="G876" s="284">
        <f>IFERROR(VLOOKUP(E876,Assign!$C$2:$J$142,8,FALSE),)</f>
        <v>0</v>
      </c>
      <c r="H876" s="279" t="s">
        <v>6902</v>
      </c>
      <c r="I876" s="280" t="s">
        <v>5977</v>
      </c>
      <c r="J876" s="281" t="s">
        <v>3759</v>
      </c>
      <c r="K876" s="282">
        <v>42083</v>
      </c>
      <c r="L876" s="282">
        <v>53041</v>
      </c>
      <c r="M876" s="282">
        <v>45525</v>
      </c>
      <c r="N876" s="371">
        <v>30000000</v>
      </c>
      <c r="O876" s="444" t="s">
        <v>3866</v>
      </c>
      <c r="P876" s="397">
        <v>23219497</v>
      </c>
      <c r="Q876" s="397">
        <v>23219497</v>
      </c>
      <c r="R876" s="397"/>
      <c r="S876" s="398">
        <f t="shared" si="40"/>
        <v>23219497</v>
      </c>
      <c r="T876" s="353"/>
      <c r="U876" s="353">
        <f t="shared" si="41"/>
        <v>23219497</v>
      </c>
      <c r="V876" s="399"/>
      <c r="W876" s="399"/>
      <c r="X876" s="401" t="s">
        <v>492</v>
      </c>
      <c r="Y876" s="400"/>
      <c r="Z876" s="283"/>
    </row>
    <row r="877" spans="2:26" ht="19.5" hidden="1" customHeight="1">
      <c r="B877" s="29">
        <f t="shared" si="39"/>
        <v>867</v>
      </c>
      <c r="C877" s="30" t="s">
        <v>202</v>
      </c>
      <c r="D877" s="30" t="s">
        <v>225</v>
      </c>
      <c r="E877" s="234" t="s">
        <v>1198</v>
      </c>
      <c r="F877" s="235" t="s">
        <v>1252</v>
      </c>
      <c r="G877" s="284">
        <f>IFERROR(VLOOKUP(E877,Assign!$C$2:$J$142,8,FALSE),)</f>
        <v>0</v>
      </c>
      <c r="H877" s="279" t="s">
        <v>6250</v>
      </c>
      <c r="I877" s="280" t="s">
        <v>5629</v>
      </c>
      <c r="J877" s="281" t="s">
        <v>3742</v>
      </c>
      <c r="K877" s="282">
        <v>41792</v>
      </c>
      <c r="L877" s="282">
        <v>52729</v>
      </c>
      <c r="M877" s="282">
        <v>45548</v>
      </c>
      <c r="N877" s="371">
        <v>38000000</v>
      </c>
      <c r="O877" s="444" t="s">
        <v>3866</v>
      </c>
      <c r="P877" s="397">
        <v>23323644</v>
      </c>
      <c r="Q877" s="397">
        <v>23323644</v>
      </c>
      <c r="R877" s="397"/>
      <c r="S877" s="398">
        <f t="shared" si="40"/>
        <v>23323644</v>
      </c>
      <c r="T877" s="353"/>
      <c r="U877" s="353">
        <f t="shared" si="41"/>
        <v>23323644</v>
      </c>
      <c r="V877" s="399"/>
      <c r="W877" s="399"/>
      <c r="X877" s="401" t="s">
        <v>492</v>
      </c>
      <c r="Y877" s="400"/>
      <c r="Z877" s="283"/>
    </row>
    <row r="878" spans="2:26" ht="19.5" hidden="1" customHeight="1">
      <c r="B878" s="29">
        <f t="shared" si="39"/>
        <v>868</v>
      </c>
      <c r="C878" s="30" t="s">
        <v>202</v>
      </c>
      <c r="D878" s="30" t="s">
        <v>225</v>
      </c>
      <c r="E878" s="234" t="s">
        <v>1199</v>
      </c>
      <c r="F878" s="235" t="s">
        <v>1351</v>
      </c>
      <c r="G878" s="284" t="str">
        <f>IFERROR(VLOOKUP(E878,Assign!$C$2:$J$142,8,FALSE),)</f>
        <v>문선영</v>
      </c>
      <c r="H878" s="279" t="s">
        <v>6954</v>
      </c>
      <c r="I878" s="280" t="s">
        <v>5803</v>
      </c>
      <c r="J878" s="281" t="s">
        <v>3745</v>
      </c>
      <c r="K878" s="282">
        <v>45162</v>
      </c>
      <c r="L878" s="282">
        <v>45893</v>
      </c>
      <c r="M878" s="282">
        <v>45713</v>
      </c>
      <c r="N878" s="371">
        <v>29000000</v>
      </c>
      <c r="O878" s="444" t="s">
        <v>3866</v>
      </c>
      <c r="P878" s="397">
        <v>20397943</v>
      </c>
      <c r="Q878" s="397">
        <v>20397943</v>
      </c>
      <c r="R878" s="397"/>
      <c r="S878" s="398">
        <f t="shared" si="40"/>
        <v>20397943</v>
      </c>
      <c r="T878" s="353"/>
      <c r="U878" s="353">
        <f t="shared" si="41"/>
        <v>20397943</v>
      </c>
      <c r="V878" s="399"/>
      <c r="W878" s="399"/>
      <c r="X878" s="401" t="s">
        <v>492</v>
      </c>
      <c r="Y878" s="400"/>
      <c r="Z878" s="283"/>
    </row>
    <row r="879" spans="2:26" ht="19.5" hidden="1" customHeight="1">
      <c r="B879" s="29">
        <f t="shared" si="39"/>
        <v>869</v>
      </c>
      <c r="C879" s="30" t="s">
        <v>202</v>
      </c>
      <c r="D879" s="30" t="s">
        <v>225</v>
      </c>
      <c r="E879" s="234" t="s">
        <v>1200</v>
      </c>
      <c r="F879" s="235" t="s">
        <v>1229</v>
      </c>
      <c r="G879" s="284">
        <f>IFERROR(VLOOKUP(E879,Assign!$C$2:$J$142,8,FALSE),)</f>
        <v>0</v>
      </c>
      <c r="H879" s="279" t="s">
        <v>6357</v>
      </c>
      <c r="I879" s="280" t="s">
        <v>5727</v>
      </c>
      <c r="J879" s="281" t="s">
        <v>3756</v>
      </c>
      <c r="K879" s="282">
        <v>39317</v>
      </c>
      <c r="L879" s="282">
        <v>50275</v>
      </c>
      <c r="M879" s="282">
        <v>45589</v>
      </c>
      <c r="N879" s="371">
        <v>35000000</v>
      </c>
      <c r="O879" s="444" t="s">
        <v>3866</v>
      </c>
      <c r="P879" s="397">
        <v>16743720</v>
      </c>
      <c r="Q879" s="397">
        <v>16743720</v>
      </c>
      <c r="R879" s="397"/>
      <c r="S879" s="398">
        <f t="shared" si="40"/>
        <v>16743720</v>
      </c>
      <c r="T879" s="353"/>
      <c r="U879" s="353">
        <f t="shared" si="41"/>
        <v>16743720</v>
      </c>
      <c r="V879" s="399"/>
      <c r="W879" s="399"/>
      <c r="X879" s="401" t="s">
        <v>492</v>
      </c>
      <c r="Y879" s="400"/>
      <c r="Z879" s="283"/>
    </row>
    <row r="880" spans="2:26" ht="19.5" hidden="1" customHeight="1">
      <c r="B880" s="29">
        <f t="shared" si="39"/>
        <v>870</v>
      </c>
      <c r="C880" s="30" t="s">
        <v>202</v>
      </c>
      <c r="D880" s="30" t="s">
        <v>225</v>
      </c>
      <c r="E880" s="234" t="s">
        <v>1201</v>
      </c>
      <c r="F880" s="235" t="s">
        <v>1217</v>
      </c>
      <c r="G880" s="284">
        <f>IFERROR(VLOOKUP(E880,Assign!$C$2:$J$142,8,FALSE),)</f>
        <v>0</v>
      </c>
      <c r="H880" s="279" t="s">
        <v>6451</v>
      </c>
      <c r="I880" s="280" t="s">
        <v>5800</v>
      </c>
      <c r="J880" s="281" t="s">
        <v>3734</v>
      </c>
      <c r="K880" s="282">
        <v>43816</v>
      </c>
      <c r="L880" s="282">
        <v>45642</v>
      </c>
      <c r="M880" s="282">
        <v>45587</v>
      </c>
      <c r="N880" s="371">
        <v>13000000</v>
      </c>
      <c r="O880" s="444" t="s">
        <v>3866</v>
      </c>
      <c r="P880" s="397">
        <v>13000000</v>
      </c>
      <c r="Q880" s="397">
        <v>13000000</v>
      </c>
      <c r="R880" s="397"/>
      <c r="S880" s="398">
        <f t="shared" si="40"/>
        <v>13000000</v>
      </c>
      <c r="T880" s="353"/>
      <c r="U880" s="353">
        <f t="shared" si="41"/>
        <v>13000000</v>
      </c>
      <c r="V880" s="399"/>
      <c r="W880" s="399"/>
      <c r="X880" s="401" t="s">
        <v>492</v>
      </c>
      <c r="Y880" s="400"/>
      <c r="Z880" s="283"/>
    </row>
    <row r="881" spans="2:26" ht="19.5" hidden="1" customHeight="1">
      <c r="B881" s="29">
        <f t="shared" si="39"/>
        <v>871</v>
      </c>
      <c r="C881" s="30" t="s">
        <v>202</v>
      </c>
      <c r="D881" s="30" t="s">
        <v>225</v>
      </c>
      <c r="E881" s="234" t="s">
        <v>1202</v>
      </c>
      <c r="F881" s="235" t="s">
        <v>1231</v>
      </c>
      <c r="G881" s="284">
        <f>IFERROR(VLOOKUP(E881,Assign!$C$2:$J$142,8,FALSE),)</f>
        <v>0</v>
      </c>
      <c r="H881" s="279" t="s">
        <v>6335</v>
      </c>
      <c r="I881" s="280" t="s">
        <v>5709</v>
      </c>
      <c r="J881" s="281" t="s">
        <v>3759</v>
      </c>
      <c r="K881" s="282">
        <v>41978</v>
      </c>
      <c r="L881" s="282">
        <v>47457</v>
      </c>
      <c r="M881" s="282">
        <v>45449</v>
      </c>
      <c r="N881" s="371">
        <v>32000000</v>
      </c>
      <c r="O881" s="444" t="s">
        <v>3866</v>
      </c>
      <c r="P881" s="397">
        <v>11754241</v>
      </c>
      <c r="Q881" s="397">
        <v>11754241</v>
      </c>
      <c r="R881" s="397"/>
      <c r="S881" s="398">
        <f t="shared" si="40"/>
        <v>11754241</v>
      </c>
      <c r="T881" s="353"/>
      <c r="U881" s="353">
        <f t="shared" si="41"/>
        <v>11754241</v>
      </c>
      <c r="V881" s="399"/>
      <c r="W881" s="399"/>
      <c r="X881" s="401" t="s">
        <v>492</v>
      </c>
      <c r="Y881" s="400"/>
      <c r="Z881" s="283"/>
    </row>
    <row r="882" spans="2:26" ht="19.5" hidden="1" customHeight="1">
      <c r="B882" s="29">
        <f t="shared" si="39"/>
        <v>872</v>
      </c>
      <c r="C882" s="30" t="s">
        <v>202</v>
      </c>
      <c r="D882" s="30" t="s">
        <v>225</v>
      </c>
      <c r="E882" s="234" t="s">
        <v>1203</v>
      </c>
      <c r="F882" s="235" t="s">
        <v>1229</v>
      </c>
      <c r="G882" s="284">
        <f>IFERROR(VLOOKUP(E882,Assign!$C$2:$J$142,8,FALSE),)</f>
        <v>0</v>
      </c>
      <c r="H882" s="279" t="s">
        <v>6424</v>
      </c>
      <c r="I882" s="280" t="s">
        <v>5738</v>
      </c>
      <c r="J882" s="281" t="s">
        <v>3768</v>
      </c>
      <c r="K882" s="282">
        <v>40732</v>
      </c>
      <c r="L882" s="282">
        <v>46211</v>
      </c>
      <c r="M882" s="282">
        <v>45605</v>
      </c>
      <c r="N882" s="371">
        <v>50000000</v>
      </c>
      <c r="O882" s="444" t="s">
        <v>3866</v>
      </c>
      <c r="P882" s="397">
        <v>8749986</v>
      </c>
      <c r="Q882" s="397">
        <v>8749986</v>
      </c>
      <c r="R882" s="397"/>
      <c r="S882" s="398">
        <f t="shared" si="40"/>
        <v>8749986</v>
      </c>
      <c r="T882" s="353"/>
      <c r="U882" s="353">
        <f t="shared" si="41"/>
        <v>8749986</v>
      </c>
      <c r="V882" s="399"/>
      <c r="W882" s="399"/>
      <c r="X882" s="401" t="s">
        <v>492</v>
      </c>
      <c r="Y882" s="400"/>
      <c r="Z882" s="283"/>
    </row>
    <row r="883" spans="2:26" ht="19.5" hidden="1" customHeight="1">
      <c r="B883" s="29">
        <f t="shared" si="39"/>
        <v>873</v>
      </c>
      <c r="C883" s="30" t="s">
        <v>202</v>
      </c>
      <c r="D883" s="30" t="s">
        <v>225</v>
      </c>
      <c r="E883" s="234" t="s">
        <v>1204</v>
      </c>
      <c r="F883" s="235" t="s">
        <v>1217</v>
      </c>
      <c r="G883" s="284">
        <f>IFERROR(VLOOKUP(E883,Assign!$C$2:$J$142,8,FALSE),)</f>
        <v>0</v>
      </c>
      <c r="H883" s="279" t="s">
        <v>6697</v>
      </c>
      <c r="I883" s="280" t="s">
        <v>5686</v>
      </c>
      <c r="J883" s="281" t="s">
        <v>3790</v>
      </c>
      <c r="K883" s="282">
        <v>40002</v>
      </c>
      <c r="L883" s="282">
        <v>47307</v>
      </c>
      <c r="M883" s="282">
        <v>45545</v>
      </c>
      <c r="N883" s="371">
        <v>31000000</v>
      </c>
      <c r="O883" s="444" t="s">
        <v>3866</v>
      </c>
      <c r="P883" s="397">
        <v>7620954</v>
      </c>
      <c r="Q883" s="397">
        <v>7620954</v>
      </c>
      <c r="R883" s="397"/>
      <c r="S883" s="398">
        <f t="shared" si="40"/>
        <v>7620954</v>
      </c>
      <c r="T883" s="353"/>
      <c r="U883" s="353">
        <f t="shared" si="41"/>
        <v>7620954</v>
      </c>
      <c r="V883" s="399"/>
      <c r="W883" s="399"/>
      <c r="X883" s="401" t="s">
        <v>492</v>
      </c>
      <c r="Y883" s="400"/>
      <c r="Z883" s="283"/>
    </row>
    <row r="884" spans="2:26" ht="19.5" hidden="1" customHeight="1">
      <c r="B884" s="29">
        <f t="shared" si="39"/>
        <v>874</v>
      </c>
      <c r="C884" s="30" t="s">
        <v>202</v>
      </c>
      <c r="D884" s="30" t="s">
        <v>225</v>
      </c>
      <c r="E884" s="234" t="s">
        <v>1205</v>
      </c>
      <c r="F884" s="235" t="s">
        <v>1229</v>
      </c>
      <c r="G884" s="284">
        <f>IFERROR(VLOOKUP(E884,Assign!$C$2:$J$142,8,FALSE),)</f>
        <v>0</v>
      </c>
      <c r="H884" s="279" t="s">
        <v>6282</v>
      </c>
      <c r="I884" s="280" t="s">
        <v>5659</v>
      </c>
      <c r="J884" s="281" t="s">
        <v>3743</v>
      </c>
      <c r="K884" s="282">
        <v>42706</v>
      </c>
      <c r="L884" s="282">
        <v>46358</v>
      </c>
      <c r="M884" s="282">
        <v>45601</v>
      </c>
      <c r="N884" s="371">
        <v>30000000</v>
      </c>
      <c r="O884" s="444" t="s">
        <v>3866</v>
      </c>
      <c r="P884" s="397">
        <v>3831672</v>
      </c>
      <c r="Q884" s="397">
        <v>3831672</v>
      </c>
      <c r="R884" s="397"/>
      <c r="S884" s="398">
        <f t="shared" si="40"/>
        <v>3831672</v>
      </c>
      <c r="T884" s="353"/>
      <c r="U884" s="353">
        <f t="shared" si="41"/>
        <v>3831672</v>
      </c>
      <c r="V884" s="399"/>
      <c r="W884" s="399"/>
      <c r="X884" s="401" t="s">
        <v>492</v>
      </c>
      <c r="Y884" s="400"/>
      <c r="Z884" s="283"/>
    </row>
    <row r="885" spans="2:26" ht="19.5" hidden="1" customHeight="1">
      <c r="B885" s="29">
        <f t="shared" si="39"/>
        <v>875</v>
      </c>
      <c r="C885" s="30" t="s">
        <v>202</v>
      </c>
      <c r="D885" s="30" t="s">
        <v>359</v>
      </c>
      <c r="E885" s="234" t="s">
        <v>1206</v>
      </c>
      <c r="F885" s="235" t="s">
        <v>1365</v>
      </c>
      <c r="G885" s="284">
        <f>IFERROR(VLOOKUP(E885,Assign!$C$2:$J$142,8,FALSE),)</f>
        <v>0</v>
      </c>
      <c r="H885" s="279" t="s">
        <v>6495</v>
      </c>
      <c r="I885" s="280" t="s">
        <v>5836</v>
      </c>
      <c r="J885" s="281" t="s">
        <v>3736</v>
      </c>
      <c r="K885" s="282">
        <v>45455</v>
      </c>
      <c r="L885" s="282">
        <v>45820</v>
      </c>
      <c r="M885" s="282">
        <v>45699</v>
      </c>
      <c r="N885" s="371">
        <v>400000000</v>
      </c>
      <c r="O885" s="444" t="s">
        <v>3866</v>
      </c>
      <c r="P885" s="397">
        <v>400000000</v>
      </c>
      <c r="Q885" s="397">
        <v>400000000</v>
      </c>
      <c r="R885" s="397"/>
      <c r="S885" s="398">
        <f t="shared" si="40"/>
        <v>400000000</v>
      </c>
      <c r="T885" s="353"/>
      <c r="U885" s="353">
        <f t="shared" si="41"/>
        <v>400000000</v>
      </c>
      <c r="V885" s="399"/>
      <c r="W885" s="399"/>
      <c r="X885" s="401" t="s">
        <v>492</v>
      </c>
      <c r="Y885" s="400"/>
      <c r="Z885" s="283"/>
    </row>
    <row r="886" spans="2:26" ht="19.5" hidden="1" customHeight="1">
      <c r="B886" s="29">
        <f t="shared" si="39"/>
        <v>876</v>
      </c>
      <c r="C886" s="30" t="s">
        <v>202</v>
      </c>
      <c r="D886" s="30" t="s">
        <v>359</v>
      </c>
      <c r="E886" s="234" t="s">
        <v>1206</v>
      </c>
      <c r="F886" s="235" t="s">
        <v>1365</v>
      </c>
      <c r="G886" s="284">
        <f>IFERROR(VLOOKUP(E886,Assign!$C$2:$J$142,8,FALSE),)</f>
        <v>0</v>
      </c>
      <c r="H886" s="279" t="s">
        <v>6496</v>
      </c>
      <c r="I886" s="280" t="s">
        <v>5837</v>
      </c>
      <c r="J886" s="281" t="s">
        <v>3774</v>
      </c>
      <c r="K886" s="282">
        <v>44771</v>
      </c>
      <c r="L886" s="282">
        <v>45867</v>
      </c>
      <c r="M886" s="282">
        <v>45689</v>
      </c>
      <c r="N886" s="371">
        <v>4300000000</v>
      </c>
      <c r="O886" s="444" t="s">
        <v>3866</v>
      </c>
      <c r="P886" s="397">
        <v>3610000000</v>
      </c>
      <c r="Q886" s="397">
        <v>3610000000</v>
      </c>
      <c r="R886" s="397"/>
      <c r="S886" s="398">
        <f t="shared" si="40"/>
        <v>3610000000</v>
      </c>
      <c r="T886" s="353"/>
      <c r="U886" s="353">
        <f t="shared" si="41"/>
        <v>3610000000</v>
      </c>
      <c r="V886" s="399"/>
      <c r="W886" s="399"/>
      <c r="X886" s="401" t="s">
        <v>492</v>
      </c>
      <c r="Y886" s="400"/>
      <c r="Z886" s="283"/>
    </row>
    <row r="887" spans="2:26" ht="19.5" hidden="1" customHeight="1">
      <c r="B887" s="29">
        <f t="shared" si="39"/>
        <v>877</v>
      </c>
      <c r="C887" s="30" t="s">
        <v>202</v>
      </c>
      <c r="D887" s="30" t="s">
        <v>359</v>
      </c>
      <c r="E887" s="234" t="s">
        <v>1207</v>
      </c>
      <c r="F887" s="235" t="s">
        <v>1290</v>
      </c>
      <c r="G887" s="284">
        <f>IFERROR(VLOOKUP(E887,Assign!$C$2:$J$142,8,FALSE),)</f>
        <v>0</v>
      </c>
      <c r="H887" s="279" t="s">
        <v>6803</v>
      </c>
      <c r="I887" s="280" t="s">
        <v>6052</v>
      </c>
      <c r="J887" s="281" t="s">
        <v>3736</v>
      </c>
      <c r="K887" s="282">
        <v>44286</v>
      </c>
      <c r="L887" s="282">
        <v>45737</v>
      </c>
      <c r="M887" s="282">
        <v>45699</v>
      </c>
      <c r="N887" s="371">
        <v>300000000</v>
      </c>
      <c r="O887" s="444" t="s">
        <v>3866</v>
      </c>
      <c r="P887" s="397">
        <v>14999678</v>
      </c>
      <c r="Q887" s="397">
        <v>14999678</v>
      </c>
      <c r="R887" s="397"/>
      <c r="S887" s="398">
        <f t="shared" si="40"/>
        <v>14999678</v>
      </c>
      <c r="T887" s="353"/>
      <c r="U887" s="353">
        <f t="shared" si="41"/>
        <v>14999678</v>
      </c>
      <c r="V887" s="399"/>
      <c r="W887" s="399"/>
      <c r="X887" s="401" t="s">
        <v>492</v>
      </c>
      <c r="Y887" s="400"/>
      <c r="Z887" s="283"/>
    </row>
    <row r="888" spans="2:26" ht="19.5" hidden="1" customHeight="1">
      <c r="B888" s="29">
        <f t="shared" si="39"/>
        <v>878</v>
      </c>
      <c r="C888" s="30" t="s">
        <v>202</v>
      </c>
      <c r="D888" s="30" t="s">
        <v>359</v>
      </c>
      <c r="E888" s="234" t="s">
        <v>1207</v>
      </c>
      <c r="F888" s="235" t="s">
        <v>1290</v>
      </c>
      <c r="G888" s="284">
        <f>IFERROR(VLOOKUP(E888,Assign!$C$2:$J$142,8,FALSE),)</f>
        <v>0</v>
      </c>
      <c r="H888" s="279" t="s">
        <v>6804</v>
      </c>
      <c r="I888" s="280" t="s">
        <v>6053</v>
      </c>
      <c r="J888" s="281" t="s">
        <v>3736</v>
      </c>
      <c r="K888" s="282">
        <v>44496</v>
      </c>
      <c r="L888" s="282">
        <v>45947</v>
      </c>
      <c r="M888" s="282">
        <v>45699</v>
      </c>
      <c r="N888" s="371">
        <v>360000000</v>
      </c>
      <c r="O888" s="444" t="s">
        <v>3866</v>
      </c>
      <c r="P888" s="397">
        <v>35960757</v>
      </c>
      <c r="Q888" s="397">
        <v>35960757</v>
      </c>
      <c r="R888" s="397"/>
      <c r="S888" s="398">
        <f t="shared" si="40"/>
        <v>35960757</v>
      </c>
      <c r="T888" s="353"/>
      <c r="U888" s="353">
        <f t="shared" si="41"/>
        <v>35960757</v>
      </c>
      <c r="V888" s="399"/>
      <c r="W888" s="399"/>
      <c r="X888" s="401" t="s">
        <v>492</v>
      </c>
      <c r="Y888" s="400"/>
      <c r="Z888" s="283"/>
    </row>
    <row r="889" spans="2:26" ht="19.5" hidden="1" customHeight="1">
      <c r="B889" s="29">
        <f t="shared" si="39"/>
        <v>879</v>
      </c>
      <c r="C889" s="30" t="s">
        <v>202</v>
      </c>
      <c r="D889" s="30" t="s">
        <v>359</v>
      </c>
      <c r="E889" s="234" t="s">
        <v>1207</v>
      </c>
      <c r="F889" s="235" t="s">
        <v>1290</v>
      </c>
      <c r="G889" s="284">
        <f>IFERROR(VLOOKUP(E889,Assign!$C$2:$J$142,8,FALSE),)</f>
        <v>0</v>
      </c>
      <c r="H889" s="279" t="s">
        <v>6805</v>
      </c>
      <c r="I889" s="280" t="s">
        <v>5952</v>
      </c>
      <c r="J889" s="281" t="s">
        <v>3733</v>
      </c>
      <c r="K889" s="282">
        <v>44098</v>
      </c>
      <c r="L889" s="282">
        <v>45916</v>
      </c>
      <c r="M889" s="282">
        <v>45692</v>
      </c>
      <c r="N889" s="371">
        <v>402000000</v>
      </c>
      <c r="O889" s="444" t="s">
        <v>3866</v>
      </c>
      <c r="P889" s="397">
        <v>402000000</v>
      </c>
      <c r="Q889" s="397">
        <v>402000000</v>
      </c>
      <c r="R889" s="397"/>
      <c r="S889" s="398">
        <f t="shared" si="40"/>
        <v>402000000</v>
      </c>
      <c r="T889" s="353"/>
      <c r="U889" s="353">
        <f t="shared" si="41"/>
        <v>402000000</v>
      </c>
      <c r="V889" s="399"/>
      <c r="W889" s="399"/>
      <c r="X889" s="401" t="s">
        <v>492</v>
      </c>
      <c r="Y889" s="400"/>
      <c r="Z889" s="283"/>
    </row>
    <row r="890" spans="2:26" ht="19.5" hidden="1" customHeight="1">
      <c r="B890" s="29">
        <f t="shared" si="39"/>
        <v>880</v>
      </c>
      <c r="C890" s="30" t="s">
        <v>202</v>
      </c>
      <c r="D890" s="30" t="s">
        <v>359</v>
      </c>
      <c r="E890" s="234" t="s">
        <v>1207</v>
      </c>
      <c r="F890" s="235" t="s">
        <v>1290</v>
      </c>
      <c r="G890" s="284">
        <f>IFERROR(VLOOKUP(E890,Assign!$C$2:$J$142,8,FALSE),)</f>
        <v>0</v>
      </c>
      <c r="H890" s="279" t="s">
        <v>6806</v>
      </c>
      <c r="I890" s="280" t="s">
        <v>6054</v>
      </c>
      <c r="J890" s="281" t="s">
        <v>3762</v>
      </c>
      <c r="K890" s="282">
        <v>44496</v>
      </c>
      <c r="L890" s="282">
        <v>45947</v>
      </c>
      <c r="M890" s="282">
        <v>45692</v>
      </c>
      <c r="N890" s="371">
        <v>460000000</v>
      </c>
      <c r="O890" s="444" t="s">
        <v>3866</v>
      </c>
      <c r="P890" s="397">
        <v>23000000</v>
      </c>
      <c r="Q890" s="397">
        <v>23000000</v>
      </c>
      <c r="R890" s="397"/>
      <c r="S890" s="398">
        <f t="shared" si="40"/>
        <v>23000000</v>
      </c>
      <c r="T890" s="353"/>
      <c r="U890" s="353">
        <f t="shared" si="41"/>
        <v>23000000</v>
      </c>
      <c r="V890" s="399"/>
      <c r="W890" s="399"/>
      <c r="X890" s="401" t="s">
        <v>492</v>
      </c>
      <c r="Y890" s="400"/>
      <c r="Z890" s="283"/>
    </row>
    <row r="891" spans="2:26" ht="19.5" hidden="1" customHeight="1">
      <c r="B891" s="29">
        <f t="shared" si="39"/>
        <v>881</v>
      </c>
      <c r="C891" s="30" t="s">
        <v>202</v>
      </c>
      <c r="D891" s="30" t="s">
        <v>359</v>
      </c>
      <c r="E891" s="234" t="s">
        <v>1207</v>
      </c>
      <c r="F891" s="235" t="s">
        <v>1290</v>
      </c>
      <c r="G891" s="284">
        <f>IFERROR(VLOOKUP(E891,Assign!$C$2:$J$142,8,FALSE),)</f>
        <v>0</v>
      </c>
      <c r="H891" s="279" t="s">
        <v>6807</v>
      </c>
      <c r="I891" s="280" t="s">
        <v>6055</v>
      </c>
      <c r="J891" s="281" t="s">
        <v>3793</v>
      </c>
      <c r="K891" s="282">
        <v>44741</v>
      </c>
      <c r="L891" s="282">
        <v>45837</v>
      </c>
      <c r="M891" s="282">
        <v>45692</v>
      </c>
      <c r="N891" s="371">
        <v>1150000000</v>
      </c>
      <c r="O891" s="444" t="s">
        <v>3866</v>
      </c>
      <c r="P891" s="397">
        <v>1150000000</v>
      </c>
      <c r="Q891" s="397">
        <v>1150000000</v>
      </c>
      <c r="R891" s="397"/>
      <c r="S891" s="398">
        <f t="shared" si="40"/>
        <v>1150000000</v>
      </c>
      <c r="T891" s="353"/>
      <c r="U891" s="353">
        <f t="shared" si="41"/>
        <v>1150000000</v>
      </c>
      <c r="V891" s="399"/>
      <c r="W891" s="399"/>
      <c r="X891" s="401" t="s">
        <v>492</v>
      </c>
      <c r="Y891" s="400"/>
      <c r="Z891" s="283"/>
    </row>
    <row r="892" spans="2:26" ht="19.5" hidden="1" customHeight="1">
      <c r="B892" s="29">
        <f t="shared" si="39"/>
        <v>882</v>
      </c>
      <c r="C892" s="30" t="s">
        <v>202</v>
      </c>
      <c r="D892" s="30" t="s">
        <v>359</v>
      </c>
      <c r="E892" s="234" t="s">
        <v>1207</v>
      </c>
      <c r="F892" s="235" t="s">
        <v>1290</v>
      </c>
      <c r="G892" s="284">
        <f>IFERROR(VLOOKUP(E892,Assign!$C$2:$J$142,8,FALSE),)</f>
        <v>0</v>
      </c>
      <c r="H892" s="279" t="s">
        <v>6808</v>
      </c>
      <c r="I892" s="280" t="s">
        <v>5829</v>
      </c>
      <c r="J892" s="281" t="s">
        <v>3773</v>
      </c>
      <c r="K892" s="282">
        <v>45371</v>
      </c>
      <c r="L892" s="282">
        <v>45736</v>
      </c>
      <c r="M892" s="282">
        <v>45692</v>
      </c>
      <c r="N892" s="371">
        <v>810000000</v>
      </c>
      <c r="O892" s="444" t="s">
        <v>3866</v>
      </c>
      <c r="P892" s="397">
        <v>810000000</v>
      </c>
      <c r="Q892" s="397">
        <v>810000000</v>
      </c>
      <c r="R892" s="397"/>
      <c r="S892" s="398">
        <f t="shared" si="40"/>
        <v>810000000</v>
      </c>
      <c r="T892" s="353"/>
      <c r="U892" s="353">
        <f t="shared" si="41"/>
        <v>810000000</v>
      </c>
      <c r="V892" s="399"/>
      <c r="W892" s="399"/>
      <c r="X892" s="401" t="s">
        <v>492</v>
      </c>
      <c r="Y892" s="400"/>
      <c r="Z892" s="283"/>
    </row>
    <row r="893" spans="2:26" ht="19.5" hidden="1" customHeight="1">
      <c r="B893" s="29">
        <f t="shared" si="39"/>
        <v>883</v>
      </c>
      <c r="C893" s="30" t="s">
        <v>202</v>
      </c>
      <c r="D893" s="30" t="s">
        <v>359</v>
      </c>
      <c r="E893" s="234" t="s">
        <v>1208</v>
      </c>
      <c r="F893" s="235" t="s">
        <v>1225</v>
      </c>
      <c r="G893" s="284" t="str">
        <f>IFERROR(VLOOKUP(E893,Assign!$C$2:$J$142,8,FALSE),)</f>
        <v>문선영</v>
      </c>
      <c r="H893" s="279" t="s">
        <v>6716</v>
      </c>
      <c r="I893" s="280" t="s">
        <v>6001</v>
      </c>
      <c r="J893" s="281" t="s">
        <v>3734</v>
      </c>
      <c r="K893" s="282">
        <v>43958</v>
      </c>
      <c r="L893" s="282">
        <v>45582</v>
      </c>
      <c r="M893" s="282">
        <v>45559</v>
      </c>
      <c r="N893" s="371">
        <v>180000000</v>
      </c>
      <c r="O893" s="444" t="s">
        <v>3866</v>
      </c>
      <c r="P893" s="397">
        <v>180000000</v>
      </c>
      <c r="Q893" s="397">
        <v>180000000</v>
      </c>
      <c r="R893" s="397"/>
      <c r="S893" s="398">
        <f t="shared" si="40"/>
        <v>180000000</v>
      </c>
      <c r="T893" s="353"/>
      <c r="U893" s="353">
        <f t="shared" si="41"/>
        <v>180000000</v>
      </c>
      <c r="V893" s="399"/>
      <c r="W893" s="399"/>
      <c r="X893" s="401" t="s">
        <v>492</v>
      </c>
      <c r="Y893" s="400"/>
      <c r="Z893" s="283"/>
    </row>
    <row r="894" spans="2:26" ht="19.5" hidden="1" customHeight="1">
      <c r="B894" s="29">
        <f t="shared" si="39"/>
        <v>884</v>
      </c>
      <c r="C894" s="30" t="s">
        <v>202</v>
      </c>
      <c r="D894" s="30" t="s">
        <v>359</v>
      </c>
      <c r="E894" s="234" t="s">
        <v>1208</v>
      </c>
      <c r="F894" s="235" t="s">
        <v>1225</v>
      </c>
      <c r="G894" s="284" t="str">
        <f>IFERROR(VLOOKUP(E894,Assign!$C$2:$J$142,8,FALSE),)</f>
        <v>문선영</v>
      </c>
      <c r="H894" s="279" t="s">
        <v>6717</v>
      </c>
      <c r="I894" s="280" t="s">
        <v>5690</v>
      </c>
      <c r="J894" s="281" t="s">
        <v>3734</v>
      </c>
      <c r="K894" s="282">
        <v>44690</v>
      </c>
      <c r="L894" s="282">
        <v>45582</v>
      </c>
      <c r="M894" s="282">
        <v>45555</v>
      </c>
      <c r="N894" s="371">
        <v>1000000000</v>
      </c>
      <c r="O894" s="444" t="s">
        <v>3866</v>
      </c>
      <c r="P894" s="397">
        <v>1000000000</v>
      </c>
      <c r="Q894" s="397">
        <v>1000000000</v>
      </c>
      <c r="R894" s="397"/>
      <c r="S894" s="398">
        <f t="shared" si="40"/>
        <v>1000000000</v>
      </c>
      <c r="T894" s="353"/>
      <c r="U894" s="353">
        <f t="shared" si="41"/>
        <v>1000000000</v>
      </c>
      <c r="V894" s="399"/>
      <c r="W894" s="399"/>
      <c r="X894" s="401" t="s">
        <v>492</v>
      </c>
      <c r="Y894" s="400"/>
      <c r="Z894" s="283"/>
    </row>
    <row r="895" spans="2:26" ht="19.5" hidden="1" customHeight="1">
      <c r="B895" s="29">
        <f t="shared" si="39"/>
        <v>885</v>
      </c>
      <c r="C895" s="30" t="s">
        <v>202</v>
      </c>
      <c r="D895" s="30" t="s">
        <v>359</v>
      </c>
      <c r="E895" s="234" t="s">
        <v>1208</v>
      </c>
      <c r="F895" s="235" t="s">
        <v>1225</v>
      </c>
      <c r="G895" s="284" t="str">
        <f>IFERROR(VLOOKUP(E895,Assign!$C$2:$J$142,8,FALSE),)</f>
        <v>문선영</v>
      </c>
      <c r="H895" s="279" t="s">
        <v>6718</v>
      </c>
      <c r="I895" s="280" t="s">
        <v>5661</v>
      </c>
      <c r="J895" s="281" t="s">
        <v>3734</v>
      </c>
      <c r="K895" s="282">
        <v>45176</v>
      </c>
      <c r="L895" s="282">
        <v>45582</v>
      </c>
      <c r="M895" s="282">
        <v>45555</v>
      </c>
      <c r="N895" s="371">
        <v>295000000</v>
      </c>
      <c r="O895" s="444" t="s">
        <v>3866</v>
      </c>
      <c r="P895" s="397">
        <v>295000000</v>
      </c>
      <c r="Q895" s="397">
        <v>295000000</v>
      </c>
      <c r="R895" s="397"/>
      <c r="S895" s="398">
        <f t="shared" si="40"/>
        <v>295000000</v>
      </c>
      <c r="T895" s="353"/>
      <c r="U895" s="353">
        <f t="shared" si="41"/>
        <v>295000000</v>
      </c>
      <c r="V895" s="399"/>
      <c r="W895" s="399"/>
      <c r="X895" s="401" t="s">
        <v>492</v>
      </c>
      <c r="Y895" s="400"/>
      <c r="Z895" s="283"/>
    </row>
    <row r="896" spans="2:26" ht="19.5" hidden="1" customHeight="1">
      <c r="B896" s="29">
        <f t="shared" si="39"/>
        <v>886</v>
      </c>
      <c r="C896" s="30" t="s">
        <v>202</v>
      </c>
      <c r="D896" s="30" t="s">
        <v>359</v>
      </c>
      <c r="E896" s="234" t="s">
        <v>1208</v>
      </c>
      <c r="F896" s="235" t="s">
        <v>1225</v>
      </c>
      <c r="G896" s="284" t="str">
        <f>IFERROR(VLOOKUP(E896,Assign!$C$2:$J$142,8,FALSE),)</f>
        <v>문선영</v>
      </c>
      <c r="H896" s="279" t="s">
        <v>6719</v>
      </c>
      <c r="I896" s="280" t="s">
        <v>6002</v>
      </c>
      <c r="J896" s="281" t="s">
        <v>3745</v>
      </c>
      <c r="K896" s="282">
        <v>45216</v>
      </c>
      <c r="L896" s="282">
        <v>45582</v>
      </c>
      <c r="M896" s="282">
        <v>45555</v>
      </c>
      <c r="N896" s="371">
        <v>90000000</v>
      </c>
      <c r="O896" s="444" t="s">
        <v>3866</v>
      </c>
      <c r="P896" s="397">
        <v>49931475</v>
      </c>
      <c r="Q896" s="397">
        <v>49931475</v>
      </c>
      <c r="R896" s="397"/>
      <c r="S896" s="398">
        <f t="shared" si="40"/>
        <v>49931475</v>
      </c>
      <c r="T896" s="353"/>
      <c r="U896" s="353">
        <f t="shared" si="41"/>
        <v>49931475</v>
      </c>
      <c r="V896" s="399"/>
      <c r="W896" s="399"/>
      <c r="X896" s="401" t="s">
        <v>492</v>
      </c>
      <c r="Y896" s="400"/>
      <c r="Z896" s="283"/>
    </row>
    <row r="897" spans="2:26" ht="19.5" hidden="1" customHeight="1">
      <c r="B897" s="29">
        <f t="shared" si="39"/>
        <v>887</v>
      </c>
      <c r="C897" s="30" t="s">
        <v>202</v>
      </c>
      <c r="D897" s="30" t="s">
        <v>359</v>
      </c>
      <c r="E897" s="234" t="s">
        <v>1209</v>
      </c>
      <c r="F897" s="235" t="s">
        <v>1236</v>
      </c>
      <c r="G897" s="284">
        <f>IFERROR(VLOOKUP(E897,Assign!$C$2:$J$142,8,FALSE),)</f>
        <v>0</v>
      </c>
      <c r="H897" s="279" t="s">
        <v>6639</v>
      </c>
      <c r="I897" s="280" t="s">
        <v>5949</v>
      </c>
      <c r="J897" s="281" t="s">
        <v>3736</v>
      </c>
      <c r="K897" s="282">
        <v>44680</v>
      </c>
      <c r="L897" s="282">
        <v>45776</v>
      </c>
      <c r="M897" s="282">
        <v>45664</v>
      </c>
      <c r="N897" s="371">
        <v>50000000</v>
      </c>
      <c r="O897" s="444" t="s">
        <v>3866</v>
      </c>
      <c r="P897" s="397">
        <v>50000000</v>
      </c>
      <c r="Q897" s="397">
        <v>50000000</v>
      </c>
      <c r="R897" s="397"/>
      <c r="S897" s="398">
        <f t="shared" si="40"/>
        <v>50000000</v>
      </c>
      <c r="T897" s="353"/>
      <c r="U897" s="353">
        <f t="shared" si="41"/>
        <v>50000000</v>
      </c>
      <c r="V897" s="399"/>
      <c r="W897" s="399"/>
      <c r="X897" s="401" t="s">
        <v>492</v>
      </c>
      <c r="Y897" s="400"/>
      <c r="Z897" s="283"/>
    </row>
    <row r="898" spans="2:26" ht="19.5" hidden="1" customHeight="1">
      <c r="B898" s="29">
        <f t="shared" si="39"/>
        <v>888</v>
      </c>
      <c r="C898" s="30" t="s">
        <v>202</v>
      </c>
      <c r="D898" s="30" t="s">
        <v>359</v>
      </c>
      <c r="E898" s="234" t="s">
        <v>1209</v>
      </c>
      <c r="F898" s="235" t="s">
        <v>1236</v>
      </c>
      <c r="G898" s="284">
        <f>IFERROR(VLOOKUP(E898,Assign!$C$2:$J$142,8,FALSE),)</f>
        <v>0</v>
      </c>
      <c r="H898" s="279" t="s">
        <v>6640</v>
      </c>
      <c r="I898" s="280" t="s">
        <v>5950</v>
      </c>
      <c r="J898" s="281" t="s">
        <v>3764</v>
      </c>
      <c r="K898" s="282">
        <v>44680</v>
      </c>
      <c r="L898" s="282">
        <v>45961</v>
      </c>
      <c r="M898" s="282">
        <v>45658</v>
      </c>
      <c r="N898" s="371">
        <v>755000000</v>
      </c>
      <c r="O898" s="444" t="s">
        <v>3866</v>
      </c>
      <c r="P898" s="397">
        <v>755000000</v>
      </c>
      <c r="Q898" s="397">
        <v>755000000</v>
      </c>
      <c r="R898" s="397"/>
      <c r="S898" s="398">
        <f t="shared" si="40"/>
        <v>755000000</v>
      </c>
      <c r="T898" s="353"/>
      <c r="U898" s="353">
        <f t="shared" si="41"/>
        <v>755000000</v>
      </c>
      <c r="V898" s="399"/>
      <c r="W898" s="399"/>
      <c r="X898" s="401" t="s">
        <v>492</v>
      </c>
      <c r="Y898" s="400"/>
      <c r="Z898" s="283"/>
    </row>
    <row r="899" spans="2:26" ht="19.5" hidden="1" customHeight="1">
      <c r="B899" s="29">
        <f t="shared" si="39"/>
        <v>889</v>
      </c>
      <c r="C899" s="30" t="s">
        <v>202</v>
      </c>
      <c r="D899" s="30" t="s">
        <v>359</v>
      </c>
      <c r="E899" s="234" t="s">
        <v>1209</v>
      </c>
      <c r="F899" s="235" t="s">
        <v>1236</v>
      </c>
      <c r="G899" s="284">
        <f>IFERROR(VLOOKUP(E899,Assign!$C$2:$J$142,8,FALSE),)</f>
        <v>0</v>
      </c>
      <c r="H899" s="279" t="s">
        <v>6641</v>
      </c>
      <c r="I899" s="280" t="s">
        <v>5951</v>
      </c>
      <c r="J899" s="281" t="s">
        <v>3786</v>
      </c>
      <c r="K899" s="282">
        <v>44680</v>
      </c>
      <c r="L899" s="282">
        <v>45776</v>
      </c>
      <c r="M899" s="282">
        <v>45657</v>
      </c>
      <c r="N899" s="371">
        <v>560000000</v>
      </c>
      <c r="O899" s="444" t="s">
        <v>3866</v>
      </c>
      <c r="P899" s="397">
        <v>490000000</v>
      </c>
      <c r="Q899" s="397">
        <v>490000000</v>
      </c>
      <c r="R899" s="397"/>
      <c r="S899" s="398">
        <f t="shared" si="40"/>
        <v>490000000</v>
      </c>
      <c r="T899" s="353"/>
      <c r="U899" s="353">
        <f t="shared" si="41"/>
        <v>490000000</v>
      </c>
      <c r="V899" s="399"/>
      <c r="W899" s="399"/>
      <c r="X899" s="401" t="s">
        <v>492</v>
      </c>
      <c r="Y899" s="400"/>
      <c r="Z899" s="283"/>
    </row>
    <row r="900" spans="2:26" ht="19.5" hidden="1" customHeight="1">
      <c r="B900" s="29">
        <f t="shared" si="39"/>
        <v>890</v>
      </c>
      <c r="C900" s="30" t="s">
        <v>202</v>
      </c>
      <c r="D900" s="30" t="s">
        <v>359</v>
      </c>
      <c r="E900" s="234" t="s">
        <v>1210</v>
      </c>
      <c r="F900" s="235" t="s">
        <v>1291</v>
      </c>
      <c r="G900" s="284">
        <f>IFERROR(VLOOKUP(E900,Assign!$C$2:$J$142,8,FALSE),)</f>
        <v>0</v>
      </c>
      <c r="H900" s="279" t="s">
        <v>6811</v>
      </c>
      <c r="I900" s="280" t="s">
        <v>6057</v>
      </c>
      <c r="J900" s="281" t="s">
        <v>3734</v>
      </c>
      <c r="K900" s="282">
        <v>44188</v>
      </c>
      <c r="L900" s="282">
        <v>46014</v>
      </c>
      <c r="M900" s="282">
        <v>45689</v>
      </c>
      <c r="N900" s="371">
        <v>180000000</v>
      </c>
      <c r="O900" s="444" t="s">
        <v>3866</v>
      </c>
      <c r="P900" s="397">
        <v>180000000</v>
      </c>
      <c r="Q900" s="397">
        <v>180000000</v>
      </c>
      <c r="R900" s="397"/>
      <c r="S900" s="398">
        <f t="shared" si="40"/>
        <v>180000000</v>
      </c>
      <c r="T900" s="353"/>
      <c r="U900" s="353">
        <f t="shared" si="41"/>
        <v>180000000</v>
      </c>
      <c r="V900" s="399"/>
      <c r="W900" s="399"/>
      <c r="X900" s="401" t="s">
        <v>492</v>
      </c>
      <c r="Y900" s="400"/>
      <c r="Z900" s="283"/>
    </row>
    <row r="901" spans="2:26" ht="19.5" hidden="1" customHeight="1">
      <c r="B901" s="29">
        <f t="shared" si="39"/>
        <v>891</v>
      </c>
      <c r="C901" s="30" t="s">
        <v>202</v>
      </c>
      <c r="D901" s="30" t="s">
        <v>359</v>
      </c>
      <c r="E901" s="234" t="s">
        <v>1210</v>
      </c>
      <c r="F901" s="235" t="s">
        <v>1291</v>
      </c>
      <c r="G901" s="284">
        <f>IFERROR(VLOOKUP(E901,Assign!$C$2:$J$142,8,FALSE),)</f>
        <v>0</v>
      </c>
      <c r="H901" s="279" t="s">
        <v>6812</v>
      </c>
      <c r="I901" s="280" t="s">
        <v>5753</v>
      </c>
      <c r="J901" s="281" t="s">
        <v>3734</v>
      </c>
      <c r="K901" s="282">
        <v>44188</v>
      </c>
      <c r="L901" s="282">
        <v>46014</v>
      </c>
      <c r="M901" s="282">
        <v>45689</v>
      </c>
      <c r="N901" s="371">
        <v>320000000</v>
      </c>
      <c r="O901" s="444" t="s">
        <v>3866</v>
      </c>
      <c r="P901" s="397">
        <v>320000000</v>
      </c>
      <c r="Q901" s="397">
        <v>320000000</v>
      </c>
      <c r="R901" s="397"/>
      <c r="S901" s="398">
        <f t="shared" si="40"/>
        <v>320000000</v>
      </c>
      <c r="T901" s="353"/>
      <c r="U901" s="353">
        <f t="shared" si="41"/>
        <v>320000000</v>
      </c>
      <c r="V901" s="399"/>
      <c r="W901" s="399"/>
      <c r="X901" s="401" t="s">
        <v>492</v>
      </c>
      <c r="Y901" s="400"/>
      <c r="Z901" s="283"/>
    </row>
    <row r="902" spans="2:26" ht="19.5" hidden="1" customHeight="1">
      <c r="B902" s="29">
        <f t="shared" si="39"/>
        <v>892</v>
      </c>
      <c r="C902" s="30" t="s">
        <v>202</v>
      </c>
      <c r="D902" s="30" t="s">
        <v>359</v>
      </c>
      <c r="E902" s="234" t="s">
        <v>1210</v>
      </c>
      <c r="F902" s="235" t="s">
        <v>1291</v>
      </c>
      <c r="G902" s="284">
        <f>IFERROR(VLOOKUP(E902,Assign!$C$2:$J$142,8,FALSE),)</f>
        <v>0</v>
      </c>
      <c r="H902" s="279" t="s">
        <v>6813</v>
      </c>
      <c r="I902" s="280" t="s">
        <v>6058</v>
      </c>
      <c r="J902" s="281" t="s">
        <v>3734</v>
      </c>
      <c r="K902" s="282">
        <v>44196</v>
      </c>
      <c r="L902" s="282">
        <v>46010</v>
      </c>
      <c r="M902" s="282">
        <v>45689</v>
      </c>
      <c r="N902" s="371">
        <v>230000000</v>
      </c>
      <c r="O902" s="444" t="s">
        <v>3866</v>
      </c>
      <c r="P902" s="397">
        <v>230000000</v>
      </c>
      <c r="Q902" s="397">
        <v>230000000</v>
      </c>
      <c r="R902" s="397"/>
      <c r="S902" s="398">
        <f t="shared" si="40"/>
        <v>230000000</v>
      </c>
      <c r="T902" s="353"/>
      <c r="U902" s="353">
        <f t="shared" si="41"/>
        <v>230000000</v>
      </c>
      <c r="V902" s="399"/>
      <c r="W902" s="399"/>
      <c r="X902" s="401" t="s">
        <v>492</v>
      </c>
      <c r="Y902" s="400"/>
      <c r="Z902" s="283"/>
    </row>
    <row r="903" spans="2:26" ht="19.5" hidden="1" customHeight="1">
      <c r="B903" s="29">
        <f t="shared" si="39"/>
        <v>893</v>
      </c>
      <c r="C903" s="30" t="s">
        <v>202</v>
      </c>
      <c r="D903" s="30" t="s">
        <v>359</v>
      </c>
      <c r="E903" s="234" t="s">
        <v>1210</v>
      </c>
      <c r="F903" s="235" t="s">
        <v>1291</v>
      </c>
      <c r="G903" s="284">
        <f>IFERROR(VLOOKUP(E903,Assign!$C$2:$J$142,8,FALSE),)</f>
        <v>0</v>
      </c>
      <c r="H903" s="279" t="s">
        <v>6814</v>
      </c>
      <c r="I903" s="280" t="s">
        <v>6016</v>
      </c>
      <c r="J903" s="281" t="s">
        <v>3734</v>
      </c>
      <c r="K903" s="282">
        <v>44328</v>
      </c>
      <c r="L903" s="282">
        <v>45780</v>
      </c>
      <c r="M903" s="282">
        <v>45689</v>
      </c>
      <c r="N903" s="371">
        <v>190000000</v>
      </c>
      <c r="O903" s="444" t="s">
        <v>3866</v>
      </c>
      <c r="P903" s="397">
        <v>190000000</v>
      </c>
      <c r="Q903" s="397">
        <v>190000000</v>
      </c>
      <c r="R903" s="397"/>
      <c r="S903" s="398">
        <f t="shared" si="40"/>
        <v>190000000</v>
      </c>
      <c r="T903" s="353"/>
      <c r="U903" s="353">
        <f t="shared" si="41"/>
        <v>190000000</v>
      </c>
      <c r="V903" s="399"/>
      <c r="W903" s="399"/>
      <c r="X903" s="401" t="s">
        <v>492</v>
      </c>
      <c r="Y903" s="400"/>
      <c r="Z903" s="283"/>
    </row>
    <row r="904" spans="2:26" ht="19.5" hidden="1" customHeight="1">
      <c r="B904" s="29">
        <f t="shared" si="39"/>
        <v>894</v>
      </c>
      <c r="C904" s="30" t="s">
        <v>202</v>
      </c>
      <c r="D904" s="30" t="s">
        <v>359</v>
      </c>
      <c r="E904" s="234" t="s">
        <v>1211</v>
      </c>
      <c r="F904" s="235" t="s">
        <v>1225</v>
      </c>
      <c r="G904" s="284" t="str">
        <f>IFERROR(VLOOKUP(E904,Assign!$C$2:$J$142,8,FALSE),)</f>
        <v>문선영</v>
      </c>
      <c r="H904" s="279" t="s">
        <v>6231</v>
      </c>
      <c r="I904" s="280" t="s">
        <v>5610</v>
      </c>
      <c r="J904" s="281" t="s">
        <v>3738</v>
      </c>
      <c r="K904" s="282">
        <v>42368</v>
      </c>
      <c r="L904" s="282">
        <v>46021</v>
      </c>
      <c r="M904" s="282">
        <v>45689</v>
      </c>
      <c r="N904" s="371">
        <v>183000000</v>
      </c>
      <c r="O904" s="444" t="s">
        <v>3866</v>
      </c>
      <c r="P904" s="397">
        <v>183000000</v>
      </c>
      <c r="Q904" s="397">
        <v>183000000</v>
      </c>
      <c r="R904" s="397"/>
      <c r="S904" s="398">
        <f t="shared" si="40"/>
        <v>183000000</v>
      </c>
      <c r="T904" s="353"/>
      <c r="U904" s="353">
        <f t="shared" si="41"/>
        <v>183000000</v>
      </c>
      <c r="V904" s="399"/>
      <c r="W904" s="399"/>
      <c r="X904" s="401" t="s">
        <v>492</v>
      </c>
      <c r="Y904" s="400"/>
      <c r="Z904" s="283"/>
    </row>
    <row r="905" spans="2:26" ht="19.5" hidden="1" customHeight="1">
      <c r="B905" s="29">
        <f t="shared" si="39"/>
        <v>895</v>
      </c>
      <c r="C905" s="30" t="s">
        <v>202</v>
      </c>
      <c r="D905" s="30" t="s">
        <v>359</v>
      </c>
      <c r="E905" s="234" t="s">
        <v>1211</v>
      </c>
      <c r="F905" s="235" t="s">
        <v>1225</v>
      </c>
      <c r="G905" s="284" t="str">
        <f>IFERROR(VLOOKUP(E905,Assign!$C$2:$J$142,8,FALSE),)</f>
        <v>문선영</v>
      </c>
      <c r="H905" s="279" t="s">
        <v>6232</v>
      </c>
      <c r="I905" s="280" t="s">
        <v>5611</v>
      </c>
      <c r="J905" s="281" t="s">
        <v>3734</v>
      </c>
      <c r="K905" s="282">
        <v>43397</v>
      </c>
      <c r="L905" s="282">
        <v>45954</v>
      </c>
      <c r="M905" s="282">
        <v>45689</v>
      </c>
      <c r="N905" s="371">
        <v>220000000</v>
      </c>
      <c r="O905" s="444" t="s">
        <v>3866</v>
      </c>
      <c r="P905" s="397">
        <v>220000000</v>
      </c>
      <c r="Q905" s="397">
        <v>220000000</v>
      </c>
      <c r="R905" s="397"/>
      <c r="S905" s="398">
        <f t="shared" si="40"/>
        <v>220000000</v>
      </c>
      <c r="T905" s="353"/>
      <c r="U905" s="353">
        <f t="shared" si="41"/>
        <v>220000000</v>
      </c>
      <c r="V905" s="399"/>
      <c r="W905" s="399"/>
      <c r="X905" s="401" t="s">
        <v>492</v>
      </c>
      <c r="Y905" s="400"/>
      <c r="Z905" s="283"/>
    </row>
    <row r="906" spans="2:26" ht="19.5" hidden="1" customHeight="1">
      <c r="B906" s="29">
        <f t="shared" si="39"/>
        <v>896</v>
      </c>
      <c r="C906" s="30" t="s">
        <v>202</v>
      </c>
      <c r="D906" s="30" t="s">
        <v>359</v>
      </c>
      <c r="E906" s="234" t="s">
        <v>1211</v>
      </c>
      <c r="F906" s="235" t="s">
        <v>1225</v>
      </c>
      <c r="G906" s="284" t="str">
        <f>IFERROR(VLOOKUP(E906,Assign!$C$2:$J$142,8,FALSE),)</f>
        <v>문선영</v>
      </c>
      <c r="H906" s="279" t="s">
        <v>6233</v>
      </c>
      <c r="I906" s="280" t="s">
        <v>5612</v>
      </c>
      <c r="J906" s="281" t="s">
        <v>3734</v>
      </c>
      <c r="K906" s="282">
        <v>44540</v>
      </c>
      <c r="L906" s="282">
        <v>46001</v>
      </c>
      <c r="M906" s="282">
        <v>45689</v>
      </c>
      <c r="N906" s="371">
        <v>100000000</v>
      </c>
      <c r="O906" s="444" t="s">
        <v>3866</v>
      </c>
      <c r="P906" s="397">
        <v>100000000</v>
      </c>
      <c r="Q906" s="397">
        <v>100000000</v>
      </c>
      <c r="R906" s="397"/>
      <c r="S906" s="398">
        <f t="shared" si="40"/>
        <v>100000000</v>
      </c>
      <c r="T906" s="353"/>
      <c r="U906" s="353">
        <f t="shared" si="41"/>
        <v>100000000</v>
      </c>
      <c r="V906" s="399"/>
      <c r="W906" s="399"/>
      <c r="X906" s="401" t="s">
        <v>492</v>
      </c>
      <c r="Y906" s="400"/>
      <c r="Z906" s="283"/>
    </row>
    <row r="907" spans="2:26" ht="19.5" hidden="1" customHeight="1">
      <c r="B907" s="29">
        <f t="shared" ref="B907:B934" si="42">ROW()-10</f>
        <v>897</v>
      </c>
      <c r="C907" s="30" t="s">
        <v>202</v>
      </c>
      <c r="D907" s="30" t="s">
        <v>359</v>
      </c>
      <c r="E907" s="234" t="s">
        <v>1211</v>
      </c>
      <c r="F907" s="235" t="s">
        <v>1225</v>
      </c>
      <c r="G907" s="284" t="str">
        <f>IFERROR(VLOOKUP(E907,Assign!$C$2:$J$142,8,FALSE),)</f>
        <v>문선영</v>
      </c>
      <c r="H907" s="279" t="s">
        <v>6234</v>
      </c>
      <c r="I907" s="280" t="s">
        <v>5613</v>
      </c>
      <c r="J907" s="281" t="s">
        <v>3734</v>
      </c>
      <c r="K907" s="282">
        <v>45377</v>
      </c>
      <c r="L907" s="282">
        <v>46001</v>
      </c>
      <c r="M907" s="282">
        <v>45689</v>
      </c>
      <c r="N907" s="371">
        <v>150000000</v>
      </c>
      <c r="O907" s="444" t="s">
        <v>3866</v>
      </c>
      <c r="P907" s="397">
        <v>150000000</v>
      </c>
      <c r="Q907" s="397">
        <v>150000000</v>
      </c>
      <c r="R907" s="397"/>
      <c r="S907" s="398">
        <f t="shared" ref="S907:S934" si="43">Q907+R907</f>
        <v>150000000</v>
      </c>
      <c r="T907" s="353"/>
      <c r="U907" s="353">
        <f t="shared" ref="U907:U934" si="44">S907+T907</f>
        <v>150000000</v>
      </c>
      <c r="V907" s="399"/>
      <c r="W907" s="399"/>
      <c r="X907" s="401" t="s">
        <v>492</v>
      </c>
      <c r="Y907" s="400"/>
      <c r="Z907" s="283"/>
    </row>
    <row r="908" spans="2:26" ht="19.5" hidden="1" customHeight="1">
      <c r="B908" s="29">
        <f t="shared" si="42"/>
        <v>898</v>
      </c>
      <c r="C908" s="30" t="s">
        <v>202</v>
      </c>
      <c r="D908" s="30" t="s">
        <v>359</v>
      </c>
      <c r="E908" s="234" t="s">
        <v>1212</v>
      </c>
      <c r="F908" s="235" t="s">
        <v>1292</v>
      </c>
      <c r="G908" s="284" t="str">
        <f>IFERROR(VLOOKUP(E908,Assign!$C$2:$J$142,8,FALSE),)</f>
        <v>문선영</v>
      </c>
      <c r="H908" s="279" t="s">
        <v>6865</v>
      </c>
      <c r="I908" s="280" t="s">
        <v>6092</v>
      </c>
      <c r="J908" s="281" t="s">
        <v>3801</v>
      </c>
      <c r="K908" s="282">
        <v>44531</v>
      </c>
      <c r="L908" s="282">
        <v>45982</v>
      </c>
      <c r="M908" s="282">
        <v>45660</v>
      </c>
      <c r="N908" s="371">
        <v>510000000</v>
      </c>
      <c r="O908" s="444" t="s">
        <v>3866</v>
      </c>
      <c r="P908" s="397">
        <v>373000000</v>
      </c>
      <c r="Q908" s="397">
        <v>373000000</v>
      </c>
      <c r="R908" s="397"/>
      <c r="S908" s="398">
        <f t="shared" si="43"/>
        <v>373000000</v>
      </c>
      <c r="T908" s="353"/>
      <c r="U908" s="353">
        <f t="shared" si="44"/>
        <v>373000000</v>
      </c>
      <c r="V908" s="399"/>
      <c r="W908" s="399"/>
      <c r="X908" s="401" t="s">
        <v>492</v>
      </c>
      <c r="Y908" s="400"/>
      <c r="Z908" s="283"/>
    </row>
    <row r="909" spans="2:26" ht="19.5" hidden="1" customHeight="1">
      <c r="B909" s="29">
        <f t="shared" si="42"/>
        <v>899</v>
      </c>
      <c r="C909" s="30" t="s">
        <v>202</v>
      </c>
      <c r="D909" s="30" t="s">
        <v>359</v>
      </c>
      <c r="E909" s="234" t="s">
        <v>1213</v>
      </c>
      <c r="F909" s="235" t="s">
        <v>1229</v>
      </c>
      <c r="G909" s="284" t="str">
        <f>IFERROR(VLOOKUP(E909,Assign!$C$2:$J$142,8,FALSE),)</f>
        <v>문선영</v>
      </c>
      <c r="H909" s="279" t="s">
        <v>6642</v>
      </c>
      <c r="I909" s="280" t="s">
        <v>5672</v>
      </c>
      <c r="J909" s="281" t="s">
        <v>3743</v>
      </c>
      <c r="K909" s="282">
        <v>44953</v>
      </c>
      <c r="L909" s="282">
        <v>52258</v>
      </c>
      <c r="M909" s="282">
        <v>45689</v>
      </c>
      <c r="N909" s="371">
        <v>200000000</v>
      </c>
      <c r="O909" s="444" t="s">
        <v>3866</v>
      </c>
      <c r="P909" s="397">
        <v>174597549</v>
      </c>
      <c r="Q909" s="397">
        <v>174597549</v>
      </c>
      <c r="R909" s="397"/>
      <c r="S909" s="398">
        <f t="shared" si="43"/>
        <v>174597549</v>
      </c>
      <c r="T909" s="353"/>
      <c r="U909" s="353">
        <f t="shared" si="44"/>
        <v>174597549</v>
      </c>
      <c r="V909" s="399"/>
      <c r="W909" s="399"/>
      <c r="X909" s="401" t="s">
        <v>492</v>
      </c>
      <c r="Y909" s="400"/>
      <c r="Z909" s="283"/>
    </row>
    <row r="910" spans="2:26" ht="19.5" hidden="1" customHeight="1">
      <c r="B910" s="29">
        <f t="shared" si="42"/>
        <v>900</v>
      </c>
      <c r="C910" s="30" t="s">
        <v>202</v>
      </c>
      <c r="D910" s="30" t="s">
        <v>359</v>
      </c>
      <c r="E910" s="234" t="s">
        <v>7150</v>
      </c>
      <c r="F910" s="235" t="s">
        <v>1328</v>
      </c>
      <c r="G910" s="284">
        <f>IFERROR(VLOOKUP(E910,Assign!$C$2:$J$142,8,FALSE),)</f>
        <v>0</v>
      </c>
      <c r="H910" s="279" t="s">
        <v>6711</v>
      </c>
      <c r="I910" s="280" t="s">
        <v>5998</v>
      </c>
      <c r="J910" s="281" t="s">
        <v>3734</v>
      </c>
      <c r="K910" s="282">
        <v>45128</v>
      </c>
      <c r="L910" s="282">
        <v>45859</v>
      </c>
      <c r="M910" s="282">
        <v>45762</v>
      </c>
      <c r="N910" s="371">
        <v>7500000000</v>
      </c>
      <c r="O910" s="444" t="s">
        <v>3866</v>
      </c>
      <c r="P910" s="397">
        <v>7500000000</v>
      </c>
      <c r="Q910" s="397">
        <v>7500000000</v>
      </c>
      <c r="R910" s="397"/>
      <c r="S910" s="398">
        <f t="shared" si="43"/>
        <v>7500000000</v>
      </c>
      <c r="T910" s="353"/>
      <c r="U910" s="353">
        <f t="shared" si="44"/>
        <v>7500000000</v>
      </c>
      <c r="V910" s="399"/>
      <c r="W910" s="399"/>
      <c r="X910" s="401" t="s">
        <v>492</v>
      </c>
      <c r="Y910" s="400"/>
      <c r="Z910" s="283"/>
    </row>
    <row r="911" spans="2:26" ht="19.5" hidden="1" customHeight="1">
      <c r="B911" s="29">
        <f t="shared" si="42"/>
        <v>901</v>
      </c>
      <c r="C911" s="30" t="s">
        <v>202</v>
      </c>
      <c r="D911" s="30" t="s">
        <v>359</v>
      </c>
      <c r="E911" s="234" t="s">
        <v>7150</v>
      </c>
      <c r="F911" s="235" t="s">
        <v>1328</v>
      </c>
      <c r="G911" s="284">
        <f>IFERROR(VLOOKUP(E911,Assign!$C$2:$J$142,8,FALSE),)</f>
        <v>0</v>
      </c>
      <c r="H911" s="279" t="s">
        <v>6712</v>
      </c>
      <c r="I911" s="280" t="s">
        <v>5999</v>
      </c>
      <c r="J911" s="281" t="s">
        <v>3745</v>
      </c>
      <c r="K911" s="282">
        <v>45128</v>
      </c>
      <c r="L911" s="282">
        <v>45859</v>
      </c>
      <c r="M911" s="282">
        <v>45738</v>
      </c>
      <c r="N911" s="371">
        <v>550000000</v>
      </c>
      <c r="O911" s="444" t="s">
        <v>3866</v>
      </c>
      <c r="P911" s="397">
        <v>550000000</v>
      </c>
      <c r="Q911" s="397">
        <v>550000000</v>
      </c>
      <c r="R911" s="397"/>
      <c r="S911" s="398">
        <f t="shared" si="43"/>
        <v>550000000</v>
      </c>
      <c r="T911" s="353"/>
      <c r="U911" s="353">
        <f t="shared" si="44"/>
        <v>550000000</v>
      </c>
      <c r="V911" s="399"/>
      <c r="W911" s="399"/>
      <c r="X911" s="401" t="s">
        <v>492</v>
      </c>
      <c r="Y911" s="400"/>
      <c r="Z911" s="283"/>
    </row>
    <row r="912" spans="2:26" ht="19.5" hidden="1" customHeight="1">
      <c r="B912" s="29">
        <f t="shared" si="42"/>
        <v>902</v>
      </c>
      <c r="C912" s="30" t="s">
        <v>202</v>
      </c>
      <c r="D912" s="30" t="s">
        <v>359</v>
      </c>
      <c r="E912" s="234" t="s">
        <v>7151</v>
      </c>
      <c r="F912" s="235" t="s">
        <v>1337</v>
      </c>
      <c r="G912" s="284">
        <f>IFERROR(VLOOKUP(E912,Assign!$C$2:$J$142,8,FALSE),)</f>
        <v>0</v>
      </c>
      <c r="H912" s="279" t="s">
        <v>7073</v>
      </c>
      <c r="I912" s="280" t="s">
        <v>5818</v>
      </c>
      <c r="J912" s="281" t="s">
        <v>3764</v>
      </c>
      <c r="K912" s="282">
        <v>44503</v>
      </c>
      <c r="L912" s="282">
        <v>45764</v>
      </c>
      <c r="M912" s="282">
        <v>45692</v>
      </c>
      <c r="N912" s="371">
        <v>2800000000</v>
      </c>
      <c r="O912" s="444" t="s">
        <v>3866</v>
      </c>
      <c r="P912" s="397">
        <v>2800000000</v>
      </c>
      <c r="Q912" s="397">
        <v>2800000000</v>
      </c>
      <c r="R912" s="397"/>
      <c r="S912" s="398">
        <f t="shared" si="43"/>
        <v>2800000000</v>
      </c>
      <c r="T912" s="353"/>
      <c r="U912" s="353">
        <f t="shared" si="44"/>
        <v>2800000000</v>
      </c>
      <c r="V912" s="399"/>
      <c r="W912" s="399"/>
      <c r="X912" s="401" t="s">
        <v>492</v>
      </c>
      <c r="Y912" s="400"/>
      <c r="Z912" s="283"/>
    </row>
    <row r="913" spans="2:26" ht="19.5" hidden="1" customHeight="1">
      <c r="B913" s="29">
        <f t="shared" si="42"/>
        <v>903</v>
      </c>
      <c r="C913" s="30" t="s">
        <v>202</v>
      </c>
      <c r="D913" s="30" t="s">
        <v>359</v>
      </c>
      <c r="E913" s="234" t="s">
        <v>7151</v>
      </c>
      <c r="F913" s="235" t="s">
        <v>1337</v>
      </c>
      <c r="G913" s="284">
        <f>IFERROR(VLOOKUP(E913,Assign!$C$2:$J$142,8,FALSE),)</f>
        <v>0</v>
      </c>
      <c r="H913" s="279" t="s">
        <v>7074</v>
      </c>
      <c r="I913" s="280" t="s">
        <v>6194</v>
      </c>
      <c r="J913" s="281" t="s">
        <v>3734</v>
      </c>
      <c r="K913" s="282">
        <v>45607</v>
      </c>
      <c r="L913" s="282">
        <v>45764</v>
      </c>
      <c r="M913" s="282">
        <v>45700</v>
      </c>
      <c r="N913" s="371">
        <v>90000000</v>
      </c>
      <c r="O913" s="444" t="s">
        <v>3866</v>
      </c>
      <c r="P913" s="397">
        <v>90000000</v>
      </c>
      <c r="Q913" s="397">
        <v>90000000</v>
      </c>
      <c r="R913" s="397"/>
      <c r="S913" s="398">
        <f t="shared" si="43"/>
        <v>90000000</v>
      </c>
      <c r="T913" s="353"/>
      <c r="U913" s="353">
        <f t="shared" si="44"/>
        <v>90000000</v>
      </c>
      <c r="V913" s="399"/>
      <c r="W913" s="399"/>
      <c r="X913" s="401" t="s">
        <v>492</v>
      </c>
      <c r="Y913" s="400"/>
      <c r="Z913" s="283"/>
    </row>
    <row r="914" spans="2:26" ht="19.5" hidden="1" customHeight="1">
      <c r="B914" s="29">
        <f t="shared" si="42"/>
        <v>904</v>
      </c>
      <c r="C914" s="30" t="s">
        <v>202</v>
      </c>
      <c r="D914" s="30" t="s">
        <v>359</v>
      </c>
      <c r="E914" s="234" t="s">
        <v>7151</v>
      </c>
      <c r="F914" s="235" t="s">
        <v>1337</v>
      </c>
      <c r="G914" s="284">
        <f>IFERROR(VLOOKUP(E914,Assign!$C$2:$J$142,8,FALSE),)</f>
        <v>0</v>
      </c>
      <c r="H914" s="279" t="s">
        <v>7075</v>
      </c>
      <c r="I914" s="280" t="s">
        <v>5764</v>
      </c>
      <c r="J914" s="281" t="s">
        <v>3734</v>
      </c>
      <c r="K914" s="282">
        <v>45607</v>
      </c>
      <c r="L914" s="282">
        <v>45716</v>
      </c>
      <c r="M914" s="282">
        <v>45717</v>
      </c>
      <c r="N914" s="371">
        <v>14000000</v>
      </c>
      <c r="O914" s="444" t="s">
        <v>3866</v>
      </c>
      <c r="P914" s="397">
        <v>14000000</v>
      </c>
      <c r="Q914" s="397">
        <v>14000000</v>
      </c>
      <c r="R914" s="397"/>
      <c r="S914" s="398">
        <f t="shared" si="43"/>
        <v>14000000</v>
      </c>
      <c r="T914" s="353"/>
      <c r="U914" s="353">
        <f t="shared" si="44"/>
        <v>14000000</v>
      </c>
      <c r="V914" s="399"/>
      <c r="W914" s="399"/>
      <c r="X914" s="401" t="s">
        <v>492</v>
      </c>
      <c r="Y914" s="400"/>
      <c r="Z914" s="283"/>
    </row>
    <row r="915" spans="2:26" ht="19.5" hidden="1" customHeight="1">
      <c r="B915" s="29">
        <f t="shared" si="42"/>
        <v>905</v>
      </c>
      <c r="C915" s="30" t="s">
        <v>202</v>
      </c>
      <c r="D915" s="30" t="s">
        <v>359</v>
      </c>
      <c r="E915" s="234" t="s">
        <v>7151</v>
      </c>
      <c r="F915" s="235" t="s">
        <v>1337</v>
      </c>
      <c r="G915" s="284">
        <f>IFERROR(VLOOKUP(E915,Assign!$C$2:$J$142,8,FALSE),)</f>
        <v>0</v>
      </c>
      <c r="H915" s="279" t="s">
        <v>7076</v>
      </c>
      <c r="I915" s="280" t="s">
        <v>6088</v>
      </c>
      <c r="J915" s="281" t="s">
        <v>3745</v>
      </c>
      <c r="K915" s="282">
        <v>45607</v>
      </c>
      <c r="L915" s="282">
        <v>45764</v>
      </c>
      <c r="M915" s="282">
        <v>45700</v>
      </c>
      <c r="N915" s="371">
        <v>28000000</v>
      </c>
      <c r="O915" s="444" t="s">
        <v>3866</v>
      </c>
      <c r="P915" s="397">
        <v>28000000</v>
      </c>
      <c r="Q915" s="397">
        <v>28000000</v>
      </c>
      <c r="R915" s="397"/>
      <c r="S915" s="398">
        <f t="shared" si="43"/>
        <v>28000000</v>
      </c>
      <c r="T915" s="353"/>
      <c r="U915" s="353">
        <f t="shared" si="44"/>
        <v>28000000</v>
      </c>
      <c r="V915" s="399"/>
      <c r="W915" s="399"/>
      <c r="X915" s="401" t="s">
        <v>492</v>
      </c>
      <c r="Y915" s="400"/>
      <c r="Z915" s="283"/>
    </row>
    <row r="916" spans="2:26" ht="19.5" customHeight="1">
      <c r="B916" s="29">
        <f t="shared" si="42"/>
        <v>906</v>
      </c>
      <c r="C916" s="30" t="s">
        <v>202</v>
      </c>
      <c r="D916" s="30" t="s">
        <v>359</v>
      </c>
      <c r="E916" s="234" t="s">
        <v>7152</v>
      </c>
      <c r="F916" s="235" t="s">
        <v>1345</v>
      </c>
      <c r="G916" s="284" t="str">
        <f>IFERROR(VLOOKUP(E916,Assign!$C$2:$J$142,8,FALSE),)</f>
        <v>문선영</v>
      </c>
      <c r="H916" s="279" t="s">
        <v>6668</v>
      </c>
      <c r="I916" s="280" t="s">
        <v>5973</v>
      </c>
      <c r="J916" s="281" t="s">
        <v>3736</v>
      </c>
      <c r="K916" s="282">
        <v>42517</v>
      </c>
      <c r="L916" s="282">
        <v>45746</v>
      </c>
      <c r="M916" s="282">
        <v>45728</v>
      </c>
      <c r="N916" s="371">
        <v>100000000</v>
      </c>
      <c r="O916" s="444" t="s">
        <v>3866</v>
      </c>
      <c r="P916" s="397">
        <v>94403132</v>
      </c>
      <c r="Q916" s="397">
        <v>94403132</v>
      </c>
      <c r="R916" s="397"/>
      <c r="S916" s="398">
        <f t="shared" si="43"/>
        <v>94403132</v>
      </c>
      <c r="T916" s="353"/>
      <c r="U916" s="353">
        <f t="shared" si="44"/>
        <v>94403132</v>
      </c>
      <c r="V916" s="399"/>
      <c r="W916" s="399"/>
      <c r="X916" s="401" t="s">
        <v>492</v>
      </c>
      <c r="Y916" s="400"/>
      <c r="Z916" s="283"/>
    </row>
    <row r="917" spans="2:26" ht="19.5" customHeight="1">
      <c r="B917" s="29">
        <f t="shared" si="42"/>
        <v>907</v>
      </c>
      <c r="C917" s="30" t="s">
        <v>202</v>
      </c>
      <c r="D917" s="30" t="s">
        <v>359</v>
      </c>
      <c r="E917" s="234" t="s">
        <v>7152</v>
      </c>
      <c r="F917" s="235" t="s">
        <v>1345</v>
      </c>
      <c r="G917" s="284" t="str">
        <f>IFERROR(VLOOKUP(E917,Assign!$C$2:$J$142,8,FALSE),)</f>
        <v>문선영</v>
      </c>
      <c r="H917" s="279" t="s">
        <v>6669</v>
      </c>
      <c r="I917" s="280" t="s">
        <v>5974</v>
      </c>
      <c r="J917" s="281" t="s">
        <v>3734</v>
      </c>
      <c r="K917" s="282">
        <v>43920</v>
      </c>
      <c r="L917" s="282">
        <v>45746</v>
      </c>
      <c r="M917" s="282">
        <v>45708</v>
      </c>
      <c r="N917" s="371">
        <v>90000000</v>
      </c>
      <c r="O917" s="444" t="s">
        <v>3866</v>
      </c>
      <c r="P917" s="397">
        <v>90000000</v>
      </c>
      <c r="Q917" s="397">
        <v>90000000</v>
      </c>
      <c r="R917" s="397"/>
      <c r="S917" s="398">
        <f t="shared" si="43"/>
        <v>90000000</v>
      </c>
      <c r="T917" s="353"/>
      <c r="U917" s="353">
        <f t="shared" si="44"/>
        <v>90000000</v>
      </c>
      <c r="V917" s="399"/>
      <c r="W917" s="399"/>
      <c r="X917" s="401" t="s">
        <v>492</v>
      </c>
      <c r="Y917" s="400"/>
      <c r="Z917" s="283"/>
    </row>
    <row r="918" spans="2:26" ht="19.5" customHeight="1">
      <c r="B918" s="29">
        <f t="shared" si="42"/>
        <v>908</v>
      </c>
      <c r="C918" s="30" t="s">
        <v>202</v>
      </c>
      <c r="D918" s="30" t="s">
        <v>359</v>
      </c>
      <c r="E918" s="234" t="s">
        <v>7152</v>
      </c>
      <c r="F918" s="235" t="s">
        <v>1345</v>
      </c>
      <c r="G918" s="284" t="str">
        <f>IFERROR(VLOOKUP(E918,Assign!$C$2:$J$142,8,FALSE),)</f>
        <v>문선영</v>
      </c>
      <c r="H918" s="279" t="s">
        <v>6670</v>
      </c>
      <c r="I918" s="280" t="s">
        <v>5975</v>
      </c>
      <c r="J918" s="281" t="s">
        <v>3734</v>
      </c>
      <c r="K918" s="282">
        <v>44102</v>
      </c>
      <c r="L918" s="282">
        <v>45912</v>
      </c>
      <c r="M918" s="282">
        <v>45708</v>
      </c>
      <c r="N918" s="371">
        <v>330000000</v>
      </c>
      <c r="O918" s="444" t="s">
        <v>3866</v>
      </c>
      <c r="P918" s="397">
        <v>330000000</v>
      </c>
      <c r="Q918" s="397">
        <v>330000000</v>
      </c>
      <c r="R918" s="397"/>
      <c r="S918" s="398">
        <f t="shared" si="43"/>
        <v>330000000</v>
      </c>
      <c r="T918" s="353"/>
      <c r="U918" s="353">
        <f t="shared" si="44"/>
        <v>330000000</v>
      </c>
      <c r="V918" s="399"/>
      <c r="W918" s="399"/>
      <c r="X918" s="401" t="s">
        <v>492</v>
      </c>
      <c r="Y918" s="400"/>
      <c r="Z918" s="283"/>
    </row>
    <row r="919" spans="2:26" ht="19.5" customHeight="1">
      <c r="B919" s="29">
        <f t="shared" si="42"/>
        <v>909</v>
      </c>
      <c r="C919" s="30" t="s">
        <v>202</v>
      </c>
      <c r="D919" s="30" t="s">
        <v>359</v>
      </c>
      <c r="E919" s="234" t="s">
        <v>7152</v>
      </c>
      <c r="F919" s="235" t="s">
        <v>1345</v>
      </c>
      <c r="G919" s="284" t="str">
        <f>IFERROR(VLOOKUP(E919,Assign!$C$2:$J$142,8,FALSE),)</f>
        <v>문선영</v>
      </c>
      <c r="H919" s="279" t="s">
        <v>6671</v>
      </c>
      <c r="I919" s="280" t="s">
        <v>5959</v>
      </c>
      <c r="J919" s="281" t="s">
        <v>3734</v>
      </c>
      <c r="K919" s="282">
        <v>44187</v>
      </c>
      <c r="L919" s="282">
        <v>46013</v>
      </c>
      <c r="M919" s="282">
        <v>45708</v>
      </c>
      <c r="N919" s="371">
        <v>200000000</v>
      </c>
      <c r="O919" s="444" t="s">
        <v>3866</v>
      </c>
      <c r="P919" s="397">
        <v>200000000</v>
      </c>
      <c r="Q919" s="397">
        <v>200000000</v>
      </c>
      <c r="R919" s="397"/>
      <c r="S919" s="398">
        <f t="shared" si="43"/>
        <v>200000000</v>
      </c>
      <c r="T919" s="353"/>
      <c r="U919" s="353">
        <f t="shared" si="44"/>
        <v>200000000</v>
      </c>
      <c r="V919" s="399"/>
      <c r="W919" s="399"/>
      <c r="X919" s="401" t="s">
        <v>492</v>
      </c>
      <c r="Y919" s="400"/>
      <c r="Z919" s="283"/>
    </row>
    <row r="920" spans="2:26" ht="19.5" customHeight="1">
      <c r="B920" s="29">
        <f t="shared" si="42"/>
        <v>910</v>
      </c>
      <c r="C920" s="30" t="s">
        <v>202</v>
      </c>
      <c r="D920" s="30" t="s">
        <v>359</v>
      </c>
      <c r="E920" s="234" t="s">
        <v>7152</v>
      </c>
      <c r="F920" s="235" t="s">
        <v>1345</v>
      </c>
      <c r="G920" s="284" t="str">
        <f>IFERROR(VLOOKUP(E920,Assign!$C$2:$J$142,8,FALSE),)</f>
        <v>문선영</v>
      </c>
      <c r="H920" s="279" t="s">
        <v>6672</v>
      </c>
      <c r="I920" s="280" t="s">
        <v>5825</v>
      </c>
      <c r="J920" s="281" t="s">
        <v>3734</v>
      </c>
      <c r="K920" s="282">
        <v>45205</v>
      </c>
      <c r="L920" s="282">
        <v>45936</v>
      </c>
      <c r="M920" s="282">
        <v>45708</v>
      </c>
      <c r="N920" s="371">
        <v>85000000</v>
      </c>
      <c r="O920" s="444" t="s">
        <v>3866</v>
      </c>
      <c r="P920" s="397">
        <v>84614716</v>
      </c>
      <c r="Q920" s="397">
        <v>84614716</v>
      </c>
      <c r="R920" s="397"/>
      <c r="S920" s="398">
        <f t="shared" si="43"/>
        <v>84614716</v>
      </c>
      <c r="T920" s="353"/>
      <c r="U920" s="353">
        <f t="shared" si="44"/>
        <v>84614716</v>
      </c>
      <c r="V920" s="399"/>
      <c r="W920" s="399"/>
      <c r="X920" s="401" t="s">
        <v>492</v>
      </c>
      <c r="Y920" s="400"/>
      <c r="Z920" s="283"/>
    </row>
    <row r="921" spans="2:26" ht="19.5" customHeight="1">
      <c r="B921" s="29">
        <f t="shared" si="42"/>
        <v>911</v>
      </c>
      <c r="C921" s="30" t="s">
        <v>202</v>
      </c>
      <c r="D921" s="30" t="s">
        <v>359</v>
      </c>
      <c r="E921" s="234" t="s">
        <v>7152</v>
      </c>
      <c r="F921" s="235" t="s">
        <v>1345</v>
      </c>
      <c r="G921" s="284" t="str">
        <f>IFERROR(VLOOKUP(E921,Assign!$C$2:$J$142,8,FALSE),)</f>
        <v>문선영</v>
      </c>
      <c r="H921" s="279" t="s">
        <v>6673</v>
      </c>
      <c r="I921" s="280" t="s">
        <v>5976</v>
      </c>
      <c r="J921" s="281" t="s">
        <v>3788</v>
      </c>
      <c r="K921" s="282">
        <v>45341</v>
      </c>
      <c r="L921" s="282">
        <v>48992</v>
      </c>
      <c r="M921" s="282">
        <v>45708</v>
      </c>
      <c r="N921" s="371">
        <v>200000000</v>
      </c>
      <c r="O921" s="444" t="s">
        <v>3866</v>
      </c>
      <c r="P921" s="397">
        <v>200000000</v>
      </c>
      <c r="Q921" s="397">
        <v>200000000</v>
      </c>
      <c r="R921" s="397"/>
      <c r="S921" s="398">
        <f t="shared" si="43"/>
        <v>200000000</v>
      </c>
      <c r="T921" s="353"/>
      <c r="U921" s="353">
        <f t="shared" si="44"/>
        <v>200000000</v>
      </c>
      <c r="V921" s="399"/>
      <c r="W921" s="399"/>
      <c r="X921" s="401" t="s">
        <v>492</v>
      </c>
      <c r="Y921" s="400"/>
      <c r="Z921" s="283"/>
    </row>
    <row r="922" spans="2:26" ht="19.5" hidden="1" customHeight="1">
      <c r="B922" s="29">
        <f t="shared" si="42"/>
        <v>912</v>
      </c>
      <c r="C922" s="30" t="s">
        <v>202</v>
      </c>
      <c r="D922" s="30" t="s">
        <v>359</v>
      </c>
      <c r="E922" s="234" t="s">
        <v>7153</v>
      </c>
      <c r="F922" s="235" t="s">
        <v>1351</v>
      </c>
      <c r="G922" s="284">
        <f>IFERROR(VLOOKUP(E922,Assign!$C$2:$J$142,8,FALSE),)</f>
        <v>0</v>
      </c>
      <c r="H922" s="279" t="s">
        <v>6857</v>
      </c>
      <c r="I922" s="280" t="s">
        <v>6087</v>
      </c>
      <c r="J922" s="281" t="s">
        <v>3762</v>
      </c>
      <c r="K922" s="282">
        <v>44412</v>
      </c>
      <c r="L922" s="282">
        <v>45603</v>
      </c>
      <c r="M922" s="282">
        <v>45587</v>
      </c>
      <c r="N922" s="371">
        <v>170000000</v>
      </c>
      <c r="O922" s="444" t="s">
        <v>3866</v>
      </c>
      <c r="P922" s="397">
        <v>170000000</v>
      </c>
      <c r="Q922" s="397">
        <v>170000000</v>
      </c>
      <c r="R922" s="397"/>
      <c r="S922" s="398">
        <f t="shared" si="43"/>
        <v>170000000</v>
      </c>
      <c r="T922" s="353"/>
      <c r="U922" s="353">
        <f t="shared" si="44"/>
        <v>170000000</v>
      </c>
      <c r="V922" s="399"/>
      <c r="W922" s="399"/>
      <c r="X922" s="401" t="s">
        <v>492</v>
      </c>
      <c r="Y922" s="400"/>
      <c r="Z922" s="283"/>
    </row>
    <row r="923" spans="2:26" ht="19.5" hidden="1" customHeight="1">
      <c r="B923" s="29">
        <f t="shared" si="42"/>
        <v>913</v>
      </c>
      <c r="C923" s="30" t="s">
        <v>202</v>
      </c>
      <c r="D923" s="30" t="s">
        <v>359</v>
      </c>
      <c r="E923" s="234" t="s">
        <v>7153</v>
      </c>
      <c r="F923" s="235" t="s">
        <v>1351</v>
      </c>
      <c r="G923" s="284">
        <f>IFERROR(VLOOKUP(E923,Assign!$C$2:$J$142,8,FALSE),)</f>
        <v>0</v>
      </c>
      <c r="H923" s="279" t="s">
        <v>6858</v>
      </c>
      <c r="I923" s="280" t="s">
        <v>6088</v>
      </c>
      <c r="J923" s="281" t="s">
        <v>3762</v>
      </c>
      <c r="K923" s="282">
        <v>44530</v>
      </c>
      <c r="L923" s="282">
        <v>45603</v>
      </c>
      <c r="M923" s="282">
        <v>45582</v>
      </c>
      <c r="N923" s="371">
        <v>60000000</v>
      </c>
      <c r="O923" s="444" t="s">
        <v>3866</v>
      </c>
      <c r="P923" s="397">
        <v>60000000</v>
      </c>
      <c r="Q923" s="397">
        <v>60000000</v>
      </c>
      <c r="R923" s="397"/>
      <c r="S923" s="398">
        <f t="shared" si="43"/>
        <v>60000000</v>
      </c>
      <c r="T923" s="353"/>
      <c r="U923" s="353">
        <f t="shared" si="44"/>
        <v>60000000</v>
      </c>
      <c r="V923" s="399"/>
      <c r="W923" s="399"/>
      <c r="X923" s="401" t="s">
        <v>492</v>
      </c>
      <c r="Y923" s="400"/>
      <c r="Z923" s="283"/>
    </row>
    <row r="924" spans="2:26" ht="19.5" hidden="1" customHeight="1">
      <c r="B924" s="29">
        <f t="shared" si="42"/>
        <v>914</v>
      </c>
      <c r="C924" s="30" t="s">
        <v>202</v>
      </c>
      <c r="D924" s="30" t="s">
        <v>359</v>
      </c>
      <c r="E924" s="234" t="s">
        <v>7153</v>
      </c>
      <c r="F924" s="235" t="s">
        <v>1351</v>
      </c>
      <c r="G924" s="284">
        <f>IFERROR(VLOOKUP(E924,Assign!$C$2:$J$142,8,FALSE),)</f>
        <v>0</v>
      </c>
      <c r="H924" s="279" t="s">
        <v>6859</v>
      </c>
      <c r="I924" s="280" t="s">
        <v>5651</v>
      </c>
      <c r="J924" s="281" t="s">
        <v>3788</v>
      </c>
      <c r="K924" s="282">
        <v>45029</v>
      </c>
      <c r="L924" s="282">
        <v>48682</v>
      </c>
      <c r="M924" s="282">
        <v>45583</v>
      </c>
      <c r="N924" s="371">
        <v>200000000</v>
      </c>
      <c r="O924" s="444" t="s">
        <v>3866</v>
      </c>
      <c r="P924" s="397">
        <v>20000000</v>
      </c>
      <c r="Q924" s="397">
        <v>20000000</v>
      </c>
      <c r="R924" s="397"/>
      <c r="S924" s="398">
        <f t="shared" si="43"/>
        <v>20000000</v>
      </c>
      <c r="T924" s="353"/>
      <c r="U924" s="353">
        <f t="shared" si="44"/>
        <v>20000000</v>
      </c>
      <c r="V924" s="399"/>
      <c r="W924" s="399"/>
      <c r="X924" s="401" t="s">
        <v>492</v>
      </c>
      <c r="Y924" s="400"/>
      <c r="Z924" s="283"/>
    </row>
    <row r="925" spans="2:26" ht="19.5" hidden="1" customHeight="1">
      <c r="B925" s="29">
        <f t="shared" si="42"/>
        <v>915</v>
      </c>
      <c r="C925" s="30" t="s">
        <v>202</v>
      </c>
      <c r="D925" s="30" t="s">
        <v>359</v>
      </c>
      <c r="E925" s="234" t="s">
        <v>7153</v>
      </c>
      <c r="F925" s="235" t="s">
        <v>1351</v>
      </c>
      <c r="G925" s="284">
        <f>IFERROR(VLOOKUP(E925,Assign!$C$2:$J$142,8,FALSE),)</f>
        <v>0</v>
      </c>
      <c r="H925" s="279" t="s">
        <v>6860</v>
      </c>
      <c r="I925" s="280" t="s">
        <v>6089</v>
      </c>
      <c r="J925" s="281" t="s">
        <v>3745</v>
      </c>
      <c r="K925" s="282">
        <v>45233</v>
      </c>
      <c r="L925" s="282">
        <v>45599</v>
      </c>
      <c r="M925" s="282">
        <v>45583</v>
      </c>
      <c r="N925" s="371">
        <v>230000000</v>
      </c>
      <c r="O925" s="444" t="s">
        <v>3866</v>
      </c>
      <c r="P925" s="397">
        <v>220387851</v>
      </c>
      <c r="Q925" s="397">
        <v>220387851</v>
      </c>
      <c r="R925" s="397"/>
      <c r="S925" s="398">
        <f t="shared" si="43"/>
        <v>220387851</v>
      </c>
      <c r="T925" s="353"/>
      <c r="U925" s="353">
        <f t="shared" si="44"/>
        <v>220387851</v>
      </c>
      <c r="V925" s="399"/>
      <c r="W925" s="399"/>
      <c r="X925" s="401" t="s">
        <v>492</v>
      </c>
      <c r="Y925" s="400"/>
      <c r="Z925" s="283"/>
    </row>
    <row r="926" spans="2:26" ht="19.5" hidden="1" customHeight="1">
      <c r="B926" s="29">
        <f t="shared" si="42"/>
        <v>916</v>
      </c>
      <c r="C926" s="30" t="s">
        <v>202</v>
      </c>
      <c r="D926" s="30" t="s">
        <v>359</v>
      </c>
      <c r="E926" s="234" t="s">
        <v>7153</v>
      </c>
      <c r="F926" s="235" t="s">
        <v>1351</v>
      </c>
      <c r="G926" s="284">
        <f>IFERROR(VLOOKUP(E926,Assign!$C$2:$J$142,8,FALSE),)</f>
        <v>0</v>
      </c>
      <c r="H926" s="279" t="s">
        <v>6861</v>
      </c>
      <c r="I926" s="280" t="s">
        <v>6090</v>
      </c>
      <c r="J926" s="281" t="s">
        <v>3734</v>
      </c>
      <c r="K926" s="282">
        <v>45419</v>
      </c>
      <c r="L926" s="282">
        <v>45603</v>
      </c>
      <c r="M926" s="282">
        <v>45584</v>
      </c>
      <c r="N926" s="371">
        <v>53000000</v>
      </c>
      <c r="O926" s="444" t="s">
        <v>3866</v>
      </c>
      <c r="P926" s="397">
        <v>53000000</v>
      </c>
      <c r="Q926" s="397">
        <v>53000000</v>
      </c>
      <c r="R926" s="397"/>
      <c r="S926" s="398">
        <f t="shared" si="43"/>
        <v>53000000</v>
      </c>
      <c r="T926" s="353"/>
      <c r="U926" s="353">
        <f t="shared" si="44"/>
        <v>53000000</v>
      </c>
      <c r="V926" s="399"/>
      <c r="W926" s="399"/>
      <c r="X926" s="401" t="s">
        <v>492</v>
      </c>
      <c r="Y926" s="400"/>
      <c r="Z926" s="283"/>
    </row>
    <row r="927" spans="2:26" ht="19.5" hidden="1" customHeight="1">
      <c r="B927" s="29">
        <f t="shared" si="42"/>
        <v>917</v>
      </c>
      <c r="C927" s="30" t="s">
        <v>202</v>
      </c>
      <c r="D927" s="30" t="s">
        <v>359</v>
      </c>
      <c r="E927" s="234" t="s">
        <v>7154</v>
      </c>
      <c r="F927" s="235" t="s">
        <v>1355</v>
      </c>
      <c r="G927" s="284">
        <f>IFERROR(VLOOKUP(E927,Assign!$C$2:$J$142,8,FALSE),)</f>
        <v>0</v>
      </c>
      <c r="H927" s="279" t="s">
        <v>6818</v>
      </c>
      <c r="I927" s="280" t="s">
        <v>6061</v>
      </c>
      <c r="J927" s="281" t="s">
        <v>3734</v>
      </c>
      <c r="K927" s="282">
        <v>44337</v>
      </c>
      <c r="L927" s="282">
        <v>45798</v>
      </c>
      <c r="M927" s="282">
        <v>45650</v>
      </c>
      <c r="N927" s="371">
        <v>150000000</v>
      </c>
      <c r="O927" s="444" t="s">
        <v>3866</v>
      </c>
      <c r="P927" s="397">
        <v>150000000</v>
      </c>
      <c r="Q927" s="397">
        <v>150000000</v>
      </c>
      <c r="R927" s="397"/>
      <c r="S927" s="398">
        <f t="shared" si="43"/>
        <v>150000000</v>
      </c>
      <c r="T927" s="353"/>
      <c r="U927" s="353">
        <f t="shared" si="44"/>
        <v>150000000</v>
      </c>
      <c r="V927" s="399"/>
      <c r="W927" s="399"/>
      <c r="X927" s="401" t="s">
        <v>492</v>
      </c>
      <c r="Y927" s="400"/>
      <c r="Z927" s="283"/>
    </row>
    <row r="928" spans="2:26" ht="19.5" hidden="1" customHeight="1">
      <c r="B928" s="29">
        <f t="shared" si="42"/>
        <v>918</v>
      </c>
      <c r="C928" s="30" t="s">
        <v>202</v>
      </c>
      <c r="D928" s="30" t="s">
        <v>359</v>
      </c>
      <c r="E928" s="234" t="s">
        <v>7154</v>
      </c>
      <c r="F928" s="235" t="s">
        <v>1355</v>
      </c>
      <c r="G928" s="284">
        <f>IFERROR(VLOOKUP(E928,Assign!$C$2:$J$142,8,FALSE),)</f>
        <v>0</v>
      </c>
      <c r="H928" s="279" t="s">
        <v>6819</v>
      </c>
      <c r="I928" s="280" t="s">
        <v>6062</v>
      </c>
      <c r="J928" s="281" t="s">
        <v>3734</v>
      </c>
      <c r="K928" s="282">
        <v>45096</v>
      </c>
      <c r="L928" s="282">
        <v>45825</v>
      </c>
      <c r="M928" s="282">
        <v>45646</v>
      </c>
      <c r="N928" s="371">
        <v>80000000</v>
      </c>
      <c r="O928" s="444" t="s">
        <v>3866</v>
      </c>
      <c r="P928" s="397">
        <v>80000000</v>
      </c>
      <c r="Q928" s="397">
        <v>80000000</v>
      </c>
      <c r="R928" s="397"/>
      <c r="S928" s="398">
        <f t="shared" si="43"/>
        <v>80000000</v>
      </c>
      <c r="T928" s="353"/>
      <c r="U928" s="353">
        <f t="shared" si="44"/>
        <v>80000000</v>
      </c>
      <c r="V928" s="399"/>
      <c r="W928" s="399"/>
      <c r="X928" s="401" t="s">
        <v>492</v>
      </c>
      <c r="Y928" s="400"/>
      <c r="Z928" s="283"/>
    </row>
    <row r="929" spans="2:26" ht="19.5" hidden="1" customHeight="1">
      <c r="B929" s="29">
        <f t="shared" si="42"/>
        <v>919</v>
      </c>
      <c r="C929" s="30" t="s">
        <v>202</v>
      </c>
      <c r="D929" s="30" t="s">
        <v>359</v>
      </c>
      <c r="E929" s="234" t="s">
        <v>7154</v>
      </c>
      <c r="F929" s="235" t="s">
        <v>1355</v>
      </c>
      <c r="G929" s="284">
        <f>IFERROR(VLOOKUP(E929,Assign!$C$2:$J$142,8,FALSE),)</f>
        <v>0</v>
      </c>
      <c r="H929" s="279" t="s">
        <v>6820</v>
      </c>
      <c r="I929" s="280" t="s">
        <v>6063</v>
      </c>
      <c r="J929" s="281" t="s">
        <v>3734</v>
      </c>
      <c r="K929" s="282">
        <v>45096</v>
      </c>
      <c r="L929" s="282">
        <v>45825</v>
      </c>
      <c r="M929" s="282">
        <v>45646</v>
      </c>
      <c r="N929" s="371">
        <v>210000000</v>
      </c>
      <c r="O929" s="444" t="s">
        <v>3866</v>
      </c>
      <c r="P929" s="397">
        <v>210000000</v>
      </c>
      <c r="Q929" s="397">
        <v>210000000</v>
      </c>
      <c r="R929" s="397"/>
      <c r="S929" s="398">
        <f t="shared" si="43"/>
        <v>210000000</v>
      </c>
      <c r="T929" s="353"/>
      <c r="U929" s="353">
        <f t="shared" si="44"/>
        <v>210000000</v>
      </c>
      <c r="V929" s="399"/>
      <c r="W929" s="399"/>
      <c r="X929" s="401" t="s">
        <v>492</v>
      </c>
      <c r="Y929" s="400"/>
      <c r="Z929" s="283"/>
    </row>
    <row r="930" spans="2:26" ht="19.5" hidden="1" customHeight="1">
      <c r="B930" s="29">
        <f t="shared" si="42"/>
        <v>920</v>
      </c>
      <c r="C930" s="30" t="s">
        <v>201</v>
      </c>
      <c r="D930" s="30" t="s">
        <v>225</v>
      </c>
      <c r="E930" s="234" t="s">
        <v>1214</v>
      </c>
      <c r="F930" s="235" t="s">
        <v>1366</v>
      </c>
      <c r="G930" s="284">
        <f>IFERROR(VLOOKUP(E930,Assign!$C$2:$J$142,8,FALSE),)</f>
        <v>0</v>
      </c>
      <c r="H930" s="279" t="s">
        <v>7039</v>
      </c>
      <c r="I930" s="280" t="s">
        <v>6178</v>
      </c>
      <c r="J930" s="281" t="s">
        <v>3822</v>
      </c>
      <c r="K930" s="282">
        <v>44180</v>
      </c>
      <c r="L930" s="282">
        <v>45275</v>
      </c>
      <c r="M930" s="282">
        <v>45276</v>
      </c>
      <c r="N930" s="371">
        <v>19600000000</v>
      </c>
      <c r="O930" s="444" t="s">
        <v>3866</v>
      </c>
      <c r="P930" s="397">
        <v>18522000000</v>
      </c>
      <c r="Q930" s="397">
        <v>18522000000</v>
      </c>
      <c r="R930" s="397"/>
      <c r="S930" s="398">
        <f t="shared" si="43"/>
        <v>18522000000</v>
      </c>
      <c r="T930" s="353"/>
      <c r="U930" s="353">
        <f t="shared" si="44"/>
        <v>18522000000</v>
      </c>
      <c r="V930" s="399"/>
      <c r="W930" s="399"/>
      <c r="X930" s="401" t="s">
        <v>492</v>
      </c>
      <c r="Y930" s="400"/>
      <c r="Z930" s="283"/>
    </row>
    <row r="931" spans="2:26" ht="19.5" hidden="1" customHeight="1">
      <c r="B931" s="29">
        <f t="shared" si="42"/>
        <v>921</v>
      </c>
      <c r="C931" s="30" t="s">
        <v>541</v>
      </c>
      <c r="D931" s="30" t="s">
        <v>225</v>
      </c>
      <c r="E931" s="234" t="s">
        <v>1215</v>
      </c>
      <c r="F931" s="235" t="s">
        <v>1293</v>
      </c>
      <c r="G931" s="284">
        <f>IFERROR(VLOOKUP(E931,Assign!$C$2:$J$142,8,FALSE),)</f>
        <v>0</v>
      </c>
      <c r="H931" s="279" t="s">
        <v>6222</v>
      </c>
      <c r="I931" s="280" t="s">
        <v>5601</v>
      </c>
      <c r="J931" s="281" t="s">
        <v>3733</v>
      </c>
      <c r="K931" s="282">
        <v>43768</v>
      </c>
      <c r="L931" s="282">
        <v>45595</v>
      </c>
      <c r="M931" s="282">
        <v>45596</v>
      </c>
      <c r="N931" s="371">
        <v>12700000000</v>
      </c>
      <c r="O931" s="444" t="s">
        <v>3866</v>
      </c>
      <c r="P931" s="397">
        <v>12698158323</v>
      </c>
      <c r="Q931" s="397">
        <v>12698158323</v>
      </c>
      <c r="R931" s="397"/>
      <c r="S931" s="398">
        <f t="shared" si="43"/>
        <v>12698158323</v>
      </c>
      <c r="T931" s="353"/>
      <c r="U931" s="353">
        <f t="shared" si="44"/>
        <v>12698158323</v>
      </c>
      <c r="V931" s="399"/>
      <c r="W931" s="399"/>
      <c r="X931" s="401" t="s">
        <v>492</v>
      </c>
      <c r="Y931" s="400"/>
      <c r="Z931" s="283"/>
    </row>
    <row r="932" spans="2:26" ht="19.5" hidden="1" customHeight="1">
      <c r="B932" s="29">
        <f t="shared" si="42"/>
        <v>922</v>
      </c>
      <c r="C932" s="30" t="s">
        <v>635</v>
      </c>
      <c r="D932" s="30" t="s">
        <v>225</v>
      </c>
      <c r="E932" s="234" t="s">
        <v>1216</v>
      </c>
      <c r="F932" s="235" t="s">
        <v>1243</v>
      </c>
      <c r="G932" s="284">
        <f>IFERROR(VLOOKUP(E932,Assign!$C$2:$J$142,8,FALSE),)</f>
        <v>0</v>
      </c>
      <c r="H932" s="279" t="s">
        <v>7069</v>
      </c>
      <c r="I932" s="280" t="s">
        <v>6067</v>
      </c>
      <c r="J932" s="281" t="s">
        <v>3733</v>
      </c>
      <c r="K932" s="282">
        <v>44370</v>
      </c>
      <c r="L932" s="282">
        <v>45795</v>
      </c>
      <c r="M932" s="282"/>
      <c r="N932" s="371">
        <v>9000000000</v>
      </c>
      <c r="O932" s="444" t="s">
        <v>3866</v>
      </c>
      <c r="P932" s="397">
        <v>9000000000</v>
      </c>
      <c r="Q932" s="397">
        <v>9000000000</v>
      </c>
      <c r="R932" s="397"/>
      <c r="S932" s="398">
        <f t="shared" si="43"/>
        <v>9000000000</v>
      </c>
      <c r="T932" s="353"/>
      <c r="U932" s="353">
        <f t="shared" si="44"/>
        <v>9000000000</v>
      </c>
      <c r="V932" s="399"/>
      <c r="W932" s="399"/>
      <c r="X932" s="401" t="s">
        <v>492</v>
      </c>
      <c r="Y932" s="400"/>
      <c r="Z932" s="283"/>
    </row>
    <row r="933" spans="2:26" ht="19.5" hidden="1" customHeight="1">
      <c r="B933" s="29">
        <f t="shared" si="42"/>
        <v>923</v>
      </c>
      <c r="C933" s="30" t="s">
        <v>635</v>
      </c>
      <c r="D933" s="30" t="s">
        <v>225</v>
      </c>
      <c r="E933" s="234" t="s">
        <v>1216</v>
      </c>
      <c r="F933" s="235" t="s">
        <v>1243</v>
      </c>
      <c r="G933" s="284">
        <f>IFERROR(VLOOKUP(E933,Assign!$C$2:$J$142,8,FALSE),)</f>
        <v>0</v>
      </c>
      <c r="H933" s="279" t="s">
        <v>7070</v>
      </c>
      <c r="I933" s="280" t="s">
        <v>5808</v>
      </c>
      <c r="J933" s="281" t="s">
        <v>3733</v>
      </c>
      <c r="K933" s="282">
        <v>44490</v>
      </c>
      <c r="L933" s="282">
        <v>45795</v>
      </c>
      <c r="M933" s="282"/>
      <c r="N933" s="371">
        <v>5000000000</v>
      </c>
      <c r="O933" s="444" t="s">
        <v>3866</v>
      </c>
      <c r="P933" s="397">
        <v>5000000000</v>
      </c>
      <c r="Q933" s="397">
        <v>5000000000</v>
      </c>
      <c r="R933" s="397"/>
      <c r="S933" s="398">
        <f t="shared" si="43"/>
        <v>5000000000</v>
      </c>
      <c r="T933" s="353"/>
      <c r="U933" s="353">
        <f t="shared" si="44"/>
        <v>5000000000</v>
      </c>
      <c r="V933" s="399"/>
      <c r="W933" s="399"/>
      <c r="X933" s="401" t="s">
        <v>492</v>
      </c>
      <c r="Y933" s="400"/>
      <c r="Z933" s="283"/>
    </row>
    <row r="934" spans="2:26" ht="19.5" hidden="1" customHeight="1" thickBot="1">
      <c r="B934" s="29">
        <f t="shared" si="42"/>
        <v>924</v>
      </c>
      <c r="C934" s="30" t="s">
        <v>635</v>
      </c>
      <c r="D934" s="30" t="s">
        <v>225</v>
      </c>
      <c r="E934" s="234" t="s">
        <v>1216</v>
      </c>
      <c r="F934" s="235" t="s">
        <v>1243</v>
      </c>
      <c r="G934" s="284">
        <f>IFERROR(VLOOKUP(E934,Assign!$C$2:$J$142,8,FALSE),)</f>
        <v>0</v>
      </c>
      <c r="H934" s="279" t="s">
        <v>7071</v>
      </c>
      <c r="I934" s="280" t="s">
        <v>6193</v>
      </c>
      <c r="J934" s="281" t="s">
        <v>3754</v>
      </c>
      <c r="K934" s="282">
        <v>44582</v>
      </c>
      <c r="L934" s="282">
        <v>45795</v>
      </c>
      <c r="M934" s="282"/>
      <c r="N934" s="371">
        <v>4438000000</v>
      </c>
      <c r="O934" s="444" t="s">
        <v>3866</v>
      </c>
      <c r="P934" s="397">
        <v>4438000000</v>
      </c>
      <c r="Q934" s="397">
        <v>4438000000</v>
      </c>
      <c r="R934" s="397"/>
      <c r="S934" s="398">
        <f t="shared" si="43"/>
        <v>4438000000</v>
      </c>
      <c r="T934" s="353"/>
      <c r="U934" s="353">
        <f t="shared" si="44"/>
        <v>4438000000</v>
      </c>
      <c r="V934" s="399"/>
      <c r="W934" s="399"/>
      <c r="X934" s="401" t="s">
        <v>492</v>
      </c>
      <c r="Y934" s="400"/>
      <c r="Z934" s="283"/>
    </row>
    <row r="935" spans="2:26" ht="19.5" hidden="1" customHeight="1" thickBot="1">
      <c r="B935" s="53"/>
      <c r="C935" s="32"/>
      <c r="D935" s="32"/>
      <c r="E935" s="32"/>
      <c r="F935" s="33"/>
      <c r="G935" s="33"/>
      <c r="H935" s="54"/>
      <c r="I935" s="54"/>
      <c r="J935" s="32"/>
      <c r="K935" s="55"/>
      <c r="L935" s="32"/>
      <c r="M935" s="32"/>
      <c r="N935" s="56"/>
      <c r="O935" s="32"/>
      <c r="P935" s="316">
        <f t="shared" ref="P935:U935" si="45">SUM(P11:P934)</f>
        <v>332916281217</v>
      </c>
      <c r="Q935" s="316">
        <f t="shared" si="45"/>
        <v>341454281828.31</v>
      </c>
      <c r="R935" s="316">
        <f t="shared" si="45"/>
        <v>0</v>
      </c>
      <c r="S935" s="316">
        <f t="shared" si="45"/>
        <v>341454281828.31</v>
      </c>
      <c r="T935" s="316">
        <f t="shared" si="45"/>
        <v>0</v>
      </c>
      <c r="U935" s="316">
        <f t="shared" si="45"/>
        <v>341454281828.31</v>
      </c>
      <c r="V935" s="57"/>
      <c r="W935" s="57"/>
      <c r="X935" s="56"/>
      <c r="Y935" s="56"/>
      <c r="Z935" s="58"/>
    </row>
    <row r="936" spans="2:26">
      <c r="P936" s="319"/>
      <c r="Q936" s="319"/>
      <c r="R936" s="185"/>
      <c r="S936" s="185"/>
      <c r="Z936"/>
    </row>
    <row r="937" spans="2:26" customFormat="1">
      <c r="F937" s="102"/>
      <c r="G937" s="102"/>
      <c r="H937" s="164"/>
      <c r="I937" s="164"/>
      <c r="K937" s="178"/>
      <c r="N937" s="20"/>
      <c r="O937" s="20"/>
      <c r="P937" s="20"/>
      <c r="Q937" s="20"/>
      <c r="R937" s="20"/>
      <c r="S937" s="20"/>
      <c r="T937" s="20"/>
      <c r="U937" s="20"/>
      <c r="V937" s="177"/>
      <c r="W937" s="177"/>
      <c r="X937" s="180"/>
      <c r="Y937" s="180"/>
    </row>
    <row r="938" spans="2:26" customFormat="1">
      <c r="F938" s="102"/>
      <c r="G938" s="102"/>
      <c r="H938" s="164"/>
      <c r="I938" s="164"/>
      <c r="K938" s="178"/>
      <c r="N938" s="20"/>
      <c r="O938" s="20"/>
      <c r="P938" s="186"/>
      <c r="Q938" s="20"/>
      <c r="R938" s="20"/>
      <c r="S938" s="20"/>
      <c r="T938" s="20"/>
      <c r="U938" s="20"/>
      <c r="V938" s="177"/>
      <c r="W938" s="177"/>
    </row>
    <row r="939" spans="2:26" customFormat="1">
      <c r="F939" s="102"/>
      <c r="G939" s="102"/>
      <c r="H939" s="164"/>
      <c r="I939" s="164"/>
      <c r="K939" s="178"/>
      <c r="N939" s="191"/>
      <c r="O939" s="20"/>
      <c r="P939" s="20"/>
      <c r="Q939" s="20"/>
      <c r="R939" s="20"/>
      <c r="S939" s="20"/>
      <c r="T939" s="20"/>
      <c r="U939" s="20"/>
      <c r="V939" s="177"/>
      <c r="W939" s="177"/>
    </row>
    <row r="940" spans="2:26" customFormat="1">
      <c r="E940" s="385"/>
      <c r="F940" s="102"/>
      <c r="G940" s="102"/>
      <c r="H940" s="164"/>
      <c r="I940" s="164"/>
      <c r="K940" s="178"/>
      <c r="N940" s="192"/>
      <c r="O940" s="20"/>
      <c r="P940" s="389"/>
      <c r="Q940" s="20"/>
      <c r="R940" s="20"/>
      <c r="S940" s="20"/>
      <c r="T940" s="20"/>
      <c r="U940" s="20"/>
      <c r="V940" s="177"/>
      <c r="W940" s="177"/>
    </row>
    <row r="941" spans="2:26" customFormat="1">
      <c r="F941" s="102"/>
      <c r="G941" s="102"/>
      <c r="H941" s="164"/>
      <c r="I941" s="164"/>
      <c r="K941" s="178"/>
      <c r="N941" s="191"/>
      <c r="O941" s="20"/>
      <c r="P941" s="20"/>
      <c r="Q941" s="20"/>
      <c r="R941" s="20"/>
      <c r="S941" s="20"/>
      <c r="T941" s="20"/>
      <c r="U941" s="20"/>
      <c r="V941" s="177"/>
      <c r="W941" s="177"/>
    </row>
    <row r="942" spans="2:26" customFormat="1">
      <c r="F942" s="102"/>
      <c r="G942" s="102"/>
      <c r="H942" s="164"/>
      <c r="I942" s="164"/>
      <c r="K942" s="178"/>
      <c r="N942" s="191"/>
      <c r="V942" s="177"/>
      <c r="W942" s="177"/>
    </row>
    <row r="943" spans="2:26" customFormat="1">
      <c r="F943" s="102"/>
      <c r="G943" s="102"/>
      <c r="H943" s="164"/>
      <c r="I943" s="164"/>
      <c r="K943" s="178"/>
      <c r="N943" s="20"/>
      <c r="V943" s="177"/>
      <c r="W943" s="177"/>
    </row>
    <row r="944" spans="2:26" customFormat="1">
      <c r="F944" s="102"/>
      <c r="G944" s="102"/>
      <c r="H944" s="164"/>
      <c r="I944" s="164"/>
      <c r="K944" s="178"/>
      <c r="N944" s="191"/>
      <c r="V944" s="177"/>
      <c r="W944" s="177"/>
    </row>
    <row r="945" spans="9:10">
      <c r="J945" s="185"/>
    </row>
    <row r="946" spans="9:10">
      <c r="I946" s="59" t="s">
        <v>48</v>
      </c>
      <c r="J946" s="191"/>
    </row>
    <row r="947" spans="9:10">
      <c r="J947" s="191"/>
    </row>
  </sheetData>
  <autoFilter ref="A10:Z935">
    <filterColumn colId="4">
      <filters>
        <filter val="S-1011"/>
      </filters>
    </filterColumn>
    <filterColumn colId="6">
      <filters>
        <filter val="문선영"/>
      </filters>
    </filterColumn>
  </autoFilter>
  <phoneticPr fontId="5" type="noConversion"/>
  <pageMargins left="0.7" right="0.7" top="0.75" bottom="0.75" header="0.3" footer="0.3"/>
  <pageSetup paperSize="9" orientation="portrait" horizontalDpi="4294967292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 filterMode="1">
    <pageSetUpPr autoPageBreaks="0"/>
  </sheetPr>
  <dimension ref="A1:BZ668"/>
  <sheetViews>
    <sheetView showGridLines="0" topLeftCell="C1" zoomScale="70" zoomScaleNormal="70" workbookViewId="0">
      <selection activeCell="E482" sqref="E482"/>
    </sheetView>
  </sheetViews>
  <sheetFormatPr defaultColWidth="9" defaultRowHeight="17"/>
  <cols>
    <col min="1" max="1" width="1.58203125" customWidth="1"/>
    <col min="2" max="4" width="7.58203125" customWidth="1"/>
    <col min="5" max="5" width="12.08203125" bestFit="1" customWidth="1"/>
    <col min="6" max="7" width="25.58203125" style="102" customWidth="1"/>
    <col min="8" max="9" width="10.6640625" customWidth="1"/>
    <col min="10" max="12" width="13.58203125" customWidth="1"/>
    <col min="13" max="13" width="41.58203125" customWidth="1"/>
    <col min="14" max="18" width="12.1640625" customWidth="1"/>
    <col min="19" max="20" width="13.6640625" customWidth="1"/>
    <col min="21" max="21" width="10.5" customWidth="1"/>
    <col min="22" max="23" width="15.6640625" customWidth="1"/>
    <col min="24" max="25" width="13.6640625" customWidth="1"/>
    <col min="26" max="26" width="10.5" customWidth="1"/>
    <col min="27" max="28" width="15.6640625" customWidth="1"/>
    <col min="29" max="29" width="13.6640625" customWidth="1"/>
    <col min="30" max="30" width="10.5" customWidth="1"/>
    <col min="31" max="32" width="15.6640625" customWidth="1"/>
    <col min="33" max="34" width="13.6640625" customWidth="1"/>
    <col min="35" max="35" width="10.5" customWidth="1"/>
    <col min="36" max="37" width="15.6640625" customWidth="1"/>
    <col min="38" max="38" width="13.6640625" customWidth="1"/>
    <col min="39" max="39" width="10.5" customWidth="1"/>
    <col min="40" max="40" width="15.6640625" style="181" customWidth="1"/>
    <col min="41" max="41" width="27.1640625" customWidth="1"/>
    <col min="42" max="48" width="15.58203125" customWidth="1"/>
    <col min="49" max="50" width="19.1640625" customWidth="1"/>
    <col min="51" max="51" width="26.5" customWidth="1"/>
    <col min="52" max="56" width="15.58203125" customWidth="1"/>
    <col min="57" max="57" width="8.1640625" customWidth="1"/>
    <col min="58" max="58" width="19.4140625" customWidth="1"/>
    <col min="59" max="59" width="24.08203125" style="210" customWidth="1"/>
    <col min="60" max="60" width="11.58203125" customWidth="1"/>
    <col min="61" max="61" width="14.6640625" customWidth="1"/>
    <col min="62" max="62" width="13.4140625" customWidth="1"/>
    <col min="63" max="63" width="14.6640625" style="102" customWidth="1"/>
    <col min="64" max="64" width="24.08203125" style="90" customWidth="1"/>
    <col min="65" max="69" width="15.58203125" customWidth="1"/>
    <col min="70" max="70" width="13.9140625" customWidth="1"/>
    <col min="71" max="71" width="12.1640625" customWidth="1"/>
    <col min="72" max="77" width="15.58203125" customWidth="1"/>
    <col min="78" max="78" width="40.6640625" style="102" customWidth="1"/>
  </cols>
  <sheetData>
    <row r="1" spans="1:78" s="64" customFormat="1" ht="15" customHeight="1">
      <c r="A1" s="63"/>
      <c r="F1" s="65"/>
      <c r="G1" s="65"/>
      <c r="Y1" s="65"/>
      <c r="Z1" s="65"/>
      <c r="AA1" s="65"/>
      <c r="AG1" s="65"/>
      <c r="AH1" s="65"/>
      <c r="AI1" s="65"/>
      <c r="AN1" s="223"/>
      <c r="AW1" s="171"/>
      <c r="AX1" s="223"/>
      <c r="AY1" s="171"/>
      <c r="AZ1" s="223"/>
      <c r="BA1" s="223"/>
      <c r="BB1" s="223"/>
      <c r="BC1" s="223"/>
      <c r="BD1" s="223"/>
      <c r="BG1" s="205"/>
      <c r="BH1" s="67"/>
      <c r="BJ1" s="67"/>
      <c r="BK1" s="65"/>
      <c r="BR1" s="67"/>
      <c r="BS1" s="68"/>
      <c r="BU1" s="67"/>
      <c r="BW1" s="66"/>
      <c r="BZ1" s="65"/>
    </row>
    <row r="2" spans="1:78" s="64" customFormat="1" ht="28.25" customHeight="1">
      <c r="A2" s="5" t="str">
        <f>Description!A2</f>
        <v>SHB 2025-8 Program</v>
      </c>
      <c r="F2" s="65"/>
      <c r="G2" s="65"/>
      <c r="Y2" s="65"/>
      <c r="Z2" s="65"/>
      <c r="AA2" s="65"/>
      <c r="AG2" s="65"/>
      <c r="AH2" s="65"/>
      <c r="AI2" s="65"/>
      <c r="AN2" s="223"/>
      <c r="AP2" s="70"/>
      <c r="AQ2" s="70"/>
      <c r="AR2" s="70"/>
      <c r="AS2" s="70"/>
      <c r="AT2" s="70"/>
      <c r="AU2" s="70"/>
      <c r="AV2" s="71"/>
      <c r="AW2" s="171"/>
      <c r="AX2" s="171"/>
      <c r="AY2" s="72"/>
      <c r="AZ2" s="4"/>
      <c r="BA2" s="4"/>
      <c r="BB2" s="4"/>
      <c r="BC2" s="4"/>
      <c r="BD2" s="4"/>
      <c r="BG2" s="205"/>
      <c r="BH2" s="67"/>
      <c r="BJ2" s="67"/>
      <c r="BK2" s="65"/>
      <c r="BR2" s="67"/>
      <c r="BS2" s="68"/>
      <c r="BU2" s="67"/>
      <c r="BW2" s="66"/>
      <c r="BZ2" s="65"/>
    </row>
    <row r="3" spans="1:78" s="64" customFormat="1" ht="8" customHeight="1">
      <c r="F3" s="65"/>
      <c r="G3" s="65"/>
      <c r="Y3" s="65"/>
      <c r="Z3" s="65"/>
      <c r="AA3" s="65"/>
      <c r="AG3" s="65"/>
      <c r="AH3" s="65"/>
      <c r="AI3" s="65"/>
      <c r="AN3" s="223"/>
      <c r="AP3" s="70"/>
      <c r="AQ3" s="70"/>
      <c r="AR3" s="70"/>
      <c r="AS3" s="70"/>
      <c r="AT3" s="70"/>
      <c r="AU3" s="70"/>
      <c r="AV3" s="70"/>
      <c r="AW3" s="171"/>
      <c r="AX3" s="171"/>
      <c r="AY3" s="65"/>
      <c r="AZ3" s="224"/>
      <c r="BA3" s="224"/>
      <c r="BB3" s="224"/>
      <c r="BC3" s="224"/>
      <c r="BD3" s="224"/>
      <c r="BG3" s="205"/>
      <c r="BH3" s="67"/>
      <c r="BJ3" s="67"/>
      <c r="BK3" s="65"/>
      <c r="BR3" s="67"/>
      <c r="BS3" s="68"/>
      <c r="BU3" s="67"/>
      <c r="BW3" s="66"/>
      <c r="BZ3" s="65"/>
    </row>
    <row r="4" spans="1:78" s="2" customFormat="1" ht="25.25" customHeight="1">
      <c r="A4" s="8" t="s">
        <v>4</v>
      </c>
      <c r="B4" s="9"/>
      <c r="C4" s="9"/>
      <c r="D4" s="9"/>
      <c r="E4" s="9"/>
      <c r="F4" s="342"/>
      <c r="G4" s="342"/>
      <c r="J4" s="64"/>
      <c r="K4" s="64"/>
      <c r="L4" s="64"/>
      <c r="M4" s="343"/>
      <c r="O4" s="340"/>
      <c r="V4" s="64"/>
      <c r="W4" s="64"/>
      <c r="Y4" s="3"/>
      <c r="Z4" s="3"/>
      <c r="AA4" s="3"/>
      <c r="AN4" s="340"/>
      <c r="AP4" s="125"/>
      <c r="AQ4" s="125"/>
      <c r="AR4" s="125"/>
      <c r="AS4" s="125"/>
      <c r="AT4" s="125"/>
      <c r="AU4" s="125"/>
      <c r="AV4" s="125"/>
      <c r="AW4" s="171"/>
      <c r="AX4" s="171"/>
      <c r="AY4" s="231"/>
      <c r="AZ4" s="4"/>
      <c r="BA4" s="4"/>
      <c r="BB4" s="4"/>
      <c r="BC4" s="4"/>
      <c r="BD4" s="344"/>
      <c r="BG4" s="340"/>
      <c r="BH4" s="38"/>
      <c r="BJ4" s="38"/>
      <c r="BK4" s="3"/>
      <c r="BS4" s="39"/>
      <c r="BW4" s="4"/>
      <c r="BZ4" s="345"/>
    </row>
    <row r="5" spans="1:78" s="64" customFormat="1" ht="5" customHeight="1">
      <c r="A5" s="73"/>
      <c r="B5" s="74"/>
      <c r="C5" s="74"/>
      <c r="D5" s="74"/>
      <c r="E5" s="74"/>
      <c r="F5" s="75"/>
      <c r="G5" s="75"/>
      <c r="Y5" s="65"/>
      <c r="Z5" s="65"/>
      <c r="AA5" s="65"/>
      <c r="AG5" s="65"/>
      <c r="AH5" s="65"/>
      <c r="AI5" s="65"/>
      <c r="AN5" s="337"/>
      <c r="AV5" s="76"/>
      <c r="AW5" s="171"/>
      <c r="AX5" s="171"/>
      <c r="AY5" s="65"/>
      <c r="AZ5" s="4"/>
      <c r="BA5" s="4"/>
      <c r="BB5" s="4"/>
      <c r="BC5" s="4"/>
      <c r="BD5" s="4"/>
      <c r="BG5" s="338"/>
      <c r="BH5" s="67"/>
      <c r="BJ5" s="67"/>
      <c r="BK5" s="346"/>
      <c r="BP5" s="76"/>
      <c r="BQ5" s="76"/>
      <c r="BR5" s="67"/>
      <c r="BS5" s="68"/>
      <c r="BU5" s="67"/>
      <c r="BW5" s="66"/>
      <c r="BY5" s="76"/>
      <c r="BZ5" s="65"/>
    </row>
    <row r="6" spans="1:78" s="77" customFormat="1" ht="18" customHeight="1">
      <c r="A6" s="73" t="s">
        <v>49</v>
      </c>
      <c r="B6" s="325"/>
      <c r="C6" s="325"/>
      <c r="D6" s="325"/>
      <c r="F6" s="326"/>
      <c r="G6" s="326"/>
      <c r="H6" s="65"/>
      <c r="I6" s="65"/>
      <c r="J6" s="65"/>
      <c r="K6" s="65"/>
      <c r="L6" s="65"/>
      <c r="M6" s="65"/>
      <c r="N6" s="65"/>
      <c r="O6" s="65"/>
      <c r="P6" s="65"/>
      <c r="Q6" s="327"/>
      <c r="R6" s="327"/>
      <c r="S6" s="65"/>
      <c r="T6" s="65"/>
      <c r="U6" s="65"/>
      <c r="V6" s="328"/>
      <c r="W6" s="328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  <c r="AT6" s="329"/>
      <c r="AU6" s="329"/>
      <c r="AV6" s="329"/>
      <c r="AW6" s="330"/>
      <c r="AX6" s="330"/>
      <c r="AZ6" s="331"/>
      <c r="BA6" s="331"/>
      <c r="BB6" s="331"/>
      <c r="BC6" s="331"/>
      <c r="BD6" s="331"/>
      <c r="BG6" s="333"/>
      <c r="BK6" s="334"/>
      <c r="BP6" s="329"/>
      <c r="BQ6" s="329"/>
      <c r="BW6" s="335"/>
      <c r="BY6" s="329"/>
      <c r="BZ6" s="336" t="s">
        <v>50</v>
      </c>
    </row>
    <row r="7" spans="1:78" s="64" customFormat="1" ht="8" customHeight="1" thickBot="1">
      <c r="F7" s="65"/>
      <c r="G7" s="65"/>
      <c r="Y7" s="65"/>
      <c r="Z7" s="65"/>
      <c r="AA7" s="65"/>
      <c r="AG7" s="65"/>
      <c r="AH7" s="65"/>
      <c r="AI7" s="65"/>
      <c r="AN7" s="337"/>
      <c r="AW7" s="171"/>
      <c r="AX7" s="171"/>
      <c r="AY7" s="65"/>
      <c r="AZ7" s="171"/>
      <c r="BA7" s="171"/>
      <c r="BB7" s="171"/>
      <c r="BC7" s="171"/>
      <c r="BD7" s="171"/>
      <c r="BG7" s="338"/>
      <c r="BH7" s="67"/>
      <c r="BJ7" s="67"/>
      <c r="BK7" s="65"/>
      <c r="BR7" s="67"/>
      <c r="BS7" s="68"/>
      <c r="BU7" s="67"/>
      <c r="BW7" s="66"/>
      <c r="BZ7" s="65"/>
    </row>
    <row r="8" spans="1:78" s="78" customFormat="1" ht="18" customHeight="1">
      <c r="B8" s="81" t="s">
        <v>116</v>
      </c>
      <c r="C8" s="79"/>
      <c r="D8" s="79"/>
      <c r="E8" s="83"/>
      <c r="F8" s="128"/>
      <c r="G8" s="83"/>
      <c r="H8" s="79" t="s">
        <v>169</v>
      </c>
      <c r="I8" s="79"/>
      <c r="J8" s="79"/>
      <c r="K8" s="79"/>
      <c r="L8" s="79"/>
      <c r="M8" s="79"/>
      <c r="N8" s="79"/>
      <c r="O8" s="79"/>
      <c r="P8" s="79"/>
      <c r="Q8" s="80"/>
      <c r="R8" s="79"/>
      <c r="S8" s="81" t="s">
        <v>170</v>
      </c>
      <c r="T8" s="79"/>
      <c r="U8" s="79"/>
      <c r="V8" s="79"/>
      <c r="W8" s="79"/>
      <c r="X8" s="79"/>
      <c r="Y8" s="79"/>
      <c r="Z8" s="79"/>
      <c r="AA8" s="79"/>
      <c r="AB8" s="80"/>
      <c r="AC8" s="82" t="s">
        <v>51</v>
      </c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233"/>
      <c r="AO8" s="79"/>
      <c r="AP8" s="79"/>
      <c r="AQ8" s="79"/>
      <c r="AR8" s="79"/>
      <c r="AS8" s="79"/>
      <c r="AT8" s="79"/>
      <c r="AU8" s="79"/>
      <c r="AV8" s="80"/>
      <c r="AW8" s="318" t="s">
        <v>52</v>
      </c>
      <c r="AX8" s="221"/>
      <c r="AY8" s="84"/>
      <c r="AZ8" s="225"/>
      <c r="BA8" s="226"/>
      <c r="BB8" s="227"/>
      <c r="BC8" s="225"/>
      <c r="BD8" s="228"/>
      <c r="BE8" s="83" t="s">
        <v>53</v>
      </c>
      <c r="BF8" s="84"/>
      <c r="BG8" s="207"/>
      <c r="BH8" s="87"/>
      <c r="BI8" s="84"/>
      <c r="BJ8" s="87"/>
      <c r="BK8" s="84"/>
      <c r="BL8" s="84"/>
      <c r="BM8" s="87"/>
      <c r="BN8" s="86"/>
      <c r="BO8" s="88"/>
      <c r="BP8" s="89"/>
      <c r="BQ8" s="84"/>
      <c r="BR8" s="87"/>
      <c r="BS8" s="84"/>
      <c r="BT8" s="84"/>
      <c r="BU8" s="87"/>
      <c r="BV8" s="84"/>
      <c r="BW8" s="89"/>
      <c r="BX8" s="84"/>
      <c r="BY8" s="84"/>
      <c r="BZ8" s="108" t="s">
        <v>54</v>
      </c>
    </row>
    <row r="9" spans="1:78" s="90" customFormat="1" ht="18" customHeight="1">
      <c r="B9" s="91" t="str">
        <f>"Field "&amp;COLUMN()-1</f>
        <v>Field 1</v>
      </c>
      <c r="C9" s="92" t="str">
        <f t="shared" ref="C9:D9" si="0">"Field "&amp;COLUMN()-1</f>
        <v>Field 2</v>
      </c>
      <c r="D9" s="92" t="str">
        <f t="shared" si="0"/>
        <v>Field 3</v>
      </c>
      <c r="E9" s="161" t="str">
        <f>"Field "&amp;(COLUMN()-COUNTIF($B$9:D9,"")-1)</f>
        <v>Field 4</v>
      </c>
      <c r="F9" s="299" t="str">
        <f>"Field "&amp;(COLUMN()-COUNTIF($B$9:E9,"")-1)</f>
        <v>Field 5</v>
      </c>
      <c r="G9" s="479"/>
      <c r="H9" s="93" t="str">
        <f>"Field "&amp;(COLUMN()-COUNTIF($B$9:F9,"")-1)</f>
        <v>Field 7</v>
      </c>
      <c r="I9" s="93" t="str">
        <f>"Field "&amp;(COLUMN()-COUNTIF($B$9:H9,"")-1)</f>
        <v>Field 7</v>
      </c>
      <c r="J9" s="92" t="str">
        <f>"Field "&amp;(COLUMN()-COUNTIF($B$9:I9,"")-1)</f>
        <v>Field 8</v>
      </c>
      <c r="K9" s="92" t="str">
        <f>"Field "&amp;(COLUMN()-COUNTIF($B$9:J9,"")-1)</f>
        <v>Field 9</v>
      </c>
      <c r="L9" s="92" t="str">
        <f>"Field "&amp;(COLUMN()-COUNTIF($B$9:K9,"")-1)</f>
        <v>Field 10</v>
      </c>
      <c r="M9" s="92" t="str">
        <f>"Field "&amp;(COLUMN()-COUNTIF($B$9:L9,"")-1)</f>
        <v>Field 11</v>
      </c>
      <c r="N9" s="94" t="str">
        <f>"Field "&amp;(COLUMN()-COUNTIF($B$9:M9,"")-1)</f>
        <v>Field 12</v>
      </c>
      <c r="O9" s="94" t="str">
        <f>"Field "&amp;(COLUMN()-COUNTIF($B$9:N9,"")-1)</f>
        <v>Field 13</v>
      </c>
      <c r="P9" s="94" t="str">
        <f>"Field "&amp;(COLUMN()-COUNTIF($B$9:O9,"")-1)</f>
        <v>Field 14</v>
      </c>
      <c r="Q9" s="94" t="str">
        <f>"Field "&amp;(COLUMN()-COUNTIF($B$9:P9,"")-1)</f>
        <v>Field 15</v>
      </c>
      <c r="R9" s="452" t="str">
        <f>"Field "&amp;(COLUMN()-COUNTIF($B$9:Q9,"")-1)</f>
        <v>Field 16</v>
      </c>
      <c r="S9" s="93" t="str">
        <f>"Field "&amp;(COLUMN()-COUNTIF($B$9:R9,"")-1)</f>
        <v>Field 17</v>
      </c>
      <c r="T9" s="92" t="str">
        <f>"Field "&amp;(COLUMN()-COUNTIF($B$9:S9,"")-1)</f>
        <v>Field 18</v>
      </c>
      <c r="U9" s="92" t="str">
        <f>"Field "&amp;(COLUMN()-COUNTIF($B$9:T9,"")-1)</f>
        <v>Field 19</v>
      </c>
      <c r="V9" s="92" t="str">
        <f>"Field "&amp;(COLUMN()-COUNTIF($B$9:U9,"")-1)</f>
        <v>Field 20</v>
      </c>
      <c r="W9" s="92" t="str">
        <f>"Field "&amp;(COLUMN()-COUNTIF($B$9:V9,"")-1)</f>
        <v>Field 21</v>
      </c>
      <c r="X9" s="92" t="str">
        <f>"Field "&amp;(COLUMN()-COUNTIF($B$9:W9,"")-1)</f>
        <v>Field 22</v>
      </c>
      <c r="Y9" s="95" t="str">
        <f>"Field "&amp;(COLUMN()-COUNTIF($B$9:X9,"")-1)</f>
        <v>Field 23</v>
      </c>
      <c r="Z9" s="92" t="str">
        <f>"Field "&amp;(COLUMN()-COUNTIF($B$9:Y9,"")-1)</f>
        <v>Field 24</v>
      </c>
      <c r="AA9" s="92" t="str">
        <f>"Field "&amp;(COLUMN()-COUNTIF($B$9:Z9,"")-1)</f>
        <v>Field 25</v>
      </c>
      <c r="AB9" s="161" t="str">
        <f>"Field "&amp;(COLUMN()-COUNTIF($B$9:AA9,"")-1)</f>
        <v>Field 26</v>
      </c>
      <c r="AC9" s="91" t="str">
        <f>"Field "&amp;(COLUMN()-COUNTIF($B$9:AB9,"")-1)</f>
        <v>Field 27</v>
      </c>
      <c r="AD9" s="93" t="str">
        <f>"Field "&amp;(COLUMN()-COUNTIF($B$9:AC9,"")-1)</f>
        <v>Field 28</v>
      </c>
      <c r="AE9" s="92" t="str">
        <f>"Field "&amp;(COLUMN()-COUNTIF($B$9:AD9,"")-1)</f>
        <v>Field 29</v>
      </c>
      <c r="AF9" s="92" t="str">
        <f>"Field "&amp;(COLUMN()-COUNTIF($B$9:AE9,"")-1)</f>
        <v>Field 30</v>
      </c>
      <c r="AG9" s="92" t="str">
        <f>"Field "&amp;(COLUMN()-COUNTIF($B$9:AF9,"")-1)</f>
        <v>Field 31</v>
      </c>
      <c r="AH9" s="92" t="str">
        <f>"Field "&amp;(COLUMN()-COUNTIF($B$9:AG9,"")-1)</f>
        <v>Field 32</v>
      </c>
      <c r="AI9" s="93" t="str">
        <f>"Field "&amp;(COLUMN()-COUNTIF($B$9:AH9,"")-1)</f>
        <v>Field 33</v>
      </c>
      <c r="AJ9" s="92" t="str">
        <f>"Field "&amp;(COLUMN()-COUNTIF($B$9:AI9,"")-1)</f>
        <v>Field 34</v>
      </c>
      <c r="AK9" s="92" t="str">
        <f>"Field "&amp;(COLUMN()-COUNTIF($B$9:AJ9,"")-1)</f>
        <v>Field 35</v>
      </c>
      <c r="AL9" s="92" t="str">
        <f>"Field "&amp;(COLUMN()-COUNTIF($B$9:AJ9,"")-1)</f>
        <v>Field 36</v>
      </c>
      <c r="AM9" s="92" t="str">
        <f>"Field "&amp;(COLUMN()-COUNTIF($B$9:AK9,"")-1)</f>
        <v>Field 37</v>
      </c>
      <c r="AN9" s="161" t="str">
        <f>"Field "&amp;(COLUMN()-COUNTIF($B$9:AM9,"")-1)</f>
        <v>Field 38</v>
      </c>
      <c r="AO9" s="92" t="str">
        <f>"Field "&amp;(COLUMN()-COUNTIF($B$9:AN9,"")-1)</f>
        <v>Field 39</v>
      </c>
      <c r="AP9" s="92" t="str">
        <f>"Field "&amp;(COLUMN()-COUNTIF($B$9:AO9,"")-1)</f>
        <v>Field 40</v>
      </c>
      <c r="AQ9" s="92" t="str">
        <f>"Field "&amp;(COLUMN()-COUNTIF($B$9:AP9,"")-1)</f>
        <v>Field 41</v>
      </c>
      <c r="AR9" s="92" t="str">
        <f>"Field "&amp;(COLUMN()-COUNTIF($B$9:AQ9,"")-1)</f>
        <v>Field 42</v>
      </c>
      <c r="AS9" s="92" t="str">
        <f>"Field "&amp;(COLUMN()-COUNTIF($B$9:AR9,"")-1)</f>
        <v>Field 43</v>
      </c>
      <c r="AT9" s="92" t="str">
        <f>"Field "&amp;(COLUMN()-COUNTIF($B$9:AS9,"")-1)</f>
        <v>Field 44</v>
      </c>
      <c r="AU9" s="92" t="str">
        <f>"Field "&amp;(COLUMN()-COUNTIF($B$9:AT9,"")-1)</f>
        <v>Field 45</v>
      </c>
      <c r="AV9" s="96" t="str">
        <f>"Field "&amp;(COLUMN()-COUNTIF($B$9:AU9,"")-1)</f>
        <v>Field 46</v>
      </c>
      <c r="AW9" s="173" t="str">
        <f>"Field "&amp;(COLUMN()-COUNTIF($B$9:AV9,"")-1)</f>
        <v>Field 47</v>
      </c>
      <c r="AX9" s="222" t="str">
        <f>"Field "&amp;(COLUMN()-COUNTIF($B$9:AW9,"")-1)</f>
        <v>Field 48</v>
      </c>
      <c r="AY9" s="92" t="str">
        <f>"Field "&amp;(COLUMN()-COUNTIF($B$9:AX9,"")-1)</f>
        <v>Field 49</v>
      </c>
      <c r="AZ9" s="161" t="str">
        <f>"Field "&amp;(COLUMN()-COUNTIF($B$9:AY9,"")-1)</f>
        <v>Field 50</v>
      </c>
      <c r="BA9" s="161" t="str">
        <f>"Field "&amp;(COLUMN()-COUNTIF($B$9:AZ9,"")-1)</f>
        <v>Field 51</v>
      </c>
      <c r="BB9" s="161" t="str">
        <f>"Field "&amp;(COLUMN()-COUNTIF($B$9:BA9,"")-1)</f>
        <v>Field 52</v>
      </c>
      <c r="BC9" s="161" t="str">
        <f>"Field "&amp;(COLUMN()-COUNTIF($B$9:BB9,"")-1)</f>
        <v>Field 53</v>
      </c>
      <c r="BD9" s="162" t="str">
        <f>"Field "&amp;(COLUMN()-COUNTIF($B$9:BC9,"")-1)</f>
        <v>Field 54</v>
      </c>
      <c r="BE9" s="307" t="str">
        <f>"Field "&amp;(COLUMN()-COUNTIF($B$9:BD9,"")-1)</f>
        <v>Field 55</v>
      </c>
      <c r="BF9" s="92" t="str">
        <f>"Field "&amp;(COLUMN()-COUNTIF($B$9:BE9,"")-1)</f>
        <v>Field 56</v>
      </c>
      <c r="BG9" s="208" t="str">
        <f>"Field "&amp;(COLUMN()-COUNTIF($B$9:BF9,"")-1)</f>
        <v>Field 57</v>
      </c>
      <c r="BH9" s="92" t="str">
        <f>"Field "&amp;(COLUMN()-COUNTIF($B$9:BG9,"")-1)</f>
        <v>Field 58</v>
      </c>
      <c r="BI9" s="92" t="str">
        <f>"Field "&amp;(COLUMN()-COUNTIF($B$9:BH9,"")-1)</f>
        <v>Field 59</v>
      </c>
      <c r="BJ9" s="92" t="str">
        <f>"Field "&amp;(COLUMN()-COUNTIF($B$9:BI9,"")-1)</f>
        <v>Field 60</v>
      </c>
      <c r="BK9" s="92" t="str">
        <f>"Field "&amp;(COLUMN()-COUNTIF($B$9:BJ9,"")-1)</f>
        <v>Field 61</v>
      </c>
      <c r="BL9" s="92" t="str">
        <f>"Field "&amp;(COLUMN()-COUNTIF($B$9:BK9,"")-1)</f>
        <v>Field 62</v>
      </c>
      <c r="BM9" s="97" t="str">
        <f>"Field "&amp;(COLUMN()-COUNTIF($B$9:BL9,"")-1)</f>
        <v>Field 63</v>
      </c>
      <c r="BN9" s="92" t="str">
        <f>"Field "&amp;(COLUMN()-COUNTIF($B$9:BM9,"")-1)</f>
        <v>Field 64</v>
      </c>
      <c r="BO9" s="97" t="str">
        <f>"Field "&amp;(COLUMN()-COUNTIF($B$9:BN9,"")-1)</f>
        <v>Field 65</v>
      </c>
      <c r="BP9" s="62" t="str">
        <f>"Field "&amp;(COLUMN()-COUNTIF($B$9:BO9,"")-1)</f>
        <v>Field 66</v>
      </c>
      <c r="BQ9" s="92" t="str">
        <f>"Field "&amp;(COLUMN()-COUNTIF($B$9:BP9,"")-1)</f>
        <v>Field 67</v>
      </c>
      <c r="BR9" s="97" t="str">
        <f>"Field "&amp;(COLUMN()-COUNTIF($B$9:BQ9,"")-1)</f>
        <v>Field 68</v>
      </c>
      <c r="BS9" s="92" t="str">
        <f>"Field "&amp;(COLUMN()-COUNTIF($B$9:BR9,"")-1)</f>
        <v>Field 69</v>
      </c>
      <c r="BT9" s="92" t="str">
        <f>"Field "&amp;(COLUMN()-COUNTIF($B$9:BS9,"")-1)</f>
        <v>Field 70</v>
      </c>
      <c r="BU9" s="97" t="str">
        <f>"Field "&amp;(COLUMN()-COUNTIF($B$9:BT9,"")-1)</f>
        <v>Field 71</v>
      </c>
      <c r="BV9" s="92" t="str">
        <f>"Field "&amp;(COLUMN()-COUNTIF($B$9:BU9,"")-1)</f>
        <v>Field 72</v>
      </c>
      <c r="BW9" s="62" t="str">
        <f>"Field "&amp;(COLUMN()-COUNTIF($B$9:BV9,"")-1)</f>
        <v>Field 73</v>
      </c>
      <c r="BX9" s="92" t="str">
        <f>"Field "&amp;(COLUMN()-COUNTIF($B$9:BW9,"")-1)</f>
        <v>Field 74</v>
      </c>
      <c r="BY9" s="95" t="str">
        <f>"Field "&amp;(COLUMN()-COUNTIF($B$9:BX9,"")-1)</f>
        <v>Field 75</v>
      </c>
      <c r="BZ9" s="98" t="str">
        <f>"Field "&amp;(COLUMN()-COUNTIF($B$9:BY9,"")-1)</f>
        <v>Field 76</v>
      </c>
    </row>
    <row r="10" spans="1:78" s="310" customFormat="1" ht="30" customHeight="1" thickBot="1">
      <c r="B10" s="150" t="s">
        <v>28</v>
      </c>
      <c r="C10" s="151" t="s">
        <v>55</v>
      </c>
      <c r="D10" s="151" t="s">
        <v>56</v>
      </c>
      <c r="E10" s="151" t="s">
        <v>2</v>
      </c>
      <c r="F10" s="301" t="s">
        <v>195</v>
      </c>
      <c r="G10" s="482" t="s">
        <v>7473</v>
      </c>
      <c r="H10" s="165" t="s">
        <v>57</v>
      </c>
      <c r="I10" s="160" t="s">
        <v>58</v>
      </c>
      <c r="J10" s="160" t="s">
        <v>630</v>
      </c>
      <c r="K10" s="160" t="s">
        <v>631</v>
      </c>
      <c r="L10" s="160" t="s">
        <v>626</v>
      </c>
      <c r="M10" s="160" t="s">
        <v>632</v>
      </c>
      <c r="N10" s="160" t="s">
        <v>628</v>
      </c>
      <c r="O10" s="153" t="s">
        <v>62</v>
      </c>
      <c r="P10" s="151" t="s">
        <v>63</v>
      </c>
      <c r="Q10" s="151" t="s">
        <v>64</v>
      </c>
      <c r="R10" s="154" t="s">
        <v>535</v>
      </c>
      <c r="S10" s="153" t="s">
        <v>1372</v>
      </c>
      <c r="T10" s="151" t="s">
        <v>1371</v>
      </c>
      <c r="U10" s="151" t="s">
        <v>65</v>
      </c>
      <c r="V10" s="151" t="s">
        <v>66</v>
      </c>
      <c r="W10" s="151" t="s">
        <v>67</v>
      </c>
      <c r="X10" s="151" t="s">
        <v>68</v>
      </c>
      <c r="Y10" s="155" t="s">
        <v>69</v>
      </c>
      <c r="Z10" s="151" t="s">
        <v>419</v>
      </c>
      <c r="AA10" s="155" t="s">
        <v>622</v>
      </c>
      <c r="AB10" s="154" t="s">
        <v>623</v>
      </c>
      <c r="AC10" s="150" t="s">
        <v>70</v>
      </c>
      <c r="AD10" s="153" t="s">
        <v>65</v>
      </c>
      <c r="AE10" s="151" t="s">
        <v>71</v>
      </c>
      <c r="AF10" s="151" t="s">
        <v>72</v>
      </c>
      <c r="AG10" s="151" t="s">
        <v>73</v>
      </c>
      <c r="AH10" s="151" t="s">
        <v>74</v>
      </c>
      <c r="AI10" s="153" t="s">
        <v>65</v>
      </c>
      <c r="AJ10" s="151" t="s">
        <v>75</v>
      </c>
      <c r="AK10" s="151" t="s">
        <v>624</v>
      </c>
      <c r="AL10" s="151" t="s">
        <v>3208</v>
      </c>
      <c r="AM10" s="151" t="s">
        <v>76</v>
      </c>
      <c r="AN10" s="160" t="s">
        <v>77</v>
      </c>
      <c r="AO10" s="151" t="s">
        <v>78</v>
      </c>
      <c r="AP10" s="151" t="s">
        <v>79</v>
      </c>
      <c r="AQ10" s="151" t="s">
        <v>80</v>
      </c>
      <c r="AR10" s="151" t="s">
        <v>81</v>
      </c>
      <c r="AS10" s="151" t="s">
        <v>82</v>
      </c>
      <c r="AT10" s="151" t="s">
        <v>83</v>
      </c>
      <c r="AU10" s="155" t="s">
        <v>84</v>
      </c>
      <c r="AV10" s="154" t="s">
        <v>85</v>
      </c>
      <c r="AW10" s="165" t="s">
        <v>86</v>
      </c>
      <c r="AX10" s="232" t="s">
        <v>87</v>
      </c>
      <c r="AY10" s="151" t="s">
        <v>88</v>
      </c>
      <c r="AZ10" s="160" t="s">
        <v>89</v>
      </c>
      <c r="BA10" s="160" t="s">
        <v>90</v>
      </c>
      <c r="BB10" s="160" t="s">
        <v>91</v>
      </c>
      <c r="BC10" s="160" t="s">
        <v>92</v>
      </c>
      <c r="BD10" s="382" t="s">
        <v>93</v>
      </c>
      <c r="BE10" s="383" t="s">
        <v>94</v>
      </c>
      <c r="BF10" s="151" t="s">
        <v>95</v>
      </c>
      <c r="BG10" s="217" t="s">
        <v>96</v>
      </c>
      <c r="BH10" s="151" t="s">
        <v>97</v>
      </c>
      <c r="BI10" s="151" t="s">
        <v>98</v>
      </c>
      <c r="BJ10" s="151" t="s">
        <v>99</v>
      </c>
      <c r="BK10" s="151" t="s">
        <v>100</v>
      </c>
      <c r="BL10" s="151" t="s">
        <v>101</v>
      </c>
      <c r="BM10" s="151" t="s">
        <v>102</v>
      </c>
      <c r="BN10" s="151" t="s">
        <v>103</v>
      </c>
      <c r="BO10" s="151" t="s">
        <v>104</v>
      </c>
      <c r="BP10" s="151" t="s">
        <v>105</v>
      </c>
      <c r="BQ10" s="151" t="s">
        <v>106</v>
      </c>
      <c r="BR10" s="151" t="s">
        <v>107</v>
      </c>
      <c r="BS10" s="151" t="s">
        <v>108</v>
      </c>
      <c r="BT10" s="151" t="s">
        <v>109</v>
      </c>
      <c r="BU10" s="153" t="s">
        <v>110</v>
      </c>
      <c r="BV10" s="153" t="s">
        <v>111</v>
      </c>
      <c r="BW10" s="151" t="s">
        <v>112</v>
      </c>
      <c r="BX10" s="151" t="s">
        <v>113</v>
      </c>
      <c r="BY10" s="155" t="s">
        <v>114</v>
      </c>
      <c r="BZ10" s="315" t="s">
        <v>39</v>
      </c>
    </row>
    <row r="11" spans="1:78" s="90" customFormat="1" ht="19.5" hidden="1" customHeight="1">
      <c r="A11" s="137"/>
      <c r="B11" s="197">
        <f t="shared" ref="B11:B74" si="1">ROW()-10</f>
        <v>1</v>
      </c>
      <c r="C11" s="30" t="s">
        <v>206</v>
      </c>
      <c r="D11" s="30" t="s">
        <v>225</v>
      </c>
      <c r="E11" s="234" t="s">
        <v>645</v>
      </c>
      <c r="F11" s="235" t="s">
        <v>1294</v>
      </c>
      <c r="G11" s="284">
        <f>IFERROR(VLOOKUP(E11,Assign!$C$2:$J$142,8,FALSE),)</f>
        <v>0</v>
      </c>
      <c r="H11" s="361" t="s">
        <v>4859</v>
      </c>
      <c r="I11" s="363">
        <v>1</v>
      </c>
      <c r="J11" s="364" t="s">
        <v>208</v>
      </c>
      <c r="K11" s="364" t="s">
        <v>324</v>
      </c>
      <c r="L11" s="365" t="s">
        <v>2384</v>
      </c>
      <c r="M11" s="362" t="s">
        <v>3133</v>
      </c>
      <c r="N11" s="433" t="s">
        <v>245</v>
      </c>
      <c r="O11" s="424">
        <v>11383</v>
      </c>
      <c r="P11" s="424"/>
      <c r="Q11" s="425"/>
      <c r="R11" s="453" t="s">
        <v>3202</v>
      </c>
      <c r="S11" s="427" t="s">
        <v>617</v>
      </c>
      <c r="T11" s="297" t="s">
        <v>418</v>
      </c>
      <c r="U11" s="297" t="s">
        <v>204</v>
      </c>
      <c r="V11" s="367">
        <v>12000000000</v>
      </c>
      <c r="W11" s="435">
        <v>12000000000</v>
      </c>
      <c r="X11" s="297"/>
      <c r="Y11" s="297"/>
      <c r="Z11" s="429"/>
      <c r="AA11" s="374"/>
      <c r="AB11" s="437"/>
      <c r="AC11" s="430" t="s">
        <v>418</v>
      </c>
      <c r="AD11" s="373" t="s">
        <v>204</v>
      </c>
      <c r="AE11" s="375">
        <v>1800000000</v>
      </c>
      <c r="AF11" s="375">
        <v>1800000000</v>
      </c>
      <c r="AG11" s="297"/>
      <c r="AH11" s="297"/>
      <c r="AI11" s="297"/>
      <c r="AJ11" s="375"/>
      <c r="AK11" s="375"/>
      <c r="AL11" s="375"/>
      <c r="AM11" s="405"/>
      <c r="AN11" s="273"/>
      <c r="AO11" s="405"/>
      <c r="AP11" s="273"/>
      <c r="AQ11" s="273"/>
      <c r="AR11" s="273"/>
      <c r="AS11" s="273"/>
      <c r="AT11" s="273"/>
      <c r="AU11" s="273"/>
      <c r="AV11" s="322">
        <f t="shared" ref="AV11:AV74" si="2">SUM(AP11:AU11)</f>
        <v>0</v>
      </c>
      <c r="AW11" s="402"/>
      <c r="AX11" s="376"/>
      <c r="AY11" s="373"/>
      <c r="AZ11" s="375"/>
      <c r="BA11" s="375"/>
      <c r="BB11" s="375"/>
      <c r="BC11" s="375"/>
      <c r="BD11" s="406">
        <f t="shared" ref="BD11:BD74" si="3">SUM(AZ11:BC11)</f>
        <v>0</v>
      </c>
      <c r="BE11" s="432" t="s">
        <v>355</v>
      </c>
      <c r="BF11" s="439" t="s">
        <v>424</v>
      </c>
      <c r="BG11" s="377"/>
      <c r="BH11" s="376"/>
      <c r="BI11" s="377"/>
      <c r="BJ11" s="376"/>
      <c r="BK11" s="377"/>
      <c r="BL11" s="378"/>
      <c r="BM11" s="379"/>
      <c r="BN11" s="378"/>
      <c r="BO11" s="379"/>
      <c r="BP11" s="380"/>
      <c r="BQ11" s="375"/>
      <c r="BR11" s="376"/>
      <c r="BS11" s="373"/>
      <c r="BT11" s="373"/>
      <c r="BU11" s="376"/>
      <c r="BV11" s="376"/>
      <c r="BW11" s="381"/>
      <c r="BX11" s="381"/>
      <c r="BY11" s="381"/>
      <c r="BZ11" s="351"/>
    </row>
    <row r="12" spans="1:78" s="90" customFormat="1" ht="19.5" hidden="1" customHeight="1">
      <c r="A12" s="137"/>
      <c r="B12" s="197">
        <f t="shared" si="1"/>
        <v>2</v>
      </c>
      <c r="C12" s="30" t="s">
        <v>206</v>
      </c>
      <c r="D12" s="30" t="s">
        <v>225</v>
      </c>
      <c r="E12" s="234" t="s">
        <v>646</v>
      </c>
      <c r="F12" s="235" t="s">
        <v>1217</v>
      </c>
      <c r="G12" s="284">
        <f>IFERROR(VLOOKUP(E12,Assign!$C$2:$J$142,8,FALSE),)</f>
        <v>0</v>
      </c>
      <c r="H12" s="361" t="s">
        <v>4083</v>
      </c>
      <c r="I12" s="363">
        <v>1</v>
      </c>
      <c r="J12" s="364" t="s">
        <v>209</v>
      </c>
      <c r="K12" s="364" t="s">
        <v>286</v>
      </c>
      <c r="L12" s="365" t="s">
        <v>1660</v>
      </c>
      <c r="M12" s="362" t="s">
        <v>3100</v>
      </c>
      <c r="N12" s="421" t="s">
        <v>620</v>
      </c>
      <c r="O12" s="269">
        <v>834.9</v>
      </c>
      <c r="P12" s="269">
        <v>2038.47</v>
      </c>
      <c r="Q12" s="426"/>
      <c r="R12" s="418" t="s">
        <v>646</v>
      </c>
      <c r="S12" s="427" t="s">
        <v>613</v>
      </c>
      <c r="T12" s="357">
        <v>1</v>
      </c>
      <c r="U12" s="357" t="s">
        <v>204</v>
      </c>
      <c r="V12" s="367">
        <v>8100000000</v>
      </c>
      <c r="W12" s="368">
        <v>8100000000</v>
      </c>
      <c r="X12" s="357"/>
      <c r="Y12" s="357"/>
      <c r="Z12" s="400"/>
      <c r="AA12" s="369"/>
      <c r="AB12" s="370"/>
      <c r="AC12" s="404"/>
      <c r="AD12" s="270"/>
      <c r="AE12" s="156"/>
      <c r="AF12" s="156"/>
      <c r="AG12" s="357"/>
      <c r="AH12" s="357"/>
      <c r="AI12" s="357"/>
      <c r="AJ12" s="156"/>
      <c r="AK12" s="156"/>
      <c r="AL12" s="375"/>
      <c r="AM12" s="405"/>
      <c r="AN12" s="273"/>
      <c r="AO12" s="405"/>
      <c r="AP12" s="273"/>
      <c r="AQ12" s="273"/>
      <c r="AR12" s="273"/>
      <c r="AS12" s="273"/>
      <c r="AT12" s="273"/>
      <c r="AU12" s="273"/>
      <c r="AV12" s="322">
        <f t="shared" si="2"/>
        <v>0</v>
      </c>
      <c r="AW12" s="402"/>
      <c r="AX12" s="376"/>
      <c r="AY12" s="373"/>
      <c r="AZ12" s="375"/>
      <c r="BA12" s="375"/>
      <c r="BB12" s="375"/>
      <c r="BC12" s="375"/>
      <c r="BD12" s="353">
        <f t="shared" si="3"/>
        <v>0</v>
      </c>
      <c r="BE12" s="432" t="s">
        <v>335</v>
      </c>
      <c r="BF12" s="407" t="s">
        <v>519</v>
      </c>
      <c r="BG12" s="168" t="s">
        <v>3397</v>
      </c>
      <c r="BH12" s="274">
        <v>45723</v>
      </c>
      <c r="BI12" s="168" t="s">
        <v>3268</v>
      </c>
      <c r="BJ12" s="274">
        <v>45821</v>
      </c>
      <c r="BK12" s="168">
        <v>405632876</v>
      </c>
      <c r="BL12" s="275" t="s">
        <v>1381</v>
      </c>
      <c r="BM12" s="276">
        <v>45740</v>
      </c>
      <c r="BN12" s="275" t="s">
        <v>3358</v>
      </c>
      <c r="BO12" s="276"/>
      <c r="BP12" s="277">
        <v>206894060</v>
      </c>
      <c r="BQ12" s="156"/>
      <c r="BR12" s="274"/>
      <c r="BS12" s="270"/>
      <c r="BT12" s="270"/>
      <c r="BU12" s="274"/>
      <c r="BV12" s="274"/>
      <c r="BW12" s="278"/>
      <c r="BX12" s="278"/>
      <c r="BY12" s="278"/>
      <c r="BZ12" s="351"/>
    </row>
    <row r="13" spans="1:78" s="90" customFormat="1" ht="19.5" hidden="1" customHeight="1">
      <c r="A13" s="137"/>
      <c r="B13" s="197">
        <f t="shared" si="1"/>
        <v>3</v>
      </c>
      <c r="C13" s="30" t="s">
        <v>206</v>
      </c>
      <c r="D13" s="30" t="s">
        <v>225</v>
      </c>
      <c r="E13" s="234" t="s">
        <v>647</v>
      </c>
      <c r="F13" s="235" t="s">
        <v>1244</v>
      </c>
      <c r="G13" s="284">
        <f>IFERROR(VLOOKUP(E13,Assign!$C$2:$J$142,8,FALSE),)</f>
        <v>0</v>
      </c>
      <c r="H13" s="361" t="s">
        <v>5469</v>
      </c>
      <c r="I13" s="363">
        <v>1</v>
      </c>
      <c r="J13" s="364" t="s">
        <v>208</v>
      </c>
      <c r="K13" s="364" t="s">
        <v>261</v>
      </c>
      <c r="L13" s="365" t="s">
        <v>262</v>
      </c>
      <c r="M13" s="362" t="s">
        <v>3192</v>
      </c>
      <c r="N13" s="254" t="s">
        <v>3386</v>
      </c>
      <c r="O13" s="269">
        <v>786.06949999999995</v>
      </c>
      <c r="P13" s="269">
        <v>1471.75</v>
      </c>
      <c r="Q13" s="426"/>
      <c r="R13" s="418" t="s">
        <v>647</v>
      </c>
      <c r="S13" s="427" t="s">
        <v>613</v>
      </c>
      <c r="T13" s="357">
        <v>1</v>
      </c>
      <c r="U13" s="357" t="s">
        <v>204</v>
      </c>
      <c r="V13" s="367">
        <v>6658800000</v>
      </c>
      <c r="W13" s="368">
        <v>6658800000</v>
      </c>
      <c r="X13" s="357">
        <v>2</v>
      </c>
      <c r="Y13" s="357">
        <v>1</v>
      </c>
      <c r="Z13" s="400" t="s">
        <v>3206</v>
      </c>
      <c r="AA13" s="369">
        <v>6658800000</v>
      </c>
      <c r="AB13" s="370">
        <v>6658800000</v>
      </c>
      <c r="AC13" s="404"/>
      <c r="AD13" s="270"/>
      <c r="AE13" s="156"/>
      <c r="AF13" s="156"/>
      <c r="AG13" s="357"/>
      <c r="AH13" s="357"/>
      <c r="AI13" s="357"/>
      <c r="AJ13" s="156"/>
      <c r="AK13" s="156"/>
      <c r="AL13" s="375"/>
      <c r="AM13" s="405"/>
      <c r="AN13" s="273"/>
      <c r="AO13" s="405"/>
      <c r="AP13" s="273"/>
      <c r="AQ13" s="273"/>
      <c r="AR13" s="273"/>
      <c r="AS13" s="273"/>
      <c r="AT13" s="273"/>
      <c r="AU13" s="273"/>
      <c r="AV13" s="322">
        <f t="shared" si="2"/>
        <v>0</v>
      </c>
      <c r="AW13" s="402"/>
      <c r="AX13" s="376"/>
      <c r="AY13" s="373"/>
      <c r="AZ13" s="375"/>
      <c r="BA13" s="375"/>
      <c r="BB13" s="375"/>
      <c r="BC13" s="375"/>
      <c r="BD13" s="353">
        <f t="shared" si="3"/>
        <v>0</v>
      </c>
      <c r="BE13" s="432" t="s">
        <v>3413</v>
      </c>
      <c r="BF13" s="407" t="s">
        <v>499</v>
      </c>
      <c r="BG13" s="168" t="s">
        <v>3397</v>
      </c>
      <c r="BH13" s="274">
        <v>45532</v>
      </c>
      <c r="BI13" s="168" t="s">
        <v>3712</v>
      </c>
      <c r="BJ13" s="274">
        <v>45614</v>
      </c>
      <c r="BK13" s="168">
        <v>510000000</v>
      </c>
      <c r="BL13" s="275"/>
      <c r="BM13" s="276"/>
      <c r="BN13" s="275"/>
      <c r="BO13" s="276"/>
      <c r="BP13" s="277"/>
      <c r="BQ13" s="156"/>
      <c r="BR13" s="274"/>
      <c r="BS13" s="270"/>
      <c r="BT13" s="270"/>
      <c r="BU13" s="274"/>
      <c r="BV13" s="274"/>
      <c r="BW13" s="278"/>
      <c r="BX13" s="278"/>
      <c r="BY13" s="278"/>
      <c r="BZ13" s="351"/>
    </row>
    <row r="14" spans="1:78" s="90" customFormat="1" ht="19.5" hidden="1" customHeight="1">
      <c r="A14" s="137"/>
      <c r="B14" s="197">
        <f t="shared" si="1"/>
        <v>4</v>
      </c>
      <c r="C14" s="30" t="s">
        <v>206</v>
      </c>
      <c r="D14" s="30" t="s">
        <v>225</v>
      </c>
      <c r="E14" s="234" t="s">
        <v>647</v>
      </c>
      <c r="F14" s="235" t="s">
        <v>1244</v>
      </c>
      <c r="G14" s="284">
        <f>IFERROR(VLOOKUP(E14,Assign!$C$2:$J$142,8,FALSE),)</f>
        <v>0</v>
      </c>
      <c r="H14" s="361" t="s">
        <v>5488</v>
      </c>
      <c r="I14" s="363">
        <v>2</v>
      </c>
      <c r="J14" s="364" t="s">
        <v>208</v>
      </c>
      <c r="K14" s="364" t="s">
        <v>261</v>
      </c>
      <c r="L14" s="365" t="s">
        <v>262</v>
      </c>
      <c r="M14" s="362" t="s">
        <v>3193</v>
      </c>
      <c r="N14" s="421" t="s">
        <v>3386</v>
      </c>
      <c r="O14" s="269">
        <v>263.73050000000001</v>
      </c>
      <c r="P14" s="269">
        <v>493.78</v>
      </c>
      <c r="Q14" s="426"/>
      <c r="R14" s="418" t="s">
        <v>647</v>
      </c>
      <c r="S14" s="427" t="s">
        <v>613</v>
      </c>
      <c r="T14" s="357">
        <v>2</v>
      </c>
      <c r="U14" s="357" t="s">
        <v>204</v>
      </c>
      <c r="V14" s="367">
        <v>6658800000</v>
      </c>
      <c r="W14" s="368">
        <v>6658800000</v>
      </c>
      <c r="X14" s="357">
        <v>1</v>
      </c>
      <c r="Y14" s="357">
        <v>2</v>
      </c>
      <c r="Z14" s="400" t="s">
        <v>3206</v>
      </c>
      <c r="AA14" s="369">
        <v>6658800000</v>
      </c>
      <c r="AB14" s="370">
        <v>6658800000</v>
      </c>
      <c r="AC14" s="404">
        <v>1</v>
      </c>
      <c r="AD14" s="270" t="s">
        <v>204</v>
      </c>
      <c r="AE14" s="156">
        <v>324000000</v>
      </c>
      <c r="AF14" s="156">
        <v>324000000</v>
      </c>
      <c r="AG14" s="357"/>
      <c r="AH14" s="357"/>
      <c r="AI14" s="357"/>
      <c r="AJ14" s="156"/>
      <c r="AK14" s="156"/>
      <c r="AL14" s="375"/>
      <c r="AM14" s="405"/>
      <c r="AN14" s="273"/>
      <c r="AO14" s="405"/>
      <c r="AP14" s="273"/>
      <c r="AQ14" s="273"/>
      <c r="AR14" s="273"/>
      <c r="AS14" s="273"/>
      <c r="AT14" s="273"/>
      <c r="AU14" s="273"/>
      <c r="AV14" s="322">
        <f t="shared" si="2"/>
        <v>0</v>
      </c>
      <c r="AW14" s="402"/>
      <c r="AX14" s="376"/>
      <c r="AY14" s="373"/>
      <c r="AZ14" s="375"/>
      <c r="BA14" s="375"/>
      <c r="BB14" s="375"/>
      <c r="BC14" s="375"/>
      <c r="BD14" s="353">
        <f t="shared" si="3"/>
        <v>0</v>
      </c>
      <c r="BE14" s="432" t="s">
        <v>3413</v>
      </c>
      <c r="BF14" s="407" t="s">
        <v>499</v>
      </c>
      <c r="BG14" s="168" t="s">
        <v>3397</v>
      </c>
      <c r="BH14" s="274">
        <v>45532</v>
      </c>
      <c r="BI14" s="168" t="s">
        <v>3712</v>
      </c>
      <c r="BJ14" s="274">
        <v>45614</v>
      </c>
      <c r="BK14" s="168" t="s">
        <v>3709</v>
      </c>
      <c r="BL14" s="275"/>
      <c r="BM14" s="276"/>
      <c r="BN14" s="275"/>
      <c r="BO14" s="276"/>
      <c r="BP14" s="277"/>
      <c r="BQ14" s="156"/>
      <c r="BR14" s="274"/>
      <c r="BS14" s="270"/>
      <c r="BT14" s="270"/>
      <c r="BU14" s="274"/>
      <c r="BV14" s="274"/>
      <c r="BW14" s="278"/>
      <c r="BX14" s="278"/>
      <c r="BY14" s="278"/>
      <c r="BZ14" s="351"/>
    </row>
    <row r="15" spans="1:78" s="90" customFormat="1" ht="19.5" hidden="1" customHeight="1">
      <c r="A15" s="137"/>
      <c r="B15" s="197">
        <f t="shared" si="1"/>
        <v>5</v>
      </c>
      <c r="C15" s="30" t="s">
        <v>206</v>
      </c>
      <c r="D15" s="30" t="s">
        <v>225</v>
      </c>
      <c r="E15" s="234" t="s">
        <v>648</v>
      </c>
      <c r="F15" s="235" t="s">
        <v>1295</v>
      </c>
      <c r="G15" s="284">
        <f>IFERROR(VLOOKUP(E15,Assign!$C$2:$J$142,8,FALSE),)</f>
        <v>0</v>
      </c>
      <c r="H15" s="361" t="s">
        <v>5430</v>
      </c>
      <c r="I15" s="363">
        <v>1</v>
      </c>
      <c r="J15" s="364" t="s">
        <v>223</v>
      </c>
      <c r="K15" s="364" t="s">
        <v>408</v>
      </c>
      <c r="L15" s="365" t="s">
        <v>2905</v>
      </c>
      <c r="M15" s="362" t="s">
        <v>3188</v>
      </c>
      <c r="N15" s="421" t="s">
        <v>285</v>
      </c>
      <c r="O15" s="269">
        <v>7766.5</v>
      </c>
      <c r="P15" s="269">
        <v>4698.62</v>
      </c>
      <c r="Q15" s="426">
        <v>3</v>
      </c>
      <c r="R15" s="418" t="s">
        <v>648</v>
      </c>
      <c r="S15" s="427" t="s">
        <v>613</v>
      </c>
      <c r="T15" s="357" t="s">
        <v>229</v>
      </c>
      <c r="U15" s="357" t="s">
        <v>204</v>
      </c>
      <c r="V15" s="367">
        <v>6240000000</v>
      </c>
      <c r="W15" s="368">
        <v>6240000000</v>
      </c>
      <c r="X15" s="357"/>
      <c r="Y15" s="357"/>
      <c r="Z15" s="400"/>
      <c r="AA15" s="369"/>
      <c r="AB15" s="370"/>
      <c r="AC15" s="404"/>
      <c r="AD15" s="270"/>
      <c r="AE15" s="156"/>
      <c r="AF15" s="156"/>
      <c r="AG15" s="357"/>
      <c r="AH15" s="357"/>
      <c r="AI15" s="357"/>
      <c r="AJ15" s="156"/>
      <c r="AK15" s="156"/>
      <c r="AL15" s="375"/>
      <c r="AM15" s="405"/>
      <c r="AN15" s="273"/>
      <c r="AO15" s="405"/>
      <c r="AP15" s="273"/>
      <c r="AQ15" s="273"/>
      <c r="AR15" s="273"/>
      <c r="AS15" s="273"/>
      <c r="AT15" s="273"/>
      <c r="AU15" s="273"/>
      <c r="AV15" s="322">
        <f t="shared" si="2"/>
        <v>0</v>
      </c>
      <c r="AW15" s="402"/>
      <c r="AX15" s="376"/>
      <c r="AY15" s="373"/>
      <c r="AZ15" s="375"/>
      <c r="BA15" s="375"/>
      <c r="BB15" s="375"/>
      <c r="BC15" s="375"/>
      <c r="BD15" s="353">
        <f t="shared" si="3"/>
        <v>0</v>
      </c>
      <c r="BE15" s="432" t="s">
        <v>355</v>
      </c>
      <c r="BF15" s="407" t="s">
        <v>520</v>
      </c>
      <c r="BG15" s="168"/>
      <c r="BH15" s="274"/>
      <c r="BI15" s="168"/>
      <c r="BJ15" s="274"/>
      <c r="BK15" s="168"/>
      <c r="BL15" s="275"/>
      <c r="BM15" s="276"/>
      <c r="BN15" s="275"/>
      <c r="BO15" s="276"/>
      <c r="BP15" s="277"/>
      <c r="BQ15" s="156"/>
      <c r="BR15" s="274"/>
      <c r="BS15" s="270"/>
      <c r="BT15" s="270"/>
      <c r="BU15" s="274"/>
      <c r="BV15" s="274"/>
      <c r="BW15" s="278"/>
      <c r="BX15" s="278"/>
      <c r="BY15" s="278"/>
      <c r="BZ15" s="351"/>
    </row>
    <row r="16" spans="1:78" s="90" customFormat="1" ht="19.5" hidden="1" customHeight="1">
      <c r="A16" s="137"/>
      <c r="B16" s="197">
        <f t="shared" si="1"/>
        <v>6</v>
      </c>
      <c r="C16" s="30" t="s">
        <v>206</v>
      </c>
      <c r="D16" s="30" t="s">
        <v>225</v>
      </c>
      <c r="E16" s="234" t="s">
        <v>649</v>
      </c>
      <c r="F16" s="235" t="s">
        <v>1296</v>
      </c>
      <c r="G16" s="284">
        <f>IFERROR(VLOOKUP(E16,Assign!$C$2:$J$142,8,FALSE),)</f>
        <v>0</v>
      </c>
      <c r="H16" s="361" t="s">
        <v>5443</v>
      </c>
      <c r="I16" s="363">
        <v>1</v>
      </c>
      <c r="J16" s="364" t="s">
        <v>214</v>
      </c>
      <c r="K16" s="364" t="s">
        <v>2918</v>
      </c>
      <c r="L16" s="365" t="s">
        <v>2919</v>
      </c>
      <c r="M16" s="362" t="s">
        <v>3189</v>
      </c>
      <c r="N16" s="421" t="s">
        <v>447</v>
      </c>
      <c r="O16" s="269">
        <v>52304</v>
      </c>
      <c r="P16" s="269"/>
      <c r="Q16" s="426"/>
      <c r="R16" s="418" t="s">
        <v>649</v>
      </c>
      <c r="S16" s="427" t="s">
        <v>613</v>
      </c>
      <c r="T16" s="357" t="s">
        <v>233</v>
      </c>
      <c r="U16" s="357" t="s">
        <v>204</v>
      </c>
      <c r="V16" s="368">
        <v>6710400000</v>
      </c>
      <c r="W16" s="368">
        <v>6710400000</v>
      </c>
      <c r="X16" s="357"/>
      <c r="Y16" s="357"/>
      <c r="Z16" s="400"/>
      <c r="AA16" s="369"/>
      <c r="AB16" s="370"/>
      <c r="AC16" s="404"/>
      <c r="AD16" s="270"/>
      <c r="AE16" s="156"/>
      <c r="AF16" s="156"/>
      <c r="AG16" s="357"/>
      <c r="AH16" s="357"/>
      <c r="AI16" s="357"/>
      <c r="AJ16" s="156"/>
      <c r="AK16" s="156"/>
      <c r="AL16" s="375"/>
      <c r="AM16" s="405"/>
      <c r="AN16" s="273"/>
      <c r="AO16" s="405"/>
      <c r="AP16" s="273"/>
      <c r="AQ16" s="273"/>
      <c r="AR16" s="273"/>
      <c r="AS16" s="273"/>
      <c r="AT16" s="273"/>
      <c r="AU16" s="273"/>
      <c r="AV16" s="322">
        <f t="shared" si="2"/>
        <v>0</v>
      </c>
      <c r="AW16" s="402"/>
      <c r="AX16" s="376"/>
      <c r="AY16" s="373"/>
      <c r="AZ16" s="375"/>
      <c r="BA16" s="375"/>
      <c r="BB16" s="375"/>
      <c r="BC16" s="375"/>
      <c r="BD16" s="353">
        <f t="shared" si="3"/>
        <v>0</v>
      </c>
      <c r="BE16" s="432" t="s">
        <v>355</v>
      </c>
      <c r="BF16" s="407" t="s">
        <v>517</v>
      </c>
      <c r="BG16" s="168"/>
      <c r="BH16" s="274"/>
      <c r="BI16" s="168"/>
      <c r="BJ16" s="274"/>
      <c r="BK16" s="168"/>
      <c r="BL16" s="275"/>
      <c r="BM16" s="276"/>
      <c r="BN16" s="275"/>
      <c r="BO16" s="276"/>
      <c r="BP16" s="277"/>
      <c r="BQ16" s="156"/>
      <c r="BR16" s="274"/>
      <c r="BS16" s="270"/>
      <c r="BT16" s="270"/>
      <c r="BU16" s="274"/>
      <c r="BV16" s="274"/>
      <c r="BW16" s="278"/>
      <c r="BX16" s="278"/>
      <c r="BY16" s="278"/>
      <c r="BZ16" s="351"/>
    </row>
    <row r="17" spans="1:78" s="90" customFormat="1" ht="19.5" hidden="1" customHeight="1">
      <c r="A17" s="137"/>
      <c r="B17" s="197">
        <f t="shared" si="1"/>
        <v>7</v>
      </c>
      <c r="C17" s="30" t="s">
        <v>206</v>
      </c>
      <c r="D17" s="30" t="s">
        <v>225</v>
      </c>
      <c r="E17" s="234" t="s">
        <v>650</v>
      </c>
      <c r="F17" s="235" t="s">
        <v>1297</v>
      </c>
      <c r="G17" s="284">
        <f>IFERROR(VLOOKUP(E17,Assign!$C$2:$J$142,8,FALSE),)</f>
        <v>0</v>
      </c>
      <c r="H17" s="361" t="s">
        <v>5460</v>
      </c>
      <c r="I17" s="363">
        <v>1</v>
      </c>
      <c r="J17" s="364" t="s">
        <v>214</v>
      </c>
      <c r="K17" s="364" t="s">
        <v>349</v>
      </c>
      <c r="L17" s="365" t="s">
        <v>560</v>
      </c>
      <c r="M17" s="362" t="s">
        <v>3191</v>
      </c>
      <c r="N17" s="421" t="s">
        <v>533</v>
      </c>
      <c r="O17" s="269">
        <v>292.09500000000003</v>
      </c>
      <c r="P17" s="269">
        <v>1104.68</v>
      </c>
      <c r="Q17" s="426"/>
      <c r="R17" s="418" t="s">
        <v>650</v>
      </c>
      <c r="S17" s="427" t="s">
        <v>613</v>
      </c>
      <c r="T17" s="357">
        <v>1</v>
      </c>
      <c r="U17" s="357" t="s">
        <v>204</v>
      </c>
      <c r="V17" s="367">
        <v>5400000000</v>
      </c>
      <c r="W17" s="368">
        <v>5400000000</v>
      </c>
      <c r="X17" s="357"/>
      <c r="Y17" s="357"/>
      <c r="Z17" s="400"/>
      <c r="AA17" s="369"/>
      <c r="AB17" s="370"/>
      <c r="AC17" s="404"/>
      <c r="AD17" s="270"/>
      <c r="AE17" s="156"/>
      <c r="AF17" s="156"/>
      <c r="AG17" s="357"/>
      <c r="AH17" s="357"/>
      <c r="AI17" s="357"/>
      <c r="AJ17" s="156"/>
      <c r="AK17" s="156"/>
      <c r="AL17" s="375"/>
      <c r="AM17" s="405"/>
      <c r="AN17" s="273"/>
      <c r="AO17" s="405"/>
      <c r="AP17" s="273"/>
      <c r="AQ17" s="273"/>
      <c r="AR17" s="273"/>
      <c r="AS17" s="273"/>
      <c r="AT17" s="273"/>
      <c r="AU17" s="273"/>
      <c r="AV17" s="322">
        <f t="shared" si="2"/>
        <v>0</v>
      </c>
      <c r="AW17" s="402"/>
      <c r="AX17" s="376"/>
      <c r="AY17" s="373"/>
      <c r="AZ17" s="375"/>
      <c r="BA17" s="375"/>
      <c r="BB17" s="375"/>
      <c r="BC17" s="375"/>
      <c r="BD17" s="353">
        <f t="shared" si="3"/>
        <v>0</v>
      </c>
      <c r="BE17" s="432" t="s">
        <v>355</v>
      </c>
      <c r="BF17" s="407" t="s">
        <v>500</v>
      </c>
      <c r="BG17" s="168"/>
      <c r="BH17" s="274"/>
      <c r="BI17" s="168"/>
      <c r="BJ17" s="274"/>
      <c r="BK17" s="168"/>
      <c r="BL17" s="275"/>
      <c r="BM17" s="276"/>
      <c r="BN17" s="275"/>
      <c r="BO17" s="276"/>
      <c r="BP17" s="277"/>
      <c r="BQ17" s="156"/>
      <c r="BR17" s="274"/>
      <c r="BS17" s="270"/>
      <c r="BT17" s="270"/>
      <c r="BU17" s="274"/>
      <c r="BV17" s="274"/>
      <c r="BW17" s="278"/>
      <c r="BX17" s="278"/>
      <c r="BY17" s="278"/>
      <c r="BZ17" s="351"/>
    </row>
    <row r="18" spans="1:78" s="90" customFormat="1" ht="19.5" hidden="1" customHeight="1">
      <c r="A18" s="137"/>
      <c r="B18" s="197">
        <f t="shared" si="1"/>
        <v>8</v>
      </c>
      <c r="C18" s="30" t="s">
        <v>206</v>
      </c>
      <c r="D18" s="30" t="s">
        <v>225</v>
      </c>
      <c r="E18" s="234" t="s">
        <v>651</v>
      </c>
      <c r="F18" s="235" t="s">
        <v>1298</v>
      </c>
      <c r="G18" s="284">
        <f>IFERROR(VLOOKUP(E18,Assign!$C$2:$J$142,8,FALSE),)</f>
        <v>0</v>
      </c>
      <c r="H18" s="361" t="s">
        <v>5317</v>
      </c>
      <c r="I18" s="363">
        <v>1</v>
      </c>
      <c r="J18" s="364" t="s">
        <v>219</v>
      </c>
      <c r="K18" s="364" t="s">
        <v>2796</v>
      </c>
      <c r="L18" s="365" t="s">
        <v>2797</v>
      </c>
      <c r="M18" s="362" t="s">
        <v>3175</v>
      </c>
      <c r="N18" s="421" t="s">
        <v>285</v>
      </c>
      <c r="O18" s="269">
        <v>8265.9</v>
      </c>
      <c r="P18" s="269">
        <v>1985.5</v>
      </c>
      <c r="Q18" s="426">
        <v>4</v>
      </c>
      <c r="R18" s="418" t="s">
        <v>3453</v>
      </c>
      <c r="S18" s="427" t="s">
        <v>613</v>
      </c>
      <c r="T18" s="357" t="s">
        <v>233</v>
      </c>
      <c r="U18" s="357" t="s">
        <v>204</v>
      </c>
      <c r="V18" s="367">
        <v>4695600000</v>
      </c>
      <c r="W18" s="368">
        <v>4695600000</v>
      </c>
      <c r="X18" s="357"/>
      <c r="Y18" s="357"/>
      <c r="Z18" s="400"/>
      <c r="AA18" s="369"/>
      <c r="AB18" s="370"/>
      <c r="AC18" s="404"/>
      <c r="AD18" s="270"/>
      <c r="AE18" s="156"/>
      <c r="AF18" s="156"/>
      <c r="AG18" s="357"/>
      <c r="AH18" s="357"/>
      <c r="AI18" s="357"/>
      <c r="AJ18" s="156"/>
      <c r="AK18" s="156"/>
      <c r="AL18" s="375"/>
      <c r="AM18" s="405"/>
      <c r="AN18" s="273"/>
      <c r="AO18" s="405"/>
      <c r="AP18" s="273"/>
      <c r="AQ18" s="273"/>
      <c r="AR18" s="273"/>
      <c r="AS18" s="273"/>
      <c r="AT18" s="273"/>
      <c r="AU18" s="273"/>
      <c r="AV18" s="322">
        <f t="shared" si="2"/>
        <v>0</v>
      </c>
      <c r="AW18" s="402"/>
      <c r="AX18" s="376"/>
      <c r="AY18" s="373"/>
      <c r="AZ18" s="375"/>
      <c r="BA18" s="375"/>
      <c r="BB18" s="375"/>
      <c r="BC18" s="375"/>
      <c r="BD18" s="353">
        <f t="shared" si="3"/>
        <v>0</v>
      </c>
      <c r="BE18" s="432" t="s">
        <v>335</v>
      </c>
      <c r="BF18" s="407" t="s">
        <v>3215</v>
      </c>
      <c r="BG18" s="168" t="s">
        <v>1373</v>
      </c>
      <c r="BH18" s="274">
        <v>45742</v>
      </c>
      <c r="BI18" s="168" t="s">
        <v>3343</v>
      </c>
      <c r="BJ18" s="274">
        <v>45838</v>
      </c>
      <c r="BK18" s="168">
        <v>3851328384</v>
      </c>
      <c r="BL18" s="275"/>
      <c r="BM18" s="276"/>
      <c r="BN18" s="275"/>
      <c r="BO18" s="276"/>
      <c r="BP18" s="277"/>
      <c r="BQ18" s="156"/>
      <c r="BR18" s="274"/>
      <c r="BS18" s="270"/>
      <c r="BT18" s="270"/>
      <c r="BU18" s="274"/>
      <c r="BV18" s="274"/>
      <c r="BW18" s="278"/>
      <c r="BX18" s="278"/>
      <c r="BY18" s="278"/>
      <c r="BZ18" s="351"/>
    </row>
    <row r="19" spans="1:78" s="90" customFormat="1" ht="19.5" hidden="1" customHeight="1">
      <c r="A19" s="137"/>
      <c r="B19" s="197">
        <f t="shared" si="1"/>
        <v>9</v>
      </c>
      <c r="C19" s="30" t="s">
        <v>206</v>
      </c>
      <c r="D19" s="30" t="s">
        <v>225</v>
      </c>
      <c r="E19" s="234" t="s">
        <v>651</v>
      </c>
      <c r="F19" s="235" t="s">
        <v>1298</v>
      </c>
      <c r="G19" s="284">
        <f>IFERROR(VLOOKUP(E19,Assign!$C$2:$J$142,8,FALSE),)</f>
        <v>0</v>
      </c>
      <c r="H19" s="361" t="s">
        <v>5321</v>
      </c>
      <c r="I19" s="363">
        <v>2</v>
      </c>
      <c r="J19" s="364" t="s">
        <v>219</v>
      </c>
      <c r="K19" s="364" t="s">
        <v>2796</v>
      </c>
      <c r="L19" s="365" t="s">
        <v>2801</v>
      </c>
      <c r="M19" s="362" t="s">
        <v>2802</v>
      </c>
      <c r="N19" s="421" t="s">
        <v>207</v>
      </c>
      <c r="O19" s="269">
        <v>61.073</v>
      </c>
      <c r="P19" s="269">
        <v>133.97</v>
      </c>
      <c r="Q19" s="426"/>
      <c r="R19" s="418" t="s">
        <v>3452</v>
      </c>
      <c r="S19" s="427" t="s">
        <v>613</v>
      </c>
      <c r="T19" s="357">
        <v>3</v>
      </c>
      <c r="U19" s="357" t="s">
        <v>204</v>
      </c>
      <c r="V19" s="367">
        <v>66000000</v>
      </c>
      <c r="W19" s="368">
        <v>66000000</v>
      </c>
      <c r="X19" s="357"/>
      <c r="Y19" s="357"/>
      <c r="Z19" s="400"/>
      <c r="AA19" s="369"/>
      <c r="AB19" s="370"/>
      <c r="AC19" s="404" t="s">
        <v>229</v>
      </c>
      <c r="AD19" s="270" t="s">
        <v>204</v>
      </c>
      <c r="AE19" s="156">
        <v>367650000</v>
      </c>
      <c r="AF19" s="156">
        <v>367650000</v>
      </c>
      <c r="AG19" s="357"/>
      <c r="AH19" s="357"/>
      <c r="AI19" s="357"/>
      <c r="AJ19" s="156"/>
      <c r="AK19" s="156"/>
      <c r="AL19" s="375"/>
      <c r="AM19" s="405"/>
      <c r="AN19" s="273"/>
      <c r="AO19" s="405"/>
      <c r="AP19" s="273"/>
      <c r="AQ19" s="273"/>
      <c r="AR19" s="273"/>
      <c r="AS19" s="273"/>
      <c r="AT19" s="273"/>
      <c r="AU19" s="273"/>
      <c r="AV19" s="322">
        <f t="shared" si="2"/>
        <v>0</v>
      </c>
      <c r="AW19" s="402" t="s">
        <v>3387</v>
      </c>
      <c r="AX19" s="376">
        <v>45765</v>
      </c>
      <c r="AY19" s="373" t="s">
        <v>3388</v>
      </c>
      <c r="AZ19" s="375"/>
      <c r="BA19" s="375">
        <v>460000000</v>
      </c>
      <c r="BB19" s="375"/>
      <c r="BC19" s="375"/>
      <c r="BD19" s="353">
        <f t="shared" si="3"/>
        <v>460000000</v>
      </c>
      <c r="BE19" s="432" t="s">
        <v>355</v>
      </c>
      <c r="BF19" s="407" t="s">
        <v>3215</v>
      </c>
      <c r="BG19" s="168"/>
      <c r="BH19" s="274"/>
      <c r="BI19" s="168"/>
      <c r="BJ19" s="274"/>
      <c r="BK19" s="168"/>
      <c r="BL19" s="275"/>
      <c r="BM19" s="276"/>
      <c r="BN19" s="275"/>
      <c r="BO19" s="276"/>
      <c r="BP19" s="277"/>
      <c r="BQ19" s="156"/>
      <c r="BR19" s="274"/>
      <c r="BS19" s="270"/>
      <c r="BT19" s="270"/>
      <c r="BU19" s="274"/>
      <c r="BV19" s="274"/>
      <c r="BW19" s="278"/>
      <c r="BX19" s="278"/>
      <c r="BY19" s="278"/>
      <c r="BZ19" s="351"/>
    </row>
    <row r="20" spans="1:78" s="90" customFormat="1" ht="19.5" hidden="1" customHeight="1">
      <c r="A20" s="137"/>
      <c r="B20" s="197">
        <f t="shared" si="1"/>
        <v>10</v>
      </c>
      <c r="C20" s="30" t="s">
        <v>206</v>
      </c>
      <c r="D20" s="30" t="s">
        <v>225</v>
      </c>
      <c r="E20" s="234" t="s">
        <v>652</v>
      </c>
      <c r="F20" s="235" t="s">
        <v>1299</v>
      </c>
      <c r="G20" s="284">
        <f>IFERROR(VLOOKUP(E20,Assign!$C$2:$J$142,8,FALSE),)</f>
        <v>0</v>
      </c>
      <c r="H20" s="361" t="s">
        <v>5273</v>
      </c>
      <c r="I20" s="363">
        <v>1</v>
      </c>
      <c r="J20" s="364" t="s">
        <v>219</v>
      </c>
      <c r="K20" s="364" t="s">
        <v>2759</v>
      </c>
      <c r="L20" s="365" t="s">
        <v>2760</v>
      </c>
      <c r="M20" s="362" t="s">
        <v>3170</v>
      </c>
      <c r="N20" s="421" t="s">
        <v>285</v>
      </c>
      <c r="O20" s="269">
        <v>7753.8</v>
      </c>
      <c r="P20" s="269">
        <v>2082.52</v>
      </c>
      <c r="Q20" s="426"/>
      <c r="R20" s="418" t="s">
        <v>652</v>
      </c>
      <c r="S20" s="427" t="s">
        <v>613</v>
      </c>
      <c r="T20" s="357" t="s">
        <v>229</v>
      </c>
      <c r="U20" s="357" t="s">
        <v>204</v>
      </c>
      <c r="V20" s="367">
        <v>4344000000</v>
      </c>
      <c r="W20" s="368">
        <v>4344000000</v>
      </c>
      <c r="X20" s="357">
        <v>2</v>
      </c>
      <c r="Y20" s="357" t="s">
        <v>229</v>
      </c>
      <c r="Z20" s="400" t="s">
        <v>3206</v>
      </c>
      <c r="AA20" s="369">
        <v>4344000000</v>
      </c>
      <c r="AB20" s="370">
        <v>4344000000</v>
      </c>
      <c r="AC20" s="404"/>
      <c r="AD20" s="270"/>
      <c r="AE20" s="156"/>
      <c r="AF20" s="156"/>
      <c r="AG20" s="357"/>
      <c r="AH20" s="357"/>
      <c r="AI20" s="357"/>
      <c r="AJ20" s="156"/>
      <c r="AK20" s="156"/>
      <c r="AL20" s="375"/>
      <c r="AM20" s="405"/>
      <c r="AN20" s="273"/>
      <c r="AO20" s="405"/>
      <c r="AP20" s="273"/>
      <c r="AQ20" s="273"/>
      <c r="AR20" s="273"/>
      <c r="AS20" s="273"/>
      <c r="AT20" s="273"/>
      <c r="AU20" s="273"/>
      <c r="AV20" s="322">
        <f t="shared" si="2"/>
        <v>0</v>
      </c>
      <c r="AW20" s="402"/>
      <c r="AX20" s="376"/>
      <c r="AY20" s="373"/>
      <c r="AZ20" s="375"/>
      <c r="BA20" s="375"/>
      <c r="BB20" s="375"/>
      <c r="BC20" s="375"/>
      <c r="BD20" s="353">
        <f t="shared" si="3"/>
        <v>0</v>
      </c>
      <c r="BE20" s="432" t="s">
        <v>355</v>
      </c>
      <c r="BF20" s="407" t="s">
        <v>3214</v>
      </c>
      <c r="BG20" s="168"/>
      <c r="BH20" s="274"/>
      <c r="BI20" s="168"/>
      <c r="BJ20" s="274"/>
      <c r="BK20" s="168"/>
      <c r="BL20" s="275"/>
      <c r="BM20" s="276"/>
      <c r="BN20" s="275"/>
      <c r="BO20" s="276"/>
      <c r="BP20" s="277"/>
      <c r="BQ20" s="156"/>
      <c r="BR20" s="274"/>
      <c r="BS20" s="270"/>
      <c r="BT20" s="270"/>
      <c r="BU20" s="274"/>
      <c r="BV20" s="274"/>
      <c r="BW20" s="278"/>
      <c r="BX20" s="278"/>
      <c r="BY20" s="278"/>
      <c r="BZ20" s="351"/>
    </row>
    <row r="21" spans="1:78" s="90" customFormat="1" ht="19.5" hidden="1" customHeight="1">
      <c r="A21" s="137"/>
      <c r="B21" s="197">
        <f t="shared" si="1"/>
        <v>11</v>
      </c>
      <c r="C21" s="30" t="s">
        <v>206</v>
      </c>
      <c r="D21" s="30" t="s">
        <v>225</v>
      </c>
      <c r="E21" s="234" t="s">
        <v>652</v>
      </c>
      <c r="F21" s="235" t="s">
        <v>1299</v>
      </c>
      <c r="G21" s="284">
        <f>IFERROR(VLOOKUP(E21,Assign!$C$2:$J$142,8,FALSE),)</f>
        <v>0</v>
      </c>
      <c r="H21" s="361" t="s">
        <v>5276</v>
      </c>
      <c r="I21" s="363">
        <v>2</v>
      </c>
      <c r="J21" s="364" t="s">
        <v>216</v>
      </c>
      <c r="K21" s="364" t="s">
        <v>294</v>
      </c>
      <c r="L21" s="365" t="s">
        <v>2763</v>
      </c>
      <c r="M21" s="362" t="s">
        <v>3171</v>
      </c>
      <c r="N21" s="421" t="s">
        <v>245</v>
      </c>
      <c r="O21" s="269">
        <v>3306</v>
      </c>
      <c r="P21" s="269"/>
      <c r="Q21" s="426"/>
      <c r="R21" s="418" t="s">
        <v>3462</v>
      </c>
      <c r="S21" s="427" t="s">
        <v>613</v>
      </c>
      <c r="T21" s="357" t="s">
        <v>229</v>
      </c>
      <c r="U21" s="357" t="s">
        <v>204</v>
      </c>
      <c r="V21" s="367">
        <v>4344000000</v>
      </c>
      <c r="W21" s="368">
        <v>4344000000</v>
      </c>
      <c r="X21" s="357">
        <v>1</v>
      </c>
      <c r="Y21" s="357" t="s">
        <v>229</v>
      </c>
      <c r="Z21" s="400" t="s">
        <v>3206</v>
      </c>
      <c r="AA21" s="369">
        <v>4344000000</v>
      </c>
      <c r="AB21" s="370">
        <v>4344000000</v>
      </c>
      <c r="AC21" s="404"/>
      <c r="AD21" s="270"/>
      <c r="AE21" s="156"/>
      <c r="AF21" s="156"/>
      <c r="AG21" s="357"/>
      <c r="AH21" s="357"/>
      <c r="AI21" s="357"/>
      <c r="AJ21" s="156"/>
      <c r="AK21" s="156"/>
      <c r="AL21" s="375"/>
      <c r="AM21" s="405"/>
      <c r="AN21" s="273"/>
      <c r="AO21" s="405"/>
      <c r="AP21" s="273"/>
      <c r="AQ21" s="273"/>
      <c r="AR21" s="273"/>
      <c r="AS21" s="273"/>
      <c r="AT21" s="273"/>
      <c r="AU21" s="273"/>
      <c r="AV21" s="322">
        <f t="shared" si="2"/>
        <v>0</v>
      </c>
      <c r="AW21" s="402"/>
      <c r="AX21" s="274"/>
      <c r="AY21" s="270"/>
      <c r="AZ21" s="156"/>
      <c r="BA21" s="156"/>
      <c r="BB21" s="156"/>
      <c r="BC21" s="156"/>
      <c r="BD21" s="353">
        <f t="shared" si="3"/>
        <v>0</v>
      </c>
      <c r="BE21" s="432" t="s">
        <v>355</v>
      </c>
      <c r="BF21" s="407" t="s">
        <v>509</v>
      </c>
      <c r="BG21" s="168"/>
      <c r="BH21" s="274"/>
      <c r="BI21" s="168"/>
      <c r="BJ21" s="274"/>
      <c r="BK21" s="168"/>
      <c r="BL21" s="275"/>
      <c r="BM21" s="276"/>
      <c r="BN21" s="275"/>
      <c r="BO21" s="276"/>
      <c r="BP21" s="277"/>
      <c r="BQ21" s="156"/>
      <c r="BR21" s="274"/>
      <c r="BS21" s="270"/>
      <c r="BT21" s="270"/>
      <c r="BU21" s="274"/>
      <c r="BV21" s="274"/>
      <c r="BW21" s="278"/>
      <c r="BX21" s="278"/>
      <c r="BY21" s="278"/>
      <c r="BZ21" s="351"/>
    </row>
    <row r="22" spans="1:78" s="90" customFormat="1" ht="19.5" hidden="1" customHeight="1">
      <c r="A22" s="137"/>
      <c r="B22" s="197">
        <f t="shared" si="1"/>
        <v>12</v>
      </c>
      <c r="C22" s="30" t="s">
        <v>206</v>
      </c>
      <c r="D22" s="30" t="s">
        <v>225</v>
      </c>
      <c r="E22" s="234" t="s">
        <v>653</v>
      </c>
      <c r="F22" s="235" t="s">
        <v>1219</v>
      </c>
      <c r="G22" s="284">
        <f>IFERROR(VLOOKUP(E22,Assign!$C$2:$J$142,8,FALSE),)</f>
        <v>0</v>
      </c>
      <c r="H22" s="361" t="s">
        <v>4913</v>
      </c>
      <c r="I22" s="363">
        <v>1</v>
      </c>
      <c r="J22" s="364" t="s">
        <v>213</v>
      </c>
      <c r="K22" s="364" t="s">
        <v>371</v>
      </c>
      <c r="L22" s="365" t="s">
        <v>2431</v>
      </c>
      <c r="M22" s="362" t="s">
        <v>3136</v>
      </c>
      <c r="N22" s="421" t="s">
        <v>285</v>
      </c>
      <c r="O22" s="269">
        <v>1118</v>
      </c>
      <c r="P22" s="269">
        <v>3636.6</v>
      </c>
      <c r="Q22" s="426">
        <v>2</v>
      </c>
      <c r="R22" s="418" t="s">
        <v>653</v>
      </c>
      <c r="S22" s="427" t="s">
        <v>613</v>
      </c>
      <c r="T22" s="357" t="s">
        <v>229</v>
      </c>
      <c r="U22" s="357" t="s">
        <v>204</v>
      </c>
      <c r="V22" s="367">
        <v>3996000000</v>
      </c>
      <c r="W22" s="368">
        <v>3996000000</v>
      </c>
      <c r="X22" s="357"/>
      <c r="Y22" s="357"/>
      <c r="Z22" s="400"/>
      <c r="AA22" s="369"/>
      <c r="AB22" s="370"/>
      <c r="AC22" s="404"/>
      <c r="AD22" s="270"/>
      <c r="AE22" s="156"/>
      <c r="AF22" s="156"/>
      <c r="AG22" s="357"/>
      <c r="AH22" s="357"/>
      <c r="AI22" s="357"/>
      <c r="AJ22" s="156"/>
      <c r="AK22" s="156"/>
      <c r="AL22" s="375"/>
      <c r="AM22" s="405"/>
      <c r="AN22" s="273"/>
      <c r="AO22" s="405"/>
      <c r="AP22" s="273"/>
      <c r="AQ22" s="273"/>
      <c r="AR22" s="273"/>
      <c r="AS22" s="273"/>
      <c r="AT22" s="273"/>
      <c r="AU22" s="273"/>
      <c r="AV22" s="322">
        <f t="shared" si="2"/>
        <v>0</v>
      </c>
      <c r="AW22" s="402"/>
      <c r="AX22" s="274"/>
      <c r="AY22" s="270"/>
      <c r="AZ22" s="156"/>
      <c r="BA22" s="156"/>
      <c r="BB22" s="156"/>
      <c r="BC22" s="156"/>
      <c r="BD22" s="353">
        <f t="shared" si="3"/>
        <v>0</v>
      </c>
      <c r="BE22" s="432" t="s">
        <v>355</v>
      </c>
      <c r="BF22" s="407" t="s">
        <v>505</v>
      </c>
      <c r="BG22" s="168"/>
      <c r="BH22" s="274"/>
      <c r="BI22" s="168"/>
      <c r="BJ22" s="274"/>
      <c r="BK22" s="168"/>
      <c r="BL22" s="275"/>
      <c r="BM22" s="276"/>
      <c r="BN22" s="275"/>
      <c r="BO22" s="276"/>
      <c r="BP22" s="277"/>
      <c r="BQ22" s="156"/>
      <c r="BR22" s="274"/>
      <c r="BS22" s="270"/>
      <c r="BT22" s="270"/>
      <c r="BU22" s="274"/>
      <c r="BV22" s="274"/>
      <c r="BW22" s="278"/>
      <c r="BX22" s="278"/>
      <c r="BY22" s="278"/>
      <c r="BZ22" s="351"/>
    </row>
    <row r="23" spans="1:78" s="90" customFormat="1" ht="19.5" hidden="1" customHeight="1">
      <c r="A23" s="137"/>
      <c r="B23" s="197">
        <f t="shared" si="1"/>
        <v>13</v>
      </c>
      <c r="C23" s="30" t="s">
        <v>206</v>
      </c>
      <c r="D23" s="30" t="s">
        <v>225</v>
      </c>
      <c r="E23" s="234" t="s">
        <v>654</v>
      </c>
      <c r="F23" s="235" t="s">
        <v>1217</v>
      </c>
      <c r="G23" s="284">
        <f>IFERROR(VLOOKUP(E23,Assign!$C$2:$J$142,8,FALSE),)</f>
        <v>0</v>
      </c>
      <c r="H23" s="361" t="s">
        <v>3961</v>
      </c>
      <c r="I23" s="363">
        <v>1</v>
      </c>
      <c r="J23" s="364" t="s">
        <v>208</v>
      </c>
      <c r="K23" s="364" t="s">
        <v>228</v>
      </c>
      <c r="L23" s="365" t="s">
        <v>1536</v>
      </c>
      <c r="M23" s="362" t="s">
        <v>3096</v>
      </c>
      <c r="N23" s="421" t="s">
        <v>3386</v>
      </c>
      <c r="O23" s="269">
        <v>84.197000000000003</v>
      </c>
      <c r="P23" s="269">
        <v>346.33100000000002</v>
      </c>
      <c r="Q23" s="426"/>
      <c r="R23" s="418" t="s">
        <v>654</v>
      </c>
      <c r="S23" s="427" t="s">
        <v>613</v>
      </c>
      <c r="T23" s="357">
        <v>1</v>
      </c>
      <c r="U23" s="357" t="s">
        <v>204</v>
      </c>
      <c r="V23" s="367">
        <v>3960000000</v>
      </c>
      <c r="W23" s="368">
        <v>3960000000</v>
      </c>
      <c r="X23" s="357"/>
      <c r="Y23" s="357"/>
      <c r="Z23" s="400"/>
      <c r="AA23" s="369"/>
      <c r="AB23" s="370"/>
      <c r="AC23" s="404"/>
      <c r="AD23" s="270"/>
      <c r="AE23" s="156"/>
      <c r="AF23" s="156"/>
      <c r="AG23" s="357"/>
      <c r="AH23" s="357"/>
      <c r="AI23" s="357"/>
      <c r="AJ23" s="156"/>
      <c r="AK23" s="156"/>
      <c r="AL23" s="375"/>
      <c r="AM23" s="405"/>
      <c r="AN23" s="273"/>
      <c r="AO23" s="405"/>
      <c r="AP23" s="273"/>
      <c r="AQ23" s="273"/>
      <c r="AR23" s="273"/>
      <c r="AS23" s="273"/>
      <c r="AT23" s="273"/>
      <c r="AU23" s="273"/>
      <c r="AV23" s="322">
        <f t="shared" si="2"/>
        <v>0</v>
      </c>
      <c r="AW23" s="402"/>
      <c r="AX23" s="274"/>
      <c r="AY23" s="270"/>
      <c r="AZ23" s="156"/>
      <c r="BA23" s="156"/>
      <c r="BB23" s="156"/>
      <c r="BC23" s="156"/>
      <c r="BD23" s="353">
        <f t="shared" si="3"/>
        <v>0</v>
      </c>
      <c r="BE23" s="432" t="s">
        <v>355</v>
      </c>
      <c r="BF23" s="407" t="s">
        <v>424</v>
      </c>
      <c r="BG23" s="168"/>
      <c r="BH23" s="274"/>
      <c r="BI23" s="168"/>
      <c r="BJ23" s="274"/>
      <c r="BK23" s="168"/>
      <c r="BL23" s="275"/>
      <c r="BM23" s="276"/>
      <c r="BN23" s="275"/>
      <c r="BO23" s="276"/>
      <c r="BP23" s="277"/>
      <c r="BQ23" s="156"/>
      <c r="BR23" s="274"/>
      <c r="BS23" s="270"/>
      <c r="BT23" s="270"/>
      <c r="BU23" s="274"/>
      <c r="BV23" s="274"/>
      <c r="BW23" s="278"/>
      <c r="BX23" s="278"/>
      <c r="BY23" s="278"/>
      <c r="BZ23" s="351"/>
    </row>
    <row r="24" spans="1:78" s="90" customFormat="1" ht="19.5" hidden="1" customHeight="1">
      <c r="A24" s="137"/>
      <c r="B24" s="197">
        <f t="shared" si="1"/>
        <v>14</v>
      </c>
      <c r="C24" s="30" t="s">
        <v>206</v>
      </c>
      <c r="D24" s="30" t="s">
        <v>225</v>
      </c>
      <c r="E24" s="234" t="s">
        <v>655</v>
      </c>
      <c r="F24" s="235" t="s">
        <v>1220</v>
      </c>
      <c r="G24" s="284">
        <f>IFERROR(VLOOKUP(E24,Assign!$C$2:$J$142,8,FALSE),)</f>
        <v>0</v>
      </c>
      <c r="H24" s="361" t="s">
        <v>4917</v>
      </c>
      <c r="I24" s="363">
        <v>1</v>
      </c>
      <c r="J24" s="364" t="s">
        <v>211</v>
      </c>
      <c r="K24" s="364" t="s">
        <v>2435</v>
      </c>
      <c r="L24" s="365" t="s">
        <v>2436</v>
      </c>
      <c r="M24" s="362" t="s">
        <v>3137</v>
      </c>
      <c r="N24" s="421" t="s">
        <v>595</v>
      </c>
      <c r="O24" s="269">
        <v>7250</v>
      </c>
      <c r="P24" s="269">
        <v>3324.8900000000003</v>
      </c>
      <c r="Q24" s="426"/>
      <c r="R24" s="418" t="s">
        <v>655</v>
      </c>
      <c r="S24" s="427" t="s">
        <v>613</v>
      </c>
      <c r="T24" s="357">
        <v>1</v>
      </c>
      <c r="U24" s="357" t="s">
        <v>204</v>
      </c>
      <c r="V24" s="367">
        <v>3180000000</v>
      </c>
      <c r="W24" s="368">
        <v>3180000000</v>
      </c>
      <c r="X24" s="357"/>
      <c r="Y24" s="357"/>
      <c r="Z24" s="400"/>
      <c r="AA24" s="369"/>
      <c r="AB24" s="370"/>
      <c r="AC24" s="404"/>
      <c r="AD24" s="270"/>
      <c r="AE24" s="156"/>
      <c r="AF24" s="156"/>
      <c r="AG24" s="357"/>
      <c r="AH24" s="357"/>
      <c r="AI24" s="357"/>
      <c r="AJ24" s="156"/>
      <c r="AK24" s="156"/>
      <c r="AL24" s="375"/>
      <c r="AM24" s="405"/>
      <c r="AN24" s="273"/>
      <c r="AO24" s="405"/>
      <c r="AP24" s="273"/>
      <c r="AQ24" s="273"/>
      <c r="AR24" s="273"/>
      <c r="AS24" s="273"/>
      <c r="AT24" s="273"/>
      <c r="AU24" s="273"/>
      <c r="AV24" s="322">
        <f t="shared" si="2"/>
        <v>0</v>
      </c>
      <c r="AW24" s="402"/>
      <c r="AX24" s="376"/>
      <c r="AY24" s="373"/>
      <c r="AZ24" s="375"/>
      <c r="BA24" s="375"/>
      <c r="BB24" s="375"/>
      <c r="BC24" s="375"/>
      <c r="BD24" s="353">
        <f t="shared" si="3"/>
        <v>0</v>
      </c>
      <c r="BE24" s="432" t="s">
        <v>355</v>
      </c>
      <c r="BF24" s="407" t="s">
        <v>3209</v>
      </c>
      <c r="BG24" s="168"/>
      <c r="BH24" s="274"/>
      <c r="BI24" s="168"/>
      <c r="BJ24" s="274"/>
      <c r="BK24" s="168"/>
      <c r="BL24" s="275"/>
      <c r="BM24" s="276"/>
      <c r="BN24" s="275"/>
      <c r="BO24" s="276"/>
      <c r="BP24" s="277"/>
      <c r="BQ24" s="156"/>
      <c r="BR24" s="274"/>
      <c r="BS24" s="270"/>
      <c r="BT24" s="270"/>
      <c r="BU24" s="274"/>
      <c r="BV24" s="274"/>
      <c r="BW24" s="278"/>
      <c r="BX24" s="278"/>
      <c r="BY24" s="278"/>
      <c r="BZ24" s="351"/>
    </row>
    <row r="25" spans="1:78" s="90" customFormat="1" ht="19.5" hidden="1" customHeight="1">
      <c r="A25" s="137"/>
      <c r="B25" s="197">
        <f t="shared" si="1"/>
        <v>15</v>
      </c>
      <c r="C25" s="30" t="s">
        <v>206</v>
      </c>
      <c r="D25" s="30" t="s">
        <v>225</v>
      </c>
      <c r="E25" s="234" t="s">
        <v>656</v>
      </c>
      <c r="F25" s="235" t="s">
        <v>1217</v>
      </c>
      <c r="G25" s="284">
        <f>IFERROR(VLOOKUP(E25,Assign!$C$2:$J$142,8,FALSE),)</f>
        <v>0</v>
      </c>
      <c r="H25" s="361" t="s">
        <v>3918</v>
      </c>
      <c r="I25" s="363">
        <v>1</v>
      </c>
      <c r="J25" s="364" t="s">
        <v>209</v>
      </c>
      <c r="K25" s="364" t="s">
        <v>231</v>
      </c>
      <c r="L25" s="365" t="s">
        <v>1488</v>
      </c>
      <c r="M25" s="362" t="s">
        <v>3088</v>
      </c>
      <c r="N25" s="421" t="s">
        <v>296</v>
      </c>
      <c r="O25" s="269">
        <v>538.4</v>
      </c>
      <c r="P25" s="269">
        <v>461.73</v>
      </c>
      <c r="Q25" s="426"/>
      <c r="R25" s="418" t="s">
        <v>656</v>
      </c>
      <c r="S25" s="427" t="s">
        <v>613</v>
      </c>
      <c r="T25" s="357">
        <v>1</v>
      </c>
      <c r="U25" s="357" t="s">
        <v>204</v>
      </c>
      <c r="V25" s="367">
        <v>1300000000</v>
      </c>
      <c r="W25" s="368">
        <v>1300000000</v>
      </c>
      <c r="X25" s="357"/>
      <c r="Y25" s="357"/>
      <c r="Z25" s="400"/>
      <c r="AA25" s="369"/>
      <c r="AB25" s="370"/>
      <c r="AC25" s="404"/>
      <c r="AD25" s="270"/>
      <c r="AE25" s="156"/>
      <c r="AF25" s="156"/>
      <c r="AG25" s="357"/>
      <c r="AH25" s="357"/>
      <c r="AI25" s="357"/>
      <c r="AJ25" s="156"/>
      <c r="AK25" s="156"/>
      <c r="AL25" s="375"/>
      <c r="AM25" s="405"/>
      <c r="AN25" s="273"/>
      <c r="AO25" s="405"/>
      <c r="AP25" s="273"/>
      <c r="AQ25" s="273"/>
      <c r="AR25" s="273"/>
      <c r="AS25" s="273"/>
      <c r="AT25" s="273"/>
      <c r="AU25" s="273"/>
      <c r="AV25" s="322">
        <f t="shared" si="2"/>
        <v>0</v>
      </c>
      <c r="AW25" s="402"/>
      <c r="AX25" s="274"/>
      <c r="AY25" s="270"/>
      <c r="AZ25" s="156"/>
      <c r="BA25" s="156"/>
      <c r="BB25" s="156"/>
      <c r="BC25" s="156"/>
      <c r="BD25" s="353">
        <f t="shared" si="3"/>
        <v>0</v>
      </c>
      <c r="BE25" s="432" t="s">
        <v>355</v>
      </c>
      <c r="BF25" s="407" t="s">
        <v>511</v>
      </c>
      <c r="BG25" s="168"/>
      <c r="BH25" s="274"/>
      <c r="BI25" s="168"/>
      <c r="BJ25" s="274"/>
      <c r="BK25" s="168"/>
      <c r="BL25" s="275"/>
      <c r="BM25" s="276"/>
      <c r="BN25" s="275"/>
      <c r="BO25" s="276"/>
      <c r="BP25" s="277"/>
      <c r="BQ25" s="156"/>
      <c r="BR25" s="274"/>
      <c r="BS25" s="270"/>
      <c r="BT25" s="270"/>
      <c r="BU25" s="274"/>
      <c r="BV25" s="274"/>
      <c r="BW25" s="278"/>
      <c r="BX25" s="278"/>
      <c r="BY25" s="278"/>
      <c r="BZ25" s="351"/>
    </row>
    <row r="26" spans="1:78" s="90" customFormat="1" ht="19.5" hidden="1" customHeight="1">
      <c r="A26" s="137"/>
      <c r="B26" s="197">
        <f t="shared" si="1"/>
        <v>16</v>
      </c>
      <c r="C26" s="30" t="s">
        <v>206</v>
      </c>
      <c r="D26" s="30" t="s">
        <v>225</v>
      </c>
      <c r="E26" s="234" t="s">
        <v>656</v>
      </c>
      <c r="F26" s="235" t="s">
        <v>1217</v>
      </c>
      <c r="G26" s="284">
        <f>IFERROR(VLOOKUP(E26,Assign!$C$2:$J$142,8,FALSE),)</f>
        <v>0</v>
      </c>
      <c r="H26" s="361" t="s">
        <v>3921</v>
      </c>
      <c r="I26" s="363">
        <v>2</v>
      </c>
      <c r="J26" s="364" t="s">
        <v>209</v>
      </c>
      <c r="K26" s="364" t="s">
        <v>286</v>
      </c>
      <c r="L26" s="365" t="s">
        <v>1491</v>
      </c>
      <c r="M26" s="362" t="s">
        <v>1492</v>
      </c>
      <c r="N26" s="421" t="s">
        <v>3074</v>
      </c>
      <c r="O26" s="269">
        <v>11.432499999999999</v>
      </c>
      <c r="P26" s="269">
        <v>36.849699999999999</v>
      </c>
      <c r="Q26" s="426"/>
      <c r="R26" s="418" t="s">
        <v>3419</v>
      </c>
      <c r="S26" s="427" t="s">
        <v>613</v>
      </c>
      <c r="T26" s="357">
        <v>1</v>
      </c>
      <c r="U26" s="357" t="s">
        <v>204</v>
      </c>
      <c r="V26" s="367">
        <v>960000000</v>
      </c>
      <c r="W26" s="368">
        <v>960000000</v>
      </c>
      <c r="X26" s="357"/>
      <c r="Y26" s="357"/>
      <c r="Z26" s="400"/>
      <c r="AA26" s="369"/>
      <c r="AB26" s="370"/>
      <c r="AC26" s="404"/>
      <c r="AD26" s="270"/>
      <c r="AE26" s="156"/>
      <c r="AF26" s="156"/>
      <c r="AG26" s="357"/>
      <c r="AH26" s="357"/>
      <c r="AI26" s="357"/>
      <c r="AJ26" s="156"/>
      <c r="AK26" s="156"/>
      <c r="AL26" s="375"/>
      <c r="AM26" s="405"/>
      <c r="AN26" s="273"/>
      <c r="AO26" s="405"/>
      <c r="AP26" s="273"/>
      <c r="AQ26" s="273"/>
      <c r="AR26" s="273"/>
      <c r="AS26" s="273"/>
      <c r="AT26" s="273"/>
      <c r="AU26" s="273"/>
      <c r="AV26" s="322">
        <f t="shared" si="2"/>
        <v>0</v>
      </c>
      <c r="AW26" s="402"/>
      <c r="AX26" s="376"/>
      <c r="AY26" s="373"/>
      <c r="AZ26" s="375"/>
      <c r="BA26" s="375"/>
      <c r="BB26" s="156"/>
      <c r="BC26" s="156"/>
      <c r="BD26" s="353">
        <f t="shared" si="3"/>
        <v>0</v>
      </c>
      <c r="BE26" s="432" t="s">
        <v>355</v>
      </c>
      <c r="BF26" s="407" t="s">
        <v>519</v>
      </c>
      <c r="BG26" s="168"/>
      <c r="BH26" s="274"/>
      <c r="BI26" s="168"/>
      <c r="BJ26" s="274"/>
      <c r="BK26" s="168"/>
      <c r="BL26" s="275"/>
      <c r="BM26" s="276"/>
      <c r="BN26" s="275"/>
      <c r="BO26" s="276"/>
      <c r="BP26" s="277"/>
      <c r="BQ26" s="156"/>
      <c r="BR26" s="274"/>
      <c r="BS26" s="270"/>
      <c r="BT26" s="270"/>
      <c r="BU26" s="274"/>
      <c r="BV26" s="274"/>
      <c r="BW26" s="278"/>
      <c r="BX26" s="278"/>
      <c r="BY26" s="278"/>
      <c r="BZ26" s="351"/>
    </row>
    <row r="27" spans="1:78" s="90" customFormat="1" ht="19.5" hidden="1" customHeight="1">
      <c r="A27" s="137"/>
      <c r="B27" s="197">
        <f t="shared" si="1"/>
        <v>17</v>
      </c>
      <c r="C27" s="30" t="s">
        <v>206</v>
      </c>
      <c r="D27" s="30" t="s">
        <v>225</v>
      </c>
      <c r="E27" s="234" t="s">
        <v>657</v>
      </c>
      <c r="F27" s="235" t="s">
        <v>1300</v>
      </c>
      <c r="G27" s="284">
        <f>IFERROR(VLOOKUP(E27,Assign!$C$2:$J$142,8,FALSE),)</f>
        <v>0</v>
      </c>
      <c r="H27" s="361" t="s">
        <v>5378</v>
      </c>
      <c r="I27" s="363">
        <v>1</v>
      </c>
      <c r="J27" s="364" t="s">
        <v>221</v>
      </c>
      <c r="K27" s="364" t="s">
        <v>2852</v>
      </c>
      <c r="L27" s="365" t="s">
        <v>2853</v>
      </c>
      <c r="M27" s="362" t="s">
        <v>3182</v>
      </c>
      <c r="N27" s="421" t="s">
        <v>3506</v>
      </c>
      <c r="O27" s="269">
        <v>3667</v>
      </c>
      <c r="P27" s="269">
        <v>1476.6999999999998</v>
      </c>
      <c r="Q27" s="426"/>
      <c r="R27" s="418" t="s">
        <v>3446</v>
      </c>
      <c r="S27" s="427" t="s">
        <v>613</v>
      </c>
      <c r="T27" s="357">
        <v>1</v>
      </c>
      <c r="U27" s="357" t="s">
        <v>204</v>
      </c>
      <c r="V27" s="367">
        <v>2479200000</v>
      </c>
      <c r="W27" s="368">
        <v>2479200000</v>
      </c>
      <c r="X27" s="357"/>
      <c r="Y27" s="357"/>
      <c r="Z27" s="400"/>
      <c r="AA27" s="369"/>
      <c r="AB27" s="370"/>
      <c r="AC27" s="404"/>
      <c r="AD27" s="270"/>
      <c r="AE27" s="156"/>
      <c r="AF27" s="156"/>
      <c r="AG27" s="357"/>
      <c r="AH27" s="357"/>
      <c r="AI27" s="357"/>
      <c r="AJ27" s="156"/>
      <c r="AK27" s="156"/>
      <c r="AL27" s="375"/>
      <c r="AM27" s="405"/>
      <c r="AN27" s="273"/>
      <c r="AO27" s="405"/>
      <c r="AP27" s="273"/>
      <c r="AQ27" s="273"/>
      <c r="AR27" s="273"/>
      <c r="AS27" s="273"/>
      <c r="AT27" s="273"/>
      <c r="AU27" s="273"/>
      <c r="AV27" s="322">
        <f t="shared" si="2"/>
        <v>0</v>
      </c>
      <c r="AW27" s="402"/>
      <c r="AX27" s="274"/>
      <c r="AY27" s="270"/>
      <c r="AZ27" s="156"/>
      <c r="BA27" s="156"/>
      <c r="BB27" s="156"/>
      <c r="BC27" s="156"/>
      <c r="BD27" s="353">
        <f t="shared" si="3"/>
        <v>0</v>
      </c>
      <c r="BE27" s="432" t="s">
        <v>335</v>
      </c>
      <c r="BF27" s="407" t="s">
        <v>522</v>
      </c>
      <c r="BG27" s="168" t="s">
        <v>1373</v>
      </c>
      <c r="BH27" s="274">
        <v>45743</v>
      </c>
      <c r="BI27" s="168" t="s">
        <v>3345</v>
      </c>
      <c r="BJ27" s="274">
        <v>45838</v>
      </c>
      <c r="BK27" s="168">
        <v>2193532055</v>
      </c>
      <c r="BL27" s="275"/>
      <c r="BM27" s="276"/>
      <c r="BN27" s="275"/>
      <c r="BO27" s="276"/>
      <c r="BP27" s="277"/>
      <c r="BQ27" s="156"/>
      <c r="BR27" s="274"/>
      <c r="BS27" s="270"/>
      <c r="BT27" s="270"/>
      <c r="BU27" s="274"/>
      <c r="BV27" s="274"/>
      <c r="BW27" s="278"/>
      <c r="BX27" s="278"/>
      <c r="BY27" s="278"/>
      <c r="BZ27" s="351"/>
    </row>
    <row r="28" spans="1:78" s="90" customFormat="1" ht="19.5" hidden="1" customHeight="1">
      <c r="A28" s="137"/>
      <c r="B28" s="197">
        <f t="shared" si="1"/>
        <v>18</v>
      </c>
      <c r="C28" s="30" t="s">
        <v>206</v>
      </c>
      <c r="D28" s="30" t="s">
        <v>225</v>
      </c>
      <c r="E28" s="234" t="s">
        <v>658</v>
      </c>
      <c r="F28" s="235" t="s">
        <v>1301</v>
      </c>
      <c r="G28" s="284">
        <f>IFERROR(VLOOKUP(E28,Assign!$C$2:$J$142,8,FALSE),)</f>
        <v>0</v>
      </c>
      <c r="H28" s="361" t="s">
        <v>4986</v>
      </c>
      <c r="I28" s="363">
        <v>1</v>
      </c>
      <c r="J28" s="364" t="s">
        <v>220</v>
      </c>
      <c r="K28" s="364" t="s">
        <v>2184</v>
      </c>
      <c r="L28" s="365" t="s">
        <v>2505</v>
      </c>
      <c r="M28" s="362" t="s">
        <v>3143</v>
      </c>
      <c r="N28" s="421" t="s">
        <v>285</v>
      </c>
      <c r="O28" s="269">
        <v>4147.5</v>
      </c>
      <c r="P28" s="269">
        <v>1506.25</v>
      </c>
      <c r="Q28" s="426">
        <v>7</v>
      </c>
      <c r="R28" s="418" t="s">
        <v>658</v>
      </c>
      <c r="S28" s="427" t="s">
        <v>613</v>
      </c>
      <c r="T28" s="357" t="s">
        <v>333</v>
      </c>
      <c r="U28" s="357" t="s">
        <v>204</v>
      </c>
      <c r="V28" s="367">
        <v>2124000000</v>
      </c>
      <c r="W28" s="368">
        <v>2124000000</v>
      </c>
      <c r="X28" s="357" t="s">
        <v>1403</v>
      </c>
      <c r="Y28" s="357" t="s">
        <v>333</v>
      </c>
      <c r="Z28" s="400" t="s">
        <v>3206</v>
      </c>
      <c r="AA28" s="369">
        <v>2124000000</v>
      </c>
      <c r="AB28" s="370">
        <v>2124000000</v>
      </c>
      <c r="AC28" s="404"/>
      <c r="AD28" s="270"/>
      <c r="AE28" s="156"/>
      <c r="AF28" s="156"/>
      <c r="AG28" s="357"/>
      <c r="AH28" s="357"/>
      <c r="AI28" s="357"/>
      <c r="AJ28" s="156"/>
      <c r="AK28" s="156"/>
      <c r="AL28" s="375"/>
      <c r="AM28" s="405"/>
      <c r="AN28" s="273"/>
      <c r="AO28" s="405"/>
      <c r="AP28" s="273"/>
      <c r="AQ28" s="273"/>
      <c r="AR28" s="273"/>
      <c r="AS28" s="273"/>
      <c r="AT28" s="273"/>
      <c r="AU28" s="273"/>
      <c r="AV28" s="322">
        <f t="shared" si="2"/>
        <v>0</v>
      </c>
      <c r="AW28" s="402"/>
      <c r="AX28" s="274"/>
      <c r="AY28" s="270"/>
      <c r="AZ28" s="156"/>
      <c r="BA28" s="156"/>
      <c r="BB28" s="156"/>
      <c r="BC28" s="156"/>
      <c r="BD28" s="353">
        <f t="shared" si="3"/>
        <v>0</v>
      </c>
      <c r="BE28" s="432" t="s">
        <v>355</v>
      </c>
      <c r="BF28" s="407" t="s">
        <v>521</v>
      </c>
      <c r="BG28" s="168"/>
      <c r="BH28" s="274"/>
      <c r="BI28" s="168"/>
      <c r="BJ28" s="274"/>
      <c r="BK28" s="168"/>
      <c r="BL28" s="275"/>
      <c r="BM28" s="276"/>
      <c r="BN28" s="275"/>
      <c r="BO28" s="276"/>
      <c r="BP28" s="277"/>
      <c r="BQ28" s="156"/>
      <c r="BR28" s="274"/>
      <c r="BS28" s="270"/>
      <c r="BT28" s="270"/>
      <c r="BU28" s="274"/>
      <c r="BV28" s="274"/>
      <c r="BW28" s="278"/>
      <c r="BX28" s="278"/>
      <c r="BY28" s="278"/>
      <c r="BZ28" s="351"/>
    </row>
    <row r="29" spans="1:78" s="90" customFormat="1" ht="19.5" hidden="1" customHeight="1">
      <c r="A29" s="137"/>
      <c r="B29" s="197">
        <f t="shared" si="1"/>
        <v>19</v>
      </c>
      <c r="C29" s="30" t="s">
        <v>206</v>
      </c>
      <c r="D29" s="30" t="s">
        <v>225</v>
      </c>
      <c r="E29" s="234" t="s">
        <v>658</v>
      </c>
      <c r="F29" s="235" t="s">
        <v>1301</v>
      </c>
      <c r="G29" s="284">
        <f>IFERROR(VLOOKUP(E29,Assign!$C$2:$J$142,8,FALSE),)</f>
        <v>0</v>
      </c>
      <c r="H29" s="361" t="s">
        <v>4998</v>
      </c>
      <c r="I29" s="363">
        <v>2</v>
      </c>
      <c r="J29" s="364" t="s">
        <v>220</v>
      </c>
      <c r="K29" s="364" t="s">
        <v>2184</v>
      </c>
      <c r="L29" s="365" t="s">
        <v>2516</v>
      </c>
      <c r="M29" s="362" t="s">
        <v>3144</v>
      </c>
      <c r="N29" s="421" t="s">
        <v>2519</v>
      </c>
      <c r="O29" s="269">
        <v>168</v>
      </c>
      <c r="P29" s="269"/>
      <c r="Q29" s="426" t="s">
        <v>608</v>
      </c>
      <c r="R29" s="418" t="s">
        <v>658</v>
      </c>
      <c r="S29" s="427" t="s">
        <v>613</v>
      </c>
      <c r="T29" s="357" t="s">
        <v>268</v>
      </c>
      <c r="U29" s="357" t="s">
        <v>204</v>
      </c>
      <c r="V29" s="367">
        <v>1944000000</v>
      </c>
      <c r="W29" s="368">
        <v>1944000000</v>
      </c>
      <c r="X29" s="357" t="s">
        <v>1404</v>
      </c>
      <c r="Y29" s="357" t="s">
        <v>268</v>
      </c>
      <c r="Z29" s="400" t="s">
        <v>3206</v>
      </c>
      <c r="AA29" s="369">
        <v>1944000000</v>
      </c>
      <c r="AB29" s="370">
        <v>1944000000</v>
      </c>
      <c r="AC29" s="404"/>
      <c r="AD29" s="270"/>
      <c r="AE29" s="156"/>
      <c r="AF29" s="156"/>
      <c r="AG29" s="357"/>
      <c r="AH29" s="357"/>
      <c r="AI29" s="357"/>
      <c r="AJ29" s="156"/>
      <c r="AK29" s="156"/>
      <c r="AL29" s="375"/>
      <c r="AM29" s="405"/>
      <c r="AN29" s="273"/>
      <c r="AO29" s="405"/>
      <c r="AP29" s="273"/>
      <c r="AQ29" s="273"/>
      <c r="AR29" s="273"/>
      <c r="AS29" s="273"/>
      <c r="AT29" s="273"/>
      <c r="AU29" s="273"/>
      <c r="AV29" s="322">
        <f t="shared" si="2"/>
        <v>0</v>
      </c>
      <c r="AW29" s="402"/>
      <c r="AX29" s="274"/>
      <c r="AY29" s="270"/>
      <c r="AZ29" s="156"/>
      <c r="BA29" s="156"/>
      <c r="BB29" s="156"/>
      <c r="BC29" s="156"/>
      <c r="BD29" s="353">
        <f t="shared" si="3"/>
        <v>0</v>
      </c>
      <c r="BE29" s="432" t="s">
        <v>355</v>
      </c>
      <c r="BF29" s="407" t="s">
        <v>521</v>
      </c>
      <c r="BG29" s="168"/>
      <c r="BH29" s="274"/>
      <c r="BI29" s="168"/>
      <c r="BJ29" s="274"/>
      <c r="BK29" s="168"/>
      <c r="BL29" s="275"/>
      <c r="BM29" s="276"/>
      <c r="BN29" s="275"/>
      <c r="BO29" s="276"/>
      <c r="BP29" s="277"/>
      <c r="BQ29" s="156"/>
      <c r="BR29" s="274"/>
      <c r="BS29" s="270"/>
      <c r="BT29" s="270"/>
      <c r="BU29" s="274"/>
      <c r="BV29" s="274"/>
      <c r="BW29" s="278"/>
      <c r="BX29" s="278"/>
      <c r="BY29" s="278"/>
      <c r="BZ29" s="351"/>
    </row>
    <row r="30" spans="1:78" s="90" customFormat="1" ht="19.5" hidden="1" customHeight="1">
      <c r="A30" s="137"/>
      <c r="B30" s="197">
        <f t="shared" si="1"/>
        <v>20</v>
      </c>
      <c r="C30" s="30" t="s">
        <v>206</v>
      </c>
      <c r="D30" s="30" t="s">
        <v>225</v>
      </c>
      <c r="E30" s="234" t="s">
        <v>658</v>
      </c>
      <c r="F30" s="235" t="s">
        <v>1301</v>
      </c>
      <c r="G30" s="284">
        <f>IFERROR(VLOOKUP(E30,Assign!$C$2:$J$142,8,FALSE),)</f>
        <v>0</v>
      </c>
      <c r="H30" s="361" t="s">
        <v>5000</v>
      </c>
      <c r="I30" s="363">
        <v>3</v>
      </c>
      <c r="J30" s="364" t="s">
        <v>220</v>
      </c>
      <c r="K30" s="364" t="s">
        <v>2184</v>
      </c>
      <c r="L30" s="365" t="s">
        <v>2505</v>
      </c>
      <c r="M30" s="362" t="s">
        <v>3145</v>
      </c>
      <c r="N30" s="421" t="s">
        <v>2519</v>
      </c>
      <c r="O30" s="269">
        <v>90</v>
      </c>
      <c r="P30" s="269"/>
      <c r="Q30" s="426" t="s">
        <v>608</v>
      </c>
      <c r="R30" s="418" t="s">
        <v>658</v>
      </c>
      <c r="S30" s="427" t="s">
        <v>613</v>
      </c>
      <c r="T30" s="357" t="s">
        <v>229</v>
      </c>
      <c r="U30" s="357" t="s">
        <v>204</v>
      </c>
      <c r="V30" s="367">
        <v>1200000000</v>
      </c>
      <c r="W30" s="368">
        <v>1200000000</v>
      </c>
      <c r="X30" s="357" t="s">
        <v>1405</v>
      </c>
      <c r="Y30" s="357" t="s">
        <v>229</v>
      </c>
      <c r="Z30" s="400" t="s">
        <v>3206</v>
      </c>
      <c r="AA30" s="369">
        <v>1200000000</v>
      </c>
      <c r="AB30" s="370">
        <v>1200000000</v>
      </c>
      <c r="AC30" s="404"/>
      <c r="AD30" s="270"/>
      <c r="AE30" s="156"/>
      <c r="AF30" s="156"/>
      <c r="AG30" s="357"/>
      <c r="AH30" s="357"/>
      <c r="AI30" s="357"/>
      <c r="AJ30" s="156"/>
      <c r="AK30" s="156"/>
      <c r="AL30" s="375"/>
      <c r="AM30" s="405"/>
      <c r="AN30" s="273"/>
      <c r="AO30" s="405"/>
      <c r="AP30" s="273"/>
      <c r="AQ30" s="273"/>
      <c r="AR30" s="273"/>
      <c r="AS30" s="273"/>
      <c r="AT30" s="273"/>
      <c r="AU30" s="273"/>
      <c r="AV30" s="322">
        <f t="shared" si="2"/>
        <v>0</v>
      </c>
      <c r="AW30" s="402"/>
      <c r="AX30" s="274"/>
      <c r="AY30" s="270"/>
      <c r="AZ30" s="156"/>
      <c r="BA30" s="156"/>
      <c r="BB30" s="156"/>
      <c r="BC30" s="156"/>
      <c r="BD30" s="353">
        <f t="shared" si="3"/>
        <v>0</v>
      </c>
      <c r="BE30" s="432" t="s">
        <v>355</v>
      </c>
      <c r="BF30" s="407" t="s">
        <v>521</v>
      </c>
      <c r="BG30" s="168"/>
      <c r="BH30" s="274"/>
      <c r="BI30" s="168"/>
      <c r="BJ30" s="274"/>
      <c r="BK30" s="168"/>
      <c r="BL30" s="275"/>
      <c r="BM30" s="276"/>
      <c r="BN30" s="275"/>
      <c r="BO30" s="276"/>
      <c r="BP30" s="277"/>
      <c r="BQ30" s="156"/>
      <c r="BR30" s="274"/>
      <c r="BS30" s="270"/>
      <c r="BT30" s="270"/>
      <c r="BU30" s="274"/>
      <c r="BV30" s="274"/>
      <c r="BW30" s="278"/>
      <c r="BX30" s="278"/>
      <c r="BY30" s="278"/>
      <c r="BZ30" s="351"/>
    </row>
    <row r="31" spans="1:78" s="90" customFormat="1" ht="19.5" hidden="1" customHeight="1">
      <c r="A31" s="137"/>
      <c r="B31" s="197">
        <f t="shared" si="1"/>
        <v>21</v>
      </c>
      <c r="C31" s="30" t="s">
        <v>206</v>
      </c>
      <c r="D31" s="30" t="s">
        <v>225</v>
      </c>
      <c r="E31" s="234" t="s">
        <v>658</v>
      </c>
      <c r="F31" s="235" t="s">
        <v>1301</v>
      </c>
      <c r="G31" s="284">
        <f>IFERROR(VLOOKUP(E31,Assign!$C$2:$J$142,8,FALSE),)</f>
        <v>0</v>
      </c>
      <c r="H31" s="361" t="s">
        <v>5002</v>
      </c>
      <c r="I31" s="363">
        <v>4</v>
      </c>
      <c r="J31" s="364" t="s">
        <v>220</v>
      </c>
      <c r="K31" s="364" t="s">
        <v>2184</v>
      </c>
      <c r="L31" s="365" t="s">
        <v>2505</v>
      </c>
      <c r="M31" s="362" t="s">
        <v>3146</v>
      </c>
      <c r="N31" s="421" t="s">
        <v>285</v>
      </c>
      <c r="O31" s="269"/>
      <c r="P31" s="269">
        <v>60</v>
      </c>
      <c r="Q31" s="426" t="s">
        <v>608</v>
      </c>
      <c r="R31" s="418" t="s">
        <v>658</v>
      </c>
      <c r="S31" s="427" t="s">
        <v>613</v>
      </c>
      <c r="T31" s="357" t="s">
        <v>229</v>
      </c>
      <c r="U31" s="357" t="s">
        <v>204</v>
      </c>
      <c r="V31" s="367">
        <v>420000000</v>
      </c>
      <c r="W31" s="368">
        <v>420000000</v>
      </c>
      <c r="X31" s="357" t="s">
        <v>1406</v>
      </c>
      <c r="Y31" s="357" t="s">
        <v>229</v>
      </c>
      <c r="Z31" s="400" t="s">
        <v>3206</v>
      </c>
      <c r="AA31" s="369">
        <v>420000000</v>
      </c>
      <c r="AB31" s="370">
        <v>420000000</v>
      </c>
      <c r="AC31" s="404"/>
      <c r="AD31" s="270"/>
      <c r="AE31" s="156"/>
      <c r="AF31" s="156"/>
      <c r="AG31" s="357"/>
      <c r="AH31" s="357"/>
      <c r="AI31" s="357"/>
      <c r="AJ31" s="156"/>
      <c r="AK31" s="156"/>
      <c r="AL31" s="375"/>
      <c r="AM31" s="405"/>
      <c r="AN31" s="273"/>
      <c r="AO31" s="405"/>
      <c r="AP31" s="273"/>
      <c r="AQ31" s="273"/>
      <c r="AR31" s="273"/>
      <c r="AS31" s="273"/>
      <c r="AT31" s="273"/>
      <c r="AU31" s="273"/>
      <c r="AV31" s="322">
        <f t="shared" si="2"/>
        <v>0</v>
      </c>
      <c r="AW31" s="402"/>
      <c r="AX31" s="376"/>
      <c r="AY31" s="373"/>
      <c r="AZ31" s="375"/>
      <c r="BA31" s="375"/>
      <c r="BB31" s="156"/>
      <c r="BC31" s="156"/>
      <c r="BD31" s="353">
        <f t="shared" si="3"/>
        <v>0</v>
      </c>
      <c r="BE31" s="432" t="s">
        <v>355</v>
      </c>
      <c r="BF31" s="407" t="s">
        <v>521</v>
      </c>
      <c r="BG31" s="168"/>
      <c r="BH31" s="274"/>
      <c r="BI31" s="168"/>
      <c r="BJ31" s="274"/>
      <c r="BK31" s="168"/>
      <c r="BL31" s="275"/>
      <c r="BM31" s="276"/>
      <c r="BN31" s="275"/>
      <c r="BO31" s="276"/>
      <c r="BP31" s="277"/>
      <c r="BQ31" s="156"/>
      <c r="BR31" s="274"/>
      <c r="BS31" s="270"/>
      <c r="BT31" s="270"/>
      <c r="BU31" s="274"/>
      <c r="BV31" s="274"/>
      <c r="BW31" s="278"/>
      <c r="BX31" s="278"/>
      <c r="BY31" s="278"/>
      <c r="BZ31" s="351"/>
    </row>
    <row r="32" spans="1:78" s="90" customFormat="1" ht="19.5" hidden="1" customHeight="1">
      <c r="A32" s="137"/>
      <c r="B32" s="197">
        <f t="shared" si="1"/>
        <v>22</v>
      </c>
      <c r="C32" s="30" t="s">
        <v>206</v>
      </c>
      <c r="D32" s="30" t="s">
        <v>225</v>
      </c>
      <c r="E32" s="234" t="s">
        <v>659</v>
      </c>
      <c r="F32" s="235" t="s">
        <v>1218</v>
      </c>
      <c r="G32" s="284" t="str">
        <f>IFERROR(VLOOKUP(E32,Assign!$C$2:$J$142,8,FALSE),)</f>
        <v>문선영</v>
      </c>
      <c r="H32" s="361" t="s">
        <v>5465</v>
      </c>
      <c r="I32" s="363">
        <v>1</v>
      </c>
      <c r="J32" s="364" t="s">
        <v>208</v>
      </c>
      <c r="K32" s="364" t="s">
        <v>237</v>
      </c>
      <c r="L32" s="365" t="s">
        <v>238</v>
      </c>
      <c r="M32" s="362" t="s">
        <v>2938</v>
      </c>
      <c r="N32" s="421" t="s">
        <v>3386</v>
      </c>
      <c r="O32" s="269">
        <v>13.5131</v>
      </c>
      <c r="P32" s="269">
        <v>42.779800000000002</v>
      </c>
      <c r="Q32" s="426"/>
      <c r="R32" s="418" t="s">
        <v>659</v>
      </c>
      <c r="S32" s="427" t="s">
        <v>613</v>
      </c>
      <c r="T32" s="357">
        <v>1</v>
      </c>
      <c r="U32" s="357" t="s">
        <v>204</v>
      </c>
      <c r="V32" s="367">
        <v>996000000</v>
      </c>
      <c r="W32" s="368">
        <v>996000000</v>
      </c>
      <c r="X32" s="357"/>
      <c r="Y32" s="357"/>
      <c r="Z32" s="400"/>
      <c r="AA32" s="369"/>
      <c r="AB32" s="370"/>
      <c r="AC32" s="404"/>
      <c r="AD32" s="270"/>
      <c r="AE32" s="156"/>
      <c r="AF32" s="156"/>
      <c r="AG32" s="357"/>
      <c r="AH32" s="357"/>
      <c r="AI32" s="357"/>
      <c r="AJ32" s="156"/>
      <c r="AK32" s="156"/>
      <c r="AL32" s="375"/>
      <c r="AM32" s="405"/>
      <c r="AN32" s="273"/>
      <c r="AO32" s="405"/>
      <c r="AP32" s="273"/>
      <c r="AQ32" s="273"/>
      <c r="AR32" s="273"/>
      <c r="AS32" s="273"/>
      <c r="AT32" s="273"/>
      <c r="AU32" s="273"/>
      <c r="AV32" s="322">
        <f t="shared" si="2"/>
        <v>0</v>
      </c>
      <c r="AW32" s="402"/>
      <c r="AX32" s="376"/>
      <c r="AY32" s="373"/>
      <c r="AZ32" s="375"/>
      <c r="BA32" s="375"/>
      <c r="BB32" s="375"/>
      <c r="BC32" s="375"/>
      <c r="BD32" s="353">
        <f t="shared" si="3"/>
        <v>0</v>
      </c>
      <c r="BE32" s="432" t="s">
        <v>355</v>
      </c>
      <c r="BF32" s="407" t="s">
        <v>502</v>
      </c>
      <c r="BG32" s="168"/>
      <c r="BH32" s="274"/>
      <c r="BI32" s="168"/>
      <c r="BJ32" s="274"/>
      <c r="BK32" s="168"/>
      <c r="BL32" s="275"/>
      <c r="BM32" s="276"/>
      <c r="BN32" s="275"/>
      <c r="BO32" s="276"/>
      <c r="BP32" s="277"/>
      <c r="BQ32" s="156"/>
      <c r="BR32" s="274"/>
      <c r="BS32" s="270"/>
      <c r="BT32" s="270"/>
      <c r="BU32" s="274"/>
      <c r="BV32" s="274"/>
      <c r="BW32" s="278"/>
      <c r="BX32" s="278"/>
      <c r="BY32" s="278"/>
      <c r="BZ32" s="351"/>
    </row>
    <row r="33" spans="1:78" s="90" customFormat="1" ht="19.5" hidden="1" customHeight="1">
      <c r="A33" s="137"/>
      <c r="B33" s="197">
        <f t="shared" si="1"/>
        <v>23</v>
      </c>
      <c r="C33" s="30" t="s">
        <v>206</v>
      </c>
      <c r="D33" s="30" t="s">
        <v>225</v>
      </c>
      <c r="E33" s="234" t="s">
        <v>659</v>
      </c>
      <c r="F33" s="235" t="s">
        <v>1218</v>
      </c>
      <c r="G33" s="284" t="str">
        <f>IFERROR(VLOOKUP(E33,Assign!$C$2:$J$142,8,FALSE),)</f>
        <v>문선영</v>
      </c>
      <c r="H33" s="361" t="s">
        <v>5467</v>
      </c>
      <c r="I33" s="363">
        <v>2</v>
      </c>
      <c r="J33" s="364" t="s">
        <v>208</v>
      </c>
      <c r="K33" s="364" t="s">
        <v>237</v>
      </c>
      <c r="L33" s="365" t="s">
        <v>238</v>
      </c>
      <c r="M33" s="362" t="s">
        <v>2940</v>
      </c>
      <c r="N33" s="421" t="s">
        <v>3386</v>
      </c>
      <c r="O33" s="269">
        <v>12.752599999999999</v>
      </c>
      <c r="P33" s="269">
        <v>40.372300000000003</v>
      </c>
      <c r="Q33" s="426"/>
      <c r="R33" s="418" t="s">
        <v>659</v>
      </c>
      <c r="S33" s="427" t="s">
        <v>613</v>
      </c>
      <c r="T33" s="357">
        <v>1</v>
      </c>
      <c r="U33" s="357" t="s">
        <v>204</v>
      </c>
      <c r="V33" s="367">
        <v>972000000</v>
      </c>
      <c r="W33" s="368">
        <v>972000000</v>
      </c>
      <c r="X33" s="357"/>
      <c r="Y33" s="357"/>
      <c r="Z33" s="400"/>
      <c r="AA33" s="369"/>
      <c r="AB33" s="370"/>
      <c r="AC33" s="404"/>
      <c r="AD33" s="270"/>
      <c r="AE33" s="156"/>
      <c r="AF33" s="156"/>
      <c r="AG33" s="357"/>
      <c r="AH33" s="357"/>
      <c r="AI33" s="357"/>
      <c r="AJ33" s="156"/>
      <c r="AK33" s="156"/>
      <c r="AL33" s="375"/>
      <c r="AM33" s="405"/>
      <c r="AN33" s="273"/>
      <c r="AO33" s="405"/>
      <c r="AP33" s="273"/>
      <c r="AQ33" s="273"/>
      <c r="AR33" s="273"/>
      <c r="AS33" s="273"/>
      <c r="AT33" s="273"/>
      <c r="AU33" s="273"/>
      <c r="AV33" s="322">
        <f t="shared" si="2"/>
        <v>0</v>
      </c>
      <c r="AW33" s="402"/>
      <c r="AX33" s="376"/>
      <c r="AY33" s="373"/>
      <c r="AZ33" s="375"/>
      <c r="BA33" s="375"/>
      <c r="BB33" s="375"/>
      <c r="BC33" s="375"/>
      <c r="BD33" s="353">
        <f t="shared" si="3"/>
        <v>0</v>
      </c>
      <c r="BE33" s="432" t="s">
        <v>355</v>
      </c>
      <c r="BF33" s="407" t="s">
        <v>502</v>
      </c>
      <c r="BG33" s="168"/>
      <c r="BH33" s="274"/>
      <c r="BI33" s="168"/>
      <c r="BJ33" s="274"/>
      <c r="BK33" s="168"/>
      <c r="BL33" s="275"/>
      <c r="BM33" s="276"/>
      <c r="BN33" s="275"/>
      <c r="BO33" s="276"/>
      <c r="BP33" s="277"/>
      <c r="BQ33" s="156"/>
      <c r="BR33" s="274"/>
      <c r="BS33" s="270"/>
      <c r="BT33" s="270"/>
      <c r="BU33" s="274"/>
      <c r="BV33" s="274"/>
      <c r="BW33" s="278"/>
      <c r="BX33" s="278"/>
      <c r="BY33" s="278"/>
      <c r="BZ33" s="351"/>
    </row>
    <row r="34" spans="1:78" s="90" customFormat="1" ht="19.5" hidden="1" customHeight="1">
      <c r="A34" s="137"/>
      <c r="B34" s="197">
        <f t="shared" si="1"/>
        <v>24</v>
      </c>
      <c r="C34" s="30" t="s">
        <v>206</v>
      </c>
      <c r="D34" s="30" t="s">
        <v>225</v>
      </c>
      <c r="E34" s="234" t="s">
        <v>660</v>
      </c>
      <c r="F34" s="235" t="s">
        <v>1221</v>
      </c>
      <c r="G34" s="284">
        <f>IFERROR(VLOOKUP(E34,Assign!$C$2:$J$142,8,FALSE),)</f>
        <v>0</v>
      </c>
      <c r="H34" s="361" t="s">
        <v>4460</v>
      </c>
      <c r="I34" s="363">
        <v>1</v>
      </c>
      <c r="J34" s="364" t="s">
        <v>208</v>
      </c>
      <c r="K34" s="364" t="s">
        <v>301</v>
      </c>
      <c r="L34" s="365" t="s">
        <v>2004</v>
      </c>
      <c r="M34" s="362" t="s">
        <v>3116</v>
      </c>
      <c r="N34" s="421" t="s">
        <v>620</v>
      </c>
      <c r="O34" s="269">
        <v>1341</v>
      </c>
      <c r="P34" s="269">
        <v>1167.79</v>
      </c>
      <c r="Q34" s="426"/>
      <c r="R34" s="418" t="s">
        <v>660</v>
      </c>
      <c r="S34" s="427" t="s">
        <v>613</v>
      </c>
      <c r="T34" s="357">
        <v>1</v>
      </c>
      <c r="U34" s="357" t="s">
        <v>204</v>
      </c>
      <c r="V34" s="367">
        <v>1980000000</v>
      </c>
      <c r="W34" s="368">
        <v>1980000000</v>
      </c>
      <c r="X34" s="357"/>
      <c r="Y34" s="357"/>
      <c r="Z34" s="400"/>
      <c r="AA34" s="369"/>
      <c r="AB34" s="370"/>
      <c r="AC34" s="404"/>
      <c r="AD34" s="270"/>
      <c r="AE34" s="156"/>
      <c r="AF34" s="156"/>
      <c r="AG34" s="357"/>
      <c r="AH34" s="357"/>
      <c r="AI34" s="357"/>
      <c r="AJ34" s="156"/>
      <c r="AK34" s="156"/>
      <c r="AL34" s="375"/>
      <c r="AM34" s="405"/>
      <c r="AN34" s="273"/>
      <c r="AO34" s="405"/>
      <c r="AP34" s="273"/>
      <c r="AQ34" s="273"/>
      <c r="AR34" s="273"/>
      <c r="AS34" s="273"/>
      <c r="AT34" s="273"/>
      <c r="AU34" s="273"/>
      <c r="AV34" s="322">
        <f t="shared" si="2"/>
        <v>0</v>
      </c>
      <c r="AW34" s="402"/>
      <c r="AX34" s="376"/>
      <c r="AY34" s="373"/>
      <c r="AZ34" s="375"/>
      <c r="BA34" s="375"/>
      <c r="BB34" s="375"/>
      <c r="BC34" s="375"/>
      <c r="BD34" s="353">
        <f t="shared" si="3"/>
        <v>0</v>
      </c>
      <c r="BE34" s="432" t="s">
        <v>335</v>
      </c>
      <c r="BF34" s="407" t="s">
        <v>502</v>
      </c>
      <c r="BG34" s="168" t="s">
        <v>3369</v>
      </c>
      <c r="BH34" s="274">
        <v>45720</v>
      </c>
      <c r="BI34" s="168" t="s">
        <v>3222</v>
      </c>
      <c r="BJ34" s="274">
        <v>45807</v>
      </c>
      <c r="BK34" s="168">
        <v>130000000</v>
      </c>
      <c r="BL34" s="275"/>
      <c r="BM34" s="276"/>
      <c r="BN34" s="275"/>
      <c r="BO34" s="276"/>
      <c r="BP34" s="277"/>
      <c r="BQ34" s="156"/>
      <c r="BR34" s="274"/>
      <c r="BS34" s="270"/>
      <c r="BT34" s="270"/>
      <c r="BU34" s="274"/>
      <c r="BV34" s="274"/>
      <c r="BW34" s="278"/>
      <c r="BX34" s="278"/>
      <c r="BY34" s="278"/>
      <c r="BZ34" s="351"/>
    </row>
    <row r="35" spans="1:78" s="90" customFormat="1" ht="19.5" hidden="1" customHeight="1">
      <c r="A35" s="137"/>
      <c r="B35" s="197">
        <f t="shared" si="1"/>
        <v>25</v>
      </c>
      <c r="C35" s="30" t="s">
        <v>206</v>
      </c>
      <c r="D35" s="30" t="s">
        <v>225</v>
      </c>
      <c r="E35" s="234" t="s">
        <v>661</v>
      </c>
      <c r="F35" s="235" t="s">
        <v>1302</v>
      </c>
      <c r="G35" s="284" t="str">
        <f>IFERROR(VLOOKUP(E35,Assign!$C$2:$J$142,8,FALSE),)</f>
        <v>문선영</v>
      </c>
      <c r="H35" s="361" t="s">
        <v>4957</v>
      </c>
      <c r="I35" s="363">
        <v>1</v>
      </c>
      <c r="J35" s="364" t="s">
        <v>213</v>
      </c>
      <c r="K35" s="364" t="s">
        <v>426</v>
      </c>
      <c r="L35" s="365" t="s">
        <v>2476</v>
      </c>
      <c r="M35" s="362" t="s">
        <v>3139</v>
      </c>
      <c r="N35" s="421" t="s">
        <v>447</v>
      </c>
      <c r="O35" s="269">
        <v>4988.5</v>
      </c>
      <c r="P35" s="269"/>
      <c r="Q35" s="426"/>
      <c r="R35" s="418" t="s">
        <v>3467</v>
      </c>
      <c r="S35" s="427" t="s">
        <v>613</v>
      </c>
      <c r="T35" s="357">
        <v>1</v>
      </c>
      <c r="U35" s="357" t="s">
        <v>204</v>
      </c>
      <c r="V35" s="367">
        <v>1824000000</v>
      </c>
      <c r="W35" s="368">
        <v>1824000000</v>
      </c>
      <c r="X35" s="357"/>
      <c r="Y35" s="357"/>
      <c r="Z35" s="400"/>
      <c r="AA35" s="369"/>
      <c r="AB35" s="370"/>
      <c r="AC35" s="404"/>
      <c r="AD35" s="270"/>
      <c r="AE35" s="156"/>
      <c r="AF35" s="156"/>
      <c r="AG35" s="357"/>
      <c r="AH35" s="357"/>
      <c r="AI35" s="357"/>
      <c r="AJ35" s="156"/>
      <c r="AK35" s="156"/>
      <c r="AL35" s="375"/>
      <c r="AM35" s="405"/>
      <c r="AN35" s="273"/>
      <c r="AO35" s="405"/>
      <c r="AP35" s="273"/>
      <c r="AQ35" s="273"/>
      <c r="AR35" s="273"/>
      <c r="AS35" s="273"/>
      <c r="AT35" s="273"/>
      <c r="AU35" s="273"/>
      <c r="AV35" s="322">
        <f t="shared" si="2"/>
        <v>0</v>
      </c>
      <c r="AW35" s="402"/>
      <c r="AX35" s="376"/>
      <c r="AY35" s="373"/>
      <c r="AZ35" s="375"/>
      <c r="BA35" s="375"/>
      <c r="BB35" s="375"/>
      <c r="BC35" s="375"/>
      <c r="BD35" s="353">
        <f t="shared" si="3"/>
        <v>0</v>
      </c>
      <c r="BE35" s="432" t="s">
        <v>355</v>
      </c>
      <c r="BF35" s="407" t="s">
        <v>423</v>
      </c>
      <c r="BG35" s="168"/>
      <c r="BH35" s="274"/>
      <c r="BI35" s="168"/>
      <c r="BJ35" s="274"/>
      <c r="BK35" s="168"/>
      <c r="BL35" s="275"/>
      <c r="BM35" s="276"/>
      <c r="BN35" s="275"/>
      <c r="BO35" s="276"/>
      <c r="BP35" s="277"/>
      <c r="BQ35" s="156"/>
      <c r="BR35" s="274"/>
      <c r="BS35" s="270"/>
      <c r="BT35" s="270"/>
      <c r="BU35" s="274"/>
      <c r="BV35" s="274"/>
      <c r="BW35" s="278"/>
      <c r="BX35" s="278"/>
      <c r="BY35" s="278"/>
      <c r="BZ35" s="351"/>
    </row>
    <row r="36" spans="1:78" s="90" customFormat="1" ht="19.5" hidden="1" customHeight="1">
      <c r="A36" s="137"/>
      <c r="B36" s="197">
        <f t="shared" si="1"/>
        <v>26</v>
      </c>
      <c r="C36" s="30" t="s">
        <v>206</v>
      </c>
      <c r="D36" s="30" t="s">
        <v>225</v>
      </c>
      <c r="E36" s="234" t="s">
        <v>662</v>
      </c>
      <c r="F36" s="235" t="s">
        <v>1222</v>
      </c>
      <c r="G36" s="284">
        <f>IFERROR(VLOOKUP(E36,Assign!$C$2:$J$142,8,FALSE),)</f>
        <v>0</v>
      </c>
      <c r="H36" s="361" t="s">
        <v>4896</v>
      </c>
      <c r="I36" s="363">
        <v>1</v>
      </c>
      <c r="J36" s="364" t="s">
        <v>208</v>
      </c>
      <c r="K36" s="364" t="s">
        <v>369</v>
      </c>
      <c r="L36" s="365" t="s">
        <v>2415</v>
      </c>
      <c r="M36" s="362" t="s">
        <v>3135</v>
      </c>
      <c r="N36" s="421" t="s">
        <v>296</v>
      </c>
      <c r="O36" s="269">
        <v>731</v>
      </c>
      <c r="P36" s="269">
        <v>787.11</v>
      </c>
      <c r="Q36" s="426"/>
      <c r="R36" s="418" t="s">
        <v>662</v>
      </c>
      <c r="S36" s="427" t="s">
        <v>613</v>
      </c>
      <c r="T36" s="357" t="s">
        <v>229</v>
      </c>
      <c r="U36" s="357" t="s">
        <v>204</v>
      </c>
      <c r="V36" s="367">
        <v>1860000000</v>
      </c>
      <c r="W36" s="368">
        <v>1860000000</v>
      </c>
      <c r="X36" s="357"/>
      <c r="Y36" s="357"/>
      <c r="Z36" s="400"/>
      <c r="AA36" s="369"/>
      <c r="AB36" s="370"/>
      <c r="AC36" s="404"/>
      <c r="AD36" s="270"/>
      <c r="AE36" s="156"/>
      <c r="AF36" s="156"/>
      <c r="AG36" s="357"/>
      <c r="AH36" s="357"/>
      <c r="AI36" s="357"/>
      <c r="AJ36" s="156"/>
      <c r="AK36" s="156"/>
      <c r="AL36" s="375"/>
      <c r="AM36" s="405"/>
      <c r="AN36" s="273"/>
      <c r="AO36" s="405"/>
      <c r="AP36" s="273"/>
      <c r="AQ36" s="273"/>
      <c r="AR36" s="273"/>
      <c r="AS36" s="273"/>
      <c r="AT36" s="273"/>
      <c r="AU36" s="273"/>
      <c r="AV36" s="322">
        <f t="shared" si="2"/>
        <v>0</v>
      </c>
      <c r="AW36" s="402"/>
      <c r="AX36" s="376"/>
      <c r="AY36" s="373"/>
      <c r="AZ36" s="375"/>
      <c r="BA36" s="375"/>
      <c r="BB36" s="375"/>
      <c r="BC36" s="375"/>
      <c r="BD36" s="353">
        <f t="shared" si="3"/>
        <v>0</v>
      </c>
      <c r="BE36" s="432" t="s">
        <v>335</v>
      </c>
      <c r="BF36" s="407" t="s">
        <v>501</v>
      </c>
      <c r="BG36" s="168" t="s">
        <v>3407</v>
      </c>
      <c r="BH36" s="274">
        <v>45597</v>
      </c>
      <c r="BI36" s="168" t="s">
        <v>3320</v>
      </c>
      <c r="BJ36" s="274">
        <v>45667</v>
      </c>
      <c r="BK36" s="168">
        <v>80645200</v>
      </c>
      <c r="BL36" s="275"/>
      <c r="BM36" s="276"/>
      <c r="BN36" s="275"/>
      <c r="BO36" s="276"/>
      <c r="BP36" s="277"/>
      <c r="BQ36" s="156"/>
      <c r="BR36" s="274"/>
      <c r="BS36" s="270"/>
      <c r="BT36" s="270"/>
      <c r="BU36" s="274"/>
      <c r="BV36" s="274"/>
      <c r="BW36" s="278"/>
      <c r="BX36" s="278"/>
      <c r="BY36" s="278"/>
      <c r="BZ36" s="351"/>
    </row>
    <row r="37" spans="1:78" s="90" customFormat="1" ht="19.5" hidden="1" customHeight="1">
      <c r="A37" s="137"/>
      <c r="B37" s="197">
        <f t="shared" si="1"/>
        <v>27</v>
      </c>
      <c r="C37" s="30" t="s">
        <v>206</v>
      </c>
      <c r="D37" s="30" t="s">
        <v>225</v>
      </c>
      <c r="E37" s="234" t="s">
        <v>663</v>
      </c>
      <c r="F37" s="235" t="s">
        <v>1303</v>
      </c>
      <c r="G37" s="284">
        <f>IFERROR(VLOOKUP(E37,Assign!$C$2:$J$142,8,FALSE),)</f>
        <v>0</v>
      </c>
      <c r="H37" s="361" t="s">
        <v>5069</v>
      </c>
      <c r="I37" s="363">
        <v>1</v>
      </c>
      <c r="J37" s="364" t="s">
        <v>209</v>
      </c>
      <c r="K37" s="364" t="s">
        <v>291</v>
      </c>
      <c r="L37" s="365" t="s">
        <v>363</v>
      </c>
      <c r="M37" s="362" t="s">
        <v>2582</v>
      </c>
      <c r="N37" s="421" t="s">
        <v>3386</v>
      </c>
      <c r="O37" s="269">
        <v>29.94</v>
      </c>
      <c r="P37" s="269">
        <v>135.34</v>
      </c>
      <c r="Q37" s="426"/>
      <c r="R37" s="418" t="s">
        <v>663</v>
      </c>
      <c r="S37" s="427" t="s">
        <v>613</v>
      </c>
      <c r="T37" s="357">
        <v>1</v>
      </c>
      <c r="U37" s="357" t="s">
        <v>204</v>
      </c>
      <c r="V37" s="367">
        <v>1308000000</v>
      </c>
      <c r="W37" s="368">
        <v>1308000000</v>
      </c>
      <c r="X37" s="357"/>
      <c r="Y37" s="357"/>
      <c r="Z37" s="400"/>
      <c r="AA37" s="369"/>
      <c r="AB37" s="370"/>
      <c r="AC37" s="404"/>
      <c r="AD37" s="270"/>
      <c r="AE37" s="156"/>
      <c r="AF37" s="156"/>
      <c r="AG37" s="357"/>
      <c r="AH37" s="357"/>
      <c r="AI37" s="357"/>
      <c r="AJ37" s="156"/>
      <c r="AK37" s="156"/>
      <c r="AL37" s="375"/>
      <c r="AM37" s="405"/>
      <c r="AN37" s="273"/>
      <c r="AO37" s="405"/>
      <c r="AP37" s="273"/>
      <c r="AQ37" s="273"/>
      <c r="AR37" s="273"/>
      <c r="AS37" s="273"/>
      <c r="AT37" s="273"/>
      <c r="AU37" s="273"/>
      <c r="AV37" s="322">
        <f t="shared" si="2"/>
        <v>0</v>
      </c>
      <c r="AW37" s="402"/>
      <c r="AX37" s="376"/>
      <c r="AY37" s="373"/>
      <c r="AZ37" s="375"/>
      <c r="BA37" s="375"/>
      <c r="BB37" s="375"/>
      <c r="BC37" s="375"/>
      <c r="BD37" s="353">
        <f t="shared" si="3"/>
        <v>0</v>
      </c>
      <c r="BE37" s="432" t="s">
        <v>335</v>
      </c>
      <c r="BF37" s="407" t="s">
        <v>495</v>
      </c>
      <c r="BG37" s="168" t="s">
        <v>1373</v>
      </c>
      <c r="BH37" s="274">
        <v>45742</v>
      </c>
      <c r="BI37" s="168" t="s">
        <v>3331</v>
      </c>
      <c r="BJ37" s="274">
        <v>45833</v>
      </c>
      <c r="BK37" s="168">
        <v>1275772789</v>
      </c>
      <c r="BL37" s="275"/>
      <c r="BM37" s="276"/>
      <c r="BN37" s="275"/>
      <c r="BO37" s="276"/>
      <c r="BP37" s="277"/>
      <c r="BQ37" s="156"/>
      <c r="BR37" s="274"/>
      <c r="BS37" s="270"/>
      <c r="BT37" s="270"/>
      <c r="BU37" s="274"/>
      <c r="BV37" s="274"/>
      <c r="BW37" s="278"/>
      <c r="BX37" s="278"/>
      <c r="BY37" s="278"/>
      <c r="BZ37" s="351"/>
    </row>
    <row r="38" spans="1:78" s="90" customFormat="1" ht="19.5" hidden="1" customHeight="1">
      <c r="A38" s="137"/>
      <c r="B38" s="197">
        <f t="shared" si="1"/>
        <v>28</v>
      </c>
      <c r="C38" s="30" t="s">
        <v>206</v>
      </c>
      <c r="D38" s="30" t="s">
        <v>225</v>
      </c>
      <c r="E38" s="234" t="s">
        <v>664</v>
      </c>
      <c r="F38" s="235" t="s">
        <v>1223</v>
      </c>
      <c r="G38" s="284" t="str">
        <f>IFERROR(VLOOKUP(E38,Assign!$C$2:$J$142,8,FALSE),)</f>
        <v>문선영</v>
      </c>
      <c r="H38" s="361" t="s">
        <v>5046</v>
      </c>
      <c r="I38" s="363">
        <v>1</v>
      </c>
      <c r="J38" s="364" t="s">
        <v>215</v>
      </c>
      <c r="K38" s="364" t="s">
        <v>307</v>
      </c>
      <c r="L38" s="365" t="s">
        <v>2217</v>
      </c>
      <c r="M38" s="362" t="s">
        <v>2564</v>
      </c>
      <c r="N38" s="421" t="s">
        <v>207</v>
      </c>
      <c r="O38" s="269">
        <v>27.318999999999999</v>
      </c>
      <c r="P38" s="269">
        <v>124.87</v>
      </c>
      <c r="Q38" s="426"/>
      <c r="R38" s="418" t="s">
        <v>3450</v>
      </c>
      <c r="S38" s="427" t="s">
        <v>613</v>
      </c>
      <c r="T38" s="357" t="s">
        <v>268</v>
      </c>
      <c r="U38" s="357" t="s">
        <v>204</v>
      </c>
      <c r="V38" s="367">
        <v>924000000</v>
      </c>
      <c r="W38" s="368">
        <v>924000000</v>
      </c>
      <c r="X38" s="357"/>
      <c r="Y38" s="357"/>
      <c r="Z38" s="400"/>
      <c r="AA38" s="369"/>
      <c r="AB38" s="370"/>
      <c r="AC38" s="404"/>
      <c r="AD38" s="270"/>
      <c r="AE38" s="156"/>
      <c r="AF38" s="156"/>
      <c r="AG38" s="357"/>
      <c r="AH38" s="357"/>
      <c r="AI38" s="357"/>
      <c r="AJ38" s="156"/>
      <c r="AK38" s="156"/>
      <c r="AL38" s="375"/>
      <c r="AM38" s="405"/>
      <c r="AN38" s="273"/>
      <c r="AO38" s="405"/>
      <c r="AP38" s="273"/>
      <c r="AQ38" s="273"/>
      <c r="AR38" s="273"/>
      <c r="AS38" s="273"/>
      <c r="AT38" s="273"/>
      <c r="AU38" s="273"/>
      <c r="AV38" s="322">
        <f t="shared" si="2"/>
        <v>0</v>
      </c>
      <c r="AW38" s="402" t="s">
        <v>3387</v>
      </c>
      <c r="AX38" s="376">
        <v>45765</v>
      </c>
      <c r="AY38" s="373" t="s">
        <v>3388</v>
      </c>
      <c r="AZ38" s="375"/>
      <c r="BA38" s="375">
        <v>920000000</v>
      </c>
      <c r="BB38" s="375"/>
      <c r="BC38" s="375"/>
      <c r="BD38" s="353">
        <f t="shared" si="3"/>
        <v>920000000</v>
      </c>
      <c r="BE38" s="432" t="s">
        <v>355</v>
      </c>
      <c r="BF38" s="407" t="s">
        <v>508</v>
      </c>
      <c r="BG38" s="168"/>
      <c r="BH38" s="274"/>
      <c r="BI38" s="168"/>
      <c r="BJ38" s="274"/>
      <c r="BK38" s="168"/>
      <c r="BL38" s="275"/>
      <c r="BM38" s="276"/>
      <c r="BN38" s="275"/>
      <c r="BO38" s="276"/>
      <c r="BP38" s="277"/>
      <c r="BQ38" s="156"/>
      <c r="BR38" s="274"/>
      <c r="BS38" s="270"/>
      <c r="BT38" s="270"/>
      <c r="BU38" s="274"/>
      <c r="BV38" s="274"/>
      <c r="BW38" s="278"/>
      <c r="BX38" s="278"/>
      <c r="BY38" s="278"/>
      <c r="BZ38" s="351"/>
    </row>
    <row r="39" spans="1:78" s="90" customFormat="1" ht="19.5" hidden="1" customHeight="1">
      <c r="A39" s="137"/>
      <c r="B39" s="197">
        <f t="shared" si="1"/>
        <v>29</v>
      </c>
      <c r="C39" s="30" t="s">
        <v>206</v>
      </c>
      <c r="D39" s="30" t="s">
        <v>225</v>
      </c>
      <c r="E39" s="234" t="s">
        <v>664</v>
      </c>
      <c r="F39" s="235" t="s">
        <v>1223</v>
      </c>
      <c r="G39" s="284" t="str">
        <f>IFERROR(VLOOKUP(E39,Assign!$C$2:$J$142,8,FALSE),)</f>
        <v>문선영</v>
      </c>
      <c r="H39" s="361" t="s">
        <v>5048</v>
      </c>
      <c r="I39" s="363">
        <v>2</v>
      </c>
      <c r="J39" s="364" t="s">
        <v>217</v>
      </c>
      <c r="K39" s="364" t="s">
        <v>545</v>
      </c>
      <c r="L39" s="365" t="s">
        <v>2565</v>
      </c>
      <c r="M39" s="362" t="s">
        <v>3152</v>
      </c>
      <c r="N39" s="421" t="s">
        <v>285</v>
      </c>
      <c r="O39" s="269">
        <v>1237</v>
      </c>
      <c r="P39" s="269">
        <v>394.8</v>
      </c>
      <c r="Q39" s="426"/>
      <c r="R39" s="418" t="s">
        <v>664</v>
      </c>
      <c r="S39" s="427" t="s">
        <v>613</v>
      </c>
      <c r="T39" s="357">
        <v>1</v>
      </c>
      <c r="U39" s="357" t="s">
        <v>204</v>
      </c>
      <c r="V39" s="367">
        <v>704400000</v>
      </c>
      <c r="W39" s="368">
        <v>704400000</v>
      </c>
      <c r="X39" s="357"/>
      <c r="Y39" s="357"/>
      <c r="Z39" s="400"/>
      <c r="AA39" s="369"/>
      <c r="AB39" s="370"/>
      <c r="AC39" s="404"/>
      <c r="AD39" s="270"/>
      <c r="AE39" s="156"/>
      <c r="AF39" s="156"/>
      <c r="AG39" s="357"/>
      <c r="AH39" s="357"/>
      <c r="AI39" s="357"/>
      <c r="AJ39" s="156"/>
      <c r="AK39" s="156"/>
      <c r="AL39" s="375"/>
      <c r="AM39" s="405"/>
      <c r="AN39" s="273"/>
      <c r="AO39" s="405"/>
      <c r="AP39" s="273"/>
      <c r="AQ39" s="273"/>
      <c r="AR39" s="273"/>
      <c r="AS39" s="273"/>
      <c r="AT39" s="273"/>
      <c r="AU39" s="273"/>
      <c r="AV39" s="322">
        <f t="shared" si="2"/>
        <v>0</v>
      </c>
      <c r="AW39" s="402"/>
      <c r="AX39" s="274"/>
      <c r="AY39" s="270"/>
      <c r="AZ39" s="156"/>
      <c r="BA39" s="156"/>
      <c r="BB39" s="156"/>
      <c r="BC39" s="156"/>
      <c r="BD39" s="353">
        <f t="shared" si="3"/>
        <v>0</v>
      </c>
      <c r="BE39" s="432" t="s">
        <v>355</v>
      </c>
      <c r="BF39" s="407" t="s">
        <v>508</v>
      </c>
      <c r="BG39" s="168"/>
      <c r="BH39" s="274"/>
      <c r="BI39" s="168"/>
      <c r="BJ39" s="274"/>
      <c r="BK39" s="168"/>
      <c r="BL39" s="275"/>
      <c r="BM39" s="276"/>
      <c r="BN39" s="275"/>
      <c r="BO39" s="276"/>
      <c r="BP39" s="277"/>
      <c r="BQ39" s="156"/>
      <c r="BR39" s="274"/>
      <c r="BS39" s="270"/>
      <c r="BT39" s="270"/>
      <c r="BU39" s="274"/>
      <c r="BV39" s="274"/>
      <c r="BW39" s="278"/>
      <c r="BX39" s="278"/>
      <c r="BY39" s="278"/>
      <c r="BZ39" s="351"/>
    </row>
    <row r="40" spans="1:78" s="90" customFormat="1" ht="19.5" hidden="1" customHeight="1">
      <c r="A40" s="137"/>
      <c r="B40" s="197">
        <f t="shared" si="1"/>
        <v>30</v>
      </c>
      <c r="C40" s="30" t="s">
        <v>206</v>
      </c>
      <c r="D40" s="30" t="s">
        <v>225</v>
      </c>
      <c r="E40" s="234" t="s">
        <v>665</v>
      </c>
      <c r="F40" s="235" t="s">
        <v>1224</v>
      </c>
      <c r="G40" s="284" t="str">
        <f>IFERROR(VLOOKUP(E40,Assign!$C$2:$J$142,8,FALSE),)</f>
        <v>문선영</v>
      </c>
      <c r="H40" s="361" t="s">
        <v>4308</v>
      </c>
      <c r="I40" s="363">
        <v>1</v>
      </c>
      <c r="J40" s="364" t="s">
        <v>208</v>
      </c>
      <c r="K40" s="364" t="s">
        <v>385</v>
      </c>
      <c r="L40" s="365" t="s">
        <v>1872</v>
      </c>
      <c r="M40" s="362" t="s">
        <v>3110</v>
      </c>
      <c r="N40" s="421" t="s">
        <v>3076</v>
      </c>
      <c r="O40" s="269">
        <v>250.40000000000003</v>
      </c>
      <c r="P40" s="269">
        <v>340.96</v>
      </c>
      <c r="Q40" s="426"/>
      <c r="R40" s="418" t="s">
        <v>665</v>
      </c>
      <c r="S40" s="427" t="s">
        <v>613</v>
      </c>
      <c r="T40" s="357">
        <v>1</v>
      </c>
      <c r="U40" s="357" t="s">
        <v>204</v>
      </c>
      <c r="V40" s="367">
        <v>1380000000</v>
      </c>
      <c r="W40" s="368">
        <v>1380000000</v>
      </c>
      <c r="X40" s="357"/>
      <c r="Y40" s="357"/>
      <c r="Z40" s="400"/>
      <c r="AA40" s="369"/>
      <c r="AB40" s="370"/>
      <c r="AC40" s="404"/>
      <c r="AD40" s="270"/>
      <c r="AE40" s="156"/>
      <c r="AF40" s="156"/>
      <c r="AG40" s="357"/>
      <c r="AH40" s="357"/>
      <c r="AI40" s="357"/>
      <c r="AJ40" s="156"/>
      <c r="AK40" s="156"/>
      <c r="AL40" s="375"/>
      <c r="AM40" s="405"/>
      <c r="AN40" s="273"/>
      <c r="AO40" s="405"/>
      <c r="AP40" s="273"/>
      <c r="AQ40" s="273"/>
      <c r="AR40" s="273"/>
      <c r="AS40" s="273"/>
      <c r="AT40" s="273"/>
      <c r="AU40" s="273"/>
      <c r="AV40" s="322">
        <f t="shared" si="2"/>
        <v>0</v>
      </c>
      <c r="AW40" s="402"/>
      <c r="AX40" s="376"/>
      <c r="AY40" s="373"/>
      <c r="AZ40" s="375"/>
      <c r="BA40" s="375"/>
      <c r="BB40" s="375"/>
      <c r="BC40" s="375"/>
      <c r="BD40" s="353">
        <f t="shared" si="3"/>
        <v>0</v>
      </c>
      <c r="BE40" s="432" t="s">
        <v>355</v>
      </c>
      <c r="BF40" s="407" t="s">
        <v>424</v>
      </c>
      <c r="BG40" s="168"/>
      <c r="BH40" s="274"/>
      <c r="BI40" s="168"/>
      <c r="BJ40" s="274"/>
      <c r="BK40" s="168"/>
      <c r="BL40" s="275"/>
      <c r="BM40" s="276"/>
      <c r="BN40" s="275"/>
      <c r="BO40" s="276"/>
      <c r="BP40" s="277"/>
      <c r="BQ40" s="156"/>
      <c r="BR40" s="274"/>
      <c r="BS40" s="270"/>
      <c r="BT40" s="270"/>
      <c r="BU40" s="274"/>
      <c r="BV40" s="274"/>
      <c r="BW40" s="278"/>
      <c r="BX40" s="278"/>
      <c r="BY40" s="278"/>
      <c r="BZ40" s="351"/>
    </row>
    <row r="41" spans="1:78" s="90" customFormat="1" ht="19.5" hidden="1" customHeight="1">
      <c r="A41" s="137"/>
      <c r="B41" s="197">
        <f t="shared" si="1"/>
        <v>31</v>
      </c>
      <c r="C41" s="30" t="s">
        <v>206</v>
      </c>
      <c r="D41" s="30" t="s">
        <v>225</v>
      </c>
      <c r="E41" s="234" t="s">
        <v>666</v>
      </c>
      <c r="F41" s="235" t="s">
        <v>1217</v>
      </c>
      <c r="G41" s="284">
        <f>IFERROR(VLOOKUP(E41,Assign!$C$2:$J$142,8,FALSE),)</f>
        <v>0</v>
      </c>
      <c r="H41" s="361" t="s">
        <v>4642</v>
      </c>
      <c r="I41" s="363">
        <v>1</v>
      </c>
      <c r="J41" s="364" t="s">
        <v>209</v>
      </c>
      <c r="K41" s="364" t="s">
        <v>247</v>
      </c>
      <c r="L41" s="365" t="s">
        <v>2175</v>
      </c>
      <c r="M41" s="362" t="s">
        <v>2176</v>
      </c>
      <c r="N41" s="421" t="s">
        <v>3505</v>
      </c>
      <c r="O41" s="269">
        <v>29.66</v>
      </c>
      <c r="P41" s="269">
        <v>263.20800000000003</v>
      </c>
      <c r="Q41" s="426"/>
      <c r="R41" s="418" t="s">
        <v>666</v>
      </c>
      <c r="S41" s="427" t="s">
        <v>613</v>
      </c>
      <c r="T41" s="357">
        <v>1</v>
      </c>
      <c r="U41" s="357" t="s">
        <v>204</v>
      </c>
      <c r="V41" s="367">
        <v>1680000000</v>
      </c>
      <c r="W41" s="368">
        <v>1680000000</v>
      </c>
      <c r="X41" s="357"/>
      <c r="Y41" s="357"/>
      <c r="Z41" s="400"/>
      <c r="AA41" s="369"/>
      <c r="AB41" s="370"/>
      <c r="AC41" s="404"/>
      <c r="AD41" s="270"/>
      <c r="AE41" s="156"/>
      <c r="AF41" s="156"/>
      <c r="AG41" s="357"/>
      <c r="AH41" s="357"/>
      <c r="AI41" s="357"/>
      <c r="AJ41" s="156"/>
      <c r="AK41" s="156"/>
      <c r="AL41" s="375"/>
      <c r="AM41" s="405"/>
      <c r="AN41" s="273"/>
      <c r="AO41" s="405"/>
      <c r="AP41" s="273"/>
      <c r="AQ41" s="273"/>
      <c r="AR41" s="273"/>
      <c r="AS41" s="273"/>
      <c r="AT41" s="273"/>
      <c r="AU41" s="273"/>
      <c r="AV41" s="322">
        <f t="shared" si="2"/>
        <v>0</v>
      </c>
      <c r="AW41" s="402"/>
      <c r="AX41" s="376"/>
      <c r="AY41" s="373"/>
      <c r="AZ41" s="375"/>
      <c r="BA41" s="375"/>
      <c r="BB41" s="375"/>
      <c r="BC41" s="375"/>
      <c r="BD41" s="353">
        <f t="shared" si="3"/>
        <v>0</v>
      </c>
      <c r="BE41" s="432" t="s">
        <v>355</v>
      </c>
      <c r="BF41" s="407" t="s">
        <v>497</v>
      </c>
      <c r="BG41" s="168"/>
      <c r="BH41" s="274"/>
      <c r="BI41" s="168"/>
      <c r="BJ41" s="274"/>
      <c r="BK41" s="168"/>
      <c r="BL41" s="275"/>
      <c r="BM41" s="276"/>
      <c r="BN41" s="275"/>
      <c r="BO41" s="276"/>
      <c r="BP41" s="277"/>
      <c r="BQ41" s="156"/>
      <c r="BR41" s="274"/>
      <c r="BS41" s="270"/>
      <c r="BT41" s="270"/>
      <c r="BU41" s="274"/>
      <c r="BV41" s="274"/>
      <c r="BW41" s="278"/>
      <c r="BX41" s="278"/>
      <c r="BY41" s="278"/>
      <c r="BZ41" s="351"/>
    </row>
    <row r="42" spans="1:78" s="90" customFormat="1" ht="19.5" hidden="1" customHeight="1">
      <c r="A42" s="137"/>
      <c r="B42" s="197">
        <f t="shared" si="1"/>
        <v>32</v>
      </c>
      <c r="C42" s="30" t="s">
        <v>206</v>
      </c>
      <c r="D42" s="30" t="s">
        <v>225</v>
      </c>
      <c r="E42" s="234" t="s">
        <v>667</v>
      </c>
      <c r="F42" s="235" t="s">
        <v>1225</v>
      </c>
      <c r="G42" s="284">
        <f>IFERROR(VLOOKUP(E42,Assign!$C$2:$J$142,8,FALSE),)</f>
        <v>0</v>
      </c>
      <c r="H42" s="361" t="s">
        <v>3878</v>
      </c>
      <c r="I42" s="363">
        <v>1</v>
      </c>
      <c r="J42" s="364" t="s">
        <v>209</v>
      </c>
      <c r="K42" s="364" t="s">
        <v>248</v>
      </c>
      <c r="L42" s="365" t="s">
        <v>386</v>
      </c>
      <c r="M42" s="362" t="s">
        <v>3087</v>
      </c>
      <c r="N42" s="421" t="s">
        <v>207</v>
      </c>
      <c r="O42" s="269">
        <v>75.307330374996567</v>
      </c>
      <c r="P42" s="269">
        <v>127.80800000000001</v>
      </c>
      <c r="Q42" s="426"/>
      <c r="R42" s="418" t="s">
        <v>667</v>
      </c>
      <c r="S42" s="427" t="s">
        <v>613</v>
      </c>
      <c r="T42" s="357" t="s">
        <v>333</v>
      </c>
      <c r="U42" s="357" t="s">
        <v>204</v>
      </c>
      <c r="V42" s="367">
        <v>1128000000</v>
      </c>
      <c r="W42" s="368">
        <v>1128000000</v>
      </c>
      <c r="X42" s="357"/>
      <c r="Y42" s="357"/>
      <c r="Z42" s="400"/>
      <c r="AA42" s="369"/>
      <c r="AB42" s="370"/>
      <c r="AC42" s="404"/>
      <c r="AD42" s="270"/>
      <c r="AE42" s="156"/>
      <c r="AF42" s="156"/>
      <c r="AG42" s="357"/>
      <c r="AH42" s="357"/>
      <c r="AI42" s="357"/>
      <c r="AJ42" s="156"/>
      <c r="AK42" s="156"/>
      <c r="AL42" s="375"/>
      <c r="AM42" s="405"/>
      <c r="AN42" s="273"/>
      <c r="AO42" s="405"/>
      <c r="AP42" s="273"/>
      <c r="AQ42" s="273"/>
      <c r="AR42" s="273"/>
      <c r="AS42" s="273"/>
      <c r="AT42" s="273"/>
      <c r="AU42" s="273"/>
      <c r="AV42" s="322">
        <f t="shared" si="2"/>
        <v>0</v>
      </c>
      <c r="AW42" s="402" t="s">
        <v>3387</v>
      </c>
      <c r="AX42" s="274">
        <v>45765</v>
      </c>
      <c r="AY42" s="270" t="s">
        <v>3388</v>
      </c>
      <c r="AZ42" s="156"/>
      <c r="BA42" s="156">
        <v>1940000000</v>
      </c>
      <c r="BB42" s="156"/>
      <c r="BC42" s="156"/>
      <c r="BD42" s="353">
        <f t="shared" si="3"/>
        <v>1940000000</v>
      </c>
      <c r="BE42" s="432" t="s">
        <v>355</v>
      </c>
      <c r="BF42" s="407" t="s">
        <v>511</v>
      </c>
      <c r="BG42" s="168"/>
      <c r="BH42" s="274"/>
      <c r="BI42" s="168"/>
      <c r="BJ42" s="274"/>
      <c r="BK42" s="168"/>
      <c r="BL42" s="275"/>
      <c r="BM42" s="276"/>
      <c r="BN42" s="275"/>
      <c r="BO42" s="276"/>
      <c r="BP42" s="277"/>
      <c r="BQ42" s="156"/>
      <c r="BR42" s="274"/>
      <c r="BS42" s="270"/>
      <c r="BT42" s="270"/>
      <c r="BU42" s="274"/>
      <c r="BV42" s="274"/>
      <c r="BW42" s="278"/>
      <c r="BX42" s="278"/>
      <c r="BY42" s="278"/>
      <c r="BZ42" s="351"/>
    </row>
    <row r="43" spans="1:78" s="90" customFormat="1" ht="19.5" hidden="1" customHeight="1">
      <c r="A43" s="137"/>
      <c r="B43" s="197">
        <f t="shared" si="1"/>
        <v>33</v>
      </c>
      <c r="C43" s="30" t="s">
        <v>206</v>
      </c>
      <c r="D43" s="30" t="s">
        <v>225</v>
      </c>
      <c r="E43" s="234" t="s">
        <v>668</v>
      </c>
      <c r="F43" s="235" t="s">
        <v>1225</v>
      </c>
      <c r="G43" s="284">
        <f>IFERROR(VLOOKUP(E43,Assign!$C$2:$J$142,8,FALSE),)</f>
        <v>0</v>
      </c>
      <c r="H43" s="361" t="s">
        <v>4268</v>
      </c>
      <c r="I43" s="363">
        <v>1</v>
      </c>
      <c r="J43" s="364" t="s">
        <v>209</v>
      </c>
      <c r="K43" s="364" t="s">
        <v>226</v>
      </c>
      <c r="L43" s="365" t="s">
        <v>227</v>
      </c>
      <c r="M43" s="362" t="s">
        <v>1837</v>
      </c>
      <c r="N43" s="421" t="s">
        <v>546</v>
      </c>
      <c r="O43" s="269">
        <v>49.22</v>
      </c>
      <c r="P43" s="269">
        <v>167.79</v>
      </c>
      <c r="Q43" s="426"/>
      <c r="R43" s="418" t="s">
        <v>668</v>
      </c>
      <c r="S43" s="427" t="s">
        <v>613</v>
      </c>
      <c r="T43" s="357" t="s">
        <v>268</v>
      </c>
      <c r="U43" s="357" t="s">
        <v>204</v>
      </c>
      <c r="V43" s="367">
        <v>555000000</v>
      </c>
      <c r="W43" s="368">
        <v>555000000</v>
      </c>
      <c r="X43" s="357">
        <v>2</v>
      </c>
      <c r="Y43" s="357" t="s">
        <v>3204</v>
      </c>
      <c r="Z43" s="400" t="s">
        <v>3206</v>
      </c>
      <c r="AA43" s="369">
        <v>240000000</v>
      </c>
      <c r="AB43" s="370">
        <v>240000000</v>
      </c>
      <c r="AC43" s="404"/>
      <c r="AD43" s="270"/>
      <c r="AE43" s="156"/>
      <c r="AF43" s="156"/>
      <c r="AG43" s="357"/>
      <c r="AH43" s="357"/>
      <c r="AI43" s="357"/>
      <c r="AJ43" s="156"/>
      <c r="AK43" s="156"/>
      <c r="AL43" s="375"/>
      <c r="AM43" s="405"/>
      <c r="AN43" s="273"/>
      <c r="AO43" s="405"/>
      <c r="AP43" s="273"/>
      <c r="AQ43" s="273"/>
      <c r="AR43" s="273"/>
      <c r="AS43" s="273"/>
      <c r="AT43" s="273"/>
      <c r="AU43" s="273"/>
      <c r="AV43" s="322">
        <f t="shared" si="2"/>
        <v>0</v>
      </c>
      <c r="AW43" s="402"/>
      <c r="AX43" s="376"/>
      <c r="AY43" s="373"/>
      <c r="AZ43" s="375"/>
      <c r="BA43" s="375"/>
      <c r="BB43" s="375"/>
      <c r="BC43" s="375"/>
      <c r="BD43" s="353">
        <f t="shared" si="3"/>
        <v>0</v>
      </c>
      <c r="BE43" s="432" t="s">
        <v>335</v>
      </c>
      <c r="BF43" s="407" t="s">
        <v>495</v>
      </c>
      <c r="BG43" s="168" t="s">
        <v>3404</v>
      </c>
      <c r="BH43" s="274">
        <v>45642</v>
      </c>
      <c r="BI43" s="168" t="s">
        <v>3286</v>
      </c>
      <c r="BJ43" s="274">
        <v>45734</v>
      </c>
      <c r="BK43" s="168">
        <v>291057000</v>
      </c>
      <c r="BL43" s="275"/>
      <c r="BM43" s="276"/>
      <c r="BN43" s="275"/>
      <c r="BO43" s="276"/>
      <c r="BP43" s="277"/>
      <c r="BQ43" s="156"/>
      <c r="BR43" s="274"/>
      <c r="BS43" s="270"/>
      <c r="BT43" s="270"/>
      <c r="BU43" s="274"/>
      <c r="BV43" s="274"/>
      <c r="BW43" s="278"/>
      <c r="BX43" s="278"/>
      <c r="BY43" s="278"/>
      <c r="BZ43" s="351"/>
    </row>
    <row r="44" spans="1:78" s="90" customFormat="1" ht="19.5" hidden="1" customHeight="1">
      <c r="A44" s="137"/>
      <c r="B44" s="197">
        <f t="shared" si="1"/>
        <v>34</v>
      </c>
      <c r="C44" s="30" t="s">
        <v>206</v>
      </c>
      <c r="D44" s="30" t="s">
        <v>225</v>
      </c>
      <c r="E44" s="234" t="s">
        <v>668</v>
      </c>
      <c r="F44" s="235" t="s">
        <v>1225</v>
      </c>
      <c r="G44" s="284">
        <f>IFERROR(VLOOKUP(E44,Assign!$C$2:$J$142,8,FALSE),)</f>
        <v>0</v>
      </c>
      <c r="H44" s="361" t="s">
        <v>4270</v>
      </c>
      <c r="I44" s="363">
        <v>2</v>
      </c>
      <c r="J44" s="364" t="s">
        <v>209</v>
      </c>
      <c r="K44" s="364" t="s">
        <v>226</v>
      </c>
      <c r="L44" s="365" t="s">
        <v>227</v>
      </c>
      <c r="M44" s="362" t="s">
        <v>1839</v>
      </c>
      <c r="N44" s="421" t="s">
        <v>546</v>
      </c>
      <c r="O44" s="269">
        <v>40.090000000000003</v>
      </c>
      <c r="P44" s="269">
        <v>136.66999999999999</v>
      </c>
      <c r="Q44" s="426"/>
      <c r="R44" s="418" t="s">
        <v>668</v>
      </c>
      <c r="S44" s="427" t="s">
        <v>613</v>
      </c>
      <c r="T44" s="357" t="s">
        <v>233</v>
      </c>
      <c r="U44" s="357" t="s">
        <v>204</v>
      </c>
      <c r="V44" s="367">
        <v>466200000</v>
      </c>
      <c r="W44" s="368">
        <v>466200000</v>
      </c>
      <c r="X44" s="357">
        <v>1</v>
      </c>
      <c r="Y44" s="357" t="s">
        <v>292</v>
      </c>
      <c r="Z44" s="400" t="s">
        <v>3206</v>
      </c>
      <c r="AA44" s="369">
        <v>240000000</v>
      </c>
      <c r="AB44" s="370">
        <v>240000000</v>
      </c>
      <c r="AC44" s="404"/>
      <c r="AD44" s="270"/>
      <c r="AE44" s="156"/>
      <c r="AF44" s="156"/>
      <c r="AG44" s="357"/>
      <c r="AH44" s="357"/>
      <c r="AI44" s="357"/>
      <c r="AJ44" s="156"/>
      <c r="AK44" s="156"/>
      <c r="AL44" s="375"/>
      <c r="AM44" s="405"/>
      <c r="AN44" s="273"/>
      <c r="AO44" s="405"/>
      <c r="AP44" s="273"/>
      <c r="AQ44" s="273"/>
      <c r="AR44" s="273"/>
      <c r="AS44" s="273"/>
      <c r="AT44" s="273"/>
      <c r="AU44" s="273"/>
      <c r="AV44" s="322">
        <f t="shared" si="2"/>
        <v>0</v>
      </c>
      <c r="AW44" s="402"/>
      <c r="AX44" s="376"/>
      <c r="AY44" s="373"/>
      <c r="AZ44" s="375"/>
      <c r="BA44" s="375"/>
      <c r="BB44" s="375"/>
      <c r="BC44" s="375"/>
      <c r="BD44" s="353">
        <f t="shared" si="3"/>
        <v>0</v>
      </c>
      <c r="BE44" s="432" t="s">
        <v>335</v>
      </c>
      <c r="BF44" s="407" t="s">
        <v>495</v>
      </c>
      <c r="BG44" s="168" t="s">
        <v>3404</v>
      </c>
      <c r="BH44" s="274">
        <v>45642</v>
      </c>
      <c r="BI44" s="168" t="s">
        <v>3286</v>
      </c>
      <c r="BJ44" s="274">
        <v>45734</v>
      </c>
      <c r="BK44" s="168" t="s">
        <v>608</v>
      </c>
      <c r="BL44" s="275"/>
      <c r="BM44" s="276"/>
      <c r="BN44" s="275"/>
      <c r="BO44" s="276"/>
      <c r="BP44" s="277"/>
      <c r="BQ44" s="156"/>
      <c r="BR44" s="274"/>
      <c r="BS44" s="270"/>
      <c r="BT44" s="270"/>
      <c r="BU44" s="274"/>
      <c r="BV44" s="274"/>
      <c r="BW44" s="278"/>
      <c r="BX44" s="278"/>
      <c r="BY44" s="278"/>
      <c r="BZ44" s="351"/>
    </row>
    <row r="45" spans="1:78" s="90" customFormat="1" ht="19.5" hidden="1" customHeight="1">
      <c r="A45" s="137"/>
      <c r="B45" s="197">
        <f t="shared" si="1"/>
        <v>35</v>
      </c>
      <c r="C45" s="30" t="s">
        <v>206</v>
      </c>
      <c r="D45" s="30" t="s">
        <v>225</v>
      </c>
      <c r="E45" s="234" t="s">
        <v>669</v>
      </c>
      <c r="F45" s="235" t="s">
        <v>1226</v>
      </c>
      <c r="G45" s="284" t="str">
        <f>IFERROR(VLOOKUP(E45,Assign!$C$2:$J$142,8,FALSE),)</f>
        <v>문선영</v>
      </c>
      <c r="H45" s="361" t="s">
        <v>4585</v>
      </c>
      <c r="I45" s="363">
        <v>1</v>
      </c>
      <c r="J45" s="364" t="s">
        <v>209</v>
      </c>
      <c r="K45" s="364" t="s">
        <v>2121</v>
      </c>
      <c r="L45" s="365" t="s">
        <v>2122</v>
      </c>
      <c r="M45" s="362" t="s">
        <v>2123</v>
      </c>
      <c r="N45" s="421" t="s">
        <v>3078</v>
      </c>
      <c r="O45" s="269">
        <v>38.770000000000003</v>
      </c>
      <c r="P45" s="269">
        <v>154.47</v>
      </c>
      <c r="Q45" s="426"/>
      <c r="R45" s="418" t="s">
        <v>669</v>
      </c>
      <c r="S45" s="427" t="s">
        <v>613</v>
      </c>
      <c r="T45" s="357">
        <v>1</v>
      </c>
      <c r="U45" s="357" t="s">
        <v>204</v>
      </c>
      <c r="V45" s="367">
        <v>1200000000</v>
      </c>
      <c r="W45" s="368">
        <v>1200000000</v>
      </c>
      <c r="X45" s="357"/>
      <c r="Y45" s="357"/>
      <c r="Z45" s="400"/>
      <c r="AA45" s="369"/>
      <c r="AB45" s="370"/>
      <c r="AC45" s="404"/>
      <c r="AD45" s="270"/>
      <c r="AE45" s="156"/>
      <c r="AF45" s="156"/>
      <c r="AG45" s="357"/>
      <c r="AH45" s="357"/>
      <c r="AI45" s="357"/>
      <c r="AJ45" s="156"/>
      <c r="AK45" s="156"/>
      <c r="AL45" s="375"/>
      <c r="AM45" s="405"/>
      <c r="AN45" s="273"/>
      <c r="AO45" s="405"/>
      <c r="AP45" s="273"/>
      <c r="AQ45" s="273"/>
      <c r="AR45" s="273"/>
      <c r="AS45" s="273"/>
      <c r="AT45" s="273"/>
      <c r="AU45" s="273"/>
      <c r="AV45" s="322">
        <f t="shared" si="2"/>
        <v>0</v>
      </c>
      <c r="AW45" s="402" t="s">
        <v>3387</v>
      </c>
      <c r="AX45" s="376">
        <v>45765</v>
      </c>
      <c r="AY45" s="373" t="s">
        <v>3388</v>
      </c>
      <c r="AZ45" s="375"/>
      <c r="BA45" s="375">
        <v>3550000000</v>
      </c>
      <c r="BB45" s="375"/>
      <c r="BC45" s="375"/>
      <c r="BD45" s="353">
        <f t="shared" si="3"/>
        <v>3550000000</v>
      </c>
      <c r="BE45" s="432" t="s">
        <v>355</v>
      </c>
      <c r="BF45" s="407" t="s">
        <v>497</v>
      </c>
      <c r="BG45" s="168"/>
      <c r="BH45" s="274"/>
      <c r="BI45" s="168"/>
      <c r="BJ45" s="274"/>
      <c r="BK45" s="168"/>
      <c r="BL45" s="275"/>
      <c r="BM45" s="276"/>
      <c r="BN45" s="275"/>
      <c r="BO45" s="276"/>
      <c r="BP45" s="277"/>
      <c r="BQ45" s="156"/>
      <c r="BR45" s="274"/>
      <c r="BS45" s="270"/>
      <c r="BT45" s="270"/>
      <c r="BU45" s="274"/>
      <c r="BV45" s="274"/>
      <c r="BW45" s="278"/>
      <c r="BX45" s="278"/>
      <c r="BY45" s="278"/>
      <c r="BZ45" s="351"/>
    </row>
    <row r="46" spans="1:78" s="90" customFormat="1" ht="19.5" hidden="1" customHeight="1">
      <c r="A46" s="137"/>
      <c r="B46" s="197">
        <f t="shared" si="1"/>
        <v>36</v>
      </c>
      <c r="C46" s="30" t="s">
        <v>206</v>
      </c>
      <c r="D46" s="30" t="s">
        <v>225</v>
      </c>
      <c r="E46" s="234" t="s">
        <v>670</v>
      </c>
      <c r="F46" s="235" t="s">
        <v>1304</v>
      </c>
      <c r="G46" s="284" t="str">
        <f>IFERROR(VLOOKUP(E46,Assign!$C$2:$J$142,8,FALSE),)</f>
        <v>문선영</v>
      </c>
      <c r="H46" s="361" t="s">
        <v>4409</v>
      </c>
      <c r="I46" s="363">
        <v>1</v>
      </c>
      <c r="J46" s="364" t="s">
        <v>217</v>
      </c>
      <c r="K46" s="364" t="s">
        <v>1963</v>
      </c>
      <c r="L46" s="365" t="s">
        <v>416</v>
      </c>
      <c r="M46" s="362" t="s">
        <v>3112</v>
      </c>
      <c r="N46" s="421" t="s">
        <v>620</v>
      </c>
      <c r="O46" s="269">
        <v>509</v>
      </c>
      <c r="P46" s="269">
        <v>834.96</v>
      </c>
      <c r="Q46" s="426"/>
      <c r="R46" s="418" t="s">
        <v>670</v>
      </c>
      <c r="S46" s="427" t="s">
        <v>613</v>
      </c>
      <c r="T46" s="357" t="s">
        <v>229</v>
      </c>
      <c r="U46" s="357" t="s">
        <v>204</v>
      </c>
      <c r="V46" s="367">
        <v>780000000</v>
      </c>
      <c r="W46" s="368">
        <v>780000000</v>
      </c>
      <c r="X46" s="357"/>
      <c r="Y46" s="357"/>
      <c r="Z46" s="400"/>
      <c r="AA46" s="369"/>
      <c r="AB46" s="370"/>
      <c r="AC46" s="404"/>
      <c r="AD46" s="270"/>
      <c r="AE46" s="156"/>
      <c r="AF46" s="156"/>
      <c r="AG46" s="357"/>
      <c r="AH46" s="357"/>
      <c r="AI46" s="357"/>
      <c r="AJ46" s="156"/>
      <c r="AK46" s="156"/>
      <c r="AL46" s="375"/>
      <c r="AM46" s="405"/>
      <c r="AN46" s="273"/>
      <c r="AO46" s="405"/>
      <c r="AP46" s="273"/>
      <c r="AQ46" s="273"/>
      <c r="AR46" s="273"/>
      <c r="AS46" s="273"/>
      <c r="AT46" s="273"/>
      <c r="AU46" s="273"/>
      <c r="AV46" s="322">
        <f t="shared" si="2"/>
        <v>0</v>
      </c>
      <c r="AW46" s="402"/>
      <c r="AX46" s="376"/>
      <c r="AY46" s="373"/>
      <c r="AZ46" s="375"/>
      <c r="BA46" s="375"/>
      <c r="BB46" s="375"/>
      <c r="BC46" s="375"/>
      <c r="BD46" s="353">
        <f t="shared" si="3"/>
        <v>0</v>
      </c>
      <c r="BE46" s="432" t="s">
        <v>355</v>
      </c>
      <c r="BF46" s="407" t="s">
        <v>518</v>
      </c>
      <c r="BG46" s="168"/>
      <c r="BH46" s="274"/>
      <c r="BI46" s="168"/>
      <c r="BJ46" s="274"/>
      <c r="BK46" s="168"/>
      <c r="BL46" s="275"/>
      <c r="BM46" s="276"/>
      <c r="BN46" s="275"/>
      <c r="BO46" s="276"/>
      <c r="BP46" s="277"/>
      <c r="BQ46" s="156"/>
      <c r="BR46" s="274"/>
      <c r="BS46" s="270"/>
      <c r="BT46" s="270"/>
      <c r="BU46" s="274"/>
      <c r="BV46" s="274"/>
      <c r="BW46" s="278"/>
      <c r="BX46" s="278"/>
      <c r="BY46" s="278"/>
      <c r="BZ46" s="351"/>
    </row>
    <row r="47" spans="1:78" s="90" customFormat="1" ht="19.5" hidden="1" customHeight="1">
      <c r="A47" s="137"/>
      <c r="B47" s="197">
        <f t="shared" si="1"/>
        <v>37</v>
      </c>
      <c r="C47" s="30" t="s">
        <v>206</v>
      </c>
      <c r="D47" s="30" t="s">
        <v>225</v>
      </c>
      <c r="E47" s="234" t="s">
        <v>671</v>
      </c>
      <c r="F47" s="235" t="s">
        <v>1227</v>
      </c>
      <c r="G47" s="284">
        <f>IFERROR(VLOOKUP(E47,Assign!$C$2:$J$142,8,FALSE),)</f>
        <v>0</v>
      </c>
      <c r="H47" s="361" t="s">
        <v>5403</v>
      </c>
      <c r="I47" s="363">
        <v>1</v>
      </c>
      <c r="J47" s="364" t="s">
        <v>209</v>
      </c>
      <c r="K47" s="364" t="s">
        <v>341</v>
      </c>
      <c r="L47" s="365" t="s">
        <v>342</v>
      </c>
      <c r="M47" s="362" t="s">
        <v>2841</v>
      </c>
      <c r="N47" s="421" t="s">
        <v>618</v>
      </c>
      <c r="O47" s="269">
        <v>170.26</v>
      </c>
      <c r="P47" s="269">
        <v>209.64</v>
      </c>
      <c r="Q47" s="426"/>
      <c r="R47" s="418" t="s">
        <v>671</v>
      </c>
      <c r="S47" s="427" t="s">
        <v>613</v>
      </c>
      <c r="T47" s="357" t="s">
        <v>229</v>
      </c>
      <c r="U47" s="357" t="s">
        <v>204</v>
      </c>
      <c r="V47" s="367">
        <v>1150000000</v>
      </c>
      <c r="W47" s="368">
        <v>1150000000</v>
      </c>
      <c r="X47" s="357"/>
      <c r="Y47" s="357"/>
      <c r="Z47" s="400"/>
      <c r="AA47" s="369"/>
      <c r="AB47" s="370"/>
      <c r="AC47" s="404"/>
      <c r="AD47" s="270"/>
      <c r="AE47" s="156"/>
      <c r="AF47" s="156"/>
      <c r="AG47" s="357"/>
      <c r="AH47" s="357"/>
      <c r="AI47" s="357"/>
      <c r="AJ47" s="156"/>
      <c r="AK47" s="156"/>
      <c r="AL47" s="375"/>
      <c r="AM47" s="405"/>
      <c r="AN47" s="273"/>
      <c r="AO47" s="405"/>
      <c r="AP47" s="273"/>
      <c r="AQ47" s="273"/>
      <c r="AR47" s="273"/>
      <c r="AS47" s="273"/>
      <c r="AT47" s="273"/>
      <c r="AU47" s="273"/>
      <c r="AV47" s="322">
        <f t="shared" si="2"/>
        <v>0</v>
      </c>
      <c r="AW47" s="402"/>
      <c r="AX47" s="376"/>
      <c r="AY47" s="373"/>
      <c r="AZ47" s="375"/>
      <c r="BA47" s="375"/>
      <c r="BB47" s="375"/>
      <c r="BC47" s="375"/>
      <c r="BD47" s="353">
        <f t="shared" si="3"/>
        <v>0</v>
      </c>
      <c r="BE47" s="432" t="s">
        <v>355</v>
      </c>
      <c r="BF47" s="407" t="s">
        <v>519</v>
      </c>
      <c r="BG47" s="168"/>
      <c r="BH47" s="274"/>
      <c r="BI47" s="168"/>
      <c r="BJ47" s="274"/>
      <c r="BK47" s="168"/>
      <c r="BL47" s="275"/>
      <c r="BM47" s="276"/>
      <c r="BN47" s="275"/>
      <c r="BO47" s="276"/>
      <c r="BP47" s="277"/>
      <c r="BQ47" s="156"/>
      <c r="BR47" s="274"/>
      <c r="BS47" s="270"/>
      <c r="BT47" s="270"/>
      <c r="BU47" s="274"/>
      <c r="BV47" s="274"/>
      <c r="BW47" s="278"/>
      <c r="BX47" s="278"/>
      <c r="BY47" s="278"/>
      <c r="BZ47" s="351"/>
    </row>
    <row r="48" spans="1:78" s="90" customFormat="1" ht="19.5" hidden="1" customHeight="1">
      <c r="A48" s="137"/>
      <c r="B48" s="197">
        <f t="shared" si="1"/>
        <v>38</v>
      </c>
      <c r="C48" s="30" t="s">
        <v>206</v>
      </c>
      <c r="D48" s="30" t="s">
        <v>225</v>
      </c>
      <c r="E48" s="234" t="s">
        <v>672</v>
      </c>
      <c r="F48" s="235" t="s">
        <v>1228</v>
      </c>
      <c r="G48" s="284">
        <f>IFERROR(VLOOKUP(E48,Assign!$C$2:$J$142,8,FALSE),)</f>
        <v>0</v>
      </c>
      <c r="H48" s="361" t="s">
        <v>5172</v>
      </c>
      <c r="I48" s="363">
        <v>1</v>
      </c>
      <c r="J48" s="364" t="s">
        <v>214</v>
      </c>
      <c r="K48" s="364" t="s">
        <v>1701</v>
      </c>
      <c r="L48" s="365" t="s">
        <v>2681</v>
      </c>
      <c r="M48" s="362" t="s">
        <v>3160</v>
      </c>
      <c r="N48" s="421" t="s">
        <v>285</v>
      </c>
      <c r="O48" s="269">
        <v>1845</v>
      </c>
      <c r="P48" s="269">
        <v>1112.26</v>
      </c>
      <c r="Q48" s="426">
        <v>1</v>
      </c>
      <c r="R48" s="418" t="s">
        <v>672</v>
      </c>
      <c r="S48" s="427" t="s">
        <v>613</v>
      </c>
      <c r="T48" s="357">
        <v>1</v>
      </c>
      <c r="U48" s="357" t="s">
        <v>204</v>
      </c>
      <c r="V48" s="367">
        <v>732000000</v>
      </c>
      <c r="W48" s="368">
        <v>732000000</v>
      </c>
      <c r="X48" s="357"/>
      <c r="Y48" s="357"/>
      <c r="Z48" s="400"/>
      <c r="AA48" s="369"/>
      <c r="AB48" s="370"/>
      <c r="AC48" s="404"/>
      <c r="AD48" s="270"/>
      <c r="AE48" s="156"/>
      <c r="AF48" s="156"/>
      <c r="AG48" s="357"/>
      <c r="AH48" s="357"/>
      <c r="AI48" s="357"/>
      <c r="AJ48" s="156"/>
      <c r="AK48" s="156"/>
      <c r="AL48" s="375"/>
      <c r="AM48" s="405"/>
      <c r="AN48" s="273"/>
      <c r="AO48" s="405"/>
      <c r="AP48" s="273"/>
      <c r="AQ48" s="273"/>
      <c r="AR48" s="273"/>
      <c r="AS48" s="273"/>
      <c r="AT48" s="273"/>
      <c r="AU48" s="273"/>
      <c r="AV48" s="322">
        <f t="shared" si="2"/>
        <v>0</v>
      </c>
      <c r="AW48" s="402"/>
      <c r="AX48" s="376"/>
      <c r="AY48" s="373"/>
      <c r="AZ48" s="375"/>
      <c r="BA48" s="375"/>
      <c r="BB48" s="375"/>
      <c r="BC48" s="375"/>
      <c r="BD48" s="353">
        <f t="shared" si="3"/>
        <v>0</v>
      </c>
      <c r="BE48" s="432" t="s">
        <v>355</v>
      </c>
      <c r="BF48" s="407" t="s">
        <v>503</v>
      </c>
      <c r="BG48" s="168"/>
      <c r="BH48" s="274"/>
      <c r="BI48" s="168"/>
      <c r="BJ48" s="274"/>
      <c r="BK48" s="168"/>
      <c r="BL48" s="275"/>
      <c r="BM48" s="276"/>
      <c r="BN48" s="275"/>
      <c r="BO48" s="276"/>
      <c r="BP48" s="277"/>
      <c r="BQ48" s="156"/>
      <c r="BR48" s="274"/>
      <c r="BS48" s="270"/>
      <c r="BT48" s="270"/>
      <c r="BU48" s="274"/>
      <c r="BV48" s="274"/>
      <c r="BW48" s="278"/>
      <c r="BX48" s="278"/>
      <c r="BY48" s="278"/>
      <c r="BZ48" s="351"/>
    </row>
    <row r="49" spans="1:78" s="90" customFormat="1" ht="19.5" hidden="1" customHeight="1">
      <c r="A49" s="137"/>
      <c r="B49" s="197">
        <f t="shared" si="1"/>
        <v>39</v>
      </c>
      <c r="C49" s="30" t="s">
        <v>206</v>
      </c>
      <c r="D49" s="30" t="s">
        <v>225</v>
      </c>
      <c r="E49" s="234" t="s">
        <v>673</v>
      </c>
      <c r="F49" s="235" t="s">
        <v>1229</v>
      </c>
      <c r="G49" s="284">
        <f>IFERROR(VLOOKUP(E49,Assign!$C$2:$J$142,8,FALSE),)</f>
        <v>0</v>
      </c>
      <c r="H49" s="361" t="s">
        <v>4069</v>
      </c>
      <c r="I49" s="363">
        <v>1</v>
      </c>
      <c r="J49" s="364" t="s">
        <v>208</v>
      </c>
      <c r="K49" s="364" t="s">
        <v>244</v>
      </c>
      <c r="L49" s="365" t="s">
        <v>278</v>
      </c>
      <c r="M49" s="362" t="s">
        <v>1644</v>
      </c>
      <c r="N49" s="421" t="s">
        <v>3386</v>
      </c>
      <c r="O49" s="269">
        <v>15.456</v>
      </c>
      <c r="P49" s="269">
        <v>60.63</v>
      </c>
      <c r="Q49" s="426"/>
      <c r="R49" s="418" t="s">
        <v>3500</v>
      </c>
      <c r="S49" s="427" t="s">
        <v>613</v>
      </c>
      <c r="T49" s="357">
        <v>1</v>
      </c>
      <c r="U49" s="357" t="s">
        <v>204</v>
      </c>
      <c r="V49" s="367">
        <v>851000000</v>
      </c>
      <c r="W49" s="368">
        <v>851000000</v>
      </c>
      <c r="X49" s="357"/>
      <c r="Y49" s="357"/>
      <c r="Z49" s="400"/>
      <c r="AA49" s="369"/>
      <c r="AB49" s="370"/>
      <c r="AC49" s="404"/>
      <c r="AD49" s="270"/>
      <c r="AE49" s="156"/>
      <c r="AF49" s="156"/>
      <c r="AG49" s="357"/>
      <c r="AH49" s="357"/>
      <c r="AI49" s="357"/>
      <c r="AJ49" s="156"/>
      <c r="AK49" s="156"/>
      <c r="AL49" s="375"/>
      <c r="AM49" s="405"/>
      <c r="AN49" s="273"/>
      <c r="AO49" s="405"/>
      <c r="AP49" s="273"/>
      <c r="AQ49" s="273"/>
      <c r="AR49" s="273"/>
      <c r="AS49" s="273"/>
      <c r="AT49" s="273"/>
      <c r="AU49" s="273"/>
      <c r="AV49" s="322">
        <f t="shared" si="2"/>
        <v>0</v>
      </c>
      <c r="AW49" s="402"/>
      <c r="AX49" s="376"/>
      <c r="AY49" s="373"/>
      <c r="AZ49" s="375"/>
      <c r="BA49" s="375"/>
      <c r="BB49" s="375"/>
      <c r="BC49" s="375"/>
      <c r="BD49" s="353">
        <f t="shared" si="3"/>
        <v>0</v>
      </c>
      <c r="BE49" s="432" t="s">
        <v>355</v>
      </c>
      <c r="BF49" s="407" t="s">
        <v>501</v>
      </c>
      <c r="BG49" s="168"/>
      <c r="BH49" s="274"/>
      <c r="BI49" s="168"/>
      <c r="BJ49" s="274"/>
      <c r="BK49" s="168"/>
      <c r="BL49" s="275"/>
      <c r="BM49" s="276"/>
      <c r="BN49" s="275"/>
      <c r="BO49" s="276"/>
      <c r="BP49" s="277"/>
      <c r="BQ49" s="156"/>
      <c r="BR49" s="274"/>
      <c r="BS49" s="270"/>
      <c r="BT49" s="270"/>
      <c r="BU49" s="274"/>
      <c r="BV49" s="274"/>
      <c r="BW49" s="278"/>
      <c r="BX49" s="278"/>
      <c r="BY49" s="278"/>
      <c r="BZ49" s="351"/>
    </row>
    <row r="50" spans="1:78" s="90" customFormat="1" ht="19.5" hidden="1" customHeight="1">
      <c r="A50" s="137"/>
      <c r="B50" s="197">
        <f t="shared" si="1"/>
        <v>40</v>
      </c>
      <c r="C50" s="30" t="s">
        <v>206</v>
      </c>
      <c r="D50" s="30" t="s">
        <v>225</v>
      </c>
      <c r="E50" s="234" t="s">
        <v>673</v>
      </c>
      <c r="F50" s="235" t="s">
        <v>1229</v>
      </c>
      <c r="G50" s="284">
        <f>IFERROR(VLOOKUP(E50,Assign!$C$2:$J$142,8,FALSE),)</f>
        <v>0</v>
      </c>
      <c r="H50" s="361" t="s">
        <v>4071</v>
      </c>
      <c r="I50" s="363">
        <v>2</v>
      </c>
      <c r="J50" s="364" t="s">
        <v>208</v>
      </c>
      <c r="K50" s="364" t="s">
        <v>234</v>
      </c>
      <c r="L50" s="365" t="s">
        <v>1646</v>
      </c>
      <c r="M50" s="362" t="s">
        <v>1647</v>
      </c>
      <c r="N50" s="421" t="s">
        <v>207</v>
      </c>
      <c r="O50" s="269">
        <v>45.021999999999998</v>
      </c>
      <c r="P50" s="269">
        <v>84.912999999999997</v>
      </c>
      <c r="Q50" s="426"/>
      <c r="R50" s="418" t="s">
        <v>3500</v>
      </c>
      <c r="S50" s="427" t="s">
        <v>613</v>
      </c>
      <c r="T50" s="357">
        <v>1</v>
      </c>
      <c r="U50" s="357" t="s">
        <v>204</v>
      </c>
      <c r="V50" s="367">
        <v>229000000</v>
      </c>
      <c r="W50" s="368">
        <v>229000000</v>
      </c>
      <c r="X50" s="357"/>
      <c r="Y50" s="357"/>
      <c r="Z50" s="400"/>
      <c r="AA50" s="369"/>
      <c r="AB50" s="370"/>
      <c r="AC50" s="404"/>
      <c r="AD50" s="270"/>
      <c r="AE50" s="156"/>
      <c r="AF50" s="156"/>
      <c r="AG50" s="357"/>
      <c r="AH50" s="357"/>
      <c r="AI50" s="357"/>
      <c r="AJ50" s="156"/>
      <c r="AK50" s="156"/>
      <c r="AL50" s="375"/>
      <c r="AM50" s="405"/>
      <c r="AN50" s="273"/>
      <c r="AO50" s="405"/>
      <c r="AP50" s="273"/>
      <c r="AQ50" s="273"/>
      <c r="AR50" s="273"/>
      <c r="AS50" s="273"/>
      <c r="AT50" s="273"/>
      <c r="AU50" s="273"/>
      <c r="AV50" s="322">
        <f t="shared" si="2"/>
        <v>0</v>
      </c>
      <c r="AW50" s="402" t="s">
        <v>3387</v>
      </c>
      <c r="AX50" s="376">
        <v>45765</v>
      </c>
      <c r="AY50" s="373" t="s">
        <v>3388</v>
      </c>
      <c r="AZ50" s="375"/>
      <c r="BA50" s="375">
        <v>435000000</v>
      </c>
      <c r="BB50" s="156"/>
      <c r="BC50" s="156"/>
      <c r="BD50" s="353">
        <f t="shared" si="3"/>
        <v>435000000</v>
      </c>
      <c r="BE50" s="432" t="s">
        <v>355</v>
      </c>
      <c r="BF50" s="407" t="s">
        <v>504</v>
      </c>
      <c r="BG50" s="168"/>
      <c r="BH50" s="274"/>
      <c r="BI50" s="168"/>
      <c r="BJ50" s="274"/>
      <c r="BK50" s="168"/>
      <c r="BL50" s="275"/>
      <c r="BM50" s="276"/>
      <c r="BN50" s="275"/>
      <c r="BO50" s="276"/>
      <c r="BP50" s="277"/>
      <c r="BQ50" s="156"/>
      <c r="BR50" s="274"/>
      <c r="BS50" s="270"/>
      <c r="BT50" s="270"/>
      <c r="BU50" s="274"/>
      <c r="BV50" s="274"/>
      <c r="BW50" s="278"/>
      <c r="BX50" s="278"/>
      <c r="BY50" s="278"/>
      <c r="BZ50" s="351"/>
    </row>
    <row r="51" spans="1:78" s="90" customFormat="1" ht="19.5" hidden="1" customHeight="1">
      <c r="A51" s="137"/>
      <c r="B51" s="197">
        <f t="shared" si="1"/>
        <v>41</v>
      </c>
      <c r="C51" s="30" t="s">
        <v>206</v>
      </c>
      <c r="D51" s="30" t="s">
        <v>225</v>
      </c>
      <c r="E51" s="234" t="s">
        <v>674</v>
      </c>
      <c r="F51" s="235" t="s">
        <v>1225</v>
      </c>
      <c r="G51" s="284">
        <f>IFERROR(VLOOKUP(E51,Assign!$C$2:$J$142,8,FALSE),)</f>
        <v>0</v>
      </c>
      <c r="H51" s="361" t="s">
        <v>4839</v>
      </c>
      <c r="I51" s="363">
        <v>1</v>
      </c>
      <c r="J51" s="364" t="s">
        <v>222</v>
      </c>
      <c r="K51" s="364" t="s">
        <v>289</v>
      </c>
      <c r="L51" s="365" t="s">
        <v>2368</v>
      </c>
      <c r="M51" s="362" t="s">
        <v>2369</v>
      </c>
      <c r="N51" s="421" t="s">
        <v>362</v>
      </c>
      <c r="O51" s="269">
        <v>20.1006</v>
      </c>
      <c r="P51" s="269">
        <v>76.882499999999993</v>
      </c>
      <c r="Q51" s="426"/>
      <c r="R51" s="418" t="s">
        <v>674</v>
      </c>
      <c r="S51" s="427" t="s">
        <v>613</v>
      </c>
      <c r="T51" s="357" t="s">
        <v>233</v>
      </c>
      <c r="U51" s="357" t="s">
        <v>204</v>
      </c>
      <c r="V51" s="367">
        <v>708000000</v>
      </c>
      <c r="W51" s="368">
        <v>708000000</v>
      </c>
      <c r="X51" s="357">
        <v>2</v>
      </c>
      <c r="Y51" s="357" t="s">
        <v>292</v>
      </c>
      <c r="Z51" s="400" t="s">
        <v>3206</v>
      </c>
      <c r="AA51" s="369">
        <v>288000000</v>
      </c>
      <c r="AB51" s="370">
        <v>288000000</v>
      </c>
      <c r="AC51" s="404"/>
      <c r="AD51" s="270"/>
      <c r="AE51" s="156"/>
      <c r="AF51" s="156"/>
      <c r="AG51" s="357"/>
      <c r="AH51" s="357"/>
      <c r="AI51" s="357"/>
      <c r="AJ51" s="156"/>
      <c r="AK51" s="156"/>
      <c r="AL51" s="375"/>
      <c r="AM51" s="405"/>
      <c r="AN51" s="273"/>
      <c r="AO51" s="405"/>
      <c r="AP51" s="273"/>
      <c r="AQ51" s="273"/>
      <c r="AR51" s="273"/>
      <c r="AS51" s="273"/>
      <c r="AT51" s="273"/>
      <c r="AU51" s="273"/>
      <c r="AV51" s="322">
        <f t="shared" si="2"/>
        <v>0</v>
      </c>
      <c r="AW51" s="402"/>
      <c r="AX51" s="376"/>
      <c r="AY51" s="373"/>
      <c r="AZ51" s="375"/>
      <c r="BA51" s="375"/>
      <c r="BB51" s="375"/>
      <c r="BC51" s="375"/>
      <c r="BD51" s="353">
        <f t="shared" si="3"/>
        <v>0</v>
      </c>
      <c r="BE51" s="432" t="s">
        <v>355</v>
      </c>
      <c r="BF51" s="407" t="s">
        <v>494</v>
      </c>
      <c r="BG51" s="168"/>
      <c r="BH51" s="274"/>
      <c r="BI51" s="168"/>
      <c r="BJ51" s="274"/>
      <c r="BK51" s="168"/>
      <c r="BL51" s="275"/>
      <c r="BM51" s="276"/>
      <c r="BN51" s="275"/>
      <c r="BO51" s="276"/>
      <c r="BP51" s="277"/>
      <c r="BQ51" s="156"/>
      <c r="BR51" s="274"/>
      <c r="BS51" s="270"/>
      <c r="BT51" s="270"/>
      <c r="BU51" s="274"/>
      <c r="BV51" s="274"/>
      <c r="BW51" s="278"/>
      <c r="BX51" s="278"/>
      <c r="BY51" s="278"/>
      <c r="BZ51" s="351"/>
    </row>
    <row r="52" spans="1:78" s="90" customFormat="1" ht="19.5" hidden="1" customHeight="1">
      <c r="A52" s="137"/>
      <c r="B52" s="197">
        <f t="shared" si="1"/>
        <v>42</v>
      </c>
      <c r="C52" s="30" t="s">
        <v>206</v>
      </c>
      <c r="D52" s="30" t="s">
        <v>225</v>
      </c>
      <c r="E52" s="234" t="s">
        <v>674</v>
      </c>
      <c r="F52" s="235" t="s">
        <v>1225</v>
      </c>
      <c r="G52" s="284">
        <f>IFERROR(VLOOKUP(E52,Assign!$C$2:$J$142,8,FALSE),)</f>
        <v>0</v>
      </c>
      <c r="H52" s="361" t="s">
        <v>4841</v>
      </c>
      <c r="I52" s="363">
        <v>2</v>
      </c>
      <c r="J52" s="364" t="s">
        <v>222</v>
      </c>
      <c r="K52" s="364" t="s">
        <v>289</v>
      </c>
      <c r="L52" s="365" t="s">
        <v>2368</v>
      </c>
      <c r="M52" s="362" t="s">
        <v>2371</v>
      </c>
      <c r="N52" s="421" t="s">
        <v>362</v>
      </c>
      <c r="O52" s="269">
        <v>24.771100000000001</v>
      </c>
      <c r="P52" s="269">
        <v>94.746399999999994</v>
      </c>
      <c r="Q52" s="426"/>
      <c r="R52" s="418" t="s">
        <v>674</v>
      </c>
      <c r="S52" s="427" t="s">
        <v>613</v>
      </c>
      <c r="T52" s="357" t="s">
        <v>268</v>
      </c>
      <c r="U52" s="357" t="s">
        <v>204</v>
      </c>
      <c r="V52" s="367">
        <v>669600000</v>
      </c>
      <c r="W52" s="368">
        <v>669600000</v>
      </c>
      <c r="X52" s="357">
        <v>1</v>
      </c>
      <c r="Y52" s="357" t="s">
        <v>3204</v>
      </c>
      <c r="Z52" s="400" t="s">
        <v>3206</v>
      </c>
      <c r="AA52" s="369">
        <v>288000000</v>
      </c>
      <c r="AB52" s="370">
        <v>288000000</v>
      </c>
      <c r="AC52" s="404"/>
      <c r="AD52" s="270"/>
      <c r="AE52" s="156"/>
      <c r="AF52" s="156"/>
      <c r="AG52" s="357"/>
      <c r="AH52" s="357"/>
      <c r="AI52" s="357"/>
      <c r="AJ52" s="156"/>
      <c r="AK52" s="156"/>
      <c r="AL52" s="375"/>
      <c r="AM52" s="405"/>
      <c r="AN52" s="273"/>
      <c r="AO52" s="405"/>
      <c r="AP52" s="273"/>
      <c r="AQ52" s="273"/>
      <c r="AR52" s="273"/>
      <c r="AS52" s="273"/>
      <c r="AT52" s="273"/>
      <c r="AU52" s="273"/>
      <c r="AV52" s="322">
        <f t="shared" si="2"/>
        <v>0</v>
      </c>
      <c r="AW52" s="402"/>
      <c r="AX52" s="376"/>
      <c r="AY52" s="373"/>
      <c r="AZ52" s="375"/>
      <c r="BA52" s="375"/>
      <c r="BB52" s="375"/>
      <c r="BC52" s="375"/>
      <c r="BD52" s="353">
        <f t="shared" si="3"/>
        <v>0</v>
      </c>
      <c r="BE52" s="432" t="s">
        <v>355</v>
      </c>
      <c r="BF52" s="407" t="s">
        <v>494</v>
      </c>
      <c r="BG52" s="168"/>
      <c r="BH52" s="274"/>
      <c r="BI52" s="168"/>
      <c r="BJ52" s="274"/>
      <c r="BK52" s="168"/>
      <c r="BL52" s="275"/>
      <c r="BM52" s="276"/>
      <c r="BN52" s="275"/>
      <c r="BO52" s="276"/>
      <c r="BP52" s="277"/>
      <c r="BQ52" s="156"/>
      <c r="BR52" s="274"/>
      <c r="BS52" s="270"/>
      <c r="BT52" s="270"/>
      <c r="BU52" s="274"/>
      <c r="BV52" s="274"/>
      <c r="BW52" s="278"/>
      <c r="BX52" s="278"/>
      <c r="BY52" s="278"/>
      <c r="BZ52" s="351"/>
    </row>
    <row r="53" spans="1:78" s="90" customFormat="1" ht="19.5" hidden="1" customHeight="1">
      <c r="A53" s="137"/>
      <c r="B53" s="197">
        <f t="shared" si="1"/>
        <v>43</v>
      </c>
      <c r="C53" s="30" t="s">
        <v>206</v>
      </c>
      <c r="D53" s="30" t="s">
        <v>225</v>
      </c>
      <c r="E53" s="234" t="s">
        <v>675</v>
      </c>
      <c r="F53" s="235" t="s">
        <v>1226</v>
      </c>
      <c r="G53" s="284">
        <f>IFERROR(VLOOKUP(E53,Assign!$C$2:$J$142,8,FALSE),)</f>
        <v>0</v>
      </c>
      <c r="H53" s="361" t="s">
        <v>5410</v>
      </c>
      <c r="I53" s="363">
        <v>1</v>
      </c>
      <c r="J53" s="364" t="s">
        <v>208</v>
      </c>
      <c r="K53" s="364" t="s">
        <v>244</v>
      </c>
      <c r="L53" s="365" t="s">
        <v>278</v>
      </c>
      <c r="M53" s="362" t="s">
        <v>2882</v>
      </c>
      <c r="N53" s="421" t="s">
        <v>3386</v>
      </c>
      <c r="O53" s="269">
        <v>13.9564</v>
      </c>
      <c r="P53" s="269">
        <v>34</v>
      </c>
      <c r="Q53" s="426"/>
      <c r="R53" s="418" t="s">
        <v>675</v>
      </c>
      <c r="S53" s="427" t="s">
        <v>613</v>
      </c>
      <c r="T53" s="357">
        <v>1</v>
      </c>
      <c r="U53" s="357" t="s">
        <v>204</v>
      </c>
      <c r="V53" s="367">
        <v>1056000000</v>
      </c>
      <c r="W53" s="368">
        <v>1056000000</v>
      </c>
      <c r="X53" s="357"/>
      <c r="Y53" s="357"/>
      <c r="Z53" s="400"/>
      <c r="AA53" s="369"/>
      <c r="AB53" s="370"/>
      <c r="AC53" s="404"/>
      <c r="AD53" s="270"/>
      <c r="AE53" s="156"/>
      <c r="AF53" s="156"/>
      <c r="AG53" s="357"/>
      <c r="AH53" s="357"/>
      <c r="AI53" s="357"/>
      <c r="AJ53" s="156"/>
      <c r="AK53" s="156"/>
      <c r="AL53" s="375"/>
      <c r="AM53" s="405"/>
      <c r="AN53" s="273"/>
      <c r="AO53" s="405"/>
      <c r="AP53" s="273"/>
      <c r="AQ53" s="273"/>
      <c r="AR53" s="273"/>
      <c r="AS53" s="273"/>
      <c r="AT53" s="273"/>
      <c r="AU53" s="273"/>
      <c r="AV53" s="322">
        <f t="shared" si="2"/>
        <v>0</v>
      </c>
      <c r="AW53" s="402"/>
      <c r="AX53" s="376"/>
      <c r="AY53" s="373"/>
      <c r="AZ53" s="375"/>
      <c r="BA53" s="375"/>
      <c r="BB53" s="375"/>
      <c r="BC53" s="375"/>
      <c r="BD53" s="353">
        <f t="shared" si="3"/>
        <v>0</v>
      </c>
      <c r="BE53" s="432" t="s">
        <v>355</v>
      </c>
      <c r="BF53" s="407" t="s">
        <v>501</v>
      </c>
      <c r="BG53" s="168"/>
      <c r="BH53" s="274"/>
      <c r="BI53" s="168"/>
      <c r="BJ53" s="274"/>
      <c r="BK53" s="168"/>
      <c r="BL53" s="275"/>
      <c r="BM53" s="276"/>
      <c r="BN53" s="275"/>
      <c r="BO53" s="276"/>
      <c r="BP53" s="277"/>
      <c r="BQ53" s="156"/>
      <c r="BR53" s="274"/>
      <c r="BS53" s="270"/>
      <c r="BT53" s="270"/>
      <c r="BU53" s="274"/>
      <c r="BV53" s="274"/>
      <c r="BW53" s="278"/>
      <c r="BX53" s="278"/>
      <c r="BY53" s="278"/>
      <c r="BZ53" s="351"/>
    </row>
    <row r="54" spans="1:78" s="90" customFormat="1" ht="19.5" hidden="1" customHeight="1">
      <c r="A54" s="137"/>
      <c r="B54" s="197">
        <f t="shared" si="1"/>
        <v>44</v>
      </c>
      <c r="C54" s="30" t="s">
        <v>206</v>
      </c>
      <c r="D54" s="30" t="s">
        <v>225</v>
      </c>
      <c r="E54" s="234" t="s">
        <v>676</v>
      </c>
      <c r="F54" s="235" t="s">
        <v>1217</v>
      </c>
      <c r="G54" s="284">
        <f>IFERROR(VLOOKUP(E54,Assign!$C$2:$J$142,8,FALSE),)</f>
        <v>0</v>
      </c>
      <c r="H54" s="361" t="s">
        <v>3952</v>
      </c>
      <c r="I54" s="363">
        <v>1</v>
      </c>
      <c r="J54" s="364" t="s">
        <v>208</v>
      </c>
      <c r="K54" s="364" t="s">
        <v>280</v>
      </c>
      <c r="L54" s="365" t="s">
        <v>1527</v>
      </c>
      <c r="M54" s="362" t="s">
        <v>3639</v>
      </c>
      <c r="N54" s="421" t="s">
        <v>3095</v>
      </c>
      <c r="O54" s="269">
        <f>1987+7</f>
        <v>1994</v>
      </c>
      <c r="P54" s="269">
        <v>757.39</v>
      </c>
      <c r="Q54" s="426"/>
      <c r="R54" s="418" t="s">
        <v>676</v>
      </c>
      <c r="S54" s="427" t="s">
        <v>613</v>
      </c>
      <c r="T54" s="357">
        <v>2</v>
      </c>
      <c r="U54" s="357" t="s">
        <v>204</v>
      </c>
      <c r="V54" s="367">
        <v>120000000</v>
      </c>
      <c r="W54" s="368">
        <v>120000000</v>
      </c>
      <c r="X54" s="357"/>
      <c r="Y54" s="357"/>
      <c r="Z54" s="400"/>
      <c r="AA54" s="369"/>
      <c r="AB54" s="370"/>
      <c r="AC54" s="404">
        <v>1</v>
      </c>
      <c r="AD54" s="270" t="s">
        <v>3206</v>
      </c>
      <c r="AE54" s="156">
        <v>1200000000</v>
      </c>
      <c r="AF54" s="156">
        <v>1200000000</v>
      </c>
      <c r="AG54" s="357"/>
      <c r="AH54" s="357"/>
      <c r="AI54" s="357"/>
      <c r="AJ54" s="156"/>
      <c r="AK54" s="156"/>
      <c r="AL54" s="375"/>
      <c r="AM54" s="405"/>
      <c r="AN54" s="273"/>
      <c r="AO54" s="405"/>
      <c r="AP54" s="273"/>
      <c r="AQ54" s="273"/>
      <c r="AR54" s="273"/>
      <c r="AS54" s="273"/>
      <c r="AT54" s="273"/>
      <c r="AU54" s="273"/>
      <c r="AV54" s="322">
        <f t="shared" si="2"/>
        <v>0</v>
      </c>
      <c r="AW54" s="402"/>
      <c r="AX54" s="376"/>
      <c r="AY54" s="373"/>
      <c r="AZ54" s="375"/>
      <c r="BA54" s="375"/>
      <c r="BB54" s="375"/>
      <c r="BC54" s="375"/>
      <c r="BD54" s="353">
        <f t="shared" si="3"/>
        <v>0</v>
      </c>
      <c r="BE54" s="432" t="s">
        <v>355</v>
      </c>
      <c r="BF54" s="407" t="s">
        <v>422</v>
      </c>
      <c r="BG54" s="168"/>
      <c r="BH54" s="274"/>
      <c r="BI54" s="168"/>
      <c r="BJ54" s="274"/>
      <c r="BK54" s="168"/>
      <c r="BL54" s="275"/>
      <c r="BM54" s="276"/>
      <c r="BN54" s="275"/>
      <c r="BO54" s="276"/>
      <c r="BP54" s="277"/>
      <c r="BQ54" s="156"/>
      <c r="BR54" s="274"/>
      <c r="BS54" s="270"/>
      <c r="BT54" s="270"/>
      <c r="BU54" s="274"/>
      <c r="BV54" s="274"/>
      <c r="BW54" s="278"/>
      <c r="BX54" s="278"/>
      <c r="BY54" s="278"/>
      <c r="BZ54" s="351"/>
    </row>
    <row r="55" spans="1:78" s="90" customFormat="1" ht="19.5" hidden="1" customHeight="1">
      <c r="A55" s="137"/>
      <c r="B55" s="197">
        <f t="shared" si="1"/>
        <v>45</v>
      </c>
      <c r="C55" s="30" t="s">
        <v>206</v>
      </c>
      <c r="D55" s="30" t="s">
        <v>225</v>
      </c>
      <c r="E55" s="234" t="s">
        <v>676</v>
      </c>
      <c r="F55" s="235" t="s">
        <v>1217</v>
      </c>
      <c r="G55" s="284">
        <f>IFERROR(VLOOKUP(E55,Assign!$C$2:$J$142,8,FALSE),)</f>
        <v>0</v>
      </c>
      <c r="H55" s="361" t="s">
        <v>3959</v>
      </c>
      <c r="I55" s="363">
        <v>2</v>
      </c>
      <c r="J55" s="364" t="s">
        <v>209</v>
      </c>
      <c r="K55" s="364" t="s">
        <v>286</v>
      </c>
      <c r="L55" s="365" t="s">
        <v>483</v>
      </c>
      <c r="M55" s="362" t="s">
        <v>1535</v>
      </c>
      <c r="N55" s="421" t="s">
        <v>207</v>
      </c>
      <c r="O55" s="269">
        <v>75.9995595785863</v>
      </c>
      <c r="P55" s="269">
        <v>136.9</v>
      </c>
      <c r="Q55" s="426"/>
      <c r="R55" s="418" t="s">
        <v>676</v>
      </c>
      <c r="S55" s="427" t="s">
        <v>613</v>
      </c>
      <c r="T55" s="357">
        <v>1</v>
      </c>
      <c r="U55" s="357" t="s">
        <v>204</v>
      </c>
      <c r="V55" s="367">
        <v>913000000</v>
      </c>
      <c r="W55" s="368">
        <v>913000000</v>
      </c>
      <c r="X55" s="357"/>
      <c r="Y55" s="357"/>
      <c r="Z55" s="400"/>
      <c r="AA55" s="369"/>
      <c r="AB55" s="370"/>
      <c r="AC55" s="404"/>
      <c r="AD55" s="270"/>
      <c r="AE55" s="156"/>
      <c r="AF55" s="156"/>
      <c r="AG55" s="357"/>
      <c r="AH55" s="357"/>
      <c r="AI55" s="357"/>
      <c r="AJ55" s="156"/>
      <c r="AK55" s="156"/>
      <c r="AL55" s="375"/>
      <c r="AM55" s="405"/>
      <c r="AN55" s="273"/>
      <c r="AO55" s="405"/>
      <c r="AP55" s="273"/>
      <c r="AQ55" s="273"/>
      <c r="AR55" s="273"/>
      <c r="AS55" s="273"/>
      <c r="AT55" s="273"/>
      <c r="AU55" s="273"/>
      <c r="AV55" s="322">
        <f t="shared" si="2"/>
        <v>0</v>
      </c>
      <c r="AW55" s="402" t="s">
        <v>3650</v>
      </c>
      <c r="AX55" s="376">
        <v>45639</v>
      </c>
      <c r="AY55" s="373" t="s">
        <v>3651</v>
      </c>
      <c r="AZ55" s="375"/>
      <c r="BA55" s="375">
        <v>4000000000</v>
      </c>
      <c r="BB55" s="375"/>
      <c r="BC55" s="375"/>
      <c r="BD55" s="353">
        <f t="shared" si="3"/>
        <v>4000000000</v>
      </c>
      <c r="BE55" s="432" t="s">
        <v>335</v>
      </c>
      <c r="BF55" s="407" t="s">
        <v>519</v>
      </c>
      <c r="BG55" s="168" t="s">
        <v>1373</v>
      </c>
      <c r="BH55" s="274">
        <v>45623</v>
      </c>
      <c r="BI55" s="168" t="s">
        <v>3260</v>
      </c>
      <c r="BJ55" s="274">
        <v>45699</v>
      </c>
      <c r="BK55" s="168">
        <v>1079922712</v>
      </c>
      <c r="BL55" s="275"/>
      <c r="BM55" s="276"/>
      <c r="BN55" s="275"/>
      <c r="BO55" s="276"/>
      <c r="BP55" s="277"/>
      <c r="BQ55" s="156">
        <v>4000000000</v>
      </c>
      <c r="BR55" s="274" t="s">
        <v>7146</v>
      </c>
      <c r="BS55" s="270"/>
      <c r="BT55" s="270"/>
      <c r="BU55" s="274"/>
      <c r="BV55" s="274"/>
      <c r="BW55" s="278"/>
      <c r="BX55" s="278"/>
      <c r="BY55" s="278"/>
      <c r="BZ55" s="351"/>
    </row>
    <row r="56" spans="1:78" s="90" customFormat="1" ht="19.5" hidden="1" customHeight="1">
      <c r="A56" s="137"/>
      <c r="B56" s="29">
        <f t="shared" si="1"/>
        <v>46</v>
      </c>
      <c r="C56" s="30" t="s">
        <v>206</v>
      </c>
      <c r="D56" s="30" t="s">
        <v>225</v>
      </c>
      <c r="E56" s="234" t="s">
        <v>677</v>
      </c>
      <c r="F56" s="235" t="s">
        <v>1221</v>
      </c>
      <c r="G56" s="284">
        <f>IFERROR(VLOOKUP(E56,Assign!$C$2:$J$142,8,FALSE),)</f>
        <v>0</v>
      </c>
      <c r="H56" s="361" t="s">
        <v>3871</v>
      </c>
      <c r="I56" s="361">
        <v>1</v>
      </c>
      <c r="J56" s="419" t="s">
        <v>209</v>
      </c>
      <c r="K56" s="419" t="s">
        <v>226</v>
      </c>
      <c r="L56" s="420" t="s">
        <v>1436</v>
      </c>
      <c r="M56" s="362" t="s">
        <v>3086</v>
      </c>
      <c r="N56" s="434" t="s">
        <v>296</v>
      </c>
      <c r="O56" s="269">
        <v>160.69999999999999</v>
      </c>
      <c r="P56" s="269">
        <v>332.54</v>
      </c>
      <c r="Q56" s="426"/>
      <c r="R56" s="418" t="s">
        <v>3416</v>
      </c>
      <c r="S56" s="428" t="s">
        <v>613</v>
      </c>
      <c r="T56" s="357" t="s">
        <v>229</v>
      </c>
      <c r="U56" s="357" t="s">
        <v>204</v>
      </c>
      <c r="V56" s="272">
        <v>1056000000</v>
      </c>
      <c r="W56" s="436">
        <v>1056000000</v>
      </c>
      <c r="X56" s="357"/>
      <c r="Y56" s="357"/>
      <c r="Z56" s="400"/>
      <c r="AA56" s="369"/>
      <c r="AB56" s="438"/>
      <c r="AC56" s="404"/>
      <c r="AD56" s="270"/>
      <c r="AE56" s="156"/>
      <c r="AF56" s="156"/>
      <c r="AG56" s="357"/>
      <c r="AH56" s="357"/>
      <c r="AI56" s="357"/>
      <c r="AJ56" s="156"/>
      <c r="AK56" s="156"/>
      <c r="AL56" s="375"/>
      <c r="AM56" s="403"/>
      <c r="AN56" s="273"/>
      <c r="AO56" s="403"/>
      <c r="AP56" s="190"/>
      <c r="AQ56" s="190"/>
      <c r="AR56" s="190"/>
      <c r="AS56" s="190"/>
      <c r="AT56" s="190"/>
      <c r="AU56" s="190"/>
      <c r="AV56" s="322">
        <f t="shared" si="2"/>
        <v>0</v>
      </c>
      <c r="AW56" s="402"/>
      <c r="AX56" s="376"/>
      <c r="AY56" s="373"/>
      <c r="AZ56" s="375"/>
      <c r="BA56" s="375"/>
      <c r="BB56" s="375"/>
      <c r="BC56" s="375"/>
      <c r="BD56" s="353">
        <f t="shared" si="3"/>
        <v>0</v>
      </c>
      <c r="BE56" s="431" t="s">
        <v>355</v>
      </c>
      <c r="BF56" s="440" t="s">
        <v>495</v>
      </c>
      <c r="BG56" s="168"/>
      <c r="BH56" s="274"/>
      <c r="BI56" s="168"/>
      <c r="BJ56" s="274"/>
      <c r="BK56" s="168"/>
      <c r="BL56" s="275"/>
      <c r="BM56" s="276"/>
      <c r="BN56" s="275"/>
      <c r="BO56" s="276"/>
      <c r="BP56" s="277"/>
      <c r="BQ56" s="156"/>
      <c r="BR56" s="274"/>
      <c r="BS56" s="270"/>
      <c r="BT56" s="270"/>
      <c r="BU56" s="274"/>
      <c r="BV56" s="274"/>
      <c r="BW56" s="278"/>
      <c r="BX56" s="278"/>
      <c r="BY56" s="278"/>
      <c r="BZ56" s="351"/>
    </row>
    <row r="57" spans="1:78" s="90" customFormat="1" ht="19.5" hidden="1" customHeight="1">
      <c r="A57" s="137"/>
      <c r="B57" s="197">
        <f t="shared" si="1"/>
        <v>47</v>
      </c>
      <c r="C57" s="30" t="s">
        <v>206</v>
      </c>
      <c r="D57" s="30" t="s">
        <v>225</v>
      </c>
      <c r="E57" s="234" t="s">
        <v>678</v>
      </c>
      <c r="F57" s="235" t="s">
        <v>1230</v>
      </c>
      <c r="G57" s="284">
        <f>IFERROR(VLOOKUP(E57,Assign!$C$2:$J$142,8,FALSE),)</f>
        <v>0</v>
      </c>
      <c r="H57" s="361" t="s">
        <v>5051</v>
      </c>
      <c r="I57" s="363">
        <v>1</v>
      </c>
      <c r="J57" s="364" t="s">
        <v>209</v>
      </c>
      <c r="K57" s="364" t="s">
        <v>246</v>
      </c>
      <c r="L57" s="365" t="s">
        <v>253</v>
      </c>
      <c r="M57" s="362" t="s">
        <v>2569</v>
      </c>
      <c r="N57" s="421" t="s">
        <v>207</v>
      </c>
      <c r="O57" s="269">
        <v>40.299999999999997</v>
      </c>
      <c r="P57" s="269">
        <v>31.98</v>
      </c>
      <c r="Q57" s="426"/>
      <c r="R57" s="418" t="s">
        <v>3365</v>
      </c>
      <c r="S57" s="427" t="s">
        <v>613</v>
      </c>
      <c r="T57" s="357" t="s">
        <v>292</v>
      </c>
      <c r="U57" s="357" t="s">
        <v>204</v>
      </c>
      <c r="V57" s="367">
        <v>480000000</v>
      </c>
      <c r="W57" s="367">
        <v>480000000</v>
      </c>
      <c r="X57" s="357"/>
      <c r="Y57" s="357"/>
      <c r="Z57" s="400"/>
      <c r="AA57" s="369"/>
      <c r="AB57" s="370"/>
      <c r="AC57" s="404">
        <v>1</v>
      </c>
      <c r="AD57" s="270" t="s">
        <v>204</v>
      </c>
      <c r="AE57" s="156">
        <v>60000000</v>
      </c>
      <c r="AF57" s="156">
        <v>60000000</v>
      </c>
      <c r="AG57" s="357"/>
      <c r="AH57" s="357"/>
      <c r="AI57" s="357"/>
      <c r="AJ57" s="156"/>
      <c r="AK57" s="156"/>
      <c r="AL57" s="375"/>
      <c r="AM57" s="405"/>
      <c r="AN57" s="273"/>
      <c r="AO57" s="405"/>
      <c r="AP57" s="273"/>
      <c r="AQ57" s="273"/>
      <c r="AR57" s="273"/>
      <c r="AS57" s="273"/>
      <c r="AT57" s="273"/>
      <c r="AU57" s="273"/>
      <c r="AV57" s="322">
        <f t="shared" si="2"/>
        <v>0</v>
      </c>
      <c r="AW57" s="402"/>
      <c r="AX57" s="376"/>
      <c r="AY57" s="373"/>
      <c r="AZ57" s="375"/>
      <c r="BA57" s="375"/>
      <c r="BB57" s="156"/>
      <c r="BC57" s="156"/>
      <c r="BD57" s="353">
        <f t="shared" si="3"/>
        <v>0</v>
      </c>
      <c r="BE57" s="432" t="s">
        <v>355</v>
      </c>
      <c r="BF57" s="407" t="s">
        <v>510</v>
      </c>
      <c r="BG57" s="168"/>
      <c r="BH57" s="274"/>
      <c r="BI57" s="168"/>
      <c r="BJ57" s="274"/>
      <c r="BK57" s="168"/>
      <c r="BL57" s="275"/>
      <c r="BM57" s="276"/>
      <c r="BN57" s="275"/>
      <c r="BO57" s="276"/>
      <c r="BP57" s="277"/>
      <c r="BQ57" s="156"/>
      <c r="BR57" s="274"/>
      <c r="BS57" s="270"/>
      <c r="BT57" s="270"/>
      <c r="BU57" s="274"/>
      <c r="BV57" s="274"/>
      <c r="BW57" s="278"/>
      <c r="BX57" s="278"/>
      <c r="BY57" s="278"/>
      <c r="BZ57" s="351"/>
    </row>
    <row r="58" spans="1:78" s="90" customFormat="1" ht="19.5" hidden="1" customHeight="1">
      <c r="A58" s="137"/>
      <c r="B58" s="197">
        <f t="shared" si="1"/>
        <v>48</v>
      </c>
      <c r="C58" s="30" t="s">
        <v>206</v>
      </c>
      <c r="D58" s="30" t="s">
        <v>225</v>
      </c>
      <c r="E58" s="234" t="s">
        <v>678</v>
      </c>
      <c r="F58" s="235" t="s">
        <v>1230</v>
      </c>
      <c r="G58" s="284">
        <f>IFERROR(VLOOKUP(E58,Assign!$C$2:$J$142,8,FALSE),)</f>
        <v>0</v>
      </c>
      <c r="H58" s="361" t="s">
        <v>5053</v>
      </c>
      <c r="I58" s="363">
        <v>2</v>
      </c>
      <c r="J58" s="364" t="s">
        <v>209</v>
      </c>
      <c r="K58" s="364" t="s">
        <v>246</v>
      </c>
      <c r="L58" s="365" t="s">
        <v>253</v>
      </c>
      <c r="M58" s="362" t="s">
        <v>2570</v>
      </c>
      <c r="N58" s="421" t="s">
        <v>207</v>
      </c>
      <c r="O58" s="269">
        <v>38.4</v>
      </c>
      <c r="P58" s="269">
        <v>58.01</v>
      </c>
      <c r="Q58" s="426"/>
      <c r="R58" s="418" t="s">
        <v>3460</v>
      </c>
      <c r="S58" s="427" t="s">
        <v>613</v>
      </c>
      <c r="T58" s="357" t="s">
        <v>229</v>
      </c>
      <c r="U58" s="357" t="s">
        <v>204</v>
      </c>
      <c r="V58" s="367">
        <v>480000000</v>
      </c>
      <c r="W58" s="368">
        <v>480000000</v>
      </c>
      <c r="X58" s="357"/>
      <c r="Y58" s="357"/>
      <c r="Z58" s="400"/>
      <c r="AA58" s="369"/>
      <c r="AB58" s="370"/>
      <c r="AC58" s="404"/>
      <c r="AD58" s="270"/>
      <c r="AE58" s="156"/>
      <c r="AF58" s="156"/>
      <c r="AG58" s="357"/>
      <c r="AH58" s="357"/>
      <c r="AI58" s="357"/>
      <c r="AJ58" s="156"/>
      <c r="AK58" s="156"/>
      <c r="AL58" s="375"/>
      <c r="AM58" s="405"/>
      <c r="AN58" s="273"/>
      <c r="AO58" s="405"/>
      <c r="AP58" s="273"/>
      <c r="AQ58" s="273"/>
      <c r="AR58" s="273"/>
      <c r="AS58" s="273"/>
      <c r="AT58" s="273"/>
      <c r="AU58" s="273"/>
      <c r="AV58" s="322">
        <f t="shared" si="2"/>
        <v>0</v>
      </c>
      <c r="AW58" s="402" t="s">
        <v>3387</v>
      </c>
      <c r="AX58" s="376">
        <v>45765</v>
      </c>
      <c r="AY58" s="373" t="s">
        <v>3388</v>
      </c>
      <c r="AZ58" s="375"/>
      <c r="BA58" s="375">
        <v>630000000</v>
      </c>
      <c r="BB58" s="375"/>
      <c r="BC58" s="375"/>
      <c r="BD58" s="353">
        <f t="shared" si="3"/>
        <v>630000000</v>
      </c>
      <c r="BE58" s="432" t="s">
        <v>355</v>
      </c>
      <c r="BF58" s="407" t="s">
        <v>510</v>
      </c>
      <c r="BG58" s="168"/>
      <c r="BH58" s="274"/>
      <c r="BI58" s="168"/>
      <c r="BJ58" s="274"/>
      <c r="BK58" s="168"/>
      <c r="BL58" s="275"/>
      <c r="BM58" s="276"/>
      <c r="BN58" s="275"/>
      <c r="BO58" s="276"/>
      <c r="BP58" s="277"/>
      <c r="BQ58" s="156"/>
      <c r="BR58" s="274"/>
      <c r="BS58" s="270"/>
      <c r="BT58" s="270"/>
      <c r="BU58" s="274"/>
      <c r="BV58" s="274"/>
      <c r="BW58" s="278"/>
      <c r="BX58" s="278"/>
      <c r="BY58" s="278"/>
      <c r="BZ58" s="351"/>
    </row>
    <row r="59" spans="1:78" s="90" customFormat="1" ht="19.5" hidden="1" customHeight="1">
      <c r="A59" s="137"/>
      <c r="B59" s="197">
        <f t="shared" si="1"/>
        <v>49</v>
      </c>
      <c r="C59" s="30" t="s">
        <v>206</v>
      </c>
      <c r="D59" s="30" t="s">
        <v>225</v>
      </c>
      <c r="E59" s="234" t="s">
        <v>679</v>
      </c>
      <c r="F59" s="235" t="s">
        <v>1229</v>
      </c>
      <c r="G59" s="284">
        <f>IFERROR(VLOOKUP(E59,Assign!$C$2:$J$142,8,FALSE),)</f>
        <v>0</v>
      </c>
      <c r="H59" s="361" t="s">
        <v>4615</v>
      </c>
      <c r="I59" s="363">
        <v>1</v>
      </c>
      <c r="J59" s="364" t="s">
        <v>208</v>
      </c>
      <c r="K59" s="364" t="s">
        <v>228</v>
      </c>
      <c r="L59" s="365" t="s">
        <v>2152</v>
      </c>
      <c r="M59" s="362" t="s">
        <v>3079</v>
      </c>
      <c r="N59" s="421" t="s">
        <v>606</v>
      </c>
      <c r="O59" s="269">
        <v>325.99999999999994</v>
      </c>
      <c r="P59" s="269">
        <v>460.91</v>
      </c>
      <c r="Q59" s="426"/>
      <c r="R59" s="418" t="s">
        <v>679</v>
      </c>
      <c r="S59" s="427" t="s">
        <v>613</v>
      </c>
      <c r="T59" s="357">
        <v>1</v>
      </c>
      <c r="U59" s="357" t="s">
        <v>204</v>
      </c>
      <c r="V59" s="367">
        <v>960000000</v>
      </c>
      <c r="W59" s="368">
        <v>960000000</v>
      </c>
      <c r="X59" s="357"/>
      <c r="Y59" s="357"/>
      <c r="Z59" s="400"/>
      <c r="AA59" s="369"/>
      <c r="AB59" s="370"/>
      <c r="AC59" s="404"/>
      <c r="AD59" s="270"/>
      <c r="AE59" s="156"/>
      <c r="AF59" s="156"/>
      <c r="AG59" s="357"/>
      <c r="AH59" s="357"/>
      <c r="AI59" s="357"/>
      <c r="AJ59" s="156"/>
      <c r="AK59" s="156"/>
      <c r="AL59" s="375"/>
      <c r="AM59" s="405"/>
      <c r="AN59" s="273"/>
      <c r="AO59" s="405"/>
      <c r="AP59" s="273"/>
      <c r="AQ59" s="273"/>
      <c r="AR59" s="273"/>
      <c r="AS59" s="273"/>
      <c r="AT59" s="273"/>
      <c r="AU59" s="273"/>
      <c r="AV59" s="322">
        <f t="shared" si="2"/>
        <v>0</v>
      </c>
      <c r="AW59" s="402"/>
      <c r="AX59" s="376"/>
      <c r="AY59" s="373"/>
      <c r="AZ59" s="375"/>
      <c r="BA59" s="375"/>
      <c r="BB59" s="156"/>
      <c r="BC59" s="156"/>
      <c r="BD59" s="353">
        <f t="shared" si="3"/>
        <v>0</v>
      </c>
      <c r="BE59" s="432" t="s">
        <v>355</v>
      </c>
      <c r="BF59" s="407" t="s">
        <v>424</v>
      </c>
      <c r="BG59" s="168"/>
      <c r="BH59" s="274"/>
      <c r="BI59" s="168"/>
      <c r="BJ59" s="274"/>
      <c r="BK59" s="168"/>
      <c r="BL59" s="275"/>
      <c r="BM59" s="276"/>
      <c r="BN59" s="275"/>
      <c r="BO59" s="276"/>
      <c r="BP59" s="277"/>
      <c r="BQ59" s="156"/>
      <c r="BR59" s="274"/>
      <c r="BS59" s="270"/>
      <c r="BT59" s="270"/>
      <c r="BU59" s="274"/>
      <c r="BV59" s="274"/>
      <c r="BW59" s="278"/>
      <c r="BX59" s="278"/>
      <c r="BY59" s="278"/>
      <c r="BZ59" s="351"/>
    </row>
    <row r="60" spans="1:78" s="90" customFormat="1" ht="19.5" hidden="1" customHeight="1">
      <c r="A60" s="137"/>
      <c r="B60" s="197">
        <f t="shared" si="1"/>
        <v>50</v>
      </c>
      <c r="C60" s="30" t="s">
        <v>206</v>
      </c>
      <c r="D60" s="30" t="s">
        <v>225</v>
      </c>
      <c r="E60" s="234" t="s">
        <v>680</v>
      </c>
      <c r="F60" s="235" t="s">
        <v>1231</v>
      </c>
      <c r="G60" s="284">
        <f>IFERROR(VLOOKUP(E60,Assign!$C$2:$J$142,8,FALSE),)</f>
        <v>0</v>
      </c>
      <c r="H60" s="361" t="s">
        <v>4278</v>
      </c>
      <c r="I60" s="363">
        <v>1</v>
      </c>
      <c r="J60" s="364" t="s">
        <v>218</v>
      </c>
      <c r="K60" s="364"/>
      <c r="L60" s="365" t="s">
        <v>1847</v>
      </c>
      <c r="M60" s="362" t="s">
        <v>3107</v>
      </c>
      <c r="N60" s="421" t="s">
        <v>285</v>
      </c>
      <c r="O60" s="269">
        <v>1848</v>
      </c>
      <c r="P60" s="269">
        <v>530</v>
      </c>
      <c r="Q60" s="426"/>
      <c r="R60" s="418" t="s">
        <v>680</v>
      </c>
      <c r="S60" s="427" t="s">
        <v>613</v>
      </c>
      <c r="T60" s="357" t="s">
        <v>233</v>
      </c>
      <c r="U60" s="357" t="s">
        <v>204</v>
      </c>
      <c r="V60" s="367">
        <v>720000000</v>
      </c>
      <c r="W60" s="368">
        <v>720000000</v>
      </c>
      <c r="X60" s="357"/>
      <c r="Y60" s="357"/>
      <c r="Z60" s="400"/>
      <c r="AA60" s="369"/>
      <c r="AB60" s="370"/>
      <c r="AC60" s="404"/>
      <c r="AD60" s="270"/>
      <c r="AE60" s="156"/>
      <c r="AF60" s="156"/>
      <c r="AG60" s="357"/>
      <c r="AH60" s="357"/>
      <c r="AI60" s="357"/>
      <c r="AJ60" s="156"/>
      <c r="AK60" s="156"/>
      <c r="AL60" s="412">
        <v>3</v>
      </c>
      <c r="AM60" s="405" t="s">
        <v>204</v>
      </c>
      <c r="AN60" s="273">
        <v>15000000</v>
      </c>
      <c r="AO60" s="405" t="s">
        <v>536</v>
      </c>
      <c r="AP60" s="273"/>
      <c r="AQ60" s="273"/>
      <c r="AR60" s="273"/>
      <c r="AS60" s="273"/>
      <c r="AT60" s="273"/>
      <c r="AU60" s="273"/>
      <c r="AV60" s="322">
        <f t="shared" si="2"/>
        <v>0</v>
      </c>
      <c r="AW60" s="402"/>
      <c r="AX60" s="376"/>
      <c r="AY60" s="373"/>
      <c r="AZ60" s="375"/>
      <c r="BA60" s="375"/>
      <c r="BB60" s="375"/>
      <c r="BC60" s="375"/>
      <c r="BD60" s="353">
        <f t="shared" si="3"/>
        <v>0</v>
      </c>
      <c r="BE60" s="432" t="s">
        <v>355</v>
      </c>
      <c r="BF60" s="407" t="s">
        <v>503</v>
      </c>
      <c r="BG60" s="168"/>
      <c r="BH60" s="274"/>
      <c r="BI60" s="168"/>
      <c r="BJ60" s="274"/>
      <c r="BK60" s="168"/>
      <c r="BL60" s="275"/>
      <c r="BM60" s="276"/>
      <c r="BN60" s="275"/>
      <c r="BO60" s="276"/>
      <c r="BP60" s="277"/>
      <c r="BQ60" s="156"/>
      <c r="BR60" s="274"/>
      <c r="BS60" s="270"/>
      <c r="BT60" s="270"/>
      <c r="BU60" s="274"/>
      <c r="BV60" s="274"/>
      <c r="BW60" s="278"/>
      <c r="BX60" s="278"/>
      <c r="BY60" s="278"/>
      <c r="BZ60" s="351"/>
    </row>
    <row r="61" spans="1:78" s="90" customFormat="1" ht="19.5" hidden="1" customHeight="1">
      <c r="A61" s="137"/>
      <c r="B61" s="197">
        <f t="shared" si="1"/>
        <v>51</v>
      </c>
      <c r="C61" s="30" t="s">
        <v>206</v>
      </c>
      <c r="D61" s="30" t="s">
        <v>225</v>
      </c>
      <c r="E61" s="234" t="s">
        <v>681</v>
      </c>
      <c r="F61" s="235" t="s">
        <v>1232</v>
      </c>
      <c r="G61" s="284">
        <f>IFERROR(VLOOKUP(E61,Assign!$C$2:$J$142,8,FALSE),)</f>
        <v>0</v>
      </c>
      <c r="H61" s="361" t="s">
        <v>4961</v>
      </c>
      <c r="I61" s="363">
        <v>1</v>
      </c>
      <c r="J61" s="364" t="s">
        <v>212</v>
      </c>
      <c r="K61" s="364" t="s">
        <v>300</v>
      </c>
      <c r="L61" s="365" t="s">
        <v>361</v>
      </c>
      <c r="M61" s="362" t="s">
        <v>2480</v>
      </c>
      <c r="N61" s="421" t="s">
        <v>533</v>
      </c>
      <c r="O61" s="269">
        <v>219.5</v>
      </c>
      <c r="P61" s="269">
        <v>924.84</v>
      </c>
      <c r="Q61" s="426"/>
      <c r="R61" s="418" t="s">
        <v>681</v>
      </c>
      <c r="S61" s="427" t="s">
        <v>613</v>
      </c>
      <c r="T61" s="357">
        <v>1</v>
      </c>
      <c r="U61" s="357" t="s">
        <v>204</v>
      </c>
      <c r="V61" s="367">
        <v>780000000</v>
      </c>
      <c r="W61" s="368">
        <v>780000000</v>
      </c>
      <c r="X61" s="357"/>
      <c r="Y61" s="357"/>
      <c r="Z61" s="400"/>
      <c r="AA61" s="369"/>
      <c r="AB61" s="370"/>
      <c r="AC61" s="404"/>
      <c r="AD61" s="270"/>
      <c r="AE61" s="156"/>
      <c r="AF61" s="156"/>
      <c r="AG61" s="357"/>
      <c r="AH61" s="357"/>
      <c r="AI61" s="357"/>
      <c r="AJ61" s="156"/>
      <c r="AK61" s="156"/>
      <c r="AL61" s="375"/>
      <c r="AM61" s="405"/>
      <c r="AN61" s="273"/>
      <c r="AO61" s="405"/>
      <c r="AP61" s="273"/>
      <c r="AQ61" s="273"/>
      <c r="AR61" s="273"/>
      <c r="AS61" s="273"/>
      <c r="AT61" s="273"/>
      <c r="AU61" s="273"/>
      <c r="AV61" s="322">
        <f t="shared" si="2"/>
        <v>0</v>
      </c>
      <c r="AW61" s="402"/>
      <c r="AX61" s="274"/>
      <c r="AY61" s="270"/>
      <c r="AZ61" s="156"/>
      <c r="BA61" s="156"/>
      <c r="BB61" s="156"/>
      <c r="BC61" s="156"/>
      <c r="BD61" s="353">
        <f t="shared" si="3"/>
        <v>0</v>
      </c>
      <c r="BE61" s="432" t="s">
        <v>355</v>
      </c>
      <c r="BF61" s="407" t="s">
        <v>496</v>
      </c>
      <c r="BG61" s="168"/>
      <c r="BH61" s="274"/>
      <c r="BI61" s="168"/>
      <c r="BJ61" s="274"/>
      <c r="BK61" s="168"/>
      <c r="BL61" s="275"/>
      <c r="BM61" s="276"/>
      <c r="BN61" s="275"/>
      <c r="BO61" s="276"/>
      <c r="BP61" s="277"/>
      <c r="BQ61" s="156"/>
      <c r="BR61" s="274"/>
      <c r="BS61" s="270"/>
      <c r="BT61" s="270"/>
      <c r="BU61" s="274"/>
      <c r="BV61" s="274"/>
      <c r="BW61" s="278"/>
      <c r="BX61" s="278"/>
      <c r="BY61" s="278"/>
      <c r="BZ61" s="351"/>
    </row>
    <row r="62" spans="1:78" s="90" customFormat="1" ht="19.5" hidden="1" customHeight="1">
      <c r="A62" s="137"/>
      <c r="B62" s="197">
        <f t="shared" si="1"/>
        <v>52</v>
      </c>
      <c r="C62" s="30" t="s">
        <v>206</v>
      </c>
      <c r="D62" s="30" t="s">
        <v>225</v>
      </c>
      <c r="E62" s="234" t="s">
        <v>682</v>
      </c>
      <c r="F62" s="235" t="s">
        <v>1227</v>
      </c>
      <c r="G62" s="284">
        <f>IFERROR(VLOOKUP(E62,Assign!$C$2:$J$142,8,FALSE),)</f>
        <v>0</v>
      </c>
      <c r="H62" s="361" t="s">
        <v>5453</v>
      </c>
      <c r="I62" s="363">
        <v>1</v>
      </c>
      <c r="J62" s="364" t="s">
        <v>208</v>
      </c>
      <c r="K62" s="364" t="s">
        <v>385</v>
      </c>
      <c r="L62" s="365" t="s">
        <v>2928</v>
      </c>
      <c r="M62" s="362" t="s">
        <v>2929</v>
      </c>
      <c r="N62" s="421" t="s">
        <v>3386</v>
      </c>
      <c r="O62" s="269">
        <v>29.74</v>
      </c>
      <c r="P62" s="269">
        <v>101.64</v>
      </c>
      <c r="Q62" s="426"/>
      <c r="R62" s="418" t="s">
        <v>682</v>
      </c>
      <c r="S62" s="427" t="s">
        <v>613</v>
      </c>
      <c r="T62" s="357">
        <v>1</v>
      </c>
      <c r="U62" s="357" t="s">
        <v>204</v>
      </c>
      <c r="V62" s="367">
        <v>720000000</v>
      </c>
      <c r="W62" s="368">
        <v>720000000</v>
      </c>
      <c r="X62" s="357"/>
      <c r="Y62" s="357"/>
      <c r="Z62" s="400"/>
      <c r="AA62" s="369"/>
      <c r="AB62" s="370"/>
      <c r="AC62" s="404"/>
      <c r="AD62" s="270"/>
      <c r="AE62" s="156"/>
      <c r="AF62" s="156"/>
      <c r="AG62" s="357"/>
      <c r="AH62" s="357"/>
      <c r="AI62" s="357"/>
      <c r="AJ62" s="156"/>
      <c r="AK62" s="156"/>
      <c r="AL62" s="375"/>
      <c r="AM62" s="405"/>
      <c r="AN62" s="273"/>
      <c r="AO62" s="405"/>
      <c r="AP62" s="273"/>
      <c r="AQ62" s="273"/>
      <c r="AR62" s="273"/>
      <c r="AS62" s="273"/>
      <c r="AT62" s="273"/>
      <c r="AU62" s="273"/>
      <c r="AV62" s="322">
        <f t="shared" si="2"/>
        <v>0</v>
      </c>
      <c r="AW62" s="402"/>
      <c r="AX62" s="376"/>
      <c r="AY62" s="373"/>
      <c r="AZ62" s="375"/>
      <c r="BA62" s="375"/>
      <c r="BB62" s="156"/>
      <c r="BC62" s="156"/>
      <c r="BD62" s="353">
        <f t="shared" si="3"/>
        <v>0</v>
      </c>
      <c r="BE62" s="432" t="s">
        <v>355</v>
      </c>
      <c r="BF62" s="407" t="s">
        <v>424</v>
      </c>
      <c r="BG62" s="168"/>
      <c r="BH62" s="274"/>
      <c r="BI62" s="168"/>
      <c r="BJ62" s="274"/>
      <c r="BK62" s="168"/>
      <c r="BL62" s="275"/>
      <c r="BM62" s="276"/>
      <c r="BN62" s="275"/>
      <c r="BO62" s="276"/>
      <c r="BP62" s="277"/>
      <c r="BQ62" s="156"/>
      <c r="BR62" s="274"/>
      <c r="BS62" s="270"/>
      <c r="BT62" s="270"/>
      <c r="BU62" s="274"/>
      <c r="BV62" s="274"/>
      <c r="BW62" s="278"/>
      <c r="BX62" s="278"/>
      <c r="BY62" s="278"/>
      <c r="BZ62" s="351"/>
    </row>
    <row r="63" spans="1:78" s="90" customFormat="1" ht="19.5" hidden="1" customHeight="1">
      <c r="A63" s="137"/>
      <c r="B63" s="197">
        <f t="shared" si="1"/>
        <v>53</v>
      </c>
      <c r="C63" s="30" t="s">
        <v>206</v>
      </c>
      <c r="D63" s="30" t="s">
        <v>225</v>
      </c>
      <c r="E63" s="234" t="s">
        <v>683</v>
      </c>
      <c r="F63" s="235" t="s">
        <v>1223</v>
      </c>
      <c r="G63" s="284">
        <f>IFERROR(VLOOKUP(E63,Assign!$C$2:$J$142,8,FALSE),)</f>
        <v>0</v>
      </c>
      <c r="H63" s="361" t="s">
        <v>4376</v>
      </c>
      <c r="I63" s="363">
        <v>1</v>
      </c>
      <c r="J63" s="364" t="s">
        <v>208</v>
      </c>
      <c r="K63" s="364" t="s">
        <v>369</v>
      </c>
      <c r="L63" s="365" t="s">
        <v>1931</v>
      </c>
      <c r="M63" s="362" t="s">
        <v>1932</v>
      </c>
      <c r="N63" s="421" t="s">
        <v>3505</v>
      </c>
      <c r="O63" s="269">
        <v>35.783999999999999</v>
      </c>
      <c r="P63" s="269">
        <v>72.16</v>
      </c>
      <c r="Q63" s="426"/>
      <c r="R63" s="418" t="s">
        <v>683</v>
      </c>
      <c r="S63" s="427" t="s">
        <v>613</v>
      </c>
      <c r="T63" s="357">
        <v>1</v>
      </c>
      <c r="U63" s="357" t="s">
        <v>204</v>
      </c>
      <c r="V63" s="367">
        <v>756000000</v>
      </c>
      <c r="W63" s="368">
        <v>756000000</v>
      </c>
      <c r="X63" s="357"/>
      <c r="Y63" s="357"/>
      <c r="Z63" s="400"/>
      <c r="AA63" s="369"/>
      <c r="AB63" s="370"/>
      <c r="AC63" s="404"/>
      <c r="AD63" s="270"/>
      <c r="AE63" s="156"/>
      <c r="AF63" s="156"/>
      <c r="AG63" s="357"/>
      <c r="AH63" s="357"/>
      <c r="AI63" s="357"/>
      <c r="AJ63" s="156"/>
      <c r="AK63" s="156"/>
      <c r="AL63" s="375"/>
      <c r="AM63" s="405"/>
      <c r="AN63" s="273"/>
      <c r="AO63" s="405"/>
      <c r="AP63" s="273"/>
      <c r="AQ63" s="273"/>
      <c r="AR63" s="273"/>
      <c r="AS63" s="273"/>
      <c r="AT63" s="273"/>
      <c r="AU63" s="273"/>
      <c r="AV63" s="322">
        <f t="shared" si="2"/>
        <v>0</v>
      </c>
      <c r="AW63" s="402"/>
      <c r="AX63" s="376"/>
      <c r="AY63" s="373"/>
      <c r="AZ63" s="375"/>
      <c r="BA63" s="375"/>
      <c r="BB63" s="156"/>
      <c r="BC63" s="156"/>
      <c r="BD63" s="353">
        <f t="shared" si="3"/>
        <v>0</v>
      </c>
      <c r="BE63" s="432" t="s">
        <v>355</v>
      </c>
      <c r="BF63" s="407" t="s">
        <v>501</v>
      </c>
      <c r="BG63" s="168"/>
      <c r="BH63" s="274"/>
      <c r="BI63" s="168"/>
      <c r="BJ63" s="274"/>
      <c r="BK63" s="168"/>
      <c r="BL63" s="275"/>
      <c r="BM63" s="276"/>
      <c r="BN63" s="275"/>
      <c r="BO63" s="276"/>
      <c r="BP63" s="277"/>
      <c r="BQ63" s="156"/>
      <c r="BR63" s="274"/>
      <c r="BS63" s="270"/>
      <c r="BT63" s="270"/>
      <c r="BU63" s="274"/>
      <c r="BV63" s="274"/>
      <c r="BW63" s="278"/>
      <c r="BX63" s="278"/>
      <c r="BY63" s="278"/>
      <c r="BZ63" s="351"/>
    </row>
    <row r="64" spans="1:78" s="90" customFormat="1" ht="19.5" hidden="1" customHeight="1">
      <c r="A64" s="137"/>
      <c r="B64" s="197">
        <f t="shared" si="1"/>
        <v>54</v>
      </c>
      <c r="C64" s="30" t="s">
        <v>206</v>
      </c>
      <c r="D64" s="30" t="s">
        <v>225</v>
      </c>
      <c r="E64" s="234" t="s">
        <v>684</v>
      </c>
      <c r="F64" s="235" t="s">
        <v>1305</v>
      </c>
      <c r="G64" s="284">
        <f>IFERROR(VLOOKUP(E64,Assign!$C$2:$J$142,8,FALSE),)</f>
        <v>0</v>
      </c>
      <c r="H64" s="361" t="s">
        <v>5577</v>
      </c>
      <c r="I64" s="363">
        <v>1</v>
      </c>
      <c r="J64" s="364" t="s">
        <v>214</v>
      </c>
      <c r="K64" s="364" t="s">
        <v>303</v>
      </c>
      <c r="L64" s="365" t="s">
        <v>3043</v>
      </c>
      <c r="M64" s="362" t="s">
        <v>3199</v>
      </c>
      <c r="N64" s="421" t="s">
        <v>447</v>
      </c>
      <c r="O64" s="269">
        <v>2937</v>
      </c>
      <c r="P64" s="269"/>
      <c r="Q64" s="426"/>
      <c r="R64" s="418" t="s">
        <v>3425</v>
      </c>
      <c r="S64" s="427" t="s">
        <v>613</v>
      </c>
      <c r="T64" s="357">
        <v>1</v>
      </c>
      <c r="U64" s="357" t="s">
        <v>204</v>
      </c>
      <c r="V64" s="367">
        <v>960000000</v>
      </c>
      <c r="W64" s="368">
        <v>960000000</v>
      </c>
      <c r="X64" s="357"/>
      <c r="Y64" s="357"/>
      <c r="Z64" s="400"/>
      <c r="AA64" s="369"/>
      <c r="AB64" s="370"/>
      <c r="AC64" s="404"/>
      <c r="AD64" s="270"/>
      <c r="AE64" s="156"/>
      <c r="AF64" s="156"/>
      <c r="AG64" s="357"/>
      <c r="AH64" s="357"/>
      <c r="AI64" s="357"/>
      <c r="AJ64" s="156"/>
      <c r="AK64" s="156"/>
      <c r="AL64" s="375"/>
      <c r="AM64" s="405"/>
      <c r="AN64" s="273"/>
      <c r="AO64" s="405"/>
      <c r="AP64" s="273"/>
      <c r="AQ64" s="273"/>
      <c r="AR64" s="273"/>
      <c r="AS64" s="273"/>
      <c r="AT64" s="273"/>
      <c r="AU64" s="273"/>
      <c r="AV64" s="322">
        <f t="shared" si="2"/>
        <v>0</v>
      </c>
      <c r="AW64" s="402"/>
      <c r="AX64" s="376"/>
      <c r="AY64" s="373"/>
      <c r="AZ64" s="375"/>
      <c r="BA64" s="375"/>
      <c r="BB64" s="375"/>
      <c r="BC64" s="375"/>
      <c r="BD64" s="353">
        <f t="shared" si="3"/>
        <v>0</v>
      </c>
      <c r="BE64" s="432" t="s">
        <v>355</v>
      </c>
      <c r="BF64" s="407" t="s">
        <v>500</v>
      </c>
      <c r="BG64" s="168"/>
      <c r="BH64" s="274"/>
      <c r="BI64" s="168"/>
      <c r="BJ64" s="274"/>
      <c r="BK64" s="168"/>
      <c r="BL64" s="275"/>
      <c r="BM64" s="276"/>
      <c r="BN64" s="275"/>
      <c r="BO64" s="276"/>
      <c r="BP64" s="277"/>
      <c r="BQ64" s="156"/>
      <c r="BR64" s="274"/>
      <c r="BS64" s="270"/>
      <c r="BT64" s="270"/>
      <c r="BU64" s="274"/>
      <c r="BV64" s="274"/>
      <c r="BW64" s="278"/>
      <c r="BX64" s="278"/>
      <c r="BY64" s="278"/>
      <c r="BZ64" s="351"/>
    </row>
    <row r="65" spans="1:78" s="90" customFormat="1" ht="19.5" hidden="1" customHeight="1">
      <c r="A65" s="137"/>
      <c r="B65" s="197">
        <f t="shared" si="1"/>
        <v>55</v>
      </c>
      <c r="C65" s="30" t="s">
        <v>206</v>
      </c>
      <c r="D65" s="30" t="s">
        <v>225</v>
      </c>
      <c r="E65" s="234" t="s">
        <v>685</v>
      </c>
      <c r="F65" s="235" t="s">
        <v>1221</v>
      </c>
      <c r="G65" s="284">
        <f>IFERROR(VLOOKUP(E65,Assign!$C$2:$J$142,8,FALSE),)</f>
        <v>0</v>
      </c>
      <c r="H65" s="361" t="s">
        <v>4013</v>
      </c>
      <c r="I65" s="363">
        <v>1</v>
      </c>
      <c r="J65" s="364" t="s">
        <v>208</v>
      </c>
      <c r="K65" s="364" t="s">
        <v>280</v>
      </c>
      <c r="L65" s="365" t="s">
        <v>1587</v>
      </c>
      <c r="M65" s="362" t="s">
        <v>1588</v>
      </c>
      <c r="N65" s="421" t="s">
        <v>207</v>
      </c>
      <c r="O65" s="269">
        <v>58.898299999999999</v>
      </c>
      <c r="P65" s="269">
        <v>105.97750000000001</v>
      </c>
      <c r="Q65" s="426"/>
      <c r="R65" s="418" t="s">
        <v>685</v>
      </c>
      <c r="S65" s="427" t="s">
        <v>613</v>
      </c>
      <c r="T65" s="357">
        <v>1</v>
      </c>
      <c r="U65" s="357" t="s">
        <v>204</v>
      </c>
      <c r="V65" s="367">
        <v>390000000</v>
      </c>
      <c r="W65" s="368">
        <v>390000000</v>
      </c>
      <c r="X65" s="357"/>
      <c r="Y65" s="357"/>
      <c r="Z65" s="400"/>
      <c r="AA65" s="369"/>
      <c r="AB65" s="370"/>
      <c r="AC65" s="404"/>
      <c r="AD65" s="270"/>
      <c r="AE65" s="156"/>
      <c r="AF65" s="156"/>
      <c r="AG65" s="357"/>
      <c r="AH65" s="357"/>
      <c r="AI65" s="357"/>
      <c r="AJ65" s="156"/>
      <c r="AK65" s="156"/>
      <c r="AL65" s="375"/>
      <c r="AM65" s="405"/>
      <c r="AN65" s="273"/>
      <c r="AO65" s="405"/>
      <c r="AP65" s="273"/>
      <c r="AQ65" s="273"/>
      <c r="AR65" s="273"/>
      <c r="AS65" s="273"/>
      <c r="AT65" s="273"/>
      <c r="AU65" s="273"/>
      <c r="AV65" s="322">
        <f t="shared" si="2"/>
        <v>0</v>
      </c>
      <c r="AW65" s="402" t="s">
        <v>3387</v>
      </c>
      <c r="AX65" s="376">
        <v>45765</v>
      </c>
      <c r="AY65" s="373" t="s">
        <v>3388</v>
      </c>
      <c r="AZ65" s="375"/>
      <c r="BA65" s="375">
        <v>590000000</v>
      </c>
      <c r="BB65" s="375"/>
      <c r="BC65" s="375"/>
      <c r="BD65" s="353">
        <f t="shared" si="3"/>
        <v>590000000</v>
      </c>
      <c r="BE65" s="432" t="s">
        <v>335</v>
      </c>
      <c r="BF65" s="407" t="s">
        <v>422</v>
      </c>
      <c r="BG65" s="168" t="s">
        <v>3389</v>
      </c>
      <c r="BH65" s="274">
        <v>45595</v>
      </c>
      <c r="BI65" s="168" t="s">
        <v>3261</v>
      </c>
      <c r="BJ65" s="274">
        <v>45677</v>
      </c>
      <c r="BK65" s="168">
        <v>223445704</v>
      </c>
      <c r="BL65" s="275"/>
      <c r="BM65" s="276"/>
      <c r="BN65" s="275"/>
      <c r="BO65" s="276"/>
      <c r="BP65" s="277"/>
      <c r="BQ65" s="156"/>
      <c r="BR65" s="274"/>
      <c r="BS65" s="270"/>
      <c r="BT65" s="270"/>
      <c r="BU65" s="274"/>
      <c r="BV65" s="274"/>
      <c r="BW65" s="278"/>
      <c r="BX65" s="278"/>
      <c r="BY65" s="278"/>
      <c r="BZ65" s="351"/>
    </row>
    <row r="66" spans="1:78" s="90" customFormat="1" ht="19.5" hidden="1" customHeight="1">
      <c r="A66" s="137"/>
      <c r="B66" s="197">
        <f t="shared" si="1"/>
        <v>56</v>
      </c>
      <c r="C66" s="30" t="s">
        <v>206</v>
      </c>
      <c r="D66" s="30" t="s">
        <v>225</v>
      </c>
      <c r="E66" s="234" t="s">
        <v>685</v>
      </c>
      <c r="F66" s="235" t="s">
        <v>1221</v>
      </c>
      <c r="G66" s="284">
        <f>IFERROR(VLOOKUP(E66,Assign!$C$2:$J$142,8,FALSE),)</f>
        <v>0</v>
      </c>
      <c r="H66" s="361" t="s">
        <v>4015</v>
      </c>
      <c r="I66" s="363">
        <v>2</v>
      </c>
      <c r="J66" s="364" t="s">
        <v>208</v>
      </c>
      <c r="K66" s="364" t="s">
        <v>280</v>
      </c>
      <c r="L66" s="365" t="s">
        <v>290</v>
      </c>
      <c r="M66" s="362" t="s">
        <v>1590</v>
      </c>
      <c r="N66" s="421" t="s">
        <v>3386</v>
      </c>
      <c r="O66" s="269">
        <v>55.81</v>
      </c>
      <c r="P66" s="269">
        <v>48.23</v>
      </c>
      <c r="Q66" s="426"/>
      <c r="R66" s="418" t="s">
        <v>3438</v>
      </c>
      <c r="S66" s="427" t="s">
        <v>613</v>
      </c>
      <c r="T66" s="357" t="s">
        <v>229</v>
      </c>
      <c r="U66" s="357" t="s">
        <v>204</v>
      </c>
      <c r="V66" s="367">
        <v>394800000</v>
      </c>
      <c r="W66" s="368">
        <v>394800000</v>
      </c>
      <c r="X66" s="357"/>
      <c r="Y66" s="357"/>
      <c r="Z66" s="400"/>
      <c r="AA66" s="369"/>
      <c r="AB66" s="370"/>
      <c r="AC66" s="404"/>
      <c r="AD66" s="270"/>
      <c r="AE66" s="156"/>
      <c r="AF66" s="156"/>
      <c r="AG66" s="357"/>
      <c r="AH66" s="357"/>
      <c r="AI66" s="357"/>
      <c r="AJ66" s="156"/>
      <c r="AK66" s="156"/>
      <c r="AL66" s="375"/>
      <c r="AM66" s="405"/>
      <c r="AN66" s="273"/>
      <c r="AO66" s="405"/>
      <c r="AP66" s="273"/>
      <c r="AQ66" s="273"/>
      <c r="AR66" s="273"/>
      <c r="AS66" s="273"/>
      <c r="AT66" s="273"/>
      <c r="AU66" s="273"/>
      <c r="AV66" s="322">
        <f t="shared" si="2"/>
        <v>0</v>
      </c>
      <c r="AW66" s="402"/>
      <c r="AX66" s="376"/>
      <c r="AY66" s="373"/>
      <c r="AZ66" s="375"/>
      <c r="BA66" s="375"/>
      <c r="BB66" s="375"/>
      <c r="BC66" s="375"/>
      <c r="BD66" s="353">
        <f t="shared" si="3"/>
        <v>0</v>
      </c>
      <c r="BE66" s="432" t="s">
        <v>335</v>
      </c>
      <c r="BF66" s="407" t="s">
        <v>422</v>
      </c>
      <c r="BG66" s="168" t="s">
        <v>3389</v>
      </c>
      <c r="BH66" s="274">
        <v>45595</v>
      </c>
      <c r="BI66" s="168" t="s">
        <v>3261</v>
      </c>
      <c r="BJ66" s="274">
        <v>45677</v>
      </c>
      <c r="BK66" s="168" t="s">
        <v>608</v>
      </c>
      <c r="BL66" s="275"/>
      <c r="BM66" s="276"/>
      <c r="BN66" s="275"/>
      <c r="BO66" s="276"/>
      <c r="BP66" s="277"/>
      <c r="BQ66" s="156"/>
      <c r="BR66" s="274"/>
      <c r="BS66" s="270"/>
      <c r="BT66" s="270"/>
      <c r="BU66" s="274"/>
      <c r="BV66" s="274"/>
      <c r="BW66" s="278"/>
      <c r="BX66" s="278"/>
      <c r="BY66" s="278"/>
      <c r="BZ66" s="351"/>
    </row>
    <row r="67" spans="1:78" s="90" customFormat="1" ht="19.5" hidden="1" customHeight="1">
      <c r="A67" s="137"/>
      <c r="B67" s="197">
        <f t="shared" si="1"/>
        <v>57</v>
      </c>
      <c r="C67" s="30" t="s">
        <v>206</v>
      </c>
      <c r="D67" s="30" t="s">
        <v>225</v>
      </c>
      <c r="E67" s="234" t="s">
        <v>686</v>
      </c>
      <c r="F67" s="235" t="s">
        <v>1217</v>
      </c>
      <c r="G67" s="284">
        <f>IFERROR(VLOOKUP(E67,Assign!$C$2:$J$142,8,FALSE),)</f>
        <v>0</v>
      </c>
      <c r="H67" s="361" t="s">
        <v>4144</v>
      </c>
      <c r="I67" s="363">
        <v>1</v>
      </c>
      <c r="J67" s="364" t="s">
        <v>208</v>
      </c>
      <c r="K67" s="364" t="s">
        <v>369</v>
      </c>
      <c r="L67" s="365" t="s">
        <v>1719</v>
      </c>
      <c r="M67" s="362" t="s">
        <v>1720</v>
      </c>
      <c r="N67" s="421" t="s">
        <v>207</v>
      </c>
      <c r="O67" s="269">
        <v>64.825999999999993</v>
      </c>
      <c r="P67" s="269">
        <v>101.76</v>
      </c>
      <c r="Q67" s="426"/>
      <c r="R67" s="418" t="s">
        <v>3442</v>
      </c>
      <c r="S67" s="427" t="s">
        <v>613</v>
      </c>
      <c r="T67" s="357" t="s">
        <v>233</v>
      </c>
      <c r="U67" s="357" t="s">
        <v>204</v>
      </c>
      <c r="V67" s="367">
        <v>729100000</v>
      </c>
      <c r="W67" s="368">
        <v>729100000</v>
      </c>
      <c r="X67" s="357"/>
      <c r="Y67" s="357"/>
      <c r="Z67" s="400"/>
      <c r="AA67" s="369"/>
      <c r="AB67" s="370"/>
      <c r="AC67" s="404"/>
      <c r="AD67" s="270"/>
      <c r="AE67" s="156"/>
      <c r="AF67" s="156"/>
      <c r="AG67" s="357"/>
      <c r="AH67" s="357"/>
      <c r="AI67" s="357"/>
      <c r="AJ67" s="156"/>
      <c r="AK67" s="156"/>
      <c r="AL67" s="375"/>
      <c r="AM67" s="405"/>
      <c r="AN67" s="273"/>
      <c r="AO67" s="405"/>
      <c r="AP67" s="273"/>
      <c r="AQ67" s="273"/>
      <c r="AR67" s="273"/>
      <c r="AS67" s="273"/>
      <c r="AT67" s="273"/>
      <c r="AU67" s="273"/>
      <c r="AV67" s="322">
        <f t="shared" si="2"/>
        <v>0</v>
      </c>
      <c r="AW67" s="402" t="s">
        <v>3387</v>
      </c>
      <c r="AX67" s="274">
        <v>45765</v>
      </c>
      <c r="AY67" s="270" t="s">
        <v>3388</v>
      </c>
      <c r="AZ67" s="156"/>
      <c r="BA67" s="156">
        <v>1525000000</v>
      </c>
      <c r="BB67" s="156"/>
      <c r="BC67" s="156"/>
      <c r="BD67" s="353">
        <f t="shared" si="3"/>
        <v>1525000000</v>
      </c>
      <c r="BE67" s="432" t="s">
        <v>355</v>
      </c>
      <c r="BF67" s="407" t="s">
        <v>501</v>
      </c>
      <c r="BG67" s="168"/>
      <c r="BH67" s="274"/>
      <c r="BI67" s="168"/>
      <c r="BJ67" s="274"/>
      <c r="BK67" s="168"/>
      <c r="BL67" s="275"/>
      <c r="BM67" s="276"/>
      <c r="BN67" s="275"/>
      <c r="BO67" s="276"/>
      <c r="BP67" s="277"/>
      <c r="BQ67" s="156"/>
      <c r="BR67" s="274"/>
      <c r="BS67" s="270"/>
      <c r="BT67" s="270"/>
      <c r="BU67" s="274"/>
      <c r="BV67" s="274"/>
      <c r="BW67" s="278"/>
      <c r="BX67" s="278"/>
      <c r="BY67" s="278"/>
      <c r="BZ67" s="351"/>
    </row>
    <row r="68" spans="1:78" s="90" customFormat="1" ht="19.5" hidden="1" customHeight="1">
      <c r="A68" s="137"/>
      <c r="B68" s="197">
        <f t="shared" si="1"/>
        <v>58</v>
      </c>
      <c r="C68" s="30" t="s">
        <v>206</v>
      </c>
      <c r="D68" s="30" t="s">
        <v>225</v>
      </c>
      <c r="E68" s="234" t="s">
        <v>687</v>
      </c>
      <c r="F68" s="235" t="s">
        <v>1233</v>
      </c>
      <c r="G68" s="284">
        <f>IFERROR(VLOOKUP(E68,Assign!$C$2:$J$142,8,FALSE),)</f>
        <v>0</v>
      </c>
      <c r="H68" s="361" t="s">
        <v>4250</v>
      </c>
      <c r="I68" s="363">
        <v>1</v>
      </c>
      <c r="J68" s="364" t="s">
        <v>212</v>
      </c>
      <c r="K68" s="364" t="s">
        <v>294</v>
      </c>
      <c r="L68" s="365" t="s">
        <v>569</v>
      </c>
      <c r="M68" s="362" t="s">
        <v>1819</v>
      </c>
      <c r="N68" s="421" t="s">
        <v>362</v>
      </c>
      <c r="O68" s="269">
        <v>330.31</v>
      </c>
      <c r="P68" s="269">
        <v>308.10000000000002</v>
      </c>
      <c r="Q68" s="426"/>
      <c r="R68" s="418" t="s">
        <v>687</v>
      </c>
      <c r="S68" s="427" t="s">
        <v>613</v>
      </c>
      <c r="T68" s="357">
        <v>1</v>
      </c>
      <c r="U68" s="357" t="s">
        <v>204</v>
      </c>
      <c r="V68" s="367">
        <v>730800000</v>
      </c>
      <c r="W68" s="368">
        <v>730800000</v>
      </c>
      <c r="X68" s="357"/>
      <c r="Y68" s="357"/>
      <c r="Z68" s="400"/>
      <c r="AA68" s="369"/>
      <c r="AB68" s="370"/>
      <c r="AC68" s="404"/>
      <c r="AD68" s="270"/>
      <c r="AE68" s="156"/>
      <c r="AF68" s="156"/>
      <c r="AG68" s="357"/>
      <c r="AH68" s="357"/>
      <c r="AI68" s="357"/>
      <c r="AJ68" s="156"/>
      <c r="AK68" s="156"/>
      <c r="AL68" s="375"/>
      <c r="AM68" s="405"/>
      <c r="AN68" s="273"/>
      <c r="AO68" s="405"/>
      <c r="AP68" s="273"/>
      <c r="AQ68" s="273"/>
      <c r="AR68" s="273"/>
      <c r="AS68" s="273"/>
      <c r="AT68" s="273"/>
      <c r="AU68" s="273"/>
      <c r="AV68" s="322">
        <f t="shared" si="2"/>
        <v>0</v>
      </c>
      <c r="AW68" s="402"/>
      <c r="AX68" s="376"/>
      <c r="AY68" s="373"/>
      <c r="AZ68" s="375"/>
      <c r="BA68" s="375"/>
      <c r="BB68" s="375"/>
      <c r="BC68" s="375"/>
      <c r="BD68" s="353">
        <f t="shared" si="3"/>
        <v>0</v>
      </c>
      <c r="BE68" s="432" t="s">
        <v>355</v>
      </c>
      <c r="BF68" s="407" t="s">
        <v>496</v>
      </c>
      <c r="BG68" s="168"/>
      <c r="BH68" s="274"/>
      <c r="BI68" s="168"/>
      <c r="BJ68" s="274"/>
      <c r="BK68" s="168"/>
      <c r="BL68" s="275"/>
      <c r="BM68" s="276"/>
      <c r="BN68" s="275"/>
      <c r="BO68" s="276"/>
      <c r="BP68" s="277"/>
      <c r="BQ68" s="156"/>
      <c r="BR68" s="274"/>
      <c r="BS68" s="270"/>
      <c r="BT68" s="270"/>
      <c r="BU68" s="274"/>
      <c r="BV68" s="274"/>
      <c r="BW68" s="278"/>
      <c r="BX68" s="278"/>
      <c r="BY68" s="278"/>
      <c r="BZ68" s="351"/>
    </row>
    <row r="69" spans="1:78" s="90" customFormat="1" ht="19.5" hidden="1" customHeight="1">
      <c r="A69" s="137"/>
      <c r="B69" s="197">
        <f t="shared" si="1"/>
        <v>59</v>
      </c>
      <c r="C69" s="30" t="s">
        <v>206</v>
      </c>
      <c r="D69" s="30" t="s">
        <v>225</v>
      </c>
      <c r="E69" s="234" t="s">
        <v>688</v>
      </c>
      <c r="F69" s="235" t="s">
        <v>1306</v>
      </c>
      <c r="G69" s="284" t="str">
        <f>IFERROR(VLOOKUP(E69,Assign!$C$2:$J$142,8,FALSE),)</f>
        <v>문선영</v>
      </c>
      <c r="H69" s="361" t="s">
        <v>5300</v>
      </c>
      <c r="I69" s="363">
        <v>1</v>
      </c>
      <c r="J69" s="364" t="s">
        <v>211</v>
      </c>
      <c r="K69" s="364" t="s">
        <v>251</v>
      </c>
      <c r="L69" s="365" t="s">
        <v>2783</v>
      </c>
      <c r="M69" s="362" t="s">
        <v>2784</v>
      </c>
      <c r="N69" s="421" t="s">
        <v>207</v>
      </c>
      <c r="O69" s="269">
        <v>39.668100000000003</v>
      </c>
      <c r="P69" s="269">
        <v>84.863299999999995</v>
      </c>
      <c r="Q69" s="426"/>
      <c r="R69" s="418" t="s">
        <v>3417</v>
      </c>
      <c r="S69" s="427" t="s">
        <v>613</v>
      </c>
      <c r="T69" s="357">
        <v>1</v>
      </c>
      <c r="U69" s="357" t="s">
        <v>204</v>
      </c>
      <c r="V69" s="367">
        <v>648000000</v>
      </c>
      <c r="W69" s="368">
        <v>648000000</v>
      </c>
      <c r="X69" s="357"/>
      <c r="Y69" s="357"/>
      <c r="Z69" s="400"/>
      <c r="AA69" s="369"/>
      <c r="AB69" s="370"/>
      <c r="AC69" s="404"/>
      <c r="AD69" s="270"/>
      <c r="AE69" s="156"/>
      <c r="AF69" s="156"/>
      <c r="AG69" s="357"/>
      <c r="AH69" s="357"/>
      <c r="AI69" s="357"/>
      <c r="AJ69" s="156"/>
      <c r="AK69" s="156"/>
      <c r="AL69" s="375"/>
      <c r="AM69" s="405"/>
      <c r="AN69" s="273"/>
      <c r="AO69" s="405"/>
      <c r="AP69" s="273"/>
      <c r="AQ69" s="273"/>
      <c r="AR69" s="273"/>
      <c r="AS69" s="273"/>
      <c r="AT69" s="273"/>
      <c r="AU69" s="273"/>
      <c r="AV69" s="322">
        <f t="shared" si="2"/>
        <v>0</v>
      </c>
      <c r="AW69" s="402" t="s">
        <v>3387</v>
      </c>
      <c r="AX69" s="274">
        <v>45765</v>
      </c>
      <c r="AY69" s="270" t="s">
        <v>3388</v>
      </c>
      <c r="AZ69" s="156"/>
      <c r="BA69" s="156">
        <v>220000000</v>
      </c>
      <c r="BB69" s="156"/>
      <c r="BC69" s="156"/>
      <c r="BD69" s="353">
        <f t="shared" si="3"/>
        <v>220000000</v>
      </c>
      <c r="BE69" s="432" t="s">
        <v>355</v>
      </c>
      <c r="BF69" s="407" t="s">
        <v>509</v>
      </c>
      <c r="BG69" s="168"/>
      <c r="BH69" s="274"/>
      <c r="BI69" s="168"/>
      <c r="BJ69" s="274"/>
      <c r="BK69" s="168"/>
      <c r="BL69" s="275"/>
      <c r="BM69" s="276"/>
      <c r="BN69" s="275"/>
      <c r="BO69" s="276"/>
      <c r="BP69" s="277"/>
      <c r="BQ69" s="156"/>
      <c r="BR69" s="274"/>
      <c r="BS69" s="270"/>
      <c r="BT69" s="270"/>
      <c r="BU69" s="274"/>
      <c r="BV69" s="274"/>
      <c r="BW69" s="278"/>
      <c r="BX69" s="278"/>
      <c r="BY69" s="278"/>
      <c r="BZ69" s="351"/>
    </row>
    <row r="70" spans="1:78" s="90" customFormat="1" ht="19.5" hidden="1" customHeight="1">
      <c r="A70" s="137"/>
      <c r="B70" s="197">
        <f t="shared" si="1"/>
        <v>60</v>
      </c>
      <c r="C70" s="30" t="s">
        <v>206</v>
      </c>
      <c r="D70" s="30" t="s">
        <v>225</v>
      </c>
      <c r="E70" s="234" t="s">
        <v>689</v>
      </c>
      <c r="F70" s="235" t="s">
        <v>1234</v>
      </c>
      <c r="G70" s="284">
        <f>IFERROR(VLOOKUP(E70,Assign!$C$2:$J$142,8,FALSE),)</f>
        <v>0</v>
      </c>
      <c r="H70" s="361" t="s">
        <v>3884</v>
      </c>
      <c r="I70" s="363">
        <v>1</v>
      </c>
      <c r="J70" s="364" t="s">
        <v>208</v>
      </c>
      <c r="K70" s="364" t="s">
        <v>398</v>
      </c>
      <c r="L70" s="365" t="s">
        <v>399</v>
      </c>
      <c r="M70" s="362" t="s">
        <v>1450</v>
      </c>
      <c r="N70" s="421" t="s">
        <v>207</v>
      </c>
      <c r="O70" s="269">
        <v>57.661000000000001</v>
      </c>
      <c r="P70" s="269">
        <v>126.66</v>
      </c>
      <c r="Q70" s="426"/>
      <c r="R70" s="418" t="s">
        <v>689</v>
      </c>
      <c r="S70" s="427" t="s">
        <v>613</v>
      </c>
      <c r="T70" s="357" t="s">
        <v>229</v>
      </c>
      <c r="U70" s="357" t="s">
        <v>204</v>
      </c>
      <c r="V70" s="441">
        <v>626400000</v>
      </c>
      <c r="W70" s="442">
        <v>626400000</v>
      </c>
      <c r="X70" s="357"/>
      <c r="Y70" s="357"/>
      <c r="Z70" s="400"/>
      <c r="AA70" s="369"/>
      <c r="AB70" s="370"/>
      <c r="AC70" s="404"/>
      <c r="AD70" s="270"/>
      <c r="AE70" s="156"/>
      <c r="AF70" s="156"/>
      <c r="AG70" s="357"/>
      <c r="AH70" s="357"/>
      <c r="AI70" s="357"/>
      <c r="AJ70" s="156"/>
      <c r="AK70" s="156"/>
      <c r="AL70" s="375"/>
      <c r="AM70" s="405"/>
      <c r="AN70" s="273"/>
      <c r="AO70" s="405"/>
      <c r="AP70" s="273"/>
      <c r="AQ70" s="273"/>
      <c r="AR70" s="273"/>
      <c r="AS70" s="273"/>
      <c r="AT70" s="273"/>
      <c r="AU70" s="273"/>
      <c r="AV70" s="322">
        <f t="shared" si="2"/>
        <v>0</v>
      </c>
      <c r="AW70" s="402" t="s">
        <v>3387</v>
      </c>
      <c r="AX70" s="376">
        <v>45765</v>
      </c>
      <c r="AY70" s="373" t="s">
        <v>3388</v>
      </c>
      <c r="AZ70" s="375"/>
      <c r="BA70" s="375">
        <v>1180000000</v>
      </c>
      <c r="BB70" s="375"/>
      <c r="BC70" s="375"/>
      <c r="BD70" s="353">
        <f t="shared" si="3"/>
        <v>1180000000</v>
      </c>
      <c r="BE70" s="432" t="s">
        <v>3413</v>
      </c>
      <c r="BF70" s="407" t="s">
        <v>506</v>
      </c>
      <c r="BG70" s="168" t="s">
        <v>3315</v>
      </c>
      <c r="BH70" s="274">
        <v>45675</v>
      </c>
      <c r="BI70" s="168" t="s">
        <v>3258</v>
      </c>
      <c r="BJ70" s="274">
        <v>45743</v>
      </c>
      <c r="BK70" s="168">
        <v>382455993</v>
      </c>
      <c r="BL70" s="275"/>
      <c r="BM70" s="276"/>
      <c r="BN70" s="275"/>
      <c r="BO70" s="276"/>
      <c r="BP70" s="277"/>
      <c r="BQ70" s="156"/>
      <c r="BR70" s="274"/>
      <c r="BS70" s="270"/>
      <c r="BT70" s="270"/>
      <c r="BU70" s="274"/>
      <c r="BV70" s="274"/>
      <c r="BW70" s="278"/>
      <c r="BX70" s="278"/>
      <c r="BY70" s="278"/>
      <c r="BZ70" s="351"/>
    </row>
    <row r="71" spans="1:78" s="90" customFormat="1" ht="19.5" hidden="1" customHeight="1">
      <c r="A71" s="137"/>
      <c r="B71" s="197">
        <f t="shared" si="1"/>
        <v>61</v>
      </c>
      <c r="C71" s="30" t="s">
        <v>206</v>
      </c>
      <c r="D71" s="30" t="s">
        <v>225</v>
      </c>
      <c r="E71" s="234" t="s">
        <v>690</v>
      </c>
      <c r="F71" s="235" t="s">
        <v>1307</v>
      </c>
      <c r="G71" s="284">
        <f>IFERROR(VLOOKUP(E71,Assign!$C$2:$J$142,8,FALSE),)</f>
        <v>0</v>
      </c>
      <c r="H71" s="361" t="s">
        <v>5179</v>
      </c>
      <c r="I71" s="363">
        <v>1</v>
      </c>
      <c r="J71" s="364" t="s">
        <v>209</v>
      </c>
      <c r="K71" s="364" t="s">
        <v>286</v>
      </c>
      <c r="L71" s="365" t="s">
        <v>1660</v>
      </c>
      <c r="M71" s="362" t="s">
        <v>3100</v>
      </c>
      <c r="N71" s="421" t="s">
        <v>620</v>
      </c>
      <c r="O71" s="269">
        <v>834.9</v>
      </c>
      <c r="P71" s="269">
        <v>2038.47</v>
      </c>
      <c r="Q71" s="426"/>
      <c r="R71" s="418" t="s">
        <v>646</v>
      </c>
      <c r="S71" s="427" t="s">
        <v>613</v>
      </c>
      <c r="T71" s="357">
        <v>5</v>
      </c>
      <c r="U71" s="357" t="s">
        <v>204</v>
      </c>
      <c r="V71" s="367">
        <v>600000000</v>
      </c>
      <c r="W71" s="368">
        <v>600000000</v>
      </c>
      <c r="X71" s="357"/>
      <c r="Y71" s="357"/>
      <c r="Z71" s="400"/>
      <c r="AA71" s="369"/>
      <c r="AB71" s="370"/>
      <c r="AC71" s="404" t="s">
        <v>268</v>
      </c>
      <c r="AD71" s="270" t="s">
        <v>204</v>
      </c>
      <c r="AE71" s="156">
        <v>14880000000</v>
      </c>
      <c r="AF71" s="156">
        <v>14880000000</v>
      </c>
      <c r="AG71" s="357"/>
      <c r="AH71" s="357"/>
      <c r="AI71" s="357"/>
      <c r="AJ71" s="156"/>
      <c r="AK71" s="156"/>
      <c r="AL71" s="375"/>
      <c r="AM71" s="405"/>
      <c r="AN71" s="273"/>
      <c r="AO71" s="405"/>
      <c r="AP71" s="273"/>
      <c r="AQ71" s="273"/>
      <c r="AR71" s="273"/>
      <c r="AS71" s="273"/>
      <c r="AT71" s="273"/>
      <c r="AU71" s="273"/>
      <c r="AV71" s="322">
        <f t="shared" si="2"/>
        <v>0</v>
      </c>
      <c r="AW71" s="402"/>
      <c r="AX71" s="376"/>
      <c r="AY71" s="373"/>
      <c r="AZ71" s="375"/>
      <c r="BA71" s="375"/>
      <c r="BB71" s="375"/>
      <c r="BC71" s="375"/>
      <c r="BD71" s="353">
        <f t="shared" si="3"/>
        <v>0</v>
      </c>
      <c r="BE71" s="432" t="s">
        <v>335</v>
      </c>
      <c r="BF71" s="407" t="s">
        <v>519</v>
      </c>
      <c r="BG71" s="168" t="s">
        <v>3397</v>
      </c>
      <c r="BH71" s="274">
        <v>45723</v>
      </c>
      <c r="BI71" s="168" t="s">
        <v>3268</v>
      </c>
      <c r="BJ71" s="274">
        <v>45821</v>
      </c>
      <c r="BK71" s="168">
        <v>405632876</v>
      </c>
      <c r="BL71" s="275" t="s">
        <v>1381</v>
      </c>
      <c r="BM71" s="276">
        <v>45740</v>
      </c>
      <c r="BN71" s="275" t="s">
        <v>3358</v>
      </c>
      <c r="BO71" s="276"/>
      <c r="BP71" s="277">
        <v>206894060</v>
      </c>
      <c r="BQ71" s="156"/>
      <c r="BR71" s="274"/>
      <c r="BS71" s="270"/>
      <c r="BT71" s="270"/>
      <c r="BU71" s="274"/>
      <c r="BV71" s="274"/>
      <c r="BW71" s="278"/>
      <c r="BX71" s="278"/>
      <c r="BY71" s="278"/>
      <c r="BZ71" s="351"/>
    </row>
    <row r="72" spans="1:78" s="90" customFormat="1" ht="19.5" hidden="1" customHeight="1">
      <c r="A72" s="137"/>
      <c r="B72" s="197">
        <f t="shared" si="1"/>
        <v>62</v>
      </c>
      <c r="C72" s="30" t="s">
        <v>206</v>
      </c>
      <c r="D72" s="30" t="s">
        <v>225</v>
      </c>
      <c r="E72" s="234" t="s">
        <v>691</v>
      </c>
      <c r="F72" s="235" t="s">
        <v>1308</v>
      </c>
      <c r="G72" s="284">
        <f>IFERROR(VLOOKUP(E72,Assign!$C$2:$J$142,8,FALSE),)</f>
        <v>0</v>
      </c>
      <c r="H72" s="361" t="s">
        <v>5405</v>
      </c>
      <c r="I72" s="363">
        <v>1</v>
      </c>
      <c r="J72" s="364" t="s">
        <v>209</v>
      </c>
      <c r="K72" s="364" t="s">
        <v>341</v>
      </c>
      <c r="L72" s="365" t="s">
        <v>342</v>
      </c>
      <c r="M72" s="362" t="s">
        <v>2841</v>
      </c>
      <c r="N72" s="421" t="s">
        <v>618</v>
      </c>
      <c r="O72" s="269">
        <v>170.26</v>
      </c>
      <c r="P72" s="269">
        <v>209.64</v>
      </c>
      <c r="Q72" s="426"/>
      <c r="R72" s="418" t="s">
        <v>671</v>
      </c>
      <c r="S72" s="427" t="s">
        <v>613</v>
      </c>
      <c r="T72" s="357" t="s">
        <v>1396</v>
      </c>
      <c r="U72" s="357" t="s">
        <v>204</v>
      </c>
      <c r="V72" s="367">
        <v>597600000</v>
      </c>
      <c r="W72" s="368">
        <v>597600000</v>
      </c>
      <c r="X72" s="357"/>
      <c r="Y72" s="357"/>
      <c r="Z72" s="400"/>
      <c r="AA72" s="369"/>
      <c r="AB72" s="370"/>
      <c r="AC72" s="404" t="s">
        <v>3207</v>
      </c>
      <c r="AD72" s="270" t="s">
        <v>204</v>
      </c>
      <c r="AE72" s="156">
        <v>1270000000</v>
      </c>
      <c r="AF72" s="156">
        <v>1270000000</v>
      </c>
      <c r="AG72" s="357"/>
      <c r="AH72" s="357"/>
      <c r="AI72" s="357"/>
      <c r="AJ72" s="156"/>
      <c r="AK72" s="156"/>
      <c r="AL72" s="375"/>
      <c r="AM72" s="405"/>
      <c r="AN72" s="273"/>
      <c r="AO72" s="405"/>
      <c r="AP72" s="273"/>
      <c r="AQ72" s="273"/>
      <c r="AR72" s="273"/>
      <c r="AS72" s="273"/>
      <c r="AT72" s="273"/>
      <c r="AU72" s="273"/>
      <c r="AV72" s="322">
        <f t="shared" si="2"/>
        <v>0</v>
      </c>
      <c r="AW72" s="402"/>
      <c r="AX72" s="376"/>
      <c r="AY72" s="373"/>
      <c r="AZ72" s="375"/>
      <c r="BA72" s="375"/>
      <c r="BB72" s="156"/>
      <c r="BC72" s="156"/>
      <c r="BD72" s="353">
        <f t="shared" si="3"/>
        <v>0</v>
      </c>
      <c r="BE72" s="432" t="s">
        <v>355</v>
      </c>
      <c r="BF72" s="407" t="s">
        <v>519</v>
      </c>
      <c r="BG72" s="168"/>
      <c r="BH72" s="274"/>
      <c r="BI72" s="168"/>
      <c r="BJ72" s="274"/>
      <c r="BK72" s="168"/>
      <c r="BL72" s="275"/>
      <c r="BM72" s="276"/>
      <c r="BN72" s="275"/>
      <c r="BO72" s="276"/>
      <c r="BP72" s="277"/>
      <c r="BQ72" s="156"/>
      <c r="BR72" s="274"/>
      <c r="BS72" s="270"/>
      <c r="BT72" s="270"/>
      <c r="BU72" s="274"/>
      <c r="BV72" s="274"/>
      <c r="BW72" s="278"/>
      <c r="BX72" s="278"/>
      <c r="BY72" s="278"/>
      <c r="BZ72" s="351"/>
    </row>
    <row r="73" spans="1:78" s="90" customFormat="1" ht="19.5" hidden="1" customHeight="1">
      <c r="A73" s="137"/>
      <c r="B73" s="197">
        <f t="shared" si="1"/>
        <v>63</v>
      </c>
      <c r="C73" s="30" t="s">
        <v>206</v>
      </c>
      <c r="D73" s="30" t="s">
        <v>225</v>
      </c>
      <c r="E73" s="234" t="s">
        <v>692</v>
      </c>
      <c r="F73" s="235" t="s">
        <v>1309</v>
      </c>
      <c r="G73" s="284">
        <f>IFERROR(VLOOKUP(E73,Assign!$C$2:$J$142,8,FALSE),)</f>
        <v>0</v>
      </c>
      <c r="H73" s="361" t="s">
        <v>5084</v>
      </c>
      <c r="I73" s="363">
        <v>1</v>
      </c>
      <c r="J73" s="364" t="s">
        <v>209</v>
      </c>
      <c r="K73" s="364" t="s">
        <v>294</v>
      </c>
      <c r="L73" s="365" t="s">
        <v>2597</v>
      </c>
      <c r="M73" s="362" t="s">
        <v>2598</v>
      </c>
      <c r="N73" s="421" t="s">
        <v>3078</v>
      </c>
      <c r="O73" s="269">
        <v>18.6205</v>
      </c>
      <c r="P73" s="269">
        <v>109.146</v>
      </c>
      <c r="Q73" s="426"/>
      <c r="R73" s="418" t="s">
        <v>3426</v>
      </c>
      <c r="S73" s="427" t="s">
        <v>613</v>
      </c>
      <c r="T73" s="357">
        <v>1</v>
      </c>
      <c r="U73" s="357" t="s">
        <v>204</v>
      </c>
      <c r="V73" s="367">
        <v>600000000</v>
      </c>
      <c r="W73" s="368">
        <v>600000000</v>
      </c>
      <c r="X73" s="357"/>
      <c r="Y73" s="357"/>
      <c r="Z73" s="400"/>
      <c r="AA73" s="369"/>
      <c r="AB73" s="370"/>
      <c r="AC73" s="404"/>
      <c r="AD73" s="270"/>
      <c r="AE73" s="156"/>
      <c r="AF73" s="156"/>
      <c r="AG73" s="357"/>
      <c r="AH73" s="357"/>
      <c r="AI73" s="357"/>
      <c r="AJ73" s="156"/>
      <c r="AK73" s="156"/>
      <c r="AL73" s="375"/>
      <c r="AM73" s="405"/>
      <c r="AN73" s="273"/>
      <c r="AO73" s="405"/>
      <c r="AP73" s="273"/>
      <c r="AQ73" s="273"/>
      <c r="AR73" s="273"/>
      <c r="AS73" s="273"/>
      <c r="AT73" s="273"/>
      <c r="AU73" s="273"/>
      <c r="AV73" s="322">
        <f t="shared" si="2"/>
        <v>0</v>
      </c>
      <c r="AW73" s="402" t="s">
        <v>3387</v>
      </c>
      <c r="AX73" s="274">
        <v>45765</v>
      </c>
      <c r="AY73" s="270" t="s">
        <v>3388</v>
      </c>
      <c r="AZ73" s="156"/>
      <c r="BA73" s="156">
        <v>1120000000</v>
      </c>
      <c r="BB73" s="156"/>
      <c r="BC73" s="156"/>
      <c r="BD73" s="353">
        <f t="shared" si="3"/>
        <v>1120000000</v>
      </c>
      <c r="BE73" s="432" t="s">
        <v>355</v>
      </c>
      <c r="BF73" s="407" t="s">
        <v>519</v>
      </c>
      <c r="BG73" s="168"/>
      <c r="BH73" s="274"/>
      <c r="BI73" s="168"/>
      <c r="BJ73" s="274"/>
      <c r="BK73" s="168"/>
      <c r="BL73" s="275"/>
      <c r="BM73" s="276"/>
      <c r="BN73" s="275"/>
      <c r="BO73" s="276"/>
      <c r="BP73" s="277"/>
      <c r="BQ73" s="156"/>
      <c r="BR73" s="274"/>
      <c r="BS73" s="270"/>
      <c r="BT73" s="270"/>
      <c r="BU73" s="274"/>
      <c r="BV73" s="274"/>
      <c r="BW73" s="278"/>
      <c r="BX73" s="278"/>
      <c r="BY73" s="278"/>
      <c r="BZ73" s="351"/>
    </row>
    <row r="74" spans="1:78" s="90" customFormat="1" ht="19.5" hidden="1" customHeight="1">
      <c r="A74" s="137"/>
      <c r="B74" s="197">
        <f t="shared" si="1"/>
        <v>64</v>
      </c>
      <c r="C74" s="30" t="s">
        <v>206</v>
      </c>
      <c r="D74" s="30" t="s">
        <v>225</v>
      </c>
      <c r="E74" s="234" t="s">
        <v>693</v>
      </c>
      <c r="F74" s="235" t="s">
        <v>1310</v>
      </c>
      <c r="G74" s="284">
        <f>IFERROR(VLOOKUP(E74,Assign!$C$2:$J$142,8,FALSE),)</f>
        <v>0</v>
      </c>
      <c r="H74" s="361" t="s">
        <v>4905</v>
      </c>
      <c r="I74" s="363">
        <v>1</v>
      </c>
      <c r="J74" s="364" t="s">
        <v>209</v>
      </c>
      <c r="K74" s="364" t="s">
        <v>226</v>
      </c>
      <c r="L74" s="365" t="s">
        <v>227</v>
      </c>
      <c r="M74" s="362" t="s">
        <v>2424</v>
      </c>
      <c r="N74" s="421" t="s">
        <v>546</v>
      </c>
      <c r="O74" s="269">
        <v>21.7483</v>
      </c>
      <c r="P74" s="269">
        <v>91.98</v>
      </c>
      <c r="Q74" s="426"/>
      <c r="R74" s="418" t="s">
        <v>3450</v>
      </c>
      <c r="S74" s="427" t="s">
        <v>613</v>
      </c>
      <c r="T74" s="357">
        <v>1</v>
      </c>
      <c r="U74" s="357" t="s">
        <v>204</v>
      </c>
      <c r="V74" s="367">
        <v>586800000</v>
      </c>
      <c r="W74" s="368">
        <v>586800000</v>
      </c>
      <c r="X74" s="357"/>
      <c r="Y74" s="357"/>
      <c r="Z74" s="400"/>
      <c r="AA74" s="369"/>
      <c r="AB74" s="370"/>
      <c r="AC74" s="404"/>
      <c r="AD74" s="270"/>
      <c r="AE74" s="156"/>
      <c r="AF74" s="156"/>
      <c r="AG74" s="357"/>
      <c r="AH74" s="357"/>
      <c r="AI74" s="357"/>
      <c r="AJ74" s="156"/>
      <c r="AK74" s="156"/>
      <c r="AL74" s="375"/>
      <c r="AM74" s="405"/>
      <c r="AN74" s="273"/>
      <c r="AO74" s="405"/>
      <c r="AP74" s="273"/>
      <c r="AQ74" s="273"/>
      <c r="AR74" s="273"/>
      <c r="AS74" s="273"/>
      <c r="AT74" s="273"/>
      <c r="AU74" s="273"/>
      <c r="AV74" s="322">
        <f t="shared" si="2"/>
        <v>0</v>
      </c>
      <c r="AW74" s="402"/>
      <c r="AX74" s="376"/>
      <c r="AY74" s="373"/>
      <c r="AZ74" s="375"/>
      <c r="BA74" s="375"/>
      <c r="BB74" s="375"/>
      <c r="BC74" s="375"/>
      <c r="BD74" s="353">
        <f t="shared" si="3"/>
        <v>0</v>
      </c>
      <c r="BE74" s="432" t="s">
        <v>355</v>
      </c>
      <c r="BF74" s="407" t="s">
        <v>495</v>
      </c>
      <c r="BG74" s="168"/>
      <c r="BH74" s="274"/>
      <c r="BI74" s="168"/>
      <c r="BJ74" s="274"/>
      <c r="BK74" s="168"/>
      <c r="BL74" s="275"/>
      <c r="BM74" s="276"/>
      <c r="BN74" s="275"/>
      <c r="BO74" s="276"/>
      <c r="BP74" s="277"/>
      <c r="BQ74" s="156"/>
      <c r="BR74" s="274"/>
      <c r="BS74" s="270"/>
      <c r="BT74" s="270"/>
      <c r="BU74" s="274"/>
      <c r="BV74" s="274"/>
      <c r="BW74" s="278"/>
      <c r="BX74" s="278"/>
      <c r="BY74" s="278"/>
      <c r="BZ74" s="351"/>
    </row>
    <row r="75" spans="1:78" s="90" customFormat="1" ht="19.5" hidden="1" customHeight="1">
      <c r="A75" s="137"/>
      <c r="B75" s="197">
        <f t="shared" ref="B75:B138" si="4">ROW()-10</f>
        <v>65</v>
      </c>
      <c r="C75" s="30" t="s">
        <v>206</v>
      </c>
      <c r="D75" s="30" t="s">
        <v>225</v>
      </c>
      <c r="E75" s="234" t="s">
        <v>694</v>
      </c>
      <c r="F75" s="235" t="s">
        <v>1235</v>
      </c>
      <c r="G75" s="284" t="str">
        <f>IFERROR(VLOOKUP(E75,Assign!$C$2:$J$142,8,FALSE),)</f>
        <v>문선영</v>
      </c>
      <c r="H75" s="361" t="s">
        <v>4805</v>
      </c>
      <c r="I75" s="363">
        <v>1</v>
      </c>
      <c r="J75" s="364" t="s">
        <v>215</v>
      </c>
      <c r="K75" s="364" t="s">
        <v>232</v>
      </c>
      <c r="L75" s="365" t="s">
        <v>2333</v>
      </c>
      <c r="M75" s="362" t="s">
        <v>2334</v>
      </c>
      <c r="N75" s="421" t="s">
        <v>3504</v>
      </c>
      <c r="O75" s="269">
        <v>39.479999999999997</v>
      </c>
      <c r="P75" s="269">
        <v>146.16</v>
      </c>
      <c r="Q75" s="426"/>
      <c r="R75" s="418" t="s">
        <v>694</v>
      </c>
      <c r="S75" s="427" t="s">
        <v>613</v>
      </c>
      <c r="T75" s="357">
        <v>1</v>
      </c>
      <c r="U75" s="357" t="s">
        <v>204</v>
      </c>
      <c r="V75" s="367">
        <v>552000000</v>
      </c>
      <c r="W75" s="368">
        <v>552000000</v>
      </c>
      <c r="X75" s="357"/>
      <c r="Y75" s="357"/>
      <c r="Z75" s="400"/>
      <c r="AA75" s="369"/>
      <c r="AB75" s="370"/>
      <c r="AC75" s="404"/>
      <c r="AD75" s="270"/>
      <c r="AE75" s="156"/>
      <c r="AF75" s="156"/>
      <c r="AG75" s="357"/>
      <c r="AH75" s="357"/>
      <c r="AI75" s="357"/>
      <c r="AJ75" s="156"/>
      <c r="AK75" s="156"/>
      <c r="AL75" s="375"/>
      <c r="AM75" s="405"/>
      <c r="AN75" s="273"/>
      <c r="AO75" s="405"/>
      <c r="AP75" s="273"/>
      <c r="AQ75" s="273"/>
      <c r="AR75" s="273"/>
      <c r="AS75" s="273"/>
      <c r="AT75" s="273"/>
      <c r="AU75" s="273"/>
      <c r="AV75" s="322">
        <f t="shared" ref="AV75:AV138" si="5">SUM(AP75:AU75)</f>
        <v>0</v>
      </c>
      <c r="AW75" s="402"/>
      <c r="AX75" s="376"/>
      <c r="AY75" s="373"/>
      <c r="AZ75" s="375"/>
      <c r="BA75" s="375"/>
      <c r="BB75" s="375"/>
      <c r="BC75" s="375"/>
      <c r="BD75" s="353">
        <f t="shared" ref="BD75:BD138" si="6">SUM(AZ75:BC75)</f>
        <v>0</v>
      </c>
      <c r="BE75" s="432" t="s">
        <v>355</v>
      </c>
      <c r="BF75" s="407" t="s">
        <v>508</v>
      </c>
      <c r="BG75" s="168"/>
      <c r="BH75" s="274"/>
      <c r="BI75" s="168"/>
      <c r="BJ75" s="274"/>
      <c r="BK75" s="168"/>
      <c r="BL75" s="275"/>
      <c r="BM75" s="276"/>
      <c r="BN75" s="275"/>
      <c r="BO75" s="276"/>
      <c r="BP75" s="277"/>
      <c r="BQ75" s="156"/>
      <c r="BR75" s="274"/>
      <c r="BS75" s="270"/>
      <c r="BT75" s="270"/>
      <c r="BU75" s="274"/>
      <c r="BV75" s="274"/>
      <c r="BW75" s="278"/>
      <c r="BX75" s="278"/>
      <c r="BY75" s="278"/>
      <c r="BZ75" s="351"/>
    </row>
    <row r="76" spans="1:78" s="90" customFormat="1" ht="19.5" hidden="1" customHeight="1">
      <c r="A76" s="137"/>
      <c r="B76" s="197">
        <f t="shared" si="4"/>
        <v>66</v>
      </c>
      <c r="C76" s="30" t="s">
        <v>206</v>
      </c>
      <c r="D76" s="30" t="s">
        <v>225</v>
      </c>
      <c r="E76" s="234" t="s">
        <v>695</v>
      </c>
      <c r="F76" s="235" t="s">
        <v>1236</v>
      </c>
      <c r="G76" s="284" t="str">
        <f>IFERROR(VLOOKUP(E76,Assign!$C$2:$J$142,8,FALSE),)</f>
        <v>문선영</v>
      </c>
      <c r="H76" s="361" t="s">
        <v>3997</v>
      </c>
      <c r="I76" s="363">
        <v>1</v>
      </c>
      <c r="J76" s="364" t="s">
        <v>212</v>
      </c>
      <c r="K76" s="364" t="s">
        <v>232</v>
      </c>
      <c r="L76" s="365" t="s">
        <v>547</v>
      </c>
      <c r="M76" s="362" t="s">
        <v>1573</v>
      </c>
      <c r="N76" s="421" t="s">
        <v>207</v>
      </c>
      <c r="O76" s="269">
        <v>70.959299999999999</v>
      </c>
      <c r="P76" s="269">
        <v>102.85760000000001</v>
      </c>
      <c r="Q76" s="426"/>
      <c r="R76" s="418" t="s">
        <v>695</v>
      </c>
      <c r="S76" s="427" t="s">
        <v>613</v>
      </c>
      <c r="T76" s="357">
        <v>1</v>
      </c>
      <c r="U76" s="357" t="s">
        <v>204</v>
      </c>
      <c r="V76" s="367">
        <v>528000000</v>
      </c>
      <c r="W76" s="368">
        <v>528000000</v>
      </c>
      <c r="X76" s="357"/>
      <c r="Y76" s="357"/>
      <c r="Z76" s="400"/>
      <c r="AA76" s="369"/>
      <c r="AB76" s="370"/>
      <c r="AC76" s="404"/>
      <c r="AD76" s="270"/>
      <c r="AE76" s="156"/>
      <c r="AF76" s="156"/>
      <c r="AG76" s="357"/>
      <c r="AH76" s="357"/>
      <c r="AI76" s="357"/>
      <c r="AJ76" s="156"/>
      <c r="AK76" s="156"/>
      <c r="AL76" s="375"/>
      <c r="AM76" s="405"/>
      <c r="AN76" s="273"/>
      <c r="AO76" s="405"/>
      <c r="AP76" s="273"/>
      <c r="AQ76" s="273"/>
      <c r="AR76" s="273"/>
      <c r="AS76" s="273"/>
      <c r="AT76" s="273"/>
      <c r="AU76" s="273"/>
      <c r="AV76" s="322">
        <f t="shared" si="5"/>
        <v>0</v>
      </c>
      <c r="AW76" s="402" t="s">
        <v>3387</v>
      </c>
      <c r="AX76" s="376">
        <v>45765</v>
      </c>
      <c r="AY76" s="373" t="s">
        <v>3388</v>
      </c>
      <c r="AZ76" s="375"/>
      <c r="BA76" s="375">
        <v>745000000</v>
      </c>
      <c r="BB76" s="375"/>
      <c r="BC76" s="375"/>
      <c r="BD76" s="353">
        <f t="shared" si="6"/>
        <v>745000000</v>
      </c>
      <c r="BE76" s="432" t="s">
        <v>355</v>
      </c>
      <c r="BF76" s="407" t="s">
        <v>496</v>
      </c>
      <c r="BG76" s="168"/>
      <c r="BH76" s="274"/>
      <c r="BI76" s="168"/>
      <c r="BJ76" s="274"/>
      <c r="BK76" s="168"/>
      <c r="BL76" s="275"/>
      <c r="BM76" s="276"/>
      <c r="BN76" s="275"/>
      <c r="BO76" s="276"/>
      <c r="BP76" s="277"/>
      <c r="BQ76" s="156"/>
      <c r="BR76" s="274"/>
      <c r="BS76" s="270"/>
      <c r="BT76" s="270"/>
      <c r="BU76" s="274"/>
      <c r="BV76" s="274"/>
      <c r="BW76" s="278"/>
      <c r="BX76" s="278"/>
      <c r="BY76" s="278"/>
      <c r="BZ76" s="351"/>
    </row>
    <row r="77" spans="1:78" s="90" customFormat="1" ht="19.5" hidden="1" customHeight="1">
      <c r="A77" s="137"/>
      <c r="B77" s="197">
        <f t="shared" si="4"/>
        <v>67</v>
      </c>
      <c r="C77" s="30" t="s">
        <v>206</v>
      </c>
      <c r="D77" s="30" t="s">
        <v>225</v>
      </c>
      <c r="E77" s="234" t="s">
        <v>696</v>
      </c>
      <c r="F77" s="235" t="s">
        <v>1234</v>
      </c>
      <c r="G77" s="284">
        <f>IFERROR(VLOOKUP(E77,Assign!$C$2:$J$142,8,FALSE),)</f>
        <v>0</v>
      </c>
      <c r="H77" s="361" t="s">
        <v>4599</v>
      </c>
      <c r="I77" s="363">
        <v>1</v>
      </c>
      <c r="J77" s="364" t="s">
        <v>208</v>
      </c>
      <c r="K77" s="364" t="s">
        <v>228</v>
      </c>
      <c r="L77" s="365" t="s">
        <v>330</v>
      </c>
      <c r="M77" s="362" t="s">
        <v>3123</v>
      </c>
      <c r="N77" s="421" t="s">
        <v>296</v>
      </c>
      <c r="O77" s="269">
        <v>435.8</v>
      </c>
      <c r="P77" s="269">
        <v>700.39</v>
      </c>
      <c r="Q77" s="426"/>
      <c r="R77" s="418" t="s">
        <v>696</v>
      </c>
      <c r="S77" s="427" t="s">
        <v>613</v>
      </c>
      <c r="T77" s="357">
        <v>1</v>
      </c>
      <c r="U77" s="357" t="s">
        <v>204</v>
      </c>
      <c r="V77" s="367">
        <v>534500000</v>
      </c>
      <c r="W77" s="368">
        <v>534500000</v>
      </c>
      <c r="X77" s="357"/>
      <c r="Y77" s="357"/>
      <c r="Z77" s="400"/>
      <c r="AA77" s="369"/>
      <c r="AB77" s="370"/>
      <c r="AC77" s="404"/>
      <c r="AD77" s="270"/>
      <c r="AE77" s="156"/>
      <c r="AF77" s="156"/>
      <c r="AG77" s="357"/>
      <c r="AH77" s="357"/>
      <c r="AI77" s="357"/>
      <c r="AJ77" s="156"/>
      <c r="AK77" s="156"/>
      <c r="AL77" s="375"/>
      <c r="AM77" s="405"/>
      <c r="AN77" s="273"/>
      <c r="AO77" s="405"/>
      <c r="AP77" s="273"/>
      <c r="AQ77" s="273"/>
      <c r="AR77" s="273"/>
      <c r="AS77" s="273"/>
      <c r="AT77" s="273"/>
      <c r="AU77" s="273"/>
      <c r="AV77" s="322">
        <f t="shared" si="5"/>
        <v>0</v>
      </c>
      <c r="AW77" s="402"/>
      <c r="AX77" s="376"/>
      <c r="AY77" s="373"/>
      <c r="AZ77" s="375"/>
      <c r="BA77" s="375"/>
      <c r="BB77" s="375"/>
      <c r="BC77" s="375"/>
      <c r="BD77" s="353">
        <f t="shared" si="6"/>
        <v>0</v>
      </c>
      <c r="BE77" s="432" t="s">
        <v>355</v>
      </c>
      <c r="BF77" s="407" t="s">
        <v>424</v>
      </c>
      <c r="BG77" s="168"/>
      <c r="BH77" s="274"/>
      <c r="BI77" s="168"/>
      <c r="BJ77" s="274"/>
      <c r="BK77" s="168"/>
      <c r="BL77" s="275"/>
      <c r="BM77" s="276"/>
      <c r="BN77" s="275"/>
      <c r="BO77" s="276"/>
      <c r="BP77" s="277"/>
      <c r="BQ77" s="156"/>
      <c r="BR77" s="274"/>
      <c r="BS77" s="270"/>
      <c r="BT77" s="270"/>
      <c r="BU77" s="274"/>
      <c r="BV77" s="274"/>
      <c r="BW77" s="278"/>
      <c r="BX77" s="278"/>
      <c r="BY77" s="278"/>
      <c r="BZ77" s="351"/>
    </row>
    <row r="78" spans="1:78" s="90" customFormat="1" ht="19.5" hidden="1" customHeight="1">
      <c r="A78" s="137"/>
      <c r="B78" s="197">
        <f t="shared" si="4"/>
        <v>68</v>
      </c>
      <c r="C78" s="30" t="s">
        <v>206</v>
      </c>
      <c r="D78" s="30" t="s">
        <v>225</v>
      </c>
      <c r="E78" s="234" t="s">
        <v>697</v>
      </c>
      <c r="F78" s="235" t="s">
        <v>1229</v>
      </c>
      <c r="G78" s="284">
        <f>IFERROR(VLOOKUP(E78,Assign!$C$2:$J$142,8,FALSE),)</f>
        <v>0</v>
      </c>
      <c r="H78" s="361" t="s">
        <v>3916</v>
      </c>
      <c r="I78" s="363">
        <v>1</v>
      </c>
      <c r="J78" s="364" t="s">
        <v>224</v>
      </c>
      <c r="K78" s="364" t="s">
        <v>428</v>
      </c>
      <c r="L78" s="365" t="s">
        <v>1486</v>
      </c>
      <c r="M78" s="362" t="s">
        <v>1487</v>
      </c>
      <c r="N78" s="421" t="s">
        <v>207</v>
      </c>
      <c r="O78" s="269">
        <v>51.118400000000001</v>
      </c>
      <c r="P78" s="269">
        <v>84.981300000000005</v>
      </c>
      <c r="Q78" s="426"/>
      <c r="R78" s="418" t="s">
        <v>3433</v>
      </c>
      <c r="S78" s="427" t="s">
        <v>613</v>
      </c>
      <c r="T78" s="357" t="s">
        <v>3067</v>
      </c>
      <c r="U78" s="357" t="s">
        <v>204</v>
      </c>
      <c r="V78" s="367">
        <v>540000000</v>
      </c>
      <c r="W78" s="368">
        <v>540000000</v>
      </c>
      <c r="X78" s="357"/>
      <c r="Y78" s="357"/>
      <c r="Z78" s="400"/>
      <c r="AA78" s="369"/>
      <c r="AB78" s="370"/>
      <c r="AC78" s="404">
        <v>2</v>
      </c>
      <c r="AD78" s="270" t="s">
        <v>204</v>
      </c>
      <c r="AE78" s="156">
        <v>60000000</v>
      </c>
      <c r="AF78" s="156">
        <v>60000000</v>
      </c>
      <c r="AG78" s="357"/>
      <c r="AH78" s="357"/>
      <c r="AI78" s="357"/>
      <c r="AJ78" s="156"/>
      <c r="AK78" s="156"/>
      <c r="AL78" s="375"/>
      <c r="AM78" s="405"/>
      <c r="AN78" s="273"/>
      <c r="AO78" s="405"/>
      <c r="AP78" s="273"/>
      <c r="AQ78" s="273"/>
      <c r="AR78" s="273"/>
      <c r="AS78" s="273"/>
      <c r="AT78" s="273"/>
      <c r="AU78" s="273"/>
      <c r="AV78" s="322">
        <f t="shared" si="5"/>
        <v>0</v>
      </c>
      <c r="AW78" s="402" t="s">
        <v>3387</v>
      </c>
      <c r="AX78" s="376">
        <v>45765</v>
      </c>
      <c r="AY78" s="373" t="s">
        <v>3388</v>
      </c>
      <c r="AZ78" s="375"/>
      <c r="BA78" s="375">
        <v>730000000</v>
      </c>
      <c r="BB78" s="156"/>
      <c r="BC78" s="156"/>
      <c r="BD78" s="353">
        <f t="shared" si="6"/>
        <v>730000000</v>
      </c>
      <c r="BE78" s="432" t="s">
        <v>355</v>
      </c>
      <c r="BF78" s="407" t="s">
        <v>512</v>
      </c>
      <c r="BG78" s="168"/>
      <c r="BH78" s="274"/>
      <c r="BI78" s="168"/>
      <c r="BJ78" s="274"/>
      <c r="BK78" s="168"/>
      <c r="BL78" s="275"/>
      <c r="BM78" s="276"/>
      <c r="BN78" s="275"/>
      <c r="BO78" s="276"/>
      <c r="BP78" s="277"/>
      <c r="BQ78" s="156"/>
      <c r="BR78" s="274"/>
      <c r="BS78" s="270"/>
      <c r="BT78" s="270"/>
      <c r="BU78" s="274"/>
      <c r="BV78" s="274"/>
      <c r="BW78" s="278"/>
      <c r="BX78" s="278"/>
      <c r="BY78" s="278"/>
      <c r="BZ78" s="351"/>
    </row>
    <row r="79" spans="1:78" s="90" customFormat="1" ht="19.5" hidden="1" customHeight="1">
      <c r="A79" s="137"/>
      <c r="B79" s="197">
        <f t="shared" si="4"/>
        <v>69</v>
      </c>
      <c r="C79" s="30" t="s">
        <v>206</v>
      </c>
      <c r="D79" s="30" t="s">
        <v>225</v>
      </c>
      <c r="E79" s="234" t="s">
        <v>698</v>
      </c>
      <c r="F79" s="235" t="s">
        <v>1231</v>
      </c>
      <c r="G79" s="284" t="str">
        <f>IFERROR(VLOOKUP(E79,Assign!$C$2:$J$142,8,FALSE),)</f>
        <v>문선영</v>
      </c>
      <c r="H79" s="361" t="s">
        <v>4949</v>
      </c>
      <c r="I79" s="363">
        <v>1</v>
      </c>
      <c r="J79" s="364" t="s">
        <v>211</v>
      </c>
      <c r="K79" s="364" t="s">
        <v>251</v>
      </c>
      <c r="L79" s="365" t="s">
        <v>2469</v>
      </c>
      <c r="M79" s="362" t="s">
        <v>2470</v>
      </c>
      <c r="N79" s="421" t="s">
        <v>3386</v>
      </c>
      <c r="O79" s="269">
        <v>17.75</v>
      </c>
      <c r="P79" s="269">
        <v>31.96</v>
      </c>
      <c r="Q79" s="426"/>
      <c r="R79" s="418" t="s">
        <v>698</v>
      </c>
      <c r="S79" s="427" t="s">
        <v>613</v>
      </c>
      <c r="T79" s="357">
        <v>1</v>
      </c>
      <c r="U79" s="357" t="s">
        <v>204</v>
      </c>
      <c r="V79" s="367">
        <v>530400000</v>
      </c>
      <c r="W79" s="368">
        <v>530400000</v>
      </c>
      <c r="X79" s="357"/>
      <c r="Y79" s="357"/>
      <c r="Z79" s="400"/>
      <c r="AA79" s="369"/>
      <c r="AB79" s="370"/>
      <c r="AC79" s="404"/>
      <c r="AD79" s="270"/>
      <c r="AE79" s="156"/>
      <c r="AF79" s="156"/>
      <c r="AG79" s="357"/>
      <c r="AH79" s="357"/>
      <c r="AI79" s="357"/>
      <c r="AJ79" s="156"/>
      <c r="AK79" s="156"/>
      <c r="AL79" s="375"/>
      <c r="AM79" s="405"/>
      <c r="AN79" s="273"/>
      <c r="AO79" s="405"/>
      <c r="AP79" s="273"/>
      <c r="AQ79" s="273"/>
      <c r="AR79" s="273"/>
      <c r="AS79" s="273"/>
      <c r="AT79" s="273"/>
      <c r="AU79" s="273"/>
      <c r="AV79" s="322">
        <f t="shared" si="5"/>
        <v>0</v>
      </c>
      <c r="AW79" s="402"/>
      <c r="AX79" s="376"/>
      <c r="AY79" s="373"/>
      <c r="AZ79" s="375"/>
      <c r="BA79" s="375"/>
      <c r="BB79" s="375"/>
      <c r="BC79" s="375"/>
      <c r="BD79" s="353">
        <f t="shared" si="6"/>
        <v>0</v>
      </c>
      <c r="BE79" s="432" t="s">
        <v>355</v>
      </c>
      <c r="BF79" s="407" t="s">
        <v>509</v>
      </c>
      <c r="BG79" s="168"/>
      <c r="BH79" s="274"/>
      <c r="BI79" s="168"/>
      <c r="BJ79" s="274"/>
      <c r="BK79" s="168"/>
      <c r="BL79" s="275"/>
      <c r="BM79" s="276"/>
      <c r="BN79" s="275"/>
      <c r="BO79" s="276"/>
      <c r="BP79" s="277"/>
      <c r="BQ79" s="156"/>
      <c r="BR79" s="274"/>
      <c r="BS79" s="270"/>
      <c r="BT79" s="270"/>
      <c r="BU79" s="274"/>
      <c r="BV79" s="274"/>
      <c r="BW79" s="278"/>
      <c r="BX79" s="278"/>
      <c r="BY79" s="278"/>
      <c r="BZ79" s="351"/>
    </row>
    <row r="80" spans="1:78" s="90" customFormat="1" ht="19.5" hidden="1" customHeight="1">
      <c r="A80" s="137"/>
      <c r="B80" s="197">
        <f t="shared" si="4"/>
        <v>70</v>
      </c>
      <c r="C80" s="30" t="s">
        <v>206</v>
      </c>
      <c r="D80" s="30" t="s">
        <v>225</v>
      </c>
      <c r="E80" s="234" t="s">
        <v>699</v>
      </c>
      <c r="F80" s="235" t="s">
        <v>1225</v>
      </c>
      <c r="G80" s="284">
        <f>IFERROR(VLOOKUP(E80,Assign!$C$2:$J$142,8,FALSE),)</f>
        <v>0</v>
      </c>
      <c r="H80" s="361" t="s">
        <v>4761</v>
      </c>
      <c r="I80" s="363">
        <v>1</v>
      </c>
      <c r="J80" s="364" t="s">
        <v>209</v>
      </c>
      <c r="K80" s="364" t="s">
        <v>286</v>
      </c>
      <c r="L80" s="365" t="s">
        <v>2288</v>
      </c>
      <c r="M80" s="362" t="s">
        <v>2293</v>
      </c>
      <c r="N80" s="421" t="s">
        <v>362</v>
      </c>
      <c r="O80" s="269">
        <v>15.235099999999999</v>
      </c>
      <c r="P80" s="269">
        <v>40.825000000000003</v>
      </c>
      <c r="Q80" s="426"/>
      <c r="R80" s="418" t="s">
        <v>699</v>
      </c>
      <c r="S80" s="427" t="s">
        <v>613</v>
      </c>
      <c r="T80" s="357">
        <v>1</v>
      </c>
      <c r="U80" s="357" t="s">
        <v>204</v>
      </c>
      <c r="V80" s="367">
        <v>540000000</v>
      </c>
      <c r="W80" s="368">
        <v>540000000</v>
      </c>
      <c r="X80" s="357"/>
      <c r="Y80" s="357"/>
      <c r="Z80" s="400"/>
      <c r="AA80" s="369"/>
      <c r="AB80" s="370"/>
      <c r="AC80" s="404"/>
      <c r="AD80" s="270"/>
      <c r="AE80" s="156"/>
      <c r="AF80" s="156"/>
      <c r="AG80" s="357"/>
      <c r="AH80" s="357"/>
      <c r="AI80" s="357"/>
      <c r="AJ80" s="156"/>
      <c r="AK80" s="156"/>
      <c r="AL80" s="375"/>
      <c r="AM80" s="405"/>
      <c r="AN80" s="273"/>
      <c r="AO80" s="405"/>
      <c r="AP80" s="273"/>
      <c r="AQ80" s="273"/>
      <c r="AR80" s="273"/>
      <c r="AS80" s="273"/>
      <c r="AT80" s="273"/>
      <c r="AU80" s="273"/>
      <c r="AV80" s="322">
        <f t="shared" si="5"/>
        <v>0</v>
      </c>
      <c r="AW80" s="402"/>
      <c r="AX80" s="376"/>
      <c r="AY80" s="373"/>
      <c r="AZ80" s="375"/>
      <c r="BA80" s="375"/>
      <c r="BB80" s="375"/>
      <c r="BC80" s="375"/>
      <c r="BD80" s="353">
        <f t="shared" si="6"/>
        <v>0</v>
      </c>
      <c r="BE80" s="432" t="s">
        <v>355</v>
      </c>
      <c r="BF80" s="407" t="s">
        <v>519</v>
      </c>
      <c r="BG80" s="168"/>
      <c r="BH80" s="274"/>
      <c r="BI80" s="168"/>
      <c r="BJ80" s="274"/>
      <c r="BK80" s="168"/>
      <c r="BL80" s="275"/>
      <c r="BM80" s="276"/>
      <c r="BN80" s="275"/>
      <c r="BO80" s="276"/>
      <c r="BP80" s="277"/>
      <c r="BQ80" s="156"/>
      <c r="BR80" s="274"/>
      <c r="BS80" s="270"/>
      <c r="BT80" s="270"/>
      <c r="BU80" s="274"/>
      <c r="BV80" s="274"/>
      <c r="BW80" s="278"/>
      <c r="BX80" s="278"/>
      <c r="BY80" s="278"/>
      <c r="BZ80" s="351"/>
    </row>
    <row r="81" spans="1:78" s="90" customFormat="1" ht="19.5" hidden="1" customHeight="1">
      <c r="A81" s="137"/>
      <c r="B81" s="197">
        <f t="shared" si="4"/>
        <v>71</v>
      </c>
      <c r="C81" s="30" t="s">
        <v>206</v>
      </c>
      <c r="D81" s="30" t="s">
        <v>225</v>
      </c>
      <c r="E81" s="234" t="s">
        <v>700</v>
      </c>
      <c r="F81" s="235" t="s">
        <v>1311</v>
      </c>
      <c r="G81" s="284" t="str">
        <f>IFERROR(VLOOKUP(E81,Assign!$C$2:$J$142,8,FALSE),)</f>
        <v>문선영</v>
      </c>
      <c r="H81" s="361" t="s">
        <v>5310</v>
      </c>
      <c r="I81" s="363">
        <v>1</v>
      </c>
      <c r="J81" s="364" t="s">
        <v>210</v>
      </c>
      <c r="K81" s="364" t="s">
        <v>232</v>
      </c>
      <c r="L81" s="365" t="s">
        <v>2338</v>
      </c>
      <c r="M81" s="362" t="s">
        <v>2791</v>
      </c>
      <c r="N81" s="421" t="s">
        <v>207</v>
      </c>
      <c r="O81" s="269">
        <v>74.425399999999996</v>
      </c>
      <c r="P81" s="269">
        <v>158.37</v>
      </c>
      <c r="Q81" s="426"/>
      <c r="R81" s="418" t="s">
        <v>3454</v>
      </c>
      <c r="S81" s="427" t="s">
        <v>613</v>
      </c>
      <c r="T81" s="357" t="s">
        <v>3066</v>
      </c>
      <c r="U81" s="357" t="s">
        <v>204</v>
      </c>
      <c r="V81" s="367">
        <v>516000000</v>
      </c>
      <c r="W81" s="368">
        <v>516000000</v>
      </c>
      <c r="X81" s="357"/>
      <c r="Y81" s="357"/>
      <c r="Z81" s="400"/>
      <c r="AA81" s="369"/>
      <c r="AB81" s="370"/>
      <c r="AC81" s="404" t="s">
        <v>229</v>
      </c>
      <c r="AD81" s="270" t="s">
        <v>204</v>
      </c>
      <c r="AE81" s="156">
        <v>350000000</v>
      </c>
      <c r="AF81" s="156">
        <v>350000000</v>
      </c>
      <c r="AG81" s="357"/>
      <c r="AH81" s="357"/>
      <c r="AI81" s="357"/>
      <c r="AJ81" s="156"/>
      <c r="AK81" s="156"/>
      <c r="AL81" s="375"/>
      <c r="AM81" s="405"/>
      <c r="AN81" s="273"/>
      <c r="AO81" s="405"/>
      <c r="AP81" s="273"/>
      <c r="AQ81" s="273"/>
      <c r="AR81" s="273"/>
      <c r="AS81" s="273"/>
      <c r="AT81" s="273"/>
      <c r="AU81" s="273"/>
      <c r="AV81" s="322">
        <f t="shared" si="5"/>
        <v>0</v>
      </c>
      <c r="AW81" s="402" t="s">
        <v>3387</v>
      </c>
      <c r="AX81" s="376">
        <v>45765</v>
      </c>
      <c r="AY81" s="373" t="s">
        <v>3388</v>
      </c>
      <c r="AZ81" s="375"/>
      <c r="BA81" s="375">
        <v>950000000</v>
      </c>
      <c r="BB81" s="156"/>
      <c r="BC81" s="156"/>
      <c r="BD81" s="353">
        <f t="shared" si="6"/>
        <v>950000000</v>
      </c>
      <c r="BE81" s="432" t="s">
        <v>355</v>
      </c>
      <c r="BF81" s="407" t="s">
        <v>503</v>
      </c>
      <c r="BG81" s="168"/>
      <c r="BH81" s="274"/>
      <c r="BI81" s="168"/>
      <c r="BJ81" s="274"/>
      <c r="BK81" s="168"/>
      <c r="BL81" s="275"/>
      <c r="BM81" s="276"/>
      <c r="BN81" s="275"/>
      <c r="BO81" s="276"/>
      <c r="BP81" s="277"/>
      <c r="BQ81" s="156"/>
      <c r="BR81" s="274"/>
      <c r="BS81" s="270"/>
      <c r="BT81" s="270"/>
      <c r="BU81" s="274"/>
      <c r="BV81" s="274"/>
      <c r="BW81" s="278"/>
      <c r="BX81" s="278"/>
      <c r="BY81" s="278"/>
      <c r="BZ81" s="351"/>
    </row>
    <row r="82" spans="1:78" s="90" customFormat="1" ht="19.5" hidden="1" customHeight="1">
      <c r="A82" s="137"/>
      <c r="B82" s="197">
        <f t="shared" si="4"/>
        <v>72</v>
      </c>
      <c r="C82" s="30" t="s">
        <v>206</v>
      </c>
      <c r="D82" s="30" t="s">
        <v>225</v>
      </c>
      <c r="E82" s="234" t="s">
        <v>701</v>
      </c>
      <c r="F82" s="235" t="s">
        <v>1237</v>
      </c>
      <c r="G82" s="284">
        <f>IFERROR(VLOOKUP(E82,Assign!$C$2:$J$142,8,FALSE),)</f>
        <v>0</v>
      </c>
      <c r="H82" s="361" t="s">
        <v>5128</v>
      </c>
      <c r="I82" s="363">
        <v>1</v>
      </c>
      <c r="J82" s="364" t="s">
        <v>208</v>
      </c>
      <c r="K82" s="364" t="s">
        <v>394</v>
      </c>
      <c r="L82" s="365" t="s">
        <v>2640</v>
      </c>
      <c r="M82" s="362" t="s">
        <v>2641</v>
      </c>
      <c r="N82" s="421" t="s">
        <v>546</v>
      </c>
      <c r="O82" s="269">
        <v>56.29</v>
      </c>
      <c r="P82" s="269">
        <v>189.17</v>
      </c>
      <c r="Q82" s="426"/>
      <c r="R82" s="418" t="s">
        <v>701</v>
      </c>
      <c r="S82" s="427" t="s">
        <v>613</v>
      </c>
      <c r="T82" s="357">
        <v>1</v>
      </c>
      <c r="U82" s="357" t="s">
        <v>204</v>
      </c>
      <c r="V82" s="367">
        <v>492000000</v>
      </c>
      <c r="W82" s="368">
        <v>492000000</v>
      </c>
      <c r="X82" s="357"/>
      <c r="Y82" s="357"/>
      <c r="Z82" s="400"/>
      <c r="AA82" s="369"/>
      <c r="AB82" s="370"/>
      <c r="AC82" s="404"/>
      <c r="AD82" s="270"/>
      <c r="AE82" s="156"/>
      <c r="AF82" s="156"/>
      <c r="AG82" s="357"/>
      <c r="AH82" s="357"/>
      <c r="AI82" s="357"/>
      <c r="AJ82" s="156"/>
      <c r="AK82" s="156"/>
      <c r="AL82" s="375"/>
      <c r="AM82" s="405"/>
      <c r="AN82" s="273"/>
      <c r="AO82" s="405"/>
      <c r="AP82" s="273"/>
      <c r="AQ82" s="273"/>
      <c r="AR82" s="273"/>
      <c r="AS82" s="273"/>
      <c r="AT82" s="273"/>
      <c r="AU82" s="273"/>
      <c r="AV82" s="322">
        <f t="shared" si="5"/>
        <v>0</v>
      </c>
      <c r="AW82" s="402"/>
      <c r="AX82" s="376"/>
      <c r="AY82" s="373"/>
      <c r="AZ82" s="375"/>
      <c r="BA82" s="375"/>
      <c r="BB82" s="375"/>
      <c r="BC82" s="375"/>
      <c r="BD82" s="353">
        <f t="shared" si="6"/>
        <v>0</v>
      </c>
      <c r="BE82" s="432" t="s">
        <v>355</v>
      </c>
      <c r="BF82" s="407" t="s">
        <v>506</v>
      </c>
      <c r="BG82" s="168"/>
      <c r="BH82" s="274"/>
      <c r="BI82" s="168"/>
      <c r="BJ82" s="274"/>
      <c r="BK82" s="168"/>
      <c r="BL82" s="275"/>
      <c r="BM82" s="276"/>
      <c r="BN82" s="275"/>
      <c r="BO82" s="276"/>
      <c r="BP82" s="277"/>
      <c r="BQ82" s="156"/>
      <c r="BR82" s="274"/>
      <c r="BS82" s="270"/>
      <c r="BT82" s="270"/>
      <c r="BU82" s="274"/>
      <c r="BV82" s="274"/>
      <c r="BW82" s="278"/>
      <c r="BX82" s="278"/>
      <c r="BY82" s="278"/>
      <c r="BZ82" s="351"/>
    </row>
    <row r="83" spans="1:78" s="90" customFormat="1" ht="19.5" hidden="1" customHeight="1">
      <c r="A83" s="137"/>
      <c r="B83" s="197">
        <f t="shared" si="4"/>
        <v>73</v>
      </c>
      <c r="C83" s="30" t="s">
        <v>206</v>
      </c>
      <c r="D83" s="30" t="s">
        <v>225</v>
      </c>
      <c r="E83" s="234" t="s">
        <v>702</v>
      </c>
      <c r="F83" s="235" t="s">
        <v>1238</v>
      </c>
      <c r="G83" s="284">
        <f>IFERROR(VLOOKUP(E83,Assign!$C$2:$J$142,8,FALSE),)</f>
        <v>0</v>
      </c>
      <c r="H83" s="361" t="s">
        <v>4665</v>
      </c>
      <c r="I83" s="363">
        <v>1</v>
      </c>
      <c r="J83" s="364" t="s">
        <v>209</v>
      </c>
      <c r="K83" s="364" t="s">
        <v>286</v>
      </c>
      <c r="L83" s="365" t="s">
        <v>2201</v>
      </c>
      <c r="M83" s="362" t="s">
        <v>2202</v>
      </c>
      <c r="N83" s="421" t="s">
        <v>3078</v>
      </c>
      <c r="O83" s="269">
        <v>17.39</v>
      </c>
      <c r="P83" s="269">
        <v>110.01</v>
      </c>
      <c r="Q83" s="426"/>
      <c r="R83" s="418" t="s">
        <v>702</v>
      </c>
      <c r="S83" s="427" t="s">
        <v>613</v>
      </c>
      <c r="T83" s="357" t="s">
        <v>229</v>
      </c>
      <c r="U83" s="357" t="s">
        <v>204</v>
      </c>
      <c r="V83" s="367">
        <v>636000000</v>
      </c>
      <c r="W83" s="368">
        <v>636000000</v>
      </c>
      <c r="X83" s="357"/>
      <c r="Y83" s="357"/>
      <c r="Z83" s="400"/>
      <c r="AA83" s="369"/>
      <c r="AB83" s="370"/>
      <c r="AC83" s="404"/>
      <c r="AD83" s="270"/>
      <c r="AE83" s="156"/>
      <c r="AF83" s="156"/>
      <c r="AG83" s="357"/>
      <c r="AH83" s="357"/>
      <c r="AI83" s="357"/>
      <c r="AJ83" s="156"/>
      <c r="AK83" s="156"/>
      <c r="AL83" s="375"/>
      <c r="AM83" s="405"/>
      <c r="AN83" s="273"/>
      <c r="AO83" s="405"/>
      <c r="AP83" s="273"/>
      <c r="AQ83" s="273"/>
      <c r="AR83" s="273"/>
      <c r="AS83" s="273"/>
      <c r="AT83" s="273"/>
      <c r="AU83" s="273"/>
      <c r="AV83" s="322">
        <f t="shared" si="5"/>
        <v>0</v>
      </c>
      <c r="AW83" s="402" t="s">
        <v>3387</v>
      </c>
      <c r="AX83" s="376">
        <v>45765</v>
      </c>
      <c r="AY83" s="373" t="s">
        <v>3388</v>
      </c>
      <c r="AZ83" s="375"/>
      <c r="BA83" s="375">
        <v>2500000000</v>
      </c>
      <c r="BB83" s="375"/>
      <c r="BC83" s="375"/>
      <c r="BD83" s="353">
        <f t="shared" si="6"/>
        <v>2500000000</v>
      </c>
      <c r="BE83" s="432" t="s">
        <v>335</v>
      </c>
      <c r="BF83" s="407" t="s">
        <v>519</v>
      </c>
      <c r="BG83" s="168" t="s">
        <v>3314</v>
      </c>
      <c r="BH83" s="274">
        <v>45525</v>
      </c>
      <c r="BI83" s="168" t="s">
        <v>3241</v>
      </c>
      <c r="BJ83" s="274">
        <v>45607</v>
      </c>
      <c r="BK83" s="168">
        <v>1474784645</v>
      </c>
      <c r="BL83" s="275"/>
      <c r="BM83" s="276"/>
      <c r="BN83" s="275"/>
      <c r="BO83" s="276"/>
      <c r="BP83" s="277"/>
      <c r="BQ83" s="156"/>
      <c r="BR83" s="274"/>
      <c r="BS83" s="270"/>
      <c r="BT83" s="270"/>
      <c r="BU83" s="274"/>
      <c r="BV83" s="274"/>
      <c r="BW83" s="278"/>
      <c r="BX83" s="278"/>
      <c r="BY83" s="278"/>
      <c r="BZ83" s="351"/>
    </row>
    <row r="84" spans="1:78" s="90" customFormat="1" ht="19.5" hidden="1" customHeight="1">
      <c r="A84" s="137"/>
      <c r="B84" s="197">
        <f t="shared" si="4"/>
        <v>74</v>
      </c>
      <c r="C84" s="30" t="s">
        <v>206</v>
      </c>
      <c r="D84" s="30" t="s">
        <v>225</v>
      </c>
      <c r="E84" s="234" t="s">
        <v>703</v>
      </c>
      <c r="F84" s="235" t="s">
        <v>1239</v>
      </c>
      <c r="G84" s="284">
        <f>IFERROR(VLOOKUP(E84,Assign!$C$2:$J$142,8,FALSE),)</f>
        <v>0</v>
      </c>
      <c r="H84" s="361" t="s">
        <v>4644</v>
      </c>
      <c r="I84" s="363">
        <v>1</v>
      </c>
      <c r="J84" s="364" t="s">
        <v>209</v>
      </c>
      <c r="K84" s="364" t="s">
        <v>380</v>
      </c>
      <c r="L84" s="365" t="s">
        <v>1597</v>
      </c>
      <c r="M84" s="362" t="s">
        <v>2178</v>
      </c>
      <c r="N84" s="421" t="s">
        <v>207</v>
      </c>
      <c r="O84" s="269">
        <v>46.854300000000002</v>
      </c>
      <c r="P84" s="269">
        <v>84.973100000000002</v>
      </c>
      <c r="Q84" s="426"/>
      <c r="R84" s="418" t="s">
        <v>3495</v>
      </c>
      <c r="S84" s="427" t="s">
        <v>613</v>
      </c>
      <c r="T84" s="357">
        <v>1</v>
      </c>
      <c r="U84" s="357" t="s">
        <v>204</v>
      </c>
      <c r="V84" s="367">
        <v>500400000</v>
      </c>
      <c r="W84" s="368">
        <v>500400000</v>
      </c>
      <c r="X84" s="357"/>
      <c r="Y84" s="357"/>
      <c r="Z84" s="400"/>
      <c r="AA84" s="369"/>
      <c r="AB84" s="370"/>
      <c r="AC84" s="404"/>
      <c r="AD84" s="270"/>
      <c r="AE84" s="156"/>
      <c r="AF84" s="156"/>
      <c r="AG84" s="357"/>
      <c r="AH84" s="357"/>
      <c r="AI84" s="357"/>
      <c r="AJ84" s="156"/>
      <c r="AK84" s="156"/>
      <c r="AL84" s="375"/>
      <c r="AM84" s="405"/>
      <c r="AN84" s="273"/>
      <c r="AO84" s="405"/>
      <c r="AP84" s="273"/>
      <c r="AQ84" s="273"/>
      <c r="AR84" s="273"/>
      <c r="AS84" s="273"/>
      <c r="AT84" s="273"/>
      <c r="AU84" s="273"/>
      <c r="AV84" s="322">
        <f t="shared" si="5"/>
        <v>0</v>
      </c>
      <c r="AW84" s="402" t="s">
        <v>3387</v>
      </c>
      <c r="AX84" s="376">
        <v>45765</v>
      </c>
      <c r="AY84" s="373" t="s">
        <v>3388</v>
      </c>
      <c r="AZ84" s="375"/>
      <c r="BA84" s="375">
        <v>1040000000</v>
      </c>
      <c r="BB84" s="375"/>
      <c r="BC84" s="375"/>
      <c r="BD84" s="353">
        <f t="shared" si="6"/>
        <v>1040000000</v>
      </c>
      <c r="BE84" s="432" t="s">
        <v>355</v>
      </c>
      <c r="BF84" s="407" t="s">
        <v>510</v>
      </c>
      <c r="BG84" s="168"/>
      <c r="BH84" s="274"/>
      <c r="BI84" s="168"/>
      <c r="BJ84" s="274"/>
      <c r="BK84" s="168"/>
      <c r="BL84" s="275"/>
      <c r="BM84" s="276"/>
      <c r="BN84" s="275"/>
      <c r="BO84" s="276"/>
      <c r="BP84" s="277"/>
      <c r="BQ84" s="156"/>
      <c r="BR84" s="274"/>
      <c r="BS84" s="270"/>
      <c r="BT84" s="270"/>
      <c r="BU84" s="274"/>
      <c r="BV84" s="274"/>
      <c r="BW84" s="278"/>
      <c r="BX84" s="278"/>
      <c r="BY84" s="278"/>
      <c r="BZ84" s="351"/>
    </row>
    <row r="85" spans="1:78" s="90" customFormat="1" ht="19.5" hidden="1" customHeight="1">
      <c r="A85" s="137"/>
      <c r="B85" s="197">
        <f t="shared" si="4"/>
        <v>75</v>
      </c>
      <c r="C85" s="30" t="s">
        <v>206</v>
      </c>
      <c r="D85" s="30" t="s">
        <v>225</v>
      </c>
      <c r="E85" s="234" t="s">
        <v>704</v>
      </c>
      <c r="F85" s="235" t="s">
        <v>1312</v>
      </c>
      <c r="G85" s="284" t="str">
        <f>IFERROR(VLOOKUP(E85,Assign!$C$2:$J$142,8,FALSE),)</f>
        <v>문선영</v>
      </c>
      <c r="H85" s="361" t="s">
        <v>5579</v>
      </c>
      <c r="I85" s="363">
        <v>1</v>
      </c>
      <c r="J85" s="364" t="s">
        <v>208</v>
      </c>
      <c r="K85" s="364" t="s">
        <v>228</v>
      </c>
      <c r="L85" s="365" t="s">
        <v>3044</v>
      </c>
      <c r="M85" s="362" t="s">
        <v>3200</v>
      </c>
      <c r="N85" s="421" t="s">
        <v>396</v>
      </c>
      <c r="O85" s="269">
        <v>655</v>
      </c>
      <c r="P85" s="269">
        <v>191.82</v>
      </c>
      <c r="Q85" s="426"/>
      <c r="R85" s="418" t="s">
        <v>3365</v>
      </c>
      <c r="S85" s="427" t="s">
        <v>613</v>
      </c>
      <c r="T85" s="357">
        <v>1</v>
      </c>
      <c r="U85" s="357" t="s">
        <v>204</v>
      </c>
      <c r="V85" s="367">
        <v>474000000</v>
      </c>
      <c r="W85" s="368">
        <v>474000000</v>
      </c>
      <c r="X85" s="357"/>
      <c r="Y85" s="357"/>
      <c r="Z85" s="400"/>
      <c r="AA85" s="369"/>
      <c r="AB85" s="370"/>
      <c r="AC85" s="404"/>
      <c r="AD85" s="270"/>
      <c r="AE85" s="156"/>
      <c r="AF85" s="156"/>
      <c r="AG85" s="357"/>
      <c r="AH85" s="357"/>
      <c r="AI85" s="357"/>
      <c r="AJ85" s="156"/>
      <c r="AK85" s="156"/>
      <c r="AL85" s="375"/>
      <c r="AM85" s="405"/>
      <c r="AN85" s="273"/>
      <c r="AO85" s="405"/>
      <c r="AP85" s="273"/>
      <c r="AQ85" s="273"/>
      <c r="AR85" s="273"/>
      <c r="AS85" s="273"/>
      <c r="AT85" s="273"/>
      <c r="AU85" s="273"/>
      <c r="AV85" s="322">
        <f t="shared" si="5"/>
        <v>0</v>
      </c>
      <c r="AW85" s="402"/>
      <c r="AX85" s="376"/>
      <c r="AY85" s="373"/>
      <c r="AZ85" s="375"/>
      <c r="BA85" s="375"/>
      <c r="BB85" s="375"/>
      <c r="BC85" s="375"/>
      <c r="BD85" s="353">
        <f t="shared" si="6"/>
        <v>0</v>
      </c>
      <c r="BE85" s="432" t="s">
        <v>355</v>
      </c>
      <c r="BF85" s="407" t="s">
        <v>424</v>
      </c>
      <c r="BG85" s="168"/>
      <c r="BH85" s="274"/>
      <c r="BI85" s="168"/>
      <c r="BJ85" s="274"/>
      <c r="BK85" s="168"/>
      <c r="BL85" s="275"/>
      <c r="BM85" s="276"/>
      <c r="BN85" s="275"/>
      <c r="BO85" s="276"/>
      <c r="BP85" s="277"/>
      <c r="BQ85" s="156"/>
      <c r="BR85" s="274"/>
      <c r="BS85" s="270"/>
      <c r="BT85" s="270"/>
      <c r="BU85" s="274"/>
      <c r="BV85" s="274"/>
      <c r="BW85" s="278"/>
      <c r="BX85" s="278"/>
      <c r="BY85" s="278"/>
      <c r="BZ85" s="351"/>
    </row>
    <row r="86" spans="1:78" s="90" customFormat="1" ht="19.5" hidden="1" customHeight="1">
      <c r="A86" s="137"/>
      <c r="B86" s="197">
        <f t="shared" si="4"/>
        <v>76</v>
      </c>
      <c r="C86" s="30" t="s">
        <v>206</v>
      </c>
      <c r="D86" s="30" t="s">
        <v>225</v>
      </c>
      <c r="E86" s="234" t="s">
        <v>705</v>
      </c>
      <c r="F86" s="235" t="s">
        <v>1236</v>
      </c>
      <c r="G86" s="284" t="str">
        <f>IFERROR(VLOOKUP(E86,Assign!$C$2:$J$142,8,FALSE),)</f>
        <v>문선영</v>
      </c>
      <c r="H86" s="361" t="s">
        <v>4815</v>
      </c>
      <c r="I86" s="363">
        <v>1</v>
      </c>
      <c r="J86" s="364" t="s">
        <v>208</v>
      </c>
      <c r="K86" s="364" t="s">
        <v>244</v>
      </c>
      <c r="L86" s="365" t="s">
        <v>417</v>
      </c>
      <c r="M86" s="362" t="s">
        <v>2344</v>
      </c>
      <c r="N86" s="421" t="s">
        <v>207</v>
      </c>
      <c r="O86" s="269">
        <v>23.88</v>
      </c>
      <c r="P86" s="269">
        <v>153.66999999999999</v>
      </c>
      <c r="Q86" s="426"/>
      <c r="R86" s="418" t="s">
        <v>705</v>
      </c>
      <c r="S86" s="427" t="s">
        <v>613</v>
      </c>
      <c r="T86" s="357">
        <v>1</v>
      </c>
      <c r="U86" s="357" t="s">
        <v>204</v>
      </c>
      <c r="V86" s="367">
        <v>571200000</v>
      </c>
      <c r="W86" s="368">
        <v>571200000</v>
      </c>
      <c r="X86" s="357"/>
      <c r="Y86" s="357"/>
      <c r="Z86" s="400"/>
      <c r="AA86" s="369"/>
      <c r="AB86" s="370"/>
      <c r="AC86" s="404"/>
      <c r="AD86" s="270"/>
      <c r="AE86" s="156"/>
      <c r="AF86" s="156"/>
      <c r="AG86" s="357"/>
      <c r="AH86" s="357"/>
      <c r="AI86" s="357"/>
      <c r="AJ86" s="156"/>
      <c r="AK86" s="156"/>
      <c r="AL86" s="375"/>
      <c r="AM86" s="405"/>
      <c r="AN86" s="273"/>
      <c r="AO86" s="405"/>
      <c r="AP86" s="273"/>
      <c r="AQ86" s="273"/>
      <c r="AR86" s="273"/>
      <c r="AS86" s="273"/>
      <c r="AT86" s="273"/>
      <c r="AU86" s="273"/>
      <c r="AV86" s="322">
        <f t="shared" si="5"/>
        <v>0</v>
      </c>
      <c r="AW86" s="402" t="s">
        <v>3387</v>
      </c>
      <c r="AX86" s="376">
        <v>45765</v>
      </c>
      <c r="AY86" s="373" t="s">
        <v>3388</v>
      </c>
      <c r="AZ86" s="375"/>
      <c r="BA86" s="375">
        <v>1100000000</v>
      </c>
      <c r="BB86" s="375"/>
      <c r="BC86" s="375"/>
      <c r="BD86" s="353">
        <f t="shared" si="6"/>
        <v>1100000000</v>
      </c>
      <c r="BE86" s="432" t="s">
        <v>355</v>
      </c>
      <c r="BF86" s="407" t="s">
        <v>501</v>
      </c>
      <c r="BG86" s="168"/>
      <c r="BH86" s="274"/>
      <c r="BI86" s="168"/>
      <c r="BJ86" s="274"/>
      <c r="BK86" s="168"/>
      <c r="BL86" s="275"/>
      <c r="BM86" s="276"/>
      <c r="BN86" s="275"/>
      <c r="BO86" s="276"/>
      <c r="BP86" s="277"/>
      <c r="BQ86" s="156"/>
      <c r="BR86" s="274"/>
      <c r="BS86" s="270"/>
      <c r="BT86" s="270"/>
      <c r="BU86" s="274"/>
      <c r="BV86" s="274"/>
      <c r="BW86" s="278"/>
      <c r="BX86" s="278"/>
      <c r="BY86" s="278"/>
      <c r="BZ86" s="351"/>
    </row>
    <row r="87" spans="1:78" s="90" customFormat="1" ht="19.5" hidden="1" customHeight="1">
      <c r="A87" s="137"/>
      <c r="B87" s="197">
        <f t="shared" si="4"/>
        <v>77</v>
      </c>
      <c r="C87" s="30" t="s">
        <v>206</v>
      </c>
      <c r="D87" s="30" t="s">
        <v>225</v>
      </c>
      <c r="E87" s="234" t="s">
        <v>706</v>
      </c>
      <c r="F87" s="235" t="s">
        <v>1236</v>
      </c>
      <c r="G87" s="284">
        <f>IFERROR(VLOOKUP(E87,Assign!$C$2:$J$142,8,FALSE),)</f>
        <v>0</v>
      </c>
      <c r="H87" s="361" t="s">
        <v>4667</v>
      </c>
      <c r="I87" s="363">
        <v>1</v>
      </c>
      <c r="J87" s="364" t="s">
        <v>209</v>
      </c>
      <c r="K87" s="364" t="s">
        <v>364</v>
      </c>
      <c r="L87" s="365" t="s">
        <v>343</v>
      </c>
      <c r="M87" s="362" t="s">
        <v>3125</v>
      </c>
      <c r="N87" s="421" t="s">
        <v>396</v>
      </c>
      <c r="O87" s="269">
        <v>103.2</v>
      </c>
      <c r="P87" s="269">
        <v>177.01</v>
      </c>
      <c r="Q87" s="426"/>
      <c r="R87" s="418" t="s">
        <v>706</v>
      </c>
      <c r="S87" s="427" t="s">
        <v>613</v>
      </c>
      <c r="T87" s="357" t="s">
        <v>229</v>
      </c>
      <c r="U87" s="357" t="s">
        <v>204</v>
      </c>
      <c r="V87" s="367">
        <v>456000000</v>
      </c>
      <c r="W87" s="368">
        <v>456000000</v>
      </c>
      <c r="X87" s="357"/>
      <c r="Y87" s="357"/>
      <c r="Z87" s="400"/>
      <c r="AA87" s="369"/>
      <c r="AB87" s="370"/>
      <c r="AC87" s="404"/>
      <c r="AD87" s="270"/>
      <c r="AE87" s="156"/>
      <c r="AF87" s="156"/>
      <c r="AG87" s="357"/>
      <c r="AH87" s="357"/>
      <c r="AI87" s="357"/>
      <c r="AJ87" s="156"/>
      <c r="AK87" s="156"/>
      <c r="AL87" s="375"/>
      <c r="AM87" s="405"/>
      <c r="AN87" s="273"/>
      <c r="AO87" s="405"/>
      <c r="AP87" s="273"/>
      <c r="AQ87" s="273"/>
      <c r="AR87" s="273"/>
      <c r="AS87" s="273"/>
      <c r="AT87" s="273"/>
      <c r="AU87" s="273"/>
      <c r="AV87" s="322">
        <f t="shared" si="5"/>
        <v>0</v>
      </c>
      <c r="AW87" s="402" t="s">
        <v>3650</v>
      </c>
      <c r="AX87" s="376">
        <v>45539</v>
      </c>
      <c r="AY87" s="373" t="s">
        <v>3658</v>
      </c>
      <c r="AZ87" s="375">
        <v>1228080000</v>
      </c>
      <c r="BA87" s="375">
        <v>222851200</v>
      </c>
      <c r="BB87" s="375"/>
      <c r="BC87" s="375">
        <v>9600000</v>
      </c>
      <c r="BD87" s="353">
        <f t="shared" si="6"/>
        <v>1460531200</v>
      </c>
      <c r="BE87" s="432" t="s">
        <v>335</v>
      </c>
      <c r="BF87" s="407" t="s">
        <v>495</v>
      </c>
      <c r="BG87" s="168" t="s">
        <v>3657</v>
      </c>
      <c r="BH87" s="274">
        <v>45527</v>
      </c>
      <c r="BI87" s="168" t="s">
        <v>3242</v>
      </c>
      <c r="BJ87" s="274">
        <v>45621</v>
      </c>
      <c r="BK87" s="168">
        <v>316437369</v>
      </c>
      <c r="BL87" s="275"/>
      <c r="BM87" s="276"/>
      <c r="BN87" s="275"/>
      <c r="BO87" s="276"/>
      <c r="BP87" s="277"/>
      <c r="BQ87" s="156">
        <v>1460531200</v>
      </c>
      <c r="BR87" s="274">
        <v>45756</v>
      </c>
      <c r="BS87" s="270">
        <v>1</v>
      </c>
      <c r="BT87" s="270" t="s">
        <v>609</v>
      </c>
      <c r="BU87" s="274">
        <v>45756</v>
      </c>
      <c r="BV87" s="274">
        <v>45792</v>
      </c>
      <c r="BW87" s="278"/>
      <c r="BX87" s="278">
        <v>1460531200</v>
      </c>
      <c r="BY87" s="278">
        <v>1168425000</v>
      </c>
      <c r="BZ87" s="351"/>
    </row>
    <row r="88" spans="1:78" s="90" customFormat="1" ht="19.5" hidden="1" customHeight="1">
      <c r="A88" s="137"/>
      <c r="B88" s="197">
        <f t="shared" si="4"/>
        <v>78</v>
      </c>
      <c r="C88" s="30" t="s">
        <v>206</v>
      </c>
      <c r="D88" s="30" t="s">
        <v>225</v>
      </c>
      <c r="E88" s="234" t="s">
        <v>707</v>
      </c>
      <c r="F88" s="235" t="s">
        <v>1225</v>
      </c>
      <c r="G88" s="284">
        <f>IFERROR(VLOOKUP(E88,Assign!$C$2:$J$142,8,FALSE),)</f>
        <v>0</v>
      </c>
      <c r="H88" s="361" t="s">
        <v>5370</v>
      </c>
      <c r="I88" s="363">
        <v>1</v>
      </c>
      <c r="J88" s="364" t="s">
        <v>208</v>
      </c>
      <c r="K88" s="364" t="s">
        <v>258</v>
      </c>
      <c r="L88" s="365" t="s">
        <v>327</v>
      </c>
      <c r="M88" s="362" t="s">
        <v>2846</v>
      </c>
      <c r="N88" s="421" t="s">
        <v>207</v>
      </c>
      <c r="O88" s="269">
        <v>48.817900000000002</v>
      </c>
      <c r="P88" s="269">
        <v>84.895700000000005</v>
      </c>
      <c r="Q88" s="426"/>
      <c r="R88" s="418" t="s">
        <v>707</v>
      </c>
      <c r="S88" s="427" t="s">
        <v>613</v>
      </c>
      <c r="T88" s="357">
        <v>1</v>
      </c>
      <c r="U88" s="357" t="s">
        <v>204</v>
      </c>
      <c r="V88" s="367">
        <v>440000000</v>
      </c>
      <c r="W88" s="368">
        <v>440000000</v>
      </c>
      <c r="X88" s="357"/>
      <c r="Y88" s="357"/>
      <c r="Z88" s="400"/>
      <c r="AA88" s="369"/>
      <c r="AB88" s="370"/>
      <c r="AC88" s="404"/>
      <c r="AD88" s="270"/>
      <c r="AE88" s="156"/>
      <c r="AF88" s="156"/>
      <c r="AG88" s="357"/>
      <c r="AH88" s="357"/>
      <c r="AI88" s="357"/>
      <c r="AJ88" s="156"/>
      <c r="AK88" s="156"/>
      <c r="AL88" s="375"/>
      <c r="AM88" s="405"/>
      <c r="AN88" s="273"/>
      <c r="AO88" s="405"/>
      <c r="AP88" s="273"/>
      <c r="AQ88" s="273"/>
      <c r="AR88" s="273"/>
      <c r="AS88" s="273"/>
      <c r="AT88" s="273"/>
      <c r="AU88" s="273"/>
      <c r="AV88" s="322">
        <f t="shared" si="5"/>
        <v>0</v>
      </c>
      <c r="AW88" s="402" t="s">
        <v>3387</v>
      </c>
      <c r="AX88" s="376">
        <v>45765</v>
      </c>
      <c r="AY88" s="373" t="s">
        <v>3388</v>
      </c>
      <c r="AZ88" s="375"/>
      <c r="BA88" s="375">
        <v>610000000</v>
      </c>
      <c r="BB88" s="375"/>
      <c r="BC88" s="375"/>
      <c r="BD88" s="353">
        <f t="shared" si="6"/>
        <v>610000000</v>
      </c>
      <c r="BE88" s="432" t="s">
        <v>355</v>
      </c>
      <c r="BF88" s="407" t="s">
        <v>498</v>
      </c>
      <c r="BG88" s="168"/>
      <c r="BH88" s="274"/>
      <c r="BI88" s="168"/>
      <c r="BJ88" s="274"/>
      <c r="BK88" s="168"/>
      <c r="BL88" s="275"/>
      <c r="BM88" s="276"/>
      <c r="BN88" s="275"/>
      <c r="BO88" s="276"/>
      <c r="BP88" s="277"/>
      <c r="BQ88" s="156"/>
      <c r="BR88" s="274"/>
      <c r="BS88" s="270"/>
      <c r="BT88" s="270"/>
      <c r="BU88" s="274"/>
      <c r="BV88" s="274"/>
      <c r="BW88" s="278"/>
      <c r="BX88" s="278"/>
      <c r="BY88" s="278"/>
      <c r="BZ88" s="351"/>
    </row>
    <row r="89" spans="1:78" s="90" customFormat="1" ht="19.5" hidden="1" customHeight="1">
      <c r="A89" s="137"/>
      <c r="B89" s="197">
        <f t="shared" si="4"/>
        <v>79</v>
      </c>
      <c r="C89" s="30" t="s">
        <v>206</v>
      </c>
      <c r="D89" s="30" t="s">
        <v>225</v>
      </c>
      <c r="E89" s="234" t="s">
        <v>708</v>
      </c>
      <c r="F89" s="235" t="s">
        <v>1231</v>
      </c>
      <c r="G89" s="284">
        <f>IFERROR(VLOOKUP(E89,Assign!$C$2:$J$142,8,FALSE),)</f>
        <v>0</v>
      </c>
      <c r="H89" s="361" t="s">
        <v>4380</v>
      </c>
      <c r="I89" s="363">
        <v>1</v>
      </c>
      <c r="J89" s="364" t="s">
        <v>208</v>
      </c>
      <c r="K89" s="364" t="s">
        <v>242</v>
      </c>
      <c r="L89" s="365" t="s">
        <v>243</v>
      </c>
      <c r="M89" s="362" t="s">
        <v>1937</v>
      </c>
      <c r="N89" s="421" t="s">
        <v>207</v>
      </c>
      <c r="O89" s="366" t="s">
        <v>273</v>
      </c>
      <c r="P89" s="269">
        <v>133.6079</v>
      </c>
      <c r="Q89" s="426"/>
      <c r="R89" s="418" t="s">
        <v>3449</v>
      </c>
      <c r="S89" s="427" t="s">
        <v>613</v>
      </c>
      <c r="T89" s="357">
        <v>1</v>
      </c>
      <c r="U89" s="357" t="s">
        <v>204</v>
      </c>
      <c r="V89" s="367">
        <v>448600000</v>
      </c>
      <c r="W89" s="368">
        <v>448600000</v>
      </c>
      <c r="X89" s="357"/>
      <c r="Y89" s="357"/>
      <c r="Z89" s="400"/>
      <c r="AA89" s="369"/>
      <c r="AB89" s="370"/>
      <c r="AC89" s="404"/>
      <c r="AD89" s="270"/>
      <c r="AE89" s="156"/>
      <c r="AF89" s="156"/>
      <c r="AG89" s="357"/>
      <c r="AH89" s="357"/>
      <c r="AI89" s="357"/>
      <c r="AJ89" s="156"/>
      <c r="AK89" s="156"/>
      <c r="AL89" s="375"/>
      <c r="AM89" s="405"/>
      <c r="AN89" s="273"/>
      <c r="AO89" s="405"/>
      <c r="AP89" s="273"/>
      <c r="AQ89" s="273"/>
      <c r="AR89" s="273"/>
      <c r="AS89" s="273"/>
      <c r="AT89" s="273"/>
      <c r="AU89" s="273"/>
      <c r="AV89" s="322">
        <f t="shared" si="5"/>
        <v>0</v>
      </c>
      <c r="AW89" s="402" t="s">
        <v>3387</v>
      </c>
      <c r="AX89" s="376">
        <v>45765</v>
      </c>
      <c r="AY89" s="373" t="s">
        <v>3388</v>
      </c>
      <c r="AZ89" s="375"/>
      <c r="BA89" s="375">
        <v>745000000</v>
      </c>
      <c r="BB89" s="375"/>
      <c r="BC89" s="375"/>
      <c r="BD89" s="353">
        <f t="shared" si="6"/>
        <v>745000000</v>
      </c>
      <c r="BE89" s="432" t="s">
        <v>355</v>
      </c>
      <c r="BF89" s="407" t="s">
        <v>502</v>
      </c>
      <c r="BG89" s="168"/>
      <c r="BH89" s="274"/>
      <c r="BI89" s="168"/>
      <c r="BJ89" s="274"/>
      <c r="BK89" s="168"/>
      <c r="BL89" s="275"/>
      <c r="BM89" s="276"/>
      <c r="BN89" s="275"/>
      <c r="BO89" s="276"/>
      <c r="BP89" s="277"/>
      <c r="BQ89" s="156"/>
      <c r="BR89" s="274"/>
      <c r="BS89" s="270"/>
      <c r="BT89" s="270"/>
      <c r="BU89" s="274"/>
      <c r="BV89" s="274"/>
      <c r="BW89" s="278"/>
      <c r="BX89" s="278"/>
      <c r="BY89" s="278"/>
      <c r="BZ89" s="351"/>
    </row>
    <row r="90" spans="1:78" s="90" customFormat="1" ht="19.5" hidden="1" customHeight="1">
      <c r="A90" s="137"/>
      <c r="B90" s="197">
        <f t="shared" si="4"/>
        <v>80</v>
      </c>
      <c r="C90" s="30" t="s">
        <v>206</v>
      </c>
      <c r="D90" s="30" t="s">
        <v>225</v>
      </c>
      <c r="E90" s="234" t="s">
        <v>709</v>
      </c>
      <c r="F90" s="235" t="s">
        <v>1240</v>
      </c>
      <c r="G90" s="284">
        <f>IFERROR(VLOOKUP(E90,Assign!$C$2:$J$142,8,FALSE),)</f>
        <v>0</v>
      </c>
      <c r="H90" s="361" t="s">
        <v>5434</v>
      </c>
      <c r="I90" s="363">
        <v>1</v>
      </c>
      <c r="J90" s="364" t="s">
        <v>208</v>
      </c>
      <c r="K90" s="364" t="s">
        <v>234</v>
      </c>
      <c r="L90" s="365" t="s">
        <v>235</v>
      </c>
      <c r="M90" s="362" t="s">
        <v>2909</v>
      </c>
      <c r="N90" s="421" t="s">
        <v>3386</v>
      </c>
      <c r="O90" s="269">
        <v>95.753600000000006</v>
      </c>
      <c r="P90" s="269">
        <v>44.55</v>
      </c>
      <c r="Q90" s="426"/>
      <c r="R90" s="418" t="s">
        <v>709</v>
      </c>
      <c r="S90" s="427" t="s">
        <v>613</v>
      </c>
      <c r="T90" s="357">
        <v>1</v>
      </c>
      <c r="U90" s="357" t="s">
        <v>204</v>
      </c>
      <c r="V90" s="367">
        <v>448800000</v>
      </c>
      <c r="W90" s="368">
        <v>448800000</v>
      </c>
      <c r="X90" s="357"/>
      <c r="Y90" s="357"/>
      <c r="Z90" s="400"/>
      <c r="AA90" s="369"/>
      <c r="AB90" s="370"/>
      <c r="AC90" s="404"/>
      <c r="AD90" s="270"/>
      <c r="AE90" s="156"/>
      <c r="AF90" s="156"/>
      <c r="AG90" s="357"/>
      <c r="AH90" s="357"/>
      <c r="AI90" s="357"/>
      <c r="AJ90" s="156"/>
      <c r="AK90" s="156"/>
      <c r="AL90" s="375"/>
      <c r="AM90" s="405"/>
      <c r="AN90" s="273"/>
      <c r="AO90" s="405"/>
      <c r="AP90" s="273"/>
      <c r="AQ90" s="273"/>
      <c r="AR90" s="273"/>
      <c r="AS90" s="273"/>
      <c r="AT90" s="273"/>
      <c r="AU90" s="273"/>
      <c r="AV90" s="322">
        <f t="shared" si="5"/>
        <v>0</v>
      </c>
      <c r="AW90" s="402"/>
      <c r="AX90" s="274"/>
      <c r="AY90" s="270"/>
      <c r="AZ90" s="156"/>
      <c r="BA90" s="156"/>
      <c r="BB90" s="156"/>
      <c r="BC90" s="156"/>
      <c r="BD90" s="353">
        <f t="shared" si="6"/>
        <v>0</v>
      </c>
      <c r="BE90" s="432" t="s">
        <v>355</v>
      </c>
      <c r="BF90" s="407" t="s">
        <v>504</v>
      </c>
      <c r="BG90" s="168"/>
      <c r="BH90" s="274"/>
      <c r="BI90" s="168"/>
      <c r="BJ90" s="274"/>
      <c r="BK90" s="168"/>
      <c r="BL90" s="275"/>
      <c r="BM90" s="276"/>
      <c r="BN90" s="275"/>
      <c r="BO90" s="276"/>
      <c r="BP90" s="277"/>
      <c r="BQ90" s="156"/>
      <c r="BR90" s="274"/>
      <c r="BS90" s="270"/>
      <c r="BT90" s="270"/>
      <c r="BU90" s="274"/>
      <c r="BV90" s="274"/>
      <c r="BW90" s="278"/>
      <c r="BX90" s="278"/>
      <c r="BY90" s="278"/>
      <c r="BZ90" s="351"/>
    </row>
    <row r="91" spans="1:78" s="90" customFormat="1" ht="19.5" hidden="1" customHeight="1">
      <c r="A91" s="137"/>
      <c r="B91" s="197">
        <f t="shared" si="4"/>
        <v>81</v>
      </c>
      <c r="C91" s="30" t="s">
        <v>206</v>
      </c>
      <c r="D91" s="30" t="s">
        <v>225</v>
      </c>
      <c r="E91" s="234" t="s">
        <v>710</v>
      </c>
      <c r="F91" s="235" t="s">
        <v>1226</v>
      </c>
      <c r="G91" s="284">
        <f>IFERROR(VLOOKUP(E91,Assign!$C$2:$J$142,8,FALSE),)</f>
        <v>0</v>
      </c>
      <c r="H91" s="361" t="s">
        <v>4104</v>
      </c>
      <c r="I91" s="363">
        <v>1</v>
      </c>
      <c r="J91" s="364" t="s">
        <v>208</v>
      </c>
      <c r="K91" s="364" t="s">
        <v>242</v>
      </c>
      <c r="L91" s="365" t="s">
        <v>1680</v>
      </c>
      <c r="M91" s="362" t="s">
        <v>1681</v>
      </c>
      <c r="N91" s="421" t="s">
        <v>3505</v>
      </c>
      <c r="O91" s="269">
        <v>22.26</v>
      </c>
      <c r="P91" s="269">
        <v>146.43</v>
      </c>
      <c r="Q91" s="426"/>
      <c r="R91" s="418" t="s">
        <v>710</v>
      </c>
      <c r="S91" s="427" t="s">
        <v>613</v>
      </c>
      <c r="T91" s="357">
        <v>1</v>
      </c>
      <c r="U91" s="357" t="s">
        <v>204</v>
      </c>
      <c r="V91" s="367">
        <v>456000000</v>
      </c>
      <c r="W91" s="368">
        <v>456000000</v>
      </c>
      <c r="X91" s="357"/>
      <c r="Y91" s="357"/>
      <c r="Z91" s="400"/>
      <c r="AA91" s="369"/>
      <c r="AB91" s="370"/>
      <c r="AC91" s="404"/>
      <c r="AD91" s="270"/>
      <c r="AE91" s="156"/>
      <c r="AF91" s="156"/>
      <c r="AG91" s="357"/>
      <c r="AH91" s="357"/>
      <c r="AI91" s="357"/>
      <c r="AJ91" s="156"/>
      <c r="AK91" s="156"/>
      <c r="AL91" s="375"/>
      <c r="AM91" s="405"/>
      <c r="AN91" s="273"/>
      <c r="AO91" s="405"/>
      <c r="AP91" s="273"/>
      <c r="AQ91" s="273"/>
      <c r="AR91" s="273"/>
      <c r="AS91" s="273"/>
      <c r="AT91" s="273"/>
      <c r="AU91" s="273"/>
      <c r="AV91" s="322">
        <f t="shared" si="5"/>
        <v>0</v>
      </c>
      <c r="AW91" s="402" t="s">
        <v>3387</v>
      </c>
      <c r="AX91" s="376">
        <v>45765</v>
      </c>
      <c r="AY91" s="373" t="s">
        <v>3388</v>
      </c>
      <c r="AZ91" s="375"/>
      <c r="BA91" s="375">
        <v>650000000</v>
      </c>
      <c r="BB91" s="375"/>
      <c r="BC91" s="375"/>
      <c r="BD91" s="353">
        <f t="shared" si="6"/>
        <v>650000000</v>
      </c>
      <c r="BE91" s="432" t="s">
        <v>335</v>
      </c>
      <c r="BF91" s="407" t="s">
        <v>502</v>
      </c>
      <c r="BG91" s="168" t="s">
        <v>3411</v>
      </c>
      <c r="BH91" s="274">
        <v>45623</v>
      </c>
      <c r="BI91" s="168" t="s">
        <v>3270</v>
      </c>
      <c r="BJ91" s="274">
        <v>45705</v>
      </c>
      <c r="BK91" s="168">
        <v>142720500</v>
      </c>
      <c r="BL91" s="275"/>
      <c r="BM91" s="276"/>
      <c r="BN91" s="275"/>
      <c r="BO91" s="276"/>
      <c r="BP91" s="277"/>
      <c r="BQ91" s="156"/>
      <c r="BR91" s="274"/>
      <c r="BS91" s="270"/>
      <c r="BT91" s="270"/>
      <c r="BU91" s="274"/>
      <c r="BV91" s="274"/>
      <c r="BW91" s="278"/>
      <c r="BX91" s="278"/>
      <c r="BY91" s="278"/>
      <c r="BZ91" s="351"/>
    </row>
    <row r="92" spans="1:78" s="90" customFormat="1" ht="19.5" hidden="1" customHeight="1">
      <c r="A92" s="137"/>
      <c r="B92" s="197">
        <f t="shared" si="4"/>
        <v>82</v>
      </c>
      <c r="C92" s="30" t="s">
        <v>206</v>
      </c>
      <c r="D92" s="30" t="s">
        <v>225</v>
      </c>
      <c r="E92" s="234" t="s">
        <v>711</v>
      </c>
      <c r="F92" s="235" t="s">
        <v>1313</v>
      </c>
      <c r="G92" s="284" t="str">
        <f>IFERROR(VLOOKUP(E92,Assign!$C$2:$J$142,8,FALSE),)</f>
        <v>문선영</v>
      </c>
      <c r="H92" s="361" t="s">
        <v>5407</v>
      </c>
      <c r="I92" s="363">
        <v>1</v>
      </c>
      <c r="J92" s="364" t="s">
        <v>221</v>
      </c>
      <c r="K92" s="364" t="s">
        <v>2878</v>
      </c>
      <c r="L92" s="365" t="s">
        <v>2879</v>
      </c>
      <c r="M92" s="362" t="s">
        <v>3185</v>
      </c>
      <c r="N92" s="421" t="s">
        <v>285</v>
      </c>
      <c r="O92" s="269">
        <v>1517</v>
      </c>
      <c r="P92" s="269">
        <v>566.54</v>
      </c>
      <c r="Q92" s="426">
        <v>2</v>
      </c>
      <c r="R92" s="418" t="s">
        <v>711</v>
      </c>
      <c r="S92" s="427" t="s">
        <v>613</v>
      </c>
      <c r="T92" s="357">
        <v>1</v>
      </c>
      <c r="U92" s="357" t="s">
        <v>204</v>
      </c>
      <c r="V92" s="367">
        <v>336000000</v>
      </c>
      <c r="W92" s="368">
        <v>336000000</v>
      </c>
      <c r="X92" s="357"/>
      <c r="Y92" s="357"/>
      <c r="Z92" s="400"/>
      <c r="AA92" s="369"/>
      <c r="AB92" s="370"/>
      <c r="AC92" s="404"/>
      <c r="AD92" s="270"/>
      <c r="AE92" s="156"/>
      <c r="AF92" s="156"/>
      <c r="AG92" s="357"/>
      <c r="AH92" s="357"/>
      <c r="AI92" s="357"/>
      <c r="AJ92" s="156"/>
      <c r="AK92" s="156"/>
      <c r="AL92" s="375"/>
      <c r="AM92" s="405"/>
      <c r="AN92" s="273"/>
      <c r="AO92" s="405"/>
      <c r="AP92" s="273"/>
      <c r="AQ92" s="273"/>
      <c r="AR92" s="273"/>
      <c r="AS92" s="273"/>
      <c r="AT92" s="273"/>
      <c r="AU92" s="273"/>
      <c r="AV92" s="322">
        <f t="shared" si="5"/>
        <v>0</v>
      </c>
      <c r="AW92" s="402"/>
      <c r="AX92" s="274"/>
      <c r="AY92" s="270"/>
      <c r="AZ92" s="156"/>
      <c r="BA92" s="156"/>
      <c r="BB92" s="156"/>
      <c r="BC92" s="156"/>
      <c r="BD92" s="353">
        <f t="shared" si="6"/>
        <v>0</v>
      </c>
      <c r="BE92" s="432" t="s">
        <v>355</v>
      </c>
      <c r="BF92" s="407" t="s">
        <v>3216</v>
      </c>
      <c r="BG92" s="168"/>
      <c r="BH92" s="274"/>
      <c r="BI92" s="168"/>
      <c r="BJ92" s="274"/>
      <c r="BK92" s="168"/>
      <c r="BL92" s="275"/>
      <c r="BM92" s="276"/>
      <c r="BN92" s="275"/>
      <c r="BO92" s="276"/>
      <c r="BP92" s="277"/>
      <c r="BQ92" s="156"/>
      <c r="BR92" s="274"/>
      <c r="BS92" s="270"/>
      <c r="BT92" s="270"/>
      <c r="BU92" s="274"/>
      <c r="BV92" s="274"/>
      <c r="BW92" s="278"/>
      <c r="BX92" s="278"/>
      <c r="BY92" s="278"/>
      <c r="BZ92" s="351"/>
    </row>
    <row r="93" spans="1:78" s="90" customFormat="1" ht="19.5" hidden="1" customHeight="1">
      <c r="A93" s="137"/>
      <c r="B93" s="197">
        <f t="shared" si="4"/>
        <v>83</v>
      </c>
      <c r="C93" s="30" t="s">
        <v>206</v>
      </c>
      <c r="D93" s="30" t="s">
        <v>225</v>
      </c>
      <c r="E93" s="234" t="s">
        <v>712</v>
      </c>
      <c r="F93" s="235" t="s">
        <v>1226</v>
      </c>
      <c r="G93" s="284">
        <f>IFERROR(VLOOKUP(E93,Assign!$C$2:$J$142,8,FALSE),)</f>
        <v>0</v>
      </c>
      <c r="H93" s="361" t="s">
        <v>4092</v>
      </c>
      <c r="I93" s="363">
        <v>1</v>
      </c>
      <c r="J93" s="364" t="s">
        <v>208</v>
      </c>
      <c r="K93" s="364" t="s">
        <v>365</v>
      </c>
      <c r="L93" s="365" t="s">
        <v>1667</v>
      </c>
      <c r="M93" s="362" t="s">
        <v>1668</v>
      </c>
      <c r="N93" s="421" t="s">
        <v>3386</v>
      </c>
      <c r="O93" s="269">
        <v>10.2798</v>
      </c>
      <c r="P93" s="269">
        <v>31.61</v>
      </c>
      <c r="Q93" s="426"/>
      <c r="R93" s="418" t="s">
        <v>712</v>
      </c>
      <c r="S93" s="427" t="s">
        <v>613</v>
      </c>
      <c r="T93" s="357">
        <v>1</v>
      </c>
      <c r="U93" s="357" t="s">
        <v>204</v>
      </c>
      <c r="V93" s="367">
        <v>432000000</v>
      </c>
      <c r="W93" s="368">
        <v>432000000</v>
      </c>
      <c r="X93" s="357"/>
      <c r="Y93" s="357"/>
      <c r="Z93" s="400"/>
      <c r="AA93" s="369"/>
      <c r="AB93" s="370"/>
      <c r="AC93" s="404"/>
      <c r="AD93" s="270"/>
      <c r="AE93" s="156"/>
      <c r="AF93" s="156"/>
      <c r="AG93" s="357"/>
      <c r="AH93" s="357"/>
      <c r="AI93" s="357"/>
      <c r="AJ93" s="156"/>
      <c r="AK93" s="156"/>
      <c r="AL93" s="375"/>
      <c r="AM93" s="405"/>
      <c r="AN93" s="273"/>
      <c r="AO93" s="405"/>
      <c r="AP93" s="273"/>
      <c r="AQ93" s="273"/>
      <c r="AR93" s="273"/>
      <c r="AS93" s="273"/>
      <c r="AT93" s="273"/>
      <c r="AU93" s="273"/>
      <c r="AV93" s="322">
        <f t="shared" si="5"/>
        <v>0</v>
      </c>
      <c r="AW93" s="402"/>
      <c r="AX93" s="274"/>
      <c r="AY93" s="270"/>
      <c r="AZ93" s="156"/>
      <c r="BA93" s="156"/>
      <c r="BB93" s="156"/>
      <c r="BC93" s="156"/>
      <c r="BD93" s="353">
        <f t="shared" si="6"/>
        <v>0</v>
      </c>
      <c r="BE93" s="432" t="s">
        <v>355</v>
      </c>
      <c r="BF93" s="407" t="s">
        <v>422</v>
      </c>
      <c r="BG93" s="168"/>
      <c r="BH93" s="274"/>
      <c r="BI93" s="168"/>
      <c r="BJ93" s="274"/>
      <c r="BK93" s="168"/>
      <c r="BL93" s="275"/>
      <c r="BM93" s="276"/>
      <c r="BN93" s="275"/>
      <c r="BO93" s="276"/>
      <c r="BP93" s="277"/>
      <c r="BQ93" s="156"/>
      <c r="BR93" s="274"/>
      <c r="BS93" s="270"/>
      <c r="BT93" s="270"/>
      <c r="BU93" s="274"/>
      <c r="BV93" s="274"/>
      <c r="BW93" s="278"/>
      <c r="BX93" s="278"/>
      <c r="BY93" s="278"/>
      <c r="BZ93" s="351"/>
    </row>
    <row r="94" spans="1:78" s="90" customFormat="1" ht="19.5" customHeight="1">
      <c r="A94" s="137"/>
      <c r="B94" s="197">
        <f t="shared" si="4"/>
        <v>84</v>
      </c>
      <c r="C94" s="30" t="s">
        <v>206</v>
      </c>
      <c r="D94" s="30" t="s">
        <v>225</v>
      </c>
      <c r="E94" s="234" t="s">
        <v>713</v>
      </c>
      <c r="F94" s="235" t="s">
        <v>1231</v>
      </c>
      <c r="G94" s="284" t="str">
        <f>IFERROR(VLOOKUP(E94,Assign!$C$2:$J$142,8,FALSE),)</f>
        <v>문선영</v>
      </c>
      <c r="H94" s="361" t="s">
        <v>4423</v>
      </c>
      <c r="I94" s="363">
        <v>1</v>
      </c>
      <c r="J94" s="364" t="s">
        <v>216</v>
      </c>
      <c r="K94" s="364" t="s">
        <v>277</v>
      </c>
      <c r="L94" s="365" t="s">
        <v>1757</v>
      </c>
      <c r="M94" s="362" t="s">
        <v>3706</v>
      </c>
      <c r="N94" s="421" t="s">
        <v>620</v>
      </c>
      <c r="O94" s="269">
        <v>327</v>
      </c>
      <c r="P94" s="269">
        <v>344.46499999999997</v>
      </c>
      <c r="Q94" s="426"/>
      <c r="R94" s="418" t="s">
        <v>3477</v>
      </c>
      <c r="S94" s="427" t="s">
        <v>613</v>
      </c>
      <c r="T94" s="357" t="s">
        <v>3061</v>
      </c>
      <c r="U94" s="357" t="s">
        <v>204</v>
      </c>
      <c r="V94" s="367">
        <v>432000000</v>
      </c>
      <c r="W94" s="368">
        <v>432000000</v>
      </c>
      <c r="X94" s="357"/>
      <c r="Y94" s="357"/>
      <c r="Z94" s="400"/>
      <c r="AA94" s="369"/>
      <c r="AB94" s="370"/>
      <c r="AC94" s="404" t="s">
        <v>292</v>
      </c>
      <c r="AD94" s="270" t="s">
        <v>204</v>
      </c>
      <c r="AE94" s="156">
        <v>432000000</v>
      </c>
      <c r="AF94" s="156">
        <v>432000000</v>
      </c>
      <c r="AG94" s="357"/>
      <c r="AH94" s="357"/>
      <c r="AI94" s="357"/>
      <c r="AJ94" s="156"/>
      <c r="AK94" s="156"/>
      <c r="AL94" s="375"/>
      <c r="AM94" s="405"/>
      <c r="AN94" s="273"/>
      <c r="AO94" s="405"/>
      <c r="AP94" s="273"/>
      <c r="AQ94" s="273"/>
      <c r="AR94" s="273"/>
      <c r="AS94" s="273"/>
      <c r="AT94" s="273"/>
      <c r="AU94" s="273"/>
      <c r="AV94" s="322">
        <f t="shared" si="5"/>
        <v>0</v>
      </c>
      <c r="AW94" s="402"/>
      <c r="AX94" s="376"/>
      <c r="AY94" s="373"/>
      <c r="AZ94" s="375"/>
      <c r="BA94" s="375"/>
      <c r="BB94" s="375"/>
      <c r="BC94" s="375"/>
      <c r="BD94" s="353">
        <f t="shared" si="6"/>
        <v>0</v>
      </c>
      <c r="BE94" s="432" t="s">
        <v>335</v>
      </c>
      <c r="BF94" s="407" t="s">
        <v>509</v>
      </c>
      <c r="BG94" s="168" t="s">
        <v>3300</v>
      </c>
      <c r="BH94" s="274">
        <v>45681</v>
      </c>
      <c r="BI94" s="168" t="s">
        <v>3218</v>
      </c>
      <c r="BJ94" s="274">
        <v>45778</v>
      </c>
      <c r="BK94" s="168">
        <v>412763518</v>
      </c>
      <c r="BL94" s="275"/>
      <c r="BM94" s="276"/>
      <c r="BN94" s="275"/>
      <c r="BO94" s="276"/>
      <c r="BP94" s="277"/>
      <c r="BQ94" s="156"/>
      <c r="BR94" s="274"/>
      <c r="BS94" s="270"/>
      <c r="BT94" s="270"/>
      <c r="BU94" s="274"/>
      <c r="BV94" s="274"/>
      <c r="BW94" s="278"/>
      <c r="BX94" s="278"/>
      <c r="BY94" s="278"/>
      <c r="BZ94" s="351"/>
    </row>
    <row r="95" spans="1:78" s="90" customFormat="1" ht="19.5" customHeight="1">
      <c r="A95" s="137"/>
      <c r="B95" s="197">
        <f t="shared" si="4"/>
        <v>85</v>
      </c>
      <c r="C95" s="30" t="s">
        <v>206</v>
      </c>
      <c r="D95" s="30" t="s">
        <v>225</v>
      </c>
      <c r="E95" s="234" t="s">
        <v>714</v>
      </c>
      <c r="F95" s="235" t="s">
        <v>1229</v>
      </c>
      <c r="G95" s="284" t="str">
        <f>IFERROR(VLOOKUP(E95,Assign!$C$2:$J$142,8,FALSE),)</f>
        <v>문선영</v>
      </c>
      <c r="H95" s="361" t="s">
        <v>4067</v>
      </c>
      <c r="I95" s="363">
        <v>1</v>
      </c>
      <c r="J95" s="364" t="s">
        <v>208</v>
      </c>
      <c r="K95" s="364" t="s">
        <v>297</v>
      </c>
      <c r="L95" s="365" t="s">
        <v>1642</v>
      </c>
      <c r="M95" s="362" t="s">
        <v>1643</v>
      </c>
      <c r="N95" s="421" t="s">
        <v>207</v>
      </c>
      <c r="O95" s="269">
        <v>180.9</v>
      </c>
      <c r="P95" s="269">
        <v>205.32730000000001</v>
      </c>
      <c r="Q95" s="426"/>
      <c r="R95" s="418" t="s">
        <v>714</v>
      </c>
      <c r="S95" s="427" t="s">
        <v>613</v>
      </c>
      <c r="T95" s="357">
        <v>1</v>
      </c>
      <c r="U95" s="357" t="s">
        <v>204</v>
      </c>
      <c r="V95" s="367">
        <v>504000000</v>
      </c>
      <c r="W95" s="368">
        <v>504000000</v>
      </c>
      <c r="X95" s="357"/>
      <c r="Y95" s="357"/>
      <c r="Z95" s="400"/>
      <c r="AA95" s="369"/>
      <c r="AB95" s="370"/>
      <c r="AC95" s="404"/>
      <c r="AD95" s="270"/>
      <c r="AE95" s="156"/>
      <c r="AF95" s="156"/>
      <c r="AG95" s="357"/>
      <c r="AH95" s="357"/>
      <c r="AI95" s="357"/>
      <c r="AJ95" s="156"/>
      <c r="AK95" s="156"/>
      <c r="AL95" s="375"/>
      <c r="AM95" s="405"/>
      <c r="AN95" s="273"/>
      <c r="AO95" s="405"/>
      <c r="AP95" s="273"/>
      <c r="AQ95" s="273"/>
      <c r="AR95" s="273"/>
      <c r="AS95" s="273"/>
      <c r="AT95" s="273"/>
      <c r="AU95" s="273"/>
      <c r="AV95" s="322">
        <f t="shared" si="5"/>
        <v>0</v>
      </c>
      <c r="AW95" s="402"/>
      <c r="AX95" s="274"/>
      <c r="AY95" s="270"/>
      <c r="AZ95" s="156"/>
      <c r="BA95" s="156"/>
      <c r="BB95" s="156"/>
      <c r="BC95" s="156"/>
      <c r="BD95" s="353">
        <f t="shared" si="6"/>
        <v>0</v>
      </c>
      <c r="BE95" s="432" t="s">
        <v>335</v>
      </c>
      <c r="BF95" s="407" t="s">
        <v>424</v>
      </c>
      <c r="BG95" s="168" t="s">
        <v>3410</v>
      </c>
      <c r="BH95" s="274">
        <v>45534</v>
      </c>
      <c r="BI95" s="168" t="s">
        <v>3263</v>
      </c>
      <c r="BJ95" s="274">
        <v>45608</v>
      </c>
      <c r="BK95" s="168">
        <v>257407534</v>
      </c>
      <c r="BL95" s="275"/>
      <c r="BM95" s="276"/>
      <c r="BN95" s="275"/>
      <c r="BO95" s="276"/>
      <c r="BP95" s="277"/>
      <c r="BQ95" s="156"/>
      <c r="BR95" s="274"/>
      <c r="BS95" s="270"/>
      <c r="BT95" s="270"/>
      <c r="BU95" s="274"/>
      <c r="BV95" s="274"/>
      <c r="BW95" s="278"/>
      <c r="BX95" s="278"/>
      <c r="BY95" s="278"/>
      <c r="BZ95" s="351"/>
    </row>
    <row r="96" spans="1:78" s="90" customFormat="1" ht="19.5" hidden="1" customHeight="1">
      <c r="A96" s="137"/>
      <c r="B96" s="197">
        <f t="shared" si="4"/>
        <v>86</v>
      </c>
      <c r="C96" s="30" t="s">
        <v>206</v>
      </c>
      <c r="D96" s="30" t="s">
        <v>225</v>
      </c>
      <c r="E96" s="234" t="s">
        <v>715</v>
      </c>
      <c r="F96" s="235" t="s">
        <v>1223</v>
      </c>
      <c r="G96" s="284">
        <f>IFERROR(VLOOKUP(E96,Assign!$C$2:$J$142,8,FALSE),)</f>
        <v>0</v>
      </c>
      <c r="H96" s="361" t="s">
        <v>4342</v>
      </c>
      <c r="I96" s="363">
        <v>1</v>
      </c>
      <c r="J96" s="364" t="s">
        <v>208</v>
      </c>
      <c r="K96" s="364" t="s">
        <v>280</v>
      </c>
      <c r="L96" s="365" t="s">
        <v>1903</v>
      </c>
      <c r="M96" s="362" t="s">
        <v>1904</v>
      </c>
      <c r="N96" s="421" t="s">
        <v>207</v>
      </c>
      <c r="O96" s="269">
        <v>52.285600000000002</v>
      </c>
      <c r="P96" s="269">
        <v>84.979399999999998</v>
      </c>
      <c r="Q96" s="426"/>
      <c r="R96" s="418" t="s">
        <v>715</v>
      </c>
      <c r="S96" s="427" t="s">
        <v>613</v>
      </c>
      <c r="T96" s="357">
        <v>1</v>
      </c>
      <c r="U96" s="357" t="s">
        <v>204</v>
      </c>
      <c r="V96" s="367">
        <v>363000000</v>
      </c>
      <c r="W96" s="368">
        <v>363000000</v>
      </c>
      <c r="X96" s="357"/>
      <c r="Y96" s="357"/>
      <c r="Z96" s="400"/>
      <c r="AA96" s="369"/>
      <c r="AB96" s="370"/>
      <c r="AC96" s="404"/>
      <c r="AD96" s="270"/>
      <c r="AE96" s="156"/>
      <c r="AF96" s="156"/>
      <c r="AG96" s="357"/>
      <c r="AH96" s="357"/>
      <c r="AI96" s="357"/>
      <c r="AJ96" s="156"/>
      <c r="AK96" s="156"/>
      <c r="AL96" s="375"/>
      <c r="AM96" s="405"/>
      <c r="AN96" s="273"/>
      <c r="AO96" s="405"/>
      <c r="AP96" s="273"/>
      <c r="AQ96" s="273"/>
      <c r="AR96" s="273"/>
      <c r="AS96" s="273"/>
      <c r="AT96" s="273"/>
      <c r="AU96" s="273"/>
      <c r="AV96" s="322">
        <f t="shared" si="5"/>
        <v>0</v>
      </c>
      <c r="AW96" s="402" t="s">
        <v>3387</v>
      </c>
      <c r="AX96" s="274">
        <v>45765</v>
      </c>
      <c r="AY96" s="270" t="s">
        <v>3388</v>
      </c>
      <c r="AZ96" s="156"/>
      <c r="BA96" s="156">
        <v>395000000</v>
      </c>
      <c r="BB96" s="156"/>
      <c r="BC96" s="156"/>
      <c r="BD96" s="353">
        <f t="shared" si="6"/>
        <v>395000000</v>
      </c>
      <c r="BE96" s="432" t="s">
        <v>355</v>
      </c>
      <c r="BF96" s="407" t="s">
        <v>422</v>
      </c>
      <c r="BG96" s="168"/>
      <c r="BH96" s="274"/>
      <c r="BI96" s="168"/>
      <c r="BJ96" s="274"/>
      <c r="BK96" s="168"/>
      <c r="BL96" s="275"/>
      <c r="BM96" s="276"/>
      <c r="BN96" s="275"/>
      <c r="BO96" s="276"/>
      <c r="BP96" s="277"/>
      <c r="BQ96" s="156"/>
      <c r="BR96" s="274"/>
      <c r="BS96" s="270"/>
      <c r="BT96" s="270"/>
      <c r="BU96" s="274"/>
      <c r="BV96" s="274"/>
      <c r="BW96" s="278"/>
      <c r="BX96" s="278"/>
      <c r="BY96" s="278"/>
      <c r="BZ96" s="351"/>
    </row>
    <row r="97" spans="1:78" s="90" customFormat="1" ht="19.5" hidden="1" customHeight="1">
      <c r="A97" s="137"/>
      <c r="B97" s="197">
        <f t="shared" si="4"/>
        <v>87</v>
      </c>
      <c r="C97" s="30" t="s">
        <v>206</v>
      </c>
      <c r="D97" s="30" t="s">
        <v>225</v>
      </c>
      <c r="E97" s="234" t="s">
        <v>716</v>
      </c>
      <c r="F97" s="235" t="s">
        <v>1225</v>
      </c>
      <c r="G97" s="284">
        <f>IFERROR(VLOOKUP(E97,Assign!$C$2:$J$142,8,FALSE),)</f>
        <v>0</v>
      </c>
      <c r="H97" s="361" t="s">
        <v>4469</v>
      </c>
      <c r="I97" s="363">
        <v>1</v>
      </c>
      <c r="J97" s="364" t="s">
        <v>208</v>
      </c>
      <c r="K97" s="364" t="s">
        <v>234</v>
      </c>
      <c r="L97" s="365" t="s">
        <v>317</v>
      </c>
      <c r="M97" s="362" t="s">
        <v>3117</v>
      </c>
      <c r="N97" s="421" t="s">
        <v>546</v>
      </c>
      <c r="O97" s="269">
        <v>33.293199999999999</v>
      </c>
      <c r="P97" s="269">
        <v>109.2</v>
      </c>
      <c r="Q97" s="426"/>
      <c r="R97" s="418" t="s">
        <v>3482</v>
      </c>
      <c r="S97" s="427" t="s">
        <v>613</v>
      </c>
      <c r="T97" s="357">
        <v>1</v>
      </c>
      <c r="U97" s="357" t="s">
        <v>204</v>
      </c>
      <c r="V97" s="367">
        <v>300000000</v>
      </c>
      <c r="W97" s="368">
        <v>300000000</v>
      </c>
      <c r="X97" s="357"/>
      <c r="Y97" s="357"/>
      <c r="Z97" s="400"/>
      <c r="AA97" s="369"/>
      <c r="AB97" s="370"/>
      <c r="AC97" s="404"/>
      <c r="AD97" s="270"/>
      <c r="AE97" s="156"/>
      <c r="AF97" s="156"/>
      <c r="AG97" s="357"/>
      <c r="AH97" s="357"/>
      <c r="AI97" s="357"/>
      <c r="AJ97" s="156"/>
      <c r="AK97" s="156"/>
      <c r="AL97" s="375"/>
      <c r="AM97" s="405"/>
      <c r="AN97" s="273"/>
      <c r="AO97" s="405"/>
      <c r="AP97" s="273"/>
      <c r="AQ97" s="273"/>
      <c r="AR97" s="273"/>
      <c r="AS97" s="273"/>
      <c r="AT97" s="273"/>
      <c r="AU97" s="273"/>
      <c r="AV97" s="322">
        <f t="shared" si="5"/>
        <v>0</v>
      </c>
      <c r="AW97" s="402"/>
      <c r="AX97" s="274"/>
      <c r="AY97" s="270"/>
      <c r="AZ97" s="156"/>
      <c r="BA97" s="156"/>
      <c r="BB97" s="156"/>
      <c r="BC97" s="156"/>
      <c r="BD97" s="353">
        <f t="shared" si="6"/>
        <v>0</v>
      </c>
      <c r="BE97" s="432" t="s">
        <v>355</v>
      </c>
      <c r="BF97" s="407" t="s">
        <v>504</v>
      </c>
      <c r="BG97" s="168"/>
      <c r="BH97" s="274"/>
      <c r="BI97" s="168"/>
      <c r="BJ97" s="274"/>
      <c r="BK97" s="168"/>
      <c r="BL97" s="275"/>
      <c r="BM97" s="276"/>
      <c r="BN97" s="275"/>
      <c r="BO97" s="276"/>
      <c r="BP97" s="277"/>
      <c r="BQ97" s="156"/>
      <c r="BR97" s="274"/>
      <c r="BS97" s="270"/>
      <c r="BT97" s="270"/>
      <c r="BU97" s="274"/>
      <c r="BV97" s="274"/>
      <c r="BW97" s="278"/>
      <c r="BX97" s="278"/>
      <c r="BY97" s="278"/>
      <c r="BZ97" s="351"/>
    </row>
    <row r="98" spans="1:78" s="90" customFormat="1" ht="19.5" hidden="1" customHeight="1">
      <c r="A98" s="137"/>
      <c r="B98" s="197">
        <f t="shared" si="4"/>
        <v>88</v>
      </c>
      <c r="C98" s="30" t="s">
        <v>206</v>
      </c>
      <c r="D98" s="30" t="s">
        <v>225</v>
      </c>
      <c r="E98" s="234" t="s">
        <v>716</v>
      </c>
      <c r="F98" s="235" t="s">
        <v>1225</v>
      </c>
      <c r="G98" s="284">
        <f>IFERROR(VLOOKUP(E98,Assign!$C$2:$J$142,8,FALSE),)</f>
        <v>0</v>
      </c>
      <c r="H98" s="361" t="s">
        <v>4472</v>
      </c>
      <c r="I98" s="363">
        <v>2</v>
      </c>
      <c r="J98" s="364" t="s">
        <v>208</v>
      </c>
      <c r="K98" s="364" t="s">
        <v>236</v>
      </c>
      <c r="L98" s="365" t="s">
        <v>267</v>
      </c>
      <c r="M98" s="362" t="s">
        <v>2016</v>
      </c>
      <c r="N98" s="421" t="s">
        <v>207</v>
      </c>
      <c r="O98" s="269">
        <v>49.121000000000002</v>
      </c>
      <c r="P98" s="269">
        <v>134.63999999999999</v>
      </c>
      <c r="Q98" s="426"/>
      <c r="R98" s="418" t="s">
        <v>3397</v>
      </c>
      <c r="S98" s="427" t="s">
        <v>613</v>
      </c>
      <c r="T98" s="357">
        <v>3</v>
      </c>
      <c r="U98" s="357" t="s">
        <v>204</v>
      </c>
      <c r="V98" s="367">
        <v>80400000</v>
      </c>
      <c r="W98" s="368">
        <v>80400000</v>
      </c>
      <c r="X98" s="357"/>
      <c r="Y98" s="357"/>
      <c r="Z98" s="400"/>
      <c r="AA98" s="369"/>
      <c r="AB98" s="370"/>
      <c r="AC98" s="404" t="s">
        <v>229</v>
      </c>
      <c r="AD98" s="270" t="s">
        <v>204</v>
      </c>
      <c r="AE98" s="156">
        <v>444000000</v>
      </c>
      <c r="AF98" s="156">
        <v>444000000</v>
      </c>
      <c r="AG98" s="357"/>
      <c r="AH98" s="357"/>
      <c r="AI98" s="357"/>
      <c r="AJ98" s="156"/>
      <c r="AK98" s="156"/>
      <c r="AL98" s="375"/>
      <c r="AM98" s="405"/>
      <c r="AN98" s="273"/>
      <c r="AO98" s="405"/>
      <c r="AP98" s="273"/>
      <c r="AQ98" s="273"/>
      <c r="AR98" s="273"/>
      <c r="AS98" s="273"/>
      <c r="AT98" s="273"/>
      <c r="AU98" s="273"/>
      <c r="AV98" s="322">
        <f t="shared" si="5"/>
        <v>0</v>
      </c>
      <c r="AW98" s="402" t="s">
        <v>3387</v>
      </c>
      <c r="AX98" s="376">
        <v>45765</v>
      </c>
      <c r="AY98" s="373" t="s">
        <v>3388</v>
      </c>
      <c r="AZ98" s="375"/>
      <c r="BA98" s="375">
        <v>945000000</v>
      </c>
      <c r="BB98" s="156"/>
      <c r="BC98" s="156"/>
      <c r="BD98" s="353">
        <f t="shared" si="6"/>
        <v>945000000</v>
      </c>
      <c r="BE98" s="432" t="s">
        <v>355</v>
      </c>
      <c r="BF98" s="407" t="s">
        <v>504</v>
      </c>
      <c r="BG98" s="168"/>
      <c r="BH98" s="274"/>
      <c r="BI98" s="168"/>
      <c r="BJ98" s="274"/>
      <c r="BK98" s="168"/>
      <c r="BL98" s="275"/>
      <c r="BM98" s="276"/>
      <c r="BN98" s="275"/>
      <c r="BO98" s="276"/>
      <c r="BP98" s="277"/>
      <c r="BQ98" s="156"/>
      <c r="BR98" s="274"/>
      <c r="BS98" s="270"/>
      <c r="BT98" s="270"/>
      <c r="BU98" s="274"/>
      <c r="BV98" s="274"/>
      <c r="BW98" s="278"/>
      <c r="BX98" s="278"/>
      <c r="BY98" s="278"/>
      <c r="BZ98" s="351"/>
    </row>
    <row r="99" spans="1:78" s="90" customFormat="1" ht="19.5" hidden="1" customHeight="1">
      <c r="A99" s="137"/>
      <c r="B99" s="197">
        <f t="shared" si="4"/>
        <v>89</v>
      </c>
      <c r="C99" s="30" t="s">
        <v>206</v>
      </c>
      <c r="D99" s="30" t="s">
        <v>225</v>
      </c>
      <c r="E99" s="234" t="s">
        <v>717</v>
      </c>
      <c r="F99" s="235" t="s">
        <v>1225</v>
      </c>
      <c r="G99" s="284">
        <f>IFERROR(VLOOKUP(E99,Assign!$C$2:$J$142,8,FALSE),)</f>
        <v>0</v>
      </c>
      <c r="H99" s="361" t="s">
        <v>4797</v>
      </c>
      <c r="I99" s="363">
        <v>1</v>
      </c>
      <c r="J99" s="364" t="s">
        <v>209</v>
      </c>
      <c r="K99" s="364" t="s">
        <v>305</v>
      </c>
      <c r="L99" s="365" t="s">
        <v>306</v>
      </c>
      <c r="M99" s="362" t="s">
        <v>2328</v>
      </c>
      <c r="N99" s="421" t="s">
        <v>606</v>
      </c>
      <c r="O99" s="269">
        <v>33.049999999999997</v>
      </c>
      <c r="P99" s="269">
        <v>55.94</v>
      </c>
      <c r="Q99" s="426"/>
      <c r="R99" s="418" t="s">
        <v>717</v>
      </c>
      <c r="S99" s="427" t="s">
        <v>613</v>
      </c>
      <c r="T99" s="357">
        <v>1</v>
      </c>
      <c r="U99" s="357" t="s">
        <v>204</v>
      </c>
      <c r="V99" s="367">
        <v>236400000</v>
      </c>
      <c r="W99" s="368">
        <v>236400000</v>
      </c>
      <c r="X99" s="357"/>
      <c r="Y99" s="357"/>
      <c r="Z99" s="400"/>
      <c r="AA99" s="369"/>
      <c r="AB99" s="370"/>
      <c r="AC99" s="404"/>
      <c r="AD99" s="270"/>
      <c r="AE99" s="156"/>
      <c r="AF99" s="156"/>
      <c r="AG99" s="357"/>
      <c r="AH99" s="357"/>
      <c r="AI99" s="357"/>
      <c r="AJ99" s="156"/>
      <c r="AK99" s="156"/>
      <c r="AL99" s="375"/>
      <c r="AM99" s="405"/>
      <c r="AN99" s="273"/>
      <c r="AO99" s="405"/>
      <c r="AP99" s="273"/>
      <c r="AQ99" s="273"/>
      <c r="AR99" s="273"/>
      <c r="AS99" s="273"/>
      <c r="AT99" s="273"/>
      <c r="AU99" s="273"/>
      <c r="AV99" s="322">
        <f t="shared" si="5"/>
        <v>0</v>
      </c>
      <c r="AW99" s="402"/>
      <c r="AX99" s="274"/>
      <c r="AY99" s="270"/>
      <c r="AZ99" s="156"/>
      <c r="BA99" s="156"/>
      <c r="BB99" s="156"/>
      <c r="BC99" s="156"/>
      <c r="BD99" s="353">
        <f t="shared" si="6"/>
        <v>0</v>
      </c>
      <c r="BE99" s="432" t="s">
        <v>355</v>
      </c>
      <c r="BF99" s="407" t="s">
        <v>510</v>
      </c>
      <c r="BG99" s="168"/>
      <c r="BH99" s="274"/>
      <c r="BI99" s="168"/>
      <c r="BJ99" s="274"/>
      <c r="BK99" s="168"/>
      <c r="BL99" s="275"/>
      <c r="BM99" s="276"/>
      <c r="BN99" s="275"/>
      <c r="BO99" s="276"/>
      <c r="BP99" s="277"/>
      <c r="BQ99" s="156"/>
      <c r="BR99" s="274"/>
      <c r="BS99" s="270"/>
      <c r="BT99" s="270"/>
      <c r="BU99" s="274"/>
      <c r="BV99" s="274"/>
      <c r="BW99" s="278"/>
      <c r="BX99" s="278"/>
      <c r="BY99" s="278"/>
      <c r="BZ99" s="351"/>
    </row>
    <row r="100" spans="1:78" s="90" customFormat="1" ht="19.5" hidden="1" customHeight="1">
      <c r="A100" s="137"/>
      <c r="B100" s="197">
        <f t="shared" si="4"/>
        <v>90</v>
      </c>
      <c r="C100" s="30" t="s">
        <v>206</v>
      </c>
      <c r="D100" s="30" t="s">
        <v>225</v>
      </c>
      <c r="E100" s="234" t="s">
        <v>717</v>
      </c>
      <c r="F100" s="235" t="s">
        <v>1225</v>
      </c>
      <c r="G100" s="284">
        <f>IFERROR(VLOOKUP(E100,Assign!$C$2:$J$142,8,FALSE),)</f>
        <v>0</v>
      </c>
      <c r="H100" s="361" t="s">
        <v>4799</v>
      </c>
      <c r="I100" s="363">
        <v>2</v>
      </c>
      <c r="J100" s="364" t="s">
        <v>209</v>
      </c>
      <c r="K100" s="364" t="s">
        <v>305</v>
      </c>
      <c r="L100" s="365" t="s">
        <v>306</v>
      </c>
      <c r="M100" s="362" t="s">
        <v>3730</v>
      </c>
      <c r="N100" s="421" t="s">
        <v>3731</v>
      </c>
      <c r="O100" s="269"/>
      <c r="P100" s="269"/>
      <c r="Q100" s="426">
        <v>11</v>
      </c>
      <c r="R100" s="418" t="s">
        <v>717</v>
      </c>
      <c r="S100" s="427" t="s">
        <v>3849</v>
      </c>
      <c r="T100" s="357">
        <v>1</v>
      </c>
      <c r="U100" s="357" t="s">
        <v>204</v>
      </c>
      <c r="V100" s="367">
        <v>600000000</v>
      </c>
      <c r="W100" s="368">
        <v>600000000</v>
      </c>
      <c r="X100" s="357"/>
      <c r="Y100" s="357"/>
      <c r="Z100" s="400"/>
      <c r="AA100" s="369"/>
      <c r="AB100" s="370"/>
      <c r="AC100" s="404"/>
      <c r="AD100" s="270"/>
      <c r="AE100" s="156"/>
      <c r="AF100" s="156"/>
      <c r="AG100" s="357"/>
      <c r="AH100" s="357"/>
      <c r="AI100" s="357"/>
      <c r="AJ100" s="156"/>
      <c r="AK100" s="156"/>
      <c r="AL100" s="375"/>
      <c r="AM100" s="405"/>
      <c r="AN100" s="273"/>
      <c r="AO100" s="405"/>
      <c r="AP100" s="273"/>
      <c r="AQ100" s="273"/>
      <c r="AR100" s="273"/>
      <c r="AS100" s="273"/>
      <c r="AT100" s="273"/>
      <c r="AU100" s="273"/>
      <c r="AV100" s="322">
        <f t="shared" si="5"/>
        <v>0</v>
      </c>
      <c r="AW100" s="402"/>
      <c r="AX100" s="376"/>
      <c r="AY100" s="373"/>
      <c r="AZ100" s="375"/>
      <c r="BA100" s="375"/>
      <c r="BB100" s="375"/>
      <c r="BC100" s="375"/>
      <c r="BD100" s="353">
        <f t="shared" si="6"/>
        <v>0</v>
      </c>
      <c r="BE100" s="432" t="s">
        <v>355</v>
      </c>
      <c r="BF100" s="407" t="s">
        <v>510</v>
      </c>
      <c r="BG100" s="168"/>
      <c r="BH100" s="274"/>
      <c r="BI100" s="168"/>
      <c r="BJ100" s="274"/>
      <c r="BK100" s="168"/>
      <c r="BL100" s="275"/>
      <c r="BM100" s="276"/>
      <c r="BN100" s="275"/>
      <c r="BO100" s="276"/>
      <c r="BP100" s="277"/>
      <c r="BQ100" s="156"/>
      <c r="BR100" s="274"/>
      <c r="BS100" s="270"/>
      <c r="BT100" s="270"/>
      <c r="BU100" s="274"/>
      <c r="BV100" s="274"/>
      <c r="BW100" s="278"/>
      <c r="BX100" s="278"/>
      <c r="BY100" s="278"/>
      <c r="BZ100" s="351"/>
    </row>
    <row r="101" spans="1:78" s="90" customFormat="1" ht="19.5" hidden="1" customHeight="1">
      <c r="A101" s="137"/>
      <c r="B101" s="197">
        <f t="shared" si="4"/>
        <v>91</v>
      </c>
      <c r="C101" s="30" t="s">
        <v>206</v>
      </c>
      <c r="D101" s="30" t="s">
        <v>225</v>
      </c>
      <c r="E101" s="234" t="s">
        <v>718</v>
      </c>
      <c r="F101" s="235" t="s">
        <v>1229</v>
      </c>
      <c r="G101" s="284" t="str">
        <f>IFERROR(VLOOKUP(E101,Assign!$C$2:$J$142,8,FALSE),)</f>
        <v>문선영</v>
      </c>
      <c r="H101" s="361" t="s">
        <v>4370</v>
      </c>
      <c r="I101" s="363">
        <v>1</v>
      </c>
      <c r="J101" s="364" t="s">
        <v>208</v>
      </c>
      <c r="K101" s="364" t="s">
        <v>228</v>
      </c>
      <c r="L101" s="365" t="s">
        <v>1925</v>
      </c>
      <c r="M101" s="362" t="s">
        <v>1926</v>
      </c>
      <c r="N101" s="421" t="s">
        <v>606</v>
      </c>
      <c r="O101" s="269">
        <v>108</v>
      </c>
      <c r="P101" s="269">
        <v>76.655000000000001</v>
      </c>
      <c r="Q101" s="426"/>
      <c r="R101" s="418" t="s">
        <v>718</v>
      </c>
      <c r="S101" s="427" t="s">
        <v>613</v>
      </c>
      <c r="T101" s="357">
        <v>1</v>
      </c>
      <c r="U101" s="357" t="s">
        <v>204</v>
      </c>
      <c r="V101" s="367">
        <v>630000000</v>
      </c>
      <c r="W101" s="368">
        <v>630000000</v>
      </c>
      <c r="X101" s="357">
        <v>2</v>
      </c>
      <c r="Y101" s="357">
        <v>1</v>
      </c>
      <c r="Z101" s="400" t="s">
        <v>3206</v>
      </c>
      <c r="AA101" s="369">
        <v>630000000</v>
      </c>
      <c r="AB101" s="370">
        <v>630000000</v>
      </c>
      <c r="AC101" s="404"/>
      <c r="AD101" s="270"/>
      <c r="AE101" s="156"/>
      <c r="AF101" s="156"/>
      <c r="AG101" s="357"/>
      <c r="AH101" s="357"/>
      <c r="AI101" s="357"/>
      <c r="AJ101" s="156"/>
      <c r="AK101" s="156"/>
      <c r="AL101" s="375"/>
      <c r="AM101" s="405"/>
      <c r="AN101" s="273"/>
      <c r="AO101" s="405"/>
      <c r="AP101" s="273"/>
      <c r="AQ101" s="273"/>
      <c r="AR101" s="273"/>
      <c r="AS101" s="273"/>
      <c r="AT101" s="273"/>
      <c r="AU101" s="273"/>
      <c r="AV101" s="322">
        <f t="shared" si="5"/>
        <v>0</v>
      </c>
      <c r="AW101" s="402"/>
      <c r="AX101" s="274"/>
      <c r="AY101" s="270"/>
      <c r="AZ101" s="156"/>
      <c r="BA101" s="156"/>
      <c r="BB101" s="156"/>
      <c r="BC101" s="156"/>
      <c r="BD101" s="353">
        <f t="shared" si="6"/>
        <v>0</v>
      </c>
      <c r="BE101" s="432" t="s">
        <v>355</v>
      </c>
      <c r="BF101" s="407" t="s">
        <v>424</v>
      </c>
      <c r="BG101" s="168"/>
      <c r="BH101" s="274"/>
      <c r="BI101" s="168"/>
      <c r="BJ101" s="274"/>
      <c r="BK101" s="168"/>
      <c r="BL101" s="275"/>
      <c r="BM101" s="276"/>
      <c r="BN101" s="275"/>
      <c r="BO101" s="276"/>
      <c r="BP101" s="277"/>
      <c r="BQ101" s="156"/>
      <c r="BR101" s="274"/>
      <c r="BS101" s="270"/>
      <c r="BT101" s="270"/>
      <c r="BU101" s="274"/>
      <c r="BV101" s="274"/>
      <c r="BW101" s="278"/>
      <c r="BX101" s="278"/>
      <c r="BY101" s="278"/>
      <c r="BZ101" s="351"/>
    </row>
    <row r="102" spans="1:78" s="90" customFormat="1" ht="19.5" hidden="1" customHeight="1">
      <c r="A102" s="137"/>
      <c r="B102" s="197">
        <f t="shared" si="4"/>
        <v>92</v>
      </c>
      <c r="C102" s="30" t="s">
        <v>206</v>
      </c>
      <c r="D102" s="30" t="s">
        <v>225</v>
      </c>
      <c r="E102" s="234" t="s">
        <v>718</v>
      </c>
      <c r="F102" s="235" t="s">
        <v>1229</v>
      </c>
      <c r="G102" s="284" t="str">
        <f>IFERROR(VLOOKUP(E102,Assign!$C$2:$J$142,8,FALSE),)</f>
        <v>문선영</v>
      </c>
      <c r="H102" s="361" t="s">
        <v>4372</v>
      </c>
      <c r="I102" s="363">
        <v>2</v>
      </c>
      <c r="J102" s="364" t="s">
        <v>208</v>
      </c>
      <c r="K102" s="364" t="s">
        <v>228</v>
      </c>
      <c r="L102" s="365" t="s">
        <v>1925</v>
      </c>
      <c r="M102" s="362" t="s">
        <v>1927</v>
      </c>
      <c r="N102" s="421" t="s">
        <v>606</v>
      </c>
      <c r="O102" s="269">
        <v>108</v>
      </c>
      <c r="P102" s="269">
        <v>76.655000000000001</v>
      </c>
      <c r="Q102" s="426"/>
      <c r="R102" s="418" t="s">
        <v>718</v>
      </c>
      <c r="S102" s="427" t="s">
        <v>613</v>
      </c>
      <c r="T102" s="357">
        <v>1</v>
      </c>
      <c r="U102" s="357" t="s">
        <v>204</v>
      </c>
      <c r="V102" s="367">
        <v>630000000</v>
      </c>
      <c r="W102" s="368">
        <v>630000000</v>
      </c>
      <c r="X102" s="357">
        <v>1</v>
      </c>
      <c r="Y102" s="357">
        <v>1</v>
      </c>
      <c r="Z102" s="400" t="s">
        <v>3206</v>
      </c>
      <c r="AA102" s="369">
        <v>630000000</v>
      </c>
      <c r="AB102" s="370">
        <v>630000000</v>
      </c>
      <c r="AC102" s="404"/>
      <c r="AD102" s="270"/>
      <c r="AE102" s="156"/>
      <c r="AF102" s="156"/>
      <c r="AG102" s="357"/>
      <c r="AH102" s="357"/>
      <c r="AI102" s="357"/>
      <c r="AJ102" s="156"/>
      <c r="AK102" s="156"/>
      <c r="AL102" s="375"/>
      <c r="AM102" s="405"/>
      <c r="AN102" s="273"/>
      <c r="AO102" s="405"/>
      <c r="AP102" s="273"/>
      <c r="AQ102" s="273"/>
      <c r="AR102" s="273"/>
      <c r="AS102" s="273"/>
      <c r="AT102" s="273"/>
      <c r="AU102" s="273"/>
      <c r="AV102" s="322">
        <f t="shared" si="5"/>
        <v>0</v>
      </c>
      <c r="AW102" s="402"/>
      <c r="AX102" s="376"/>
      <c r="AY102" s="373"/>
      <c r="AZ102" s="375"/>
      <c r="BA102" s="375"/>
      <c r="BB102" s="156"/>
      <c r="BC102" s="156"/>
      <c r="BD102" s="353">
        <f t="shared" si="6"/>
        <v>0</v>
      </c>
      <c r="BE102" s="432" t="s">
        <v>355</v>
      </c>
      <c r="BF102" s="407" t="s">
        <v>424</v>
      </c>
      <c r="BG102" s="168"/>
      <c r="BH102" s="274"/>
      <c r="BI102" s="168"/>
      <c r="BJ102" s="274"/>
      <c r="BK102" s="168"/>
      <c r="BL102" s="275"/>
      <c r="BM102" s="276"/>
      <c r="BN102" s="275"/>
      <c r="BO102" s="276"/>
      <c r="BP102" s="277"/>
      <c r="BQ102" s="156"/>
      <c r="BR102" s="274"/>
      <c r="BS102" s="270"/>
      <c r="BT102" s="270"/>
      <c r="BU102" s="274"/>
      <c r="BV102" s="274"/>
      <c r="BW102" s="278"/>
      <c r="BX102" s="278"/>
      <c r="BY102" s="278"/>
      <c r="BZ102" s="351"/>
    </row>
    <row r="103" spans="1:78" s="90" customFormat="1" ht="19.5" hidden="1" customHeight="1">
      <c r="A103" s="137"/>
      <c r="B103" s="197">
        <f t="shared" si="4"/>
        <v>93</v>
      </c>
      <c r="C103" s="30" t="s">
        <v>206</v>
      </c>
      <c r="D103" s="30" t="s">
        <v>225</v>
      </c>
      <c r="E103" s="234" t="s">
        <v>719</v>
      </c>
      <c r="F103" s="235" t="s">
        <v>1225</v>
      </c>
      <c r="G103" s="284" t="str">
        <f>IFERROR(VLOOKUP(E103,Assign!$C$2:$J$142,8,FALSE),)</f>
        <v>문선영</v>
      </c>
      <c r="H103" s="361" t="s">
        <v>4183</v>
      </c>
      <c r="I103" s="363">
        <v>1</v>
      </c>
      <c r="J103" s="364" t="s">
        <v>208</v>
      </c>
      <c r="K103" s="364" t="s">
        <v>394</v>
      </c>
      <c r="L103" s="365" t="s">
        <v>1757</v>
      </c>
      <c r="M103" s="362" t="s">
        <v>1758</v>
      </c>
      <c r="N103" s="421" t="s">
        <v>546</v>
      </c>
      <c r="O103" s="269">
        <v>11.155099999999999</v>
      </c>
      <c r="P103" s="269">
        <v>36.426000000000002</v>
      </c>
      <c r="Q103" s="426"/>
      <c r="R103" s="418" t="s">
        <v>719</v>
      </c>
      <c r="S103" s="427" t="s">
        <v>613</v>
      </c>
      <c r="T103" s="357">
        <v>1</v>
      </c>
      <c r="U103" s="357" t="s">
        <v>204</v>
      </c>
      <c r="V103" s="367">
        <v>157500000</v>
      </c>
      <c r="W103" s="368">
        <v>157500000</v>
      </c>
      <c r="X103" s="357"/>
      <c r="Y103" s="357"/>
      <c r="Z103" s="400"/>
      <c r="AA103" s="369"/>
      <c r="AB103" s="370"/>
      <c r="AC103" s="404"/>
      <c r="AD103" s="270"/>
      <c r="AE103" s="156"/>
      <c r="AF103" s="156"/>
      <c r="AG103" s="357"/>
      <c r="AH103" s="357"/>
      <c r="AI103" s="357"/>
      <c r="AJ103" s="156"/>
      <c r="AK103" s="156"/>
      <c r="AL103" s="375"/>
      <c r="AM103" s="405"/>
      <c r="AN103" s="273"/>
      <c r="AO103" s="405"/>
      <c r="AP103" s="273"/>
      <c r="AQ103" s="273"/>
      <c r="AR103" s="273"/>
      <c r="AS103" s="273"/>
      <c r="AT103" s="273"/>
      <c r="AU103" s="273"/>
      <c r="AV103" s="322">
        <f t="shared" si="5"/>
        <v>0</v>
      </c>
      <c r="AW103" s="402"/>
      <c r="AX103" s="376"/>
      <c r="AY103" s="373"/>
      <c r="AZ103" s="375"/>
      <c r="BA103" s="375"/>
      <c r="BB103" s="375"/>
      <c r="BC103" s="375"/>
      <c r="BD103" s="353">
        <f t="shared" si="6"/>
        <v>0</v>
      </c>
      <c r="BE103" s="432" t="s">
        <v>355</v>
      </c>
      <c r="BF103" s="407" t="s">
        <v>506</v>
      </c>
      <c r="BG103" s="168"/>
      <c r="BH103" s="274"/>
      <c r="BI103" s="168"/>
      <c r="BJ103" s="274"/>
      <c r="BK103" s="168"/>
      <c r="BL103" s="275"/>
      <c r="BM103" s="276"/>
      <c r="BN103" s="275"/>
      <c r="BO103" s="276"/>
      <c r="BP103" s="277"/>
      <c r="BQ103" s="156"/>
      <c r="BR103" s="274"/>
      <c r="BS103" s="270"/>
      <c r="BT103" s="270"/>
      <c r="BU103" s="274"/>
      <c r="BV103" s="274"/>
      <c r="BW103" s="278"/>
      <c r="BX103" s="278"/>
      <c r="BY103" s="278"/>
      <c r="BZ103" s="351"/>
    </row>
    <row r="104" spans="1:78" s="90" customFormat="1" ht="19.5" hidden="1" customHeight="1">
      <c r="A104" s="137"/>
      <c r="B104" s="197">
        <f t="shared" si="4"/>
        <v>94</v>
      </c>
      <c r="C104" s="30" t="s">
        <v>206</v>
      </c>
      <c r="D104" s="30" t="s">
        <v>225</v>
      </c>
      <c r="E104" s="234" t="s">
        <v>719</v>
      </c>
      <c r="F104" s="235" t="s">
        <v>1225</v>
      </c>
      <c r="G104" s="284" t="str">
        <f>IFERROR(VLOOKUP(E104,Assign!$C$2:$J$142,8,FALSE),)</f>
        <v>문선영</v>
      </c>
      <c r="H104" s="361" t="s">
        <v>4185</v>
      </c>
      <c r="I104" s="363">
        <v>2</v>
      </c>
      <c r="J104" s="364" t="s">
        <v>208</v>
      </c>
      <c r="K104" s="364" t="s">
        <v>394</v>
      </c>
      <c r="L104" s="365" t="s">
        <v>1757</v>
      </c>
      <c r="M104" s="362" t="s">
        <v>1760</v>
      </c>
      <c r="N104" s="421" t="s">
        <v>546</v>
      </c>
      <c r="O104" s="269">
        <v>11.155099999999999</v>
      </c>
      <c r="P104" s="269">
        <v>36.426000000000002</v>
      </c>
      <c r="Q104" s="426"/>
      <c r="R104" s="418" t="s">
        <v>719</v>
      </c>
      <c r="S104" s="427" t="s">
        <v>613</v>
      </c>
      <c r="T104" s="357">
        <v>1</v>
      </c>
      <c r="U104" s="357" t="s">
        <v>204</v>
      </c>
      <c r="V104" s="367">
        <v>157500000</v>
      </c>
      <c r="W104" s="368">
        <v>157500000</v>
      </c>
      <c r="X104" s="357"/>
      <c r="Y104" s="357"/>
      <c r="Z104" s="400"/>
      <c r="AA104" s="369"/>
      <c r="AB104" s="370"/>
      <c r="AC104" s="404"/>
      <c r="AD104" s="270"/>
      <c r="AE104" s="156"/>
      <c r="AF104" s="156"/>
      <c r="AG104" s="357"/>
      <c r="AH104" s="357"/>
      <c r="AI104" s="357"/>
      <c r="AJ104" s="156"/>
      <c r="AK104" s="156"/>
      <c r="AL104" s="375"/>
      <c r="AM104" s="405"/>
      <c r="AN104" s="273"/>
      <c r="AO104" s="405"/>
      <c r="AP104" s="273"/>
      <c r="AQ104" s="273"/>
      <c r="AR104" s="273"/>
      <c r="AS104" s="273"/>
      <c r="AT104" s="273"/>
      <c r="AU104" s="273"/>
      <c r="AV104" s="322">
        <f t="shared" si="5"/>
        <v>0</v>
      </c>
      <c r="AW104" s="402"/>
      <c r="AX104" s="376"/>
      <c r="AY104" s="373"/>
      <c r="AZ104" s="375"/>
      <c r="BA104" s="375"/>
      <c r="BB104" s="375"/>
      <c r="BC104" s="375"/>
      <c r="BD104" s="353">
        <f t="shared" si="6"/>
        <v>0</v>
      </c>
      <c r="BE104" s="432" t="s">
        <v>355</v>
      </c>
      <c r="BF104" s="407" t="s">
        <v>506</v>
      </c>
      <c r="BG104" s="168"/>
      <c r="BH104" s="274"/>
      <c r="BI104" s="168"/>
      <c r="BJ104" s="274"/>
      <c r="BK104" s="168"/>
      <c r="BL104" s="275"/>
      <c r="BM104" s="276"/>
      <c r="BN104" s="275"/>
      <c r="BO104" s="276"/>
      <c r="BP104" s="277"/>
      <c r="BQ104" s="156"/>
      <c r="BR104" s="274"/>
      <c r="BS104" s="270"/>
      <c r="BT104" s="270"/>
      <c r="BU104" s="274"/>
      <c r="BV104" s="274"/>
      <c r="BW104" s="278"/>
      <c r="BX104" s="278"/>
      <c r="BY104" s="278"/>
      <c r="BZ104" s="351"/>
    </row>
    <row r="105" spans="1:78" s="90" customFormat="1" ht="19.5" hidden="1" customHeight="1">
      <c r="A105" s="137"/>
      <c r="B105" s="197">
        <f t="shared" si="4"/>
        <v>95</v>
      </c>
      <c r="C105" s="30" t="s">
        <v>206</v>
      </c>
      <c r="D105" s="30" t="s">
        <v>225</v>
      </c>
      <c r="E105" s="234" t="s">
        <v>720</v>
      </c>
      <c r="F105" s="235" t="s">
        <v>1225</v>
      </c>
      <c r="G105" s="284">
        <f>IFERROR(VLOOKUP(E105,Assign!$C$2:$J$142,8,FALSE),)</f>
        <v>0</v>
      </c>
      <c r="H105" s="361" t="s">
        <v>4382</v>
      </c>
      <c r="I105" s="363">
        <v>1</v>
      </c>
      <c r="J105" s="364" t="s">
        <v>209</v>
      </c>
      <c r="K105" s="364" t="s">
        <v>305</v>
      </c>
      <c r="L105" s="365" t="s">
        <v>306</v>
      </c>
      <c r="M105" s="362" t="s">
        <v>1938</v>
      </c>
      <c r="N105" s="421" t="s">
        <v>207</v>
      </c>
      <c r="O105" s="269">
        <v>49.75</v>
      </c>
      <c r="P105" s="269">
        <v>84.99</v>
      </c>
      <c r="Q105" s="426"/>
      <c r="R105" s="418" t="s">
        <v>720</v>
      </c>
      <c r="S105" s="427" t="s">
        <v>613</v>
      </c>
      <c r="T105" s="357" t="s">
        <v>229</v>
      </c>
      <c r="U105" s="357" t="s">
        <v>204</v>
      </c>
      <c r="V105" s="367">
        <v>442600000</v>
      </c>
      <c r="W105" s="368">
        <v>442600000</v>
      </c>
      <c r="X105" s="357"/>
      <c r="Y105" s="357"/>
      <c r="Z105" s="400"/>
      <c r="AA105" s="369"/>
      <c r="AB105" s="370"/>
      <c r="AC105" s="404"/>
      <c r="AD105" s="270"/>
      <c r="AE105" s="156"/>
      <c r="AF105" s="156"/>
      <c r="AG105" s="357"/>
      <c r="AH105" s="357"/>
      <c r="AI105" s="357"/>
      <c r="AJ105" s="156"/>
      <c r="AK105" s="156"/>
      <c r="AL105" s="375"/>
      <c r="AM105" s="405"/>
      <c r="AN105" s="273"/>
      <c r="AO105" s="405"/>
      <c r="AP105" s="273"/>
      <c r="AQ105" s="273"/>
      <c r="AR105" s="273"/>
      <c r="AS105" s="273"/>
      <c r="AT105" s="273"/>
      <c r="AU105" s="273"/>
      <c r="AV105" s="322">
        <f t="shared" si="5"/>
        <v>0</v>
      </c>
      <c r="AW105" s="402" t="s">
        <v>3387</v>
      </c>
      <c r="AX105" s="376">
        <v>45765</v>
      </c>
      <c r="AY105" s="373" t="s">
        <v>3388</v>
      </c>
      <c r="AZ105" s="375"/>
      <c r="BA105" s="375">
        <v>780000000</v>
      </c>
      <c r="BB105" s="375"/>
      <c r="BC105" s="375"/>
      <c r="BD105" s="353">
        <f t="shared" si="6"/>
        <v>780000000</v>
      </c>
      <c r="BE105" s="432" t="s">
        <v>335</v>
      </c>
      <c r="BF105" s="407" t="s">
        <v>510</v>
      </c>
      <c r="BG105" s="168" t="s">
        <v>3315</v>
      </c>
      <c r="BH105" s="274">
        <v>45678</v>
      </c>
      <c r="BI105" s="168" t="s">
        <v>3297</v>
      </c>
      <c r="BJ105" s="274">
        <v>45750</v>
      </c>
      <c r="BK105" s="168">
        <v>88503646</v>
      </c>
      <c r="BL105" s="275"/>
      <c r="BM105" s="276"/>
      <c r="BN105" s="275"/>
      <c r="BO105" s="276"/>
      <c r="BP105" s="277"/>
      <c r="BQ105" s="156"/>
      <c r="BR105" s="274"/>
      <c r="BS105" s="270"/>
      <c r="BT105" s="270"/>
      <c r="BU105" s="274"/>
      <c r="BV105" s="274"/>
      <c r="BW105" s="278"/>
      <c r="BX105" s="278"/>
      <c r="BY105" s="278"/>
      <c r="BZ105" s="351"/>
    </row>
    <row r="106" spans="1:78" s="90" customFormat="1" ht="19.5" hidden="1" customHeight="1">
      <c r="A106" s="137"/>
      <c r="B106" s="197">
        <f t="shared" si="4"/>
        <v>96</v>
      </c>
      <c r="C106" s="30" t="s">
        <v>206</v>
      </c>
      <c r="D106" s="30" t="s">
        <v>225</v>
      </c>
      <c r="E106" s="234" t="s">
        <v>721</v>
      </c>
      <c r="F106" s="235" t="s">
        <v>1236</v>
      </c>
      <c r="G106" s="284">
        <f>IFERROR(VLOOKUP(E106,Assign!$C$2:$J$142,8,FALSE),)</f>
        <v>0</v>
      </c>
      <c r="H106" s="361" t="s">
        <v>4648</v>
      </c>
      <c r="I106" s="363">
        <v>1</v>
      </c>
      <c r="J106" s="364" t="s">
        <v>209</v>
      </c>
      <c r="K106" s="364" t="s">
        <v>231</v>
      </c>
      <c r="L106" s="365" t="s">
        <v>2181</v>
      </c>
      <c r="M106" s="362" t="s">
        <v>2182</v>
      </c>
      <c r="N106" s="421" t="s">
        <v>362</v>
      </c>
      <c r="O106" s="269">
        <v>5.88</v>
      </c>
      <c r="P106" s="269">
        <v>37.56</v>
      </c>
      <c r="Q106" s="426"/>
      <c r="R106" s="418" t="s">
        <v>721</v>
      </c>
      <c r="S106" s="427" t="s">
        <v>613</v>
      </c>
      <c r="T106" s="357">
        <v>1</v>
      </c>
      <c r="U106" s="357" t="s">
        <v>204</v>
      </c>
      <c r="V106" s="367">
        <v>360000000</v>
      </c>
      <c r="W106" s="368">
        <v>360000000</v>
      </c>
      <c r="X106" s="357"/>
      <c r="Y106" s="357"/>
      <c r="Z106" s="400"/>
      <c r="AA106" s="369"/>
      <c r="AB106" s="370"/>
      <c r="AC106" s="404"/>
      <c r="AD106" s="270"/>
      <c r="AE106" s="156"/>
      <c r="AF106" s="156"/>
      <c r="AG106" s="357"/>
      <c r="AH106" s="357"/>
      <c r="AI106" s="357"/>
      <c r="AJ106" s="156"/>
      <c r="AK106" s="156"/>
      <c r="AL106" s="375"/>
      <c r="AM106" s="405"/>
      <c r="AN106" s="273"/>
      <c r="AO106" s="405"/>
      <c r="AP106" s="273"/>
      <c r="AQ106" s="273"/>
      <c r="AR106" s="273"/>
      <c r="AS106" s="273"/>
      <c r="AT106" s="273"/>
      <c r="AU106" s="273"/>
      <c r="AV106" s="322">
        <f t="shared" si="5"/>
        <v>0</v>
      </c>
      <c r="AW106" s="402"/>
      <c r="AX106" s="376"/>
      <c r="AY106" s="373"/>
      <c r="AZ106" s="375"/>
      <c r="BA106" s="375"/>
      <c r="BB106" s="375"/>
      <c r="BC106" s="375"/>
      <c r="BD106" s="353">
        <f t="shared" si="6"/>
        <v>0</v>
      </c>
      <c r="BE106" s="432" t="s">
        <v>355</v>
      </c>
      <c r="BF106" s="407" t="s">
        <v>511</v>
      </c>
      <c r="BG106" s="168"/>
      <c r="BH106" s="274"/>
      <c r="BI106" s="168"/>
      <c r="BJ106" s="274"/>
      <c r="BK106" s="168"/>
      <c r="BL106" s="275"/>
      <c r="BM106" s="276"/>
      <c r="BN106" s="275"/>
      <c r="BO106" s="276"/>
      <c r="BP106" s="277"/>
      <c r="BQ106" s="156"/>
      <c r="BR106" s="274"/>
      <c r="BS106" s="270"/>
      <c r="BT106" s="270"/>
      <c r="BU106" s="274"/>
      <c r="BV106" s="274"/>
      <c r="BW106" s="278"/>
      <c r="BX106" s="278"/>
      <c r="BY106" s="278"/>
      <c r="BZ106" s="351"/>
    </row>
    <row r="107" spans="1:78" s="90" customFormat="1" ht="19.5" hidden="1" customHeight="1">
      <c r="A107" s="137"/>
      <c r="B107" s="197">
        <f t="shared" si="4"/>
        <v>97</v>
      </c>
      <c r="C107" s="30" t="s">
        <v>206</v>
      </c>
      <c r="D107" s="30" t="s">
        <v>225</v>
      </c>
      <c r="E107" s="234" t="s">
        <v>722</v>
      </c>
      <c r="F107" s="235" t="s">
        <v>1220</v>
      </c>
      <c r="G107" s="284">
        <f>IFERROR(VLOOKUP(E107,Assign!$C$2:$J$142,8,FALSE),)</f>
        <v>0</v>
      </c>
      <c r="H107" s="361" t="s">
        <v>4364</v>
      </c>
      <c r="I107" s="363">
        <v>1</v>
      </c>
      <c r="J107" s="364" t="s">
        <v>219</v>
      </c>
      <c r="K107" s="364" t="s">
        <v>313</v>
      </c>
      <c r="L107" s="365" t="s">
        <v>1921</v>
      </c>
      <c r="M107" s="362" t="s">
        <v>1922</v>
      </c>
      <c r="N107" s="421" t="s">
        <v>207</v>
      </c>
      <c r="O107" s="269">
        <v>47.670699999999997</v>
      </c>
      <c r="P107" s="269">
        <v>84.983599999999996</v>
      </c>
      <c r="Q107" s="426"/>
      <c r="R107" s="418" t="s">
        <v>722</v>
      </c>
      <c r="S107" s="427" t="s">
        <v>613</v>
      </c>
      <c r="T107" s="357">
        <v>1</v>
      </c>
      <c r="U107" s="357" t="s">
        <v>204</v>
      </c>
      <c r="V107" s="367">
        <v>346500000</v>
      </c>
      <c r="W107" s="368">
        <v>346500000</v>
      </c>
      <c r="X107" s="357"/>
      <c r="Y107" s="357"/>
      <c r="Z107" s="400"/>
      <c r="AA107" s="369"/>
      <c r="AB107" s="370"/>
      <c r="AC107" s="404"/>
      <c r="AD107" s="270"/>
      <c r="AE107" s="156"/>
      <c r="AF107" s="156"/>
      <c r="AG107" s="357"/>
      <c r="AH107" s="357"/>
      <c r="AI107" s="357"/>
      <c r="AJ107" s="156"/>
      <c r="AK107" s="156"/>
      <c r="AL107" s="375"/>
      <c r="AM107" s="405"/>
      <c r="AN107" s="273"/>
      <c r="AO107" s="405"/>
      <c r="AP107" s="273"/>
      <c r="AQ107" s="273"/>
      <c r="AR107" s="273"/>
      <c r="AS107" s="273"/>
      <c r="AT107" s="273"/>
      <c r="AU107" s="273"/>
      <c r="AV107" s="322">
        <f t="shared" si="5"/>
        <v>0</v>
      </c>
      <c r="AW107" s="402"/>
      <c r="AX107" s="376"/>
      <c r="AY107" s="373"/>
      <c r="AZ107" s="375"/>
      <c r="BA107" s="375"/>
      <c r="BB107" s="375"/>
      <c r="BC107" s="375"/>
      <c r="BD107" s="353">
        <f t="shared" si="6"/>
        <v>0</v>
      </c>
      <c r="BE107" s="432" t="s">
        <v>355</v>
      </c>
      <c r="BF107" s="407" t="s">
        <v>526</v>
      </c>
      <c r="BG107" s="168"/>
      <c r="BH107" s="274"/>
      <c r="BI107" s="168"/>
      <c r="BJ107" s="274"/>
      <c r="BK107" s="168"/>
      <c r="BL107" s="275"/>
      <c r="BM107" s="276"/>
      <c r="BN107" s="275"/>
      <c r="BO107" s="276"/>
      <c r="BP107" s="277"/>
      <c r="BQ107" s="156"/>
      <c r="BR107" s="274"/>
      <c r="BS107" s="270"/>
      <c r="BT107" s="270"/>
      <c r="BU107" s="274"/>
      <c r="BV107" s="274"/>
      <c r="BW107" s="278"/>
      <c r="BX107" s="278"/>
      <c r="BY107" s="278"/>
      <c r="BZ107" s="351"/>
    </row>
    <row r="108" spans="1:78" s="90" customFormat="1" ht="19.5" customHeight="1">
      <c r="A108" s="137"/>
      <c r="B108" s="197">
        <f t="shared" si="4"/>
        <v>98</v>
      </c>
      <c r="C108" s="30" t="s">
        <v>206</v>
      </c>
      <c r="D108" s="30" t="s">
        <v>225</v>
      </c>
      <c r="E108" s="234" t="s">
        <v>723</v>
      </c>
      <c r="F108" s="235" t="s">
        <v>1314</v>
      </c>
      <c r="G108" s="284" t="str">
        <f>IFERROR(VLOOKUP(E108,Assign!$C$2:$J$142,8,FALSE),)</f>
        <v>문선영</v>
      </c>
      <c r="H108" s="361" t="s">
        <v>5548</v>
      </c>
      <c r="I108" s="363">
        <v>1</v>
      </c>
      <c r="J108" s="364" t="s">
        <v>215</v>
      </c>
      <c r="K108" s="364" t="s">
        <v>277</v>
      </c>
      <c r="L108" s="365" t="s">
        <v>3019</v>
      </c>
      <c r="M108" s="362" t="s">
        <v>3020</v>
      </c>
      <c r="N108" s="421" t="s">
        <v>207</v>
      </c>
      <c r="O108" s="269">
        <v>53.14</v>
      </c>
      <c r="P108" s="269">
        <v>84.95</v>
      </c>
      <c r="Q108" s="426"/>
      <c r="R108" s="418" t="s">
        <v>3431</v>
      </c>
      <c r="S108" s="427" t="s">
        <v>613</v>
      </c>
      <c r="T108" s="357">
        <v>1</v>
      </c>
      <c r="U108" s="357" t="s">
        <v>204</v>
      </c>
      <c r="V108" s="367">
        <v>414000000</v>
      </c>
      <c r="W108" s="368">
        <v>414000000</v>
      </c>
      <c r="X108" s="357"/>
      <c r="Y108" s="357"/>
      <c r="Z108" s="400"/>
      <c r="AA108" s="369"/>
      <c r="AB108" s="370"/>
      <c r="AC108" s="404"/>
      <c r="AD108" s="270"/>
      <c r="AE108" s="156"/>
      <c r="AF108" s="156"/>
      <c r="AG108" s="357"/>
      <c r="AH108" s="357"/>
      <c r="AI108" s="357"/>
      <c r="AJ108" s="156"/>
      <c r="AK108" s="156"/>
      <c r="AL108" s="375"/>
      <c r="AM108" s="405"/>
      <c r="AN108" s="273"/>
      <c r="AO108" s="405"/>
      <c r="AP108" s="273"/>
      <c r="AQ108" s="273"/>
      <c r="AR108" s="273"/>
      <c r="AS108" s="273"/>
      <c r="AT108" s="273"/>
      <c r="AU108" s="273"/>
      <c r="AV108" s="322">
        <f t="shared" si="5"/>
        <v>0</v>
      </c>
      <c r="AW108" s="402" t="s">
        <v>3650</v>
      </c>
      <c r="AX108" s="274">
        <v>45100</v>
      </c>
      <c r="AY108" s="270" t="s">
        <v>3662</v>
      </c>
      <c r="AZ108" s="156"/>
      <c r="BA108" s="156">
        <v>316000000</v>
      </c>
      <c r="BB108" s="156"/>
      <c r="BC108" s="156"/>
      <c r="BD108" s="353">
        <f t="shared" si="6"/>
        <v>316000000</v>
      </c>
      <c r="BE108" s="432" t="s">
        <v>335</v>
      </c>
      <c r="BF108" s="407" t="s">
        <v>515</v>
      </c>
      <c r="BG108" s="168" t="s">
        <v>3403</v>
      </c>
      <c r="BH108" s="274">
        <v>45092</v>
      </c>
      <c r="BI108" s="168" t="s">
        <v>3351</v>
      </c>
      <c r="BJ108" s="274">
        <v>45163</v>
      </c>
      <c r="BK108" s="168">
        <v>195000000</v>
      </c>
      <c r="BL108" s="275"/>
      <c r="BM108" s="276"/>
      <c r="BN108" s="275"/>
      <c r="BO108" s="276"/>
      <c r="BP108" s="277"/>
      <c r="BQ108" s="156">
        <v>316000000</v>
      </c>
      <c r="BR108" s="274">
        <v>45761</v>
      </c>
      <c r="BS108" s="270">
        <v>1</v>
      </c>
      <c r="BT108" s="270" t="s">
        <v>609</v>
      </c>
      <c r="BU108" s="274">
        <v>45761</v>
      </c>
      <c r="BV108" s="274">
        <v>45789</v>
      </c>
      <c r="BW108" s="278"/>
      <c r="BX108" s="278">
        <v>316000000</v>
      </c>
      <c r="BY108" s="278">
        <v>221200000</v>
      </c>
      <c r="BZ108" s="351"/>
    </row>
    <row r="109" spans="1:78" s="90" customFormat="1" ht="19.5" hidden="1" customHeight="1">
      <c r="A109" s="137"/>
      <c r="B109" s="197">
        <f t="shared" si="4"/>
        <v>99</v>
      </c>
      <c r="C109" s="30" t="s">
        <v>206</v>
      </c>
      <c r="D109" s="30" t="s">
        <v>225</v>
      </c>
      <c r="E109" s="234" t="s">
        <v>724</v>
      </c>
      <c r="F109" s="235" t="s">
        <v>1229</v>
      </c>
      <c r="G109" s="284">
        <f>IFERROR(VLOOKUP(E109,Assign!$C$2:$J$142,8,FALSE),)</f>
        <v>0</v>
      </c>
      <c r="H109" s="361" t="s">
        <v>4654</v>
      </c>
      <c r="I109" s="363">
        <v>1</v>
      </c>
      <c r="J109" s="364" t="s">
        <v>208</v>
      </c>
      <c r="K109" s="364" t="s">
        <v>2188</v>
      </c>
      <c r="L109" s="365" t="s">
        <v>2189</v>
      </c>
      <c r="M109" s="362" t="s">
        <v>2190</v>
      </c>
      <c r="N109" s="421" t="s">
        <v>362</v>
      </c>
      <c r="O109" s="366" t="s">
        <v>273</v>
      </c>
      <c r="P109" s="269">
        <v>23.8</v>
      </c>
      <c r="Q109" s="426"/>
      <c r="R109" s="418" t="s">
        <v>724</v>
      </c>
      <c r="S109" s="427" t="s">
        <v>613</v>
      </c>
      <c r="T109" s="357">
        <v>1</v>
      </c>
      <c r="U109" s="357" t="s">
        <v>204</v>
      </c>
      <c r="V109" s="367">
        <v>366000000</v>
      </c>
      <c r="W109" s="368">
        <v>366000000</v>
      </c>
      <c r="X109" s="357"/>
      <c r="Y109" s="357"/>
      <c r="Z109" s="400"/>
      <c r="AA109" s="369"/>
      <c r="AB109" s="370"/>
      <c r="AC109" s="404"/>
      <c r="AD109" s="270"/>
      <c r="AE109" s="156"/>
      <c r="AF109" s="156"/>
      <c r="AG109" s="357"/>
      <c r="AH109" s="357"/>
      <c r="AI109" s="357"/>
      <c r="AJ109" s="156"/>
      <c r="AK109" s="156"/>
      <c r="AL109" s="375"/>
      <c r="AM109" s="405"/>
      <c r="AN109" s="273"/>
      <c r="AO109" s="405"/>
      <c r="AP109" s="273"/>
      <c r="AQ109" s="273"/>
      <c r="AR109" s="273"/>
      <c r="AS109" s="273"/>
      <c r="AT109" s="273"/>
      <c r="AU109" s="273"/>
      <c r="AV109" s="322">
        <f t="shared" si="5"/>
        <v>0</v>
      </c>
      <c r="AW109" s="402"/>
      <c r="AX109" s="376"/>
      <c r="AY109" s="373"/>
      <c r="AZ109" s="375"/>
      <c r="BA109" s="375"/>
      <c r="BB109" s="156"/>
      <c r="BC109" s="156"/>
      <c r="BD109" s="353">
        <f t="shared" si="6"/>
        <v>0</v>
      </c>
      <c r="BE109" s="432" t="s">
        <v>355</v>
      </c>
      <c r="BF109" s="407" t="s">
        <v>501</v>
      </c>
      <c r="BG109" s="168"/>
      <c r="BH109" s="274"/>
      <c r="BI109" s="168"/>
      <c r="BJ109" s="274"/>
      <c r="BK109" s="168"/>
      <c r="BL109" s="275"/>
      <c r="BM109" s="276"/>
      <c r="BN109" s="275"/>
      <c r="BO109" s="276"/>
      <c r="BP109" s="277"/>
      <c r="BQ109" s="156"/>
      <c r="BR109" s="274"/>
      <c r="BS109" s="270"/>
      <c r="BT109" s="270"/>
      <c r="BU109" s="274"/>
      <c r="BV109" s="274"/>
      <c r="BW109" s="278"/>
      <c r="BX109" s="278"/>
      <c r="BY109" s="278"/>
      <c r="BZ109" s="351"/>
    </row>
    <row r="110" spans="1:78" s="90" customFormat="1" ht="19.5" hidden="1" customHeight="1">
      <c r="A110" s="137"/>
      <c r="B110" s="197">
        <f t="shared" si="4"/>
        <v>100</v>
      </c>
      <c r="C110" s="30" t="s">
        <v>206</v>
      </c>
      <c r="D110" s="30" t="s">
        <v>225</v>
      </c>
      <c r="E110" s="234" t="s">
        <v>725</v>
      </c>
      <c r="F110" s="235" t="s">
        <v>1229</v>
      </c>
      <c r="G110" s="284" t="str">
        <f>IFERROR(VLOOKUP(E110,Assign!$C$2:$J$142,8,FALSE),)</f>
        <v>문선영</v>
      </c>
      <c r="H110" s="361" t="s">
        <v>4817</v>
      </c>
      <c r="I110" s="363">
        <v>1</v>
      </c>
      <c r="J110" s="364" t="s">
        <v>212</v>
      </c>
      <c r="K110" s="364" t="s">
        <v>294</v>
      </c>
      <c r="L110" s="365" t="s">
        <v>2346</v>
      </c>
      <c r="M110" s="362" t="s">
        <v>2347</v>
      </c>
      <c r="N110" s="421" t="s">
        <v>207</v>
      </c>
      <c r="O110" s="269">
        <v>13.0318</v>
      </c>
      <c r="P110" s="269">
        <v>56.1965</v>
      </c>
      <c r="Q110" s="426"/>
      <c r="R110" s="418" t="s">
        <v>725</v>
      </c>
      <c r="S110" s="427" t="s">
        <v>613</v>
      </c>
      <c r="T110" s="357">
        <v>1</v>
      </c>
      <c r="U110" s="357" t="s">
        <v>204</v>
      </c>
      <c r="V110" s="367">
        <v>316800000</v>
      </c>
      <c r="W110" s="368">
        <v>316800000</v>
      </c>
      <c r="X110" s="357"/>
      <c r="Y110" s="357"/>
      <c r="Z110" s="400"/>
      <c r="AA110" s="369"/>
      <c r="AB110" s="370"/>
      <c r="AC110" s="404"/>
      <c r="AD110" s="270"/>
      <c r="AE110" s="156"/>
      <c r="AF110" s="156"/>
      <c r="AG110" s="357"/>
      <c r="AH110" s="357"/>
      <c r="AI110" s="357"/>
      <c r="AJ110" s="156"/>
      <c r="AK110" s="156"/>
      <c r="AL110" s="375"/>
      <c r="AM110" s="405"/>
      <c r="AN110" s="273"/>
      <c r="AO110" s="405"/>
      <c r="AP110" s="273"/>
      <c r="AQ110" s="273"/>
      <c r="AR110" s="273"/>
      <c r="AS110" s="273"/>
      <c r="AT110" s="273"/>
      <c r="AU110" s="273"/>
      <c r="AV110" s="322">
        <f t="shared" si="5"/>
        <v>0</v>
      </c>
      <c r="AW110" s="402"/>
      <c r="AX110" s="274"/>
      <c r="AY110" s="270"/>
      <c r="AZ110" s="156"/>
      <c r="BA110" s="156"/>
      <c r="BB110" s="156"/>
      <c r="BC110" s="156"/>
      <c r="BD110" s="353">
        <f t="shared" si="6"/>
        <v>0</v>
      </c>
      <c r="BE110" s="432" t="s">
        <v>355</v>
      </c>
      <c r="BF110" s="407" t="s">
        <v>496</v>
      </c>
      <c r="BG110" s="168"/>
      <c r="BH110" s="274"/>
      <c r="BI110" s="168"/>
      <c r="BJ110" s="274"/>
      <c r="BK110" s="168"/>
      <c r="BL110" s="275"/>
      <c r="BM110" s="276"/>
      <c r="BN110" s="275"/>
      <c r="BO110" s="276"/>
      <c r="BP110" s="277"/>
      <c r="BQ110" s="156"/>
      <c r="BR110" s="274"/>
      <c r="BS110" s="270"/>
      <c r="BT110" s="270"/>
      <c r="BU110" s="274"/>
      <c r="BV110" s="274"/>
      <c r="BW110" s="278"/>
      <c r="BX110" s="278"/>
      <c r="BY110" s="278"/>
      <c r="BZ110" s="351"/>
    </row>
    <row r="111" spans="1:78" s="90" customFormat="1" ht="19.5" hidden="1" customHeight="1">
      <c r="A111" s="137"/>
      <c r="B111" s="197">
        <f t="shared" si="4"/>
        <v>101</v>
      </c>
      <c r="C111" s="30" t="s">
        <v>206</v>
      </c>
      <c r="D111" s="30" t="s">
        <v>225</v>
      </c>
      <c r="E111" s="234" t="s">
        <v>726</v>
      </c>
      <c r="F111" s="235" t="s">
        <v>1241</v>
      </c>
      <c r="G111" s="284">
        <f>IFERROR(VLOOKUP(E111,Assign!$C$2:$J$142,8,FALSE),)</f>
        <v>0</v>
      </c>
      <c r="H111" s="361" t="s">
        <v>4205</v>
      </c>
      <c r="I111" s="363">
        <v>1</v>
      </c>
      <c r="J111" s="364" t="s">
        <v>208</v>
      </c>
      <c r="K111" s="364" t="s">
        <v>237</v>
      </c>
      <c r="L111" s="365" t="s">
        <v>1782</v>
      </c>
      <c r="M111" s="362" t="s">
        <v>3643</v>
      </c>
      <c r="N111" s="421" t="s">
        <v>606</v>
      </c>
      <c r="O111" s="269">
        <v>147.66666666666666</v>
      </c>
      <c r="P111" s="269">
        <v>116.79</v>
      </c>
      <c r="Q111" s="426"/>
      <c r="R111" s="418" t="s">
        <v>3474</v>
      </c>
      <c r="S111" s="427" t="s">
        <v>613</v>
      </c>
      <c r="T111" s="357">
        <v>1</v>
      </c>
      <c r="U111" s="357" t="s">
        <v>204</v>
      </c>
      <c r="V111" s="367">
        <v>436800000</v>
      </c>
      <c r="W111" s="368">
        <v>436800000</v>
      </c>
      <c r="X111" s="357"/>
      <c r="Y111" s="357"/>
      <c r="Z111" s="400"/>
      <c r="AA111" s="369"/>
      <c r="AB111" s="370"/>
      <c r="AC111" s="404"/>
      <c r="AD111" s="270"/>
      <c r="AE111" s="156"/>
      <c r="AF111" s="156"/>
      <c r="AG111" s="357"/>
      <c r="AH111" s="357"/>
      <c r="AI111" s="357"/>
      <c r="AJ111" s="156"/>
      <c r="AK111" s="156"/>
      <c r="AL111" s="375"/>
      <c r="AM111" s="405"/>
      <c r="AN111" s="273"/>
      <c r="AO111" s="405"/>
      <c r="AP111" s="273"/>
      <c r="AQ111" s="273"/>
      <c r="AR111" s="273"/>
      <c r="AS111" s="273"/>
      <c r="AT111" s="273"/>
      <c r="AU111" s="273"/>
      <c r="AV111" s="322">
        <f t="shared" si="5"/>
        <v>0</v>
      </c>
      <c r="AW111" s="402"/>
      <c r="AX111" s="376"/>
      <c r="AY111" s="373"/>
      <c r="AZ111" s="375"/>
      <c r="BA111" s="375"/>
      <c r="BB111" s="156"/>
      <c r="BC111" s="156"/>
      <c r="BD111" s="353">
        <f t="shared" si="6"/>
        <v>0</v>
      </c>
      <c r="BE111" s="432" t="s">
        <v>355</v>
      </c>
      <c r="BF111" s="407" t="s">
        <v>502</v>
      </c>
      <c r="BG111" s="168"/>
      <c r="BH111" s="274"/>
      <c r="BI111" s="168"/>
      <c r="BJ111" s="274"/>
      <c r="BK111" s="168"/>
      <c r="BL111" s="275"/>
      <c r="BM111" s="276"/>
      <c r="BN111" s="275"/>
      <c r="BO111" s="276"/>
      <c r="BP111" s="277"/>
      <c r="BQ111" s="156"/>
      <c r="BR111" s="274"/>
      <c r="BS111" s="270"/>
      <c r="BT111" s="270"/>
      <c r="BU111" s="274"/>
      <c r="BV111" s="274"/>
      <c r="BW111" s="278"/>
      <c r="BX111" s="278"/>
      <c r="BY111" s="278"/>
      <c r="BZ111" s="351"/>
    </row>
    <row r="112" spans="1:78" s="90" customFormat="1" ht="19.5" hidden="1" customHeight="1">
      <c r="A112" s="137"/>
      <c r="B112" s="197">
        <f t="shared" si="4"/>
        <v>102</v>
      </c>
      <c r="C112" s="30" t="s">
        <v>206</v>
      </c>
      <c r="D112" s="30" t="s">
        <v>225</v>
      </c>
      <c r="E112" s="234" t="s">
        <v>727</v>
      </c>
      <c r="F112" s="235" t="s">
        <v>1242</v>
      </c>
      <c r="G112" s="284">
        <f>IFERROR(VLOOKUP(E112,Assign!$C$2:$J$142,8,FALSE),)</f>
        <v>0</v>
      </c>
      <c r="H112" s="361" t="s">
        <v>5190</v>
      </c>
      <c r="I112" s="363">
        <v>1</v>
      </c>
      <c r="J112" s="364" t="s">
        <v>208</v>
      </c>
      <c r="K112" s="364" t="s">
        <v>236</v>
      </c>
      <c r="L112" s="365" t="s">
        <v>2694</v>
      </c>
      <c r="M112" s="362" t="s">
        <v>2695</v>
      </c>
      <c r="N112" s="421" t="s">
        <v>3386</v>
      </c>
      <c r="O112" s="269">
        <v>6.45</v>
      </c>
      <c r="P112" s="269">
        <v>49.64</v>
      </c>
      <c r="Q112" s="426"/>
      <c r="R112" s="418" t="s">
        <v>727</v>
      </c>
      <c r="S112" s="427" t="s">
        <v>613</v>
      </c>
      <c r="T112" s="357">
        <v>1</v>
      </c>
      <c r="U112" s="357" t="s">
        <v>204</v>
      </c>
      <c r="V112" s="367">
        <v>336000000</v>
      </c>
      <c r="W112" s="368">
        <v>336000000</v>
      </c>
      <c r="X112" s="357"/>
      <c r="Y112" s="357"/>
      <c r="Z112" s="400"/>
      <c r="AA112" s="369"/>
      <c r="AB112" s="370"/>
      <c r="AC112" s="404"/>
      <c r="AD112" s="270"/>
      <c r="AE112" s="156"/>
      <c r="AF112" s="156"/>
      <c r="AG112" s="357"/>
      <c r="AH112" s="357"/>
      <c r="AI112" s="357"/>
      <c r="AJ112" s="156"/>
      <c r="AK112" s="156"/>
      <c r="AL112" s="375"/>
      <c r="AM112" s="405"/>
      <c r="AN112" s="273"/>
      <c r="AO112" s="405"/>
      <c r="AP112" s="273"/>
      <c r="AQ112" s="273"/>
      <c r="AR112" s="273"/>
      <c r="AS112" s="273"/>
      <c r="AT112" s="273"/>
      <c r="AU112" s="273"/>
      <c r="AV112" s="322">
        <f t="shared" si="5"/>
        <v>0</v>
      </c>
      <c r="AW112" s="402"/>
      <c r="AX112" s="274"/>
      <c r="AY112" s="270"/>
      <c r="AZ112" s="156"/>
      <c r="BA112" s="156"/>
      <c r="BB112" s="156"/>
      <c r="BC112" s="156"/>
      <c r="BD112" s="353">
        <f t="shared" si="6"/>
        <v>0</v>
      </c>
      <c r="BE112" s="432" t="s">
        <v>355</v>
      </c>
      <c r="BF112" s="407" t="s">
        <v>504</v>
      </c>
      <c r="BG112" s="168"/>
      <c r="BH112" s="274"/>
      <c r="BI112" s="168"/>
      <c r="BJ112" s="274"/>
      <c r="BK112" s="168"/>
      <c r="BL112" s="275"/>
      <c r="BM112" s="276"/>
      <c r="BN112" s="275"/>
      <c r="BO112" s="276"/>
      <c r="BP112" s="277"/>
      <c r="BQ112" s="156"/>
      <c r="BR112" s="274"/>
      <c r="BS112" s="270"/>
      <c r="BT112" s="270"/>
      <c r="BU112" s="274"/>
      <c r="BV112" s="274"/>
      <c r="BW112" s="278"/>
      <c r="BX112" s="278"/>
      <c r="BY112" s="278"/>
      <c r="BZ112" s="351"/>
    </row>
    <row r="113" spans="1:78" s="90" customFormat="1" ht="19.5" hidden="1" customHeight="1">
      <c r="A113" s="137"/>
      <c r="B113" s="197">
        <f t="shared" si="4"/>
        <v>103</v>
      </c>
      <c r="C113" s="30" t="s">
        <v>206</v>
      </c>
      <c r="D113" s="30" t="s">
        <v>225</v>
      </c>
      <c r="E113" s="234" t="s">
        <v>728</v>
      </c>
      <c r="F113" s="235" t="s">
        <v>1225</v>
      </c>
      <c r="G113" s="284" t="str">
        <f>IFERROR(VLOOKUP(E113,Assign!$C$2:$J$142,8,FALSE),)</f>
        <v>문선영</v>
      </c>
      <c r="H113" s="361" t="s">
        <v>5205</v>
      </c>
      <c r="I113" s="363">
        <v>1</v>
      </c>
      <c r="J113" s="364" t="s">
        <v>208</v>
      </c>
      <c r="K113" s="364" t="s">
        <v>237</v>
      </c>
      <c r="L113" s="365" t="s">
        <v>2697</v>
      </c>
      <c r="M113" s="362" t="s">
        <v>2698</v>
      </c>
      <c r="N113" s="421" t="s">
        <v>606</v>
      </c>
      <c r="O113" s="269">
        <v>64.42</v>
      </c>
      <c r="P113" s="269">
        <v>63.86</v>
      </c>
      <c r="Q113" s="426"/>
      <c r="R113" s="418" t="s">
        <v>728</v>
      </c>
      <c r="S113" s="427" t="s">
        <v>613</v>
      </c>
      <c r="T113" s="357">
        <v>1</v>
      </c>
      <c r="U113" s="357" t="s">
        <v>204</v>
      </c>
      <c r="V113" s="367">
        <v>308000000</v>
      </c>
      <c r="W113" s="368">
        <v>308000000</v>
      </c>
      <c r="X113" s="357"/>
      <c r="Y113" s="357"/>
      <c r="Z113" s="400"/>
      <c r="AA113" s="369"/>
      <c r="AB113" s="370"/>
      <c r="AC113" s="404"/>
      <c r="AD113" s="270"/>
      <c r="AE113" s="156"/>
      <c r="AF113" s="156"/>
      <c r="AG113" s="357"/>
      <c r="AH113" s="357"/>
      <c r="AI113" s="357"/>
      <c r="AJ113" s="156"/>
      <c r="AK113" s="156"/>
      <c r="AL113" s="375"/>
      <c r="AM113" s="405"/>
      <c r="AN113" s="273"/>
      <c r="AO113" s="405"/>
      <c r="AP113" s="273"/>
      <c r="AQ113" s="273"/>
      <c r="AR113" s="273"/>
      <c r="AS113" s="273"/>
      <c r="AT113" s="273"/>
      <c r="AU113" s="273"/>
      <c r="AV113" s="322">
        <f t="shared" si="5"/>
        <v>0</v>
      </c>
      <c r="AW113" s="402"/>
      <c r="AX113" s="376"/>
      <c r="AY113" s="373"/>
      <c r="AZ113" s="375"/>
      <c r="BA113" s="375"/>
      <c r="BB113" s="375"/>
      <c r="BC113" s="375"/>
      <c r="BD113" s="353">
        <f t="shared" si="6"/>
        <v>0</v>
      </c>
      <c r="BE113" s="432" t="s">
        <v>355</v>
      </c>
      <c r="BF113" s="407" t="s">
        <v>502</v>
      </c>
      <c r="BG113" s="168"/>
      <c r="BH113" s="274"/>
      <c r="BI113" s="168"/>
      <c r="BJ113" s="274"/>
      <c r="BK113" s="168"/>
      <c r="BL113" s="275"/>
      <c r="BM113" s="276"/>
      <c r="BN113" s="275"/>
      <c r="BO113" s="276"/>
      <c r="BP113" s="277"/>
      <c r="BQ113" s="156"/>
      <c r="BR113" s="274"/>
      <c r="BS113" s="270"/>
      <c r="BT113" s="270"/>
      <c r="BU113" s="274"/>
      <c r="BV113" s="274"/>
      <c r="BW113" s="278"/>
      <c r="BX113" s="278"/>
      <c r="BY113" s="278"/>
      <c r="BZ113" s="351"/>
    </row>
    <row r="114" spans="1:78" s="90" customFormat="1" ht="19.5" hidden="1" customHeight="1">
      <c r="A114" s="137"/>
      <c r="B114" s="197">
        <f t="shared" si="4"/>
        <v>104</v>
      </c>
      <c r="C114" s="30" t="s">
        <v>206</v>
      </c>
      <c r="D114" s="30" t="s">
        <v>225</v>
      </c>
      <c r="E114" s="234" t="s">
        <v>729</v>
      </c>
      <c r="F114" s="235" t="s">
        <v>1218</v>
      </c>
      <c r="G114" s="284">
        <f>IFERROR(VLOOKUP(E114,Assign!$C$2:$J$142,8,FALSE),)</f>
        <v>0</v>
      </c>
      <c r="H114" s="361" t="s">
        <v>4551</v>
      </c>
      <c r="I114" s="363">
        <v>1</v>
      </c>
      <c r="J114" s="364" t="s">
        <v>209</v>
      </c>
      <c r="K114" s="364" t="s">
        <v>319</v>
      </c>
      <c r="L114" s="365" t="s">
        <v>1928</v>
      </c>
      <c r="M114" s="362" t="s">
        <v>2093</v>
      </c>
      <c r="N114" s="421" t="s">
        <v>207</v>
      </c>
      <c r="O114" s="269">
        <v>42.569000000000003</v>
      </c>
      <c r="P114" s="269">
        <v>84.99</v>
      </c>
      <c r="Q114" s="426"/>
      <c r="R114" s="418" t="s">
        <v>729</v>
      </c>
      <c r="S114" s="427" t="s">
        <v>613</v>
      </c>
      <c r="T114" s="357">
        <v>1</v>
      </c>
      <c r="U114" s="357" t="s">
        <v>204</v>
      </c>
      <c r="V114" s="367">
        <v>384000000</v>
      </c>
      <c r="W114" s="368">
        <v>384000000</v>
      </c>
      <c r="X114" s="357"/>
      <c r="Y114" s="357"/>
      <c r="Z114" s="400"/>
      <c r="AA114" s="369"/>
      <c r="AB114" s="370"/>
      <c r="AC114" s="404"/>
      <c r="AD114" s="270"/>
      <c r="AE114" s="156"/>
      <c r="AF114" s="156"/>
      <c r="AG114" s="357"/>
      <c r="AH114" s="357"/>
      <c r="AI114" s="357"/>
      <c r="AJ114" s="156"/>
      <c r="AK114" s="156"/>
      <c r="AL114" s="375"/>
      <c r="AM114" s="405"/>
      <c r="AN114" s="273"/>
      <c r="AO114" s="405"/>
      <c r="AP114" s="273"/>
      <c r="AQ114" s="273"/>
      <c r="AR114" s="273"/>
      <c r="AS114" s="273"/>
      <c r="AT114" s="273"/>
      <c r="AU114" s="273"/>
      <c r="AV114" s="322">
        <f t="shared" si="5"/>
        <v>0</v>
      </c>
      <c r="AW114" s="402" t="s">
        <v>3387</v>
      </c>
      <c r="AX114" s="376">
        <v>45765</v>
      </c>
      <c r="AY114" s="373" t="s">
        <v>3388</v>
      </c>
      <c r="AZ114" s="375"/>
      <c r="BA114" s="375">
        <v>1325000000</v>
      </c>
      <c r="BB114" s="375"/>
      <c r="BC114" s="375"/>
      <c r="BD114" s="353">
        <f t="shared" si="6"/>
        <v>1325000000</v>
      </c>
      <c r="BE114" s="432" t="s">
        <v>335</v>
      </c>
      <c r="BF114" s="407" t="s">
        <v>495</v>
      </c>
      <c r="BG114" s="168" t="s">
        <v>3310</v>
      </c>
      <c r="BH114" s="274">
        <v>45716</v>
      </c>
      <c r="BI114" s="168" t="s">
        <v>3231</v>
      </c>
      <c r="BJ114" s="274">
        <v>45812</v>
      </c>
      <c r="BK114" s="168">
        <v>961596904</v>
      </c>
      <c r="BL114" s="275"/>
      <c r="BM114" s="276"/>
      <c r="BN114" s="275"/>
      <c r="BO114" s="276"/>
      <c r="BP114" s="277"/>
      <c r="BQ114" s="156"/>
      <c r="BR114" s="274"/>
      <c r="BS114" s="270"/>
      <c r="BT114" s="270"/>
      <c r="BU114" s="274"/>
      <c r="BV114" s="274"/>
      <c r="BW114" s="278"/>
      <c r="BX114" s="278"/>
      <c r="BY114" s="278"/>
      <c r="BZ114" s="351"/>
    </row>
    <row r="115" spans="1:78" s="90" customFormat="1" ht="19.5" hidden="1" customHeight="1">
      <c r="A115" s="137"/>
      <c r="B115" s="197">
        <f t="shared" si="4"/>
        <v>105</v>
      </c>
      <c r="C115" s="30" t="s">
        <v>206</v>
      </c>
      <c r="D115" s="30" t="s">
        <v>225</v>
      </c>
      <c r="E115" s="234" t="s">
        <v>730</v>
      </c>
      <c r="F115" s="235" t="s">
        <v>611</v>
      </c>
      <c r="G115" s="284" t="str">
        <f>IFERROR(VLOOKUP(E115,Assign!$C$2:$J$142,8,FALSE),)</f>
        <v>문선영</v>
      </c>
      <c r="H115" s="361" t="s">
        <v>4835</v>
      </c>
      <c r="I115" s="363">
        <v>1</v>
      </c>
      <c r="J115" s="364" t="s">
        <v>212</v>
      </c>
      <c r="K115" s="364" t="s">
        <v>389</v>
      </c>
      <c r="L115" s="365" t="s">
        <v>379</v>
      </c>
      <c r="M115" s="362" t="s">
        <v>2365</v>
      </c>
      <c r="N115" s="421" t="s">
        <v>207</v>
      </c>
      <c r="O115" s="269">
        <v>60.320616989078502</v>
      </c>
      <c r="P115" s="269">
        <v>121.51</v>
      </c>
      <c r="Q115" s="426"/>
      <c r="R115" s="418" t="s">
        <v>730</v>
      </c>
      <c r="S115" s="427" t="s">
        <v>613</v>
      </c>
      <c r="T115" s="357">
        <v>1</v>
      </c>
      <c r="U115" s="357" t="s">
        <v>204</v>
      </c>
      <c r="V115" s="367">
        <v>297000000</v>
      </c>
      <c r="W115" s="368">
        <v>297000000</v>
      </c>
      <c r="X115" s="357"/>
      <c r="Y115" s="357"/>
      <c r="Z115" s="400"/>
      <c r="AA115" s="369"/>
      <c r="AB115" s="370"/>
      <c r="AC115" s="404"/>
      <c r="AD115" s="270"/>
      <c r="AE115" s="156"/>
      <c r="AF115" s="156"/>
      <c r="AG115" s="357"/>
      <c r="AH115" s="357"/>
      <c r="AI115" s="357"/>
      <c r="AJ115" s="156"/>
      <c r="AK115" s="156"/>
      <c r="AL115" s="375"/>
      <c r="AM115" s="405"/>
      <c r="AN115" s="273"/>
      <c r="AO115" s="405"/>
      <c r="AP115" s="273"/>
      <c r="AQ115" s="273"/>
      <c r="AR115" s="273"/>
      <c r="AS115" s="273"/>
      <c r="AT115" s="273"/>
      <c r="AU115" s="273"/>
      <c r="AV115" s="322">
        <f t="shared" si="5"/>
        <v>0</v>
      </c>
      <c r="AW115" s="402" t="s">
        <v>3387</v>
      </c>
      <c r="AX115" s="376">
        <v>45765</v>
      </c>
      <c r="AY115" s="373" t="s">
        <v>3388</v>
      </c>
      <c r="AZ115" s="375"/>
      <c r="BA115" s="375">
        <v>385000000</v>
      </c>
      <c r="BB115" s="375"/>
      <c r="BC115" s="375"/>
      <c r="BD115" s="353">
        <f t="shared" si="6"/>
        <v>385000000</v>
      </c>
      <c r="BE115" s="432" t="s">
        <v>355</v>
      </c>
      <c r="BF115" s="407" t="s">
        <v>496</v>
      </c>
      <c r="BG115" s="168"/>
      <c r="BH115" s="274"/>
      <c r="BI115" s="168"/>
      <c r="BJ115" s="274"/>
      <c r="BK115" s="168"/>
      <c r="BL115" s="275"/>
      <c r="BM115" s="276"/>
      <c r="BN115" s="275"/>
      <c r="BO115" s="276"/>
      <c r="BP115" s="277"/>
      <c r="BQ115" s="156"/>
      <c r="BR115" s="274"/>
      <c r="BS115" s="270"/>
      <c r="BT115" s="270"/>
      <c r="BU115" s="274"/>
      <c r="BV115" s="274"/>
      <c r="BW115" s="278"/>
      <c r="BX115" s="278"/>
      <c r="BY115" s="278"/>
      <c r="BZ115" s="351"/>
    </row>
    <row r="116" spans="1:78" s="90" customFormat="1" ht="19.5" hidden="1" customHeight="1">
      <c r="A116" s="137"/>
      <c r="B116" s="197">
        <f t="shared" si="4"/>
        <v>106</v>
      </c>
      <c r="C116" s="30" t="s">
        <v>206</v>
      </c>
      <c r="D116" s="30" t="s">
        <v>225</v>
      </c>
      <c r="E116" s="234" t="s">
        <v>731</v>
      </c>
      <c r="F116" s="235" t="s">
        <v>1229</v>
      </c>
      <c r="G116" s="284">
        <f>IFERROR(VLOOKUP(E116,Assign!$C$2:$J$142,8,FALSE),)</f>
        <v>0</v>
      </c>
      <c r="H116" s="361" t="s">
        <v>4440</v>
      </c>
      <c r="I116" s="363">
        <v>1</v>
      </c>
      <c r="J116" s="364" t="s">
        <v>212</v>
      </c>
      <c r="K116" s="364" t="s">
        <v>232</v>
      </c>
      <c r="L116" s="365" t="s">
        <v>367</v>
      </c>
      <c r="M116" s="362" t="s">
        <v>1989</v>
      </c>
      <c r="N116" s="421" t="s">
        <v>531</v>
      </c>
      <c r="O116" s="269">
        <v>16.408000000000001</v>
      </c>
      <c r="P116" s="269">
        <v>74.150000000000006</v>
      </c>
      <c r="Q116" s="426"/>
      <c r="R116" s="418" t="s">
        <v>731</v>
      </c>
      <c r="S116" s="427" t="s">
        <v>613</v>
      </c>
      <c r="T116" s="357">
        <v>1</v>
      </c>
      <c r="U116" s="357" t="s">
        <v>204</v>
      </c>
      <c r="V116" s="367">
        <v>336000000</v>
      </c>
      <c r="W116" s="368">
        <v>336000000</v>
      </c>
      <c r="X116" s="357"/>
      <c r="Y116" s="357"/>
      <c r="Z116" s="400"/>
      <c r="AA116" s="369"/>
      <c r="AB116" s="370"/>
      <c r="AC116" s="404"/>
      <c r="AD116" s="270"/>
      <c r="AE116" s="156"/>
      <c r="AF116" s="156"/>
      <c r="AG116" s="357"/>
      <c r="AH116" s="357"/>
      <c r="AI116" s="357"/>
      <c r="AJ116" s="156"/>
      <c r="AK116" s="156"/>
      <c r="AL116" s="375"/>
      <c r="AM116" s="405"/>
      <c r="AN116" s="273"/>
      <c r="AO116" s="405"/>
      <c r="AP116" s="273"/>
      <c r="AQ116" s="273"/>
      <c r="AR116" s="273"/>
      <c r="AS116" s="273"/>
      <c r="AT116" s="273"/>
      <c r="AU116" s="273"/>
      <c r="AV116" s="322">
        <f t="shared" si="5"/>
        <v>0</v>
      </c>
      <c r="AW116" s="402"/>
      <c r="AX116" s="274"/>
      <c r="AY116" s="270"/>
      <c r="AZ116" s="156"/>
      <c r="BA116" s="156"/>
      <c r="BB116" s="156"/>
      <c r="BC116" s="156"/>
      <c r="BD116" s="353">
        <f t="shared" si="6"/>
        <v>0</v>
      </c>
      <c r="BE116" s="432" t="s">
        <v>355</v>
      </c>
      <c r="BF116" s="407" t="s">
        <v>496</v>
      </c>
      <c r="BG116" s="168"/>
      <c r="BH116" s="274"/>
      <c r="BI116" s="168"/>
      <c r="BJ116" s="274"/>
      <c r="BK116" s="168"/>
      <c r="BL116" s="275"/>
      <c r="BM116" s="276"/>
      <c r="BN116" s="275"/>
      <c r="BO116" s="276"/>
      <c r="BP116" s="277"/>
      <c r="BQ116" s="156"/>
      <c r="BR116" s="274"/>
      <c r="BS116" s="270"/>
      <c r="BT116" s="270"/>
      <c r="BU116" s="274"/>
      <c r="BV116" s="274"/>
      <c r="BW116" s="278"/>
      <c r="BX116" s="278"/>
      <c r="BY116" s="278"/>
      <c r="BZ116" s="351"/>
    </row>
    <row r="117" spans="1:78" s="90" customFormat="1" ht="19.5" hidden="1" customHeight="1">
      <c r="A117" s="137"/>
      <c r="B117" s="197">
        <f t="shared" si="4"/>
        <v>107</v>
      </c>
      <c r="C117" s="30" t="s">
        <v>206</v>
      </c>
      <c r="D117" s="30" t="s">
        <v>225</v>
      </c>
      <c r="E117" s="234" t="s">
        <v>732</v>
      </c>
      <c r="F117" s="235" t="s">
        <v>1315</v>
      </c>
      <c r="G117" s="284">
        <f>IFERROR(VLOOKUP(E117,Assign!$C$2:$J$142,8,FALSE),)</f>
        <v>0</v>
      </c>
      <c r="H117" s="361" t="s">
        <v>5261</v>
      </c>
      <c r="I117" s="363">
        <v>1</v>
      </c>
      <c r="J117" s="364" t="s">
        <v>208</v>
      </c>
      <c r="K117" s="364" t="s">
        <v>280</v>
      </c>
      <c r="L117" s="365" t="s">
        <v>323</v>
      </c>
      <c r="M117" s="362" t="s">
        <v>2751</v>
      </c>
      <c r="N117" s="421" t="s">
        <v>207</v>
      </c>
      <c r="O117" s="269">
        <v>56.621200000000002</v>
      </c>
      <c r="P117" s="269">
        <v>84.987300000000005</v>
      </c>
      <c r="Q117" s="426"/>
      <c r="R117" s="418" t="s">
        <v>3429</v>
      </c>
      <c r="S117" s="427" t="s">
        <v>613</v>
      </c>
      <c r="T117" s="357" t="s">
        <v>292</v>
      </c>
      <c r="U117" s="357" t="s">
        <v>204</v>
      </c>
      <c r="V117" s="367">
        <v>600000000</v>
      </c>
      <c r="W117" s="368">
        <v>600000000</v>
      </c>
      <c r="X117" s="357">
        <v>2</v>
      </c>
      <c r="Y117" s="357">
        <v>3</v>
      </c>
      <c r="Z117" s="400" t="s">
        <v>3206</v>
      </c>
      <c r="AA117" s="369">
        <v>360000000</v>
      </c>
      <c r="AB117" s="370">
        <v>360000000</v>
      </c>
      <c r="AC117" s="404">
        <v>1</v>
      </c>
      <c r="AD117" s="270" t="s">
        <v>204</v>
      </c>
      <c r="AE117" s="156">
        <v>254400000</v>
      </c>
      <c r="AF117" s="156">
        <v>254400000</v>
      </c>
      <c r="AG117" s="357"/>
      <c r="AH117" s="357"/>
      <c r="AI117" s="357"/>
      <c r="AJ117" s="156"/>
      <c r="AK117" s="156"/>
      <c r="AL117" s="375"/>
      <c r="AM117" s="405"/>
      <c r="AN117" s="273"/>
      <c r="AO117" s="405"/>
      <c r="AP117" s="273"/>
      <c r="AQ117" s="273"/>
      <c r="AR117" s="273"/>
      <c r="AS117" s="273"/>
      <c r="AT117" s="273"/>
      <c r="AU117" s="273"/>
      <c r="AV117" s="322">
        <f t="shared" si="5"/>
        <v>0</v>
      </c>
      <c r="AW117" s="402" t="s">
        <v>3387</v>
      </c>
      <c r="AX117" s="376">
        <v>45765</v>
      </c>
      <c r="AY117" s="373" t="s">
        <v>3388</v>
      </c>
      <c r="AZ117" s="375"/>
      <c r="BA117" s="375">
        <v>642500000</v>
      </c>
      <c r="BB117" s="375"/>
      <c r="BC117" s="375"/>
      <c r="BD117" s="353">
        <f t="shared" si="6"/>
        <v>642500000</v>
      </c>
      <c r="BE117" s="432" t="s">
        <v>355</v>
      </c>
      <c r="BF117" s="407" t="s">
        <v>422</v>
      </c>
      <c r="BG117" s="168"/>
      <c r="BH117" s="274"/>
      <c r="BI117" s="168"/>
      <c r="BJ117" s="274"/>
      <c r="BK117" s="168"/>
      <c r="BL117" s="275"/>
      <c r="BM117" s="276"/>
      <c r="BN117" s="275"/>
      <c r="BO117" s="276"/>
      <c r="BP117" s="277"/>
      <c r="BQ117" s="156"/>
      <c r="BR117" s="274"/>
      <c r="BS117" s="270"/>
      <c r="BT117" s="270"/>
      <c r="BU117" s="274"/>
      <c r="BV117" s="274"/>
      <c r="BW117" s="278"/>
      <c r="BX117" s="278"/>
      <c r="BY117" s="278"/>
      <c r="BZ117" s="351"/>
    </row>
    <row r="118" spans="1:78" s="90" customFormat="1" ht="19.5" hidden="1" customHeight="1">
      <c r="A118" s="137"/>
      <c r="B118" s="197">
        <f t="shared" si="4"/>
        <v>108</v>
      </c>
      <c r="C118" s="30" t="s">
        <v>206</v>
      </c>
      <c r="D118" s="30" t="s">
        <v>225</v>
      </c>
      <c r="E118" s="234" t="s">
        <v>732</v>
      </c>
      <c r="F118" s="235" t="s">
        <v>1315</v>
      </c>
      <c r="G118" s="284">
        <f>IFERROR(VLOOKUP(E118,Assign!$C$2:$J$142,8,FALSE),)</f>
        <v>0</v>
      </c>
      <c r="H118" s="361" t="s">
        <v>5263</v>
      </c>
      <c r="I118" s="363">
        <v>2</v>
      </c>
      <c r="J118" s="364" t="s">
        <v>209</v>
      </c>
      <c r="K118" s="364" t="s">
        <v>226</v>
      </c>
      <c r="L118" s="365" t="s">
        <v>409</v>
      </c>
      <c r="M118" s="362" t="s">
        <v>2752</v>
      </c>
      <c r="N118" s="421" t="s">
        <v>3076</v>
      </c>
      <c r="O118" s="269">
        <v>27.09</v>
      </c>
      <c r="P118" s="269">
        <v>42</v>
      </c>
      <c r="Q118" s="426"/>
      <c r="R118" s="418" t="s">
        <v>3429</v>
      </c>
      <c r="S118" s="427" t="s">
        <v>613</v>
      </c>
      <c r="T118" s="357">
        <v>1</v>
      </c>
      <c r="U118" s="357" t="s">
        <v>204</v>
      </c>
      <c r="V118" s="367">
        <v>360000000</v>
      </c>
      <c r="W118" s="368">
        <v>360000000</v>
      </c>
      <c r="X118" s="357">
        <v>1</v>
      </c>
      <c r="Y118" s="357">
        <v>1</v>
      </c>
      <c r="Z118" s="400" t="s">
        <v>3206</v>
      </c>
      <c r="AA118" s="369">
        <v>360000000</v>
      </c>
      <c r="AB118" s="370">
        <v>360000000</v>
      </c>
      <c r="AC118" s="404"/>
      <c r="AD118" s="270"/>
      <c r="AE118" s="156"/>
      <c r="AF118" s="156"/>
      <c r="AG118" s="357"/>
      <c r="AH118" s="357"/>
      <c r="AI118" s="357"/>
      <c r="AJ118" s="156"/>
      <c r="AK118" s="156"/>
      <c r="AL118" s="375"/>
      <c r="AM118" s="405"/>
      <c r="AN118" s="273"/>
      <c r="AO118" s="405"/>
      <c r="AP118" s="273"/>
      <c r="AQ118" s="273"/>
      <c r="AR118" s="273"/>
      <c r="AS118" s="273"/>
      <c r="AT118" s="273"/>
      <c r="AU118" s="273"/>
      <c r="AV118" s="322">
        <f t="shared" si="5"/>
        <v>0</v>
      </c>
      <c r="AW118" s="402"/>
      <c r="AX118" s="376"/>
      <c r="AY118" s="373"/>
      <c r="AZ118" s="375"/>
      <c r="BA118" s="375"/>
      <c r="BB118" s="375"/>
      <c r="BC118" s="375"/>
      <c r="BD118" s="353">
        <f t="shared" si="6"/>
        <v>0</v>
      </c>
      <c r="BE118" s="432" t="s">
        <v>355</v>
      </c>
      <c r="BF118" s="407" t="s">
        <v>495</v>
      </c>
      <c r="BG118" s="168"/>
      <c r="BH118" s="274"/>
      <c r="BI118" s="168"/>
      <c r="BJ118" s="274"/>
      <c r="BK118" s="168"/>
      <c r="BL118" s="275"/>
      <c r="BM118" s="276"/>
      <c r="BN118" s="275"/>
      <c r="BO118" s="276"/>
      <c r="BP118" s="277"/>
      <c r="BQ118" s="156"/>
      <c r="BR118" s="274"/>
      <c r="BS118" s="270"/>
      <c r="BT118" s="270"/>
      <c r="BU118" s="274"/>
      <c r="BV118" s="274"/>
      <c r="BW118" s="278"/>
      <c r="BX118" s="278"/>
      <c r="BY118" s="278"/>
      <c r="BZ118" s="351"/>
    </row>
    <row r="119" spans="1:78" s="90" customFormat="1" ht="19.5" hidden="1" customHeight="1">
      <c r="A119" s="137"/>
      <c r="B119" s="197">
        <f t="shared" si="4"/>
        <v>109</v>
      </c>
      <c r="C119" s="30" t="s">
        <v>206</v>
      </c>
      <c r="D119" s="30" t="s">
        <v>225</v>
      </c>
      <c r="E119" s="234" t="s">
        <v>733</v>
      </c>
      <c r="F119" s="235" t="s">
        <v>1238</v>
      </c>
      <c r="G119" s="284">
        <f>IFERROR(VLOOKUP(E119,Assign!$C$2:$J$142,8,FALSE),)</f>
        <v>0</v>
      </c>
      <c r="H119" s="361" t="s">
        <v>5396</v>
      </c>
      <c r="I119" s="363">
        <v>1</v>
      </c>
      <c r="J119" s="364" t="s">
        <v>221</v>
      </c>
      <c r="K119" s="364" t="s">
        <v>2529</v>
      </c>
      <c r="L119" s="365" t="s">
        <v>2872</v>
      </c>
      <c r="M119" s="362" t="s">
        <v>2873</v>
      </c>
      <c r="N119" s="421" t="s">
        <v>207</v>
      </c>
      <c r="O119" s="269">
        <v>50.5702</v>
      </c>
      <c r="P119" s="269">
        <v>84.84</v>
      </c>
      <c r="Q119" s="426"/>
      <c r="R119" s="418" t="s">
        <v>733</v>
      </c>
      <c r="S119" s="427" t="s">
        <v>613</v>
      </c>
      <c r="T119" s="357">
        <v>1</v>
      </c>
      <c r="U119" s="357" t="s">
        <v>204</v>
      </c>
      <c r="V119" s="367">
        <v>284900000</v>
      </c>
      <c r="W119" s="368">
        <v>284900000</v>
      </c>
      <c r="X119" s="357"/>
      <c r="Y119" s="357"/>
      <c r="Z119" s="400"/>
      <c r="AA119" s="369"/>
      <c r="AB119" s="370"/>
      <c r="AC119" s="404"/>
      <c r="AD119" s="270"/>
      <c r="AE119" s="156"/>
      <c r="AF119" s="156"/>
      <c r="AG119" s="357"/>
      <c r="AH119" s="357"/>
      <c r="AI119" s="357"/>
      <c r="AJ119" s="156"/>
      <c r="AK119" s="156"/>
      <c r="AL119" s="375"/>
      <c r="AM119" s="405"/>
      <c r="AN119" s="273"/>
      <c r="AO119" s="405"/>
      <c r="AP119" s="273"/>
      <c r="AQ119" s="273"/>
      <c r="AR119" s="273"/>
      <c r="AS119" s="273"/>
      <c r="AT119" s="273"/>
      <c r="AU119" s="273"/>
      <c r="AV119" s="322">
        <f t="shared" si="5"/>
        <v>0</v>
      </c>
      <c r="AW119" s="402" t="s">
        <v>3387</v>
      </c>
      <c r="AX119" s="376">
        <v>45765</v>
      </c>
      <c r="AY119" s="373" t="s">
        <v>3388</v>
      </c>
      <c r="AZ119" s="375"/>
      <c r="BA119" s="375">
        <v>395000000</v>
      </c>
      <c r="BB119" s="156"/>
      <c r="BC119" s="156"/>
      <c r="BD119" s="353">
        <f t="shared" si="6"/>
        <v>395000000</v>
      </c>
      <c r="BE119" s="432" t="s">
        <v>355</v>
      </c>
      <c r="BF119" s="407" t="s">
        <v>513</v>
      </c>
      <c r="BG119" s="168"/>
      <c r="BH119" s="274"/>
      <c r="BI119" s="168"/>
      <c r="BJ119" s="274"/>
      <c r="BK119" s="168"/>
      <c r="BL119" s="275"/>
      <c r="BM119" s="276"/>
      <c r="BN119" s="275"/>
      <c r="BO119" s="276"/>
      <c r="BP119" s="277"/>
      <c r="BQ119" s="156"/>
      <c r="BR119" s="274"/>
      <c r="BS119" s="270"/>
      <c r="BT119" s="270"/>
      <c r="BU119" s="274"/>
      <c r="BV119" s="274"/>
      <c r="BW119" s="278"/>
      <c r="BX119" s="278"/>
      <c r="BY119" s="278"/>
      <c r="BZ119" s="351"/>
    </row>
    <row r="120" spans="1:78" s="90" customFormat="1" ht="19.5" hidden="1" customHeight="1">
      <c r="A120" s="137"/>
      <c r="B120" s="197">
        <f t="shared" si="4"/>
        <v>110</v>
      </c>
      <c r="C120" s="30" t="s">
        <v>206</v>
      </c>
      <c r="D120" s="30" t="s">
        <v>225</v>
      </c>
      <c r="E120" s="234" t="s">
        <v>734</v>
      </c>
      <c r="F120" s="235" t="s">
        <v>1316</v>
      </c>
      <c r="G120" s="284">
        <f>IFERROR(VLOOKUP(E120,Assign!$C$2:$J$142,8,FALSE),)</f>
        <v>0</v>
      </c>
      <c r="H120" s="361" t="s">
        <v>5255</v>
      </c>
      <c r="I120" s="363">
        <v>1</v>
      </c>
      <c r="J120" s="364" t="s">
        <v>212</v>
      </c>
      <c r="K120" s="364" t="s">
        <v>304</v>
      </c>
      <c r="L120" s="365" t="s">
        <v>270</v>
      </c>
      <c r="M120" s="362" t="s">
        <v>2747</v>
      </c>
      <c r="N120" s="421" t="s">
        <v>546</v>
      </c>
      <c r="O120" s="269">
        <v>27.013300000000001</v>
      </c>
      <c r="P120" s="269">
        <v>102.38</v>
      </c>
      <c r="Q120" s="426"/>
      <c r="R120" s="418" t="s">
        <v>734</v>
      </c>
      <c r="S120" s="427" t="s">
        <v>613</v>
      </c>
      <c r="T120" s="357">
        <v>1</v>
      </c>
      <c r="U120" s="357" t="s">
        <v>204</v>
      </c>
      <c r="V120" s="367">
        <v>294720000</v>
      </c>
      <c r="W120" s="368">
        <v>294720000</v>
      </c>
      <c r="X120" s="357"/>
      <c r="Y120" s="357"/>
      <c r="Z120" s="400"/>
      <c r="AA120" s="369"/>
      <c r="AB120" s="370"/>
      <c r="AC120" s="404"/>
      <c r="AD120" s="270"/>
      <c r="AE120" s="156"/>
      <c r="AF120" s="156"/>
      <c r="AG120" s="357"/>
      <c r="AH120" s="357"/>
      <c r="AI120" s="357"/>
      <c r="AJ120" s="156"/>
      <c r="AK120" s="156"/>
      <c r="AL120" s="375"/>
      <c r="AM120" s="405"/>
      <c r="AN120" s="273"/>
      <c r="AO120" s="405"/>
      <c r="AP120" s="273"/>
      <c r="AQ120" s="273"/>
      <c r="AR120" s="273"/>
      <c r="AS120" s="273"/>
      <c r="AT120" s="273"/>
      <c r="AU120" s="273"/>
      <c r="AV120" s="322">
        <f t="shared" si="5"/>
        <v>0</v>
      </c>
      <c r="AW120" s="402"/>
      <c r="AX120" s="376"/>
      <c r="AY120" s="373"/>
      <c r="AZ120" s="375"/>
      <c r="BA120" s="375"/>
      <c r="BB120" s="156"/>
      <c r="BC120" s="156"/>
      <c r="BD120" s="353">
        <f t="shared" si="6"/>
        <v>0</v>
      </c>
      <c r="BE120" s="432" t="s">
        <v>335</v>
      </c>
      <c r="BF120" s="407" t="s">
        <v>496</v>
      </c>
      <c r="BG120" s="168" t="s">
        <v>1373</v>
      </c>
      <c r="BH120" s="274">
        <v>45611</v>
      </c>
      <c r="BI120" s="168" t="s">
        <v>3335</v>
      </c>
      <c r="BJ120" s="274">
        <v>45698</v>
      </c>
      <c r="BK120" s="168">
        <v>251946678</v>
      </c>
      <c r="BL120" s="275"/>
      <c r="BM120" s="276"/>
      <c r="BN120" s="275"/>
      <c r="BO120" s="276"/>
      <c r="BP120" s="277"/>
      <c r="BQ120" s="156"/>
      <c r="BR120" s="274"/>
      <c r="BS120" s="270"/>
      <c r="BT120" s="270"/>
      <c r="BU120" s="274"/>
      <c r="BV120" s="274"/>
      <c r="BW120" s="278"/>
      <c r="BX120" s="278"/>
      <c r="BY120" s="278"/>
      <c r="BZ120" s="351"/>
    </row>
    <row r="121" spans="1:78" s="90" customFormat="1" ht="19.5" hidden="1" customHeight="1">
      <c r="A121" s="137"/>
      <c r="B121" s="197">
        <f t="shared" si="4"/>
        <v>111</v>
      </c>
      <c r="C121" s="30" t="s">
        <v>206</v>
      </c>
      <c r="D121" s="30" t="s">
        <v>225</v>
      </c>
      <c r="E121" s="234" t="s">
        <v>735</v>
      </c>
      <c r="F121" s="235" t="s">
        <v>1243</v>
      </c>
      <c r="G121" s="284">
        <f>IFERROR(VLOOKUP(E121,Assign!$C$2:$J$142,8,FALSE),)</f>
        <v>0</v>
      </c>
      <c r="H121" s="361" t="s">
        <v>5366</v>
      </c>
      <c r="I121" s="363">
        <v>1</v>
      </c>
      <c r="J121" s="364" t="s">
        <v>208</v>
      </c>
      <c r="K121" s="364" t="s">
        <v>250</v>
      </c>
      <c r="L121" s="365" t="s">
        <v>264</v>
      </c>
      <c r="M121" s="362" t="s">
        <v>3181</v>
      </c>
      <c r="N121" s="421" t="s">
        <v>546</v>
      </c>
      <c r="O121" s="269">
        <v>29.090000000000003</v>
      </c>
      <c r="P121" s="269">
        <v>91.76</v>
      </c>
      <c r="Q121" s="426"/>
      <c r="R121" s="418" t="s">
        <v>735</v>
      </c>
      <c r="S121" s="427" t="s">
        <v>613</v>
      </c>
      <c r="T121" s="357">
        <v>1</v>
      </c>
      <c r="U121" s="357" t="s">
        <v>204</v>
      </c>
      <c r="V121" s="367">
        <v>294000000</v>
      </c>
      <c r="W121" s="368">
        <v>294000000</v>
      </c>
      <c r="X121" s="357"/>
      <c r="Y121" s="357"/>
      <c r="Z121" s="400"/>
      <c r="AA121" s="369"/>
      <c r="AB121" s="370"/>
      <c r="AC121" s="404"/>
      <c r="AD121" s="270"/>
      <c r="AE121" s="156"/>
      <c r="AF121" s="156"/>
      <c r="AG121" s="357"/>
      <c r="AH121" s="357"/>
      <c r="AI121" s="357"/>
      <c r="AJ121" s="156"/>
      <c r="AK121" s="156"/>
      <c r="AL121" s="375"/>
      <c r="AM121" s="405"/>
      <c r="AN121" s="273"/>
      <c r="AO121" s="405"/>
      <c r="AP121" s="273"/>
      <c r="AQ121" s="273"/>
      <c r="AR121" s="273"/>
      <c r="AS121" s="273"/>
      <c r="AT121" s="273"/>
      <c r="AU121" s="273"/>
      <c r="AV121" s="322">
        <f t="shared" si="5"/>
        <v>0</v>
      </c>
      <c r="AW121" s="402"/>
      <c r="AX121" s="376"/>
      <c r="AY121" s="373"/>
      <c r="AZ121" s="375"/>
      <c r="BA121" s="375"/>
      <c r="BB121" s="375"/>
      <c r="BC121" s="375"/>
      <c r="BD121" s="353">
        <f t="shared" si="6"/>
        <v>0</v>
      </c>
      <c r="BE121" s="432" t="s">
        <v>355</v>
      </c>
      <c r="BF121" s="407" t="s">
        <v>493</v>
      </c>
      <c r="BG121" s="168"/>
      <c r="BH121" s="274"/>
      <c r="BI121" s="168"/>
      <c r="BJ121" s="274"/>
      <c r="BK121" s="168"/>
      <c r="BL121" s="275"/>
      <c r="BM121" s="276"/>
      <c r="BN121" s="275"/>
      <c r="BO121" s="276"/>
      <c r="BP121" s="277"/>
      <c r="BQ121" s="156"/>
      <c r="BR121" s="274"/>
      <c r="BS121" s="270"/>
      <c r="BT121" s="270"/>
      <c r="BU121" s="274"/>
      <c r="BV121" s="274"/>
      <c r="BW121" s="278"/>
      <c r="BX121" s="278"/>
      <c r="BY121" s="278"/>
      <c r="BZ121" s="351"/>
    </row>
    <row r="122" spans="1:78" s="90" customFormat="1" ht="19.5" hidden="1" customHeight="1">
      <c r="A122" s="137"/>
      <c r="B122" s="197">
        <f t="shared" si="4"/>
        <v>112</v>
      </c>
      <c r="C122" s="30" t="s">
        <v>206</v>
      </c>
      <c r="D122" s="30" t="s">
        <v>225</v>
      </c>
      <c r="E122" s="234" t="s">
        <v>736</v>
      </c>
      <c r="F122" s="235" t="s">
        <v>1235</v>
      </c>
      <c r="G122" s="284">
        <f>IFERROR(VLOOKUP(E122,Assign!$C$2:$J$142,8,FALSE),)</f>
        <v>0</v>
      </c>
      <c r="H122" s="361" t="s">
        <v>4169</v>
      </c>
      <c r="I122" s="363">
        <v>1</v>
      </c>
      <c r="J122" s="364" t="s">
        <v>208</v>
      </c>
      <c r="K122" s="364" t="s">
        <v>301</v>
      </c>
      <c r="L122" s="365" t="s">
        <v>1743</v>
      </c>
      <c r="M122" s="362" t="s">
        <v>1744</v>
      </c>
      <c r="N122" s="421" t="s">
        <v>606</v>
      </c>
      <c r="O122" s="269">
        <v>67.5</v>
      </c>
      <c r="P122" s="269">
        <v>57.384</v>
      </c>
      <c r="Q122" s="426"/>
      <c r="R122" s="418" t="s">
        <v>736</v>
      </c>
      <c r="S122" s="427" t="s">
        <v>613</v>
      </c>
      <c r="T122" s="357">
        <v>1</v>
      </c>
      <c r="U122" s="357" t="s">
        <v>204</v>
      </c>
      <c r="V122" s="367">
        <v>292800000</v>
      </c>
      <c r="W122" s="368">
        <v>292800000</v>
      </c>
      <c r="X122" s="357"/>
      <c r="Y122" s="357"/>
      <c r="Z122" s="400"/>
      <c r="AA122" s="369"/>
      <c r="AB122" s="370"/>
      <c r="AC122" s="404"/>
      <c r="AD122" s="270"/>
      <c r="AE122" s="156"/>
      <c r="AF122" s="156"/>
      <c r="AG122" s="357"/>
      <c r="AH122" s="357"/>
      <c r="AI122" s="357"/>
      <c r="AJ122" s="156"/>
      <c r="AK122" s="156"/>
      <c r="AL122" s="375"/>
      <c r="AM122" s="405"/>
      <c r="AN122" s="273"/>
      <c r="AO122" s="405"/>
      <c r="AP122" s="273"/>
      <c r="AQ122" s="273"/>
      <c r="AR122" s="273"/>
      <c r="AS122" s="273"/>
      <c r="AT122" s="273"/>
      <c r="AU122" s="273"/>
      <c r="AV122" s="322">
        <f t="shared" si="5"/>
        <v>0</v>
      </c>
      <c r="AW122" s="402"/>
      <c r="AX122" s="376"/>
      <c r="AY122" s="373"/>
      <c r="AZ122" s="375"/>
      <c r="BA122" s="375"/>
      <c r="BB122" s="375"/>
      <c r="BC122" s="375"/>
      <c r="BD122" s="353">
        <f t="shared" si="6"/>
        <v>0</v>
      </c>
      <c r="BE122" s="432" t="s">
        <v>355</v>
      </c>
      <c r="BF122" s="407" t="s">
        <v>502</v>
      </c>
      <c r="BG122" s="168"/>
      <c r="BH122" s="274"/>
      <c r="BI122" s="168"/>
      <c r="BJ122" s="274"/>
      <c r="BK122" s="168"/>
      <c r="BL122" s="275"/>
      <c r="BM122" s="276"/>
      <c r="BN122" s="275"/>
      <c r="BO122" s="276"/>
      <c r="BP122" s="277"/>
      <c r="BQ122" s="156"/>
      <c r="BR122" s="274"/>
      <c r="BS122" s="270"/>
      <c r="BT122" s="270"/>
      <c r="BU122" s="274"/>
      <c r="BV122" s="274"/>
      <c r="BW122" s="278"/>
      <c r="BX122" s="278"/>
      <c r="BY122" s="278"/>
      <c r="BZ122" s="351"/>
    </row>
    <row r="123" spans="1:78" s="90" customFormat="1" ht="19.5" hidden="1" customHeight="1">
      <c r="A123" s="137"/>
      <c r="B123" s="197">
        <f t="shared" si="4"/>
        <v>113</v>
      </c>
      <c r="C123" s="30" t="s">
        <v>206</v>
      </c>
      <c r="D123" s="30" t="s">
        <v>225</v>
      </c>
      <c r="E123" s="234" t="s">
        <v>737</v>
      </c>
      <c r="F123" s="235" t="s">
        <v>1245</v>
      </c>
      <c r="G123" s="284" t="str">
        <f>IFERROR(VLOOKUP(E123,Assign!$C$2:$J$142,8,FALSE),)</f>
        <v>문선영</v>
      </c>
      <c r="H123" s="361" t="s">
        <v>5328</v>
      </c>
      <c r="I123" s="363">
        <v>1</v>
      </c>
      <c r="J123" s="364" t="s">
        <v>220</v>
      </c>
      <c r="K123" s="364" t="s">
        <v>2574</v>
      </c>
      <c r="L123" s="365" t="s">
        <v>2809</v>
      </c>
      <c r="M123" s="362" t="s">
        <v>3177</v>
      </c>
      <c r="N123" s="421" t="s">
        <v>285</v>
      </c>
      <c r="O123" s="269">
        <v>7391</v>
      </c>
      <c r="P123" s="269">
        <v>799.76</v>
      </c>
      <c r="Q123" s="426"/>
      <c r="R123" s="418" t="s">
        <v>737</v>
      </c>
      <c r="S123" s="427" t="s">
        <v>613</v>
      </c>
      <c r="T123" s="357">
        <v>1</v>
      </c>
      <c r="U123" s="357" t="s">
        <v>204</v>
      </c>
      <c r="V123" s="367">
        <v>288000000</v>
      </c>
      <c r="W123" s="368">
        <v>288000000</v>
      </c>
      <c r="X123" s="357"/>
      <c r="Y123" s="357"/>
      <c r="Z123" s="400"/>
      <c r="AA123" s="369"/>
      <c r="AB123" s="370"/>
      <c r="AC123" s="404"/>
      <c r="AD123" s="270"/>
      <c r="AE123" s="156"/>
      <c r="AF123" s="156"/>
      <c r="AG123" s="357"/>
      <c r="AH123" s="357"/>
      <c r="AI123" s="357"/>
      <c r="AJ123" s="156"/>
      <c r="AK123" s="156"/>
      <c r="AL123" s="375"/>
      <c r="AM123" s="405"/>
      <c r="AN123" s="273"/>
      <c r="AO123" s="405"/>
      <c r="AP123" s="273"/>
      <c r="AQ123" s="273"/>
      <c r="AR123" s="273"/>
      <c r="AS123" s="273"/>
      <c r="AT123" s="273"/>
      <c r="AU123" s="273"/>
      <c r="AV123" s="322">
        <f t="shared" si="5"/>
        <v>0</v>
      </c>
      <c r="AW123" s="402"/>
      <c r="AX123" s="274"/>
      <c r="AY123" s="270"/>
      <c r="AZ123" s="156"/>
      <c r="BA123" s="156"/>
      <c r="BB123" s="156"/>
      <c r="BC123" s="156"/>
      <c r="BD123" s="353">
        <f t="shared" si="6"/>
        <v>0</v>
      </c>
      <c r="BE123" s="432" t="s">
        <v>355</v>
      </c>
      <c r="BF123" s="407" t="s">
        <v>523</v>
      </c>
      <c r="BG123" s="168"/>
      <c r="BH123" s="274"/>
      <c r="BI123" s="168"/>
      <c r="BJ123" s="274"/>
      <c r="BK123" s="168"/>
      <c r="BL123" s="275"/>
      <c r="BM123" s="276"/>
      <c r="BN123" s="275"/>
      <c r="BO123" s="276"/>
      <c r="BP123" s="277"/>
      <c r="BQ123" s="156"/>
      <c r="BR123" s="274"/>
      <c r="BS123" s="270"/>
      <c r="BT123" s="270"/>
      <c r="BU123" s="274"/>
      <c r="BV123" s="274"/>
      <c r="BW123" s="278"/>
      <c r="BX123" s="278"/>
      <c r="BY123" s="278"/>
      <c r="BZ123" s="351"/>
    </row>
    <row r="124" spans="1:78" s="90" customFormat="1" ht="19.5" hidden="1" customHeight="1">
      <c r="A124" s="137"/>
      <c r="B124" s="197">
        <f t="shared" si="4"/>
        <v>114</v>
      </c>
      <c r="C124" s="30" t="s">
        <v>206</v>
      </c>
      <c r="D124" s="30" t="s">
        <v>225</v>
      </c>
      <c r="E124" s="234" t="s">
        <v>738</v>
      </c>
      <c r="F124" s="235" t="s">
        <v>1226</v>
      </c>
      <c r="G124" s="284">
        <f>IFERROR(VLOOKUP(E124,Assign!$C$2:$J$142,8,FALSE),)</f>
        <v>0</v>
      </c>
      <c r="H124" s="361" t="s">
        <v>4509</v>
      </c>
      <c r="I124" s="363">
        <v>1</v>
      </c>
      <c r="J124" s="364" t="s">
        <v>208</v>
      </c>
      <c r="K124" s="364" t="s">
        <v>324</v>
      </c>
      <c r="L124" s="365" t="s">
        <v>2051</v>
      </c>
      <c r="M124" s="362" t="s">
        <v>2052</v>
      </c>
      <c r="N124" s="421" t="s">
        <v>207</v>
      </c>
      <c r="O124" s="269">
        <v>66.896500000000003</v>
      </c>
      <c r="P124" s="269">
        <v>83.806600000000003</v>
      </c>
      <c r="Q124" s="426"/>
      <c r="R124" s="418" t="s">
        <v>3498</v>
      </c>
      <c r="S124" s="427" t="s">
        <v>613</v>
      </c>
      <c r="T124" s="357">
        <v>1</v>
      </c>
      <c r="U124" s="357" t="s">
        <v>204</v>
      </c>
      <c r="V124" s="367">
        <v>249700000</v>
      </c>
      <c r="W124" s="368">
        <v>249700000</v>
      </c>
      <c r="X124" s="357"/>
      <c r="Y124" s="357"/>
      <c r="Z124" s="400"/>
      <c r="AA124" s="369"/>
      <c r="AB124" s="370"/>
      <c r="AC124" s="404"/>
      <c r="AD124" s="270"/>
      <c r="AE124" s="156"/>
      <c r="AF124" s="156"/>
      <c r="AG124" s="357"/>
      <c r="AH124" s="357"/>
      <c r="AI124" s="357"/>
      <c r="AJ124" s="156"/>
      <c r="AK124" s="156"/>
      <c r="AL124" s="375"/>
      <c r="AM124" s="405"/>
      <c r="AN124" s="273"/>
      <c r="AO124" s="405"/>
      <c r="AP124" s="273"/>
      <c r="AQ124" s="273"/>
      <c r="AR124" s="273"/>
      <c r="AS124" s="273"/>
      <c r="AT124" s="273"/>
      <c r="AU124" s="273"/>
      <c r="AV124" s="322">
        <f t="shared" si="5"/>
        <v>0</v>
      </c>
      <c r="AW124" s="402" t="s">
        <v>3387</v>
      </c>
      <c r="AX124" s="376">
        <v>45765</v>
      </c>
      <c r="AY124" s="373" t="s">
        <v>3388</v>
      </c>
      <c r="AZ124" s="375"/>
      <c r="BA124" s="375">
        <v>290000000</v>
      </c>
      <c r="BB124" s="156"/>
      <c r="BC124" s="156"/>
      <c r="BD124" s="353">
        <f t="shared" si="6"/>
        <v>290000000</v>
      </c>
      <c r="BE124" s="432" t="s">
        <v>355</v>
      </c>
      <c r="BF124" s="407" t="s">
        <v>424</v>
      </c>
      <c r="BG124" s="168"/>
      <c r="BH124" s="274"/>
      <c r="BI124" s="168"/>
      <c r="BJ124" s="274"/>
      <c r="BK124" s="168"/>
      <c r="BL124" s="275"/>
      <c r="BM124" s="276"/>
      <c r="BN124" s="275"/>
      <c r="BO124" s="276"/>
      <c r="BP124" s="277"/>
      <c r="BQ124" s="156"/>
      <c r="BR124" s="274"/>
      <c r="BS124" s="270"/>
      <c r="BT124" s="270"/>
      <c r="BU124" s="274"/>
      <c r="BV124" s="274"/>
      <c r="BW124" s="278"/>
      <c r="BX124" s="278"/>
      <c r="BY124" s="278"/>
      <c r="BZ124" s="351"/>
    </row>
    <row r="125" spans="1:78" s="90" customFormat="1" ht="19.5" hidden="1" customHeight="1">
      <c r="A125" s="137"/>
      <c r="B125" s="197">
        <f t="shared" si="4"/>
        <v>115</v>
      </c>
      <c r="C125" s="30" t="s">
        <v>206</v>
      </c>
      <c r="D125" s="30" t="s">
        <v>225</v>
      </c>
      <c r="E125" s="234" t="s">
        <v>739</v>
      </c>
      <c r="F125" s="235" t="s">
        <v>1246</v>
      </c>
      <c r="G125" s="284">
        <f>IFERROR(VLOOKUP(E125,Assign!$C$2:$J$142,8,FALSE),)</f>
        <v>0</v>
      </c>
      <c r="H125" s="361" t="s">
        <v>4559</v>
      </c>
      <c r="I125" s="363">
        <v>1</v>
      </c>
      <c r="J125" s="364" t="s">
        <v>208</v>
      </c>
      <c r="K125" s="364" t="s">
        <v>280</v>
      </c>
      <c r="L125" s="365" t="s">
        <v>2098</v>
      </c>
      <c r="M125" s="362" t="s">
        <v>2099</v>
      </c>
      <c r="N125" s="421" t="s">
        <v>207</v>
      </c>
      <c r="O125" s="269">
        <v>40.316400000000002</v>
      </c>
      <c r="P125" s="269">
        <v>84.62</v>
      </c>
      <c r="Q125" s="426"/>
      <c r="R125" s="418" t="s">
        <v>739</v>
      </c>
      <c r="S125" s="427" t="s">
        <v>613</v>
      </c>
      <c r="T125" s="357" t="s">
        <v>229</v>
      </c>
      <c r="U125" s="357" t="s">
        <v>204</v>
      </c>
      <c r="V125" s="367">
        <v>259600000</v>
      </c>
      <c r="W125" s="368">
        <v>259600000</v>
      </c>
      <c r="X125" s="357"/>
      <c r="Y125" s="357"/>
      <c r="Z125" s="400"/>
      <c r="AA125" s="369"/>
      <c r="AB125" s="370"/>
      <c r="AC125" s="404"/>
      <c r="AD125" s="270"/>
      <c r="AE125" s="156"/>
      <c r="AF125" s="156"/>
      <c r="AG125" s="357"/>
      <c r="AH125" s="357"/>
      <c r="AI125" s="357"/>
      <c r="AJ125" s="156"/>
      <c r="AK125" s="156"/>
      <c r="AL125" s="375"/>
      <c r="AM125" s="405"/>
      <c r="AN125" s="273"/>
      <c r="AO125" s="405"/>
      <c r="AP125" s="273"/>
      <c r="AQ125" s="273"/>
      <c r="AR125" s="273"/>
      <c r="AS125" s="273"/>
      <c r="AT125" s="273"/>
      <c r="AU125" s="273"/>
      <c r="AV125" s="322">
        <f t="shared" si="5"/>
        <v>0</v>
      </c>
      <c r="AW125" s="402" t="s">
        <v>3387</v>
      </c>
      <c r="AX125" s="376">
        <v>45765</v>
      </c>
      <c r="AY125" s="373" t="s">
        <v>3388</v>
      </c>
      <c r="AZ125" s="375"/>
      <c r="BA125" s="375">
        <v>310000000</v>
      </c>
      <c r="BB125" s="375"/>
      <c r="BC125" s="375"/>
      <c r="BD125" s="353">
        <f t="shared" si="6"/>
        <v>310000000</v>
      </c>
      <c r="BE125" s="432" t="s">
        <v>355</v>
      </c>
      <c r="BF125" s="407" t="s">
        <v>422</v>
      </c>
      <c r="BG125" s="168"/>
      <c r="BH125" s="274"/>
      <c r="BI125" s="168"/>
      <c r="BJ125" s="274"/>
      <c r="BK125" s="168"/>
      <c r="BL125" s="275"/>
      <c r="BM125" s="276"/>
      <c r="BN125" s="275"/>
      <c r="BO125" s="276"/>
      <c r="BP125" s="277"/>
      <c r="BQ125" s="156"/>
      <c r="BR125" s="274"/>
      <c r="BS125" s="270"/>
      <c r="BT125" s="270"/>
      <c r="BU125" s="274"/>
      <c r="BV125" s="274"/>
      <c r="BW125" s="278"/>
      <c r="BX125" s="278"/>
      <c r="BY125" s="278"/>
      <c r="BZ125" s="351"/>
    </row>
    <row r="126" spans="1:78" s="90" customFormat="1" ht="19.5" hidden="1" customHeight="1">
      <c r="A126" s="137"/>
      <c r="B126" s="197">
        <f t="shared" si="4"/>
        <v>116</v>
      </c>
      <c r="C126" s="30" t="s">
        <v>206</v>
      </c>
      <c r="D126" s="30" t="s">
        <v>225</v>
      </c>
      <c r="E126" s="234" t="s">
        <v>740</v>
      </c>
      <c r="F126" s="235" t="s">
        <v>1217</v>
      </c>
      <c r="G126" s="284">
        <f>IFERROR(VLOOKUP(E126,Assign!$C$2:$J$142,8,FALSE),)</f>
        <v>0</v>
      </c>
      <c r="H126" s="361" t="s">
        <v>4845</v>
      </c>
      <c r="I126" s="363">
        <v>1</v>
      </c>
      <c r="J126" s="364" t="s">
        <v>208</v>
      </c>
      <c r="K126" s="364" t="s">
        <v>258</v>
      </c>
      <c r="L126" s="365" t="s">
        <v>327</v>
      </c>
      <c r="M126" s="362" t="s">
        <v>2373</v>
      </c>
      <c r="N126" s="421" t="s">
        <v>207</v>
      </c>
      <c r="O126" s="269">
        <v>43.383000000000003</v>
      </c>
      <c r="P126" s="269">
        <v>65.049000000000007</v>
      </c>
      <c r="Q126" s="426"/>
      <c r="R126" s="418" t="s">
        <v>740</v>
      </c>
      <c r="S126" s="427" t="s">
        <v>613</v>
      </c>
      <c r="T126" s="357">
        <v>1</v>
      </c>
      <c r="U126" s="357" t="s">
        <v>204</v>
      </c>
      <c r="V126" s="367">
        <v>264000000</v>
      </c>
      <c r="W126" s="368">
        <v>264000000</v>
      </c>
      <c r="X126" s="357"/>
      <c r="Y126" s="357"/>
      <c r="Z126" s="400"/>
      <c r="AA126" s="369"/>
      <c r="AB126" s="370"/>
      <c r="AC126" s="404"/>
      <c r="AD126" s="270"/>
      <c r="AE126" s="156"/>
      <c r="AF126" s="156"/>
      <c r="AG126" s="357"/>
      <c r="AH126" s="357"/>
      <c r="AI126" s="357"/>
      <c r="AJ126" s="156"/>
      <c r="AK126" s="156"/>
      <c r="AL126" s="375"/>
      <c r="AM126" s="405"/>
      <c r="AN126" s="273"/>
      <c r="AO126" s="405"/>
      <c r="AP126" s="273"/>
      <c r="AQ126" s="273"/>
      <c r="AR126" s="273"/>
      <c r="AS126" s="273"/>
      <c r="AT126" s="273"/>
      <c r="AU126" s="273"/>
      <c r="AV126" s="322">
        <f t="shared" si="5"/>
        <v>0</v>
      </c>
      <c r="AW126" s="402" t="s">
        <v>3387</v>
      </c>
      <c r="AX126" s="274">
        <v>45765</v>
      </c>
      <c r="AY126" s="270" t="s">
        <v>3388</v>
      </c>
      <c r="AZ126" s="156"/>
      <c r="BA126" s="156">
        <v>485000000</v>
      </c>
      <c r="BB126" s="156"/>
      <c r="BC126" s="156"/>
      <c r="BD126" s="353">
        <f t="shared" si="6"/>
        <v>485000000</v>
      </c>
      <c r="BE126" s="432" t="s">
        <v>355</v>
      </c>
      <c r="BF126" s="407" t="s">
        <v>498</v>
      </c>
      <c r="BG126" s="168"/>
      <c r="BH126" s="274"/>
      <c r="BI126" s="168"/>
      <c r="BJ126" s="274"/>
      <c r="BK126" s="168"/>
      <c r="BL126" s="275"/>
      <c r="BM126" s="276"/>
      <c r="BN126" s="275"/>
      <c r="BO126" s="276"/>
      <c r="BP126" s="277"/>
      <c r="BQ126" s="156"/>
      <c r="BR126" s="274"/>
      <c r="BS126" s="270"/>
      <c r="BT126" s="270"/>
      <c r="BU126" s="274"/>
      <c r="BV126" s="274"/>
      <c r="BW126" s="278"/>
      <c r="BX126" s="278"/>
      <c r="BY126" s="278"/>
      <c r="BZ126" s="351"/>
    </row>
    <row r="127" spans="1:78" s="90" customFormat="1" ht="19.5" customHeight="1">
      <c r="A127" s="137"/>
      <c r="B127" s="197">
        <f t="shared" si="4"/>
        <v>117</v>
      </c>
      <c r="C127" s="30" t="s">
        <v>206</v>
      </c>
      <c r="D127" s="30" t="s">
        <v>225</v>
      </c>
      <c r="E127" s="234" t="s">
        <v>741</v>
      </c>
      <c r="F127" s="235" t="s">
        <v>1218</v>
      </c>
      <c r="G127" s="284" t="str">
        <f>IFERROR(VLOOKUP(E127,Assign!$C$2:$J$142,8,FALSE),)</f>
        <v>문선영</v>
      </c>
      <c r="H127" s="361" t="s">
        <v>4751</v>
      </c>
      <c r="I127" s="363">
        <v>1</v>
      </c>
      <c r="J127" s="364" t="s">
        <v>214</v>
      </c>
      <c r="K127" s="364" t="s">
        <v>338</v>
      </c>
      <c r="L127" s="365" t="s">
        <v>1627</v>
      </c>
      <c r="M127" s="362" t="s">
        <v>2283</v>
      </c>
      <c r="N127" s="421" t="s">
        <v>207</v>
      </c>
      <c r="O127" s="269">
        <v>45.946399999999997</v>
      </c>
      <c r="P127" s="269">
        <v>84.957599999999999</v>
      </c>
      <c r="Q127" s="426"/>
      <c r="R127" s="418" t="s">
        <v>741</v>
      </c>
      <c r="S127" s="427" t="s">
        <v>613</v>
      </c>
      <c r="T127" s="357">
        <v>1</v>
      </c>
      <c r="U127" s="357" t="s">
        <v>204</v>
      </c>
      <c r="V127" s="367">
        <v>242000000</v>
      </c>
      <c r="W127" s="368">
        <v>242000000</v>
      </c>
      <c r="X127" s="357"/>
      <c r="Y127" s="357"/>
      <c r="Z127" s="400"/>
      <c r="AA127" s="369"/>
      <c r="AB127" s="370"/>
      <c r="AC127" s="404"/>
      <c r="AD127" s="270"/>
      <c r="AE127" s="156"/>
      <c r="AF127" s="156"/>
      <c r="AG127" s="357"/>
      <c r="AH127" s="357"/>
      <c r="AI127" s="357"/>
      <c r="AJ127" s="156"/>
      <c r="AK127" s="156"/>
      <c r="AL127" s="375"/>
      <c r="AM127" s="405"/>
      <c r="AN127" s="273"/>
      <c r="AO127" s="405"/>
      <c r="AP127" s="273"/>
      <c r="AQ127" s="273"/>
      <c r="AR127" s="273"/>
      <c r="AS127" s="273"/>
      <c r="AT127" s="273"/>
      <c r="AU127" s="273"/>
      <c r="AV127" s="322">
        <f t="shared" si="5"/>
        <v>0</v>
      </c>
      <c r="AW127" s="402" t="s">
        <v>3650</v>
      </c>
      <c r="AX127" s="376">
        <v>45567</v>
      </c>
      <c r="AY127" s="373" t="s">
        <v>3659</v>
      </c>
      <c r="AZ127" s="375"/>
      <c r="BA127" s="375">
        <v>329000000</v>
      </c>
      <c r="BB127" s="156"/>
      <c r="BC127" s="156"/>
      <c r="BD127" s="353">
        <f t="shared" si="6"/>
        <v>329000000</v>
      </c>
      <c r="BE127" s="432" t="s">
        <v>335</v>
      </c>
      <c r="BF127" s="407" t="s">
        <v>500</v>
      </c>
      <c r="BG127" s="168" t="s">
        <v>3401</v>
      </c>
      <c r="BH127" s="274">
        <v>45547</v>
      </c>
      <c r="BI127" s="168" t="s">
        <v>3248</v>
      </c>
      <c r="BJ127" s="274">
        <v>45649</v>
      </c>
      <c r="BK127" s="168">
        <v>70800000</v>
      </c>
      <c r="BL127" s="275"/>
      <c r="BM127" s="276"/>
      <c r="BN127" s="275"/>
      <c r="BO127" s="276"/>
      <c r="BP127" s="277"/>
      <c r="BQ127" s="156">
        <v>329000000</v>
      </c>
      <c r="BR127" s="274">
        <v>45747</v>
      </c>
      <c r="BS127" s="270">
        <v>1</v>
      </c>
      <c r="BT127" s="270" t="s">
        <v>609</v>
      </c>
      <c r="BU127" s="274">
        <v>45747</v>
      </c>
      <c r="BV127" s="274">
        <v>45789</v>
      </c>
      <c r="BW127" s="278"/>
      <c r="BX127" s="278">
        <v>329000000</v>
      </c>
      <c r="BY127" s="278">
        <v>230300000</v>
      </c>
      <c r="BZ127" s="351"/>
    </row>
    <row r="128" spans="1:78" s="90" customFormat="1" ht="19.5" hidden="1" customHeight="1">
      <c r="A128" s="137"/>
      <c r="B128" s="197">
        <f t="shared" si="4"/>
        <v>118</v>
      </c>
      <c r="C128" s="30" t="s">
        <v>206</v>
      </c>
      <c r="D128" s="30" t="s">
        <v>225</v>
      </c>
      <c r="E128" s="234" t="s">
        <v>742</v>
      </c>
      <c r="F128" s="235" t="s">
        <v>1225</v>
      </c>
      <c r="G128" s="284">
        <f>IFERROR(VLOOKUP(E128,Assign!$C$2:$J$142,8,FALSE),)</f>
        <v>0</v>
      </c>
      <c r="H128" s="361" t="s">
        <v>4771</v>
      </c>
      <c r="I128" s="363">
        <v>1</v>
      </c>
      <c r="J128" s="364" t="s">
        <v>210</v>
      </c>
      <c r="K128" s="364" t="s">
        <v>232</v>
      </c>
      <c r="L128" s="365" t="s">
        <v>2303</v>
      </c>
      <c r="M128" s="362" t="s">
        <v>2304</v>
      </c>
      <c r="N128" s="421" t="s">
        <v>207</v>
      </c>
      <c r="O128" s="269">
        <v>75.897000000000006</v>
      </c>
      <c r="P128" s="269">
        <v>162.02500000000001</v>
      </c>
      <c r="Q128" s="426"/>
      <c r="R128" s="418" t="s">
        <v>742</v>
      </c>
      <c r="S128" s="427" t="s">
        <v>613</v>
      </c>
      <c r="T128" s="357">
        <v>1</v>
      </c>
      <c r="U128" s="357" t="s">
        <v>204</v>
      </c>
      <c r="V128" s="367">
        <v>261600000</v>
      </c>
      <c r="W128" s="368">
        <v>261600000</v>
      </c>
      <c r="X128" s="357"/>
      <c r="Y128" s="357"/>
      <c r="Z128" s="400"/>
      <c r="AA128" s="369"/>
      <c r="AB128" s="370"/>
      <c r="AC128" s="404"/>
      <c r="AD128" s="270"/>
      <c r="AE128" s="156"/>
      <c r="AF128" s="156"/>
      <c r="AG128" s="357"/>
      <c r="AH128" s="357"/>
      <c r="AI128" s="357"/>
      <c r="AJ128" s="156"/>
      <c r="AK128" s="156"/>
      <c r="AL128" s="375"/>
      <c r="AM128" s="405"/>
      <c r="AN128" s="273"/>
      <c r="AO128" s="405"/>
      <c r="AP128" s="273"/>
      <c r="AQ128" s="273"/>
      <c r="AR128" s="273"/>
      <c r="AS128" s="273"/>
      <c r="AT128" s="273"/>
      <c r="AU128" s="273"/>
      <c r="AV128" s="322">
        <f t="shared" si="5"/>
        <v>0</v>
      </c>
      <c r="AW128" s="402" t="s">
        <v>3387</v>
      </c>
      <c r="AX128" s="376">
        <v>45765</v>
      </c>
      <c r="AY128" s="373" t="s">
        <v>3388</v>
      </c>
      <c r="AZ128" s="375"/>
      <c r="BA128" s="375">
        <v>380000000</v>
      </c>
      <c r="BB128" s="375"/>
      <c r="BC128" s="375"/>
      <c r="BD128" s="353">
        <f t="shared" si="6"/>
        <v>380000000</v>
      </c>
      <c r="BE128" s="432" t="s">
        <v>355</v>
      </c>
      <c r="BF128" s="407" t="s">
        <v>503</v>
      </c>
      <c r="BG128" s="168"/>
      <c r="BH128" s="274"/>
      <c r="BI128" s="168"/>
      <c r="BJ128" s="274"/>
      <c r="BK128" s="168"/>
      <c r="BL128" s="275"/>
      <c r="BM128" s="276"/>
      <c r="BN128" s="275"/>
      <c r="BO128" s="276"/>
      <c r="BP128" s="277"/>
      <c r="BQ128" s="156"/>
      <c r="BR128" s="274"/>
      <c r="BS128" s="270"/>
      <c r="BT128" s="270"/>
      <c r="BU128" s="274"/>
      <c r="BV128" s="274"/>
      <c r="BW128" s="278"/>
      <c r="BX128" s="278"/>
      <c r="BY128" s="278"/>
      <c r="BZ128" s="351"/>
    </row>
    <row r="129" spans="1:78" s="90" customFormat="1" ht="19.5" hidden="1" customHeight="1">
      <c r="A129" s="137"/>
      <c r="B129" s="197">
        <f t="shared" si="4"/>
        <v>119</v>
      </c>
      <c r="C129" s="30" t="s">
        <v>206</v>
      </c>
      <c r="D129" s="30" t="s">
        <v>225</v>
      </c>
      <c r="E129" s="234" t="s">
        <v>743</v>
      </c>
      <c r="F129" s="235" t="s">
        <v>1229</v>
      </c>
      <c r="G129" s="284" t="str">
        <f>IFERROR(VLOOKUP(E129,Assign!$C$2:$J$142,8,FALSE),)</f>
        <v>문선영</v>
      </c>
      <c r="H129" s="361" t="s">
        <v>5207</v>
      </c>
      <c r="I129" s="363">
        <v>1</v>
      </c>
      <c r="J129" s="364" t="s">
        <v>215</v>
      </c>
      <c r="K129" s="364" t="s">
        <v>311</v>
      </c>
      <c r="L129" s="365" t="s">
        <v>1624</v>
      </c>
      <c r="M129" s="362" t="s">
        <v>2700</v>
      </c>
      <c r="N129" s="421" t="s">
        <v>3078</v>
      </c>
      <c r="O129" s="269">
        <v>15.074299999999999</v>
      </c>
      <c r="P129" s="269">
        <v>84.96</v>
      </c>
      <c r="Q129" s="426"/>
      <c r="R129" s="418" t="s">
        <v>743</v>
      </c>
      <c r="S129" s="427" t="s">
        <v>613</v>
      </c>
      <c r="T129" s="357">
        <v>1</v>
      </c>
      <c r="U129" s="357" t="s">
        <v>204</v>
      </c>
      <c r="V129" s="367">
        <v>242000000</v>
      </c>
      <c r="W129" s="368">
        <v>242000000</v>
      </c>
      <c r="X129" s="357"/>
      <c r="Y129" s="357"/>
      <c r="Z129" s="400"/>
      <c r="AA129" s="369"/>
      <c r="AB129" s="370"/>
      <c r="AC129" s="404"/>
      <c r="AD129" s="270"/>
      <c r="AE129" s="156"/>
      <c r="AF129" s="156"/>
      <c r="AG129" s="357"/>
      <c r="AH129" s="357"/>
      <c r="AI129" s="357"/>
      <c r="AJ129" s="156"/>
      <c r="AK129" s="156"/>
      <c r="AL129" s="375"/>
      <c r="AM129" s="405"/>
      <c r="AN129" s="273"/>
      <c r="AO129" s="405"/>
      <c r="AP129" s="273"/>
      <c r="AQ129" s="273"/>
      <c r="AR129" s="273"/>
      <c r="AS129" s="273"/>
      <c r="AT129" s="273"/>
      <c r="AU129" s="273"/>
      <c r="AV129" s="322">
        <f t="shared" si="5"/>
        <v>0</v>
      </c>
      <c r="AW129" s="402" t="s">
        <v>3387</v>
      </c>
      <c r="AX129" s="376">
        <v>45765</v>
      </c>
      <c r="AY129" s="373" t="s">
        <v>3388</v>
      </c>
      <c r="AZ129" s="375"/>
      <c r="BA129" s="375">
        <v>860000000</v>
      </c>
      <c r="BB129" s="375"/>
      <c r="BC129" s="375"/>
      <c r="BD129" s="353">
        <f t="shared" si="6"/>
        <v>860000000</v>
      </c>
      <c r="BE129" s="432" t="s">
        <v>355</v>
      </c>
      <c r="BF129" s="407" t="s">
        <v>515</v>
      </c>
      <c r="BG129" s="168"/>
      <c r="BH129" s="274"/>
      <c r="BI129" s="168"/>
      <c r="BJ129" s="274"/>
      <c r="BK129" s="168"/>
      <c r="BL129" s="275"/>
      <c r="BM129" s="276"/>
      <c r="BN129" s="275"/>
      <c r="BO129" s="276"/>
      <c r="BP129" s="277"/>
      <c r="BQ129" s="156"/>
      <c r="BR129" s="274"/>
      <c r="BS129" s="270"/>
      <c r="BT129" s="270"/>
      <c r="BU129" s="274"/>
      <c r="BV129" s="274"/>
      <c r="BW129" s="278"/>
      <c r="BX129" s="278"/>
      <c r="BY129" s="278"/>
      <c r="BZ129" s="351"/>
    </row>
    <row r="130" spans="1:78" s="90" customFormat="1" ht="19.5" hidden="1" customHeight="1">
      <c r="A130" s="137"/>
      <c r="B130" s="197">
        <f t="shared" si="4"/>
        <v>120</v>
      </c>
      <c r="C130" s="30" t="s">
        <v>206</v>
      </c>
      <c r="D130" s="30" t="s">
        <v>225</v>
      </c>
      <c r="E130" s="234" t="s">
        <v>744</v>
      </c>
      <c r="F130" s="235" t="s">
        <v>1225</v>
      </c>
      <c r="G130" s="284">
        <f>IFERROR(VLOOKUP(E130,Assign!$C$2:$J$142,8,FALSE),)</f>
        <v>0</v>
      </c>
      <c r="H130" s="361" t="s">
        <v>4096</v>
      </c>
      <c r="I130" s="363">
        <v>1</v>
      </c>
      <c r="J130" s="364" t="s">
        <v>208</v>
      </c>
      <c r="K130" s="364" t="s">
        <v>234</v>
      </c>
      <c r="L130" s="365" t="s">
        <v>1670</v>
      </c>
      <c r="M130" s="362" t="s">
        <v>1671</v>
      </c>
      <c r="N130" s="421" t="s">
        <v>606</v>
      </c>
      <c r="O130" s="269">
        <v>165.97</v>
      </c>
      <c r="P130" s="269">
        <v>84.68</v>
      </c>
      <c r="Q130" s="426"/>
      <c r="R130" s="418" t="s">
        <v>744</v>
      </c>
      <c r="S130" s="427" t="s">
        <v>613</v>
      </c>
      <c r="T130" s="357">
        <v>1</v>
      </c>
      <c r="U130" s="357" t="s">
        <v>204</v>
      </c>
      <c r="V130" s="367">
        <v>285600000</v>
      </c>
      <c r="W130" s="368">
        <v>285600000</v>
      </c>
      <c r="X130" s="357"/>
      <c r="Y130" s="357"/>
      <c r="Z130" s="400"/>
      <c r="AA130" s="369"/>
      <c r="AB130" s="370"/>
      <c r="AC130" s="404"/>
      <c r="AD130" s="270"/>
      <c r="AE130" s="156"/>
      <c r="AF130" s="156"/>
      <c r="AG130" s="357"/>
      <c r="AH130" s="357"/>
      <c r="AI130" s="357"/>
      <c r="AJ130" s="156"/>
      <c r="AK130" s="156"/>
      <c r="AL130" s="375"/>
      <c r="AM130" s="405"/>
      <c r="AN130" s="273"/>
      <c r="AO130" s="405"/>
      <c r="AP130" s="273"/>
      <c r="AQ130" s="273"/>
      <c r="AR130" s="273"/>
      <c r="AS130" s="273"/>
      <c r="AT130" s="273"/>
      <c r="AU130" s="273"/>
      <c r="AV130" s="322">
        <f t="shared" si="5"/>
        <v>0</v>
      </c>
      <c r="AW130" s="402"/>
      <c r="AX130" s="376"/>
      <c r="AY130" s="373"/>
      <c r="AZ130" s="375"/>
      <c r="BA130" s="375"/>
      <c r="BB130" s="156"/>
      <c r="BC130" s="156"/>
      <c r="BD130" s="353">
        <f t="shared" si="6"/>
        <v>0</v>
      </c>
      <c r="BE130" s="432" t="s">
        <v>355</v>
      </c>
      <c r="BF130" s="407" t="s">
        <v>504</v>
      </c>
      <c r="BG130" s="168"/>
      <c r="BH130" s="274"/>
      <c r="BI130" s="168"/>
      <c r="BJ130" s="274"/>
      <c r="BK130" s="168"/>
      <c r="BL130" s="275"/>
      <c r="BM130" s="276"/>
      <c r="BN130" s="275"/>
      <c r="BO130" s="276"/>
      <c r="BP130" s="277"/>
      <c r="BQ130" s="156"/>
      <c r="BR130" s="274"/>
      <c r="BS130" s="270"/>
      <c r="BT130" s="270"/>
      <c r="BU130" s="274"/>
      <c r="BV130" s="274"/>
      <c r="BW130" s="278"/>
      <c r="BX130" s="278"/>
      <c r="BY130" s="278"/>
      <c r="BZ130" s="351"/>
    </row>
    <row r="131" spans="1:78" s="90" customFormat="1" ht="19.5" hidden="1" customHeight="1">
      <c r="A131" s="137"/>
      <c r="B131" s="197">
        <f t="shared" si="4"/>
        <v>121</v>
      </c>
      <c r="C131" s="30" t="s">
        <v>206</v>
      </c>
      <c r="D131" s="30" t="s">
        <v>225</v>
      </c>
      <c r="E131" s="234" t="s">
        <v>745</v>
      </c>
      <c r="F131" s="235" t="s">
        <v>1225</v>
      </c>
      <c r="G131" s="284">
        <f>IFERROR(VLOOKUP(E131,Assign!$C$2:$J$142,8,FALSE),)</f>
        <v>0</v>
      </c>
      <c r="H131" s="361" t="s">
        <v>4753</v>
      </c>
      <c r="I131" s="363">
        <v>1</v>
      </c>
      <c r="J131" s="364" t="s">
        <v>220</v>
      </c>
      <c r="K131" s="364" t="s">
        <v>412</v>
      </c>
      <c r="L131" s="365" t="s">
        <v>2285</v>
      </c>
      <c r="M131" s="362" t="s">
        <v>3129</v>
      </c>
      <c r="N131" s="421" t="s">
        <v>538</v>
      </c>
      <c r="O131" s="269">
        <v>2847</v>
      </c>
      <c r="P131" s="269"/>
      <c r="Q131" s="426"/>
      <c r="R131" s="418" t="s">
        <v>745</v>
      </c>
      <c r="S131" s="427" t="s">
        <v>613</v>
      </c>
      <c r="T131" s="357">
        <v>1</v>
      </c>
      <c r="U131" s="357" t="s">
        <v>204</v>
      </c>
      <c r="V131" s="367">
        <v>243600000</v>
      </c>
      <c r="W131" s="368">
        <v>243600000</v>
      </c>
      <c r="X131" s="357"/>
      <c r="Y131" s="357"/>
      <c r="Z131" s="400"/>
      <c r="AA131" s="369"/>
      <c r="AB131" s="370"/>
      <c r="AC131" s="404"/>
      <c r="AD131" s="270"/>
      <c r="AE131" s="156"/>
      <c r="AF131" s="156"/>
      <c r="AG131" s="357"/>
      <c r="AH131" s="357"/>
      <c r="AI131" s="357"/>
      <c r="AJ131" s="156"/>
      <c r="AK131" s="156"/>
      <c r="AL131" s="375"/>
      <c r="AM131" s="405"/>
      <c r="AN131" s="273"/>
      <c r="AO131" s="405"/>
      <c r="AP131" s="273"/>
      <c r="AQ131" s="273"/>
      <c r="AR131" s="273"/>
      <c r="AS131" s="273"/>
      <c r="AT131" s="273"/>
      <c r="AU131" s="273"/>
      <c r="AV131" s="322">
        <f t="shared" si="5"/>
        <v>0</v>
      </c>
      <c r="AW131" s="402"/>
      <c r="AX131" s="376"/>
      <c r="AY131" s="373"/>
      <c r="AZ131" s="375"/>
      <c r="BA131" s="375"/>
      <c r="BB131" s="156"/>
      <c r="BC131" s="156"/>
      <c r="BD131" s="353">
        <f t="shared" si="6"/>
        <v>0</v>
      </c>
      <c r="BE131" s="432" t="s">
        <v>335</v>
      </c>
      <c r="BF131" s="407" t="s">
        <v>521</v>
      </c>
      <c r="BG131" s="168" t="s">
        <v>3392</v>
      </c>
      <c r="BH131" s="274">
        <v>45705</v>
      </c>
      <c r="BI131" s="168" t="s">
        <v>3249</v>
      </c>
      <c r="BJ131" s="274">
        <v>45796</v>
      </c>
      <c r="BK131" s="168">
        <v>17779300</v>
      </c>
      <c r="BL131" s="275"/>
      <c r="BM131" s="276"/>
      <c r="BN131" s="275"/>
      <c r="BO131" s="276"/>
      <c r="BP131" s="277"/>
      <c r="BQ131" s="156"/>
      <c r="BR131" s="274"/>
      <c r="BS131" s="270"/>
      <c r="BT131" s="270"/>
      <c r="BU131" s="274"/>
      <c r="BV131" s="274"/>
      <c r="BW131" s="278"/>
      <c r="BX131" s="278"/>
      <c r="BY131" s="278"/>
      <c r="BZ131" s="351"/>
    </row>
    <row r="132" spans="1:78" s="90" customFormat="1" ht="19.5" hidden="1" customHeight="1">
      <c r="A132" s="137"/>
      <c r="B132" s="197">
        <f t="shared" si="4"/>
        <v>122</v>
      </c>
      <c r="C132" s="30" t="s">
        <v>206</v>
      </c>
      <c r="D132" s="30" t="s">
        <v>225</v>
      </c>
      <c r="E132" s="234" t="s">
        <v>746</v>
      </c>
      <c r="F132" s="235" t="s">
        <v>1247</v>
      </c>
      <c r="G132" s="284">
        <f>IFERROR(VLOOKUP(E132,Assign!$C$2:$J$142,8,FALSE),)</f>
        <v>0</v>
      </c>
      <c r="H132" s="361" t="s">
        <v>5078</v>
      </c>
      <c r="I132" s="363">
        <v>1</v>
      </c>
      <c r="J132" s="364" t="s">
        <v>208</v>
      </c>
      <c r="K132" s="364" t="s">
        <v>254</v>
      </c>
      <c r="L132" s="365" t="s">
        <v>2591</v>
      </c>
      <c r="M132" s="362" t="s">
        <v>2592</v>
      </c>
      <c r="N132" s="421" t="s">
        <v>3076</v>
      </c>
      <c r="O132" s="269">
        <v>23.52</v>
      </c>
      <c r="P132" s="269">
        <v>38.840000000000003</v>
      </c>
      <c r="Q132" s="426"/>
      <c r="R132" s="418" t="s">
        <v>746</v>
      </c>
      <c r="S132" s="427" t="s">
        <v>613</v>
      </c>
      <c r="T132" s="357">
        <v>1</v>
      </c>
      <c r="U132" s="357" t="s">
        <v>204</v>
      </c>
      <c r="V132" s="367">
        <v>144000000</v>
      </c>
      <c r="W132" s="368">
        <v>144000000</v>
      </c>
      <c r="X132" s="357"/>
      <c r="Y132" s="357"/>
      <c r="Z132" s="400"/>
      <c r="AA132" s="369"/>
      <c r="AB132" s="370"/>
      <c r="AC132" s="404"/>
      <c r="AD132" s="270"/>
      <c r="AE132" s="156"/>
      <c r="AF132" s="156"/>
      <c r="AG132" s="357"/>
      <c r="AH132" s="357"/>
      <c r="AI132" s="357"/>
      <c r="AJ132" s="156"/>
      <c r="AK132" s="156"/>
      <c r="AL132" s="375"/>
      <c r="AM132" s="405"/>
      <c r="AN132" s="273"/>
      <c r="AO132" s="405"/>
      <c r="AP132" s="273"/>
      <c r="AQ132" s="273"/>
      <c r="AR132" s="273"/>
      <c r="AS132" s="273"/>
      <c r="AT132" s="273"/>
      <c r="AU132" s="273"/>
      <c r="AV132" s="322">
        <f t="shared" si="5"/>
        <v>0</v>
      </c>
      <c r="AW132" s="402"/>
      <c r="AX132" s="376"/>
      <c r="AY132" s="373"/>
      <c r="AZ132" s="375"/>
      <c r="BA132" s="375"/>
      <c r="BB132" s="375"/>
      <c r="BC132" s="375"/>
      <c r="BD132" s="353">
        <f t="shared" si="6"/>
        <v>0</v>
      </c>
      <c r="BE132" s="432" t="s">
        <v>355</v>
      </c>
      <c r="BF132" s="407" t="s">
        <v>424</v>
      </c>
      <c r="BG132" s="168"/>
      <c r="BH132" s="274"/>
      <c r="BI132" s="168"/>
      <c r="BJ132" s="274"/>
      <c r="BK132" s="168"/>
      <c r="BL132" s="275"/>
      <c r="BM132" s="276"/>
      <c r="BN132" s="275"/>
      <c r="BO132" s="276"/>
      <c r="BP132" s="277"/>
      <c r="BQ132" s="156"/>
      <c r="BR132" s="274"/>
      <c r="BS132" s="270"/>
      <c r="BT132" s="270"/>
      <c r="BU132" s="274"/>
      <c r="BV132" s="274"/>
      <c r="BW132" s="278"/>
      <c r="BX132" s="278"/>
      <c r="BY132" s="278"/>
      <c r="BZ132" s="351"/>
    </row>
    <row r="133" spans="1:78" s="90" customFormat="1" ht="19.5" hidden="1" customHeight="1">
      <c r="A133" s="137"/>
      <c r="B133" s="197">
        <f t="shared" si="4"/>
        <v>123</v>
      </c>
      <c r="C133" s="30" t="s">
        <v>206</v>
      </c>
      <c r="D133" s="30" t="s">
        <v>225</v>
      </c>
      <c r="E133" s="234" t="s">
        <v>746</v>
      </c>
      <c r="F133" s="235" t="s">
        <v>1247</v>
      </c>
      <c r="G133" s="284">
        <f>IFERROR(VLOOKUP(E133,Assign!$C$2:$J$142,8,FALSE),)</f>
        <v>0</v>
      </c>
      <c r="H133" s="361" t="s">
        <v>5080</v>
      </c>
      <c r="I133" s="363">
        <v>2</v>
      </c>
      <c r="J133" s="364" t="s">
        <v>208</v>
      </c>
      <c r="K133" s="364" t="s">
        <v>228</v>
      </c>
      <c r="L133" s="365" t="s">
        <v>2318</v>
      </c>
      <c r="M133" s="362" t="s">
        <v>2594</v>
      </c>
      <c r="N133" s="421" t="s">
        <v>3505</v>
      </c>
      <c r="O133" s="269">
        <v>5.0179</v>
      </c>
      <c r="P133" s="269">
        <v>28.290400000000002</v>
      </c>
      <c r="Q133" s="426"/>
      <c r="R133" s="418" t="s">
        <v>746</v>
      </c>
      <c r="S133" s="427" t="s">
        <v>613</v>
      </c>
      <c r="T133" s="357">
        <v>1</v>
      </c>
      <c r="U133" s="357" t="s">
        <v>204</v>
      </c>
      <c r="V133" s="367">
        <v>120000000</v>
      </c>
      <c r="W133" s="368">
        <v>120000000</v>
      </c>
      <c r="X133" s="357"/>
      <c r="Y133" s="357"/>
      <c r="Z133" s="400"/>
      <c r="AA133" s="369"/>
      <c r="AB133" s="370"/>
      <c r="AC133" s="404"/>
      <c r="AD133" s="270"/>
      <c r="AE133" s="156"/>
      <c r="AF133" s="156"/>
      <c r="AG133" s="357"/>
      <c r="AH133" s="357"/>
      <c r="AI133" s="357"/>
      <c r="AJ133" s="156"/>
      <c r="AK133" s="156"/>
      <c r="AL133" s="375"/>
      <c r="AM133" s="405"/>
      <c r="AN133" s="273"/>
      <c r="AO133" s="405"/>
      <c r="AP133" s="273"/>
      <c r="AQ133" s="273"/>
      <c r="AR133" s="273"/>
      <c r="AS133" s="273"/>
      <c r="AT133" s="273"/>
      <c r="AU133" s="273"/>
      <c r="AV133" s="322">
        <f t="shared" si="5"/>
        <v>0</v>
      </c>
      <c r="AW133" s="402"/>
      <c r="AX133" s="376"/>
      <c r="AY133" s="373"/>
      <c r="AZ133" s="375"/>
      <c r="BA133" s="375"/>
      <c r="BB133" s="156"/>
      <c r="BC133" s="156"/>
      <c r="BD133" s="353">
        <f t="shared" si="6"/>
        <v>0</v>
      </c>
      <c r="BE133" s="432" t="s">
        <v>355</v>
      </c>
      <c r="BF133" s="407" t="s">
        <v>424</v>
      </c>
      <c r="BG133" s="168"/>
      <c r="BH133" s="274"/>
      <c r="BI133" s="168"/>
      <c r="BJ133" s="274"/>
      <c r="BK133" s="168"/>
      <c r="BL133" s="275"/>
      <c r="BM133" s="276"/>
      <c r="BN133" s="275"/>
      <c r="BO133" s="276"/>
      <c r="BP133" s="277"/>
      <c r="BQ133" s="156"/>
      <c r="BR133" s="274"/>
      <c r="BS133" s="270"/>
      <c r="BT133" s="270"/>
      <c r="BU133" s="274"/>
      <c r="BV133" s="274"/>
      <c r="BW133" s="278"/>
      <c r="BX133" s="278"/>
      <c r="BY133" s="278"/>
      <c r="BZ133" s="351"/>
    </row>
    <row r="134" spans="1:78" s="90" customFormat="1" ht="19.5" hidden="1" customHeight="1">
      <c r="A134" s="137"/>
      <c r="B134" s="197">
        <f t="shared" si="4"/>
        <v>124</v>
      </c>
      <c r="C134" s="30" t="s">
        <v>206</v>
      </c>
      <c r="D134" s="30" t="s">
        <v>225</v>
      </c>
      <c r="E134" s="234" t="s">
        <v>746</v>
      </c>
      <c r="F134" s="235" t="s">
        <v>1247</v>
      </c>
      <c r="G134" s="284">
        <f>IFERROR(VLOOKUP(E134,Assign!$C$2:$J$142,8,FALSE),)</f>
        <v>0</v>
      </c>
      <c r="H134" s="361" t="s">
        <v>5082</v>
      </c>
      <c r="I134" s="363">
        <v>3</v>
      </c>
      <c r="J134" s="364" t="s">
        <v>208</v>
      </c>
      <c r="K134" s="364" t="s">
        <v>228</v>
      </c>
      <c r="L134" s="365" t="s">
        <v>2318</v>
      </c>
      <c r="M134" s="362" t="s">
        <v>2596</v>
      </c>
      <c r="N134" s="421" t="s">
        <v>3505</v>
      </c>
      <c r="O134" s="269">
        <v>5.0179</v>
      </c>
      <c r="P134" s="269">
        <v>28.290400000000002</v>
      </c>
      <c r="Q134" s="426"/>
      <c r="R134" s="418" t="s">
        <v>746</v>
      </c>
      <c r="S134" s="427" t="s">
        <v>613</v>
      </c>
      <c r="T134" s="357">
        <v>1</v>
      </c>
      <c r="U134" s="357" t="s">
        <v>204</v>
      </c>
      <c r="V134" s="367">
        <v>120000000</v>
      </c>
      <c r="W134" s="368">
        <v>120000000</v>
      </c>
      <c r="X134" s="357"/>
      <c r="Y134" s="357"/>
      <c r="Z134" s="400"/>
      <c r="AA134" s="369"/>
      <c r="AB134" s="370"/>
      <c r="AC134" s="404"/>
      <c r="AD134" s="270"/>
      <c r="AE134" s="156"/>
      <c r="AF134" s="156"/>
      <c r="AG134" s="357"/>
      <c r="AH134" s="357"/>
      <c r="AI134" s="357"/>
      <c r="AJ134" s="156"/>
      <c r="AK134" s="156"/>
      <c r="AL134" s="375"/>
      <c r="AM134" s="405"/>
      <c r="AN134" s="273"/>
      <c r="AO134" s="405"/>
      <c r="AP134" s="273"/>
      <c r="AQ134" s="273"/>
      <c r="AR134" s="273"/>
      <c r="AS134" s="273"/>
      <c r="AT134" s="273"/>
      <c r="AU134" s="273"/>
      <c r="AV134" s="322">
        <f t="shared" si="5"/>
        <v>0</v>
      </c>
      <c r="AW134" s="402"/>
      <c r="AX134" s="274"/>
      <c r="AY134" s="270"/>
      <c r="AZ134" s="156"/>
      <c r="BA134" s="156"/>
      <c r="BB134" s="156"/>
      <c r="BC134" s="156"/>
      <c r="BD134" s="353">
        <f t="shared" si="6"/>
        <v>0</v>
      </c>
      <c r="BE134" s="432" t="s">
        <v>355</v>
      </c>
      <c r="BF134" s="407" t="s">
        <v>424</v>
      </c>
      <c r="BG134" s="168"/>
      <c r="BH134" s="274"/>
      <c r="BI134" s="168"/>
      <c r="BJ134" s="274"/>
      <c r="BK134" s="168"/>
      <c r="BL134" s="275"/>
      <c r="BM134" s="276"/>
      <c r="BN134" s="275"/>
      <c r="BO134" s="276"/>
      <c r="BP134" s="277"/>
      <c r="BQ134" s="156"/>
      <c r="BR134" s="274"/>
      <c r="BS134" s="270"/>
      <c r="BT134" s="270"/>
      <c r="BU134" s="274"/>
      <c r="BV134" s="274"/>
      <c r="BW134" s="278"/>
      <c r="BX134" s="278"/>
      <c r="BY134" s="278"/>
      <c r="BZ134" s="351"/>
    </row>
    <row r="135" spans="1:78" s="90" customFormat="1" ht="19.5" hidden="1" customHeight="1">
      <c r="A135" s="137"/>
      <c r="B135" s="197">
        <f t="shared" si="4"/>
        <v>125</v>
      </c>
      <c r="C135" s="30" t="s">
        <v>206</v>
      </c>
      <c r="D135" s="30" t="s">
        <v>225</v>
      </c>
      <c r="E135" s="234" t="s">
        <v>747</v>
      </c>
      <c r="F135" s="235" t="s">
        <v>1217</v>
      </c>
      <c r="G135" s="284">
        <f>IFERROR(VLOOKUP(E135,Assign!$C$2:$J$142,8,FALSE),)</f>
        <v>0</v>
      </c>
      <c r="H135" s="361" t="s">
        <v>4569</v>
      </c>
      <c r="I135" s="363">
        <v>1</v>
      </c>
      <c r="J135" s="364" t="s">
        <v>209</v>
      </c>
      <c r="K135" s="364" t="s">
        <v>305</v>
      </c>
      <c r="L135" s="365" t="s">
        <v>2107</v>
      </c>
      <c r="M135" s="362" t="s">
        <v>2108</v>
      </c>
      <c r="N135" s="421" t="s">
        <v>207</v>
      </c>
      <c r="O135" s="269">
        <v>34.774000000000001</v>
      </c>
      <c r="P135" s="269">
        <v>84.96</v>
      </c>
      <c r="Q135" s="426"/>
      <c r="R135" s="418" t="s">
        <v>747</v>
      </c>
      <c r="S135" s="427" t="s">
        <v>613</v>
      </c>
      <c r="T135" s="357">
        <v>1</v>
      </c>
      <c r="U135" s="357" t="s">
        <v>204</v>
      </c>
      <c r="V135" s="367">
        <v>231000000</v>
      </c>
      <c r="W135" s="368">
        <v>231000000</v>
      </c>
      <c r="X135" s="357"/>
      <c r="Y135" s="357"/>
      <c r="Z135" s="400"/>
      <c r="AA135" s="369"/>
      <c r="AB135" s="370"/>
      <c r="AC135" s="404"/>
      <c r="AD135" s="270"/>
      <c r="AE135" s="156"/>
      <c r="AF135" s="156"/>
      <c r="AG135" s="357"/>
      <c r="AH135" s="357"/>
      <c r="AI135" s="357"/>
      <c r="AJ135" s="156"/>
      <c r="AK135" s="156"/>
      <c r="AL135" s="375"/>
      <c r="AM135" s="405"/>
      <c r="AN135" s="273"/>
      <c r="AO135" s="405"/>
      <c r="AP135" s="273"/>
      <c r="AQ135" s="273"/>
      <c r="AR135" s="273"/>
      <c r="AS135" s="273"/>
      <c r="AT135" s="273"/>
      <c r="AU135" s="273"/>
      <c r="AV135" s="322">
        <f t="shared" si="5"/>
        <v>0</v>
      </c>
      <c r="AW135" s="402" t="s">
        <v>3387</v>
      </c>
      <c r="AX135" s="376">
        <v>45765</v>
      </c>
      <c r="AY135" s="373" t="s">
        <v>3388</v>
      </c>
      <c r="AZ135" s="375"/>
      <c r="BA135" s="375">
        <v>575000000</v>
      </c>
      <c r="BB135" s="156"/>
      <c r="BC135" s="156"/>
      <c r="BD135" s="353">
        <f t="shared" si="6"/>
        <v>575000000</v>
      </c>
      <c r="BE135" s="432" t="s">
        <v>355</v>
      </c>
      <c r="BF135" s="407" t="s">
        <v>510</v>
      </c>
      <c r="BG135" s="168"/>
      <c r="BH135" s="274"/>
      <c r="BI135" s="168"/>
      <c r="BJ135" s="274"/>
      <c r="BK135" s="168"/>
      <c r="BL135" s="275"/>
      <c r="BM135" s="276"/>
      <c r="BN135" s="275"/>
      <c r="BO135" s="276"/>
      <c r="BP135" s="277"/>
      <c r="BQ135" s="156"/>
      <c r="BR135" s="274"/>
      <c r="BS135" s="270"/>
      <c r="BT135" s="270"/>
      <c r="BU135" s="274"/>
      <c r="BV135" s="274"/>
      <c r="BW135" s="278"/>
      <c r="BX135" s="278"/>
      <c r="BY135" s="278"/>
      <c r="BZ135" s="351"/>
    </row>
    <row r="136" spans="1:78" s="90" customFormat="1" ht="19.5" hidden="1" customHeight="1">
      <c r="A136" s="137"/>
      <c r="B136" s="197">
        <f t="shared" si="4"/>
        <v>126</v>
      </c>
      <c r="C136" s="30" t="s">
        <v>206</v>
      </c>
      <c r="D136" s="30" t="s">
        <v>225</v>
      </c>
      <c r="E136" s="234" t="s">
        <v>748</v>
      </c>
      <c r="F136" s="235" t="s">
        <v>1226</v>
      </c>
      <c r="G136" s="284">
        <f>IFERROR(VLOOKUP(E136,Assign!$C$2:$J$142,8,FALSE),)</f>
        <v>0</v>
      </c>
      <c r="H136" s="361" t="s">
        <v>4240</v>
      </c>
      <c r="I136" s="363">
        <v>1</v>
      </c>
      <c r="J136" s="364" t="s">
        <v>208</v>
      </c>
      <c r="K136" s="364" t="s">
        <v>301</v>
      </c>
      <c r="L136" s="365" t="s">
        <v>400</v>
      </c>
      <c r="M136" s="362" t="s">
        <v>1811</v>
      </c>
      <c r="N136" s="421" t="s">
        <v>207</v>
      </c>
      <c r="O136" s="269">
        <v>62.204999999999998</v>
      </c>
      <c r="P136" s="269">
        <v>84.89</v>
      </c>
      <c r="Q136" s="426"/>
      <c r="R136" s="418" t="s">
        <v>748</v>
      </c>
      <c r="S136" s="427" t="s">
        <v>613</v>
      </c>
      <c r="T136" s="357">
        <v>1</v>
      </c>
      <c r="U136" s="357" t="s">
        <v>204</v>
      </c>
      <c r="V136" s="367">
        <v>222500000</v>
      </c>
      <c r="W136" s="368">
        <v>222500000</v>
      </c>
      <c r="X136" s="357"/>
      <c r="Y136" s="357"/>
      <c r="Z136" s="400"/>
      <c r="AA136" s="369"/>
      <c r="AB136" s="370"/>
      <c r="AC136" s="404"/>
      <c r="AD136" s="270"/>
      <c r="AE136" s="156"/>
      <c r="AF136" s="156"/>
      <c r="AG136" s="357"/>
      <c r="AH136" s="357"/>
      <c r="AI136" s="357"/>
      <c r="AJ136" s="156"/>
      <c r="AK136" s="156"/>
      <c r="AL136" s="375"/>
      <c r="AM136" s="405"/>
      <c r="AN136" s="273"/>
      <c r="AO136" s="405"/>
      <c r="AP136" s="273"/>
      <c r="AQ136" s="273"/>
      <c r="AR136" s="273"/>
      <c r="AS136" s="273"/>
      <c r="AT136" s="273"/>
      <c r="AU136" s="273"/>
      <c r="AV136" s="322">
        <f t="shared" si="5"/>
        <v>0</v>
      </c>
      <c r="AW136" s="402" t="s">
        <v>3387</v>
      </c>
      <c r="AX136" s="376">
        <v>45765</v>
      </c>
      <c r="AY136" s="373" t="s">
        <v>3388</v>
      </c>
      <c r="AZ136" s="375"/>
      <c r="BA136" s="375">
        <v>415000000</v>
      </c>
      <c r="BB136" s="156"/>
      <c r="BC136" s="156"/>
      <c r="BD136" s="353">
        <f t="shared" si="6"/>
        <v>415000000</v>
      </c>
      <c r="BE136" s="432" t="s">
        <v>355</v>
      </c>
      <c r="BF136" s="407" t="s">
        <v>502</v>
      </c>
      <c r="BG136" s="168"/>
      <c r="BH136" s="274"/>
      <c r="BI136" s="168"/>
      <c r="BJ136" s="274"/>
      <c r="BK136" s="168"/>
      <c r="BL136" s="275"/>
      <c r="BM136" s="276"/>
      <c r="BN136" s="275"/>
      <c r="BO136" s="276"/>
      <c r="BP136" s="277"/>
      <c r="BQ136" s="156"/>
      <c r="BR136" s="274"/>
      <c r="BS136" s="270"/>
      <c r="BT136" s="270"/>
      <c r="BU136" s="274"/>
      <c r="BV136" s="274"/>
      <c r="BW136" s="278"/>
      <c r="BX136" s="278"/>
      <c r="BY136" s="278"/>
      <c r="BZ136" s="351"/>
    </row>
    <row r="137" spans="1:78" s="90" customFormat="1" ht="19.5" hidden="1" customHeight="1">
      <c r="A137" s="137"/>
      <c r="B137" s="197">
        <f t="shared" si="4"/>
        <v>127</v>
      </c>
      <c r="C137" s="30" t="s">
        <v>206</v>
      </c>
      <c r="D137" s="30" t="s">
        <v>225</v>
      </c>
      <c r="E137" s="234" t="s">
        <v>749</v>
      </c>
      <c r="F137" s="235" t="s">
        <v>1225</v>
      </c>
      <c r="G137" s="284">
        <f>IFERROR(VLOOKUP(E137,Assign!$C$2:$J$142,8,FALSE),)</f>
        <v>0</v>
      </c>
      <c r="H137" s="361" t="s">
        <v>4430</v>
      </c>
      <c r="I137" s="363">
        <v>1</v>
      </c>
      <c r="J137" s="364" t="s">
        <v>210</v>
      </c>
      <c r="K137" s="364" t="s">
        <v>252</v>
      </c>
      <c r="L137" s="365" t="s">
        <v>401</v>
      </c>
      <c r="M137" s="362" t="s">
        <v>1981</v>
      </c>
      <c r="N137" s="421" t="s">
        <v>207</v>
      </c>
      <c r="O137" s="269">
        <v>63.212400000000002</v>
      </c>
      <c r="P137" s="269">
        <v>101.92</v>
      </c>
      <c r="Q137" s="426"/>
      <c r="R137" s="418" t="s">
        <v>3478</v>
      </c>
      <c r="S137" s="427" t="s">
        <v>613</v>
      </c>
      <c r="T137" s="357" t="s">
        <v>292</v>
      </c>
      <c r="U137" s="357" t="s">
        <v>204</v>
      </c>
      <c r="V137" s="367">
        <v>240000000</v>
      </c>
      <c r="W137" s="368">
        <v>240000000</v>
      </c>
      <c r="X137" s="357"/>
      <c r="Y137" s="357"/>
      <c r="Z137" s="400"/>
      <c r="AA137" s="369"/>
      <c r="AB137" s="370"/>
      <c r="AC137" s="404">
        <v>1</v>
      </c>
      <c r="AD137" s="270" t="s">
        <v>204</v>
      </c>
      <c r="AE137" s="156">
        <v>654500000</v>
      </c>
      <c r="AF137" s="156">
        <v>654500000</v>
      </c>
      <c r="AG137" s="357"/>
      <c r="AH137" s="357"/>
      <c r="AI137" s="357"/>
      <c r="AJ137" s="156"/>
      <c r="AK137" s="156"/>
      <c r="AL137" s="375"/>
      <c r="AM137" s="405"/>
      <c r="AN137" s="273"/>
      <c r="AO137" s="405"/>
      <c r="AP137" s="273"/>
      <c r="AQ137" s="273"/>
      <c r="AR137" s="273"/>
      <c r="AS137" s="273"/>
      <c r="AT137" s="273"/>
      <c r="AU137" s="273"/>
      <c r="AV137" s="322">
        <f t="shared" si="5"/>
        <v>0</v>
      </c>
      <c r="AW137" s="402" t="s">
        <v>3387</v>
      </c>
      <c r="AX137" s="376">
        <v>45765</v>
      </c>
      <c r="AY137" s="373" t="s">
        <v>3388</v>
      </c>
      <c r="AZ137" s="375"/>
      <c r="BA137" s="375">
        <v>850000000</v>
      </c>
      <c r="BB137" s="156"/>
      <c r="BC137" s="156"/>
      <c r="BD137" s="353">
        <f t="shared" si="6"/>
        <v>850000000</v>
      </c>
      <c r="BE137" s="432" t="s">
        <v>355</v>
      </c>
      <c r="BF137" s="407" t="s">
        <v>503</v>
      </c>
      <c r="BG137" s="168"/>
      <c r="BH137" s="274"/>
      <c r="BI137" s="168"/>
      <c r="BJ137" s="274"/>
      <c r="BK137" s="168"/>
      <c r="BL137" s="275"/>
      <c r="BM137" s="276"/>
      <c r="BN137" s="275"/>
      <c r="BO137" s="276"/>
      <c r="BP137" s="277"/>
      <c r="BQ137" s="156"/>
      <c r="BR137" s="274"/>
      <c r="BS137" s="270"/>
      <c r="BT137" s="270"/>
      <c r="BU137" s="274"/>
      <c r="BV137" s="274"/>
      <c r="BW137" s="278"/>
      <c r="BX137" s="278"/>
      <c r="BY137" s="278"/>
      <c r="BZ137" s="351"/>
    </row>
    <row r="138" spans="1:78" s="90" customFormat="1" ht="19.5" hidden="1" customHeight="1">
      <c r="A138" s="137"/>
      <c r="B138" s="197">
        <f t="shared" si="4"/>
        <v>128</v>
      </c>
      <c r="C138" s="30" t="s">
        <v>206</v>
      </c>
      <c r="D138" s="30" t="s">
        <v>225</v>
      </c>
      <c r="E138" s="234" t="s">
        <v>750</v>
      </c>
      <c r="F138" s="235" t="s">
        <v>7155</v>
      </c>
      <c r="G138" s="284" t="str">
        <f>IFERROR(VLOOKUP(E138,Assign!$C$2:$J$142,8,FALSE),)</f>
        <v>문선영</v>
      </c>
      <c r="H138" s="361" t="s">
        <v>5451</v>
      </c>
      <c r="I138" s="363">
        <v>1</v>
      </c>
      <c r="J138" s="364" t="s">
        <v>208</v>
      </c>
      <c r="K138" s="364" t="s">
        <v>372</v>
      </c>
      <c r="L138" s="365" t="s">
        <v>373</v>
      </c>
      <c r="M138" s="362" t="s">
        <v>2927</v>
      </c>
      <c r="N138" s="421" t="s">
        <v>207</v>
      </c>
      <c r="O138" s="269">
        <v>42.32</v>
      </c>
      <c r="P138" s="269">
        <v>49.99</v>
      </c>
      <c r="Q138" s="426"/>
      <c r="R138" s="418" t="s">
        <v>3417</v>
      </c>
      <c r="S138" s="427" t="s">
        <v>613</v>
      </c>
      <c r="T138" s="357">
        <v>1</v>
      </c>
      <c r="U138" s="357" t="s">
        <v>204</v>
      </c>
      <c r="V138" s="367">
        <v>217800000</v>
      </c>
      <c r="W138" s="368">
        <v>217800000</v>
      </c>
      <c r="X138" s="357"/>
      <c r="Y138" s="357"/>
      <c r="Z138" s="400"/>
      <c r="AA138" s="369"/>
      <c r="AB138" s="370"/>
      <c r="AC138" s="404"/>
      <c r="AD138" s="270"/>
      <c r="AE138" s="156"/>
      <c r="AF138" s="156"/>
      <c r="AG138" s="357"/>
      <c r="AH138" s="357"/>
      <c r="AI138" s="357"/>
      <c r="AJ138" s="156"/>
      <c r="AK138" s="156"/>
      <c r="AL138" s="375"/>
      <c r="AM138" s="405"/>
      <c r="AN138" s="273"/>
      <c r="AO138" s="405"/>
      <c r="AP138" s="273"/>
      <c r="AQ138" s="273"/>
      <c r="AR138" s="273"/>
      <c r="AS138" s="273"/>
      <c r="AT138" s="273"/>
      <c r="AU138" s="273"/>
      <c r="AV138" s="322">
        <f t="shared" si="5"/>
        <v>0</v>
      </c>
      <c r="AW138" s="402" t="s">
        <v>3387</v>
      </c>
      <c r="AX138" s="376">
        <v>45765</v>
      </c>
      <c r="AY138" s="373" t="s">
        <v>3388</v>
      </c>
      <c r="AZ138" s="375"/>
      <c r="BA138" s="375">
        <v>280000000</v>
      </c>
      <c r="BB138" s="375"/>
      <c r="BC138" s="375"/>
      <c r="BD138" s="353">
        <f t="shared" si="6"/>
        <v>280000000</v>
      </c>
      <c r="BE138" s="432" t="s">
        <v>355</v>
      </c>
      <c r="BF138" s="407" t="s">
        <v>498</v>
      </c>
      <c r="BG138" s="168"/>
      <c r="BH138" s="274"/>
      <c r="BI138" s="168"/>
      <c r="BJ138" s="274"/>
      <c r="BK138" s="168"/>
      <c r="BL138" s="275"/>
      <c r="BM138" s="276"/>
      <c r="BN138" s="275"/>
      <c r="BO138" s="276"/>
      <c r="BP138" s="277"/>
      <c r="BQ138" s="156"/>
      <c r="BR138" s="274"/>
      <c r="BS138" s="270"/>
      <c r="BT138" s="270"/>
      <c r="BU138" s="274"/>
      <c r="BV138" s="274"/>
      <c r="BW138" s="278"/>
      <c r="BX138" s="278"/>
      <c r="BY138" s="278"/>
      <c r="BZ138" s="351"/>
    </row>
    <row r="139" spans="1:78" s="90" customFormat="1" ht="19.5" hidden="1" customHeight="1">
      <c r="A139" s="137"/>
      <c r="B139" s="197">
        <f t="shared" ref="B139:B202" si="7">ROW()-10</f>
        <v>129</v>
      </c>
      <c r="C139" s="30" t="s">
        <v>206</v>
      </c>
      <c r="D139" s="30" t="s">
        <v>225</v>
      </c>
      <c r="E139" s="234" t="s">
        <v>751</v>
      </c>
      <c r="F139" s="235" t="s">
        <v>1231</v>
      </c>
      <c r="G139" s="284">
        <f>IFERROR(VLOOKUP(E139,Assign!$C$2:$J$142,8,FALSE),)</f>
        <v>0</v>
      </c>
      <c r="H139" s="361" t="s">
        <v>4304</v>
      </c>
      <c r="I139" s="363">
        <v>1</v>
      </c>
      <c r="J139" s="364" t="s">
        <v>208</v>
      </c>
      <c r="K139" s="364" t="s">
        <v>228</v>
      </c>
      <c r="L139" s="365" t="s">
        <v>343</v>
      </c>
      <c r="M139" s="362" t="s">
        <v>1870</v>
      </c>
      <c r="N139" s="421" t="s">
        <v>207</v>
      </c>
      <c r="O139" s="366" t="s">
        <v>273</v>
      </c>
      <c r="P139" s="269">
        <v>74.98</v>
      </c>
      <c r="Q139" s="426"/>
      <c r="R139" s="418" t="s">
        <v>751</v>
      </c>
      <c r="S139" s="427" t="s">
        <v>613</v>
      </c>
      <c r="T139" s="357">
        <v>1</v>
      </c>
      <c r="U139" s="357" t="s">
        <v>204</v>
      </c>
      <c r="V139" s="367">
        <v>273600000</v>
      </c>
      <c r="W139" s="368">
        <v>273600000</v>
      </c>
      <c r="X139" s="357"/>
      <c r="Y139" s="357"/>
      <c r="Z139" s="400"/>
      <c r="AA139" s="369"/>
      <c r="AB139" s="370"/>
      <c r="AC139" s="404"/>
      <c r="AD139" s="270"/>
      <c r="AE139" s="156"/>
      <c r="AF139" s="156"/>
      <c r="AG139" s="357"/>
      <c r="AH139" s="357"/>
      <c r="AI139" s="357"/>
      <c r="AJ139" s="156"/>
      <c r="AK139" s="156"/>
      <c r="AL139" s="375"/>
      <c r="AM139" s="405"/>
      <c r="AN139" s="273"/>
      <c r="AO139" s="405"/>
      <c r="AP139" s="273"/>
      <c r="AQ139" s="273"/>
      <c r="AR139" s="273"/>
      <c r="AS139" s="273"/>
      <c r="AT139" s="273"/>
      <c r="AU139" s="273"/>
      <c r="AV139" s="322">
        <f t="shared" ref="AV139:AV202" si="8">SUM(AP139:AU139)</f>
        <v>0</v>
      </c>
      <c r="AW139" s="402" t="s">
        <v>3387</v>
      </c>
      <c r="AX139" s="376">
        <v>45765</v>
      </c>
      <c r="AY139" s="373" t="s">
        <v>3388</v>
      </c>
      <c r="AZ139" s="375"/>
      <c r="BA139" s="375">
        <v>535000000</v>
      </c>
      <c r="BB139" s="156"/>
      <c r="BC139" s="156"/>
      <c r="BD139" s="353">
        <f t="shared" ref="BD139:BD202" si="9">SUM(AZ139:BC139)</f>
        <v>535000000</v>
      </c>
      <c r="BE139" s="432" t="s">
        <v>355</v>
      </c>
      <c r="BF139" s="407" t="s">
        <v>424</v>
      </c>
      <c r="BG139" s="168"/>
      <c r="BH139" s="274"/>
      <c r="BI139" s="168"/>
      <c r="BJ139" s="274"/>
      <c r="BK139" s="168"/>
      <c r="BL139" s="275"/>
      <c r="BM139" s="276"/>
      <c r="BN139" s="275"/>
      <c r="BO139" s="276"/>
      <c r="BP139" s="277"/>
      <c r="BQ139" s="156"/>
      <c r="BR139" s="274"/>
      <c r="BS139" s="270"/>
      <c r="BT139" s="270"/>
      <c r="BU139" s="274"/>
      <c r="BV139" s="274"/>
      <c r="BW139" s="278"/>
      <c r="BX139" s="278"/>
      <c r="BY139" s="278"/>
      <c r="BZ139" s="351"/>
    </row>
    <row r="140" spans="1:78" s="90" customFormat="1" ht="19.5" hidden="1" customHeight="1">
      <c r="A140" s="137"/>
      <c r="B140" s="197">
        <f t="shared" si="7"/>
        <v>130</v>
      </c>
      <c r="C140" s="30" t="s">
        <v>206</v>
      </c>
      <c r="D140" s="30" t="s">
        <v>225</v>
      </c>
      <c r="E140" s="234" t="s">
        <v>752</v>
      </c>
      <c r="F140" s="235" t="s">
        <v>1217</v>
      </c>
      <c r="G140" s="284">
        <f>IFERROR(VLOOKUP(E140,Assign!$C$2:$J$142,8,FALSE),)</f>
        <v>0</v>
      </c>
      <c r="H140" s="361" t="s">
        <v>3969</v>
      </c>
      <c r="I140" s="363">
        <v>1</v>
      </c>
      <c r="J140" s="364" t="s">
        <v>209</v>
      </c>
      <c r="K140" s="364" t="s">
        <v>1546</v>
      </c>
      <c r="L140" s="365" t="s">
        <v>1547</v>
      </c>
      <c r="M140" s="362" t="s">
        <v>1548</v>
      </c>
      <c r="N140" s="421" t="s">
        <v>207</v>
      </c>
      <c r="O140" s="269">
        <v>127.736907013072</v>
      </c>
      <c r="P140" s="269">
        <v>177.12</v>
      </c>
      <c r="Q140" s="426"/>
      <c r="R140" s="418" t="s">
        <v>3436</v>
      </c>
      <c r="S140" s="427" t="s">
        <v>613</v>
      </c>
      <c r="T140" s="357">
        <v>1</v>
      </c>
      <c r="U140" s="357" t="s">
        <v>204</v>
      </c>
      <c r="V140" s="367">
        <v>325000000</v>
      </c>
      <c r="W140" s="368">
        <v>325000000</v>
      </c>
      <c r="X140" s="357"/>
      <c r="Y140" s="357"/>
      <c r="Z140" s="400"/>
      <c r="AA140" s="369"/>
      <c r="AB140" s="370"/>
      <c r="AC140" s="404"/>
      <c r="AD140" s="270"/>
      <c r="AE140" s="156"/>
      <c r="AF140" s="156"/>
      <c r="AG140" s="357"/>
      <c r="AH140" s="357"/>
      <c r="AI140" s="357"/>
      <c r="AJ140" s="156"/>
      <c r="AK140" s="156"/>
      <c r="AL140" s="375"/>
      <c r="AM140" s="405"/>
      <c r="AN140" s="273"/>
      <c r="AO140" s="405"/>
      <c r="AP140" s="273"/>
      <c r="AQ140" s="273"/>
      <c r="AR140" s="273"/>
      <c r="AS140" s="273"/>
      <c r="AT140" s="273"/>
      <c r="AU140" s="273"/>
      <c r="AV140" s="322">
        <f t="shared" si="8"/>
        <v>0</v>
      </c>
      <c r="AW140" s="402" t="s">
        <v>3387</v>
      </c>
      <c r="AX140" s="274">
        <v>45765</v>
      </c>
      <c r="AY140" s="270" t="s">
        <v>3388</v>
      </c>
      <c r="AZ140" s="156"/>
      <c r="BA140" s="156">
        <v>3525000000</v>
      </c>
      <c r="BB140" s="156"/>
      <c r="BC140" s="156"/>
      <c r="BD140" s="353">
        <f t="shared" si="9"/>
        <v>3525000000</v>
      </c>
      <c r="BE140" s="432" t="s">
        <v>355</v>
      </c>
      <c r="BF140" s="407" t="s">
        <v>511</v>
      </c>
      <c r="BG140" s="168"/>
      <c r="BH140" s="274"/>
      <c r="BI140" s="168"/>
      <c r="BJ140" s="274"/>
      <c r="BK140" s="168"/>
      <c r="BL140" s="275"/>
      <c r="BM140" s="276"/>
      <c r="BN140" s="275"/>
      <c r="BO140" s="276"/>
      <c r="BP140" s="277"/>
      <c r="BQ140" s="156"/>
      <c r="BR140" s="274"/>
      <c r="BS140" s="270"/>
      <c r="BT140" s="270"/>
      <c r="BU140" s="274"/>
      <c r="BV140" s="274"/>
      <c r="BW140" s="278"/>
      <c r="BX140" s="278"/>
      <c r="BY140" s="278"/>
      <c r="BZ140" s="351"/>
    </row>
    <row r="141" spans="1:78" s="90" customFormat="1" ht="19.5" hidden="1" customHeight="1">
      <c r="A141" s="137"/>
      <c r="B141" s="197">
        <f t="shared" si="7"/>
        <v>131</v>
      </c>
      <c r="C141" s="30" t="s">
        <v>206</v>
      </c>
      <c r="D141" s="30" t="s">
        <v>225</v>
      </c>
      <c r="E141" s="234" t="s">
        <v>753</v>
      </c>
      <c r="F141" s="235" t="s">
        <v>1221</v>
      </c>
      <c r="G141" s="284" t="str">
        <f>IFERROR(VLOOKUP(E141,Assign!$C$2:$J$142,8,FALSE),)</f>
        <v>문선영</v>
      </c>
      <c r="H141" s="361" t="s">
        <v>3984</v>
      </c>
      <c r="I141" s="363">
        <v>1</v>
      </c>
      <c r="J141" s="364" t="s">
        <v>220</v>
      </c>
      <c r="K141" s="364" t="s">
        <v>384</v>
      </c>
      <c r="L141" s="365" t="s">
        <v>1525</v>
      </c>
      <c r="M141" s="362" t="s">
        <v>1560</v>
      </c>
      <c r="N141" s="421" t="s">
        <v>207</v>
      </c>
      <c r="O141" s="269">
        <v>51.9816</v>
      </c>
      <c r="P141" s="269">
        <v>84.995400000000004</v>
      </c>
      <c r="Q141" s="426"/>
      <c r="R141" s="418" t="s">
        <v>3437</v>
      </c>
      <c r="S141" s="427" t="s">
        <v>613</v>
      </c>
      <c r="T141" s="357">
        <v>1</v>
      </c>
      <c r="U141" s="357" t="s">
        <v>204</v>
      </c>
      <c r="V141" s="367">
        <v>260400000</v>
      </c>
      <c r="W141" s="368">
        <v>260400000</v>
      </c>
      <c r="X141" s="357"/>
      <c r="Y141" s="357"/>
      <c r="Z141" s="400"/>
      <c r="AA141" s="369"/>
      <c r="AB141" s="370"/>
      <c r="AC141" s="404"/>
      <c r="AD141" s="270"/>
      <c r="AE141" s="156"/>
      <c r="AF141" s="156"/>
      <c r="AG141" s="357"/>
      <c r="AH141" s="357"/>
      <c r="AI141" s="357"/>
      <c r="AJ141" s="156"/>
      <c r="AK141" s="156"/>
      <c r="AL141" s="375"/>
      <c r="AM141" s="405"/>
      <c r="AN141" s="273"/>
      <c r="AO141" s="405"/>
      <c r="AP141" s="273"/>
      <c r="AQ141" s="273"/>
      <c r="AR141" s="273"/>
      <c r="AS141" s="273"/>
      <c r="AT141" s="273"/>
      <c r="AU141" s="273"/>
      <c r="AV141" s="322">
        <f t="shared" si="8"/>
        <v>0</v>
      </c>
      <c r="AW141" s="402" t="s">
        <v>3387</v>
      </c>
      <c r="AX141" s="274">
        <v>45765</v>
      </c>
      <c r="AY141" s="270" t="s">
        <v>3388</v>
      </c>
      <c r="AZ141" s="156"/>
      <c r="BA141" s="156">
        <v>445000000</v>
      </c>
      <c r="BB141" s="156"/>
      <c r="BC141" s="156"/>
      <c r="BD141" s="353">
        <f t="shared" si="9"/>
        <v>445000000</v>
      </c>
      <c r="BE141" s="432" t="s">
        <v>355</v>
      </c>
      <c r="BF141" s="407" t="s">
        <v>523</v>
      </c>
      <c r="BG141" s="168"/>
      <c r="BH141" s="274"/>
      <c r="BI141" s="168"/>
      <c r="BJ141" s="274"/>
      <c r="BK141" s="168"/>
      <c r="BL141" s="275"/>
      <c r="BM141" s="276"/>
      <c r="BN141" s="275"/>
      <c r="BO141" s="276"/>
      <c r="BP141" s="277"/>
      <c r="BQ141" s="156"/>
      <c r="BR141" s="274"/>
      <c r="BS141" s="270"/>
      <c r="BT141" s="270"/>
      <c r="BU141" s="274"/>
      <c r="BV141" s="274"/>
      <c r="BW141" s="278"/>
      <c r="BX141" s="278"/>
      <c r="BY141" s="278"/>
      <c r="BZ141" s="351"/>
    </row>
    <row r="142" spans="1:78" s="90" customFormat="1" ht="19.5" hidden="1" customHeight="1">
      <c r="A142" s="137"/>
      <c r="B142" s="197">
        <f t="shared" si="7"/>
        <v>132</v>
      </c>
      <c r="C142" s="30" t="s">
        <v>206</v>
      </c>
      <c r="D142" s="30" t="s">
        <v>225</v>
      </c>
      <c r="E142" s="234" t="s">
        <v>754</v>
      </c>
      <c r="F142" s="235" t="s">
        <v>1229</v>
      </c>
      <c r="G142" s="284">
        <f>IFERROR(VLOOKUP(E142,Assign!$C$2:$J$142,8,FALSE),)</f>
        <v>0</v>
      </c>
      <c r="H142" s="361" t="s">
        <v>5188</v>
      </c>
      <c r="I142" s="363">
        <v>1</v>
      </c>
      <c r="J142" s="364" t="s">
        <v>208</v>
      </c>
      <c r="K142" s="364" t="s">
        <v>228</v>
      </c>
      <c r="L142" s="365" t="s">
        <v>2692</v>
      </c>
      <c r="M142" s="362" t="s">
        <v>2693</v>
      </c>
      <c r="N142" s="421" t="s">
        <v>207</v>
      </c>
      <c r="O142" s="269">
        <v>38.597700000000003</v>
      </c>
      <c r="P142" s="269">
        <v>59.975700000000003</v>
      </c>
      <c r="Q142" s="426"/>
      <c r="R142" s="418" t="s">
        <v>754</v>
      </c>
      <c r="S142" s="427" t="s">
        <v>613</v>
      </c>
      <c r="T142" s="357">
        <v>1</v>
      </c>
      <c r="U142" s="357" t="s">
        <v>204</v>
      </c>
      <c r="V142" s="367">
        <v>235200000</v>
      </c>
      <c r="W142" s="368">
        <v>235200000</v>
      </c>
      <c r="X142" s="357"/>
      <c r="Y142" s="357"/>
      <c r="Z142" s="400"/>
      <c r="AA142" s="369"/>
      <c r="AB142" s="370"/>
      <c r="AC142" s="404"/>
      <c r="AD142" s="270"/>
      <c r="AE142" s="156"/>
      <c r="AF142" s="156"/>
      <c r="AG142" s="357"/>
      <c r="AH142" s="357"/>
      <c r="AI142" s="357"/>
      <c r="AJ142" s="156"/>
      <c r="AK142" s="156"/>
      <c r="AL142" s="375"/>
      <c r="AM142" s="405"/>
      <c r="AN142" s="273"/>
      <c r="AO142" s="405"/>
      <c r="AP142" s="273"/>
      <c r="AQ142" s="273"/>
      <c r="AR142" s="273"/>
      <c r="AS142" s="273"/>
      <c r="AT142" s="273"/>
      <c r="AU142" s="273"/>
      <c r="AV142" s="322">
        <f t="shared" si="8"/>
        <v>0</v>
      </c>
      <c r="AW142" s="402" t="s">
        <v>3387</v>
      </c>
      <c r="AX142" s="376">
        <v>45765</v>
      </c>
      <c r="AY142" s="373" t="s">
        <v>3388</v>
      </c>
      <c r="AZ142" s="375"/>
      <c r="BA142" s="375">
        <v>370000000</v>
      </c>
      <c r="BB142" s="375"/>
      <c r="BC142" s="375"/>
      <c r="BD142" s="353">
        <f t="shared" si="9"/>
        <v>370000000</v>
      </c>
      <c r="BE142" s="432" t="s">
        <v>355</v>
      </c>
      <c r="BF142" s="407" t="s">
        <v>424</v>
      </c>
      <c r="BG142" s="168"/>
      <c r="BH142" s="274"/>
      <c r="BI142" s="168"/>
      <c r="BJ142" s="274"/>
      <c r="BK142" s="168"/>
      <c r="BL142" s="275"/>
      <c r="BM142" s="276"/>
      <c r="BN142" s="275"/>
      <c r="BO142" s="276"/>
      <c r="BP142" s="277"/>
      <c r="BQ142" s="156"/>
      <c r="BR142" s="274"/>
      <c r="BS142" s="270"/>
      <c r="BT142" s="270"/>
      <c r="BU142" s="274"/>
      <c r="BV142" s="274"/>
      <c r="BW142" s="278"/>
      <c r="BX142" s="278"/>
      <c r="BY142" s="278"/>
      <c r="BZ142" s="351"/>
    </row>
    <row r="143" spans="1:78" s="90" customFormat="1" ht="19.5" customHeight="1">
      <c r="A143" s="137"/>
      <c r="B143" s="197">
        <f t="shared" si="7"/>
        <v>133</v>
      </c>
      <c r="C143" s="30" t="s">
        <v>206</v>
      </c>
      <c r="D143" s="30" t="s">
        <v>225</v>
      </c>
      <c r="E143" s="234" t="s">
        <v>755</v>
      </c>
      <c r="F143" s="235" t="s">
        <v>1226</v>
      </c>
      <c r="G143" s="284" t="str">
        <f>IFERROR(VLOOKUP(E143,Assign!$C$2:$J$142,8,FALSE),)</f>
        <v>문선영</v>
      </c>
      <c r="H143" s="361" t="s">
        <v>4149</v>
      </c>
      <c r="I143" s="363">
        <v>1</v>
      </c>
      <c r="J143" s="364" t="s">
        <v>208</v>
      </c>
      <c r="K143" s="364" t="s">
        <v>365</v>
      </c>
      <c r="L143" s="365" t="s">
        <v>366</v>
      </c>
      <c r="M143" s="362" t="s">
        <v>1724</v>
      </c>
      <c r="N143" s="421" t="s">
        <v>207</v>
      </c>
      <c r="O143" s="269">
        <v>67.7</v>
      </c>
      <c r="P143" s="269">
        <v>127.22</v>
      </c>
      <c r="Q143" s="426"/>
      <c r="R143" s="418" t="s">
        <v>755</v>
      </c>
      <c r="S143" s="427" t="s">
        <v>613</v>
      </c>
      <c r="T143" s="357">
        <v>1</v>
      </c>
      <c r="U143" s="357" t="s">
        <v>204</v>
      </c>
      <c r="V143" s="367">
        <v>223500000</v>
      </c>
      <c r="W143" s="368">
        <v>223500000</v>
      </c>
      <c r="X143" s="357"/>
      <c r="Y143" s="357"/>
      <c r="Z143" s="400"/>
      <c r="AA143" s="369"/>
      <c r="AB143" s="370"/>
      <c r="AC143" s="404"/>
      <c r="AD143" s="270"/>
      <c r="AE143" s="156"/>
      <c r="AF143" s="156"/>
      <c r="AG143" s="357"/>
      <c r="AH143" s="357"/>
      <c r="AI143" s="357"/>
      <c r="AJ143" s="156"/>
      <c r="AK143" s="156"/>
      <c r="AL143" s="375"/>
      <c r="AM143" s="405"/>
      <c r="AN143" s="273"/>
      <c r="AO143" s="405"/>
      <c r="AP143" s="273"/>
      <c r="AQ143" s="273"/>
      <c r="AR143" s="273"/>
      <c r="AS143" s="273"/>
      <c r="AT143" s="273"/>
      <c r="AU143" s="273"/>
      <c r="AV143" s="322">
        <f t="shared" si="8"/>
        <v>0</v>
      </c>
      <c r="AW143" s="402" t="s">
        <v>3387</v>
      </c>
      <c r="AX143" s="274">
        <v>45765</v>
      </c>
      <c r="AY143" s="270" t="s">
        <v>3388</v>
      </c>
      <c r="AZ143" s="156"/>
      <c r="BA143" s="156">
        <v>577500000</v>
      </c>
      <c r="BB143" s="156"/>
      <c r="BC143" s="156"/>
      <c r="BD143" s="353">
        <f t="shared" si="9"/>
        <v>577500000</v>
      </c>
      <c r="BE143" s="432" t="s">
        <v>335</v>
      </c>
      <c r="BF143" s="407" t="s">
        <v>422</v>
      </c>
      <c r="BG143" s="168" t="s">
        <v>3412</v>
      </c>
      <c r="BH143" s="274">
        <v>45705</v>
      </c>
      <c r="BI143" s="168" t="s">
        <v>3273</v>
      </c>
      <c r="BJ143" s="274">
        <v>45784</v>
      </c>
      <c r="BK143" s="168">
        <v>30000000</v>
      </c>
      <c r="BL143" s="275"/>
      <c r="BM143" s="276"/>
      <c r="BN143" s="275"/>
      <c r="BO143" s="276"/>
      <c r="BP143" s="277"/>
      <c r="BQ143" s="156"/>
      <c r="BR143" s="274"/>
      <c r="BS143" s="270"/>
      <c r="BT143" s="270"/>
      <c r="BU143" s="274"/>
      <c r="BV143" s="274"/>
      <c r="BW143" s="278"/>
      <c r="BX143" s="278"/>
      <c r="BY143" s="278"/>
      <c r="BZ143" s="351"/>
    </row>
    <row r="144" spans="1:78" s="90" customFormat="1" ht="19.5" hidden="1" customHeight="1">
      <c r="A144" s="137"/>
      <c r="B144" s="197">
        <f t="shared" si="7"/>
        <v>134</v>
      </c>
      <c r="C144" s="30" t="s">
        <v>206</v>
      </c>
      <c r="D144" s="30" t="s">
        <v>225</v>
      </c>
      <c r="E144" s="234" t="s">
        <v>756</v>
      </c>
      <c r="F144" s="235" t="s">
        <v>1229</v>
      </c>
      <c r="G144" s="284" t="str">
        <f>IFERROR(VLOOKUP(E144,Assign!$C$2:$J$142,8,FALSE),)</f>
        <v>문선영</v>
      </c>
      <c r="H144" s="361" t="s">
        <v>5126</v>
      </c>
      <c r="I144" s="363">
        <v>1</v>
      </c>
      <c r="J144" s="364" t="s">
        <v>211</v>
      </c>
      <c r="K144" s="364" t="s">
        <v>310</v>
      </c>
      <c r="L144" s="365" t="s">
        <v>2638</v>
      </c>
      <c r="M144" s="362" t="s">
        <v>2639</v>
      </c>
      <c r="N144" s="421" t="s">
        <v>207</v>
      </c>
      <c r="O144" s="269">
        <v>35.525399999999998</v>
      </c>
      <c r="P144" s="269">
        <v>84.938100000000006</v>
      </c>
      <c r="Q144" s="426"/>
      <c r="R144" s="418" t="s">
        <v>756</v>
      </c>
      <c r="S144" s="427" t="s">
        <v>613</v>
      </c>
      <c r="T144" s="357">
        <v>1</v>
      </c>
      <c r="U144" s="357" t="s">
        <v>204</v>
      </c>
      <c r="V144" s="367">
        <v>252000000</v>
      </c>
      <c r="W144" s="368">
        <v>252000000</v>
      </c>
      <c r="X144" s="357"/>
      <c r="Y144" s="357"/>
      <c r="Z144" s="400"/>
      <c r="AA144" s="369"/>
      <c r="AB144" s="370"/>
      <c r="AC144" s="404"/>
      <c r="AD144" s="270"/>
      <c r="AE144" s="156"/>
      <c r="AF144" s="156"/>
      <c r="AG144" s="357"/>
      <c r="AH144" s="357"/>
      <c r="AI144" s="357"/>
      <c r="AJ144" s="156"/>
      <c r="AK144" s="156"/>
      <c r="AL144" s="375"/>
      <c r="AM144" s="405"/>
      <c r="AN144" s="273"/>
      <c r="AO144" s="405"/>
      <c r="AP144" s="273"/>
      <c r="AQ144" s="273"/>
      <c r="AR144" s="273"/>
      <c r="AS144" s="273"/>
      <c r="AT144" s="273"/>
      <c r="AU144" s="273"/>
      <c r="AV144" s="322">
        <f t="shared" si="8"/>
        <v>0</v>
      </c>
      <c r="AW144" s="402" t="s">
        <v>3387</v>
      </c>
      <c r="AX144" s="274">
        <v>45765</v>
      </c>
      <c r="AY144" s="270" t="s">
        <v>3388</v>
      </c>
      <c r="AZ144" s="156"/>
      <c r="BA144" s="156">
        <v>330000000</v>
      </c>
      <c r="BB144" s="156"/>
      <c r="BC144" s="156"/>
      <c r="BD144" s="353">
        <f t="shared" si="9"/>
        <v>330000000</v>
      </c>
      <c r="BE144" s="432" t="s">
        <v>355</v>
      </c>
      <c r="BF144" s="407" t="s">
        <v>516</v>
      </c>
      <c r="BG144" s="168"/>
      <c r="BH144" s="274"/>
      <c r="BI144" s="168"/>
      <c r="BJ144" s="274"/>
      <c r="BK144" s="168"/>
      <c r="BL144" s="275"/>
      <c r="BM144" s="276"/>
      <c r="BN144" s="275"/>
      <c r="BO144" s="276"/>
      <c r="BP144" s="277"/>
      <c r="BQ144" s="156"/>
      <c r="BR144" s="274"/>
      <c r="BS144" s="270"/>
      <c r="BT144" s="270"/>
      <c r="BU144" s="274"/>
      <c r="BV144" s="274"/>
      <c r="BW144" s="278"/>
      <c r="BX144" s="278"/>
      <c r="BY144" s="278"/>
      <c r="BZ144" s="351"/>
    </row>
    <row r="145" spans="1:78" s="90" customFormat="1" ht="19.5" hidden="1" customHeight="1">
      <c r="A145" s="137"/>
      <c r="B145" s="197">
        <f t="shared" si="7"/>
        <v>135</v>
      </c>
      <c r="C145" s="30" t="s">
        <v>206</v>
      </c>
      <c r="D145" s="30" t="s">
        <v>225</v>
      </c>
      <c r="E145" s="234" t="s">
        <v>757</v>
      </c>
      <c r="F145" s="235" t="s">
        <v>1317</v>
      </c>
      <c r="G145" s="284">
        <f>IFERROR(VLOOKUP(E145,Assign!$C$2:$J$142,8,FALSE),)</f>
        <v>0</v>
      </c>
      <c r="H145" s="361" t="s">
        <v>5546</v>
      </c>
      <c r="I145" s="363">
        <v>1</v>
      </c>
      <c r="J145" s="364" t="s">
        <v>208</v>
      </c>
      <c r="K145" s="364" t="s">
        <v>369</v>
      </c>
      <c r="L145" s="365" t="s">
        <v>1719</v>
      </c>
      <c r="M145" s="362" t="s">
        <v>3018</v>
      </c>
      <c r="N145" s="421" t="s">
        <v>618</v>
      </c>
      <c r="O145" s="269">
        <v>197.465</v>
      </c>
      <c r="P145" s="269">
        <v>161.88999999999999</v>
      </c>
      <c r="Q145" s="426"/>
      <c r="R145" s="418" t="s">
        <v>3421</v>
      </c>
      <c r="S145" s="427" t="s">
        <v>613</v>
      </c>
      <c r="T145" s="357" t="s">
        <v>3665</v>
      </c>
      <c r="U145" s="357" t="s">
        <v>204</v>
      </c>
      <c r="V145" s="367">
        <v>216000000</v>
      </c>
      <c r="W145" s="368">
        <v>216000000</v>
      </c>
      <c r="X145" s="357"/>
      <c r="Y145" s="357"/>
      <c r="Z145" s="400"/>
      <c r="AA145" s="369"/>
      <c r="AB145" s="370"/>
      <c r="AC145" s="404">
        <v>1</v>
      </c>
      <c r="AD145" s="270" t="s">
        <v>204</v>
      </c>
      <c r="AE145" s="156">
        <v>420000000</v>
      </c>
      <c r="AF145" s="156">
        <v>420000000</v>
      </c>
      <c r="AG145" s="357"/>
      <c r="AH145" s="357"/>
      <c r="AI145" s="357"/>
      <c r="AJ145" s="156"/>
      <c r="AK145" s="156"/>
      <c r="AL145" s="375"/>
      <c r="AM145" s="405"/>
      <c r="AN145" s="273"/>
      <c r="AO145" s="405"/>
      <c r="AP145" s="273"/>
      <c r="AQ145" s="273"/>
      <c r="AR145" s="273"/>
      <c r="AS145" s="273"/>
      <c r="AT145" s="273"/>
      <c r="AU145" s="273"/>
      <c r="AV145" s="322">
        <f t="shared" si="8"/>
        <v>0</v>
      </c>
      <c r="AW145" s="402"/>
      <c r="AX145" s="274"/>
      <c r="AY145" s="270"/>
      <c r="AZ145" s="156"/>
      <c r="BA145" s="156"/>
      <c r="BB145" s="156"/>
      <c r="BC145" s="156"/>
      <c r="BD145" s="353">
        <f t="shared" si="9"/>
        <v>0</v>
      </c>
      <c r="BE145" s="432" t="s">
        <v>355</v>
      </c>
      <c r="BF145" s="407" t="s">
        <v>501</v>
      </c>
      <c r="BG145" s="168"/>
      <c r="BH145" s="274"/>
      <c r="BI145" s="168"/>
      <c r="BJ145" s="274"/>
      <c r="BK145" s="168"/>
      <c r="BL145" s="275"/>
      <c r="BM145" s="276"/>
      <c r="BN145" s="275"/>
      <c r="BO145" s="276"/>
      <c r="BP145" s="277"/>
      <c r="BQ145" s="156"/>
      <c r="BR145" s="274"/>
      <c r="BS145" s="270"/>
      <c r="BT145" s="270"/>
      <c r="BU145" s="274"/>
      <c r="BV145" s="274"/>
      <c r="BW145" s="278"/>
      <c r="BX145" s="278"/>
      <c r="BY145" s="278"/>
      <c r="BZ145" s="351"/>
    </row>
    <row r="146" spans="1:78" s="90" customFormat="1" ht="19.5" hidden="1" customHeight="1">
      <c r="A146" s="137"/>
      <c r="B146" s="197">
        <f t="shared" si="7"/>
        <v>136</v>
      </c>
      <c r="C146" s="30" t="s">
        <v>206</v>
      </c>
      <c r="D146" s="30" t="s">
        <v>225</v>
      </c>
      <c r="E146" s="234" t="s">
        <v>758</v>
      </c>
      <c r="F146" s="235" t="s">
        <v>1234</v>
      </c>
      <c r="G146" s="284" t="str">
        <f>IFERROR(VLOOKUP(E146,Assign!$C$2:$J$142,8,FALSE),)</f>
        <v>문선영</v>
      </c>
      <c r="H146" s="361" t="s">
        <v>4511</v>
      </c>
      <c r="I146" s="363">
        <v>1</v>
      </c>
      <c r="J146" s="364" t="s">
        <v>209</v>
      </c>
      <c r="K146" s="364" t="s">
        <v>282</v>
      </c>
      <c r="L146" s="365" t="s">
        <v>2053</v>
      </c>
      <c r="M146" s="362" t="s">
        <v>2054</v>
      </c>
      <c r="N146" s="421" t="s">
        <v>3076</v>
      </c>
      <c r="O146" s="269">
        <v>26.04</v>
      </c>
      <c r="P146" s="269">
        <v>42.4</v>
      </c>
      <c r="Q146" s="426"/>
      <c r="R146" s="418" t="s">
        <v>758</v>
      </c>
      <c r="S146" s="427" t="s">
        <v>613</v>
      </c>
      <c r="T146" s="357">
        <v>1</v>
      </c>
      <c r="U146" s="357" t="s">
        <v>204</v>
      </c>
      <c r="V146" s="367">
        <v>252000000</v>
      </c>
      <c r="W146" s="368">
        <v>252000000</v>
      </c>
      <c r="X146" s="357"/>
      <c r="Y146" s="357"/>
      <c r="Z146" s="400"/>
      <c r="AA146" s="369"/>
      <c r="AB146" s="370"/>
      <c r="AC146" s="404"/>
      <c r="AD146" s="270"/>
      <c r="AE146" s="156"/>
      <c r="AF146" s="156"/>
      <c r="AG146" s="357"/>
      <c r="AH146" s="357"/>
      <c r="AI146" s="357"/>
      <c r="AJ146" s="156"/>
      <c r="AK146" s="156"/>
      <c r="AL146" s="375"/>
      <c r="AM146" s="405"/>
      <c r="AN146" s="273"/>
      <c r="AO146" s="405"/>
      <c r="AP146" s="273"/>
      <c r="AQ146" s="273"/>
      <c r="AR146" s="273"/>
      <c r="AS146" s="273"/>
      <c r="AT146" s="273"/>
      <c r="AU146" s="273"/>
      <c r="AV146" s="322">
        <f t="shared" si="8"/>
        <v>0</v>
      </c>
      <c r="AW146" s="402"/>
      <c r="AX146" s="274"/>
      <c r="AY146" s="270"/>
      <c r="AZ146" s="156"/>
      <c r="BA146" s="156"/>
      <c r="BB146" s="156"/>
      <c r="BC146" s="156"/>
      <c r="BD146" s="353">
        <f t="shared" si="9"/>
        <v>0</v>
      </c>
      <c r="BE146" s="432" t="s">
        <v>355</v>
      </c>
      <c r="BF146" s="407" t="s">
        <v>510</v>
      </c>
      <c r="BG146" s="168"/>
      <c r="BH146" s="274"/>
      <c r="BI146" s="168"/>
      <c r="BJ146" s="274"/>
      <c r="BK146" s="168"/>
      <c r="BL146" s="275"/>
      <c r="BM146" s="276"/>
      <c r="BN146" s="275"/>
      <c r="BO146" s="276"/>
      <c r="BP146" s="277"/>
      <c r="BQ146" s="156"/>
      <c r="BR146" s="274"/>
      <c r="BS146" s="270"/>
      <c r="BT146" s="270"/>
      <c r="BU146" s="274"/>
      <c r="BV146" s="274"/>
      <c r="BW146" s="278"/>
      <c r="BX146" s="278"/>
      <c r="BY146" s="278"/>
      <c r="BZ146" s="351"/>
    </row>
    <row r="147" spans="1:78" s="90" customFormat="1" ht="19.5" hidden="1" customHeight="1">
      <c r="A147" s="137"/>
      <c r="B147" s="197">
        <f t="shared" si="7"/>
        <v>137</v>
      </c>
      <c r="C147" s="30" t="s">
        <v>206</v>
      </c>
      <c r="D147" s="30" t="s">
        <v>225</v>
      </c>
      <c r="E147" s="234" t="s">
        <v>759</v>
      </c>
      <c r="F147" s="235" t="s">
        <v>1229</v>
      </c>
      <c r="G147" s="284">
        <f>IFERROR(VLOOKUP(E147,Assign!$C$2:$J$142,8,FALSE),)</f>
        <v>0</v>
      </c>
      <c r="H147" s="361" t="s">
        <v>4234</v>
      </c>
      <c r="I147" s="363">
        <v>1</v>
      </c>
      <c r="J147" s="364" t="s">
        <v>208</v>
      </c>
      <c r="K147" s="364" t="s">
        <v>280</v>
      </c>
      <c r="L147" s="365" t="s">
        <v>281</v>
      </c>
      <c r="M147" s="362" t="s">
        <v>1807</v>
      </c>
      <c r="N147" s="421" t="s">
        <v>3386</v>
      </c>
      <c r="O147" s="269">
        <v>5.94</v>
      </c>
      <c r="P147" s="269">
        <v>20.2881</v>
      </c>
      <c r="Q147" s="426"/>
      <c r="R147" s="418" t="s">
        <v>759</v>
      </c>
      <c r="S147" s="427" t="s">
        <v>613</v>
      </c>
      <c r="T147" s="357">
        <v>1</v>
      </c>
      <c r="U147" s="357" t="s">
        <v>204</v>
      </c>
      <c r="V147" s="367">
        <v>111600000</v>
      </c>
      <c r="W147" s="368">
        <v>111600000</v>
      </c>
      <c r="X147" s="357"/>
      <c r="Y147" s="357"/>
      <c r="Z147" s="400"/>
      <c r="AA147" s="369"/>
      <c r="AB147" s="370"/>
      <c r="AC147" s="404"/>
      <c r="AD147" s="270"/>
      <c r="AE147" s="156"/>
      <c r="AF147" s="156"/>
      <c r="AG147" s="357"/>
      <c r="AH147" s="357"/>
      <c r="AI147" s="357"/>
      <c r="AJ147" s="156"/>
      <c r="AK147" s="156"/>
      <c r="AL147" s="375"/>
      <c r="AM147" s="405"/>
      <c r="AN147" s="273"/>
      <c r="AO147" s="405"/>
      <c r="AP147" s="273"/>
      <c r="AQ147" s="273"/>
      <c r="AR147" s="273"/>
      <c r="AS147" s="273"/>
      <c r="AT147" s="273"/>
      <c r="AU147" s="273"/>
      <c r="AV147" s="322">
        <f t="shared" si="8"/>
        <v>0</v>
      </c>
      <c r="AW147" s="402"/>
      <c r="AX147" s="376"/>
      <c r="AY147" s="373"/>
      <c r="AZ147" s="375"/>
      <c r="BA147" s="375"/>
      <c r="BB147" s="375"/>
      <c r="BC147" s="375"/>
      <c r="BD147" s="353">
        <f t="shared" si="9"/>
        <v>0</v>
      </c>
      <c r="BE147" s="432" t="s">
        <v>355</v>
      </c>
      <c r="BF147" s="407" t="s">
        <v>422</v>
      </c>
      <c r="BG147" s="168"/>
      <c r="BH147" s="274"/>
      <c r="BI147" s="168"/>
      <c r="BJ147" s="274"/>
      <c r="BK147" s="168"/>
      <c r="BL147" s="275"/>
      <c r="BM147" s="276"/>
      <c r="BN147" s="275"/>
      <c r="BO147" s="276"/>
      <c r="BP147" s="277"/>
      <c r="BQ147" s="156"/>
      <c r="BR147" s="274"/>
      <c r="BS147" s="270"/>
      <c r="BT147" s="270"/>
      <c r="BU147" s="274"/>
      <c r="BV147" s="274"/>
      <c r="BW147" s="278"/>
      <c r="BX147" s="278"/>
      <c r="BY147" s="278"/>
      <c r="BZ147" s="351"/>
    </row>
    <row r="148" spans="1:78" s="90" customFormat="1" ht="19.5" hidden="1" customHeight="1">
      <c r="A148" s="137"/>
      <c r="B148" s="197">
        <f t="shared" si="7"/>
        <v>138</v>
      </c>
      <c r="C148" s="30" t="s">
        <v>206</v>
      </c>
      <c r="D148" s="30" t="s">
        <v>225</v>
      </c>
      <c r="E148" s="234" t="s">
        <v>759</v>
      </c>
      <c r="F148" s="235" t="s">
        <v>1229</v>
      </c>
      <c r="G148" s="284">
        <f>IFERROR(VLOOKUP(E148,Assign!$C$2:$J$142,8,FALSE),)</f>
        <v>0</v>
      </c>
      <c r="H148" s="361" t="s">
        <v>4236</v>
      </c>
      <c r="I148" s="363">
        <v>2</v>
      </c>
      <c r="J148" s="364" t="s">
        <v>208</v>
      </c>
      <c r="K148" s="364" t="s">
        <v>280</v>
      </c>
      <c r="L148" s="365" t="s">
        <v>281</v>
      </c>
      <c r="M148" s="362" t="s">
        <v>1809</v>
      </c>
      <c r="N148" s="421" t="s">
        <v>3386</v>
      </c>
      <c r="O148" s="269">
        <v>5.94</v>
      </c>
      <c r="P148" s="269">
        <v>20.2881</v>
      </c>
      <c r="Q148" s="426"/>
      <c r="R148" s="418" t="s">
        <v>759</v>
      </c>
      <c r="S148" s="427" t="s">
        <v>613</v>
      </c>
      <c r="T148" s="357">
        <v>1</v>
      </c>
      <c r="U148" s="357" t="s">
        <v>204</v>
      </c>
      <c r="V148" s="367">
        <v>106800000</v>
      </c>
      <c r="W148" s="368">
        <v>106800000</v>
      </c>
      <c r="X148" s="357"/>
      <c r="Y148" s="357"/>
      <c r="Z148" s="400"/>
      <c r="AA148" s="369"/>
      <c r="AB148" s="370"/>
      <c r="AC148" s="404"/>
      <c r="AD148" s="270"/>
      <c r="AE148" s="156"/>
      <c r="AF148" s="156"/>
      <c r="AG148" s="357"/>
      <c r="AH148" s="357"/>
      <c r="AI148" s="357"/>
      <c r="AJ148" s="156"/>
      <c r="AK148" s="156"/>
      <c r="AL148" s="375"/>
      <c r="AM148" s="405"/>
      <c r="AN148" s="273"/>
      <c r="AO148" s="405"/>
      <c r="AP148" s="273"/>
      <c r="AQ148" s="273"/>
      <c r="AR148" s="273"/>
      <c r="AS148" s="273"/>
      <c r="AT148" s="273"/>
      <c r="AU148" s="273"/>
      <c r="AV148" s="322">
        <f t="shared" si="8"/>
        <v>0</v>
      </c>
      <c r="AW148" s="402"/>
      <c r="AX148" s="274"/>
      <c r="AY148" s="270"/>
      <c r="AZ148" s="156"/>
      <c r="BA148" s="156"/>
      <c r="BB148" s="156"/>
      <c r="BC148" s="156"/>
      <c r="BD148" s="353">
        <f t="shared" si="9"/>
        <v>0</v>
      </c>
      <c r="BE148" s="432" t="s">
        <v>355</v>
      </c>
      <c r="BF148" s="407" t="s">
        <v>422</v>
      </c>
      <c r="BG148" s="168"/>
      <c r="BH148" s="274"/>
      <c r="BI148" s="168"/>
      <c r="BJ148" s="276"/>
      <c r="BK148" s="277"/>
      <c r="BL148" s="275"/>
      <c r="BM148" s="276"/>
      <c r="BN148" s="275"/>
      <c r="BO148" s="276"/>
      <c r="BP148" s="277"/>
      <c r="BQ148" s="156"/>
      <c r="BR148" s="274"/>
      <c r="BS148" s="270"/>
      <c r="BT148" s="270"/>
      <c r="BU148" s="274"/>
      <c r="BV148" s="274"/>
      <c r="BW148" s="278"/>
      <c r="BX148" s="278"/>
      <c r="BY148" s="278"/>
      <c r="BZ148" s="351"/>
    </row>
    <row r="149" spans="1:78" s="90" customFormat="1" ht="19.5" hidden="1" customHeight="1">
      <c r="A149" s="137"/>
      <c r="B149" s="197">
        <f t="shared" si="7"/>
        <v>139</v>
      </c>
      <c r="C149" s="30" t="s">
        <v>206</v>
      </c>
      <c r="D149" s="30" t="s">
        <v>225</v>
      </c>
      <c r="E149" s="234" t="s">
        <v>760</v>
      </c>
      <c r="F149" s="235" t="s">
        <v>1225</v>
      </c>
      <c r="G149" s="284" t="str">
        <f>IFERROR(VLOOKUP(E149,Assign!$C$2:$J$142,8,FALSE),)</f>
        <v>문선영</v>
      </c>
      <c r="H149" s="361" t="s">
        <v>4021</v>
      </c>
      <c r="I149" s="363">
        <v>1</v>
      </c>
      <c r="J149" s="364" t="s">
        <v>211</v>
      </c>
      <c r="K149" s="364" t="s">
        <v>299</v>
      </c>
      <c r="L149" s="365" t="s">
        <v>1595</v>
      </c>
      <c r="M149" s="362" t="s">
        <v>1596</v>
      </c>
      <c r="N149" s="421" t="s">
        <v>207</v>
      </c>
      <c r="O149" s="269">
        <v>76.91</v>
      </c>
      <c r="P149" s="269">
        <v>99.686300000000003</v>
      </c>
      <c r="Q149" s="426"/>
      <c r="R149" s="418" t="s">
        <v>760</v>
      </c>
      <c r="S149" s="427" t="s">
        <v>613</v>
      </c>
      <c r="T149" s="357">
        <v>1</v>
      </c>
      <c r="U149" s="357" t="s">
        <v>204</v>
      </c>
      <c r="V149" s="367">
        <v>255600000</v>
      </c>
      <c r="W149" s="368">
        <v>255600000</v>
      </c>
      <c r="X149" s="357"/>
      <c r="Y149" s="357"/>
      <c r="Z149" s="400"/>
      <c r="AA149" s="369"/>
      <c r="AB149" s="370"/>
      <c r="AC149" s="404"/>
      <c r="AD149" s="270"/>
      <c r="AE149" s="156"/>
      <c r="AF149" s="156"/>
      <c r="AG149" s="357"/>
      <c r="AH149" s="357"/>
      <c r="AI149" s="357"/>
      <c r="AJ149" s="156"/>
      <c r="AK149" s="156"/>
      <c r="AL149" s="375"/>
      <c r="AM149" s="405"/>
      <c r="AN149" s="273"/>
      <c r="AO149" s="405"/>
      <c r="AP149" s="273"/>
      <c r="AQ149" s="273"/>
      <c r="AR149" s="273"/>
      <c r="AS149" s="273"/>
      <c r="AT149" s="273"/>
      <c r="AU149" s="273"/>
      <c r="AV149" s="322">
        <f t="shared" si="8"/>
        <v>0</v>
      </c>
      <c r="AW149" s="402" t="s">
        <v>3387</v>
      </c>
      <c r="AX149" s="376">
        <v>45765</v>
      </c>
      <c r="AY149" s="373" t="s">
        <v>3388</v>
      </c>
      <c r="AZ149" s="375"/>
      <c r="BA149" s="375">
        <v>387500000</v>
      </c>
      <c r="BB149" s="375"/>
      <c r="BC149" s="375"/>
      <c r="BD149" s="353">
        <f t="shared" si="9"/>
        <v>387500000</v>
      </c>
      <c r="BE149" s="432" t="s">
        <v>355</v>
      </c>
      <c r="BF149" s="407" t="s">
        <v>527</v>
      </c>
      <c r="BG149" s="168"/>
      <c r="BH149" s="274"/>
      <c r="BI149" s="168"/>
      <c r="BJ149" s="274"/>
      <c r="BK149" s="168"/>
      <c r="BL149" s="275"/>
      <c r="BM149" s="276"/>
      <c r="BN149" s="275"/>
      <c r="BO149" s="276"/>
      <c r="BP149" s="277"/>
      <c r="BQ149" s="156"/>
      <c r="BR149" s="274"/>
      <c r="BS149" s="270"/>
      <c r="BT149" s="270"/>
      <c r="BU149" s="274"/>
      <c r="BV149" s="274"/>
      <c r="BW149" s="278"/>
      <c r="BX149" s="278"/>
      <c r="BY149" s="278"/>
      <c r="BZ149" s="351"/>
    </row>
    <row r="150" spans="1:78" s="90" customFormat="1" ht="19.5" hidden="1" customHeight="1">
      <c r="A150" s="137"/>
      <c r="B150" s="197">
        <f t="shared" si="7"/>
        <v>140</v>
      </c>
      <c r="C150" s="30" t="s">
        <v>206</v>
      </c>
      <c r="D150" s="30" t="s">
        <v>225</v>
      </c>
      <c r="E150" s="234" t="s">
        <v>761</v>
      </c>
      <c r="F150" s="235" t="s">
        <v>1239</v>
      </c>
      <c r="G150" s="284" t="str">
        <f>IFERROR(VLOOKUP(E150,Assign!$C$2:$J$142,8,FALSE),)</f>
        <v>문선영</v>
      </c>
      <c r="H150" s="361" t="s">
        <v>4003</v>
      </c>
      <c r="I150" s="363">
        <v>1</v>
      </c>
      <c r="J150" s="364" t="s">
        <v>213</v>
      </c>
      <c r="K150" s="364" t="s">
        <v>256</v>
      </c>
      <c r="L150" s="365" t="s">
        <v>407</v>
      </c>
      <c r="M150" s="362" t="s">
        <v>1577</v>
      </c>
      <c r="N150" s="421" t="s">
        <v>207</v>
      </c>
      <c r="O150" s="269">
        <v>26.8734</v>
      </c>
      <c r="P150" s="269">
        <v>59.585000000000001</v>
      </c>
      <c r="Q150" s="426"/>
      <c r="R150" s="418" t="s">
        <v>3421</v>
      </c>
      <c r="S150" s="427" t="s">
        <v>613</v>
      </c>
      <c r="T150" s="357" t="s">
        <v>3068</v>
      </c>
      <c r="U150" s="357" t="s">
        <v>204</v>
      </c>
      <c r="V150" s="367">
        <v>336600000</v>
      </c>
      <c r="W150" s="368">
        <v>336600000</v>
      </c>
      <c r="X150" s="357"/>
      <c r="Y150" s="357"/>
      <c r="Z150" s="400"/>
      <c r="AA150" s="369"/>
      <c r="AB150" s="370"/>
      <c r="AC150" s="404"/>
      <c r="AD150" s="270"/>
      <c r="AE150" s="156"/>
      <c r="AF150" s="156"/>
      <c r="AG150" s="357"/>
      <c r="AH150" s="357"/>
      <c r="AI150" s="357"/>
      <c r="AJ150" s="156"/>
      <c r="AK150" s="156"/>
      <c r="AL150" s="412" t="s">
        <v>3063</v>
      </c>
      <c r="AM150" s="405" t="s">
        <v>204</v>
      </c>
      <c r="AN150" s="273">
        <v>70815718</v>
      </c>
      <c r="AO150" s="405" t="s">
        <v>536</v>
      </c>
      <c r="AP150" s="273"/>
      <c r="AQ150" s="273"/>
      <c r="AR150" s="273"/>
      <c r="AS150" s="273"/>
      <c r="AT150" s="273"/>
      <c r="AU150" s="273"/>
      <c r="AV150" s="322">
        <f t="shared" si="8"/>
        <v>0</v>
      </c>
      <c r="AW150" s="402" t="s">
        <v>3387</v>
      </c>
      <c r="AX150" s="376">
        <v>45765</v>
      </c>
      <c r="AY150" s="373" t="s">
        <v>3388</v>
      </c>
      <c r="AZ150" s="375"/>
      <c r="BA150" s="375">
        <v>290000000</v>
      </c>
      <c r="BB150" s="375"/>
      <c r="BC150" s="375"/>
      <c r="BD150" s="353">
        <f t="shared" si="9"/>
        <v>290000000</v>
      </c>
      <c r="BE150" s="432" t="s">
        <v>355</v>
      </c>
      <c r="BF150" s="407" t="s">
        <v>423</v>
      </c>
      <c r="BG150" s="168"/>
      <c r="BH150" s="274"/>
      <c r="BI150" s="168"/>
      <c r="BJ150" s="274"/>
      <c r="BK150" s="168"/>
      <c r="BL150" s="275"/>
      <c r="BM150" s="276"/>
      <c r="BN150" s="275"/>
      <c r="BO150" s="276"/>
      <c r="BP150" s="277"/>
      <c r="BQ150" s="156"/>
      <c r="BR150" s="274"/>
      <c r="BS150" s="270"/>
      <c r="BT150" s="270"/>
      <c r="BU150" s="274"/>
      <c r="BV150" s="274"/>
      <c r="BW150" s="278"/>
      <c r="BX150" s="278"/>
      <c r="BY150" s="278"/>
      <c r="BZ150" s="351"/>
    </row>
    <row r="151" spans="1:78" s="90" customFormat="1" ht="19.5" hidden="1" customHeight="1">
      <c r="A151" s="137"/>
      <c r="B151" s="197">
        <f t="shared" si="7"/>
        <v>141</v>
      </c>
      <c r="C151" s="30" t="s">
        <v>206</v>
      </c>
      <c r="D151" s="30" t="s">
        <v>225</v>
      </c>
      <c r="E151" s="234" t="s">
        <v>762</v>
      </c>
      <c r="F151" s="235" t="s">
        <v>1235</v>
      </c>
      <c r="G151" s="284">
        <f>IFERROR(VLOOKUP(E151,Assign!$C$2:$J$142,8,FALSE),)</f>
        <v>0</v>
      </c>
      <c r="H151" s="361" t="s">
        <v>4903</v>
      </c>
      <c r="I151" s="363">
        <v>1</v>
      </c>
      <c r="J151" s="364" t="s">
        <v>208</v>
      </c>
      <c r="K151" s="364" t="s">
        <v>261</v>
      </c>
      <c r="L151" s="365" t="s">
        <v>392</v>
      </c>
      <c r="M151" s="362" t="s">
        <v>2422</v>
      </c>
      <c r="N151" s="421" t="s">
        <v>3074</v>
      </c>
      <c r="O151" s="269">
        <v>10.618499999999999</v>
      </c>
      <c r="P151" s="269">
        <v>49.9724</v>
      </c>
      <c r="Q151" s="426"/>
      <c r="R151" s="418" t="s">
        <v>762</v>
      </c>
      <c r="S151" s="427" t="s">
        <v>613</v>
      </c>
      <c r="T151" s="357">
        <v>1</v>
      </c>
      <c r="U151" s="357" t="s">
        <v>204</v>
      </c>
      <c r="V151" s="367">
        <v>188100000</v>
      </c>
      <c r="W151" s="368">
        <v>188100000</v>
      </c>
      <c r="X151" s="357"/>
      <c r="Y151" s="357"/>
      <c r="Z151" s="400"/>
      <c r="AA151" s="369"/>
      <c r="AB151" s="370"/>
      <c r="AC151" s="404"/>
      <c r="AD151" s="270"/>
      <c r="AE151" s="156"/>
      <c r="AF151" s="156"/>
      <c r="AG151" s="357"/>
      <c r="AH151" s="357"/>
      <c r="AI151" s="357"/>
      <c r="AJ151" s="156"/>
      <c r="AK151" s="156"/>
      <c r="AL151" s="375"/>
      <c r="AM151" s="405"/>
      <c r="AN151" s="273"/>
      <c r="AO151" s="405"/>
      <c r="AP151" s="273"/>
      <c r="AQ151" s="273"/>
      <c r="AR151" s="273"/>
      <c r="AS151" s="273"/>
      <c r="AT151" s="273"/>
      <c r="AU151" s="273"/>
      <c r="AV151" s="322">
        <f t="shared" si="8"/>
        <v>0</v>
      </c>
      <c r="AW151" s="402"/>
      <c r="AX151" s="376"/>
      <c r="AY151" s="373"/>
      <c r="AZ151" s="375"/>
      <c r="BA151" s="375"/>
      <c r="BB151" s="156"/>
      <c r="BC151" s="156"/>
      <c r="BD151" s="353">
        <f t="shared" si="9"/>
        <v>0</v>
      </c>
      <c r="BE151" s="432" t="s">
        <v>355</v>
      </c>
      <c r="BF151" s="407" t="s">
        <v>499</v>
      </c>
      <c r="BG151" s="168"/>
      <c r="BH151" s="274"/>
      <c r="BI151" s="168"/>
      <c r="BJ151" s="274"/>
      <c r="BK151" s="168"/>
      <c r="BL151" s="275"/>
      <c r="BM151" s="276"/>
      <c r="BN151" s="275"/>
      <c r="BO151" s="276"/>
      <c r="BP151" s="277"/>
      <c r="BQ151" s="156"/>
      <c r="BR151" s="274"/>
      <c r="BS151" s="270"/>
      <c r="BT151" s="270"/>
      <c r="BU151" s="274"/>
      <c r="BV151" s="274"/>
      <c r="BW151" s="278"/>
      <c r="BX151" s="278"/>
      <c r="BY151" s="278"/>
      <c r="BZ151" s="351"/>
    </row>
    <row r="152" spans="1:78" s="90" customFormat="1" ht="19.5" hidden="1" customHeight="1">
      <c r="A152" s="137"/>
      <c r="B152" s="197">
        <f t="shared" si="7"/>
        <v>142</v>
      </c>
      <c r="C152" s="30" t="s">
        <v>206</v>
      </c>
      <c r="D152" s="30" t="s">
        <v>225</v>
      </c>
      <c r="E152" s="234" t="s">
        <v>763</v>
      </c>
      <c r="F152" s="235" t="s">
        <v>1221</v>
      </c>
      <c r="G152" s="284">
        <f>IFERROR(VLOOKUP(E152,Assign!$C$2:$J$142,8,FALSE),)</f>
        <v>0</v>
      </c>
      <c r="H152" s="361" t="s">
        <v>4019</v>
      </c>
      <c r="I152" s="363">
        <v>1</v>
      </c>
      <c r="J152" s="364" t="s">
        <v>208</v>
      </c>
      <c r="K152" s="364" t="s">
        <v>556</v>
      </c>
      <c r="L152" s="365" t="s">
        <v>557</v>
      </c>
      <c r="M152" s="362" t="s">
        <v>1593</v>
      </c>
      <c r="N152" s="421" t="s">
        <v>606</v>
      </c>
      <c r="O152" s="269">
        <v>47.881981613891703</v>
      </c>
      <c r="P152" s="269">
        <v>55.58</v>
      </c>
      <c r="Q152" s="426"/>
      <c r="R152" s="418" t="s">
        <v>763</v>
      </c>
      <c r="S152" s="427" t="s">
        <v>613</v>
      </c>
      <c r="T152" s="357">
        <v>1</v>
      </c>
      <c r="U152" s="357" t="s">
        <v>204</v>
      </c>
      <c r="V152" s="367">
        <v>230400000</v>
      </c>
      <c r="W152" s="368">
        <v>230400000</v>
      </c>
      <c r="X152" s="357"/>
      <c r="Y152" s="357"/>
      <c r="Z152" s="400"/>
      <c r="AA152" s="369"/>
      <c r="AB152" s="370"/>
      <c r="AC152" s="404"/>
      <c r="AD152" s="270"/>
      <c r="AE152" s="156"/>
      <c r="AF152" s="156"/>
      <c r="AG152" s="357"/>
      <c r="AH152" s="357"/>
      <c r="AI152" s="357"/>
      <c r="AJ152" s="156"/>
      <c r="AK152" s="156"/>
      <c r="AL152" s="375"/>
      <c r="AM152" s="405"/>
      <c r="AN152" s="273"/>
      <c r="AO152" s="405"/>
      <c r="AP152" s="273"/>
      <c r="AQ152" s="273"/>
      <c r="AR152" s="273"/>
      <c r="AS152" s="273"/>
      <c r="AT152" s="273"/>
      <c r="AU152" s="273"/>
      <c r="AV152" s="322">
        <f t="shared" si="8"/>
        <v>0</v>
      </c>
      <c r="AW152" s="402"/>
      <c r="AX152" s="376"/>
      <c r="AY152" s="373"/>
      <c r="AZ152" s="375"/>
      <c r="BA152" s="375"/>
      <c r="BB152" s="375"/>
      <c r="BC152" s="375"/>
      <c r="BD152" s="353">
        <f t="shared" si="9"/>
        <v>0</v>
      </c>
      <c r="BE152" s="432" t="s">
        <v>355</v>
      </c>
      <c r="BF152" s="407" t="s">
        <v>506</v>
      </c>
      <c r="BG152" s="168"/>
      <c r="BH152" s="274"/>
      <c r="BI152" s="168"/>
      <c r="BJ152" s="274"/>
      <c r="BK152" s="168"/>
      <c r="BL152" s="275"/>
      <c r="BM152" s="276"/>
      <c r="BN152" s="275"/>
      <c r="BO152" s="276"/>
      <c r="BP152" s="277"/>
      <c r="BQ152" s="156"/>
      <c r="BR152" s="274"/>
      <c r="BS152" s="270"/>
      <c r="BT152" s="270"/>
      <c r="BU152" s="274"/>
      <c r="BV152" s="274"/>
      <c r="BW152" s="278"/>
      <c r="BX152" s="278"/>
      <c r="BY152" s="278"/>
      <c r="BZ152" s="351"/>
    </row>
    <row r="153" spans="1:78" s="90" customFormat="1" ht="19.5" hidden="1" customHeight="1">
      <c r="A153" s="137"/>
      <c r="B153" s="197">
        <f t="shared" si="7"/>
        <v>143</v>
      </c>
      <c r="C153" s="30" t="s">
        <v>206</v>
      </c>
      <c r="D153" s="30" t="s">
        <v>225</v>
      </c>
      <c r="E153" s="234" t="s">
        <v>764</v>
      </c>
      <c r="F153" s="235" t="s">
        <v>1217</v>
      </c>
      <c r="G153" s="284">
        <f>IFERROR(VLOOKUP(E153,Assign!$C$2:$J$142,8,FALSE),)</f>
        <v>0</v>
      </c>
      <c r="H153" s="361" t="s">
        <v>4783</v>
      </c>
      <c r="I153" s="363">
        <v>1</v>
      </c>
      <c r="J153" s="364" t="s">
        <v>208</v>
      </c>
      <c r="K153" s="364" t="s">
        <v>316</v>
      </c>
      <c r="L153" s="365" t="s">
        <v>1686</v>
      </c>
      <c r="M153" s="362" t="s">
        <v>2312</v>
      </c>
      <c r="N153" s="421" t="s">
        <v>606</v>
      </c>
      <c r="O153" s="269">
        <v>57.65</v>
      </c>
      <c r="P153" s="269">
        <v>61.05</v>
      </c>
      <c r="Q153" s="426"/>
      <c r="R153" s="418" t="s">
        <v>764</v>
      </c>
      <c r="S153" s="427" t="s">
        <v>613</v>
      </c>
      <c r="T153" s="357">
        <v>1</v>
      </c>
      <c r="U153" s="357" t="s">
        <v>204</v>
      </c>
      <c r="V153" s="367">
        <v>226800000</v>
      </c>
      <c r="W153" s="368">
        <v>226800000</v>
      </c>
      <c r="X153" s="357"/>
      <c r="Y153" s="357"/>
      <c r="Z153" s="400"/>
      <c r="AA153" s="369"/>
      <c r="AB153" s="370"/>
      <c r="AC153" s="404"/>
      <c r="AD153" s="270"/>
      <c r="AE153" s="156"/>
      <c r="AF153" s="156"/>
      <c r="AG153" s="357"/>
      <c r="AH153" s="357"/>
      <c r="AI153" s="357"/>
      <c r="AJ153" s="156"/>
      <c r="AK153" s="156"/>
      <c r="AL153" s="375"/>
      <c r="AM153" s="405"/>
      <c r="AN153" s="273"/>
      <c r="AO153" s="405"/>
      <c r="AP153" s="273"/>
      <c r="AQ153" s="273"/>
      <c r="AR153" s="273"/>
      <c r="AS153" s="273"/>
      <c r="AT153" s="273"/>
      <c r="AU153" s="273"/>
      <c r="AV153" s="322">
        <f t="shared" si="8"/>
        <v>0</v>
      </c>
      <c r="AW153" s="402"/>
      <c r="AX153" s="376"/>
      <c r="AY153" s="373"/>
      <c r="AZ153" s="375"/>
      <c r="BA153" s="375"/>
      <c r="BB153" s="375"/>
      <c r="BC153" s="375"/>
      <c r="BD153" s="353">
        <f t="shared" si="9"/>
        <v>0</v>
      </c>
      <c r="BE153" s="432" t="s">
        <v>355</v>
      </c>
      <c r="BF153" s="407" t="s">
        <v>501</v>
      </c>
      <c r="BG153" s="168"/>
      <c r="BH153" s="274"/>
      <c r="BI153" s="168"/>
      <c r="BJ153" s="274"/>
      <c r="BK153" s="168"/>
      <c r="BL153" s="275"/>
      <c r="BM153" s="276"/>
      <c r="BN153" s="275"/>
      <c r="BO153" s="276"/>
      <c r="BP153" s="277"/>
      <c r="BQ153" s="156"/>
      <c r="BR153" s="274"/>
      <c r="BS153" s="270"/>
      <c r="BT153" s="270"/>
      <c r="BU153" s="274"/>
      <c r="BV153" s="274"/>
      <c r="BW153" s="278"/>
      <c r="BX153" s="278"/>
      <c r="BY153" s="278"/>
      <c r="BZ153" s="351"/>
    </row>
    <row r="154" spans="1:78" s="90" customFormat="1" ht="19.5" hidden="1" customHeight="1">
      <c r="A154" s="137"/>
      <c r="B154" s="197">
        <f t="shared" si="7"/>
        <v>144</v>
      </c>
      <c r="C154" s="30" t="s">
        <v>206</v>
      </c>
      <c r="D154" s="30" t="s">
        <v>225</v>
      </c>
      <c r="E154" s="234" t="s">
        <v>765</v>
      </c>
      <c r="F154" s="235" t="s">
        <v>1223</v>
      </c>
      <c r="G154" s="284" t="str">
        <f>IFERROR(VLOOKUP(E154,Assign!$C$2:$J$142,8,FALSE),)</f>
        <v>문선영</v>
      </c>
      <c r="H154" s="361" t="s">
        <v>4787</v>
      </c>
      <c r="I154" s="363">
        <v>1</v>
      </c>
      <c r="J154" s="364" t="s">
        <v>208</v>
      </c>
      <c r="K154" s="364" t="s">
        <v>261</v>
      </c>
      <c r="L154" s="365" t="s">
        <v>1822</v>
      </c>
      <c r="M154" s="362" t="s">
        <v>2316</v>
      </c>
      <c r="N154" s="421" t="s">
        <v>207</v>
      </c>
      <c r="O154" s="269">
        <v>40.660899999999998</v>
      </c>
      <c r="P154" s="269">
        <v>59.906700000000001</v>
      </c>
      <c r="Q154" s="426"/>
      <c r="R154" s="418" t="s">
        <v>3489</v>
      </c>
      <c r="S154" s="427" t="s">
        <v>613</v>
      </c>
      <c r="T154" s="357">
        <v>1</v>
      </c>
      <c r="U154" s="357" t="s">
        <v>204</v>
      </c>
      <c r="V154" s="367">
        <v>187000000</v>
      </c>
      <c r="W154" s="368">
        <v>187000000</v>
      </c>
      <c r="X154" s="357"/>
      <c r="Y154" s="357"/>
      <c r="Z154" s="400"/>
      <c r="AA154" s="369"/>
      <c r="AB154" s="370"/>
      <c r="AC154" s="404"/>
      <c r="AD154" s="270"/>
      <c r="AE154" s="156"/>
      <c r="AF154" s="156"/>
      <c r="AG154" s="357"/>
      <c r="AH154" s="357"/>
      <c r="AI154" s="357"/>
      <c r="AJ154" s="156"/>
      <c r="AK154" s="156"/>
      <c r="AL154" s="375"/>
      <c r="AM154" s="405"/>
      <c r="AN154" s="273"/>
      <c r="AO154" s="405"/>
      <c r="AP154" s="273"/>
      <c r="AQ154" s="273"/>
      <c r="AR154" s="273"/>
      <c r="AS154" s="273"/>
      <c r="AT154" s="273"/>
      <c r="AU154" s="273"/>
      <c r="AV154" s="322">
        <f t="shared" si="8"/>
        <v>0</v>
      </c>
      <c r="AW154" s="402" t="s">
        <v>3387</v>
      </c>
      <c r="AX154" s="376">
        <v>45765</v>
      </c>
      <c r="AY154" s="373" t="s">
        <v>3388</v>
      </c>
      <c r="AZ154" s="375"/>
      <c r="BA154" s="375">
        <v>220000000</v>
      </c>
      <c r="BB154" s="156"/>
      <c r="BC154" s="156"/>
      <c r="BD154" s="353">
        <f t="shared" si="9"/>
        <v>220000000</v>
      </c>
      <c r="BE154" s="432" t="s">
        <v>355</v>
      </c>
      <c r="BF154" s="407" t="s">
        <v>499</v>
      </c>
      <c r="BG154" s="168"/>
      <c r="BH154" s="274"/>
      <c r="BI154" s="168"/>
      <c r="BJ154" s="274"/>
      <c r="BK154" s="168"/>
      <c r="BL154" s="275"/>
      <c r="BM154" s="276"/>
      <c r="BN154" s="275"/>
      <c r="BO154" s="276"/>
      <c r="BP154" s="277"/>
      <c r="BQ154" s="156"/>
      <c r="BR154" s="274"/>
      <c r="BS154" s="270"/>
      <c r="BT154" s="270"/>
      <c r="BU154" s="274"/>
      <c r="BV154" s="274"/>
      <c r="BW154" s="278"/>
      <c r="BX154" s="278"/>
      <c r="BY154" s="278"/>
      <c r="BZ154" s="351"/>
    </row>
    <row r="155" spans="1:78" s="90" customFormat="1" ht="19.5" hidden="1" customHeight="1">
      <c r="A155" s="137"/>
      <c r="B155" s="197">
        <f t="shared" si="7"/>
        <v>145</v>
      </c>
      <c r="C155" s="30" t="s">
        <v>206</v>
      </c>
      <c r="D155" s="30" t="s">
        <v>225</v>
      </c>
      <c r="E155" s="234" t="s">
        <v>766</v>
      </c>
      <c r="F155" s="235" t="s">
        <v>1229</v>
      </c>
      <c r="G155" s="284" t="str">
        <f>IFERROR(VLOOKUP(E155,Assign!$C$2:$J$142,8,FALSE),)</f>
        <v>문선영</v>
      </c>
      <c r="H155" s="361" t="s">
        <v>4567</v>
      </c>
      <c r="I155" s="363">
        <v>1</v>
      </c>
      <c r="J155" s="364" t="s">
        <v>215</v>
      </c>
      <c r="K155" s="364" t="s">
        <v>311</v>
      </c>
      <c r="L155" s="365" t="s">
        <v>2105</v>
      </c>
      <c r="M155" s="362" t="s">
        <v>2106</v>
      </c>
      <c r="N155" s="421" t="s">
        <v>207</v>
      </c>
      <c r="O155" s="269">
        <v>34.139499999999998</v>
      </c>
      <c r="P155" s="269">
        <v>84.98</v>
      </c>
      <c r="Q155" s="426"/>
      <c r="R155" s="418" t="s">
        <v>3497</v>
      </c>
      <c r="S155" s="427" t="s">
        <v>613</v>
      </c>
      <c r="T155" s="357">
        <v>1</v>
      </c>
      <c r="U155" s="357" t="s">
        <v>204</v>
      </c>
      <c r="V155" s="367">
        <v>271200000</v>
      </c>
      <c r="W155" s="368">
        <v>271200000</v>
      </c>
      <c r="X155" s="357"/>
      <c r="Y155" s="357"/>
      <c r="Z155" s="400"/>
      <c r="AA155" s="369"/>
      <c r="AB155" s="370"/>
      <c r="AC155" s="404"/>
      <c r="AD155" s="270"/>
      <c r="AE155" s="156"/>
      <c r="AF155" s="156"/>
      <c r="AG155" s="357"/>
      <c r="AH155" s="357"/>
      <c r="AI155" s="357"/>
      <c r="AJ155" s="156"/>
      <c r="AK155" s="156"/>
      <c r="AL155" s="375"/>
      <c r="AM155" s="405"/>
      <c r="AN155" s="273"/>
      <c r="AO155" s="405"/>
      <c r="AP155" s="273"/>
      <c r="AQ155" s="273"/>
      <c r="AR155" s="273"/>
      <c r="AS155" s="273"/>
      <c r="AT155" s="273"/>
      <c r="AU155" s="273"/>
      <c r="AV155" s="322">
        <f t="shared" si="8"/>
        <v>0</v>
      </c>
      <c r="AW155" s="402" t="s">
        <v>3387</v>
      </c>
      <c r="AX155" s="376">
        <v>45765</v>
      </c>
      <c r="AY155" s="373" t="s">
        <v>3388</v>
      </c>
      <c r="AZ155" s="375"/>
      <c r="BA155" s="375">
        <v>450000000</v>
      </c>
      <c r="BB155" s="375"/>
      <c r="BC155" s="375"/>
      <c r="BD155" s="353">
        <f t="shared" si="9"/>
        <v>450000000</v>
      </c>
      <c r="BE155" s="432" t="s">
        <v>355</v>
      </c>
      <c r="BF155" s="407" t="s">
        <v>515</v>
      </c>
      <c r="BG155" s="168"/>
      <c r="BH155" s="274"/>
      <c r="BI155" s="168"/>
      <c r="BJ155" s="274"/>
      <c r="BK155" s="168"/>
      <c r="BL155" s="275"/>
      <c r="BM155" s="276"/>
      <c r="BN155" s="275"/>
      <c r="BO155" s="276"/>
      <c r="BP155" s="277"/>
      <c r="BQ155" s="156"/>
      <c r="BR155" s="274"/>
      <c r="BS155" s="270"/>
      <c r="BT155" s="270"/>
      <c r="BU155" s="274"/>
      <c r="BV155" s="274"/>
      <c r="BW155" s="278"/>
      <c r="BX155" s="278"/>
      <c r="BY155" s="278"/>
      <c r="BZ155" s="351"/>
    </row>
    <row r="156" spans="1:78" s="90" customFormat="1" ht="19.5" hidden="1" customHeight="1">
      <c r="A156" s="137"/>
      <c r="B156" s="197">
        <f t="shared" si="7"/>
        <v>146</v>
      </c>
      <c r="C156" s="30" t="s">
        <v>206</v>
      </c>
      <c r="D156" s="30" t="s">
        <v>225</v>
      </c>
      <c r="E156" s="234" t="s">
        <v>767</v>
      </c>
      <c r="F156" s="235" t="s">
        <v>1225</v>
      </c>
      <c r="G156" s="284" t="str">
        <f>IFERROR(VLOOKUP(E156,Assign!$C$2:$J$142,8,FALSE),)</f>
        <v>문선영</v>
      </c>
      <c r="H156" s="361" t="s">
        <v>4146</v>
      </c>
      <c r="I156" s="363">
        <v>1</v>
      </c>
      <c r="J156" s="364" t="s">
        <v>213</v>
      </c>
      <c r="K156" s="364" t="s">
        <v>319</v>
      </c>
      <c r="L156" s="365" t="s">
        <v>1721</v>
      </c>
      <c r="M156" s="362" t="s">
        <v>3103</v>
      </c>
      <c r="N156" s="421" t="s">
        <v>396</v>
      </c>
      <c r="O156" s="269">
        <v>331</v>
      </c>
      <c r="P156" s="269">
        <v>125.9</v>
      </c>
      <c r="Q156" s="426"/>
      <c r="R156" s="418" t="s">
        <v>3417</v>
      </c>
      <c r="S156" s="427" t="s">
        <v>613</v>
      </c>
      <c r="T156" s="357">
        <v>1</v>
      </c>
      <c r="U156" s="357" t="s">
        <v>204</v>
      </c>
      <c r="V156" s="367">
        <v>187000000</v>
      </c>
      <c r="W156" s="368">
        <v>187000000</v>
      </c>
      <c r="X156" s="357"/>
      <c r="Y156" s="357"/>
      <c r="Z156" s="400"/>
      <c r="AA156" s="369"/>
      <c r="AB156" s="370"/>
      <c r="AC156" s="404"/>
      <c r="AD156" s="270"/>
      <c r="AE156" s="156"/>
      <c r="AF156" s="156"/>
      <c r="AG156" s="357"/>
      <c r="AH156" s="357"/>
      <c r="AI156" s="357"/>
      <c r="AJ156" s="156"/>
      <c r="AK156" s="156"/>
      <c r="AL156" s="375"/>
      <c r="AM156" s="405"/>
      <c r="AN156" s="273"/>
      <c r="AO156" s="405"/>
      <c r="AP156" s="273"/>
      <c r="AQ156" s="273"/>
      <c r="AR156" s="273"/>
      <c r="AS156" s="273"/>
      <c r="AT156" s="273"/>
      <c r="AU156" s="273"/>
      <c r="AV156" s="322">
        <f t="shared" si="8"/>
        <v>0</v>
      </c>
      <c r="AW156" s="402"/>
      <c r="AX156" s="274"/>
      <c r="AY156" s="270"/>
      <c r="AZ156" s="156"/>
      <c r="BA156" s="156"/>
      <c r="BB156" s="156"/>
      <c r="BC156" s="156"/>
      <c r="BD156" s="353">
        <f t="shared" si="9"/>
        <v>0</v>
      </c>
      <c r="BE156" s="432" t="s">
        <v>355</v>
      </c>
      <c r="BF156" s="407" t="s">
        <v>505</v>
      </c>
      <c r="BG156" s="168"/>
      <c r="BH156" s="274"/>
      <c r="BI156" s="168"/>
      <c r="BJ156" s="274"/>
      <c r="BK156" s="274"/>
      <c r="BL156" s="275"/>
      <c r="BM156" s="276"/>
      <c r="BN156" s="275"/>
      <c r="BO156" s="276"/>
      <c r="BP156" s="277"/>
      <c r="BQ156" s="156"/>
      <c r="BR156" s="274"/>
      <c r="BS156" s="270"/>
      <c r="BT156" s="270"/>
      <c r="BU156" s="274"/>
      <c r="BV156" s="274"/>
      <c r="BW156" s="278"/>
      <c r="BX156" s="278"/>
      <c r="BY156" s="278"/>
      <c r="BZ156" s="351"/>
    </row>
    <row r="157" spans="1:78" s="90" customFormat="1" ht="19.5" hidden="1" customHeight="1">
      <c r="A157" s="137"/>
      <c r="B157" s="197">
        <f t="shared" si="7"/>
        <v>147</v>
      </c>
      <c r="C157" s="30" t="s">
        <v>206</v>
      </c>
      <c r="D157" s="30" t="s">
        <v>225</v>
      </c>
      <c r="E157" s="234" t="s">
        <v>768</v>
      </c>
      <c r="F157" s="235" t="s">
        <v>1226</v>
      </c>
      <c r="G157" s="284">
        <f>IFERROR(VLOOKUP(E157,Assign!$C$2:$J$142,8,FALSE),)</f>
        <v>0</v>
      </c>
      <c r="H157" s="361" t="s">
        <v>4499</v>
      </c>
      <c r="I157" s="363">
        <v>1</v>
      </c>
      <c r="J157" s="364" t="s">
        <v>208</v>
      </c>
      <c r="K157" s="364" t="s">
        <v>259</v>
      </c>
      <c r="L157" s="365" t="s">
        <v>260</v>
      </c>
      <c r="M157" s="362" t="s">
        <v>2044</v>
      </c>
      <c r="N157" s="421" t="s">
        <v>207</v>
      </c>
      <c r="O157" s="269">
        <v>33.6</v>
      </c>
      <c r="P157" s="269">
        <v>60</v>
      </c>
      <c r="Q157" s="426"/>
      <c r="R157" s="418" t="s">
        <v>768</v>
      </c>
      <c r="S157" s="427" t="s">
        <v>613</v>
      </c>
      <c r="T157" s="357">
        <v>1</v>
      </c>
      <c r="U157" s="357" t="s">
        <v>204</v>
      </c>
      <c r="V157" s="367">
        <v>176000000</v>
      </c>
      <c r="W157" s="368">
        <v>176000000</v>
      </c>
      <c r="X157" s="357"/>
      <c r="Y157" s="357"/>
      <c r="Z157" s="400"/>
      <c r="AA157" s="369"/>
      <c r="AB157" s="370"/>
      <c r="AC157" s="404"/>
      <c r="AD157" s="270"/>
      <c r="AE157" s="156"/>
      <c r="AF157" s="156"/>
      <c r="AG157" s="357"/>
      <c r="AH157" s="357"/>
      <c r="AI157" s="357"/>
      <c r="AJ157" s="156"/>
      <c r="AK157" s="156"/>
      <c r="AL157" s="375"/>
      <c r="AM157" s="405"/>
      <c r="AN157" s="273"/>
      <c r="AO157" s="405"/>
      <c r="AP157" s="273"/>
      <c r="AQ157" s="273"/>
      <c r="AR157" s="273"/>
      <c r="AS157" s="273"/>
      <c r="AT157" s="273"/>
      <c r="AU157" s="273"/>
      <c r="AV157" s="322">
        <f t="shared" si="8"/>
        <v>0</v>
      </c>
      <c r="AW157" s="402" t="s">
        <v>3387</v>
      </c>
      <c r="AX157" s="376">
        <v>45765</v>
      </c>
      <c r="AY157" s="373" t="s">
        <v>3388</v>
      </c>
      <c r="AZ157" s="375"/>
      <c r="BA157" s="375">
        <v>230000000</v>
      </c>
      <c r="BB157" s="156"/>
      <c r="BC157" s="156"/>
      <c r="BD157" s="353">
        <f t="shared" si="9"/>
        <v>230000000</v>
      </c>
      <c r="BE157" s="432" t="s">
        <v>355</v>
      </c>
      <c r="BF157" s="407" t="s">
        <v>499</v>
      </c>
      <c r="BG157" s="168"/>
      <c r="BH157" s="274"/>
      <c r="BI157" s="168"/>
      <c r="BJ157" s="274"/>
      <c r="BK157" s="168"/>
      <c r="BL157" s="275"/>
      <c r="BM157" s="276"/>
      <c r="BN157" s="275"/>
      <c r="BO157" s="276"/>
      <c r="BP157" s="277"/>
      <c r="BQ157" s="156"/>
      <c r="BR157" s="274"/>
      <c r="BS157" s="270"/>
      <c r="BT157" s="270"/>
      <c r="BU157" s="274"/>
      <c r="BV157" s="274"/>
      <c r="BW157" s="278"/>
      <c r="BX157" s="278"/>
      <c r="BY157" s="278"/>
      <c r="BZ157" s="351"/>
    </row>
    <row r="158" spans="1:78" s="90" customFormat="1" ht="19.5" hidden="1" customHeight="1">
      <c r="A158" s="137"/>
      <c r="B158" s="197">
        <f t="shared" si="7"/>
        <v>148</v>
      </c>
      <c r="C158" s="30" t="s">
        <v>206</v>
      </c>
      <c r="D158" s="30" t="s">
        <v>225</v>
      </c>
      <c r="E158" s="234" t="s">
        <v>769</v>
      </c>
      <c r="F158" s="235" t="s">
        <v>1238</v>
      </c>
      <c r="G158" s="284">
        <f>IFERROR(VLOOKUP(E158,Assign!$C$2:$J$142,8,FALSE),)</f>
        <v>0</v>
      </c>
      <c r="H158" s="361" t="s">
        <v>4602</v>
      </c>
      <c r="I158" s="363">
        <v>1</v>
      </c>
      <c r="J158" s="364" t="s">
        <v>208</v>
      </c>
      <c r="K158" s="364" t="s">
        <v>1703</v>
      </c>
      <c r="L158" s="365" t="s">
        <v>2139</v>
      </c>
      <c r="M158" s="362" t="s">
        <v>2140</v>
      </c>
      <c r="N158" s="421" t="s">
        <v>207</v>
      </c>
      <c r="O158" s="269">
        <v>52.561999999999998</v>
      </c>
      <c r="P158" s="269">
        <v>84.986999999999995</v>
      </c>
      <c r="Q158" s="426"/>
      <c r="R158" s="418" t="s">
        <v>769</v>
      </c>
      <c r="S158" s="427" t="s">
        <v>613</v>
      </c>
      <c r="T158" s="357">
        <v>1</v>
      </c>
      <c r="U158" s="357" t="s">
        <v>204</v>
      </c>
      <c r="V158" s="367">
        <v>176000000</v>
      </c>
      <c r="W158" s="368">
        <v>176000000</v>
      </c>
      <c r="X158" s="357"/>
      <c r="Y158" s="357"/>
      <c r="Z158" s="400"/>
      <c r="AA158" s="369"/>
      <c r="AB158" s="370"/>
      <c r="AC158" s="404"/>
      <c r="AD158" s="270"/>
      <c r="AE158" s="156"/>
      <c r="AF158" s="156"/>
      <c r="AG158" s="357"/>
      <c r="AH158" s="357"/>
      <c r="AI158" s="357"/>
      <c r="AJ158" s="156"/>
      <c r="AK158" s="156"/>
      <c r="AL158" s="375"/>
      <c r="AM158" s="405"/>
      <c r="AN158" s="273"/>
      <c r="AO158" s="405"/>
      <c r="AP158" s="273"/>
      <c r="AQ158" s="273"/>
      <c r="AR158" s="273"/>
      <c r="AS158" s="273"/>
      <c r="AT158" s="273"/>
      <c r="AU158" s="273"/>
      <c r="AV158" s="322">
        <f t="shared" si="8"/>
        <v>0</v>
      </c>
      <c r="AW158" s="402" t="s">
        <v>3387</v>
      </c>
      <c r="AX158" s="274">
        <v>45765</v>
      </c>
      <c r="AY158" s="270" t="s">
        <v>3388</v>
      </c>
      <c r="AZ158" s="156"/>
      <c r="BA158" s="156">
        <v>175000000</v>
      </c>
      <c r="BB158" s="156"/>
      <c r="BC158" s="156"/>
      <c r="BD158" s="353">
        <f t="shared" si="9"/>
        <v>175000000</v>
      </c>
      <c r="BE158" s="432" t="s">
        <v>355</v>
      </c>
      <c r="BF158" s="407" t="s">
        <v>504</v>
      </c>
      <c r="BG158" s="168"/>
      <c r="BH158" s="274"/>
      <c r="BI158" s="168"/>
      <c r="BJ158" s="274"/>
      <c r="BK158" s="168"/>
      <c r="BL158" s="275"/>
      <c r="BM158" s="276"/>
      <c r="BN158" s="275"/>
      <c r="BO158" s="276"/>
      <c r="BP158" s="277"/>
      <c r="BQ158" s="156"/>
      <c r="BR158" s="274"/>
      <c r="BS158" s="270"/>
      <c r="BT158" s="270"/>
      <c r="BU158" s="274"/>
      <c r="BV158" s="274"/>
      <c r="BW158" s="278"/>
      <c r="BX158" s="278"/>
      <c r="BY158" s="278"/>
      <c r="BZ158" s="351"/>
    </row>
    <row r="159" spans="1:78" s="90" customFormat="1" ht="19.5" hidden="1" customHeight="1">
      <c r="A159" s="137"/>
      <c r="B159" s="197">
        <f t="shared" si="7"/>
        <v>149</v>
      </c>
      <c r="C159" s="30" t="s">
        <v>206</v>
      </c>
      <c r="D159" s="30" t="s">
        <v>225</v>
      </c>
      <c r="E159" s="234" t="s">
        <v>770</v>
      </c>
      <c r="F159" s="235" t="s">
        <v>1217</v>
      </c>
      <c r="G159" s="284">
        <f>IFERROR(VLOOKUP(E159,Assign!$C$2:$J$142,8,FALSE),)</f>
        <v>0</v>
      </c>
      <c r="H159" s="361" t="s">
        <v>4476</v>
      </c>
      <c r="I159" s="363">
        <v>1</v>
      </c>
      <c r="J159" s="364" t="s">
        <v>208</v>
      </c>
      <c r="K159" s="364" t="s">
        <v>250</v>
      </c>
      <c r="L159" s="365" t="s">
        <v>2020</v>
      </c>
      <c r="M159" s="362" t="s">
        <v>2021</v>
      </c>
      <c r="N159" s="421" t="s">
        <v>207</v>
      </c>
      <c r="O159" s="269">
        <v>42.347000000000001</v>
      </c>
      <c r="P159" s="269">
        <v>84.93</v>
      </c>
      <c r="Q159" s="426"/>
      <c r="R159" s="418" t="s">
        <v>770</v>
      </c>
      <c r="S159" s="427" t="s">
        <v>613</v>
      </c>
      <c r="T159" s="357" t="s">
        <v>229</v>
      </c>
      <c r="U159" s="357" t="s">
        <v>204</v>
      </c>
      <c r="V159" s="367">
        <v>201000000</v>
      </c>
      <c r="W159" s="368">
        <v>201000000</v>
      </c>
      <c r="X159" s="357"/>
      <c r="Y159" s="357"/>
      <c r="Z159" s="400"/>
      <c r="AA159" s="369"/>
      <c r="AB159" s="370"/>
      <c r="AC159" s="404"/>
      <c r="AD159" s="270"/>
      <c r="AE159" s="156"/>
      <c r="AF159" s="156"/>
      <c r="AG159" s="357"/>
      <c r="AH159" s="357"/>
      <c r="AI159" s="357"/>
      <c r="AJ159" s="156"/>
      <c r="AK159" s="156"/>
      <c r="AL159" s="375"/>
      <c r="AM159" s="405"/>
      <c r="AN159" s="273"/>
      <c r="AO159" s="405"/>
      <c r="AP159" s="273"/>
      <c r="AQ159" s="273"/>
      <c r="AR159" s="273"/>
      <c r="AS159" s="273"/>
      <c r="AT159" s="273"/>
      <c r="AU159" s="273"/>
      <c r="AV159" s="322">
        <f t="shared" si="8"/>
        <v>0</v>
      </c>
      <c r="AW159" s="402" t="s">
        <v>3387</v>
      </c>
      <c r="AX159" s="274">
        <v>45765</v>
      </c>
      <c r="AY159" s="270" t="s">
        <v>3388</v>
      </c>
      <c r="AZ159" s="156"/>
      <c r="BA159" s="156">
        <v>270000000</v>
      </c>
      <c r="BB159" s="156"/>
      <c r="BC159" s="156"/>
      <c r="BD159" s="353">
        <f t="shared" si="9"/>
        <v>270000000</v>
      </c>
      <c r="BE159" s="432" t="s">
        <v>355</v>
      </c>
      <c r="BF159" s="407" t="s">
        <v>493</v>
      </c>
      <c r="BG159" s="168"/>
      <c r="BH159" s="274"/>
      <c r="BI159" s="168"/>
      <c r="BJ159" s="274"/>
      <c r="BK159" s="168"/>
      <c r="BL159" s="275"/>
      <c r="BM159" s="276"/>
      <c r="BN159" s="275"/>
      <c r="BO159" s="276"/>
      <c r="BP159" s="277"/>
      <c r="BQ159" s="156"/>
      <c r="BR159" s="274"/>
      <c r="BS159" s="270"/>
      <c r="BT159" s="270"/>
      <c r="BU159" s="274"/>
      <c r="BV159" s="274"/>
      <c r="BW159" s="278"/>
      <c r="BX159" s="278"/>
      <c r="BY159" s="278"/>
      <c r="BZ159" s="351"/>
    </row>
    <row r="160" spans="1:78" s="90" customFormat="1" ht="19.5" hidden="1" customHeight="1">
      <c r="A160" s="137"/>
      <c r="B160" s="197">
        <f t="shared" si="7"/>
        <v>150</v>
      </c>
      <c r="C160" s="30" t="s">
        <v>206</v>
      </c>
      <c r="D160" s="30" t="s">
        <v>225</v>
      </c>
      <c r="E160" s="234" t="s">
        <v>771</v>
      </c>
      <c r="F160" s="235" t="s">
        <v>1229</v>
      </c>
      <c r="G160" s="284">
        <f>IFERROR(VLOOKUP(E160,Assign!$C$2:$J$142,8,FALSE),)</f>
        <v>0</v>
      </c>
      <c r="H160" s="361" t="s">
        <v>4679</v>
      </c>
      <c r="I160" s="363">
        <v>1</v>
      </c>
      <c r="J160" s="364" t="s">
        <v>212</v>
      </c>
      <c r="K160" s="364" t="s">
        <v>304</v>
      </c>
      <c r="L160" s="365" t="s">
        <v>314</v>
      </c>
      <c r="M160" s="362" t="s">
        <v>2216</v>
      </c>
      <c r="N160" s="421" t="s">
        <v>207</v>
      </c>
      <c r="O160" s="269">
        <v>59.497199999999999</v>
      </c>
      <c r="P160" s="269">
        <v>84.94</v>
      </c>
      <c r="Q160" s="426"/>
      <c r="R160" s="418" t="s">
        <v>771</v>
      </c>
      <c r="S160" s="427" t="s">
        <v>613</v>
      </c>
      <c r="T160" s="357">
        <v>1</v>
      </c>
      <c r="U160" s="357" t="s">
        <v>204</v>
      </c>
      <c r="V160" s="367">
        <v>236400000</v>
      </c>
      <c r="W160" s="368">
        <v>236400000</v>
      </c>
      <c r="X160" s="357"/>
      <c r="Y160" s="357"/>
      <c r="Z160" s="400"/>
      <c r="AA160" s="369"/>
      <c r="AB160" s="370"/>
      <c r="AC160" s="404"/>
      <c r="AD160" s="270"/>
      <c r="AE160" s="156"/>
      <c r="AF160" s="156"/>
      <c r="AG160" s="357"/>
      <c r="AH160" s="357"/>
      <c r="AI160" s="357"/>
      <c r="AJ160" s="156"/>
      <c r="AK160" s="156"/>
      <c r="AL160" s="375"/>
      <c r="AM160" s="405"/>
      <c r="AN160" s="273"/>
      <c r="AO160" s="405"/>
      <c r="AP160" s="273"/>
      <c r="AQ160" s="273"/>
      <c r="AR160" s="273"/>
      <c r="AS160" s="273"/>
      <c r="AT160" s="273"/>
      <c r="AU160" s="273"/>
      <c r="AV160" s="322">
        <f t="shared" si="8"/>
        <v>0</v>
      </c>
      <c r="AW160" s="402" t="s">
        <v>3387</v>
      </c>
      <c r="AX160" s="376">
        <v>45765</v>
      </c>
      <c r="AY160" s="373" t="s">
        <v>3388</v>
      </c>
      <c r="AZ160" s="375"/>
      <c r="BA160" s="375">
        <v>390000000</v>
      </c>
      <c r="BB160" s="156"/>
      <c r="BC160" s="156"/>
      <c r="BD160" s="353">
        <f t="shared" si="9"/>
        <v>390000000</v>
      </c>
      <c r="BE160" s="432" t="s">
        <v>335</v>
      </c>
      <c r="BF160" s="407" t="s">
        <v>496</v>
      </c>
      <c r="BG160" s="168" t="s">
        <v>3309</v>
      </c>
      <c r="BH160" s="274">
        <v>45567</v>
      </c>
      <c r="BI160" s="168" t="s">
        <v>3244</v>
      </c>
      <c r="BJ160" s="274">
        <v>45660</v>
      </c>
      <c r="BK160" s="168">
        <v>155663869</v>
      </c>
      <c r="BL160" s="275"/>
      <c r="BM160" s="276"/>
      <c r="BN160" s="275"/>
      <c r="BO160" s="276"/>
      <c r="BP160" s="277"/>
      <c r="BQ160" s="156"/>
      <c r="BR160" s="274"/>
      <c r="BS160" s="270"/>
      <c r="BT160" s="270"/>
      <c r="BU160" s="274"/>
      <c r="BV160" s="274"/>
      <c r="BW160" s="278"/>
      <c r="BX160" s="278"/>
      <c r="BY160" s="278"/>
      <c r="BZ160" s="351"/>
    </row>
    <row r="161" spans="1:78" s="90" customFormat="1" ht="19.5" customHeight="1">
      <c r="A161" s="137"/>
      <c r="B161" s="197">
        <f t="shared" si="7"/>
        <v>151</v>
      </c>
      <c r="C161" s="30" t="s">
        <v>206</v>
      </c>
      <c r="D161" s="30" t="s">
        <v>225</v>
      </c>
      <c r="E161" s="234" t="s">
        <v>772</v>
      </c>
      <c r="F161" s="235" t="s">
        <v>1229</v>
      </c>
      <c r="G161" s="284" t="str">
        <f>IFERROR(VLOOKUP(E161,Assign!$C$2:$J$142,8,FALSE),)</f>
        <v>문선영</v>
      </c>
      <c r="H161" s="361" t="s">
        <v>4254</v>
      </c>
      <c r="I161" s="363">
        <v>1</v>
      </c>
      <c r="J161" s="364" t="s">
        <v>208</v>
      </c>
      <c r="K161" s="364" t="s">
        <v>261</v>
      </c>
      <c r="L161" s="365" t="s">
        <v>1822</v>
      </c>
      <c r="M161" s="362" t="s">
        <v>1823</v>
      </c>
      <c r="N161" s="421" t="s">
        <v>207</v>
      </c>
      <c r="O161" s="269">
        <v>57.648200000000003</v>
      </c>
      <c r="P161" s="269">
        <v>84.9345</v>
      </c>
      <c r="Q161" s="426"/>
      <c r="R161" s="418" t="s">
        <v>3431</v>
      </c>
      <c r="S161" s="427" t="s">
        <v>613</v>
      </c>
      <c r="T161" s="357">
        <v>1</v>
      </c>
      <c r="U161" s="357" t="s">
        <v>204</v>
      </c>
      <c r="V161" s="367">
        <v>198000000</v>
      </c>
      <c r="W161" s="368">
        <v>198000000</v>
      </c>
      <c r="X161" s="357"/>
      <c r="Y161" s="357"/>
      <c r="Z161" s="400"/>
      <c r="AA161" s="369"/>
      <c r="AB161" s="370"/>
      <c r="AC161" s="404"/>
      <c r="AD161" s="270"/>
      <c r="AE161" s="156"/>
      <c r="AF161" s="156"/>
      <c r="AG161" s="357"/>
      <c r="AH161" s="357"/>
      <c r="AI161" s="357"/>
      <c r="AJ161" s="156"/>
      <c r="AK161" s="156"/>
      <c r="AL161" s="375"/>
      <c r="AM161" s="405"/>
      <c r="AN161" s="273"/>
      <c r="AO161" s="405"/>
      <c r="AP161" s="273"/>
      <c r="AQ161" s="273"/>
      <c r="AR161" s="273"/>
      <c r="AS161" s="273"/>
      <c r="AT161" s="273"/>
      <c r="AU161" s="273"/>
      <c r="AV161" s="322">
        <f t="shared" si="8"/>
        <v>0</v>
      </c>
      <c r="AW161" s="402" t="s">
        <v>3650</v>
      </c>
      <c r="AX161" s="274">
        <v>45576</v>
      </c>
      <c r="AY161" s="270" t="s">
        <v>3655</v>
      </c>
      <c r="AZ161" s="156"/>
      <c r="BA161" s="156">
        <v>331000000</v>
      </c>
      <c r="BB161" s="156"/>
      <c r="BC161" s="156"/>
      <c r="BD161" s="353">
        <f t="shared" si="9"/>
        <v>331000000</v>
      </c>
      <c r="BE161" s="432" t="s">
        <v>335</v>
      </c>
      <c r="BF161" s="407" t="s">
        <v>499</v>
      </c>
      <c r="BG161" s="168" t="s">
        <v>3501</v>
      </c>
      <c r="BH161" s="274">
        <v>45565</v>
      </c>
      <c r="BI161" s="168" t="s">
        <v>3283</v>
      </c>
      <c r="BJ161" s="274">
        <v>45644</v>
      </c>
      <c r="BK161" s="168">
        <v>106918500</v>
      </c>
      <c r="BL161" s="275"/>
      <c r="BM161" s="276"/>
      <c r="BN161" s="275"/>
      <c r="BO161" s="276"/>
      <c r="BP161" s="277"/>
      <c r="BQ161" s="156">
        <v>331000000</v>
      </c>
      <c r="BR161" s="274">
        <v>45799</v>
      </c>
      <c r="BS161" s="270"/>
      <c r="BT161" s="270"/>
      <c r="BU161" s="274"/>
      <c r="BV161" s="274"/>
      <c r="BW161" s="278"/>
      <c r="BX161" s="278"/>
      <c r="BY161" s="278"/>
      <c r="BZ161" s="351"/>
    </row>
    <row r="162" spans="1:78" s="90" customFormat="1" ht="19.5" hidden="1" customHeight="1">
      <c r="A162" s="137"/>
      <c r="B162" s="197">
        <f t="shared" si="7"/>
        <v>152</v>
      </c>
      <c r="C162" s="30" t="s">
        <v>206</v>
      </c>
      <c r="D162" s="30" t="s">
        <v>225</v>
      </c>
      <c r="E162" s="234" t="s">
        <v>773</v>
      </c>
      <c r="F162" s="235" t="s">
        <v>1229</v>
      </c>
      <c r="G162" s="284">
        <f>IFERROR(VLOOKUP(E162,Assign!$C$2:$J$142,8,FALSE),)</f>
        <v>0</v>
      </c>
      <c r="H162" s="361" t="s">
        <v>4831</v>
      </c>
      <c r="I162" s="363">
        <v>1</v>
      </c>
      <c r="J162" s="364" t="s">
        <v>214</v>
      </c>
      <c r="K162" s="364" t="s">
        <v>349</v>
      </c>
      <c r="L162" s="365" t="s">
        <v>351</v>
      </c>
      <c r="M162" s="362" t="s">
        <v>2361</v>
      </c>
      <c r="N162" s="421" t="s">
        <v>207</v>
      </c>
      <c r="O162" s="269">
        <v>44.118200000000002</v>
      </c>
      <c r="P162" s="269">
        <v>84.885999999999996</v>
      </c>
      <c r="Q162" s="426"/>
      <c r="R162" s="418" t="s">
        <v>773</v>
      </c>
      <c r="S162" s="427" t="s">
        <v>613</v>
      </c>
      <c r="T162" s="357" t="s">
        <v>229</v>
      </c>
      <c r="U162" s="357" t="s">
        <v>204</v>
      </c>
      <c r="V162" s="367">
        <v>184800000</v>
      </c>
      <c r="W162" s="368">
        <v>184800000</v>
      </c>
      <c r="X162" s="357"/>
      <c r="Y162" s="357"/>
      <c r="Z162" s="400"/>
      <c r="AA162" s="369"/>
      <c r="AB162" s="370"/>
      <c r="AC162" s="404"/>
      <c r="AD162" s="270"/>
      <c r="AE162" s="156"/>
      <c r="AF162" s="156"/>
      <c r="AG162" s="357"/>
      <c r="AH162" s="357"/>
      <c r="AI162" s="357"/>
      <c r="AJ162" s="156"/>
      <c r="AK162" s="156"/>
      <c r="AL162" s="375"/>
      <c r="AM162" s="405"/>
      <c r="AN162" s="273"/>
      <c r="AO162" s="405"/>
      <c r="AP162" s="273"/>
      <c r="AQ162" s="273"/>
      <c r="AR162" s="273"/>
      <c r="AS162" s="273"/>
      <c r="AT162" s="273"/>
      <c r="AU162" s="273"/>
      <c r="AV162" s="322">
        <f t="shared" si="8"/>
        <v>0</v>
      </c>
      <c r="AW162" s="402" t="s">
        <v>3387</v>
      </c>
      <c r="AX162" s="376">
        <v>45765</v>
      </c>
      <c r="AY162" s="373" t="s">
        <v>3388</v>
      </c>
      <c r="AZ162" s="375"/>
      <c r="BA162" s="375">
        <v>220000000</v>
      </c>
      <c r="BB162" s="156"/>
      <c r="BC162" s="156"/>
      <c r="BD162" s="353">
        <f t="shared" si="9"/>
        <v>220000000</v>
      </c>
      <c r="BE162" s="432" t="s">
        <v>355</v>
      </c>
      <c r="BF162" s="407" t="s">
        <v>500</v>
      </c>
      <c r="BG162" s="168"/>
      <c r="BH162" s="274"/>
      <c r="BI162" s="168"/>
      <c r="BJ162" s="274"/>
      <c r="BK162" s="168"/>
      <c r="BL162" s="275"/>
      <c r="BM162" s="276"/>
      <c r="BN162" s="275"/>
      <c r="BO162" s="276"/>
      <c r="BP162" s="277"/>
      <c r="BQ162" s="156"/>
      <c r="BR162" s="274"/>
      <c r="BS162" s="270"/>
      <c r="BT162" s="270"/>
      <c r="BU162" s="274"/>
      <c r="BV162" s="274"/>
      <c r="BW162" s="278"/>
      <c r="BX162" s="278"/>
      <c r="BY162" s="278"/>
      <c r="BZ162" s="351"/>
    </row>
    <row r="163" spans="1:78" s="90" customFormat="1" ht="19.5" hidden="1" customHeight="1">
      <c r="A163" s="137"/>
      <c r="B163" s="197">
        <f t="shared" si="7"/>
        <v>153</v>
      </c>
      <c r="C163" s="30" t="s">
        <v>206</v>
      </c>
      <c r="D163" s="30" t="s">
        <v>225</v>
      </c>
      <c r="E163" s="234" t="s">
        <v>774</v>
      </c>
      <c r="F163" s="235" t="s">
        <v>1217</v>
      </c>
      <c r="G163" s="284">
        <f>IFERROR(VLOOKUP(E163,Assign!$C$2:$J$142,8,FALSE),)</f>
        <v>0</v>
      </c>
      <c r="H163" s="361" t="s">
        <v>4153</v>
      </c>
      <c r="I163" s="363">
        <v>1</v>
      </c>
      <c r="J163" s="364" t="s">
        <v>221</v>
      </c>
      <c r="K163" s="364" t="s">
        <v>1727</v>
      </c>
      <c r="L163" s="365" t="s">
        <v>1728</v>
      </c>
      <c r="M163" s="362" t="s">
        <v>1729</v>
      </c>
      <c r="N163" s="421" t="s">
        <v>207</v>
      </c>
      <c r="O163" s="269">
        <v>60.759599999999999</v>
      </c>
      <c r="P163" s="269">
        <v>84.72</v>
      </c>
      <c r="Q163" s="426"/>
      <c r="R163" s="418" t="s">
        <v>774</v>
      </c>
      <c r="S163" s="427" t="s">
        <v>613</v>
      </c>
      <c r="T163" s="357">
        <v>1</v>
      </c>
      <c r="U163" s="357" t="s">
        <v>204</v>
      </c>
      <c r="V163" s="367">
        <v>185280000</v>
      </c>
      <c r="W163" s="368">
        <v>185280000</v>
      </c>
      <c r="X163" s="357"/>
      <c r="Y163" s="357"/>
      <c r="Z163" s="400"/>
      <c r="AA163" s="369"/>
      <c r="AB163" s="370"/>
      <c r="AC163" s="404"/>
      <c r="AD163" s="270"/>
      <c r="AE163" s="156"/>
      <c r="AF163" s="156"/>
      <c r="AG163" s="357"/>
      <c r="AH163" s="357"/>
      <c r="AI163" s="357"/>
      <c r="AJ163" s="156"/>
      <c r="AK163" s="156"/>
      <c r="AL163" s="375"/>
      <c r="AM163" s="405"/>
      <c r="AN163" s="273"/>
      <c r="AO163" s="405"/>
      <c r="AP163" s="273"/>
      <c r="AQ163" s="273"/>
      <c r="AR163" s="273"/>
      <c r="AS163" s="273"/>
      <c r="AT163" s="273"/>
      <c r="AU163" s="273"/>
      <c r="AV163" s="322">
        <f t="shared" si="8"/>
        <v>0</v>
      </c>
      <c r="AW163" s="402" t="s">
        <v>3387</v>
      </c>
      <c r="AX163" s="376">
        <v>45765</v>
      </c>
      <c r="AY163" s="373" t="s">
        <v>3388</v>
      </c>
      <c r="AZ163" s="375"/>
      <c r="BA163" s="375">
        <v>250000000</v>
      </c>
      <c r="BB163" s="375"/>
      <c r="BC163" s="375"/>
      <c r="BD163" s="353">
        <f t="shared" si="9"/>
        <v>250000000</v>
      </c>
      <c r="BE163" s="432" t="s">
        <v>355</v>
      </c>
      <c r="BF163" s="407" t="s">
        <v>522</v>
      </c>
      <c r="BG163" s="168"/>
      <c r="BH163" s="274"/>
      <c r="BI163" s="168"/>
      <c r="BJ163" s="274"/>
      <c r="BK163" s="168"/>
      <c r="BL163" s="275"/>
      <c r="BM163" s="276"/>
      <c r="BN163" s="275"/>
      <c r="BO163" s="276"/>
      <c r="BP163" s="277"/>
      <c r="BQ163" s="156"/>
      <c r="BR163" s="274"/>
      <c r="BS163" s="270"/>
      <c r="BT163" s="270"/>
      <c r="BU163" s="274"/>
      <c r="BV163" s="274"/>
      <c r="BW163" s="278"/>
      <c r="BX163" s="278"/>
      <c r="BY163" s="278"/>
      <c r="BZ163" s="351"/>
    </row>
    <row r="164" spans="1:78" s="90" customFormat="1" ht="19.5" hidden="1" customHeight="1">
      <c r="A164" s="137"/>
      <c r="B164" s="197">
        <f t="shared" si="7"/>
        <v>154</v>
      </c>
      <c r="C164" s="30" t="s">
        <v>206</v>
      </c>
      <c r="D164" s="30" t="s">
        <v>225</v>
      </c>
      <c r="E164" s="234" t="s">
        <v>775</v>
      </c>
      <c r="F164" s="235" t="s">
        <v>1238</v>
      </c>
      <c r="G164" s="284">
        <f>IFERROR(VLOOKUP(E164,Assign!$C$2:$J$142,8,FALSE),)</f>
        <v>0</v>
      </c>
      <c r="H164" s="361" t="s">
        <v>3886</v>
      </c>
      <c r="I164" s="363">
        <v>1</v>
      </c>
      <c r="J164" s="364" t="s">
        <v>208</v>
      </c>
      <c r="K164" s="364" t="s">
        <v>398</v>
      </c>
      <c r="L164" s="365" t="s">
        <v>1451</v>
      </c>
      <c r="M164" s="362" t="s">
        <v>1452</v>
      </c>
      <c r="N164" s="421" t="s">
        <v>606</v>
      </c>
      <c r="O164" s="269">
        <v>37.590000000000003</v>
      </c>
      <c r="P164" s="269">
        <v>70</v>
      </c>
      <c r="Q164" s="426"/>
      <c r="R164" s="418" t="s">
        <v>3417</v>
      </c>
      <c r="S164" s="427" t="s">
        <v>613</v>
      </c>
      <c r="T164" s="357">
        <v>1</v>
      </c>
      <c r="U164" s="357" t="s">
        <v>204</v>
      </c>
      <c r="V164" s="367">
        <v>222000000</v>
      </c>
      <c r="W164" s="368">
        <v>222000000</v>
      </c>
      <c r="X164" s="357"/>
      <c r="Y164" s="357"/>
      <c r="Z164" s="400"/>
      <c r="AA164" s="369"/>
      <c r="AB164" s="370"/>
      <c r="AC164" s="404"/>
      <c r="AD164" s="270"/>
      <c r="AE164" s="156"/>
      <c r="AF164" s="156"/>
      <c r="AG164" s="357"/>
      <c r="AH164" s="357"/>
      <c r="AI164" s="357"/>
      <c r="AJ164" s="156"/>
      <c r="AK164" s="156"/>
      <c r="AL164" s="375"/>
      <c r="AM164" s="405"/>
      <c r="AN164" s="273"/>
      <c r="AO164" s="405"/>
      <c r="AP164" s="273"/>
      <c r="AQ164" s="273"/>
      <c r="AR164" s="273"/>
      <c r="AS164" s="273"/>
      <c r="AT164" s="273"/>
      <c r="AU164" s="273"/>
      <c r="AV164" s="322">
        <f t="shared" si="8"/>
        <v>0</v>
      </c>
      <c r="AW164" s="402"/>
      <c r="AX164" s="376"/>
      <c r="AY164" s="373"/>
      <c r="AZ164" s="375"/>
      <c r="BA164" s="375"/>
      <c r="BB164" s="156"/>
      <c r="BC164" s="156"/>
      <c r="BD164" s="353">
        <f t="shared" si="9"/>
        <v>0</v>
      </c>
      <c r="BE164" s="432" t="s">
        <v>355</v>
      </c>
      <c r="BF164" s="407" t="s">
        <v>506</v>
      </c>
      <c r="BG164" s="168"/>
      <c r="BH164" s="274"/>
      <c r="BI164" s="168"/>
      <c r="BJ164" s="274"/>
      <c r="BK164" s="168"/>
      <c r="BL164" s="275"/>
      <c r="BM164" s="276"/>
      <c r="BN164" s="275"/>
      <c r="BO164" s="276"/>
      <c r="BP164" s="277"/>
      <c r="BQ164" s="156"/>
      <c r="BR164" s="274"/>
      <c r="BS164" s="270"/>
      <c r="BT164" s="270"/>
      <c r="BU164" s="274"/>
      <c r="BV164" s="274"/>
      <c r="BW164" s="278"/>
      <c r="BX164" s="278"/>
      <c r="BY164" s="278"/>
      <c r="BZ164" s="351"/>
    </row>
    <row r="165" spans="1:78" s="90" customFormat="1" ht="19.5" hidden="1" customHeight="1">
      <c r="A165" s="137"/>
      <c r="B165" s="197">
        <f t="shared" si="7"/>
        <v>155</v>
      </c>
      <c r="C165" s="30" t="s">
        <v>206</v>
      </c>
      <c r="D165" s="30" t="s">
        <v>225</v>
      </c>
      <c r="E165" s="234" t="s">
        <v>776</v>
      </c>
      <c r="F165" s="235" t="s">
        <v>1248</v>
      </c>
      <c r="G165" s="284">
        <f>IFERROR(VLOOKUP(E165,Assign!$C$2:$J$142,8,FALSE),)</f>
        <v>0</v>
      </c>
      <c r="H165" s="361" t="s">
        <v>4009</v>
      </c>
      <c r="I165" s="363">
        <v>1</v>
      </c>
      <c r="J165" s="364" t="s">
        <v>212</v>
      </c>
      <c r="K165" s="364" t="s">
        <v>309</v>
      </c>
      <c r="L165" s="365" t="s">
        <v>1582</v>
      </c>
      <c r="M165" s="362" t="s">
        <v>1583</v>
      </c>
      <c r="N165" s="421" t="s">
        <v>3386</v>
      </c>
      <c r="O165" s="269">
        <v>34.369999999999997</v>
      </c>
      <c r="P165" s="269">
        <v>167.15</v>
      </c>
      <c r="Q165" s="426"/>
      <c r="R165" s="418" t="s">
        <v>776</v>
      </c>
      <c r="S165" s="427" t="s">
        <v>613</v>
      </c>
      <c r="T165" s="357">
        <v>1</v>
      </c>
      <c r="U165" s="357" t="s">
        <v>204</v>
      </c>
      <c r="V165" s="367">
        <v>180000000</v>
      </c>
      <c r="W165" s="368">
        <v>180000000</v>
      </c>
      <c r="X165" s="357"/>
      <c r="Y165" s="357"/>
      <c r="Z165" s="400"/>
      <c r="AA165" s="369"/>
      <c r="AB165" s="370"/>
      <c r="AC165" s="404"/>
      <c r="AD165" s="270"/>
      <c r="AE165" s="156"/>
      <c r="AF165" s="156"/>
      <c r="AG165" s="357"/>
      <c r="AH165" s="357"/>
      <c r="AI165" s="357"/>
      <c r="AJ165" s="156"/>
      <c r="AK165" s="156"/>
      <c r="AL165" s="375"/>
      <c r="AM165" s="405"/>
      <c r="AN165" s="273"/>
      <c r="AO165" s="405"/>
      <c r="AP165" s="273"/>
      <c r="AQ165" s="273"/>
      <c r="AR165" s="273"/>
      <c r="AS165" s="273"/>
      <c r="AT165" s="273"/>
      <c r="AU165" s="273"/>
      <c r="AV165" s="322">
        <f t="shared" si="8"/>
        <v>0</v>
      </c>
      <c r="AW165" s="402"/>
      <c r="AX165" s="376"/>
      <c r="AY165" s="373"/>
      <c r="AZ165" s="375"/>
      <c r="BA165" s="375"/>
      <c r="BB165" s="375"/>
      <c r="BC165" s="375"/>
      <c r="BD165" s="353">
        <f t="shared" si="9"/>
        <v>0</v>
      </c>
      <c r="BE165" s="432" t="s">
        <v>355</v>
      </c>
      <c r="BF165" s="407" t="s">
        <v>496</v>
      </c>
      <c r="BG165" s="168"/>
      <c r="BH165" s="274"/>
      <c r="BI165" s="168"/>
      <c r="BJ165" s="274"/>
      <c r="BK165" s="168"/>
      <c r="BL165" s="275"/>
      <c r="BM165" s="276"/>
      <c r="BN165" s="275"/>
      <c r="BO165" s="276"/>
      <c r="BP165" s="277"/>
      <c r="BQ165" s="156"/>
      <c r="BR165" s="274"/>
      <c r="BS165" s="270"/>
      <c r="BT165" s="270"/>
      <c r="BU165" s="274"/>
      <c r="BV165" s="274"/>
      <c r="BW165" s="278"/>
      <c r="BX165" s="278"/>
      <c r="BY165" s="278"/>
      <c r="BZ165" s="351"/>
    </row>
    <row r="166" spans="1:78" s="90" customFormat="1" ht="19.5" hidden="1" customHeight="1">
      <c r="A166" s="137"/>
      <c r="B166" s="197">
        <f t="shared" si="7"/>
        <v>156</v>
      </c>
      <c r="C166" s="30" t="s">
        <v>206</v>
      </c>
      <c r="D166" s="30" t="s">
        <v>225</v>
      </c>
      <c r="E166" s="234" t="s">
        <v>777</v>
      </c>
      <c r="F166" s="235" t="s">
        <v>1217</v>
      </c>
      <c r="G166" s="284" t="str">
        <f>IFERROR(VLOOKUP(E166,Assign!$C$2:$J$142,8,FALSE),)</f>
        <v>문선영</v>
      </c>
      <c r="H166" s="361" t="s">
        <v>3894</v>
      </c>
      <c r="I166" s="363">
        <v>1</v>
      </c>
      <c r="J166" s="364" t="s">
        <v>208</v>
      </c>
      <c r="K166" s="364" t="s">
        <v>316</v>
      </c>
      <c r="L166" s="365" t="s">
        <v>1461</v>
      </c>
      <c r="M166" s="362" t="s">
        <v>1462</v>
      </c>
      <c r="N166" s="421" t="s">
        <v>606</v>
      </c>
      <c r="O166" s="269">
        <v>80.400000000000006</v>
      </c>
      <c r="P166" s="269">
        <v>57.23</v>
      </c>
      <c r="Q166" s="426"/>
      <c r="R166" s="418" t="s">
        <v>777</v>
      </c>
      <c r="S166" s="427" t="s">
        <v>613</v>
      </c>
      <c r="T166" s="357">
        <v>1</v>
      </c>
      <c r="U166" s="357" t="s">
        <v>204</v>
      </c>
      <c r="V166" s="367">
        <v>204000000</v>
      </c>
      <c r="W166" s="368">
        <v>204000000</v>
      </c>
      <c r="X166" s="357"/>
      <c r="Y166" s="357"/>
      <c r="Z166" s="400"/>
      <c r="AA166" s="369"/>
      <c r="AB166" s="370"/>
      <c r="AC166" s="404"/>
      <c r="AD166" s="270"/>
      <c r="AE166" s="156"/>
      <c r="AF166" s="156"/>
      <c r="AG166" s="357"/>
      <c r="AH166" s="357"/>
      <c r="AI166" s="357"/>
      <c r="AJ166" s="156"/>
      <c r="AK166" s="156"/>
      <c r="AL166" s="375"/>
      <c r="AM166" s="405"/>
      <c r="AN166" s="273"/>
      <c r="AO166" s="405"/>
      <c r="AP166" s="273"/>
      <c r="AQ166" s="273"/>
      <c r="AR166" s="273"/>
      <c r="AS166" s="273"/>
      <c r="AT166" s="273"/>
      <c r="AU166" s="273"/>
      <c r="AV166" s="322">
        <f t="shared" si="8"/>
        <v>0</v>
      </c>
      <c r="AW166" s="402"/>
      <c r="AX166" s="376"/>
      <c r="AY166" s="373"/>
      <c r="AZ166" s="375"/>
      <c r="BA166" s="375"/>
      <c r="BB166" s="375"/>
      <c r="BC166" s="375"/>
      <c r="BD166" s="353">
        <f t="shared" si="9"/>
        <v>0</v>
      </c>
      <c r="BE166" s="432" t="s">
        <v>355</v>
      </c>
      <c r="BF166" s="407" t="s">
        <v>501</v>
      </c>
      <c r="BG166" s="168"/>
      <c r="BH166" s="274"/>
      <c r="BI166" s="168"/>
      <c r="BJ166" s="274"/>
      <c r="BK166" s="168"/>
      <c r="BL166" s="275"/>
      <c r="BM166" s="276"/>
      <c r="BN166" s="275"/>
      <c r="BO166" s="276"/>
      <c r="BP166" s="277"/>
      <c r="BQ166" s="156"/>
      <c r="BR166" s="274"/>
      <c r="BS166" s="270"/>
      <c r="BT166" s="270"/>
      <c r="BU166" s="274"/>
      <c r="BV166" s="274"/>
      <c r="BW166" s="278"/>
      <c r="BX166" s="278"/>
      <c r="BY166" s="278"/>
      <c r="BZ166" s="351"/>
    </row>
    <row r="167" spans="1:78" s="90" customFormat="1" ht="19.5" hidden="1" customHeight="1">
      <c r="A167" s="137"/>
      <c r="B167" s="197">
        <f t="shared" si="7"/>
        <v>157</v>
      </c>
      <c r="C167" s="30" t="s">
        <v>206</v>
      </c>
      <c r="D167" s="30" t="s">
        <v>225</v>
      </c>
      <c r="E167" s="234" t="s">
        <v>778</v>
      </c>
      <c r="F167" s="235" t="s">
        <v>1229</v>
      </c>
      <c r="G167" s="284" t="str">
        <f>IFERROR(VLOOKUP(E167,Assign!$C$2:$J$142,8,FALSE),)</f>
        <v>문선영</v>
      </c>
      <c r="H167" s="361" t="s">
        <v>4767</v>
      </c>
      <c r="I167" s="363">
        <v>1</v>
      </c>
      <c r="J167" s="364" t="s">
        <v>208</v>
      </c>
      <c r="K167" s="364" t="s">
        <v>316</v>
      </c>
      <c r="L167" s="365" t="s">
        <v>2299</v>
      </c>
      <c r="M167" s="362" t="s">
        <v>2300</v>
      </c>
      <c r="N167" s="421" t="s">
        <v>606</v>
      </c>
      <c r="O167" s="269">
        <v>64.375</v>
      </c>
      <c r="P167" s="269">
        <v>56.28</v>
      </c>
      <c r="Q167" s="426"/>
      <c r="R167" s="418" t="s">
        <v>778</v>
      </c>
      <c r="S167" s="427" t="s">
        <v>613</v>
      </c>
      <c r="T167" s="357">
        <v>1</v>
      </c>
      <c r="U167" s="357" t="s">
        <v>204</v>
      </c>
      <c r="V167" s="367">
        <v>186000000</v>
      </c>
      <c r="W167" s="368">
        <v>186000000</v>
      </c>
      <c r="X167" s="357"/>
      <c r="Y167" s="357"/>
      <c r="Z167" s="400"/>
      <c r="AA167" s="369"/>
      <c r="AB167" s="370"/>
      <c r="AC167" s="404"/>
      <c r="AD167" s="270"/>
      <c r="AE167" s="156"/>
      <c r="AF167" s="156"/>
      <c r="AG167" s="357"/>
      <c r="AH167" s="357"/>
      <c r="AI167" s="357"/>
      <c r="AJ167" s="156"/>
      <c r="AK167" s="156"/>
      <c r="AL167" s="375"/>
      <c r="AM167" s="405"/>
      <c r="AN167" s="273"/>
      <c r="AO167" s="405"/>
      <c r="AP167" s="273"/>
      <c r="AQ167" s="273"/>
      <c r="AR167" s="273"/>
      <c r="AS167" s="273"/>
      <c r="AT167" s="273"/>
      <c r="AU167" s="273"/>
      <c r="AV167" s="322">
        <f t="shared" si="8"/>
        <v>0</v>
      </c>
      <c r="AW167" s="402"/>
      <c r="AX167" s="274"/>
      <c r="AY167" s="270"/>
      <c r="AZ167" s="156"/>
      <c r="BA167" s="156"/>
      <c r="BB167" s="156"/>
      <c r="BC167" s="156"/>
      <c r="BD167" s="353">
        <f t="shared" si="9"/>
        <v>0</v>
      </c>
      <c r="BE167" s="432" t="s">
        <v>355</v>
      </c>
      <c r="BF167" s="407" t="s">
        <v>501</v>
      </c>
      <c r="BG167" s="168"/>
      <c r="BH167" s="274"/>
      <c r="BI167" s="168"/>
      <c r="BJ167" s="274"/>
      <c r="BK167" s="168"/>
      <c r="BL167" s="275"/>
      <c r="BM167" s="276"/>
      <c r="BN167" s="275"/>
      <c r="BO167" s="276"/>
      <c r="BP167" s="277"/>
      <c r="BQ167" s="156"/>
      <c r="BR167" s="274"/>
      <c r="BS167" s="270"/>
      <c r="BT167" s="270"/>
      <c r="BU167" s="274"/>
      <c r="BV167" s="274"/>
      <c r="BW167" s="278"/>
      <c r="BX167" s="278"/>
      <c r="BY167" s="278"/>
      <c r="BZ167" s="351"/>
    </row>
    <row r="168" spans="1:78" s="90" customFormat="1" ht="19.5" hidden="1" customHeight="1">
      <c r="A168" s="137"/>
      <c r="B168" s="197">
        <f t="shared" si="7"/>
        <v>158</v>
      </c>
      <c r="C168" s="30" t="s">
        <v>206</v>
      </c>
      <c r="D168" s="30" t="s">
        <v>225</v>
      </c>
      <c r="E168" s="234" t="s">
        <v>779</v>
      </c>
      <c r="F168" s="235" t="s">
        <v>1229</v>
      </c>
      <c r="G168" s="284" t="str">
        <f>IFERROR(VLOOKUP(E168,Assign!$C$2:$J$142,8,FALSE),)</f>
        <v>문선영</v>
      </c>
      <c r="H168" s="361" t="s">
        <v>4201</v>
      </c>
      <c r="I168" s="363">
        <v>1</v>
      </c>
      <c r="J168" s="364" t="s">
        <v>209</v>
      </c>
      <c r="K168" s="364" t="s">
        <v>226</v>
      </c>
      <c r="L168" s="365" t="s">
        <v>409</v>
      </c>
      <c r="M168" s="362" t="s">
        <v>1777</v>
      </c>
      <c r="N168" s="421" t="s">
        <v>207</v>
      </c>
      <c r="O168" s="269">
        <v>18.010000000000002</v>
      </c>
      <c r="P168" s="269">
        <v>37.96</v>
      </c>
      <c r="Q168" s="426"/>
      <c r="R168" s="418" t="s">
        <v>779</v>
      </c>
      <c r="S168" s="427" t="s">
        <v>613</v>
      </c>
      <c r="T168" s="357">
        <v>1</v>
      </c>
      <c r="U168" s="357" t="s">
        <v>204</v>
      </c>
      <c r="V168" s="367">
        <v>188400000</v>
      </c>
      <c r="W168" s="368">
        <v>188400000</v>
      </c>
      <c r="X168" s="357"/>
      <c r="Y168" s="357"/>
      <c r="Z168" s="400"/>
      <c r="AA168" s="369"/>
      <c r="AB168" s="370"/>
      <c r="AC168" s="404"/>
      <c r="AD168" s="270"/>
      <c r="AE168" s="156"/>
      <c r="AF168" s="156"/>
      <c r="AG168" s="357"/>
      <c r="AH168" s="357"/>
      <c r="AI168" s="357"/>
      <c r="AJ168" s="156"/>
      <c r="AK168" s="156"/>
      <c r="AL168" s="375"/>
      <c r="AM168" s="405"/>
      <c r="AN168" s="273"/>
      <c r="AO168" s="405"/>
      <c r="AP168" s="273"/>
      <c r="AQ168" s="273"/>
      <c r="AR168" s="273"/>
      <c r="AS168" s="273"/>
      <c r="AT168" s="273"/>
      <c r="AU168" s="273"/>
      <c r="AV168" s="322">
        <f t="shared" si="8"/>
        <v>0</v>
      </c>
      <c r="AW168" s="402"/>
      <c r="AX168" s="376"/>
      <c r="AY168" s="373"/>
      <c r="AZ168" s="375"/>
      <c r="BA168" s="375"/>
      <c r="BB168" s="375"/>
      <c r="BC168" s="375"/>
      <c r="BD168" s="353">
        <f t="shared" si="9"/>
        <v>0</v>
      </c>
      <c r="BE168" s="432" t="s">
        <v>355</v>
      </c>
      <c r="BF168" s="407" t="s">
        <v>495</v>
      </c>
      <c r="BG168" s="168"/>
      <c r="BH168" s="274"/>
      <c r="BI168" s="168"/>
      <c r="BJ168" s="274"/>
      <c r="BK168" s="168"/>
      <c r="BL168" s="275"/>
      <c r="BM168" s="276"/>
      <c r="BN168" s="275"/>
      <c r="BO168" s="276"/>
      <c r="BP168" s="277"/>
      <c r="BQ168" s="156"/>
      <c r="BR168" s="274"/>
      <c r="BS168" s="270"/>
      <c r="BT168" s="270"/>
      <c r="BU168" s="274"/>
      <c r="BV168" s="274"/>
      <c r="BW168" s="278"/>
      <c r="BX168" s="278"/>
      <c r="BY168" s="278"/>
      <c r="BZ168" s="351"/>
    </row>
    <row r="169" spans="1:78" s="90" customFormat="1" ht="19.5" hidden="1" customHeight="1">
      <c r="A169" s="137"/>
      <c r="B169" s="197">
        <f t="shared" si="7"/>
        <v>159</v>
      </c>
      <c r="C169" s="30" t="s">
        <v>206</v>
      </c>
      <c r="D169" s="30" t="s">
        <v>225</v>
      </c>
      <c r="E169" s="234" t="s">
        <v>780</v>
      </c>
      <c r="F169" s="235" t="s">
        <v>1229</v>
      </c>
      <c r="G169" s="284">
        <f>IFERROR(VLOOKUP(E169,Assign!$C$2:$J$142,8,FALSE),)</f>
        <v>0</v>
      </c>
      <c r="H169" s="361" t="s">
        <v>4001</v>
      </c>
      <c r="I169" s="363">
        <v>1</v>
      </c>
      <c r="J169" s="364" t="s">
        <v>208</v>
      </c>
      <c r="K169" s="364" t="s">
        <v>280</v>
      </c>
      <c r="L169" s="365" t="s">
        <v>573</v>
      </c>
      <c r="M169" s="362" t="s">
        <v>1575</v>
      </c>
      <c r="N169" s="421" t="s">
        <v>3505</v>
      </c>
      <c r="O169" s="269">
        <v>15.13</v>
      </c>
      <c r="P169" s="269">
        <v>74.12</v>
      </c>
      <c r="Q169" s="426"/>
      <c r="R169" s="418" t="s">
        <v>780</v>
      </c>
      <c r="S169" s="427" t="s">
        <v>613</v>
      </c>
      <c r="T169" s="357">
        <v>1</v>
      </c>
      <c r="U169" s="357" t="s">
        <v>204</v>
      </c>
      <c r="V169" s="367">
        <v>180000000</v>
      </c>
      <c r="W169" s="368">
        <v>180000000</v>
      </c>
      <c r="X169" s="357"/>
      <c r="Y169" s="357"/>
      <c r="Z169" s="400"/>
      <c r="AA169" s="369"/>
      <c r="AB169" s="370"/>
      <c r="AC169" s="404"/>
      <c r="AD169" s="270"/>
      <c r="AE169" s="156"/>
      <c r="AF169" s="156"/>
      <c r="AG169" s="357"/>
      <c r="AH169" s="357"/>
      <c r="AI169" s="357"/>
      <c r="AJ169" s="156"/>
      <c r="AK169" s="156"/>
      <c r="AL169" s="375"/>
      <c r="AM169" s="405"/>
      <c r="AN169" s="273"/>
      <c r="AO169" s="405"/>
      <c r="AP169" s="273"/>
      <c r="AQ169" s="273"/>
      <c r="AR169" s="273"/>
      <c r="AS169" s="273"/>
      <c r="AT169" s="273"/>
      <c r="AU169" s="273"/>
      <c r="AV169" s="322">
        <f t="shared" si="8"/>
        <v>0</v>
      </c>
      <c r="AW169" s="402"/>
      <c r="AX169" s="376"/>
      <c r="AY169" s="373"/>
      <c r="AZ169" s="375"/>
      <c r="BA169" s="375"/>
      <c r="BB169" s="375"/>
      <c r="BC169" s="375"/>
      <c r="BD169" s="353">
        <f t="shared" si="9"/>
        <v>0</v>
      </c>
      <c r="BE169" s="432" t="s">
        <v>355</v>
      </c>
      <c r="BF169" s="407" t="s">
        <v>422</v>
      </c>
      <c r="BG169" s="168"/>
      <c r="BH169" s="274"/>
      <c r="BI169" s="168"/>
      <c r="BJ169" s="274"/>
      <c r="BK169" s="168"/>
      <c r="BL169" s="275"/>
      <c r="BM169" s="276"/>
      <c r="BN169" s="275"/>
      <c r="BO169" s="276"/>
      <c r="BP169" s="277"/>
      <c r="BQ169" s="156"/>
      <c r="BR169" s="274"/>
      <c r="BS169" s="270"/>
      <c r="BT169" s="270"/>
      <c r="BU169" s="274"/>
      <c r="BV169" s="274"/>
      <c r="BW169" s="278"/>
      <c r="BX169" s="278"/>
      <c r="BY169" s="278"/>
      <c r="BZ169" s="351"/>
    </row>
    <row r="170" spans="1:78" s="90" customFormat="1" ht="19.5" hidden="1" customHeight="1">
      <c r="A170" s="137"/>
      <c r="B170" s="197">
        <f t="shared" si="7"/>
        <v>160</v>
      </c>
      <c r="C170" s="30" t="s">
        <v>206</v>
      </c>
      <c r="D170" s="30" t="s">
        <v>225</v>
      </c>
      <c r="E170" s="234" t="s">
        <v>781</v>
      </c>
      <c r="F170" s="235" t="s">
        <v>1318</v>
      </c>
      <c r="G170" s="284">
        <f>IFERROR(VLOOKUP(E170,Assign!$C$2:$J$142,8,FALSE),)</f>
        <v>0</v>
      </c>
      <c r="H170" s="361" t="s">
        <v>5279</v>
      </c>
      <c r="I170" s="363">
        <v>1</v>
      </c>
      <c r="J170" s="364" t="s">
        <v>208</v>
      </c>
      <c r="K170" s="364" t="s">
        <v>397</v>
      </c>
      <c r="L170" s="365" t="s">
        <v>2766</v>
      </c>
      <c r="M170" s="362" t="s">
        <v>2767</v>
      </c>
      <c r="N170" s="421" t="s">
        <v>606</v>
      </c>
      <c r="O170" s="269">
        <v>38.81</v>
      </c>
      <c r="P170" s="269">
        <v>50.24</v>
      </c>
      <c r="Q170" s="426"/>
      <c r="R170" s="418" t="s">
        <v>3428</v>
      </c>
      <c r="S170" s="427" t="s">
        <v>613</v>
      </c>
      <c r="T170" s="357" t="s">
        <v>229</v>
      </c>
      <c r="U170" s="357" t="s">
        <v>204</v>
      </c>
      <c r="V170" s="367">
        <v>189600000</v>
      </c>
      <c r="W170" s="368">
        <v>189600000</v>
      </c>
      <c r="X170" s="357"/>
      <c r="Y170" s="357"/>
      <c r="Z170" s="400"/>
      <c r="AA170" s="369"/>
      <c r="AB170" s="370"/>
      <c r="AC170" s="404"/>
      <c r="AD170" s="270"/>
      <c r="AE170" s="156"/>
      <c r="AF170" s="156"/>
      <c r="AG170" s="357"/>
      <c r="AH170" s="357"/>
      <c r="AI170" s="357"/>
      <c r="AJ170" s="156"/>
      <c r="AK170" s="156"/>
      <c r="AL170" s="375"/>
      <c r="AM170" s="405"/>
      <c r="AN170" s="273"/>
      <c r="AO170" s="405"/>
      <c r="AP170" s="273"/>
      <c r="AQ170" s="273"/>
      <c r="AR170" s="273"/>
      <c r="AS170" s="273"/>
      <c r="AT170" s="273"/>
      <c r="AU170" s="273"/>
      <c r="AV170" s="322">
        <f t="shared" si="8"/>
        <v>0</v>
      </c>
      <c r="AW170" s="402"/>
      <c r="AX170" s="376"/>
      <c r="AY170" s="373"/>
      <c r="AZ170" s="375"/>
      <c r="BA170" s="375"/>
      <c r="BB170" s="375"/>
      <c r="BC170" s="375"/>
      <c r="BD170" s="353">
        <f t="shared" si="9"/>
        <v>0</v>
      </c>
      <c r="BE170" s="432" t="s">
        <v>355</v>
      </c>
      <c r="BF170" s="407" t="s">
        <v>506</v>
      </c>
      <c r="BG170" s="168"/>
      <c r="BH170" s="274"/>
      <c r="BI170" s="168"/>
      <c r="BJ170" s="274"/>
      <c r="BK170" s="168"/>
      <c r="BL170" s="275"/>
      <c r="BM170" s="276"/>
      <c r="BN170" s="275"/>
      <c r="BO170" s="276"/>
      <c r="BP170" s="277"/>
      <c r="BQ170" s="156"/>
      <c r="BR170" s="274"/>
      <c r="BS170" s="270"/>
      <c r="BT170" s="270"/>
      <c r="BU170" s="274"/>
      <c r="BV170" s="274"/>
      <c r="BW170" s="278"/>
      <c r="BX170" s="278"/>
      <c r="BY170" s="278"/>
      <c r="BZ170" s="351"/>
    </row>
    <row r="171" spans="1:78" s="90" customFormat="1" ht="19.5" hidden="1" customHeight="1">
      <c r="A171" s="137"/>
      <c r="B171" s="197">
        <f t="shared" si="7"/>
        <v>161</v>
      </c>
      <c r="C171" s="30" t="s">
        <v>206</v>
      </c>
      <c r="D171" s="30" t="s">
        <v>225</v>
      </c>
      <c r="E171" s="234" t="s">
        <v>782</v>
      </c>
      <c r="F171" s="235" t="s">
        <v>1236</v>
      </c>
      <c r="G171" s="284" t="str">
        <f>IFERROR(VLOOKUP(E171,Assign!$C$2:$J$142,8,FALSE),)</f>
        <v>문선영</v>
      </c>
      <c r="H171" s="361" t="s">
        <v>4098</v>
      </c>
      <c r="I171" s="363">
        <v>1</v>
      </c>
      <c r="J171" s="364" t="s">
        <v>214</v>
      </c>
      <c r="K171" s="364" t="s">
        <v>1673</v>
      </c>
      <c r="L171" s="365" t="s">
        <v>1674</v>
      </c>
      <c r="M171" s="362" t="s">
        <v>1675</v>
      </c>
      <c r="N171" s="421" t="s">
        <v>207</v>
      </c>
      <c r="O171" s="269">
        <v>48.6877</v>
      </c>
      <c r="P171" s="269">
        <v>84.63</v>
      </c>
      <c r="Q171" s="426"/>
      <c r="R171" s="418" t="s">
        <v>782</v>
      </c>
      <c r="S171" s="427" t="s">
        <v>613</v>
      </c>
      <c r="T171" s="357">
        <v>1</v>
      </c>
      <c r="U171" s="357" t="s">
        <v>204</v>
      </c>
      <c r="V171" s="367">
        <v>214800000</v>
      </c>
      <c r="W171" s="368">
        <v>214800000</v>
      </c>
      <c r="X171" s="357"/>
      <c r="Y171" s="357"/>
      <c r="Z171" s="400"/>
      <c r="AA171" s="369"/>
      <c r="AB171" s="370"/>
      <c r="AC171" s="404"/>
      <c r="AD171" s="270"/>
      <c r="AE171" s="156"/>
      <c r="AF171" s="156"/>
      <c r="AG171" s="357"/>
      <c r="AH171" s="357"/>
      <c r="AI171" s="357"/>
      <c r="AJ171" s="156"/>
      <c r="AK171" s="156"/>
      <c r="AL171" s="375"/>
      <c r="AM171" s="405"/>
      <c r="AN171" s="273"/>
      <c r="AO171" s="405"/>
      <c r="AP171" s="273"/>
      <c r="AQ171" s="273"/>
      <c r="AR171" s="273"/>
      <c r="AS171" s="273"/>
      <c r="AT171" s="273"/>
      <c r="AU171" s="273"/>
      <c r="AV171" s="322">
        <f t="shared" si="8"/>
        <v>0</v>
      </c>
      <c r="AW171" s="402" t="s">
        <v>3387</v>
      </c>
      <c r="AX171" s="376">
        <v>45765</v>
      </c>
      <c r="AY171" s="373" t="s">
        <v>3388</v>
      </c>
      <c r="AZ171" s="375"/>
      <c r="BA171" s="375">
        <v>272500000</v>
      </c>
      <c r="BB171" s="375"/>
      <c r="BC171" s="375"/>
      <c r="BD171" s="353">
        <f t="shared" si="9"/>
        <v>272500000</v>
      </c>
      <c r="BE171" s="432" t="s">
        <v>355</v>
      </c>
      <c r="BF171" s="407" t="s">
        <v>507</v>
      </c>
      <c r="BG171" s="168"/>
      <c r="BH171" s="274"/>
      <c r="BI171" s="168"/>
      <c r="BJ171" s="274"/>
      <c r="BK171" s="168"/>
      <c r="BL171" s="275"/>
      <c r="BM171" s="276"/>
      <c r="BN171" s="275"/>
      <c r="BO171" s="276"/>
      <c r="BP171" s="277"/>
      <c r="BQ171" s="156"/>
      <c r="BR171" s="274"/>
      <c r="BS171" s="270"/>
      <c r="BT171" s="270"/>
      <c r="BU171" s="274"/>
      <c r="BV171" s="274"/>
      <c r="BW171" s="278"/>
      <c r="BX171" s="278"/>
      <c r="BY171" s="278"/>
      <c r="BZ171" s="351"/>
    </row>
    <row r="172" spans="1:78" s="90" customFormat="1" ht="19.5" hidden="1" customHeight="1">
      <c r="A172" s="137"/>
      <c r="B172" s="197">
        <f t="shared" si="7"/>
        <v>162</v>
      </c>
      <c r="C172" s="30" t="s">
        <v>206</v>
      </c>
      <c r="D172" s="30" t="s">
        <v>225</v>
      </c>
      <c r="E172" s="234" t="s">
        <v>783</v>
      </c>
      <c r="F172" s="235" t="s">
        <v>1249</v>
      </c>
      <c r="G172" s="284">
        <f>IFERROR(VLOOKUP(E172,Assign!$C$2:$J$142,8,FALSE),)</f>
        <v>0</v>
      </c>
      <c r="H172" s="361" t="s">
        <v>4573</v>
      </c>
      <c r="I172" s="363">
        <v>1</v>
      </c>
      <c r="J172" s="364" t="s">
        <v>208</v>
      </c>
      <c r="K172" s="364" t="s">
        <v>228</v>
      </c>
      <c r="L172" s="365" t="s">
        <v>340</v>
      </c>
      <c r="M172" s="362" t="s">
        <v>3121</v>
      </c>
      <c r="N172" s="421" t="s">
        <v>546</v>
      </c>
      <c r="O172" s="269">
        <v>28.76</v>
      </c>
      <c r="P172" s="269">
        <v>69.36</v>
      </c>
      <c r="Q172" s="426"/>
      <c r="R172" s="418" t="s">
        <v>783</v>
      </c>
      <c r="S172" s="427" t="s">
        <v>613</v>
      </c>
      <c r="T172" s="357">
        <v>1</v>
      </c>
      <c r="U172" s="357" t="s">
        <v>204</v>
      </c>
      <c r="V172" s="367">
        <v>187017600</v>
      </c>
      <c r="W172" s="368">
        <v>187017600</v>
      </c>
      <c r="X172" s="357"/>
      <c r="Y172" s="357"/>
      <c r="Z172" s="400"/>
      <c r="AA172" s="369"/>
      <c r="AB172" s="370"/>
      <c r="AC172" s="404"/>
      <c r="AD172" s="270"/>
      <c r="AE172" s="156"/>
      <c r="AF172" s="156"/>
      <c r="AG172" s="357"/>
      <c r="AH172" s="357"/>
      <c r="AI172" s="357"/>
      <c r="AJ172" s="156"/>
      <c r="AK172" s="156"/>
      <c r="AL172" s="375"/>
      <c r="AM172" s="405"/>
      <c r="AN172" s="273"/>
      <c r="AO172" s="405"/>
      <c r="AP172" s="273"/>
      <c r="AQ172" s="273"/>
      <c r="AR172" s="273"/>
      <c r="AS172" s="273"/>
      <c r="AT172" s="273"/>
      <c r="AU172" s="273"/>
      <c r="AV172" s="322">
        <f t="shared" si="8"/>
        <v>0</v>
      </c>
      <c r="AW172" s="402"/>
      <c r="AX172" s="274"/>
      <c r="AY172" s="270"/>
      <c r="AZ172" s="156"/>
      <c r="BA172" s="156"/>
      <c r="BB172" s="156"/>
      <c r="BC172" s="156"/>
      <c r="BD172" s="353">
        <f t="shared" si="9"/>
        <v>0</v>
      </c>
      <c r="BE172" s="432" t="s">
        <v>355</v>
      </c>
      <c r="BF172" s="407" t="s">
        <v>424</v>
      </c>
      <c r="BG172" s="168"/>
      <c r="BH172" s="274"/>
      <c r="BI172" s="168"/>
      <c r="BJ172" s="274"/>
      <c r="BK172" s="168"/>
      <c r="BL172" s="275"/>
      <c r="BM172" s="276"/>
      <c r="BN172" s="275"/>
      <c r="BO172" s="276"/>
      <c r="BP172" s="277"/>
      <c r="BQ172" s="156"/>
      <c r="BR172" s="274"/>
      <c r="BS172" s="270"/>
      <c r="BT172" s="270"/>
      <c r="BU172" s="274"/>
      <c r="BV172" s="274"/>
      <c r="BW172" s="278"/>
      <c r="BX172" s="278"/>
      <c r="BY172" s="278"/>
      <c r="BZ172" s="351"/>
    </row>
    <row r="173" spans="1:78" s="90" customFormat="1" ht="19.5" hidden="1" customHeight="1">
      <c r="A173" s="137"/>
      <c r="B173" s="197">
        <f t="shared" si="7"/>
        <v>163</v>
      </c>
      <c r="C173" s="30" t="s">
        <v>206</v>
      </c>
      <c r="D173" s="30" t="s">
        <v>225</v>
      </c>
      <c r="E173" s="234" t="s">
        <v>784</v>
      </c>
      <c r="F173" s="235" t="s">
        <v>1229</v>
      </c>
      <c r="G173" s="284">
        <f>IFERROR(VLOOKUP(E173,Assign!$C$2:$J$142,8,FALSE),)</f>
        <v>0</v>
      </c>
      <c r="H173" s="361" t="s">
        <v>3986</v>
      </c>
      <c r="I173" s="363">
        <v>1</v>
      </c>
      <c r="J173" s="364" t="s">
        <v>208</v>
      </c>
      <c r="K173" s="364" t="s">
        <v>372</v>
      </c>
      <c r="L173" s="365" t="s">
        <v>1561</v>
      </c>
      <c r="M173" s="362" t="s">
        <v>3098</v>
      </c>
      <c r="N173" s="421" t="s">
        <v>3386</v>
      </c>
      <c r="O173" s="269">
        <v>134.81700000000001</v>
      </c>
      <c r="P173" s="269">
        <v>395.95</v>
      </c>
      <c r="Q173" s="426"/>
      <c r="R173" s="418" t="s">
        <v>784</v>
      </c>
      <c r="S173" s="427" t="s">
        <v>613</v>
      </c>
      <c r="T173" s="357" t="s">
        <v>229</v>
      </c>
      <c r="U173" s="357" t="s">
        <v>204</v>
      </c>
      <c r="V173" s="367">
        <v>338000000</v>
      </c>
      <c r="W173" s="368">
        <v>338000000</v>
      </c>
      <c r="X173" s="357"/>
      <c r="Y173" s="357"/>
      <c r="Z173" s="400"/>
      <c r="AA173" s="369"/>
      <c r="AB173" s="370"/>
      <c r="AC173" s="404"/>
      <c r="AD173" s="270"/>
      <c r="AE173" s="156"/>
      <c r="AF173" s="156"/>
      <c r="AG173" s="357"/>
      <c r="AH173" s="357"/>
      <c r="AI173" s="357"/>
      <c r="AJ173" s="156"/>
      <c r="AK173" s="156"/>
      <c r="AL173" s="375"/>
      <c r="AM173" s="405"/>
      <c r="AN173" s="273"/>
      <c r="AO173" s="405"/>
      <c r="AP173" s="273"/>
      <c r="AQ173" s="273"/>
      <c r="AR173" s="273"/>
      <c r="AS173" s="273"/>
      <c r="AT173" s="273"/>
      <c r="AU173" s="273"/>
      <c r="AV173" s="322">
        <f t="shared" si="8"/>
        <v>0</v>
      </c>
      <c r="AW173" s="402"/>
      <c r="AX173" s="376"/>
      <c r="AY173" s="373"/>
      <c r="AZ173" s="375"/>
      <c r="BA173" s="375"/>
      <c r="BB173" s="375"/>
      <c r="BC173" s="375"/>
      <c r="BD173" s="353">
        <f t="shared" si="9"/>
        <v>0</v>
      </c>
      <c r="BE173" s="432" t="s">
        <v>355</v>
      </c>
      <c r="BF173" s="407" t="s">
        <v>498</v>
      </c>
      <c r="BG173" s="168"/>
      <c r="BH173" s="274"/>
      <c r="BI173" s="168"/>
      <c r="BJ173" s="274"/>
      <c r="BK173" s="168"/>
      <c r="BL173" s="275"/>
      <c r="BM173" s="276"/>
      <c r="BN173" s="275"/>
      <c r="BO173" s="276"/>
      <c r="BP173" s="277"/>
      <c r="BQ173" s="156"/>
      <c r="BR173" s="274"/>
      <c r="BS173" s="270"/>
      <c r="BT173" s="270"/>
      <c r="BU173" s="274"/>
      <c r="BV173" s="274"/>
      <c r="BW173" s="278"/>
      <c r="BX173" s="278"/>
      <c r="BY173" s="278"/>
      <c r="BZ173" s="351"/>
    </row>
    <row r="174" spans="1:78" s="90" customFormat="1" ht="19.5" customHeight="1">
      <c r="A174" s="137"/>
      <c r="B174" s="197">
        <f t="shared" si="7"/>
        <v>164</v>
      </c>
      <c r="C174" s="30" t="s">
        <v>206</v>
      </c>
      <c r="D174" s="30" t="s">
        <v>225</v>
      </c>
      <c r="E174" s="234" t="s">
        <v>785</v>
      </c>
      <c r="F174" s="235" t="s">
        <v>1250</v>
      </c>
      <c r="G174" s="284" t="str">
        <f>IFERROR(VLOOKUP(E174,Assign!$C$2:$J$142,8,FALSE),)</f>
        <v>문선영</v>
      </c>
      <c r="H174" s="361" t="s">
        <v>4513</v>
      </c>
      <c r="I174" s="363">
        <v>1</v>
      </c>
      <c r="J174" s="364" t="s">
        <v>212</v>
      </c>
      <c r="K174" s="364" t="s">
        <v>389</v>
      </c>
      <c r="L174" s="365" t="s">
        <v>2055</v>
      </c>
      <c r="M174" s="362" t="s">
        <v>2056</v>
      </c>
      <c r="N174" s="421" t="s">
        <v>207</v>
      </c>
      <c r="O174" s="269">
        <v>31.657800000000002</v>
      </c>
      <c r="P174" s="269">
        <v>59.965200000000003</v>
      </c>
      <c r="Q174" s="426"/>
      <c r="R174" s="418" t="s">
        <v>785</v>
      </c>
      <c r="S174" s="427" t="s">
        <v>613</v>
      </c>
      <c r="T174" s="357">
        <v>1</v>
      </c>
      <c r="U174" s="357" t="s">
        <v>204</v>
      </c>
      <c r="V174" s="367">
        <v>172060000</v>
      </c>
      <c r="W174" s="368">
        <v>172060000</v>
      </c>
      <c r="X174" s="357"/>
      <c r="Y174" s="357"/>
      <c r="Z174" s="400"/>
      <c r="AA174" s="369"/>
      <c r="AB174" s="370"/>
      <c r="AC174" s="404"/>
      <c r="AD174" s="270"/>
      <c r="AE174" s="156"/>
      <c r="AF174" s="156"/>
      <c r="AG174" s="357"/>
      <c r="AH174" s="357"/>
      <c r="AI174" s="357"/>
      <c r="AJ174" s="156"/>
      <c r="AK174" s="156"/>
      <c r="AL174" s="375"/>
      <c r="AM174" s="405"/>
      <c r="AN174" s="273"/>
      <c r="AO174" s="405"/>
      <c r="AP174" s="273"/>
      <c r="AQ174" s="273"/>
      <c r="AR174" s="273"/>
      <c r="AS174" s="273"/>
      <c r="AT174" s="273"/>
      <c r="AU174" s="273"/>
      <c r="AV174" s="322">
        <f t="shared" si="8"/>
        <v>0</v>
      </c>
      <c r="AW174" s="402" t="s">
        <v>3387</v>
      </c>
      <c r="AX174" s="376">
        <v>45765</v>
      </c>
      <c r="AY174" s="373" t="s">
        <v>3388</v>
      </c>
      <c r="AZ174" s="375"/>
      <c r="BA174" s="375">
        <v>307500000</v>
      </c>
      <c r="BB174" s="375"/>
      <c r="BC174" s="375"/>
      <c r="BD174" s="353">
        <f t="shared" si="9"/>
        <v>307500000</v>
      </c>
      <c r="BE174" s="432" t="s">
        <v>335</v>
      </c>
      <c r="BF174" s="407" t="s">
        <v>496</v>
      </c>
      <c r="BG174" s="168" t="s">
        <v>3306</v>
      </c>
      <c r="BH174" s="274">
        <v>45565</v>
      </c>
      <c r="BI174" s="168" t="s">
        <v>3226</v>
      </c>
      <c r="BJ174" s="274">
        <v>45653</v>
      </c>
      <c r="BK174" s="168">
        <v>129344967</v>
      </c>
      <c r="BL174" s="275"/>
      <c r="BM174" s="276"/>
      <c r="BN174" s="275"/>
      <c r="BO174" s="276"/>
      <c r="BP174" s="277"/>
      <c r="BQ174" s="156"/>
      <c r="BR174" s="274"/>
      <c r="BS174" s="270"/>
      <c r="BT174" s="270"/>
      <c r="BU174" s="274"/>
      <c r="BV174" s="274"/>
      <c r="BW174" s="278"/>
      <c r="BX174" s="278"/>
      <c r="BY174" s="278"/>
      <c r="BZ174" s="351"/>
    </row>
    <row r="175" spans="1:78" s="90" customFormat="1" ht="19.5" hidden="1" customHeight="1">
      <c r="A175" s="137"/>
      <c r="B175" s="197">
        <f t="shared" si="7"/>
        <v>165</v>
      </c>
      <c r="C175" s="30" t="s">
        <v>206</v>
      </c>
      <c r="D175" s="30" t="s">
        <v>225</v>
      </c>
      <c r="E175" s="234" t="s">
        <v>786</v>
      </c>
      <c r="F175" s="235" t="s">
        <v>1225</v>
      </c>
      <c r="G175" s="284">
        <f>IFERROR(VLOOKUP(E175,Assign!$C$2:$J$142,8,FALSE),)</f>
        <v>0</v>
      </c>
      <c r="H175" s="361" t="s">
        <v>4553</v>
      </c>
      <c r="I175" s="363">
        <v>1</v>
      </c>
      <c r="J175" s="364" t="s">
        <v>212</v>
      </c>
      <c r="K175" s="364" t="s">
        <v>300</v>
      </c>
      <c r="L175" s="365" t="s">
        <v>361</v>
      </c>
      <c r="M175" s="362" t="s">
        <v>2094</v>
      </c>
      <c r="N175" s="421" t="s">
        <v>207</v>
      </c>
      <c r="O175" s="269">
        <v>37.491999999999997</v>
      </c>
      <c r="P175" s="269">
        <v>84.944999999999993</v>
      </c>
      <c r="Q175" s="426"/>
      <c r="R175" s="418" t="s">
        <v>786</v>
      </c>
      <c r="S175" s="427" t="s">
        <v>613</v>
      </c>
      <c r="T175" s="357">
        <v>2</v>
      </c>
      <c r="U175" s="357" t="s">
        <v>204</v>
      </c>
      <c r="V175" s="367">
        <v>168000000</v>
      </c>
      <c r="W175" s="368">
        <v>168000000</v>
      </c>
      <c r="X175" s="357"/>
      <c r="Y175" s="357"/>
      <c r="Z175" s="400"/>
      <c r="AA175" s="369"/>
      <c r="AB175" s="370"/>
      <c r="AC175" s="404">
        <v>1</v>
      </c>
      <c r="AD175" s="270" t="s">
        <v>204</v>
      </c>
      <c r="AE175" s="156">
        <v>181100000</v>
      </c>
      <c r="AF175" s="156">
        <v>181100000</v>
      </c>
      <c r="AG175" s="357"/>
      <c r="AH175" s="357"/>
      <c r="AI175" s="357"/>
      <c r="AJ175" s="156"/>
      <c r="AK175" s="156"/>
      <c r="AL175" s="375"/>
      <c r="AM175" s="405"/>
      <c r="AN175" s="273"/>
      <c r="AO175" s="405"/>
      <c r="AP175" s="273"/>
      <c r="AQ175" s="273"/>
      <c r="AR175" s="273"/>
      <c r="AS175" s="273"/>
      <c r="AT175" s="273"/>
      <c r="AU175" s="273"/>
      <c r="AV175" s="322">
        <f t="shared" si="8"/>
        <v>0</v>
      </c>
      <c r="AW175" s="402" t="s">
        <v>3650</v>
      </c>
      <c r="AX175" s="376">
        <v>45460</v>
      </c>
      <c r="AY175" s="373" t="s">
        <v>3654</v>
      </c>
      <c r="AZ175" s="375"/>
      <c r="BA175" s="375">
        <v>390000000</v>
      </c>
      <c r="BB175" s="375"/>
      <c r="BC175" s="375"/>
      <c r="BD175" s="353">
        <f t="shared" si="9"/>
        <v>390000000</v>
      </c>
      <c r="BE175" s="432" t="s">
        <v>335</v>
      </c>
      <c r="BF175" s="407" t="s">
        <v>496</v>
      </c>
      <c r="BG175" s="168" t="s">
        <v>3398</v>
      </c>
      <c r="BH175" s="274">
        <v>45446</v>
      </c>
      <c r="BI175" s="168" t="s">
        <v>3232</v>
      </c>
      <c r="BJ175" s="274">
        <v>45537</v>
      </c>
      <c r="BK175" s="168">
        <v>102751835</v>
      </c>
      <c r="BL175" s="275" t="s">
        <v>420</v>
      </c>
      <c r="BM175" s="276">
        <v>45701</v>
      </c>
      <c r="BN175" s="275" t="s">
        <v>3354</v>
      </c>
      <c r="BO175" s="276"/>
      <c r="BP175" s="277">
        <v>164876542</v>
      </c>
      <c r="BQ175" s="156">
        <v>390000000</v>
      </c>
      <c r="BR175" s="274">
        <v>45681</v>
      </c>
      <c r="BS175" s="270">
        <v>2</v>
      </c>
      <c r="BT175" s="270" t="s">
        <v>3357</v>
      </c>
      <c r="BU175" s="274">
        <v>45728</v>
      </c>
      <c r="BV175" s="274"/>
      <c r="BW175" s="278">
        <v>338999900</v>
      </c>
      <c r="BX175" s="278">
        <v>273000000</v>
      </c>
      <c r="BY175" s="278"/>
      <c r="BZ175" s="351"/>
    </row>
    <row r="176" spans="1:78" s="90" customFormat="1" ht="19.5" hidden="1" customHeight="1">
      <c r="A176" s="137"/>
      <c r="B176" s="197">
        <f t="shared" si="7"/>
        <v>166</v>
      </c>
      <c r="C176" s="30" t="s">
        <v>206</v>
      </c>
      <c r="D176" s="30" t="s">
        <v>225</v>
      </c>
      <c r="E176" s="234" t="s">
        <v>787</v>
      </c>
      <c r="F176" s="235" t="s">
        <v>1217</v>
      </c>
      <c r="G176" s="284">
        <f>IFERROR(VLOOKUP(E176,Assign!$C$2:$J$142,8,FALSE),)</f>
        <v>0</v>
      </c>
      <c r="H176" s="361" t="s">
        <v>5304</v>
      </c>
      <c r="I176" s="363">
        <v>1</v>
      </c>
      <c r="J176" s="364" t="s">
        <v>208</v>
      </c>
      <c r="K176" s="364" t="s">
        <v>280</v>
      </c>
      <c r="L176" s="365" t="s">
        <v>2786</v>
      </c>
      <c r="M176" s="362" t="s">
        <v>2787</v>
      </c>
      <c r="N176" s="421" t="s">
        <v>606</v>
      </c>
      <c r="O176" s="269">
        <v>80.44</v>
      </c>
      <c r="P176" s="269">
        <v>66.41</v>
      </c>
      <c r="Q176" s="426"/>
      <c r="R176" s="418" t="s">
        <v>787</v>
      </c>
      <c r="S176" s="427" t="s">
        <v>613</v>
      </c>
      <c r="T176" s="357">
        <v>1</v>
      </c>
      <c r="U176" s="357" t="s">
        <v>204</v>
      </c>
      <c r="V176" s="367">
        <v>172800000</v>
      </c>
      <c r="W176" s="368">
        <v>172800000</v>
      </c>
      <c r="X176" s="357"/>
      <c r="Y176" s="357"/>
      <c r="Z176" s="400"/>
      <c r="AA176" s="369"/>
      <c r="AB176" s="370"/>
      <c r="AC176" s="404"/>
      <c r="AD176" s="270"/>
      <c r="AE176" s="156"/>
      <c r="AF176" s="156"/>
      <c r="AG176" s="357"/>
      <c r="AH176" s="357"/>
      <c r="AI176" s="357"/>
      <c r="AJ176" s="156"/>
      <c r="AK176" s="156"/>
      <c r="AL176" s="375"/>
      <c r="AM176" s="405"/>
      <c r="AN176" s="273"/>
      <c r="AO176" s="405"/>
      <c r="AP176" s="273"/>
      <c r="AQ176" s="273"/>
      <c r="AR176" s="273"/>
      <c r="AS176" s="273"/>
      <c r="AT176" s="273"/>
      <c r="AU176" s="273"/>
      <c r="AV176" s="322">
        <f t="shared" si="8"/>
        <v>0</v>
      </c>
      <c r="AW176" s="402"/>
      <c r="AX176" s="376"/>
      <c r="AY176" s="373"/>
      <c r="AZ176" s="375"/>
      <c r="BA176" s="375"/>
      <c r="BB176" s="375"/>
      <c r="BC176" s="375"/>
      <c r="BD176" s="353">
        <f t="shared" si="9"/>
        <v>0</v>
      </c>
      <c r="BE176" s="432" t="s">
        <v>335</v>
      </c>
      <c r="BF176" s="407" t="s">
        <v>422</v>
      </c>
      <c r="BG176" s="168" t="s">
        <v>1373</v>
      </c>
      <c r="BH176" s="274">
        <v>45667</v>
      </c>
      <c r="BI176" s="168" t="s">
        <v>3341</v>
      </c>
      <c r="BJ176" s="274">
        <v>45757</v>
      </c>
      <c r="BK176" s="168">
        <v>142179357</v>
      </c>
      <c r="BL176" s="275"/>
      <c r="BM176" s="276"/>
      <c r="BN176" s="275"/>
      <c r="BO176" s="276"/>
      <c r="BP176" s="277"/>
      <c r="BQ176" s="156"/>
      <c r="BR176" s="274"/>
      <c r="BS176" s="270"/>
      <c r="BT176" s="270"/>
      <c r="BU176" s="274"/>
      <c r="BV176" s="274"/>
      <c r="BW176" s="278"/>
      <c r="BX176" s="278"/>
      <c r="BY176" s="278"/>
      <c r="BZ176" s="351"/>
    </row>
    <row r="177" spans="1:78" s="90" customFormat="1" ht="19.5" hidden="1" customHeight="1">
      <c r="A177" s="137"/>
      <c r="B177" s="197">
        <f t="shared" si="7"/>
        <v>167</v>
      </c>
      <c r="C177" s="30" t="s">
        <v>206</v>
      </c>
      <c r="D177" s="30" t="s">
        <v>225</v>
      </c>
      <c r="E177" s="234" t="s">
        <v>788</v>
      </c>
      <c r="F177" s="235" t="s">
        <v>1238</v>
      </c>
      <c r="G177" s="284">
        <f>IFERROR(VLOOKUP(E177,Assign!$C$2:$J$142,8,FALSE),)</f>
        <v>0</v>
      </c>
      <c r="H177" s="361" t="s">
        <v>4395</v>
      </c>
      <c r="I177" s="363">
        <v>1</v>
      </c>
      <c r="J177" s="364" t="s">
        <v>212</v>
      </c>
      <c r="K177" s="364" t="s">
        <v>241</v>
      </c>
      <c r="L177" s="365" t="s">
        <v>1678</v>
      </c>
      <c r="M177" s="362" t="s">
        <v>1953</v>
      </c>
      <c r="N177" s="421" t="s">
        <v>207</v>
      </c>
      <c r="O177" s="269">
        <v>34.256</v>
      </c>
      <c r="P177" s="269">
        <v>73.959999999999994</v>
      </c>
      <c r="Q177" s="426"/>
      <c r="R177" s="418" t="s">
        <v>788</v>
      </c>
      <c r="S177" s="427" t="s">
        <v>613</v>
      </c>
      <c r="T177" s="357">
        <v>1</v>
      </c>
      <c r="U177" s="357" t="s">
        <v>204</v>
      </c>
      <c r="V177" s="367">
        <v>199200000</v>
      </c>
      <c r="W177" s="368">
        <v>199200000</v>
      </c>
      <c r="X177" s="357"/>
      <c r="Y177" s="357"/>
      <c r="Z177" s="400"/>
      <c r="AA177" s="369"/>
      <c r="AB177" s="370"/>
      <c r="AC177" s="404"/>
      <c r="AD177" s="270"/>
      <c r="AE177" s="156"/>
      <c r="AF177" s="156"/>
      <c r="AG177" s="357"/>
      <c r="AH177" s="357"/>
      <c r="AI177" s="357"/>
      <c r="AJ177" s="156"/>
      <c r="AK177" s="156"/>
      <c r="AL177" s="375"/>
      <c r="AM177" s="405"/>
      <c r="AN177" s="273"/>
      <c r="AO177" s="405"/>
      <c r="AP177" s="273"/>
      <c r="AQ177" s="273"/>
      <c r="AR177" s="273"/>
      <c r="AS177" s="273"/>
      <c r="AT177" s="273"/>
      <c r="AU177" s="273"/>
      <c r="AV177" s="322">
        <f t="shared" si="8"/>
        <v>0</v>
      </c>
      <c r="AW177" s="402" t="s">
        <v>3387</v>
      </c>
      <c r="AX177" s="376">
        <v>45765</v>
      </c>
      <c r="AY177" s="373" t="s">
        <v>3388</v>
      </c>
      <c r="AZ177" s="375"/>
      <c r="BA177" s="375">
        <v>305000000</v>
      </c>
      <c r="BB177" s="375"/>
      <c r="BC177" s="375"/>
      <c r="BD177" s="353">
        <f t="shared" si="9"/>
        <v>305000000</v>
      </c>
      <c r="BE177" s="432" t="s">
        <v>335</v>
      </c>
      <c r="BF177" s="407" t="s">
        <v>496</v>
      </c>
      <c r="BG177" s="168" t="s">
        <v>3298</v>
      </c>
      <c r="BH177" s="274">
        <v>45237</v>
      </c>
      <c r="BI177" s="168" t="s">
        <v>3299</v>
      </c>
      <c r="BJ177" s="274">
        <v>45320</v>
      </c>
      <c r="BK177" s="168">
        <v>132649652</v>
      </c>
      <c r="BL177" s="275"/>
      <c r="BM177" s="276"/>
      <c r="BN177" s="275"/>
      <c r="BO177" s="276"/>
      <c r="BP177" s="277"/>
      <c r="BQ177" s="156"/>
      <c r="BR177" s="274"/>
      <c r="BS177" s="270"/>
      <c r="BT177" s="270"/>
      <c r="BU177" s="274"/>
      <c r="BV177" s="274"/>
      <c r="BW177" s="278"/>
      <c r="BX177" s="278"/>
      <c r="BY177" s="278"/>
      <c r="BZ177" s="351" t="s">
        <v>3415</v>
      </c>
    </row>
    <row r="178" spans="1:78" s="90" customFormat="1" ht="19.5" hidden="1" customHeight="1">
      <c r="A178" s="137"/>
      <c r="B178" s="197">
        <f t="shared" si="7"/>
        <v>168</v>
      </c>
      <c r="C178" s="30" t="s">
        <v>206</v>
      </c>
      <c r="D178" s="30" t="s">
        <v>225</v>
      </c>
      <c r="E178" s="234" t="s">
        <v>789</v>
      </c>
      <c r="F178" s="235" t="s">
        <v>1225</v>
      </c>
      <c r="G178" s="284">
        <f>IFERROR(VLOOKUP(E178,Assign!$C$2:$J$142,8,FALSE),)</f>
        <v>0</v>
      </c>
      <c r="H178" s="361" t="s">
        <v>5298</v>
      </c>
      <c r="I178" s="363">
        <v>1</v>
      </c>
      <c r="J178" s="364" t="s">
        <v>208</v>
      </c>
      <c r="K178" s="364" t="s">
        <v>234</v>
      </c>
      <c r="L178" s="365" t="s">
        <v>2387</v>
      </c>
      <c r="M178" s="362" t="s">
        <v>2782</v>
      </c>
      <c r="N178" s="421" t="s">
        <v>207</v>
      </c>
      <c r="O178" s="269">
        <v>42.412999999999997</v>
      </c>
      <c r="P178" s="269">
        <v>84.92</v>
      </c>
      <c r="Q178" s="426"/>
      <c r="R178" s="418" t="s">
        <v>789</v>
      </c>
      <c r="S178" s="427" t="s">
        <v>613</v>
      </c>
      <c r="T178" s="357">
        <v>1</v>
      </c>
      <c r="U178" s="357" t="s">
        <v>204</v>
      </c>
      <c r="V178" s="367">
        <v>154000000</v>
      </c>
      <c r="W178" s="368">
        <v>154000000</v>
      </c>
      <c r="X178" s="357"/>
      <c r="Y178" s="357"/>
      <c r="Z178" s="400"/>
      <c r="AA178" s="369"/>
      <c r="AB178" s="370"/>
      <c r="AC178" s="404"/>
      <c r="AD178" s="270"/>
      <c r="AE178" s="156"/>
      <c r="AF178" s="156"/>
      <c r="AG178" s="357"/>
      <c r="AH178" s="357"/>
      <c r="AI178" s="357"/>
      <c r="AJ178" s="156"/>
      <c r="AK178" s="156"/>
      <c r="AL178" s="375"/>
      <c r="AM178" s="405"/>
      <c r="AN178" s="273"/>
      <c r="AO178" s="405"/>
      <c r="AP178" s="273"/>
      <c r="AQ178" s="273"/>
      <c r="AR178" s="273"/>
      <c r="AS178" s="273"/>
      <c r="AT178" s="273"/>
      <c r="AU178" s="273"/>
      <c r="AV178" s="322">
        <f t="shared" si="8"/>
        <v>0</v>
      </c>
      <c r="AW178" s="402" t="s">
        <v>3387</v>
      </c>
      <c r="AX178" s="376">
        <v>45765</v>
      </c>
      <c r="AY178" s="373" t="s">
        <v>3388</v>
      </c>
      <c r="AZ178" s="375"/>
      <c r="BA178" s="375">
        <v>232500000</v>
      </c>
      <c r="BB178" s="375"/>
      <c r="BC178" s="375"/>
      <c r="BD178" s="353">
        <f t="shared" si="9"/>
        <v>232500000</v>
      </c>
      <c r="BE178" s="432" t="s">
        <v>355</v>
      </c>
      <c r="BF178" s="407" t="s">
        <v>504</v>
      </c>
      <c r="BG178" s="168"/>
      <c r="BH178" s="274"/>
      <c r="BI178" s="168"/>
      <c r="BJ178" s="274"/>
      <c r="BK178" s="168"/>
      <c r="BL178" s="275"/>
      <c r="BM178" s="276"/>
      <c r="BN178" s="275"/>
      <c r="BO178" s="276"/>
      <c r="BP178" s="277"/>
      <c r="BQ178" s="156"/>
      <c r="BR178" s="274"/>
      <c r="BS178" s="270"/>
      <c r="BT178" s="270"/>
      <c r="BU178" s="274"/>
      <c r="BV178" s="274"/>
      <c r="BW178" s="278"/>
      <c r="BX178" s="278"/>
      <c r="BY178" s="278"/>
      <c r="BZ178" s="351"/>
    </row>
    <row r="179" spans="1:78" s="90" customFormat="1" ht="19.5" customHeight="1">
      <c r="A179" s="137"/>
      <c r="B179" s="197">
        <f t="shared" si="7"/>
        <v>169</v>
      </c>
      <c r="C179" s="30" t="s">
        <v>206</v>
      </c>
      <c r="D179" s="30" t="s">
        <v>225</v>
      </c>
      <c r="E179" s="234" t="s">
        <v>790</v>
      </c>
      <c r="F179" s="235" t="s">
        <v>1229</v>
      </c>
      <c r="G179" s="284" t="str">
        <f>IFERROR(VLOOKUP(E179,Assign!$C$2:$J$142,8,FALSE),)</f>
        <v>문선영</v>
      </c>
      <c r="H179" s="361" t="s">
        <v>4458</v>
      </c>
      <c r="I179" s="363">
        <v>1</v>
      </c>
      <c r="J179" s="364" t="s">
        <v>208</v>
      </c>
      <c r="K179" s="364" t="s">
        <v>254</v>
      </c>
      <c r="L179" s="365" t="s">
        <v>562</v>
      </c>
      <c r="M179" s="362" t="s">
        <v>2003</v>
      </c>
      <c r="N179" s="421" t="s">
        <v>606</v>
      </c>
      <c r="O179" s="269">
        <v>43.6</v>
      </c>
      <c r="P179" s="269">
        <v>62.87</v>
      </c>
      <c r="Q179" s="426"/>
      <c r="R179" s="418" t="s">
        <v>790</v>
      </c>
      <c r="S179" s="427" t="s">
        <v>613</v>
      </c>
      <c r="T179" s="357">
        <v>1</v>
      </c>
      <c r="U179" s="357" t="s">
        <v>204</v>
      </c>
      <c r="V179" s="367">
        <v>180000000</v>
      </c>
      <c r="W179" s="368">
        <v>180000000</v>
      </c>
      <c r="X179" s="357"/>
      <c r="Y179" s="357"/>
      <c r="Z179" s="400"/>
      <c r="AA179" s="369"/>
      <c r="AB179" s="370"/>
      <c r="AC179" s="404"/>
      <c r="AD179" s="270"/>
      <c r="AE179" s="156"/>
      <c r="AF179" s="156"/>
      <c r="AG179" s="357"/>
      <c r="AH179" s="357"/>
      <c r="AI179" s="357"/>
      <c r="AJ179" s="156"/>
      <c r="AK179" s="156"/>
      <c r="AL179" s="375"/>
      <c r="AM179" s="405"/>
      <c r="AN179" s="273"/>
      <c r="AO179" s="405"/>
      <c r="AP179" s="273"/>
      <c r="AQ179" s="273"/>
      <c r="AR179" s="273"/>
      <c r="AS179" s="273"/>
      <c r="AT179" s="273"/>
      <c r="AU179" s="273"/>
      <c r="AV179" s="322">
        <f t="shared" si="8"/>
        <v>0</v>
      </c>
      <c r="AW179" s="402"/>
      <c r="AX179" s="376"/>
      <c r="AY179" s="373"/>
      <c r="AZ179" s="375"/>
      <c r="BA179" s="375"/>
      <c r="BB179" s="375"/>
      <c r="BC179" s="375"/>
      <c r="BD179" s="353">
        <f t="shared" si="9"/>
        <v>0</v>
      </c>
      <c r="BE179" s="432" t="s">
        <v>335</v>
      </c>
      <c r="BF179" s="407" t="s">
        <v>424</v>
      </c>
      <c r="BG179" s="168" t="s">
        <v>3303</v>
      </c>
      <c r="BH179" s="274">
        <v>45650</v>
      </c>
      <c r="BI179" s="168" t="s">
        <v>3221</v>
      </c>
      <c r="BJ179" s="274">
        <v>45729</v>
      </c>
      <c r="BK179" s="168">
        <v>31035616</v>
      </c>
      <c r="BL179" s="275"/>
      <c r="BM179" s="276"/>
      <c r="BN179" s="275"/>
      <c r="BO179" s="276"/>
      <c r="BP179" s="277"/>
      <c r="BQ179" s="156"/>
      <c r="BR179" s="274"/>
      <c r="BS179" s="270"/>
      <c r="BT179" s="270"/>
      <c r="BU179" s="274"/>
      <c r="BV179" s="274"/>
      <c r="BW179" s="278"/>
      <c r="BX179" s="278"/>
      <c r="BY179" s="278"/>
      <c r="BZ179" s="351"/>
    </row>
    <row r="180" spans="1:78" s="90" customFormat="1" ht="19.5" hidden="1" customHeight="1">
      <c r="A180" s="137"/>
      <c r="B180" s="197">
        <f t="shared" si="7"/>
        <v>170</v>
      </c>
      <c r="C180" s="30" t="s">
        <v>206</v>
      </c>
      <c r="D180" s="30" t="s">
        <v>225</v>
      </c>
      <c r="E180" s="234" t="s">
        <v>791</v>
      </c>
      <c r="F180" s="235" t="s">
        <v>1251</v>
      </c>
      <c r="G180" s="284">
        <f>IFERROR(VLOOKUP(E180,Assign!$C$2:$J$142,8,FALSE),)</f>
        <v>0</v>
      </c>
      <c r="H180" s="361" t="s">
        <v>5271</v>
      </c>
      <c r="I180" s="363">
        <v>1</v>
      </c>
      <c r="J180" s="364" t="s">
        <v>209</v>
      </c>
      <c r="K180" s="364" t="s">
        <v>231</v>
      </c>
      <c r="L180" s="365" t="s">
        <v>1488</v>
      </c>
      <c r="M180" s="362" t="s">
        <v>2758</v>
      </c>
      <c r="N180" s="421" t="s">
        <v>618</v>
      </c>
      <c r="O180" s="269">
        <v>70.27</v>
      </c>
      <c r="P180" s="269">
        <v>78.569999999999993</v>
      </c>
      <c r="Q180" s="426"/>
      <c r="R180" s="418" t="s">
        <v>791</v>
      </c>
      <c r="S180" s="427" t="s">
        <v>613</v>
      </c>
      <c r="T180" s="357" t="s">
        <v>229</v>
      </c>
      <c r="U180" s="357" t="s">
        <v>204</v>
      </c>
      <c r="V180" s="367">
        <v>180000000</v>
      </c>
      <c r="W180" s="368">
        <v>180000000</v>
      </c>
      <c r="X180" s="357"/>
      <c r="Y180" s="357"/>
      <c r="Z180" s="400"/>
      <c r="AA180" s="369"/>
      <c r="AB180" s="370"/>
      <c r="AC180" s="404"/>
      <c r="AD180" s="270"/>
      <c r="AE180" s="156"/>
      <c r="AF180" s="156"/>
      <c r="AG180" s="357"/>
      <c r="AH180" s="357"/>
      <c r="AI180" s="357"/>
      <c r="AJ180" s="156"/>
      <c r="AK180" s="156"/>
      <c r="AL180" s="375"/>
      <c r="AM180" s="405"/>
      <c r="AN180" s="273"/>
      <c r="AO180" s="405"/>
      <c r="AP180" s="273"/>
      <c r="AQ180" s="273"/>
      <c r="AR180" s="273"/>
      <c r="AS180" s="273"/>
      <c r="AT180" s="273"/>
      <c r="AU180" s="273"/>
      <c r="AV180" s="322">
        <f t="shared" si="8"/>
        <v>0</v>
      </c>
      <c r="AW180" s="402"/>
      <c r="AX180" s="376"/>
      <c r="AY180" s="373"/>
      <c r="AZ180" s="375"/>
      <c r="BA180" s="375"/>
      <c r="BB180" s="156"/>
      <c r="BC180" s="156"/>
      <c r="BD180" s="353">
        <f t="shared" si="9"/>
        <v>0</v>
      </c>
      <c r="BE180" s="432" t="s">
        <v>355</v>
      </c>
      <c r="BF180" s="407" t="s">
        <v>511</v>
      </c>
      <c r="BG180" s="168"/>
      <c r="BH180" s="274"/>
      <c r="BI180" s="168"/>
      <c r="BJ180" s="274"/>
      <c r="BK180" s="168"/>
      <c r="BL180" s="275"/>
      <c r="BM180" s="276"/>
      <c r="BN180" s="275"/>
      <c r="BO180" s="276"/>
      <c r="BP180" s="277"/>
      <c r="BQ180" s="156"/>
      <c r="BR180" s="274"/>
      <c r="BS180" s="270"/>
      <c r="BT180" s="270"/>
      <c r="BU180" s="274"/>
      <c r="BV180" s="274"/>
      <c r="BW180" s="278"/>
      <c r="BX180" s="278"/>
      <c r="BY180" s="278"/>
      <c r="BZ180" s="351"/>
    </row>
    <row r="181" spans="1:78" s="90" customFormat="1" ht="19.5" hidden="1" customHeight="1">
      <c r="A181" s="137"/>
      <c r="B181" s="197">
        <f t="shared" si="7"/>
        <v>171</v>
      </c>
      <c r="C181" s="30" t="s">
        <v>206</v>
      </c>
      <c r="D181" s="30" t="s">
        <v>225</v>
      </c>
      <c r="E181" s="234" t="s">
        <v>792</v>
      </c>
      <c r="F181" s="235" t="s">
        <v>1229</v>
      </c>
      <c r="G181" s="284">
        <f>IFERROR(VLOOKUP(E181,Assign!$C$2:$J$142,8,FALSE),)</f>
        <v>0</v>
      </c>
      <c r="H181" s="361" t="s">
        <v>4193</v>
      </c>
      <c r="I181" s="363">
        <v>1</v>
      </c>
      <c r="J181" s="364" t="s">
        <v>210</v>
      </c>
      <c r="K181" s="364" t="s">
        <v>252</v>
      </c>
      <c r="L181" s="365" t="s">
        <v>1768</v>
      </c>
      <c r="M181" s="362" t="s">
        <v>1769</v>
      </c>
      <c r="N181" s="421" t="s">
        <v>207</v>
      </c>
      <c r="O181" s="269">
        <v>37.338200000000001</v>
      </c>
      <c r="P181" s="269">
        <v>59.914000000000001</v>
      </c>
      <c r="Q181" s="426"/>
      <c r="R181" s="418" t="s">
        <v>792</v>
      </c>
      <c r="S181" s="427" t="s">
        <v>613</v>
      </c>
      <c r="T181" s="357">
        <v>1</v>
      </c>
      <c r="U181" s="357" t="s">
        <v>204</v>
      </c>
      <c r="V181" s="367">
        <v>147400000</v>
      </c>
      <c r="W181" s="368">
        <v>147400000</v>
      </c>
      <c r="X181" s="357"/>
      <c r="Y181" s="357"/>
      <c r="Z181" s="400"/>
      <c r="AA181" s="369"/>
      <c r="AB181" s="370"/>
      <c r="AC181" s="404"/>
      <c r="AD181" s="270"/>
      <c r="AE181" s="156"/>
      <c r="AF181" s="156"/>
      <c r="AG181" s="357"/>
      <c r="AH181" s="357"/>
      <c r="AI181" s="357"/>
      <c r="AJ181" s="156"/>
      <c r="AK181" s="156"/>
      <c r="AL181" s="375"/>
      <c r="AM181" s="405"/>
      <c r="AN181" s="273"/>
      <c r="AO181" s="405"/>
      <c r="AP181" s="273"/>
      <c r="AQ181" s="273"/>
      <c r="AR181" s="273"/>
      <c r="AS181" s="273"/>
      <c r="AT181" s="273"/>
      <c r="AU181" s="273"/>
      <c r="AV181" s="322">
        <f t="shared" si="8"/>
        <v>0</v>
      </c>
      <c r="AW181" s="402" t="s">
        <v>3387</v>
      </c>
      <c r="AX181" s="376">
        <v>45765</v>
      </c>
      <c r="AY181" s="373" t="s">
        <v>3388</v>
      </c>
      <c r="AZ181" s="375"/>
      <c r="BA181" s="375">
        <v>190000000</v>
      </c>
      <c r="BB181" s="375"/>
      <c r="BC181" s="375"/>
      <c r="BD181" s="353">
        <f t="shared" si="9"/>
        <v>190000000</v>
      </c>
      <c r="BE181" s="432" t="s">
        <v>355</v>
      </c>
      <c r="BF181" s="407" t="s">
        <v>503</v>
      </c>
      <c r="BG181" s="168"/>
      <c r="BH181" s="274"/>
      <c r="BI181" s="168"/>
      <c r="BJ181" s="274"/>
      <c r="BK181" s="168"/>
      <c r="BL181" s="275"/>
      <c r="BM181" s="276"/>
      <c r="BN181" s="275"/>
      <c r="BO181" s="276"/>
      <c r="BP181" s="277"/>
      <c r="BQ181" s="156"/>
      <c r="BR181" s="274"/>
      <c r="BS181" s="270"/>
      <c r="BT181" s="270"/>
      <c r="BU181" s="274"/>
      <c r="BV181" s="274"/>
      <c r="BW181" s="278"/>
      <c r="BX181" s="278"/>
      <c r="BY181" s="278"/>
      <c r="BZ181" s="351"/>
    </row>
    <row r="182" spans="1:78" s="90" customFormat="1" ht="19.5" customHeight="1">
      <c r="A182" s="137"/>
      <c r="B182" s="197">
        <f t="shared" si="7"/>
        <v>172</v>
      </c>
      <c r="C182" s="30" t="s">
        <v>206</v>
      </c>
      <c r="D182" s="30" t="s">
        <v>225</v>
      </c>
      <c r="E182" s="234" t="s">
        <v>793</v>
      </c>
      <c r="F182" s="235" t="s">
        <v>1231</v>
      </c>
      <c r="G182" s="284" t="str">
        <f>IFERROR(VLOOKUP(E182,Assign!$C$2:$J$142,8,FALSE),)</f>
        <v>문선영</v>
      </c>
      <c r="H182" s="361" t="s">
        <v>4075</v>
      </c>
      <c r="I182" s="363">
        <v>1</v>
      </c>
      <c r="J182" s="364" t="s">
        <v>208</v>
      </c>
      <c r="K182" s="364" t="s">
        <v>297</v>
      </c>
      <c r="L182" s="365" t="s">
        <v>1650</v>
      </c>
      <c r="M182" s="362" t="s">
        <v>1651</v>
      </c>
      <c r="N182" s="421" t="s">
        <v>207</v>
      </c>
      <c r="O182" s="269">
        <v>55.316699999999997</v>
      </c>
      <c r="P182" s="269">
        <v>84.918400000000005</v>
      </c>
      <c r="Q182" s="426"/>
      <c r="R182" s="418" t="s">
        <v>793</v>
      </c>
      <c r="S182" s="427" t="s">
        <v>613</v>
      </c>
      <c r="T182" s="357">
        <v>1</v>
      </c>
      <c r="U182" s="357" t="s">
        <v>204</v>
      </c>
      <c r="V182" s="367">
        <v>177600000</v>
      </c>
      <c r="W182" s="368">
        <v>177600000</v>
      </c>
      <c r="X182" s="357"/>
      <c r="Y182" s="357"/>
      <c r="Z182" s="400"/>
      <c r="AA182" s="369"/>
      <c r="AB182" s="370"/>
      <c r="AC182" s="404"/>
      <c r="AD182" s="270"/>
      <c r="AE182" s="156"/>
      <c r="AF182" s="156"/>
      <c r="AG182" s="357"/>
      <c r="AH182" s="357"/>
      <c r="AI182" s="357"/>
      <c r="AJ182" s="156"/>
      <c r="AK182" s="156"/>
      <c r="AL182" s="375"/>
      <c r="AM182" s="405"/>
      <c r="AN182" s="273"/>
      <c r="AO182" s="405"/>
      <c r="AP182" s="273"/>
      <c r="AQ182" s="273"/>
      <c r="AR182" s="273"/>
      <c r="AS182" s="273"/>
      <c r="AT182" s="273"/>
      <c r="AU182" s="273"/>
      <c r="AV182" s="322">
        <f t="shared" si="8"/>
        <v>0</v>
      </c>
      <c r="AW182" s="402" t="s">
        <v>3387</v>
      </c>
      <c r="AX182" s="274">
        <v>45765</v>
      </c>
      <c r="AY182" s="270" t="s">
        <v>3388</v>
      </c>
      <c r="AZ182" s="156"/>
      <c r="BA182" s="156">
        <v>865000000</v>
      </c>
      <c r="BB182" s="156"/>
      <c r="BC182" s="156"/>
      <c r="BD182" s="353">
        <f t="shared" si="9"/>
        <v>865000000</v>
      </c>
      <c r="BE182" s="432" t="s">
        <v>335</v>
      </c>
      <c r="BF182" s="407" t="s">
        <v>424</v>
      </c>
      <c r="BG182" s="168" t="s">
        <v>3264</v>
      </c>
      <c r="BH182" s="274">
        <v>45636</v>
      </c>
      <c r="BI182" s="168" t="s">
        <v>3265</v>
      </c>
      <c r="BJ182" s="274">
        <v>45712</v>
      </c>
      <c r="BK182" s="168">
        <v>749700865</v>
      </c>
      <c r="BL182" s="275"/>
      <c r="BM182" s="276"/>
      <c r="BN182" s="275"/>
      <c r="BO182" s="276"/>
      <c r="BP182" s="277"/>
      <c r="BQ182" s="156"/>
      <c r="BR182" s="274"/>
      <c r="BS182" s="270"/>
      <c r="BT182" s="270"/>
      <c r="BU182" s="274"/>
      <c r="BV182" s="274"/>
      <c r="BW182" s="278"/>
      <c r="BX182" s="278"/>
      <c r="BY182" s="278"/>
      <c r="BZ182" s="351"/>
    </row>
    <row r="183" spans="1:78" s="90" customFormat="1" ht="19.5" hidden="1" customHeight="1">
      <c r="A183" s="137"/>
      <c r="B183" s="197">
        <f t="shared" si="7"/>
        <v>173</v>
      </c>
      <c r="C183" s="30" t="s">
        <v>206</v>
      </c>
      <c r="D183" s="30" t="s">
        <v>225</v>
      </c>
      <c r="E183" s="234" t="s">
        <v>794</v>
      </c>
      <c r="F183" s="235" t="s">
        <v>1223</v>
      </c>
      <c r="G183" s="284">
        <f>IFERROR(VLOOKUP(E183,Assign!$C$2:$J$142,8,FALSE),)</f>
        <v>0</v>
      </c>
      <c r="H183" s="361" t="s">
        <v>4501</v>
      </c>
      <c r="I183" s="363">
        <v>1</v>
      </c>
      <c r="J183" s="364" t="s">
        <v>208</v>
      </c>
      <c r="K183" s="364" t="s">
        <v>228</v>
      </c>
      <c r="L183" s="365" t="s">
        <v>374</v>
      </c>
      <c r="M183" s="362" t="s">
        <v>2045</v>
      </c>
      <c r="N183" s="421" t="s">
        <v>207</v>
      </c>
      <c r="O183" s="269">
        <v>74.168899999999994</v>
      </c>
      <c r="P183" s="269">
        <v>83.557299999999998</v>
      </c>
      <c r="Q183" s="426"/>
      <c r="R183" s="418" t="s">
        <v>794</v>
      </c>
      <c r="S183" s="427" t="s">
        <v>613</v>
      </c>
      <c r="T183" s="357">
        <v>1</v>
      </c>
      <c r="U183" s="357" t="s">
        <v>204</v>
      </c>
      <c r="V183" s="367">
        <v>223200000</v>
      </c>
      <c r="W183" s="368">
        <v>223200000</v>
      </c>
      <c r="X183" s="357"/>
      <c r="Y183" s="357"/>
      <c r="Z183" s="400"/>
      <c r="AA183" s="369"/>
      <c r="AB183" s="370"/>
      <c r="AC183" s="404"/>
      <c r="AD183" s="270"/>
      <c r="AE183" s="156"/>
      <c r="AF183" s="156"/>
      <c r="AG183" s="357"/>
      <c r="AH183" s="357"/>
      <c r="AI183" s="357"/>
      <c r="AJ183" s="156"/>
      <c r="AK183" s="156"/>
      <c r="AL183" s="375"/>
      <c r="AM183" s="405"/>
      <c r="AN183" s="273"/>
      <c r="AO183" s="405"/>
      <c r="AP183" s="273"/>
      <c r="AQ183" s="273"/>
      <c r="AR183" s="273"/>
      <c r="AS183" s="273"/>
      <c r="AT183" s="273"/>
      <c r="AU183" s="273"/>
      <c r="AV183" s="322">
        <f t="shared" si="8"/>
        <v>0</v>
      </c>
      <c r="AW183" s="402" t="s">
        <v>3387</v>
      </c>
      <c r="AX183" s="376">
        <v>45765</v>
      </c>
      <c r="AY183" s="373" t="s">
        <v>3388</v>
      </c>
      <c r="AZ183" s="375"/>
      <c r="BA183" s="375">
        <v>545000000</v>
      </c>
      <c r="BB183" s="375"/>
      <c r="BC183" s="375"/>
      <c r="BD183" s="353">
        <f t="shared" si="9"/>
        <v>545000000</v>
      </c>
      <c r="BE183" s="432" t="s">
        <v>355</v>
      </c>
      <c r="BF183" s="407" t="s">
        <v>424</v>
      </c>
      <c r="BG183" s="168"/>
      <c r="BH183" s="274"/>
      <c r="BI183" s="168"/>
      <c r="BJ183" s="274"/>
      <c r="BK183" s="168"/>
      <c r="BL183" s="275"/>
      <c r="BM183" s="276"/>
      <c r="BN183" s="275"/>
      <c r="BO183" s="276"/>
      <c r="BP183" s="277"/>
      <c r="BQ183" s="156"/>
      <c r="BR183" s="274"/>
      <c r="BS183" s="270"/>
      <c r="BT183" s="270"/>
      <c r="BU183" s="274"/>
      <c r="BV183" s="274"/>
      <c r="BW183" s="278"/>
      <c r="BX183" s="278"/>
      <c r="BY183" s="278"/>
      <c r="BZ183" s="351"/>
    </row>
    <row r="184" spans="1:78" s="90" customFormat="1" ht="19.5" hidden="1" customHeight="1">
      <c r="A184" s="137"/>
      <c r="B184" s="197">
        <f t="shared" si="7"/>
        <v>174</v>
      </c>
      <c r="C184" s="30" t="s">
        <v>206</v>
      </c>
      <c r="D184" s="30" t="s">
        <v>225</v>
      </c>
      <c r="E184" s="234" t="s">
        <v>795</v>
      </c>
      <c r="F184" s="235" t="s">
        <v>1252</v>
      </c>
      <c r="G184" s="284" t="str">
        <f>IFERROR(VLOOKUP(E184,Assign!$C$2:$J$142,8,FALSE),)</f>
        <v>문선영</v>
      </c>
      <c r="H184" s="361" t="s">
        <v>4579</v>
      </c>
      <c r="I184" s="363">
        <v>1</v>
      </c>
      <c r="J184" s="364" t="s">
        <v>224</v>
      </c>
      <c r="K184" s="364" t="s">
        <v>428</v>
      </c>
      <c r="L184" s="365" t="s">
        <v>2116</v>
      </c>
      <c r="M184" s="362" t="s">
        <v>3707</v>
      </c>
      <c r="N184" s="421" t="s">
        <v>605</v>
      </c>
      <c r="O184" s="269">
        <v>120.3</v>
      </c>
      <c r="P184" s="269"/>
      <c r="Q184" s="426"/>
      <c r="R184" s="418" t="s">
        <v>795</v>
      </c>
      <c r="S184" s="427" t="s">
        <v>613</v>
      </c>
      <c r="T184" s="357">
        <v>1</v>
      </c>
      <c r="U184" s="357" t="s">
        <v>204</v>
      </c>
      <c r="V184" s="367">
        <v>156000000</v>
      </c>
      <c r="W184" s="368">
        <v>156000000</v>
      </c>
      <c r="X184" s="357"/>
      <c r="Y184" s="357"/>
      <c r="Z184" s="400"/>
      <c r="AA184" s="369"/>
      <c r="AB184" s="370"/>
      <c r="AC184" s="404"/>
      <c r="AD184" s="270"/>
      <c r="AE184" s="156"/>
      <c r="AF184" s="156"/>
      <c r="AG184" s="357"/>
      <c r="AH184" s="357"/>
      <c r="AI184" s="357"/>
      <c r="AJ184" s="156"/>
      <c r="AK184" s="156"/>
      <c r="AL184" s="375"/>
      <c r="AM184" s="405"/>
      <c r="AN184" s="273"/>
      <c r="AO184" s="405"/>
      <c r="AP184" s="273"/>
      <c r="AQ184" s="273"/>
      <c r="AR184" s="273"/>
      <c r="AS184" s="273"/>
      <c r="AT184" s="273"/>
      <c r="AU184" s="273"/>
      <c r="AV184" s="322">
        <f t="shared" si="8"/>
        <v>0</v>
      </c>
      <c r="AW184" s="402"/>
      <c r="AX184" s="376"/>
      <c r="AY184" s="373"/>
      <c r="AZ184" s="375"/>
      <c r="BA184" s="375"/>
      <c r="BB184" s="375"/>
      <c r="BC184" s="375"/>
      <c r="BD184" s="353">
        <f t="shared" si="9"/>
        <v>0</v>
      </c>
      <c r="BE184" s="432" t="s">
        <v>355</v>
      </c>
      <c r="BF184" s="407" t="s">
        <v>512</v>
      </c>
      <c r="BG184" s="168"/>
      <c r="BH184" s="274"/>
      <c r="BI184" s="168"/>
      <c r="BJ184" s="274"/>
      <c r="BK184" s="168"/>
      <c r="BL184" s="275"/>
      <c r="BM184" s="276"/>
      <c r="BN184" s="275"/>
      <c r="BO184" s="276"/>
      <c r="BP184" s="277"/>
      <c r="BQ184" s="156"/>
      <c r="BR184" s="274"/>
      <c r="BS184" s="270"/>
      <c r="BT184" s="270"/>
      <c r="BU184" s="274"/>
      <c r="BV184" s="274"/>
      <c r="BW184" s="278"/>
      <c r="BX184" s="278"/>
      <c r="BY184" s="278"/>
      <c r="BZ184" s="351"/>
    </row>
    <row r="185" spans="1:78" s="90" customFormat="1" ht="19.5" hidden="1" customHeight="1">
      <c r="A185" s="137"/>
      <c r="B185" s="197">
        <f t="shared" si="7"/>
        <v>175</v>
      </c>
      <c r="C185" s="30" t="s">
        <v>206</v>
      </c>
      <c r="D185" s="30" t="s">
        <v>225</v>
      </c>
      <c r="E185" s="234" t="s">
        <v>796</v>
      </c>
      <c r="F185" s="235" t="s">
        <v>1231</v>
      </c>
      <c r="G185" s="284">
        <f>IFERROR(VLOOKUP(E185,Assign!$C$2:$J$142,8,FALSE),)</f>
        <v>0</v>
      </c>
      <c r="H185" s="361" t="s">
        <v>4127</v>
      </c>
      <c r="I185" s="363">
        <v>1</v>
      </c>
      <c r="J185" s="364" t="s">
        <v>208</v>
      </c>
      <c r="K185" s="364" t="s">
        <v>1703</v>
      </c>
      <c r="L185" s="365" t="s">
        <v>1704</v>
      </c>
      <c r="M185" s="362" t="s">
        <v>3102</v>
      </c>
      <c r="N185" s="421" t="s">
        <v>396</v>
      </c>
      <c r="O185" s="269">
        <v>736</v>
      </c>
      <c r="P185" s="269">
        <v>157.81</v>
      </c>
      <c r="Q185" s="426"/>
      <c r="R185" s="418" t="s">
        <v>796</v>
      </c>
      <c r="S185" s="427" t="s">
        <v>613</v>
      </c>
      <c r="T185" s="357">
        <v>1</v>
      </c>
      <c r="U185" s="357" t="s">
        <v>204</v>
      </c>
      <c r="V185" s="367">
        <v>177600000</v>
      </c>
      <c r="W185" s="368">
        <v>177600000</v>
      </c>
      <c r="X185" s="357"/>
      <c r="Y185" s="357"/>
      <c r="Z185" s="400"/>
      <c r="AA185" s="369"/>
      <c r="AB185" s="370"/>
      <c r="AC185" s="404"/>
      <c r="AD185" s="270"/>
      <c r="AE185" s="156"/>
      <c r="AF185" s="156"/>
      <c r="AG185" s="357"/>
      <c r="AH185" s="357"/>
      <c r="AI185" s="357"/>
      <c r="AJ185" s="156"/>
      <c r="AK185" s="156"/>
      <c r="AL185" s="375"/>
      <c r="AM185" s="405"/>
      <c r="AN185" s="273"/>
      <c r="AO185" s="405"/>
      <c r="AP185" s="273"/>
      <c r="AQ185" s="273"/>
      <c r="AR185" s="273"/>
      <c r="AS185" s="273"/>
      <c r="AT185" s="273"/>
      <c r="AU185" s="273"/>
      <c r="AV185" s="322">
        <f t="shared" si="8"/>
        <v>0</v>
      </c>
      <c r="AW185" s="402"/>
      <c r="AX185" s="376"/>
      <c r="AY185" s="373"/>
      <c r="AZ185" s="375"/>
      <c r="BA185" s="375"/>
      <c r="BB185" s="375"/>
      <c r="BC185" s="375"/>
      <c r="BD185" s="353">
        <f t="shared" si="9"/>
        <v>0</v>
      </c>
      <c r="BE185" s="432" t="s">
        <v>355</v>
      </c>
      <c r="BF185" s="407" t="s">
        <v>504</v>
      </c>
      <c r="BG185" s="168"/>
      <c r="BH185" s="274"/>
      <c r="BI185" s="168"/>
      <c r="BJ185" s="274"/>
      <c r="BK185" s="168"/>
      <c r="BL185" s="275"/>
      <c r="BM185" s="276"/>
      <c r="BN185" s="275"/>
      <c r="BO185" s="276"/>
      <c r="BP185" s="277"/>
      <c r="BQ185" s="156"/>
      <c r="BR185" s="274"/>
      <c r="BS185" s="270"/>
      <c r="BT185" s="270"/>
      <c r="BU185" s="274"/>
      <c r="BV185" s="274"/>
      <c r="BW185" s="278"/>
      <c r="BX185" s="278"/>
      <c r="BY185" s="278"/>
      <c r="BZ185" s="351"/>
    </row>
    <row r="186" spans="1:78" s="90" customFormat="1" ht="19.5" hidden="1" customHeight="1">
      <c r="A186" s="137"/>
      <c r="B186" s="197">
        <f t="shared" si="7"/>
        <v>176</v>
      </c>
      <c r="C186" s="30" t="s">
        <v>206</v>
      </c>
      <c r="D186" s="30" t="s">
        <v>225</v>
      </c>
      <c r="E186" s="234" t="s">
        <v>797</v>
      </c>
      <c r="F186" s="235" t="s">
        <v>1253</v>
      </c>
      <c r="G186" s="284">
        <f>IFERROR(VLOOKUP(E186,Assign!$C$2:$J$142,8,FALSE),)</f>
        <v>0</v>
      </c>
      <c r="H186" s="361" t="s">
        <v>4058</v>
      </c>
      <c r="I186" s="363">
        <v>1</v>
      </c>
      <c r="J186" s="364" t="s">
        <v>208</v>
      </c>
      <c r="K186" s="364" t="s">
        <v>254</v>
      </c>
      <c r="L186" s="365" t="s">
        <v>1632</v>
      </c>
      <c r="M186" s="362" t="s">
        <v>1633</v>
      </c>
      <c r="N186" s="421" t="s">
        <v>606</v>
      </c>
      <c r="O186" s="269">
        <v>13.7219</v>
      </c>
      <c r="P186" s="269">
        <v>47.89</v>
      </c>
      <c r="Q186" s="426"/>
      <c r="R186" s="418" t="s">
        <v>797</v>
      </c>
      <c r="S186" s="427" t="s">
        <v>613</v>
      </c>
      <c r="T186" s="357">
        <v>1</v>
      </c>
      <c r="U186" s="357" t="s">
        <v>204</v>
      </c>
      <c r="V186" s="367">
        <v>143000000</v>
      </c>
      <c r="W186" s="368">
        <v>143000000</v>
      </c>
      <c r="X186" s="357"/>
      <c r="Y186" s="357"/>
      <c r="Z186" s="400"/>
      <c r="AA186" s="369"/>
      <c r="AB186" s="370"/>
      <c r="AC186" s="404"/>
      <c r="AD186" s="270"/>
      <c r="AE186" s="156"/>
      <c r="AF186" s="156"/>
      <c r="AG186" s="357"/>
      <c r="AH186" s="357"/>
      <c r="AI186" s="357"/>
      <c r="AJ186" s="156"/>
      <c r="AK186" s="156"/>
      <c r="AL186" s="375"/>
      <c r="AM186" s="405"/>
      <c r="AN186" s="273"/>
      <c r="AO186" s="405"/>
      <c r="AP186" s="273"/>
      <c r="AQ186" s="273"/>
      <c r="AR186" s="273"/>
      <c r="AS186" s="273"/>
      <c r="AT186" s="273"/>
      <c r="AU186" s="273"/>
      <c r="AV186" s="322">
        <f t="shared" si="8"/>
        <v>0</v>
      </c>
      <c r="AW186" s="402"/>
      <c r="AX186" s="376"/>
      <c r="AY186" s="373"/>
      <c r="AZ186" s="375"/>
      <c r="BA186" s="375"/>
      <c r="BB186" s="375"/>
      <c r="BC186" s="375"/>
      <c r="BD186" s="353">
        <f t="shared" si="9"/>
        <v>0</v>
      </c>
      <c r="BE186" s="432" t="s">
        <v>355</v>
      </c>
      <c r="BF186" s="407" t="s">
        <v>424</v>
      </c>
      <c r="BG186" s="168"/>
      <c r="BH186" s="274"/>
      <c r="BI186" s="168"/>
      <c r="BJ186" s="274"/>
      <c r="BK186" s="168"/>
      <c r="BL186" s="275"/>
      <c r="BM186" s="276"/>
      <c r="BN186" s="275"/>
      <c r="BO186" s="276"/>
      <c r="BP186" s="277"/>
      <c r="BQ186" s="156"/>
      <c r="BR186" s="274"/>
      <c r="BS186" s="270"/>
      <c r="BT186" s="270"/>
      <c r="BU186" s="274"/>
      <c r="BV186" s="274"/>
      <c r="BW186" s="278"/>
      <c r="BX186" s="278"/>
      <c r="BY186" s="278"/>
      <c r="BZ186" s="351"/>
    </row>
    <row r="187" spans="1:78" s="90" customFormat="1" ht="19.5" hidden="1" customHeight="1">
      <c r="A187" s="137"/>
      <c r="B187" s="197">
        <f t="shared" si="7"/>
        <v>177</v>
      </c>
      <c r="C187" s="30" t="s">
        <v>206</v>
      </c>
      <c r="D187" s="30" t="s">
        <v>225</v>
      </c>
      <c r="E187" s="234" t="s">
        <v>798</v>
      </c>
      <c r="F187" s="235" t="s">
        <v>1231</v>
      </c>
      <c r="G187" s="284" t="str">
        <f>IFERROR(VLOOKUP(E187,Assign!$C$2:$J$142,8,FALSE),)</f>
        <v>문선영</v>
      </c>
      <c r="H187" s="361" t="s">
        <v>4209</v>
      </c>
      <c r="I187" s="363">
        <v>1</v>
      </c>
      <c r="J187" s="364" t="s">
        <v>214</v>
      </c>
      <c r="K187" s="364" t="s">
        <v>338</v>
      </c>
      <c r="L187" s="365" t="s">
        <v>1787</v>
      </c>
      <c r="M187" s="362" t="s">
        <v>1788</v>
      </c>
      <c r="N187" s="421" t="s">
        <v>207</v>
      </c>
      <c r="O187" s="269">
        <v>55.335999999999999</v>
      </c>
      <c r="P187" s="269">
        <v>84.898300000000006</v>
      </c>
      <c r="Q187" s="426"/>
      <c r="R187" s="418" t="s">
        <v>798</v>
      </c>
      <c r="S187" s="427" t="s">
        <v>613</v>
      </c>
      <c r="T187" s="357">
        <v>1</v>
      </c>
      <c r="U187" s="357" t="s">
        <v>204</v>
      </c>
      <c r="V187" s="367">
        <v>142670000</v>
      </c>
      <c r="W187" s="368">
        <v>142670000</v>
      </c>
      <c r="X187" s="357"/>
      <c r="Y187" s="357"/>
      <c r="Z187" s="400"/>
      <c r="AA187" s="369"/>
      <c r="AB187" s="370"/>
      <c r="AC187" s="404"/>
      <c r="AD187" s="270"/>
      <c r="AE187" s="156"/>
      <c r="AF187" s="156"/>
      <c r="AG187" s="357"/>
      <c r="AH187" s="357"/>
      <c r="AI187" s="357"/>
      <c r="AJ187" s="156"/>
      <c r="AK187" s="156"/>
      <c r="AL187" s="375"/>
      <c r="AM187" s="405"/>
      <c r="AN187" s="273"/>
      <c r="AO187" s="405"/>
      <c r="AP187" s="273"/>
      <c r="AQ187" s="273"/>
      <c r="AR187" s="273"/>
      <c r="AS187" s="273"/>
      <c r="AT187" s="273"/>
      <c r="AU187" s="273"/>
      <c r="AV187" s="322">
        <f t="shared" si="8"/>
        <v>0</v>
      </c>
      <c r="AW187" s="402" t="s">
        <v>3387</v>
      </c>
      <c r="AX187" s="376">
        <v>45765</v>
      </c>
      <c r="AY187" s="373" t="s">
        <v>3388</v>
      </c>
      <c r="AZ187" s="375"/>
      <c r="BA187" s="375">
        <v>220000000</v>
      </c>
      <c r="BB187" s="375"/>
      <c r="BC187" s="375"/>
      <c r="BD187" s="353">
        <f t="shared" si="9"/>
        <v>220000000</v>
      </c>
      <c r="BE187" s="432" t="s">
        <v>355</v>
      </c>
      <c r="BF187" s="407" t="s">
        <v>500</v>
      </c>
      <c r="BG187" s="168"/>
      <c r="BH187" s="274"/>
      <c r="BI187" s="168"/>
      <c r="BJ187" s="274"/>
      <c r="BK187" s="168"/>
      <c r="BL187" s="275"/>
      <c r="BM187" s="276"/>
      <c r="BN187" s="275"/>
      <c r="BO187" s="276"/>
      <c r="BP187" s="277"/>
      <c r="BQ187" s="156"/>
      <c r="BR187" s="274"/>
      <c r="BS187" s="270"/>
      <c r="BT187" s="270"/>
      <c r="BU187" s="274"/>
      <c r="BV187" s="274"/>
      <c r="BW187" s="278"/>
      <c r="BX187" s="278"/>
      <c r="BY187" s="278"/>
      <c r="BZ187" s="351"/>
    </row>
    <row r="188" spans="1:78" s="90" customFormat="1" ht="19.5" hidden="1" customHeight="1">
      <c r="A188" s="137"/>
      <c r="B188" s="197">
        <f t="shared" si="7"/>
        <v>178</v>
      </c>
      <c r="C188" s="30" t="s">
        <v>206</v>
      </c>
      <c r="D188" s="30" t="s">
        <v>225</v>
      </c>
      <c r="E188" s="234" t="s">
        <v>799</v>
      </c>
      <c r="F188" s="235" t="s">
        <v>1229</v>
      </c>
      <c r="G188" s="284">
        <f>IFERROR(VLOOKUP(E188,Assign!$C$2:$J$142,8,FALSE),)</f>
        <v>0</v>
      </c>
      <c r="H188" s="361" t="s">
        <v>4959</v>
      </c>
      <c r="I188" s="363">
        <v>1</v>
      </c>
      <c r="J188" s="364" t="s">
        <v>212</v>
      </c>
      <c r="K188" s="364" t="s">
        <v>232</v>
      </c>
      <c r="L188" s="365" t="s">
        <v>2478</v>
      </c>
      <c r="M188" s="362" t="s">
        <v>2479</v>
      </c>
      <c r="N188" s="421" t="s">
        <v>207</v>
      </c>
      <c r="O188" s="269">
        <v>28.675000000000001</v>
      </c>
      <c r="P188" s="269">
        <v>84.06</v>
      </c>
      <c r="Q188" s="426"/>
      <c r="R188" s="418" t="s">
        <v>799</v>
      </c>
      <c r="S188" s="427" t="s">
        <v>613</v>
      </c>
      <c r="T188" s="357">
        <v>1</v>
      </c>
      <c r="U188" s="357" t="s">
        <v>204</v>
      </c>
      <c r="V188" s="367">
        <v>171600000</v>
      </c>
      <c r="W188" s="368">
        <v>171600000</v>
      </c>
      <c r="X188" s="357"/>
      <c r="Y188" s="357"/>
      <c r="Z188" s="400"/>
      <c r="AA188" s="369"/>
      <c r="AB188" s="370"/>
      <c r="AC188" s="404"/>
      <c r="AD188" s="270"/>
      <c r="AE188" s="156"/>
      <c r="AF188" s="156"/>
      <c r="AG188" s="357"/>
      <c r="AH188" s="357"/>
      <c r="AI188" s="357"/>
      <c r="AJ188" s="156"/>
      <c r="AK188" s="156"/>
      <c r="AL188" s="375"/>
      <c r="AM188" s="405"/>
      <c r="AN188" s="273"/>
      <c r="AO188" s="405"/>
      <c r="AP188" s="273"/>
      <c r="AQ188" s="273"/>
      <c r="AR188" s="273"/>
      <c r="AS188" s="273"/>
      <c r="AT188" s="273"/>
      <c r="AU188" s="273"/>
      <c r="AV188" s="322">
        <f t="shared" si="8"/>
        <v>0</v>
      </c>
      <c r="AW188" s="402" t="s">
        <v>3387</v>
      </c>
      <c r="AX188" s="376">
        <v>45765</v>
      </c>
      <c r="AY188" s="373" t="s">
        <v>3388</v>
      </c>
      <c r="AZ188" s="375"/>
      <c r="BA188" s="375">
        <v>275000000</v>
      </c>
      <c r="BB188" s="375"/>
      <c r="BC188" s="375"/>
      <c r="BD188" s="353">
        <f t="shared" si="9"/>
        <v>275000000</v>
      </c>
      <c r="BE188" s="432" t="s">
        <v>355</v>
      </c>
      <c r="BF188" s="407" t="s">
        <v>496</v>
      </c>
      <c r="BG188" s="168"/>
      <c r="BH188" s="274"/>
      <c r="BI188" s="168"/>
      <c r="BJ188" s="274"/>
      <c r="BK188" s="168"/>
      <c r="BL188" s="275"/>
      <c r="BM188" s="276"/>
      <c r="BN188" s="275"/>
      <c r="BO188" s="276"/>
      <c r="BP188" s="277"/>
      <c r="BQ188" s="156"/>
      <c r="BR188" s="274"/>
      <c r="BS188" s="270"/>
      <c r="BT188" s="270"/>
      <c r="BU188" s="274"/>
      <c r="BV188" s="274"/>
      <c r="BW188" s="278"/>
      <c r="BX188" s="278"/>
      <c r="BY188" s="278"/>
      <c r="BZ188" s="351"/>
    </row>
    <row r="189" spans="1:78" s="90" customFormat="1" ht="19.5" hidden="1" customHeight="1">
      <c r="A189" s="137"/>
      <c r="B189" s="197">
        <f t="shared" si="7"/>
        <v>179</v>
      </c>
      <c r="C189" s="30" t="s">
        <v>206</v>
      </c>
      <c r="D189" s="30" t="s">
        <v>225</v>
      </c>
      <c r="E189" s="234" t="s">
        <v>800</v>
      </c>
      <c r="F189" s="235" t="s">
        <v>1226</v>
      </c>
      <c r="G189" s="284">
        <f>IFERROR(VLOOKUP(E189,Assign!$C$2:$J$142,8,FALSE),)</f>
        <v>0</v>
      </c>
      <c r="H189" s="361" t="s">
        <v>4374</v>
      </c>
      <c r="I189" s="363">
        <v>1</v>
      </c>
      <c r="J189" s="364" t="s">
        <v>209</v>
      </c>
      <c r="K189" s="364" t="s">
        <v>319</v>
      </c>
      <c r="L189" s="365" t="s">
        <v>1928</v>
      </c>
      <c r="M189" s="362" t="s">
        <v>1929</v>
      </c>
      <c r="N189" s="421" t="s">
        <v>3076</v>
      </c>
      <c r="O189" s="269">
        <v>34.119999999999997</v>
      </c>
      <c r="P189" s="269">
        <v>59.24</v>
      </c>
      <c r="Q189" s="426"/>
      <c r="R189" s="418" t="s">
        <v>800</v>
      </c>
      <c r="S189" s="427" t="s">
        <v>613</v>
      </c>
      <c r="T189" s="357">
        <v>1</v>
      </c>
      <c r="U189" s="357" t="s">
        <v>204</v>
      </c>
      <c r="V189" s="367">
        <v>145200000</v>
      </c>
      <c r="W189" s="368">
        <v>145200000</v>
      </c>
      <c r="X189" s="357"/>
      <c r="Y189" s="357"/>
      <c r="Z189" s="400"/>
      <c r="AA189" s="369"/>
      <c r="AB189" s="370"/>
      <c r="AC189" s="404"/>
      <c r="AD189" s="270"/>
      <c r="AE189" s="156"/>
      <c r="AF189" s="156"/>
      <c r="AG189" s="357"/>
      <c r="AH189" s="357"/>
      <c r="AI189" s="357"/>
      <c r="AJ189" s="156"/>
      <c r="AK189" s="156"/>
      <c r="AL189" s="375"/>
      <c r="AM189" s="405"/>
      <c r="AN189" s="273"/>
      <c r="AO189" s="405"/>
      <c r="AP189" s="273"/>
      <c r="AQ189" s="273"/>
      <c r="AR189" s="273"/>
      <c r="AS189" s="273"/>
      <c r="AT189" s="273"/>
      <c r="AU189" s="273"/>
      <c r="AV189" s="322">
        <f t="shared" si="8"/>
        <v>0</v>
      </c>
      <c r="AW189" s="402"/>
      <c r="AX189" s="376"/>
      <c r="AY189" s="373"/>
      <c r="AZ189" s="375"/>
      <c r="BA189" s="375"/>
      <c r="BB189" s="375"/>
      <c r="BC189" s="375"/>
      <c r="BD189" s="353">
        <f t="shared" si="9"/>
        <v>0</v>
      </c>
      <c r="BE189" s="432" t="s">
        <v>335</v>
      </c>
      <c r="BF189" s="407" t="s">
        <v>495</v>
      </c>
      <c r="BG189" s="168" t="s">
        <v>3295</v>
      </c>
      <c r="BH189" s="274">
        <v>45247</v>
      </c>
      <c r="BI189" s="168" t="s">
        <v>3296</v>
      </c>
      <c r="BJ189" s="274">
        <v>45341</v>
      </c>
      <c r="BK189" s="168">
        <v>67745768</v>
      </c>
      <c r="BL189" s="275"/>
      <c r="BM189" s="276"/>
      <c r="BN189" s="275"/>
      <c r="BO189" s="276"/>
      <c r="BP189" s="277"/>
      <c r="BQ189" s="156"/>
      <c r="BR189" s="274"/>
      <c r="BS189" s="270"/>
      <c r="BT189" s="270"/>
      <c r="BU189" s="274"/>
      <c r="BV189" s="274"/>
      <c r="BW189" s="278"/>
      <c r="BX189" s="278"/>
      <c r="BY189" s="278"/>
      <c r="BZ189" s="351" t="s">
        <v>3415</v>
      </c>
    </row>
    <row r="190" spans="1:78" s="90" customFormat="1" ht="19.5" hidden="1" customHeight="1">
      <c r="A190" s="137"/>
      <c r="B190" s="197">
        <f t="shared" si="7"/>
        <v>180</v>
      </c>
      <c r="C190" s="30" t="s">
        <v>206</v>
      </c>
      <c r="D190" s="30" t="s">
        <v>225</v>
      </c>
      <c r="E190" s="234" t="s">
        <v>801</v>
      </c>
      <c r="F190" s="235" t="s">
        <v>1254</v>
      </c>
      <c r="G190" s="284">
        <f>IFERROR(VLOOKUP(E190,Assign!$C$2:$J$142,8,FALSE),)</f>
        <v>0</v>
      </c>
      <c r="H190" s="361" t="s">
        <v>4886</v>
      </c>
      <c r="I190" s="363">
        <v>1</v>
      </c>
      <c r="J190" s="364" t="s">
        <v>208</v>
      </c>
      <c r="K190" s="364" t="s">
        <v>269</v>
      </c>
      <c r="L190" s="365" t="s">
        <v>2407</v>
      </c>
      <c r="M190" s="362" t="s">
        <v>2408</v>
      </c>
      <c r="N190" s="421" t="s">
        <v>3076</v>
      </c>
      <c r="O190" s="269">
        <v>35.579300000000003</v>
      </c>
      <c r="P190" s="269">
        <v>46.31</v>
      </c>
      <c r="Q190" s="426"/>
      <c r="R190" s="418" t="s">
        <v>3471</v>
      </c>
      <c r="S190" s="427" t="s">
        <v>613</v>
      </c>
      <c r="T190" s="357">
        <v>1</v>
      </c>
      <c r="U190" s="357" t="s">
        <v>204</v>
      </c>
      <c r="V190" s="367">
        <v>168000000</v>
      </c>
      <c r="W190" s="368">
        <v>168000000</v>
      </c>
      <c r="X190" s="357"/>
      <c r="Y190" s="357"/>
      <c r="Z190" s="400"/>
      <c r="AA190" s="369"/>
      <c r="AB190" s="370"/>
      <c r="AC190" s="404"/>
      <c r="AD190" s="270"/>
      <c r="AE190" s="156"/>
      <c r="AF190" s="156"/>
      <c r="AG190" s="357"/>
      <c r="AH190" s="357"/>
      <c r="AI190" s="357"/>
      <c r="AJ190" s="156"/>
      <c r="AK190" s="156"/>
      <c r="AL190" s="375"/>
      <c r="AM190" s="405"/>
      <c r="AN190" s="273"/>
      <c r="AO190" s="405"/>
      <c r="AP190" s="273"/>
      <c r="AQ190" s="273"/>
      <c r="AR190" s="273"/>
      <c r="AS190" s="273"/>
      <c r="AT190" s="273"/>
      <c r="AU190" s="273"/>
      <c r="AV190" s="322">
        <f t="shared" si="8"/>
        <v>0</v>
      </c>
      <c r="AW190" s="402"/>
      <c r="AX190" s="376"/>
      <c r="AY190" s="373"/>
      <c r="AZ190" s="375"/>
      <c r="BA190" s="375"/>
      <c r="BB190" s="375"/>
      <c r="BC190" s="375"/>
      <c r="BD190" s="353">
        <f t="shared" si="9"/>
        <v>0</v>
      </c>
      <c r="BE190" s="432" t="s">
        <v>355</v>
      </c>
      <c r="BF190" s="407" t="s">
        <v>498</v>
      </c>
      <c r="BG190" s="168"/>
      <c r="BH190" s="274"/>
      <c r="BI190" s="168"/>
      <c r="BJ190" s="274"/>
      <c r="BK190" s="168"/>
      <c r="BL190" s="275"/>
      <c r="BM190" s="276"/>
      <c r="BN190" s="275"/>
      <c r="BO190" s="276"/>
      <c r="BP190" s="277"/>
      <c r="BQ190" s="156"/>
      <c r="BR190" s="274"/>
      <c r="BS190" s="270"/>
      <c r="BT190" s="270"/>
      <c r="BU190" s="274"/>
      <c r="BV190" s="274"/>
      <c r="BW190" s="278"/>
      <c r="BX190" s="278"/>
      <c r="BY190" s="278"/>
      <c r="BZ190" s="351"/>
    </row>
    <row r="191" spans="1:78" s="90" customFormat="1" ht="19.5" hidden="1" customHeight="1">
      <c r="A191" s="137"/>
      <c r="B191" s="197">
        <f t="shared" si="7"/>
        <v>181</v>
      </c>
      <c r="C191" s="30" t="s">
        <v>206</v>
      </c>
      <c r="D191" s="30" t="s">
        <v>225</v>
      </c>
      <c r="E191" s="234" t="s">
        <v>802</v>
      </c>
      <c r="F191" s="235" t="s">
        <v>1217</v>
      </c>
      <c r="G191" s="284">
        <f>IFERROR(VLOOKUP(E191,Assign!$C$2:$J$142,8,FALSE),)</f>
        <v>0</v>
      </c>
      <c r="H191" s="361" t="s">
        <v>4328</v>
      </c>
      <c r="I191" s="363">
        <v>1</v>
      </c>
      <c r="J191" s="364" t="s">
        <v>208</v>
      </c>
      <c r="K191" s="364" t="s">
        <v>261</v>
      </c>
      <c r="L191" s="365" t="s">
        <v>392</v>
      </c>
      <c r="M191" s="362" t="s">
        <v>1890</v>
      </c>
      <c r="N191" s="421" t="s">
        <v>207</v>
      </c>
      <c r="O191" s="269">
        <v>37.798499999999997</v>
      </c>
      <c r="P191" s="269">
        <v>66.845500000000001</v>
      </c>
      <c r="Q191" s="426"/>
      <c r="R191" s="418" t="s">
        <v>802</v>
      </c>
      <c r="S191" s="427" t="s">
        <v>613</v>
      </c>
      <c r="T191" s="357">
        <v>1</v>
      </c>
      <c r="U191" s="357" t="s">
        <v>204</v>
      </c>
      <c r="V191" s="367">
        <v>162000000</v>
      </c>
      <c r="W191" s="368">
        <v>162000000</v>
      </c>
      <c r="X191" s="357"/>
      <c r="Y191" s="357"/>
      <c r="Z191" s="400"/>
      <c r="AA191" s="369"/>
      <c r="AB191" s="370"/>
      <c r="AC191" s="404"/>
      <c r="AD191" s="270"/>
      <c r="AE191" s="156"/>
      <c r="AF191" s="156"/>
      <c r="AG191" s="357"/>
      <c r="AH191" s="357"/>
      <c r="AI191" s="357"/>
      <c r="AJ191" s="156"/>
      <c r="AK191" s="156"/>
      <c r="AL191" s="375"/>
      <c r="AM191" s="405"/>
      <c r="AN191" s="273"/>
      <c r="AO191" s="405"/>
      <c r="AP191" s="273"/>
      <c r="AQ191" s="273"/>
      <c r="AR191" s="273"/>
      <c r="AS191" s="273"/>
      <c r="AT191" s="273"/>
      <c r="AU191" s="273"/>
      <c r="AV191" s="322">
        <f t="shared" si="8"/>
        <v>0</v>
      </c>
      <c r="AW191" s="402"/>
      <c r="AX191" s="376"/>
      <c r="AY191" s="373"/>
      <c r="AZ191" s="375"/>
      <c r="BA191" s="375"/>
      <c r="BB191" s="375"/>
      <c r="BC191" s="375"/>
      <c r="BD191" s="353">
        <f t="shared" si="9"/>
        <v>0</v>
      </c>
      <c r="BE191" s="432" t="s">
        <v>355</v>
      </c>
      <c r="BF191" s="407" t="s">
        <v>499</v>
      </c>
      <c r="BG191" s="168"/>
      <c r="BH191" s="274"/>
      <c r="BI191" s="168"/>
      <c r="BJ191" s="274"/>
      <c r="BK191" s="168"/>
      <c r="BL191" s="275"/>
      <c r="BM191" s="276"/>
      <c r="BN191" s="275"/>
      <c r="BO191" s="276"/>
      <c r="BP191" s="277"/>
      <c r="BQ191" s="156"/>
      <c r="BR191" s="274"/>
      <c r="BS191" s="270"/>
      <c r="BT191" s="270"/>
      <c r="BU191" s="274"/>
      <c r="BV191" s="274"/>
      <c r="BW191" s="278"/>
      <c r="BX191" s="278"/>
      <c r="BY191" s="278"/>
      <c r="BZ191" s="351"/>
    </row>
    <row r="192" spans="1:78" s="90" customFormat="1" ht="19.5" hidden="1" customHeight="1">
      <c r="A192" s="137"/>
      <c r="B192" s="197">
        <f t="shared" si="7"/>
        <v>182</v>
      </c>
      <c r="C192" s="30" t="s">
        <v>206</v>
      </c>
      <c r="D192" s="30" t="s">
        <v>225</v>
      </c>
      <c r="E192" s="234" t="s">
        <v>803</v>
      </c>
      <c r="F192" s="235" t="s">
        <v>1319</v>
      </c>
      <c r="G192" s="284">
        <f>IFERROR(VLOOKUP(E192,Assign!$C$2:$J$142,8,FALSE),)</f>
        <v>0</v>
      </c>
      <c r="H192" s="361" t="s">
        <v>5286</v>
      </c>
      <c r="I192" s="363">
        <v>1</v>
      </c>
      <c r="J192" s="364" t="s">
        <v>208</v>
      </c>
      <c r="K192" s="364" t="s">
        <v>280</v>
      </c>
      <c r="L192" s="365" t="s">
        <v>290</v>
      </c>
      <c r="M192" s="362" t="s">
        <v>2773</v>
      </c>
      <c r="N192" s="421" t="s">
        <v>207</v>
      </c>
      <c r="O192" s="269">
        <v>79.680000000000007</v>
      </c>
      <c r="P192" s="269">
        <v>122.61</v>
      </c>
      <c r="Q192" s="426"/>
      <c r="R192" s="418" t="s">
        <v>3457</v>
      </c>
      <c r="S192" s="427" t="s">
        <v>613</v>
      </c>
      <c r="T192" s="357">
        <v>2</v>
      </c>
      <c r="U192" s="357" t="s">
        <v>204</v>
      </c>
      <c r="V192" s="367">
        <v>180000000</v>
      </c>
      <c r="W192" s="368">
        <v>180000000</v>
      </c>
      <c r="X192" s="357"/>
      <c r="Y192" s="357"/>
      <c r="Z192" s="400"/>
      <c r="AA192" s="369"/>
      <c r="AB192" s="370"/>
      <c r="AC192" s="404">
        <v>1</v>
      </c>
      <c r="AD192" s="270" t="s">
        <v>204</v>
      </c>
      <c r="AE192" s="156">
        <v>198000000</v>
      </c>
      <c r="AF192" s="156">
        <v>198000000</v>
      </c>
      <c r="AG192" s="357"/>
      <c r="AH192" s="357"/>
      <c r="AI192" s="357"/>
      <c r="AJ192" s="156"/>
      <c r="AK192" s="156"/>
      <c r="AL192" s="375"/>
      <c r="AM192" s="405"/>
      <c r="AN192" s="273"/>
      <c r="AO192" s="405"/>
      <c r="AP192" s="273"/>
      <c r="AQ192" s="273"/>
      <c r="AR192" s="273"/>
      <c r="AS192" s="273"/>
      <c r="AT192" s="273"/>
      <c r="AU192" s="273"/>
      <c r="AV192" s="322">
        <f t="shared" si="8"/>
        <v>0</v>
      </c>
      <c r="AW192" s="402" t="s">
        <v>3387</v>
      </c>
      <c r="AX192" s="376">
        <v>45765</v>
      </c>
      <c r="AY192" s="373" t="s">
        <v>3388</v>
      </c>
      <c r="AZ192" s="375"/>
      <c r="BA192" s="375">
        <v>565000000</v>
      </c>
      <c r="BB192" s="375"/>
      <c r="BC192" s="375"/>
      <c r="BD192" s="353">
        <f t="shared" si="9"/>
        <v>565000000</v>
      </c>
      <c r="BE192" s="432" t="s">
        <v>335</v>
      </c>
      <c r="BF192" s="407" t="s">
        <v>422</v>
      </c>
      <c r="BG192" s="168" t="s">
        <v>3338</v>
      </c>
      <c r="BH192" s="274">
        <v>45603</v>
      </c>
      <c r="BI192" s="168" t="s">
        <v>3339</v>
      </c>
      <c r="BJ192" s="274">
        <v>45691</v>
      </c>
      <c r="BK192" s="168">
        <v>306431360</v>
      </c>
      <c r="BL192" s="275"/>
      <c r="BM192" s="276"/>
      <c r="BN192" s="275"/>
      <c r="BO192" s="276"/>
      <c r="BP192" s="277"/>
      <c r="BQ192" s="156"/>
      <c r="BR192" s="274"/>
      <c r="BS192" s="270"/>
      <c r="BT192" s="270"/>
      <c r="BU192" s="274"/>
      <c r="BV192" s="274"/>
      <c r="BW192" s="278"/>
      <c r="BX192" s="278"/>
      <c r="BY192" s="278"/>
      <c r="BZ192" s="351"/>
    </row>
    <row r="193" spans="1:78" s="90" customFormat="1" ht="19.5" hidden="1" customHeight="1">
      <c r="A193" s="137"/>
      <c r="B193" s="197">
        <f t="shared" si="7"/>
        <v>183</v>
      </c>
      <c r="C193" s="30" t="s">
        <v>206</v>
      </c>
      <c r="D193" s="30" t="s">
        <v>225</v>
      </c>
      <c r="E193" s="234" t="s">
        <v>804</v>
      </c>
      <c r="F193" s="235" t="s">
        <v>1225</v>
      </c>
      <c r="G193" s="284">
        <f>IFERROR(VLOOKUP(E193,Assign!$C$2:$J$142,8,FALSE),)</f>
        <v>0</v>
      </c>
      <c r="H193" s="361" t="s">
        <v>5220</v>
      </c>
      <c r="I193" s="363">
        <v>1</v>
      </c>
      <c r="J193" s="364" t="s">
        <v>208</v>
      </c>
      <c r="K193" s="364" t="s">
        <v>316</v>
      </c>
      <c r="L193" s="365" t="s">
        <v>2712</v>
      </c>
      <c r="M193" s="362" t="s">
        <v>2713</v>
      </c>
      <c r="N193" s="421" t="s">
        <v>606</v>
      </c>
      <c r="O193" s="269">
        <v>67.5</v>
      </c>
      <c r="P193" s="269">
        <v>58.2</v>
      </c>
      <c r="Q193" s="426"/>
      <c r="R193" s="418" t="s">
        <v>804</v>
      </c>
      <c r="S193" s="427" t="s">
        <v>613</v>
      </c>
      <c r="T193" s="357">
        <v>1</v>
      </c>
      <c r="U193" s="357" t="s">
        <v>204</v>
      </c>
      <c r="V193" s="367">
        <v>162000000</v>
      </c>
      <c r="W193" s="368">
        <v>162000000</v>
      </c>
      <c r="X193" s="357"/>
      <c r="Y193" s="357"/>
      <c r="Z193" s="400"/>
      <c r="AA193" s="369"/>
      <c r="AB193" s="370"/>
      <c r="AC193" s="404"/>
      <c r="AD193" s="270"/>
      <c r="AE193" s="156"/>
      <c r="AF193" s="156"/>
      <c r="AG193" s="357"/>
      <c r="AH193" s="357"/>
      <c r="AI193" s="357"/>
      <c r="AJ193" s="156"/>
      <c r="AK193" s="156"/>
      <c r="AL193" s="375"/>
      <c r="AM193" s="405"/>
      <c r="AN193" s="273"/>
      <c r="AO193" s="405"/>
      <c r="AP193" s="273"/>
      <c r="AQ193" s="273"/>
      <c r="AR193" s="273"/>
      <c r="AS193" s="273"/>
      <c r="AT193" s="273"/>
      <c r="AU193" s="273"/>
      <c r="AV193" s="322">
        <f t="shared" si="8"/>
        <v>0</v>
      </c>
      <c r="AW193" s="402"/>
      <c r="AX193" s="376"/>
      <c r="AY193" s="373"/>
      <c r="AZ193" s="375"/>
      <c r="BA193" s="375"/>
      <c r="BB193" s="375"/>
      <c r="BC193" s="375"/>
      <c r="BD193" s="353">
        <f t="shared" si="9"/>
        <v>0</v>
      </c>
      <c r="BE193" s="432" t="s">
        <v>355</v>
      </c>
      <c r="BF193" s="407" t="s">
        <v>501</v>
      </c>
      <c r="BG193" s="168"/>
      <c r="BH193" s="274"/>
      <c r="BI193" s="168"/>
      <c r="BJ193" s="274"/>
      <c r="BK193" s="168"/>
      <c r="BL193" s="275"/>
      <c r="BM193" s="276"/>
      <c r="BN193" s="275"/>
      <c r="BO193" s="276"/>
      <c r="BP193" s="277"/>
      <c r="BQ193" s="156"/>
      <c r="BR193" s="274"/>
      <c r="BS193" s="270"/>
      <c r="BT193" s="270"/>
      <c r="BU193" s="274"/>
      <c r="BV193" s="274"/>
      <c r="BW193" s="278"/>
      <c r="BX193" s="278"/>
      <c r="BY193" s="278"/>
      <c r="BZ193" s="351"/>
    </row>
    <row r="194" spans="1:78" s="90" customFormat="1" ht="19.5" hidden="1" customHeight="1">
      <c r="A194" s="137"/>
      <c r="B194" s="197">
        <f t="shared" si="7"/>
        <v>184</v>
      </c>
      <c r="C194" s="30" t="s">
        <v>206</v>
      </c>
      <c r="D194" s="30" t="s">
        <v>225</v>
      </c>
      <c r="E194" s="234" t="s">
        <v>805</v>
      </c>
      <c r="F194" s="235" t="s">
        <v>1231</v>
      </c>
      <c r="G194" s="284">
        <f>IFERROR(VLOOKUP(E194,Assign!$C$2:$J$142,8,FALSE),)</f>
        <v>0</v>
      </c>
      <c r="H194" s="361" t="s">
        <v>4175</v>
      </c>
      <c r="I194" s="363">
        <v>1</v>
      </c>
      <c r="J194" s="364" t="s">
        <v>208</v>
      </c>
      <c r="K194" s="364" t="s">
        <v>365</v>
      </c>
      <c r="L194" s="365" t="s">
        <v>1750</v>
      </c>
      <c r="M194" s="362" t="s">
        <v>1751</v>
      </c>
      <c r="N194" s="421" t="s">
        <v>606</v>
      </c>
      <c r="O194" s="269">
        <v>25.114999999999998</v>
      </c>
      <c r="P194" s="269">
        <v>39.44</v>
      </c>
      <c r="Q194" s="426"/>
      <c r="R194" s="418" t="s">
        <v>805</v>
      </c>
      <c r="S194" s="427" t="s">
        <v>613</v>
      </c>
      <c r="T194" s="357">
        <v>1</v>
      </c>
      <c r="U194" s="357" t="s">
        <v>204</v>
      </c>
      <c r="V194" s="367">
        <v>159600000</v>
      </c>
      <c r="W194" s="368">
        <v>159600000</v>
      </c>
      <c r="X194" s="357"/>
      <c r="Y194" s="357"/>
      <c r="Z194" s="400"/>
      <c r="AA194" s="369"/>
      <c r="AB194" s="370"/>
      <c r="AC194" s="404"/>
      <c r="AD194" s="270"/>
      <c r="AE194" s="156"/>
      <c r="AF194" s="156"/>
      <c r="AG194" s="357"/>
      <c r="AH194" s="357"/>
      <c r="AI194" s="357"/>
      <c r="AJ194" s="156"/>
      <c r="AK194" s="156"/>
      <c r="AL194" s="375"/>
      <c r="AM194" s="405"/>
      <c r="AN194" s="273"/>
      <c r="AO194" s="405"/>
      <c r="AP194" s="273"/>
      <c r="AQ194" s="273"/>
      <c r="AR194" s="273"/>
      <c r="AS194" s="273"/>
      <c r="AT194" s="273"/>
      <c r="AU194" s="273"/>
      <c r="AV194" s="322">
        <f t="shared" si="8"/>
        <v>0</v>
      </c>
      <c r="AW194" s="402"/>
      <c r="AX194" s="376"/>
      <c r="AY194" s="373"/>
      <c r="AZ194" s="375"/>
      <c r="BA194" s="375"/>
      <c r="BB194" s="375"/>
      <c r="BC194" s="375"/>
      <c r="BD194" s="353">
        <f t="shared" si="9"/>
        <v>0</v>
      </c>
      <c r="BE194" s="432" t="s">
        <v>3413</v>
      </c>
      <c r="BF194" s="407" t="s">
        <v>422</v>
      </c>
      <c r="BG194" s="168" t="s">
        <v>3713</v>
      </c>
      <c r="BH194" s="274">
        <v>45712</v>
      </c>
      <c r="BI194" s="168" t="s">
        <v>3714</v>
      </c>
      <c r="BJ194" s="274">
        <v>45796</v>
      </c>
      <c r="BK194" s="168">
        <v>12621121</v>
      </c>
      <c r="BL194" s="275"/>
      <c r="BM194" s="276"/>
      <c r="BN194" s="275"/>
      <c r="BO194" s="276"/>
      <c r="BP194" s="277"/>
      <c r="BQ194" s="156"/>
      <c r="BR194" s="274"/>
      <c r="BS194" s="270"/>
      <c r="BT194" s="270"/>
      <c r="BU194" s="274"/>
      <c r="BV194" s="274"/>
      <c r="BW194" s="278"/>
      <c r="BX194" s="278"/>
      <c r="BY194" s="278"/>
      <c r="BZ194" s="351"/>
    </row>
    <row r="195" spans="1:78" s="90" customFormat="1" ht="19.5" hidden="1" customHeight="1">
      <c r="A195" s="137"/>
      <c r="B195" s="197">
        <f t="shared" si="7"/>
        <v>185</v>
      </c>
      <c r="C195" s="30" t="s">
        <v>206</v>
      </c>
      <c r="D195" s="30" t="s">
        <v>225</v>
      </c>
      <c r="E195" s="234" t="s">
        <v>806</v>
      </c>
      <c r="F195" s="235" t="s">
        <v>1229</v>
      </c>
      <c r="G195" s="284">
        <f>IFERROR(VLOOKUP(E195,Assign!$C$2:$J$142,8,FALSE),)</f>
        <v>0</v>
      </c>
      <c r="H195" s="361" t="s">
        <v>4073</v>
      </c>
      <c r="I195" s="363">
        <v>1</v>
      </c>
      <c r="J195" s="364" t="s">
        <v>208</v>
      </c>
      <c r="K195" s="364" t="s">
        <v>316</v>
      </c>
      <c r="L195" s="365" t="s">
        <v>1648</v>
      </c>
      <c r="M195" s="362" t="s">
        <v>1649</v>
      </c>
      <c r="N195" s="421" t="s">
        <v>606</v>
      </c>
      <c r="O195" s="269">
        <v>88.042000000000002</v>
      </c>
      <c r="P195" s="269">
        <v>76.2</v>
      </c>
      <c r="Q195" s="426"/>
      <c r="R195" s="418" t="s">
        <v>806</v>
      </c>
      <c r="S195" s="427" t="s">
        <v>613</v>
      </c>
      <c r="T195" s="357">
        <v>1</v>
      </c>
      <c r="U195" s="357" t="s">
        <v>204</v>
      </c>
      <c r="V195" s="367">
        <v>163800000</v>
      </c>
      <c r="W195" s="368">
        <v>163800000</v>
      </c>
      <c r="X195" s="357"/>
      <c r="Y195" s="357"/>
      <c r="Z195" s="400"/>
      <c r="AA195" s="369"/>
      <c r="AB195" s="370"/>
      <c r="AC195" s="404"/>
      <c r="AD195" s="270"/>
      <c r="AE195" s="156"/>
      <c r="AF195" s="156"/>
      <c r="AG195" s="357"/>
      <c r="AH195" s="357"/>
      <c r="AI195" s="357"/>
      <c r="AJ195" s="156"/>
      <c r="AK195" s="156"/>
      <c r="AL195" s="375"/>
      <c r="AM195" s="405"/>
      <c r="AN195" s="273"/>
      <c r="AO195" s="405"/>
      <c r="AP195" s="273"/>
      <c r="AQ195" s="273"/>
      <c r="AR195" s="273"/>
      <c r="AS195" s="273"/>
      <c r="AT195" s="273"/>
      <c r="AU195" s="273"/>
      <c r="AV195" s="322">
        <f t="shared" si="8"/>
        <v>0</v>
      </c>
      <c r="AW195" s="402"/>
      <c r="AX195" s="376"/>
      <c r="AY195" s="373"/>
      <c r="AZ195" s="375"/>
      <c r="BA195" s="375"/>
      <c r="BB195" s="375"/>
      <c r="BC195" s="375"/>
      <c r="BD195" s="353">
        <f t="shared" si="9"/>
        <v>0</v>
      </c>
      <c r="BE195" s="432" t="s">
        <v>355</v>
      </c>
      <c r="BF195" s="407" t="s">
        <v>501</v>
      </c>
      <c r="BG195" s="168"/>
      <c r="BH195" s="274"/>
      <c r="BI195" s="168"/>
      <c r="BJ195" s="274"/>
      <c r="BK195" s="168"/>
      <c r="BL195" s="275"/>
      <c r="BM195" s="276"/>
      <c r="BN195" s="275"/>
      <c r="BO195" s="276"/>
      <c r="BP195" s="277"/>
      <c r="BQ195" s="156"/>
      <c r="BR195" s="274"/>
      <c r="BS195" s="270"/>
      <c r="BT195" s="270"/>
      <c r="BU195" s="274"/>
      <c r="BV195" s="274"/>
      <c r="BW195" s="278"/>
      <c r="BX195" s="278"/>
      <c r="BY195" s="278"/>
      <c r="BZ195" s="351" t="s">
        <v>3390</v>
      </c>
    </row>
    <row r="196" spans="1:78" s="90" customFormat="1" ht="19.5" hidden="1" customHeight="1">
      <c r="A196" s="137"/>
      <c r="B196" s="197">
        <f t="shared" si="7"/>
        <v>186</v>
      </c>
      <c r="C196" s="30" t="s">
        <v>206</v>
      </c>
      <c r="D196" s="30" t="s">
        <v>225</v>
      </c>
      <c r="E196" s="234" t="s">
        <v>807</v>
      </c>
      <c r="F196" s="235" t="s">
        <v>1229</v>
      </c>
      <c r="G196" s="284">
        <f>IFERROR(VLOOKUP(E196,Assign!$C$2:$J$142,8,FALSE),)</f>
        <v>0</v>
      </c>
      <c r="H196" s="361" t="s">
        <v>5372</v>
      </c>
      <c r="I196" s="363">
        <v>1</v>
      </c>
      <c r="J196" s="364" t="s">
        <v>208</v>
      </c>
      <c r="K196" s="364" t="s">
        <v>316</v>
      </c>
      <c r="L196" s="365" t="s">
        <v>2847</v>
      </c>
      <c r="M196" s="362" t="s">
        <v>2848</v>
      </c>
      <c r="N196" s="421" t="s">
        <v>606</v>
      </c>
      <c r="O196" s="269">
        <v>70.94</v>
      </c>
      <c r="P196" s="269">
        <v>64.3</v>
      </c>
      <c r="Q196" s="426"/>
      <c r="R196" s="418" t="s">
        <v>807</v>
      </c>
      <c r="S196" s="427" t="s">
        <v>613</v>
      </c>
      <c r="T196" s="357">
        <v>1</v>
      </c>
      <c r="U196" s="357" t="s">
        <v>204</v>
      </c>
      <c r="V196" s="367">
        <v>132000000</v>
      </c>
      <c r="W196" s="368">
        <v>132000000</v>
      </c>
      <c r="X196" s="357"/>
      <c r="Y196" s="357"/>
      <c r="Z196" s="400"/>
      <c r="AA196" s="369"/>
      <c r="AB196" s="370"/>
      <c r="AC196" s="404"/>
      <c r="AD196" s="270"/>
      <c r="AE196" s="156"/>
      <c r="AF196" s="156"/>
      <c r="AG196" s="357"/>
      <c r="AH196" s="357"/>
      <c r="AI196" s="357"/>
      <c r="AJ196" s="156"/>
      <c r="AK196" s="156"/>
      <c r="AL196" s="375"/>
      <c r="AM196" s="405"/>
      <c r="AN196" s="273"/>
      <c r="AO196" s="405"/>
      <c r="AP196" s="273"/>
      <c r="AQ196" s="273"/>
      <c r="AR196" s="273"/>
      <c r="AS196" s="273"/>
      <c r="AT196" s="273"/>
      <c r="AU196" s="273"/>
      <c r="AV196" s="322">
        <f t="shared" si="8"/>
        <v>0</v>
      </c>
      <c r="AW196" s="402"/>
      <c r="AX196" s="376"/>
      <c r="AY196" s="373"/>
      <c r="AZ196" s="375"/>
      <c r="BA196" s="375"/>
      <c r="BB196" s="375"/>
      <c r="BC196" s="375"/>
      <c r="BD196" s="353">
        <f t="shared" si="9"/>
        <v>0</v>
      </c>
      <c r="BE196" s="432" t="s">
        <v>355</v>
      </c>
      <c r="BF196" s="407" t="s">
        <v>501</v>
      </c>
      <c r="BG196" s="168"/>
      <c r="BH196" s="274"/>
      <c r="BI196" s="168"/>
      <c r="BJ196" s="274"/>
      <c r="BK196" s="168"/>
      <c r="BL196" s="275"/>
      <c r="BM196" s="276"/>
      <c r="BN196" s="275"/>
      <c r="BO196" s="276"/>
      <c r="BP196" s="277"/>
      <c r="BQ196" s="156"/>
      <c r="BR196" s="274"/>
      <c r="BS196" s="270"/>
      <c r="BT196" s="270"/>
      <c r="BU196" s="274"/>
      <c r="BV196" s="274"/>
      <c r="BW196" s="278"/>
      <c r="BX196" s="278"/>
      <c r="BY196" s="278"/>
      <c r="BZ196" s="351"/>
    </row>
    <row r="197" spans="1:78" s="90" customFormat="1" ht="19.5" hidden="1" customHeight="1">
      <c r="A197" s="137"/>
      <c r="B197" s="197">
        <f t="shared" si="7"/>
        <v>187</v>
      </c>
      <c r="C197" s="30" t="s">
        <v>206</v>
      </c>
      <c r="D197" s="30" t="s">
        <v>225</v>
      </c>
      <c r="E197" s="234" t="s">
        <v>808</v>
      </c>
      <c r="F197" s="235" t="s">
        <v>1225</v>
      </c>
      <c r="G197" s="284" t="str">
        <f>IFERROR(VLOOKUP(E197,Assign!$C$2:$J$142,8,FALSE),)</f>
        <v>문선영</v>
      </c>
      <c r="H197" s="361" t="s">
        <v>4646</v>
      </c>
      <c r="I197" s="363">
        <v>1</v>
      </c>
      <c r="J197" s="364" t="s">
        <v>216</v>
      </c>
      <c r="K197" s="364" t="s">
        <v>294</v>
      </c>
      <c r="L197" s="365" t="s">
        <v>2179</v>
      </c>
      <c r="M197" s="362" t="s">
        <v>2180</v>
      </c>
      <c r="N197" s="421" t="s">
        <v>207</v>
      </c>
      <c r="O197" s="269">
        <v>102.4637</v>
      </c>
      <c r="P197" s="269">
        <v>112.6387</v>
      </c>
      <c r="Q197" s="426"/>
      <c r="R197" s="418" t="s">
        <v>3494</v>
      </c>
      <c r="S197" s="427" t="s">
        <v>613</v>
      </c>
      <c r="T197" s="357">
        <v>1</v>
      </c>
      <c r="U197" s="357" t="s">
        <v>204</v>
      </c>
      <c r="V197" s="367">
        <v>240000000</v>
      </c>
      <c r="W197" s="368">
        <v>240000000</v>
      </c>
      <c r="X197" s="357"/>
      <c r="Y197" s="357"/>
      <c r="Z197" s="400"/>
      <c r="AA197" s="369"/>
      <c r="AB197" s="370"/>
      <c r="AC197" s="404"/>
      <c r="AD197" s="270"/>
      <c r="AE197" s="156"/>
      <c r="AF197" s="156"/>
      <c r="AG197" s="357"/>
      <c r="AH197" s="357"/>
      <c r="AI197" s="357"/>
      <c r="AJ197" s="156"/>
      <c r="AK197" s="156"/>
      <c r="AL197" s="375"/>
      <c r="AM197" s="405"/>
      <c r="AN197" s="273"/>
      <c r="AO197" s="405"/>
      <c r="AP197" s="273"/>
      <c r="AQ197" s="273"/>
      <c r="AR197" s="273"/>
      <c r="AS197" s="273"/>
      <c r="AT197" s="273"/>
      <c r="AU197" s="273"/>
      <c r="AV197" s="322">
        <f t="shared" si="8"/>
        <v>0</v>
      </c>
      <c r="AW197" s="402" t="s">
        <v>3387</v>
      </c>
      <c r="AX197" s="376">
        <v>45765</v>
      </c>
      <c r="AY197" s="373" t="s">
        <v>3388</v>
      </c>
      <c r="AZ197" s="375"/>
      <c r="BA197" s="375">
        <v>650000000</v>
      </c>
      <c r="BB197" s="375"/>
      <c r="BC197" s="375"/>
      <c r="BD197" s="353">
        <f t="shared" si="9"/>
        <v>650000000</v>
      </c>
      <c r="BE197" s="432" t="s">
        <v>355</v>
      </c>
      <c r="BF197" s="407" t="s">
        <v>509</v>
      </c>
      <c r="BG197" s="168"/>
      <c r="BH197" s="274"/>
      <c r="BI197" s="168"/>
      <c r="BJ197" s="274"/>
      <c r="BK197" s="168"/>
      <c r="BL197" s="275"/>
      <c r="BM197" s="276"/>
      <c r="BN197" s="275"/>
      <c r="BO197" s="276"/>
      <c r="BP197" s="277"/>
      <c r="BQ197" s="156"/>
      <c r="BR197" s="274"/>
      <c r="BS197" s="270"/>
      <c r="BT197" s="270"/>
      <c r="BU197" s="274"/>
      <c r="BV197" s="274"/>
      <c r="BW197" s="278"/>
      <c r="BX197" s="278"/>
      <c r="BY197" s="278"/>
      <c r="BZ197" s="351"/>
    </row>
    <row r="198" spans="1:78" s="90" customFormat="1" ht="19.5" hidden="1" customHeight="1">
      <c r="A198" s="137"/>
      <c r="B198" s="197">
        <f t="shared" si="7"/>
        <v>188</v>
      </c>
      <c r="C198" s="30" t="s">
        <v>206</v>
      </c>
      <c r="D198" s="30" t="s">
        <v>225</v>
      </c>
      <c r="E198" s="234" t="s">
        <v>809</v>
      </c>
      <c r="F198" s="235" t="s">
        <v>1224</v>
      </c>
      <c r="G198" s="284">
        <f>IFERROR(VLOOKUP(E198,Assign!$C$2:$J$142,8,FALSE),)</f>
        <v>0</v>
      </c>
      <c r="H198" s="361" t="s">
        <v>4892</v>
      </c>
      <c r="I198" s="363">
        <v>1</v>
      </c>
      <c r="J198" s="364" t="s">
        <v>208</v>
      </c>
      <c r="K198" s="364" t="s">
        <v>259</v>
      </c>
      <c r="L198" s="365" t="s">
        <v>387</v>
      </c>
      <c r="M198" s="362" t="s">
        <v>2413</v>
      </c>
      <c r="N198" s="421" t="s">
        <v>606</v>
      </c>
      <c r="O198" s="269">
        <v>22.37</v>
      </c>
      <c r="P198" s="269">
        <v>48.264000000000003</v>
      </c>
      <c r="Q198" s="426"/>
      <c r="R198" s="418" t="s">
        <v>3470</v>
      </c>
      <c r="S198" s="427" t="s">
        <v>613</v>
      </c>
      <c r="T198" s="357">
        <v>1</v>
      </c>
      <c r="U198" s="357" t="s">
        <v>204</v>
      </c>
      <c r="V198" s="367">
        <v>156000000</v>
      </c>
      <c r="W198" s="368">
        <v>156000000</v>
      </c>
      <c r="X198" s="357"/>
      <c r="Y198" s="357"/>
      <c r="Z198" s="400"/>
      <c r="AA198" s="369"/>
      <c r="AB198" s="370"/>
      <c r="AC198" s="404"/>
      <c r="AD198" s="270"/>
      <c r="AE198" s="156"/>
      <c r="AF198" s="156"/>
      <c r="AG198" s="357"/>
      <c r="AH198" s="357"/>
      <c r="AI198" s="357"/>
      <c r="AJ198" s="156"/>
      <c r="AK198" s="156"/>
      <c r="AL198" s="375"/>
      <c r="AM198" s="405"/>
      <c r="AN198" s="273"/>
      <c r="AO198" s="405"/>
      <c r="AP198" s="273"/>
      <c r="AQ198" s="273"/>
      <c r="AR198" s="273"/>
      <c r="AS198" s="273"/>
      <c r="AT198" s="273"/>
      <c r="AU198" s="273"/>
      <c r="AV198" s="322">
        <f t="shared" si="8"/>
        <v>0</v>
      </c>
      <c r="AW198" s="402"/>
      <c r="AX198" s="376"/>
      <c r="AY198" s="373"/>
      <c r="AZ198" s="375"/>
      <c r="BA198" s="375"/>
      <c r="BB198" s="375"/>
      <c r="BC198" s="375"/>
      <c r="BD198" s="353">
        <f t="shared" si="9"/>
        <v>0</v>
      </c>
      <c r="BE198" s="432" t="s">
        <v>355</v>
      </c>
      <c r="BF198" s="407" t="s">
        <v>499</v>
      </c>
      <c r="BG198" s="168"/>
      <c r="BH198" s="274"/>
      <c r="BI198" s="168"/>
      <c r="BJ198" s="274"/>
      <c r="BK198" s="168"/>
      <c r="BL198" s="275"/>
      <c r="BM198" s="276"/>
      <c r="BN198" s="275"/>
      <c r="BO198" s="276"/>
      <c r="BP198" s="277"/>
      <c r="BQ198" s="156"/>
      <c r="BR198" s="274"/>
      <c r="BS198" s="270"/>
      <c r="BT198" s="270"/>
      <c r="BU198" s="274"/>
      <c r="BV198" s="274"/>
      <c r="BW198" s="278"/>
      <c r="BX198" s="278"/>
      <c r="BY198" s="278"/>
      <c r="BZ198" s="351"/>
    </row>
    <row r="199" spans="1:78" s="90" customFormat="1" ht="19.5" hidden="1" customHeight="1">
      <c r="A199" s="137"/>
      <c r="B199" s="197">
        <f t="shared" si="7"/>
        <v>189</v>
      </c>
      <c r="C199" s="30" t="s">
        <v>206</v>
      </c>
      <c r="D199" s="30" t="s">
        <v>225</v>
      </c>
      <c r="E199" s="234" t="s">
        <v>810</v>
      </c>
      <c r="F199" s="235" t="s">
        <v>1229</v>
      </c>
      <c r="G199" s="284">
        <f>IFERROR(VLOOKUP(E199,Assign!$C$2:$J$142,8,FALSE),)</f>
        <v>0</v>
      </c>
      <c r="H199" s="361" t="s">
        <v>4338</v>
      </c>
      <c r="I199" s="363">
        <v>1</v>
      </c>
      <c r="J199" s="364" t="s">
        <v>214</v>
      </c>
      <c r="K199" s="364" t="s">
        <v>303</v>
      </c>
      <c r="L199" s="365" t="s">
        <v>1900</v>
      </c>
      <c r="M199" s="362" t="s">
        <v>1901</v>
      </c>
      <c r="N199" s="421" t="s">
        <v>3074</v>
      </c>
      <c r="O199" s="269">
        <v>10.601900000000001</v>
      </c>
      <c r="P199" s="269">
        <v>16.257400000000001</v>
      </c>
      <c r="Q199" s="426"/>
      <c r="R199" s="418" t="s">
        <v>810</v>
      </c>
      <c r="S199" s="427" t="s">
        <v>613</v>
      </c>
      <c r="T199" s="357" t="s">
        <v>229</v>
      </c>
      <c r="U199" s="357" t="s">
        <v>204</v>
      </c>
      <c r="V199" s="367">
        <v>98400000</v>
      </c>
      <c r="W199" s="368">
        <v>98400000</v>
      </c>
      <c r="X199" s="357">
        <v>2</v>
      </c>
      <c r="Y199" s="357">
        <v>2</v>
      </c>
      <c r="Z199" s="400" t="s">
        <v>3206</v>
      </c>
      <c r="AA199" s="369">
        <v>60000000</v>
      </c>
      <c r="AB199" s="370">
        <v>60000000</v>
      </c>
      <c r="AC199" s="404"/>
      <c r="AD199" s="270"/>
      <c r="AE199" s="156"/>
      <c r="AF199" s="156"/>
      <c r="AG199" s="357"/>
      <c r="AH199" s="357"/>
      <c r="AI199" s="357"/>
      <c r="AJ199" s="156"/>
      <c r="AK199" s="156"/>
      <c r="AL199" s="375"/>
      <c r="AM199" s="405"/>
      <c r="AN199" s="273"/>
      <c r="AO199" s="405"/>
      <c r="AP199" s="273"/>
      <c r="AQ199" s="273"/>
      <c r="AR199" s="273"/>
      <c r="AS199" s="273"/>
      <c r="AT199" s="273"/>
      <c r="AU199" s="273"/>
      <c r="AV199" s="322">
        <f t="shared" si="8"/>
        <v>0</v>
      </c>
      <c r="AW199" s="402"/>
      <c r="AX199" s="376"/>
      <c r="AY199" s="373"/>
      <c r="AZ199" s="375"/>
      <c r="BA199" s="375"/>
      <c r="BB199" s="375"/>
      <c r="BC199" s="375"/>
      <c r="BD199" s="353">
        <f t="shared" si="9"/>
        <v>0</v>
      </c>
      <c r="BE199" s="432" t="s">
        <v>355</v>
      </c>
      <c r="BF199" s="407" t="s">
        <v>500</v>
      </c>
      <c r="BG199" s="168"/>
      <c r="BH199" s="274"/>
      <c r="BI199" s="168"/>
      <c r="BJ199" s="274"/>
      <c r="BK199" s="168"/>
      <c r="BL199" s="275"/>
      <c r="BM199" s="276"/>
      <c r="BN199" s="275"/>
      <c r="BO199" s="276"/>
      <c r="BP199" s="277"/>
      <c r="BQ199" s="156"/>
      <c r="BR199" s="274"/>
      <c r="BS199" s="270"/>
      <c r="BT199" s="270"/>
      <c r="BU199" s="274"/>
      <c r="BV199" s="274"/>
      <c r="BW199" s="278"/>
      <c r="BX199" s="278"/>
      <c r="BY199" s="278"/>
      <c r="BZ199" s="351"/>
    </row>
    <row r="200" spans="1:78" s="90" customFormat="1" ht="19.5" hidden="1" customHeight="1">
      <c r="A200" s="137"/>
      <c r="B200" s="197">
        <f t="shared" si="7"/>
        <v>190</v>
      </c>
      <c r="C200" s="30" t="s">
        <v>206</v>
      </c>
      <c r="D200" s="30" t="s">
        <v>225</v>
      </c>
      <c r="E200" s="234" t="s">
        <v>810</v>
      </c>
      <c r="F200" s="235" t="s">
        <v>1229</v>
      </c>
      <c r="G200" s="284">
        <f>IFERROR(VLOOKUP(E200,Assign!$C$2:$J$142,8,FALSE),)</f>
        <v>0</v>
      </c>
      <c r="H200" s="361" t="s">
        <v>4340</v>
      </c>
      <c r="I200" s="363">
        <v>2</v>
      </c>
      <c r="J200" s="364" t="s">
        <v>214</v>
      </c>
      <c r="K200" s="364" t="s">
        <v>303</v>
      </c>
      <c r="L200" s="365" t="s">
        <v>1900</v>
      </c>
      <c r="M200" s="362" t="s">
        <v>1902</v>
      </c>
      <c r="N200" s="421" t="s">
        <v>3074</v>
      </c>
      <c r="O200" s="269">
        <v>10.601900000000001</v>
      </c>
      <c r="P200" s="269">
        <v>16.257400000000001</v>
      </c>
      <c r="Q200" s="426"/>
      <c r="R200" s="418" t="s">
        <v>810</v>
      </c>
      <c r="S200" s="427" t="s">
        <v>613</v>
      </c>
      <c r="T200" s="357" t="s">
        <v>229</v>
      </c>
      <c r="U200" s="357" t="s">
        <v>204</v>
      </c>
      <c r="V200" s="367">
        <v>98400000</v>
      </c>
      <c r="W200" s="368">
        <v>98400000</v>
      </c>
      <c r="X200" s="357">
        <v>1</v>
      </c>
      <c r="Y200" s="357">
        <v>2</v>
      </c>
      <c r="Z200" s="400" t="s">
        <v>3206</v>
      </c>
      <c r="AA200" s="369">
        <v>60000000</v>
      </c>
      <c r="AB200" s="370">
        <v>60000000</v>
      </c>
      <c r="AC200" s="404"/>
      <c r="AD200" s="270"/>
      <c r="AE200" s="156"/>
      <c r="AF200" s="156"/>
      <c r="AG200" s="357"/>
      <c r="AH200" s="357"/>
      <c r="AI200" s="357"/>
      <c r="AJ200" s="156"/>
      <c r="AK200" s="156"/>
      <c r="AL200" s="375"/>
      <c r="AM200" s="405"/>
      <c r="AN200" s="273"/>
      <c r="AO200" s="405"/>
      <c r="AP200" s="273"/>
      <c r="AQ200" s="273"/>
      <c r="AR200" s="273"/>
      <c r="AS200" s="273"/>
      <c r="AT200" s="273"/>
      <c r="AU200" s="273"/>
      <c r="AV200" s="322">
        <f t="shared" si="8"/>
        <v>0</v>
      </c>
      <c r="AW200" s="402"/>
      <c r="AX200" s="376"/>
      <c r="AY200" s="373"/>
      <c r="AZ200" s="375"/>
      <c r="BA200" s="375"/>
      <c r="BB200" s="375"/>
      <c r="BC200" s="375"/>
      <c r="BD200" s="353">
        <f t="shared" si="9"/>
        <v>0</v>
      </c>
      <c r="BE200" s="432" t="s">
        <v>355</v>
      </c>
      <c r="BF200" s="407" t="s">
        <v>500</v>
      </c>
      <c r="BG200" s="168"/>
      <c r="BH200" s="274"/>
      <c r="BI200" s="168"/>
      <c r="BJ200" s="274"/>
      <c r="BK200" s="168"/>
      <c r="BL200" s="275"/>
      <c r="BM200" s="276"/>
      <c r="BN200" s="275"/>
      <c r="BO200" s="276"/>
      <c r="BP200" s="277"/>
      <c r="BQ200" s="156"/>
      <c r="BR200" s="274"/>
      <c r="BS200" s="270"/>
      <c r="BT200" s="270"/>
      <c r="BU200" s="274"/>
      <c r="BV200" s="274"/>
      <c r="BW200" s="278"/>
      <c r="BX200" s="278"/>
      <c r="BY200" s="278"/>
      <c r="BZ200" s="351"/>
    </row>
    <row r="201" spans="1:78" s="90" customFormat="1" ht="19.5" hidden="1" customHeight="1">
      <c r="A201" s="137"/>
      <c r="B201" s="197">
        <f t="shared" si="7"/>
        <v>191</v>
      </c>
      <c r="C201" s="30" t="s">
        <v>206</v>
      </c>
      <c r="D201" s="30" t="s">
        <v>225</v>
      </c>
      <c r="E201" s="234" t="s">
        <v>811</v>
      </c>
      <c r="F201" s="235" t="s">
        <v>1255</v>
      </c>
      <c r="G201" s="284" t="str">
        <f>IFERROR(VLOOKUP(E201,Assign!$C$2:$J$142,8,FALSE),)</f>
        <v>문선영</v>
      </c>
      <c r="H201" s="361" t="s">
        <v>4227</v>
      </c>
      <c r="I201" s="363">
        <v>1</v>
      </c>
      <c r="J201" s="364" t="s">
        <v>211</v>
      </c>
      <c r="K201" s="364" t="s">
        <v>255</v>
      </c>
      <c r="L201" s="365" t="s">
        <v>1802</v>
      </c>
      <c r="M201" s="362" t="s">
        <v>3105</v>
      </c>
      <c r="N201" s="421" t="s">
        <v>352</v>
      </c>
      <c r="O201" s="269">
        <v>616</v>
      </c>
      <c r="P201" s="269"/>
      <c r="Q201" s="426"/>
      <c r="R201" s="418" t="s">
        <v>811</v>
      </c>
      <c r="S201" s="427" t="s">
        <v>613</v>
      </c>
      <c r="T201" s="357">
        <v>1</v>
      </c>
      <c r="U201" s="357" t="s">
        <v>204</v>
      </c>
      <c r="V201" s="367">
        <v>120000000</v>
      </c>
      <c r="W201" s="368">
        <v>120000000</v>
      </c>
      <c r="X201" s="357"/>
      <c r="Y201" s="357"/>
      <c r="Z201" s="400"/>
      <c r="AA201" s="369"/>
      <c r="AB201" s="370"/>
      <c r="AC201" s="404"/>
      <c r="AD201" s="270"/>
      <c r="AE201" s="156"/>
      <c r="AF201" s="156"/>
      <c r="AG201" s="357"/>
      <c r="AH201" s="357"/>
      <c r="AI201" s="357"/>
      <c r="AJ201" s="156"/>
      <c r="AK201" s="156"/>
      <c r="AL201" s="375"/>
      <c r="AM201" s="405"/>
      <c r="AN201" s="273"/>
      <c r="AO201" s="405"/>
      <c r="AP201" s="273"/>
      <c r="AQ201" s="273"/>
      <c r="AR201" s="273"/>
      <c r="AS201" s="273"/>
      <c r="AT201" s="273"/>
      <c r="AU201" s="273"/>
      <c r="AV201" s="322">
        <f t="shared" si="8"/>
        <v>0</v>
      </c>
      <c r="AW201" s="402"/>
      <c r="AX201" s="376"/>
      <c r="AY201" s="373"/>
      <c r="AZ201" s="375"/>
      <c r="BA201" s="375"/>
      <c r="BB201" s="375"/>
      <c r="BC201" s="375"/>
      <c r="BD201" s="353">
        <f t="shared" si="9"/>
        <v>0</v>
      </c>
      <c r="BE201" s="432" t="s">
        <v>355</v>
      </c>
      <c r="BF201" s="407" t="s">
        <v>516</v>
      </c>
      <c r="BG201" s="168"/>
      <c r="BH201" s="274"/>
      <c r="BI201" s="168"/>
      <c r="BJ201" s="274"/>
      <c r="BK201" s="168"/>
      <c r="BL201" s="275"/>
      <c r="BM201" s="276"/>
      <c r="BN201" s="275"/>
      <c r="BO201" s="276"/>
      <c r="BP201" s="277"/>
      <c r="BQ201" s="156"/>
      <c r="BR201" s="274"/>
      <c r="BS201" s="270"/>
      <c r="BT201" s="270"/>
      <c r="BU201" s="274"/>
      <c r="BV201" s="274"/>
      <c r="BW201" s="278"/>
      <c r="BX201" s="278"/>
      <c r="BY201" s="278"/>
      <c r="BZ201" s="351"/>
    </row>
    <row r="202" spans="1:78" s="90" customFormat="1" ht="19.5" hidden="1" customHeight="1">
      <c r="A202" s="137"/>
      <c r="B202" s="197">
        <f t="shared" si="7"/>
        <v>192</v>
      </c>
      <c r="C202" s="30" t="s">
        <v>206</v>
      </c>
      <c r="D202" s="30" t="s">
        <v>225</v>
      </c>
      <c r="E202" s="234" t="s">
        <v>812</v>
      </c>
      <c r="F202" s="235" t="s">
        <v>1235</v>
      </c>
      <c r="G202" s="284">
        <f>IFERROR(VLOOKUP(E202,Assign!$C$2:$J$142,8,FALSE),)</f>
        <v>0</v>
      </c>
      <c r="H202" s="361" t="s">
        <v>4593</v>
      </c>
      <c r="I202" s="363">
        <v>1</v>
      </c>
      <c r="J202" s="364" t="s">
        <v>212</v>
      </c>
      <c r="K202" s="364" t="s">
        <v>309</v>
      </c>
      <c r="L202" s="365" t="s">
        <v>1812</v>
      </c>
      <c r="M202" s="362" t="s">
        <v>2132</v>
      </c>
      <c r="N202" s="421" t="s">
        <v>207</v>
      </c>
      <c r="O202" s="269">
        <v>52.748074526139</v>
      </c>
      <c r="P202" s="269">
        <v>84.6</v>
      </c>
      <c r="Q202" s="426"/>
      <c r="R202" s="418" t="s">
        <v>812</v>
      </c>
      <c r="S202" s="427" t="s">
        <v>613</v>
      </c>
      <c r="T202" s="357">
        <v>1</v>
      </c>
      <c r="U202" s="357" t="s">
        <v>204</v>
      </c>
      <c r="V202" s="367">
        <v>133000000</v>
      </c>
      <c r="W202" s="368">
        <v>133000000</v>
      </c>
      <c r="X202" s="357"/>
      <c r="Y202" s="357"/>
      <c r="Z202" s="400"/>
      <c r="AA202" s="369"/>
      <c r="AB202" s="370"/>
      <c r="AC202" s="404"/>
      <c r="AD202" s="270"/>
      <c r="AE202" s="156"/>
      <c r="AF202" s="156"/>
      <c r="AG202" s="357"/>
      <c r="AH202" s="357"/>
      <c r="AI202" s="357"/>
      <c r="AJ202" s="156"/>
      <c r="AK202" s="156"/>
      <c r="AL202" s="375"/>
      <c r="AM202" s="405"/>
      <c r="AN202" s="273"/>
      <c r="AO202" s="405"/>
      <c r="AP202" s="273"/>
      <c r="AQ202" s="273"/>
      <c r="AR202" s="273"/>
      <c r="AS202" s="273"/>
      <c r="AT202" s="273"/>
      <c r="AU202" s="273"/>
      <c r="AV202" s="322">
        <f t="shared" si="8"/>
        <v>0</v>
      </c>
      <c r="AW202" s="402" t="s">
        <v>3387</v>
      </c>
      <c r="AX202" s="376">
        <v>45765</v>
      </c>
      <c r="AY202" s="373" t="s">
        <v>3388</v>
      </c>
      <c r="AZ202" s="375"/>
      <c r="BA202" s="375">
        <v>270000000</v>
      </c>
      <c r="BB202" s="375"/>
      <c r="BC202" s="375"/>
      <c r="BD202" s="353">
        <f t="shared" si="9"/>
        <v>270000000</v>
      </c>
      <c r="BE202" s="432" t="s">
        <v>355</v>
      </c>
      <c r="BF202" s="407" t="s">
        <v>496</v>
      </c>
      <c r="BG202" s="168"/>
      <c r="BH202" s="274"/>
      <c r="BI202" s="168"/>
      <c r="BJ202" s="274"/>
      <c r="BK202" s="168"/>
      <c r="BL202" s="275"/>
      <c r="BM202" s="276"/>
      <c r="BN202" s="275"/>
      <c r="BO202" s="276"/>
      <c r="BP202" s="277"/>
      <c r="BQ202" s="156"/>
      <c r="BR202" s="274"/>
      <c r="BS202" s="270"/>
      <c r="BT202" s="270"/>
      <c r="BU202" s="274"/>
      <c r="BV202" s="274"/>
      <c r="BW202" s="278"/>
      <c r="BX202" s="278"/>
      <c r="BY202" s="278"/>
      <c r="BZ202" s="351"/>
    </row>
    <row r="203" spans="1:78" s="90" customFormat="1" ht="19.5" hidden="1" customHeight="1">
      <c r="A203" s="137"/>
      <c r="B203" s="197">
        <f t="shared" ref="B203:B266" si="10">ROW()-10</f>
        <v>193</v>
      </c>
      <c r="C203" s="30" t="s">
        <v>206</v>
      </c>
      <c r="D203" s="30" t="s">
        <v>225</v>
      </c>
      <c r="E203" s="234" t="s">
        <v>813</v>
      </c>
      <c r="F203" s="235" t="s">
        <v>1225</v>
      </c>
      <c r="G203" s="284">
        <f>IFERROR(VLOOKUP(E203,Assign!$C$2:$J$142,8,FALSE),)</f>
        <v>0</v>
      </c>
      <c r="H203" s="361" t="s">
        <v>4118</v>
      </c>
      <c r="I203" s="363">
        <v>1</v>
      </c>
      <c r="J203" s="364" t="s">
        <v>212</v>
      </c>
      <c r="K203" s="364" t="s">
        <v>304</v>
      </c>
      <c r="L203" s="365" t="s">
        <v>356</v>
      </c>
      <c r="M203" s="362" t="s">
        <v>1692</v>
      </c>
      <c r="N203" s="421" t="s">
        <v>207</v>
      </c>
      <c r="O203" s="269">
        <v>55.575000000000003</v>
      </c>
      <c r="P203" s="269">
        <v>132.81</v>
      </c>
      <c r="Q203" s="426"/>
      <c r="R203" s="418" t="s">
        <v>813</v>
      </c>
      <c r="S203" s="427" t="s">
        <v>613</v>
      </c>
      <c r="T203" s="357" t="s">
        <v>229</v>
      </c>
      <c r="U203" s="357" t="s">
        <v>204</v>
      </c>
      <c r="V203" s="367">
        <v>194400000</v>
      </c>
      <c r="W203" s="368">
        <v>194400000</v>
      </c>
      <c r="X203" s="357"/>
      <c r="Y203" s="357"/>
      <c r="Z203" s="400"/>
      <c r="AA203" s="369"/>
      <c r="AB203" s="370"/>
      <c r="AC203" s="404"/>
      <c r="AD203" s="270"/>
      <c r="AE203" s="156"/>
      <c r="AF203" s="156"/>
      <c r="AG203" s="357"/>
      <c r="AH203" s="357"/>
      <c r="AI203" s="357"/>
      <c r="AJ203" s="156"/>
      <c r="AK203" s="156"/>
      <c r="AL203" s="375"/>
      <c r="AM203" s="405"/>
      <c r="AN203" s="273"/>
      <c r="AO203" s="405"/>
      <c r="AP203" s="273"/>
      <c r="AQ203" s="273"/>
      <c r="AR203" s="273"/>
      <c r="AS203" s="273"/>
      <c r="AT203" s="273"/>
      <c r="AU203" s="273"/>
      <c r="AV203" s="322">
        <f t="shared" ref="AV203:AV266" si="11">SUM(AP203:AU203)</f>
        <v>0</v>
      </c>
      <c r="AW203" s="402" t="s">
        <v>3387</v>
      </c>
      <c r="AX203" s="376">
        <v>45765</v>
      </c>
      <c r="AY203" s="373" t="s">
        <v>3388</v>
      </c>
      <c r="AZ203" s="375"/>
      <c r="BA203" s="375">
        <v>385000000</v>
      </c>
      <c r="BB203" s="156"/>
      <c r="BC203" s="156"/>
      <c r="BD203" s="353">
        <f t="shared" ref="BD203:BD266" si="12">SUM(AZ203:BC203)</f>
        <v>385000000</v>
      </c>
      <c r="BE203" s="432" t="s">
        <v>355</v>
      </c>
      <c r="BF203" s="407" t="s">
        <v>496</v>
      </c>
      <c r="BG203" s="168"/>
      <c r="BH203" s="274"/>
      <c r="BI203" s="168"/>
      <c r="BJ203" s="274"/>
      <c r="BK203" s="168"/>
      <c r="BL203" s="275"/>
      <c r="BM203" s="276"/>
      <c r="BN203" s="275"/>
      <c r="BO203" s="276"/>
      <c r="BP203" s="277"/>
      <c r="BQ203" s="156"/>
      <c r="BR203" s="274"/>
      <c r="BS203" s="270"/>
      <c r="BT203" s="270"/>
      <c r="BU203" s="274"/>
      <c r="BV203" s="274"/>
      <c r="BW203" s="278"/>
      <c r="BX203" s="278"/>
      <c r="BY203" s="278"/>
      <c r="BZ203" s="351"/>
    </row>
    <row r="204" spans="1:78" s="90" customFormat="1" ht="19.5" hidden="1" customHeight="1">
      <c r="A204" s="137"/>
      <c r="B204" s="197">
        <f t="shared" si="10"/>
        <v>194</v>
      </c>
      <c r="C204" s="30" t="s">
        <v>206</v>
      </c>
      <c r="D204" s="30" t="s">
        <v>225</v>
      </c>
      <c r="E204" s="234" t="s">
        <v>814</v>
      </c>
      <c r="F204" s="235" t="s">
        <v>1217</v>
      </c>
      <c r="G204" s="284">
        <f>IFERROR(VLOOKUP(E204,Assign!$C$2:$J$142,8,FALSE),)</f>
        <v>0</v>
      </c>
      <c r="H204" s="361" t="s">
        <v>4130</v>
      </c>
      <c r="I204" s="363">
        <v>1</v>
      </c>
      <c r="J204" s="364" t="s">
        <v>212</v>
      </c>
      <c r="K204" s="364" t="s">
        <v>232</v>
      </c>
      <c r="L204" s="365" t="s">
        <v>367</v>
      </c>
      <c r="M204" s="362" t="s">
        <v>1706</v>
      </c>
      <c r="N204" s="421" t="s">
        <v>3505</v>
      </c>
      <c r="O204" s="269">
        <v>4.7</v>
      </c>
      <c r="P204" s="269">
        <v>21.22</v>
      </c>
      <c r="Q204" s="426"/>
      <c r="R204" s="418" t="s">
        <v>814</v>
      </c>
      <c r="S204" s="427" t="s">
        <v>613</v>
      </c>
      <c r="T204" s="357">
        <v>1</v>
      </c>
      <c r="U204" s="357" t="s">
        <v>204</v>
      </c>
      <c r="V204" s="367">
        <v>136800000</v>
      </c>
      <c r="W204" s="368">
        <v>136800000</v>
      </c>
      <c r="X204" s="357"/>
      <c r="Y204" s="357"/>
      <c r="Z204" s="400"/>
      <c r="AA204" s="369"/>
      <c r="AB204" s="370"/>
      <c r="AC204" s="404"/>
      <c r="AD204" s="270"/>
      <c r="AE204" s="156"/>
      <c r="AF204" s="156"/>
      <c r="AG204" s="357"/>
      <c r="AH204" s="357"/>
      <c r="AI204" s="357"/>
      <c r="AJ204" s="156"/>
      <c r="AK204" s="156"/>
      <c r="AL204" s="375"/>
      <c r="AM204" s="405"/>
      <c r="AN204" s="273"/>
      <c r="AO204" s="405"/>
      <c r="AP204" s="273"/>
      <c r="AQ204" s="273"/>
      <c r="AR204" s="273"/>
      <c r="AS204" s="273"/>
      <c r="AT204" s="273"/>
      <c r="AU204" s="273"/>
      <c r="AV204" s="322">
        <f t="shared" si="11"/>
        <v>0</v>
      </c>
      <c r="AW204" s="402"/>
      <c r="AX204" s="274"/>
      <c r="AY204" s="270"/>
      <c r="AZ204" s="156"/>
      <c r="BA204" s="156"/>
      <c r="BB204" s="156"/>
      <c r="BC204" s="156"/>
      <c r="BD204" s="353">
        <f t="shared" si="12"/>
        <v>0</v>
      </c>
      <c r="BE204" s="432" t="s">
        <v>355</v>
      </c>
      <c r="BF204" s="407" t="s">
        <v>496</v>
      </c>
      <c r="BG204" s="168"/>
      <c r="BH204" s="274"/>
      <c r="BI204" s="168"/>
      <c r="BJ204" s="274"/>
      <c r="BK204" s="168"/>
      <c r="BL204" s="275"/>
      <c r="BM204" s="276"/>
      <c r="BN204" s="275"/>
      <c r="BO204" s="276"/>
      <c r="BP204" s="277"/>
      <c r="BQ204" s="156"/>
      <c r="BR204" s="274"/>
      <c r="BS204" s="270"/>
      <c r="BT204" s="270"/>
      <c r="BU204" s="274"/>
      <c r="BV204" s="274"/>
      <c r="BW204" s="278"/>
      <c r="BX204" s="278"/>
      <c r="BY204" s="278"/>
      <c r="BZ204" s="351"/>
    </row>
    <row r="205" spans="1:78" s="90" customFormat="1" ht="19.5" hidden="1" customHeight="1">
      <c r="A205" s="137"/>
      <c r="B205" s="197">
        <f t="shared" si="10"/>
        <v>195</v>
      </c>
      <c r="C205" s="30" t="s">
        <v>206</v>
      </c>
      <c r="D205" s="30" t="s">
        <v>225</v>
      </c>
      <c r="E205" s="234" t="s">
        <v>815</v>
      </c>
      <c r="F205" s="235" t="s">
        <v>1249</v>
      </c>
      <c r="G205" s="284" t="str">
        <f>IFERROR(VLOOKUP(E205,Assign!$C$2:$J$142,8,FALSE),)</f>
        <v>문선영</v>
      </c>
      <c r="H205" s="361" t="s">
        <v>3888</v>
      </c>
      <c r="I205" s="363">
        <v>1</v>
      </c>
      <c r="J205" s="364" t="s">
        <v>208</v>
      </c>
      <c r="K205" s="364" t="s">
        <v>391</v>
      </c>
      <c r="L205" s="365" t="s">
        <v>1454</v>
      </c>
      <c r="M205" s="362" t="s">
        <v>1455</v>
      </c>
      <c r="N205" s="421" t="s">
        <v>207</v>
      </c>
      <c r="O205" s="269">
        <v>44.311</v>
      </c>
      <c r="P205" s="269">
        <v>72.737799999999993</v>
      </c>
      <c r="Q205" s="426"/>
      <c r="R205" s="418" t="s">
        <v>815</v>
      </c>
      <c r="S205" s="427" t="s">
        <v>613</v>
      </c>
      <c r="T205" s="357">
        <v>1</v>
      </c>
      <c r="U205" s="357" t="s">
        <v>204</v>
      </c>
      <c r="V205" s="367">
        <v>140400000</v>
      </c>
      <c r="W205" s="368">
        <v>140400000</v>
      </c>
      <c r="X205" s="357"/>
      <c r="Y205" s="357"/>
      <c r="Z205" s="400"/>
      <c r="AA205" s="369"/>
      <c r="AB205" s="370"/>
      <c r="AC205" s="404"/>
      <c r="AD205" s="270"/>
      <c r="AE205" s="156"/>
      <c r="AF205" s="156"/>
      <c r="AG205" s="357"/>
      <c r="AH205" s="357"/>
      <c r="AI205" s="357"/>
      <c r="AJ205" s="156"/>
      <c r="AK205" s="156"/>
      <c r="AL205" s="375"/>
      <c r="AM205" s="405"/>
      <c r="AN205" s="273"/>
      <c r="AO205" s="405"/>
      <c r="AP205" s="273"/>
      <c r="AQ205" s="273"/>
      <c r="AR205" s="273"/>
      <c r="AS205" s="273"/>
      <c r="AT205" s="273"/>
      <c r="AU205" s="273"/>
      <c r="AV205" s="322">
        <f t="shared" si="11"/>
        <v>0</v>
      </c>
      <c r="AW205" s="402" t="s">
        <v>3387</v>
      </c>
      <c r="AX205" s="376">
        <v>45765</v>
      </c>
      <c r="AY205" s="373" t="s">
        <v>3388</v>
      </c>
      <c r="AZ205" s="375"/>
      <c r="BA205" s="375">
        <v>270000000</v>
      </c>
      <c r="BB205" s="375"/>
      <c r="BC205" s="375"/>
      <c r="BD205" s="353">
        <f t="shared" si="12"/>
        <v>270000000</v>
      </c>
      <c r="BE205" s="432" t="s">
        <v>355</v>
      </c>
      <c r="BF205" s="407" t="s">
        <v>493</v>
      </c>
      <c r="BG205" s="168"/>
      <c r="BH205" s="274"/>
      <c r="BI205" s="168"/>
      <c r="BJ205" s="274"/>
      <c r="BK205" s="168"/>
      <c r="BL205" s="275"/>
      <c r="BM205" s="276"/>
      <c r="BN205" s="275"/>
      <c r="BO205" s="276"/>
      <c r="BP205" s="277"/>
      <c r="BQ205" s="156"/>
      <c r="BR205" s="274"/>
      <c r="BS205" s="270"/>
      <c r="BT205" s="270"/>
      <c r="BU205" s="274"/>
      <c r="BV205" s="274"/>
      <c r="BW205" s="278"/>
      <c r="BX205" s="278"/>
      <c r="BY205" s="278"/>
      <c r="BZ205" s="351"/>
    </row>
    <row r="206" spans="1:78" s="90" customFormat="1" ht="19.5" hidden="1" customHeight="1">
      <c r="A206" s="137"/>
      <c r="B206" s="197">
        <f t="shared" si="10"/>
        <v>196</v>
      </c>
      <c r="C206" s="30" t="s">
        <v>206</v>
      </c>
      <c r="D206" s="30" t="s">
        <v>225</v>
      </c>
      <c r="E206" s="234" t="s">
        <v>816</v>
      </c>
      <c r="F206" s="235" t="s">
        <v>1249</v>
      </c>
      <c r="G206" s="284">
        <f>IFERROR(VLOOKUP(E206,Assign!$C$2:$J$142,8,FALSE),)</f>
        <v>0</v>
      </c>
      <c r="H206" s="361" t="s">
        <v>5119</v>
      </c>
      <c r="I206" s="363">
        <v>1</v>
      </c>
      <c r="J206" s="364" t="s">
        <v>209</v>
      </c>
      <c r="K206" s="364" t="s">
        <v>226</v>
      </c>
      <c r="L206" s="365" t="s">
        <v>1436</v>
      </c>
      <c r="M206" s="362" t="s">
        <v>2633</v>
      </c>
      <c r="N206" s="421" t="s">
        <v>606</v>
      </c>
      <c r="O206" s="269">
        <v>22.88</v>
      </c>
      <c r="P206" s="269">
        <v>38.97</v>
      </c>
      <c r="Q206" s="426"/>
      <c r="R206" s="418" t="s">
        <v>816</v>
      </c>
      <c r="S206" s="427" t="s">
        <v>613</v>
      </c>
      <c r="T206" s="357">
        <v>1</v>
      </c>
      <c r="U206" s="357" t="s">
        <v>204</v>
      </c>
      <c r="V206" s="367">
        <v>151200000</v>
      </c>
      <c r="W206" s="368">
        <v>151200000</v>
      </c>
      <c r="X206" s="357"/>
      <c r="Y206" s="357"/>
      <c r="Z206" s="400"/>
      <c r="AA206" s="369"/>
      <c r="AB206" s="370"/>
      <c r="AC206" s="404"/>
      <c r="AD206" s="270"/>
      <c r="AE206" s="156"/>
      <c r="AF206" s="156"/>
      <c r="AG206" s="357"/>
      <c r="AH206" s="357"/>
      <c r="AI206" s="357"/>
      <c r="AJ206" s="156"/>
      <c r="AK206" s="156"/>
      <c r="AL206" s="375"/>
      <c r="AM206" s="405"/>
      <c r="AN206" s="273"/>
      <c r="AO206" s="405"/>
      <c r="AP206" s="273"/>
      <c r="AQ206" s="273"/>
      <c r="AR206" s="273"/>
      <c r="AS206" s="273"/>
      <c r="AT206" s="273"/>
      <c r="AU206" s="273"/>
      <c r="AV206" s="322">
        <f t="shared" si="11"/>
        <v>0</v>
      </c>
      <c r="AW206" s="402"/>
      <c r="AX206" s="376"/>
      <c r="AY206" s="373"/>
      <c r="AZ206" s="375"/>
      <c r="BA206" s="375"/>
      <c r="BB206" s="375"/>
      <c r="BC206" s="375"/>
      <c r="BD206" s="353">
        <f t="shared" si="12"/>
        <v>0</v>
      </c>
      <c r="BE206" s="432" t="s">
        <v>355</v>
      </c>
      <c r="BF206" s="407" t="s">
        <v>495</v>
      </c>
      <c r="BG206" s="168"/>
      <c r="BH206" s="274"/>
      <c r="BI206" s="168"/>
      <c r="BJ206" s="274"/>
      <c r="BK206" s="168"/>
      <c r="BL206" s="275"/>
      <c r="BM206" s="276"/>
      <c r="BN206" s="275"/>
      <c r="BO206" s="276"/>
      <c r="BP206" s="277"/>
      <c r="BQ206" s="156"/>
      <c r="BR206" s="274"/>
      <c r="BS206" s="270"/>
      <c r="BT206" s="270"/>
      <c r="BU206" s="274"/>
      <c r="BV206" s="274"/>
      <c r="BW206" s="278"/>
      <c r="BX206" s="278"/>
      <c r="BY206" s="278"/>
      <c r="BZ206" s="351"/>
    </row>
    <row r="207" spans="1:78" s="90" customFormat="1" ht="19.5" hidden="1" customHeight="1">
      <c r="A207" s="137"/>
      <c r="B207" s="197">
        <f t="shared" si="10"/>
        <v>197</v>
      </c>
      <c r="C207" s="30" t="s">
        <v>206</v>
      </c>
      <c r="D207" s="30" t="s">
        <v>225</v>
      </c>
      <c r="E207" s="234" t="s">
        <v>817</v>
      </c>
      <c r="F207" s="235" t="s">
        <v>1256</v>
      </c>
      <c r="G207" s="284">
        <f>IFERROR(VLOOKUP(E207,Assign!$C$2:$J$142,8,FALSE),)</f>
        <v>0</v>
      </c>
      <c r="H207" s="361" t="s">
        <v>4843</v>
      </c>
      <c r="I207" s="363">
        <v>1</v>
      </c>
      <c r="J207" s="364" t="s">
        <v>212</v>
      </c>
      <c r="K207" s="364" t="s">
        <v>309</v>
      </c>
      <c r="L207" s="365" t="s">
        <v>328</v>
      </c>
      <c r="M207" s="362" t="s">
        <v>2372</v>
      </c>
      <c r="N207" s="421" t="s">
        <v>207</v>
      </c>
      <c r="O207" s="269">
        <v>71.056299999999993</v>
      </c>
      <c r="P207" s="269">
        <v>111.6523</v>
      </c>
      <c r="Q207" s="426"/>
      <c r="R207" s="418" t="s">
        <v>817</v>
      </c>
      <c r="S207" s="427" t="s">
        <v>613</v>
      </c>
      <c r="T207" s="357">
        <v>1</v>
      </c>
      <c r="U207" s="357" t="s">
        <v>204</v>
      </c>
      <c r="V207" s="367">
        <v>128400000</v>
      </c>
      <c r="W207" s="368">
        <v>128400000</v>
      </c>
      <c r="X207" s="357"/>
      <c r="Y207" s="357"/>
      <c r="Z207" s="400"/>
      <c r="AA207" s="369"/>
      <c r="AB207" s="370"/>
      <c r="AC207" s="404"/>
      <c r="AD207" s="270"/>
      <c r="AE207" s="156"/>
      <c r="AF207" s="156"/>
      <c r="AG207" s="357"/>
      <c r="AH207" s="357"/>
      <c r="AI207" s="357"/>
      <c r="AJ207" s="156"/>
      <c r="AK207" s="156"/>
      <c r="AL207" s="375"/>
      <c r="AM207" s="405"/>
      <c r="AN207" s="273"/>
      <c r="AO207" s="405"/>
      <c r="AP207" s="273"/>
      <c r="AQ207" s="273"/>
      <c r="AR207" s="273"/>
      <c r="AS207" s="273"/>
      <c r="AT207" s="273"/>
      <c r="AU207" s="273"/>
      <c r="AV207" s="322">
        <f t="shared" si="11"/>
        <v>0</v>
      </c>
      <c r="AW207" s="402" t="s">
        <v>3650</v>
      </c>
      <c r="AX207" s="274">
        <v>45364</v>
      </c>
      <c r="AY207" s="270" t="s">
        <v>3660</v>
      </c>
      <c r="AZ207" s="156"/>
      <c r="BA207" s="156">
        <v>1070000000</v>
      </c>
      <c r="BB207" s="156"/>
      <c r="BC207" s="156"/>
      <c r="BD207" s="353">
        <f t="shared" si="12"/>
        <v>1070000000</v>
      </c>
      <c r="BE207" s="432" t="s">
        <v>335</v>
      </c>
      <c r="BF207" s="407" t="s">
        <v>496</v>
      </c>
      <c r="BG207" s="168" t="s">
        <v>3315</v>
      </c>
      <c r="BH207" s="274">
        <v>45350</v>
      </c>
      <c r="BI207" s="168" t="s">
        <v>3254</v>
      </c>
      <c r="BJ207" s="274">
        <v>45436</v>
      </c>
      <c r="BK207" s="168">
        <v>557856375</v>
      </c>
      <c r="BL207" s="275"/>
      <c r="BM207" s="276"/>
      <c r="BN207" s="275"/>
      <c r="BO207" s="276"/>
      <c r="BP207" s="277"/>
      <c r="BQ207" s="156">
        <v>1070000000</v>
      </c>
      <c r="BR207" s="274">
        <v>45765</v>
      </c>
      <c r="BS207" s="270">
        <v>1</v>
      </c>
      <c r="BT207" s="270" t="s">
        <v>609</v>
      </c>
      <c r="BU207" s="274">
        <v>45765</v>
      </c>
      <c r="BV207" s="274">
        <v>45803</v>
      </c>
      <c r="BW207" s="278"/>
      <c r="BX207" s="278">
        <v>1070000000</v>
      </c>
      <c r="BY207" s="278">
        <v>749000000</v>
      </c>
      <c r="BZ207" s="351"/>
    </row>
    <row r="208" spans="1:78" s="90" customFormat="1" ht="19.5" hidden="1" customHeight="1">
      <c r="A208" s="137"/>
      <c r="B208" s="197">
        <f t="shared" si="10"/>
        <v>198</v>
      </c>
      <c r="C208" s="30" t="s">
        <v>206</v>
      </c>
      <c r="D208" s="30" t="s">
        <v>225</v>
      </c>
      <c r="E208" s="234" t="s">
        <v>818</v>
      </c>
      <c r="F208" s="235" t="s">
        <v>1244</v>
      </c>
      <c r="G208" s="284" t="str">
        <f>IFERROR(VLOOKUP(E208,Assign!$C$2:$J$142,8,FALSE),)</f>
        <v>문선영</v>
      </c>
      <c r="H208" s="361" t="s">
        <v>4306</v>
      </c>
      <c r="I208" s="363">
        <v>1</v>
      </c>
      <c r="J208" s="364" t="s">
        <v>208</v>
      </c>
      <c r="K208" s="364" t="s">
        <v>269</v>
      </c>
      <c r="L208" s="365" t="s">
        <v>554</v>
      </c>
      <c r="M208" s="362" t="s">
        <v>1871</v>
      </c>
      <c r="N208" s="421" t="s">
        <v>606</v>
      </c>
      <c r="O208" s="269">
        <v>44.13</v>
      </c>
      <c r="P208" s="269">
        <v>83.61</v>
      </c>
      <c r="Q208" s="426"/>
      <c r="R208" s="418" t="s">
        <v>3395</v>
      </c>
      <c r="S208" s="427" t="s">
        <v>613</v>
      </c>
      <c r="T208" s="357">
        <v>1</v>
      </c>
      <c r="U208" s="357" t="s">
        <v>204</v>
      </c>
      <c r="V208" s="367">
        <v>144000000</v>
      </c>
      <c r="W208" s="368">
        <v>144000000</v>
      </c>
      <c r="X208" s="357"/>
      <c r="Y208" s="357"/>
      <c r="Z208" s="400"/>
      <c r="AA208" s="369"/>
      <c r="AB208" s="370"/>
      <c r="AC208" s="404"/>
      <c r="AD208" s="270"/>
      <c r="AE208" s="156"/>
      <c r="AF208" s="156"/>
      <c r="AG208" s="357"/>
      <c r="AH208" s="357"/>
      <c r="AI208" s="357"/>
      <c r="AJ208" s="156"/>
      <c r="AK208" s="156"/>
      <c r="AL208" s="375"/>
      <c r="AM208" s="405"/>
      <c r="AN208" s="273"/>
      <c r="AO208" s="405"/>
      <c r="AP208" s="273"/>
      <c r="AQ208" s="273"/>
      <c r="AR208" s="273"/>
      <c r="AS208" s="273"/>
      <c r="AT208" s="273"/>
      <c r="AU208" s="273"/>
      <c r="AV208" s="322">
        <f t="shared" si="11"/>
        <v>0</v>
      </c>
      <c r="AW208" s="402"/>
      <c r="AX208" s="376"/>
      <c r="AY208" s="373"/>
      <c r="AZ208" s="375"/>
      <c r="BA208" s="375"/>
      <c r="BB208" s="156"/>
      <c r="BC208" s="156"/>
      <c r="BD208" s="353">
        <f t="shared" si="12"/>
        <v>0</v>
      </c>
      <c r="BE208" s="432" t="s">
        <v>355</v>
      </c>
      <c r="BF208" s="407" t="s">
        <v>498</v>
      </c>
      <c r="BG208" s="168"/>
      <c r="BH208" s="274"/>
      <c r="BI208" s="168"/>
      <c r="BJ208" s="274"/>
      <c r="BK208" s="168"/>
      <c r="BL208" s="275"/>
      <c r="BM208" s="276"/>
      <c r="BN208" s="275"/>
      <c r="BO208" s="276"/>
      <c r="BP208" s="277"/>
      <c r="BQ208" s="156"/>
      <c r="BR208" s="274"/>
      <c r="BS208" s="270"/>
      <c r="BT208" s="270"/>
      <c r="BU208" s="274"/>
      <c r="BV208" s="274"/>
      <c r="BW208" s="278"/>
      <c r="BX208" s="278"/>
      <c r="BY208" s="278"/>
      <c r="BZ208" s="351"/>
    </row>
    <row r="209" spans="1:78" s="90" customFormat="1" ht="19.5" hidden="1" customHeight="1">
      <c r="A209" s="137"/>
      <c r="B209" s="197">
        <f t="shared" si="10"/>
        <v>199</v>
      </c>
      <c r="C209" s="30" t="s">
        <v>206</v>
      </c>
      <c r="D209" s="30" t="s">
        <v>225</v>
      </c>
      <c r="E209" s="234" t="s">
        <v>819</v>
      </c>
      <c r="F209" s="235" t="s">
        <v>1231</v>
      </c>
      <c r="G209" s="284">
        <f>IFERROR(VLOOKUP(E209,Assign!$C$2:$J$142,8,FALSE),)</f>
        <v>0</v>
      </c>
      <c r="H209" s="361" t="s">
        <v>4290</v>
      </c>
      <c r="I209" s="363">
        <v>1</v>
      </c>
      <c r="J209" s="364" t="s">
        <v>208</v>
      </c>
      <c r="K209" s="364" t="s">
        <v>413</v>
      </c>
      <c r="L209" s="365" t="s">
        <v>1858</v>
      </c>
      <c r="M209" s="362" t="s">
        <v>1859</v>
      </c>
      <c r="N209" s="421" t="s">
        <v>606</v>
      </c>
      <c r="O209" s="269">
        <v>55.061</v>
      </c>
      <c r="P209" s="269">
        <v>50.37</v>
      </c>
      <c r="Q209" s="426"/>
      <c r="R209" s="418" t="s">
        <v>819</v>
      </c>
      <c r="S209" s="427" t="s">
        <v>613</v>
      </c>
      <c r="T209" s="357">
        <v>1</v>
      </c>
      <c r="U209" s="357" t="s">
        <v>204</v>
      </c>
      <c r="V209" s="367">
        <v>138840000</v>
      </c>
      <c r="W209" s="368">
        <v>138840000</v>
      </c>
      <c r="X209" s="357"/>
      <c r="Y209" s="357"/>
      <c r="Z209" s="400"/>
      <c r="AA209" s="369"/>
      <c r="AB209" s="370"/>
      <c r="AC209" s="404"/>
      <c r="AD209" s="270"/>
      <c r="AE209" s="156"/>
      <c r="AF209" s="156"/>
      <c r="AG209" s="357"/>
      <c r="AH209" s="357"/>
      <c r="AI209" s="357"/>
      <c r="AJ209" s="156"/>
      <c r="AK209" s="156"/>
      <c r="AL209" s="375"/>
      <c r="AM209" s="405"/>
      <c r="AN209" s="273"/>
      <c r="AO209" s="405"/>
      <c r="AP209" s="273"/>
      <c r="AQ209" s="273"/>
      <c r="AR209" s="273"/>
      <c r="AS209" s="273"/>
      <c r="AT209" s="273"/>
      <c r="AU209" s="273"/>
      <c r="AV209" s="322">
        <f t="shared" si="11"/>
        <v>0</v>
      </c>
      <c r="AW209" s="402"/>
      <c r="AX209" s="274"/>
      <c r="AY209" s="270"/>
      <c r="AZ209" s="156"/>
      <c r="BA209" s="156"/>
      <c r="BB209" s="156"/>
      <c r="BC209" s="156"/>
      <c r="BD209" s="353">
        <f t="shared" si="12"/>
        <v>0</v>
      </c>
      <c r="BE209" s="432" t="s">
        <v>355</v>
      </c>
      <c r="BF209" s="407" t="s">
        <v>499</v>
      </c>
      <c r="BG209" s="168"/>
      <c r="BH209" s="274"/>
      <c r="BI209" s="168"/>
      <c r="BJ209" s="274"/>
      <c r="BK209" s="168"/>
      <c r="BL209" s="275"/>
      <c r="BM209" s="276"/>
      <c r="BN209" s="275"/>
      <c r="BO209" s="276"/>
      <c r="BP209" s="277"/>
      <c r="BQ209" s="156"/>
      <c r="BR209" s="274"/>
      <c r="BS209" s="270"/>
      <c r="BT209" s="270"/>
      <c r="BU209" s="274"/>
      <c r="BV209" s="274"/>
      <c r="BW209" s="278"/>
      <c r="BX209" s="278"/>
      <c r="BY209" s="278"/>
      <c r="BZ209" s="351"/>
    </row>
    <row r="210" spans="1:78" s="90" customFormat="1" ht="19.5" hidden="1" customHeight="1">
      <c r="A210" s="137"/>
      <c r="B210" s="197">
        <f t="shared" si="10"/>
        <v>200</v>
      </c>
      <c r="C210" s="30" t="s">
        <v>206</v>
      </c>
      <c r="D210" s="30" t="s">
        <v>225</v>
      </c>
      <c r="E210" s="234" t="s">
        <v>820</v>
      </c>
      <c r="F210" s="235" t="s">
        <v>1229</v>
      </c>
      <c r="G210" s="284">
        <f>IFERROR(VLOOKUP(E210,Assign!$C$2:$J$142,8,FALSE),)</f>
        <v>0</v>
      </c>
      <c r="H210" s="361" t="s">
        <v>4491</v>
      </c>
      <c r="I210" s="363">
        <v>1</v>
      </c>
      <c r="J210" s="364" t="s">
        <v>224</v>
      </c>
      <c r="K210" s="364" t="s">
        <v>1458</v>
      </c>
      <c r="L210" s="365" t="s">
        <v>2034</v>
      </c>
      <c r="M210" s="362" t="s">
        <v>2035</v>
      </c>
      <c r="N210" s="421" t="s">
        <v>559</v>
      </c>
      <c r="O210" s="269">
        <v>14.03</v>
      </c>
      <c r="P210" s="269">
        <v>22.5</v>
      </c>
      <c r="Q210" s="426"/>
      <c r="R210" s="418" t="s">
        <v>820</v>
      </c>
      <c r="S210" s="427" t="s">
        <v>613</v>
      </c>
      <c r="T210" s="357">
        <v>1</v>
      </c>
      <c r="U210" s="357" t="s">
        <v>204</v>
      </c>
      <c r="V210" s="367">
        <v>144000000</v>
      </c>
      <c r="W210" s="368">
        <v>144000000</v>
      </c>
      <c r="X210" s="357"/>
      <c r="Y210" s="357"/>
      <c r="Z210" s="400"/>
      <c r="AA210" s="369"/>
      <c r="AB210" s="370"/>
      <c r="AC210" s="404"/>
      <c r="AD210" s="270"/>
      <c r="AE210" s="156"/>
      <c r="AF210" s="156"/>
      <c r="AG210" s="357"/>
      <c r="AH210" s="357"/>
      <c r="AI210" s="357"/>
      <c r="AJ210" s="156"/>
      <c r="AK210" s="156"/>
      <c r="AL210" s="375"/>
      <c r="AM210" s="405"/>
      <c r="AN210" s="273"/>
      <c r="AO210" s="405"/>
      <c r="AP210" s="273"/>
      <c r="AQ210" s="273"/>
      <c r="AR210" s="273"/>
      <c r="AS210" s="273"/>
      <c r="AT210" s="273"/>
      <c r="AU210" s="273"/>
      <c r="AV210" s="322">
        <f t="shared" si="11"/>
        <v>0</v>
      </c>
      <c r="AW210" s="402"/>
      <c r="AX210" s="376"/>
      <c r="AY210" s="373"/>
      <c r="AZ210" s="375"/>
      <c r="BA210" s="375"/>
      <c r="BB210" s="375"/>
      <c r="BC210" s="375"/>
      <c r="BD210" s="353">
        <f t="shared" si="12"/>
        <v>0</v>
      </c>
      <c r="BE210" s="432" t="s">
        <v>355</v>
      </c>
      <c r="BF210" s="407" t="s">
        <v>512</v>
      </c>
      <c r="BG210" s="168"/>
      <c r="BH210" s="274"/>
      <c r="BI210" s="168"/>
      <c r="BJ210" s="274"/>
      <c r="BK210" s="168"/>
      <c r="BL210" s="275"/>
      <c r="BM210" s="276"/>
      <c r="BN210" s="275"/>
      <c r="BO210" s="276"/>
      <c r="BP210" s="277"/>
      <c r="BQ210" s="156"/>
      <c r="BR210" s="274"/>
      <c r="BS210" s="270"/>
      <c r="BT210" s="270"/>
      <c r="BU210" s="274"/>
      <c r="BV210" s="274"/>
      <c r="BW210" s="278"/>
      <c r="BX210" s="278"/>
      <c r="BY210" s="278"/>
      <c r="BZ210" s="351"/>
    </row>
    <row r="211" spans="1:78" s="90" customFormat="1" ht="19.5" hidden="1" customHeight="1">
      <c r="A211" s="137"/>
      <c r="B211" s="197">
        <f t="shared" si="10"/>
        <v>201</v>
      </c>
      <c r="C211" s="30" t="s">
        <v>206</v>
      </c>
      <c r="D211" s="30" t="s">
        <v>225</v>
      </c>
      <c r="E211" s="234" t="s">
        <v>821</v>
      </c>
      <c r="F211" s="235" t="s">
        <v>611</v>
      </c>
      <c r="G211" s="284">
        <f>IFERROR(VLOOKUP(E211,Assign!$C$2:$J$142,8,FALSE),)</f>
        <v>0</v>
      </c>
      <c r="H211" s="361" t="s">
        <v>4362</v>
      </c>
      <c r="I211" s="363">
        <v>1</v>
      </c>
      <c r="J211" s="364" t="s">
        <v>209</v>
      </c>
      <c r="K211" s="364" t="s">
        <v>1546</v>
      </c>
      <c r="L211" s="365" t="s">
        <v>1919</v>
      </c>
      <c r="M211" s="362" t="s">
        <v>1920</v>
      </c>
      <c r="N211" s="421" t="s">
        <v>207</v>
      </c>
      <c r="O211" s="269">
        <v>61.08</v>
      </c>
      <c r="P211" s="269">
        <v>120</v>
      </c>
      <c r="Q211" s="426"/>
      <c r="R211" s="418" t="s">
        <v>821</v>
      </c>
      <c r="S211" s="427" t="s">
        <v>613</v>
      </c>
      <c r="T211" s="357">
        <v>3</v>
      </c>
      <c r="U211" s="357" t="s">
        <v>204</v>
      </c>
      <c r="V211" s="367">
        <v>120000000</v>
      </c>
      <c r="W211" s="368">
        <v>120000000</v>
      </c>
      <c r="X211" s="357"/>
      <c r="Y211" s="357"/>
      <c r="Z211" s="400"/>
      <c r="AA211" s="369"/>
      <c r="AB211" s="370"/>
      <c r="AC211" s="404" t="s">
        <v>229</v>
      </c>
      <c r="AD211" s="270" t="s">
        <v>204</v>
      </c>
      <c r="AE211" s="156">
        <v>261600000</v>
      </c>
      <c r="AF211" s="156">
        <v>261600000</v>
      </c>
      <c r="AG211" s="357"/>
      <c r="AH211" s="357"/>
      <c r="AI211" s="357"/>
      <c r="AJ211" s="156"/>
      <c r="AK211" s="156"/>
      <c r="AL211" s="375"/>
      <c r="AM211" s="405"/>
      <c r="AN211" s="273"/>
      <c r="AO211" s="405"/>
      <c r="AP211" s="273"/>
      <c r="AQ211" s="273"/>
      <c r="AR211" s="273"/>
      <c r="AS211" s="273"/>
      <c r="AT211" s="273"/>
      <c r="AU211" s="273"/>
      <c r="AV211" s="322">
        <f t="shared" si="11"/>
        <v>0</v>
      </c>
      <c r="AW211" s="402" t="s">
        <v>3387</v>
      </c>
      <c r="AX211" s="376">
        <v>45765</v>
      </c>
      <c r="AY211" s="373" t="s">
        <v>3388</v>
      </c>
      <c r="AZ211" s="375"/>
      <c r="BA211" s="375">
        <v>1275000000</v>
      </c>
      <c r="BB211" s="156"/>
      <c r="BC211" s="156"/>
      <c r="BD211" s="353">
        <f t="shared" si="12"/>
        <v>1275000000</v>
      </c>
      <c r="BE211" s="432" t="s">
        <v>335</v>
      </c>
      <c r="BF211" s="407" t="s">
        <v>511</v>
      </c>
      <c r="BG211" s="168" t="s">
        <v>3393</v>
      </c>
      <c r="BH211" s="274">
        <v>45546</v>
      </c>
      <c r="BI211" s="168" t="s">
        <v>3294</v>
      </c>
      <c r="BJ211" s="274">
        <v>45623</v>
      </c>
      <c r="BK211" s="168">
        <v>202941357</v>
      </c>
      <c r="BL211" s="275"/>
      <c r="BM211" s="276"/>
      <c r="BN211" s="275"/>
      <c r="BO211" s="276"/>
      <c r="BP211" s="277"/>
      <c r="BQ211" s="156"/>
      <c r="BR211" s="274"/>
      <c r="BS211" s="270"/>
      <c r="BT211" s="270"/>
      <c r="BU211" s="274"/>
      <c r="BV211" s="274"/>
      <c r="BW211" s="278"/>
      <c r="BX211" s="278"/>
      <c r="BY211" s="278"/>
      <c r="BZ211" s="351"/>
    </row>
    <row r="212" spans="1:78" s="90" customFormat="1" ht="19.5" hidden="1" customHeight="1">
      <c r="A212" s="137"/>
      <c r="B212" s="197">
        <f t="shared" si="10"/>
        <v>202</v>
      </c>
      <c r="C212" s="30" t="s">
        <v>206</v>
      </c>
      <c r="D212" s="30" t="s">
        <v>225</v>
      </c>
      <c r="E212" s="234" t="s">
        <v>822</v>
      </c>
      <c r="F212" s="235" t="s">
        <v>1225</v>
      </c>
      <c r="G212" s="284">
        <f>IFERROR(VLOOKUP(E212,Assign!$C$2:$J$142,8,FALSE),)</f>
        <v>0</v>
      </c>
      <c r="H212" s="361" t="s">
        <v>4426</v>
      </c>
      <c r="I212" s="363">
        <v>1</v>
      </c>
      <c r="J212" s="364" t="s">
        <v>208</v>
      </c>
      <c r="K212" s="364" t="s">
        <v>228</v>
      </c>
      <c r="L212" s="365" t="s">
        <v>1925</v>
      </c>
      <c r="M212" s="362" t="s">
        <v>1979</v>
      </c>
      <c r="N212" s="421" t="s">
        <v>207</v>
      </c>
      <c r="O212" s="269">
        <v>63.389600000000002</v>
      </c>
      <c r="P212" s="269">
        <v>84.96</v>
      </c>
      <c r="Q212" s="426"/>
      <c r="R212" s="418" t="s">
        <v>822</v>
      </c>
      <c r="S212" s="427" t="s">
        <v>613</v>
      </c>
      <c r="T212" s="357">
        <v>3</v>
      </c>
      <c r="U212" s="357" t="s">
        <v>204</v>
      </c>
      <c r="V212" s="367">
        <v>120000000</v>
      </c>
      <c r="W212" s="368">
        <v>120000000</v>
      </c>
      <c r="X212" s="357"/>
      <c r="Y212" s="357"/>
      <c r="Z212" s="400"/>
      <c r="AA212" s="369"/>
      <c r="AB212" s="370"/>
      <c r="AC212" s="404" t="s">
        <v>3862</v>
      </c>
      <c r="AD212" s="270" t="s">
        <v>3855</v>
      </c>
      <c r="AE212" s="156">
        <v>147600000</v>
      </c>
      <c r="AF212" s="156">
        <v>147600000</v>
      </c>
      <c r="AG212" s="357"/>
      <c r="AH212" s="357"/>
      <c r="AI212" s="357"/>
      <c r="AJ212" s="156"/>
      <c r="AK212" s="156"/>
      <c r="AL212" s="375"/>
      <c r="AM212" s="405"/>
      <c r="AN212" s="273"/>
      <c r="AO212" s="405"/>
      <c r="AP212" s="273"/>
      <c r="AQ212" s="273"/>
      <c r="AR212" s="273"/>
      <c r="AS212" s="273"/>
      <c r="AT212" s="273"/>
      <c r="AU212" s="273"/>
      <c r="AV212" s="322">
        <f t="shared" si="11"/>
        <v>0</v>
      </c>
      <c r="AW212" s="402" t="s">
        <v>3387</v>
      </c>
      <c r="AX212" s="376">
        <v>45765</v>
      </c>
      <c r="AY212" s="373" t="s">
        <v>3388</v>
      </c>
      <c r="AZ212" s="375"/>
      <c r="BA212" s="375">
        <v>267500000</v>
      </c>
      <c r="BB212" s="156"/>
      <c r="BC212" s="156"/>
      <c r="BD212" s="353">
        <f t="shared" si="12"/>
        <v>267500000</v>
      </c>
      <c r="BE212" s="432" t="s">
        <v>355</v>
      </c>
      <c r="BF212" s="407" t="s">
        <v>424</v>
      </c>
      <c r="BG212" s="168"/>
      <c r="BH212" s="274"/>
      <c r="BI212" s="168"/>
      <c r="BJ212" s="274"/>
      <c r="BK212" s="168"/>
      <c r="BL212" s="275"/>
      <c r="BM212" s="276"/>
      <c r="BN212" s="275"/>
      <c r="BO212" s="276"/>
      <c r="BP212" s="277"/>
      <c r="BQ212" s="156"/>
      <c r="BR212" s="274"/>
      <c r="BS212" s="270"/>
      <c r="BT212" s="270"/>
      <c r="BU212" s="274"/>
      <c r="BV212" s="274"/>
      <c r="BW212" s="278"/>
      <c r="BX212" s="278"/>
      <c r="BY212" s="278"/>
      <c r="BZ212" s="351"/>
    </row>
    <row r="213" spans="1:78" s="90" customFormat="1" ht="19.5" hidden="1" customHeight="1">
      <c r="A213" s="137"/>
      <c r="B213" s="197">
        <f t="shared" si="10"/>
        <v>203</v>
      </c>
      <c r="C213" s="30" t="s">
        <v>206</v>
      </c>
      <c r="D213" s="30" t="s">
        <v>225</v>
      </c>
      <c r="E213" s="234" t="s">
        <v>823</v>
      </c>
      <c r="F213" s="235" t="s">
        <v>1257</v>
      </c>
      <c r="G213" s="284">
        <f>IFERROR(VLOOKUP(E213,Assign!$C$2:$J$142,8,FALSE),)</f>
        <v>0</v>
      </c>
      <c r="H213" s="361" t="s">
        <v>4810</v>
      </c>
      <c r="I213" s="363">
        <v>1</v>
      </c>
      <c r="J213" s="364" t="s">
        <v>210</v>
      </c>
      <c r="K213" s="364" t="s">
        <v>232</v>
      </c>
      <c r="L213" s="365" t="s">
        <v>2338</v>
      </c>
      <c r="M213" s="362" t="s">
        <v>2339</v>
      </c>
      <c r="N213" s="421" t="s">
        <v>207</v>
      </c>
      <c r="O213" s="269">
        <v>39.024000000000001</v>
      </c>
      <c r="P213" s="269">
        <v>59.54</v>
      </c>
      <c r="Q213" s="426"/>
      <c r="R213" s="418" t="s">
        <v>3486</v>
      </c>
      <c r="S213" s="427" t="s">
        <v>613</v>
      </c>
      <c r="T213" s="357">
        <v>2</v>
      </c>
      <c r="U213" s="357" t="s">
        <v>204</v>
      </c>
      <c r="V213" s="367">
        <v>120000000</v>
      </c>
      <c r="W213" s="368">
        <v>120000000</v>
      </c>
      <c r="X213" s="357"/>
      <c r="Y213" s="357"/>
      <c r="Z213" s="400"/>
      <c r="AA213" s="369"/>
      <c r="AB213" s="370"/>
      <c r="AC213" s="404">
        <v>1</v>
      </c>
      <c r="AD213" s="270" t="s">
        <v>204</v>
      </c>
      <c r="AE213" s="156">
        <v>151200000</v>
      </c>
      <c r="AF213" s="156">
        <v>151200000</v>
      </c>
      <c r="AG213" s="357"/>
      <c r="AH213" s="357"/>
      <c r="AI213" s="357"/>
      <c r="AJ213" s="156"/>
      <c r="AK213" s="156"/>
      <c r="AL213" s="375"/>
      <c r="AM213" s="405"/>
      <c r="AN213" s="273"/>
      <c r="AO213" s="405"/>
      <c r="AP213" s="273"/>
      <c r="AQ213" s="273"/>
      <c r="AR213" s="273"/>
      <c r="AS213" s="273"/>
      <c r="AT213" s="273"/>
      <c r="AU213" s="273"/>
      <c r="AV213" s="322">
        <f t="shared" si="11"/>
        <v>0</v>
      </c>
      <c r="AW213" s="402" t="s">
        <v>3387</v>
      </c>
      <c r="AX213" s="376">
        <v>45765</v>
      </c>
      <c r="AY213" s="373" t="s">
        <v>3388</v>
      </c>
      <c r="AZ213" s="375"/>
      <c r="BA213" s="375">
        <v>345000000</v>
      </c>
      <c r="BB213" s="156"/>
      <c r="BC213" s="156"/>
      <c r="BD213" s="353">
        <f t="shared" si="12"/>
        <v>345000000</v>
      </c>
      <c r="BE213" s="432" t="s">
        <v>355</v>
      </c>
      <c r="BF213" s="407" t="s">
        <v>503</v>
      </c>
      <c r="BG213" s="168"/>
      <c r="BH213" s="274"/>
      <c r="BI213" s="168"/>
      <c r="BJ213" s="274"/>
      <c r="BK213" s="168"/>
      <c r="BL213" s="275"/>
      <c r="BM213" s="276"/>
      <c r="BN213" s="275"/>
      <c r="BO213" s="276"/>
      <c r="BP213" s="277"/>
      <c r="BQ213" s="156"/>
      <c r="BR213" s="274"/>
      <c r="BS213" s="270"/>
      <c r="BT213" s="270"/>
      <c r="BU213" s="274"/>
      <c r="BV213" s="274"/>
      <c r="BW213" s="278"/>
      <c r="BX213" s="278"/>
      <c r="BY213" s="278"/>
      <c r="BZ213" s="351"/>
    </row>
    <row r="214" spans="1:78" s="90" customFormat="1" ht="19.5" hidden="1" customHeight="1">
      <c r="A214" s="137"/>
      <c r="B214" s="197">
        <f t="shared" si="10"/>
        <v>204</v>
      </c>
      <c r="C214" s="30" t="s">
        <v>206</v>
      </c>
      <c r="D214" s="30" t="s">
        <v>225</v>
      </c>
      <c r="E214" s="234" t="s">
        <v>824</v>
      </c>
      <c r="F214" s="235" t="s">
        <v>1258</v>
      </c>
      <c r="G214" s="284">
        <f>IFERROR(VLOOKUP(E214,Assign!$C$2:$J$142,8,FALSE),)</f>
        <v>0</v>
      </c>
      <c r="H214" s="361" t="s">
        <v>5364</v>
      </c>
      <c r="I214" s="363">
        <v>1</v>
      </c>
      <c r="J214" s="364" t="s">
        <v>209</v>
      </c>
      <c r="K214" s="364" t="s">
        <v>341</v>
      </c>
      <c r="L214" s="365" t="s">
        <v>342</v>
      </c>
      <c r="M214" s="362" t="s">
        <v>2841</v>
      </c>
      <c r="N214" s="421" t="s">
        <v>618</v>
      </c>
      <c r="O214" s="269">
        <v>170.26</v>
      </c>
      <c r="P214" s="269">
        <v>209.64</v>
      </c>
      <c r="Q214" s="426"/>
      <c r="R214" s="418" t="s">
        <v>671</v>
      </c>
      <c r="S214" s="427" t="s">
        <v>613</v>
      </c>
      <c r="T214" s="357">
        <v>4</v>
      </c>
      <c r="U214" s="357" t="s">
        <v>204</v>
      </c>
      <c r="V214" s="367">
        <v>120000000</v>
      </c>
      <c r="W214" s="368">
        <v>120000000</v>
      </c>
      <c r="X214" s="357"/>
      <c r="Y214" s="357"/>
      <c r="Z214" s="400"/>
      <c r="AA214" s="369"/>
      <c r="AB214" s="370"/>
      <c r="AC214" s="404" t="s">
        <v>233</v>
      </c>
      <c r="AD214" s="270" t="s">
        <v>204</v>
      </c>
      <c r="AE214" s="156">
        <v>1510000000</v>
      </c>
      <c r="AF214" s="156">
        <v>1510000000</v>
      </c>
      <c r="AG214" s="357"/>
      <c r="AH214" s="357"/>
      <c r="AI214" s="357"/>
      <c r="AJ214" s="156"/>
      <c r="AK214" s="156"/>
      <c r="AL214" s="375"/>
      <c r="AM214" s="405"/>
      <c r="AN214" s="273"/>
      <c r="AO214" s="405"/>
      <c r="AP214" s="273"/>
      <c r="AQ214" s="273"/>
      <c r="AR214" s="273"/>
      <c r="AS214" s="273"/>
      <c r="AT214" s="273"/>
      <c r="AU214" s="273"/>
      <c r="AV214" s="322">
        <f t="shared" si="11"/>
        <v>0</v>
      </c>
      <c r="AW214" s="402"/>
      <c r="AX214" s="376"/>
      <c r="AY214" s="373"/>
      <c r="AZ214" s="375"/>
      <c r="BA214" s="375"/>
      <c r="BB214" s="375"/>
      <c r="BC214" s="375"/>
      <c r="BD214" s="353">
        <f t="shared" si="12"/>
        <v>0</v>
      </c>
      <c r="BE214" s="432" t="s">
        <v>355</v>
      </c>
      <c r="BF214" s="407" t="s">
        <v>519</v>
      </c>
      <c r="BG214" s="168"/>
      <c r="BH214" s="274"/>
      <c r="BI214" s="168"/>
      <c r="BJ214" s="274"/>
      <c r="BK214" s="168"/>
      <c r="BL214" s="275"/>
      <c r="BM214" s="276"/>
      <c r="BN214" s="275"/>
      <c r="BO214" s="276"/>
      <c r="BP214" s="277"/>
      <c r="BQ214" s="156"/>
      <c r="BR214" s="274"/>
      <c r="BS214" s="270"/>
      <c r="BT214" s="270"/>
      <c r="BU214" s="274"/>
      <c r="BV214" s="274"/>
      <c r="BW214" s="278"/>
      <c r="BX214" s="278"/>
      <c r="BY214" s="278"/>
      <c r="BZ214" s="351"/>
    </row>
    <row r="215" spans="1:78" s="90" customFormat="1" ht="19.5" hidden="1" customHeight="1">
      <c r="A215" s="137"/>
      <c r="B215" s="197">
        <f t="shared" si="10"/>
        <v>205</v>
      </c>
      <c r="C215" s="30" t="s">
        <v>206</v>
      </c>
      <c r="D215" s="30" t="s">
        <v>225</v>
      </c>
      <c r="E215" s="234" t="s">
        <v>825</v>
      </c>
      <c r="F215" s="235" t="s">
        <v>1221</v>
      </c>
      <c r="G215" s="284">
        <f>IFERROR(VLOOKUP(E215,Assign!$C$2:$J$142,8,FALSE),)</f>
        <v>0</v>
      </c>
      <c r="H215" s="361" t="s">
        <v>4851</v>
      </c>
      <c r="I215" s="363">
        <v>1</v>
      </c>
      <c r="J215" s="364" t="s">
        <v>208</v>
      </c>
      <c r="K215" s="364" t="s">
        <v>234</v>
      </c>
      <c r="L215" s="365" t="s">
        <v>235</v>
      </c>
      <c r="M215" s="362" t="s">
        <v>2376</v>
      </c>
      <c r="N215" s="421" t="s">
        <v>531</v>
      </c>
      <c r="O215" s="269">
        <v>4.2731000000000003</v>
      </c>
      <c r="P215" s="269">
        <v>19.6645</v>
      </c>
      <c r="Q215" s="426"/>
      <c r="R215" s="418" t="s">
        <v>825</v>
      </c>
      <c r="S215" s="427" t="s">
        <v>613</v>
      </c>
      <c r="T215" s="357">
        <v>1</v>
      </c>
      <c r="U215" s="357" t="s">
        <v>204</v>
      </c>
      <c r="V215" s="367">
        <v>120000000</v>
      </c>
      <c r="W215" s="368">
        <v>120000000</v>
      </c>
      <c r="X215" s="357"/>
      <c r="Y215" s="357"/>
      <c r="Z215" s="400"/>
      <c r="AA215" s="369"/>
      <c r="AB215" s="370"/>
      <c r="AC215" s="404"/>
      <c r="AD215" s="270"/>
      <c r="AE215" s="156"/>
      <c r="AF215" s="156"/>
      <c r="AG215" s="357"/>
      <c r="AH215" s="357"/>
      <c r="AI215" s="357"/>
      <c r="AJ215" s="156"/>
      <c r="AK215" s="156"/>
      <c r="AL215" s="375"/>
      <c r="AM215" s="405"/>
      <c r="AN215" s="273"/>
      <c r="AO215" s="405"/>
      <c r="AP215" s="273"/>
      <c r="AQ215" s="273"/>
      <c r="AR215" s="273"/>
      <c r="AS215" s="273"/>
      <c r="AT215" s="273"/>
      <c r="AU215" s="273"/>
      <c r="AV215" s="322">
        <f t="shared" si="11"/>
        <v>0</v>
      </c>
      <c r="AW215" s="402"/>
      <c r="AX215" s="376"/>
      <c r="AY215" s="373"/>
      <c r="AZ215" s="375"/>
      <c r="BA215" s="375"/>
      <c r="BB215" s="375"/>
      <c r="BC215" s="375"/>
      <c r="BD215" s="353">
        <f t="shared" si="12"/>
        <v>0</v>
      </c>
      <c r="BE215" s="432" t="s">
        <v>355</v>
      </c>
      <c r="BF215" s="407" t="s">
        <v>504</v>
      </c>
      <c r="BG215" s="168"/>
      <c r="BH215" s="274"/>
      <c r="BI215" s="168"/>
      <c r="BJ215" s="274"/>
      <c r="BK215" s="168"/>
      <c r="BL215" s="275"/>
      <c r="BM215" s="276"/>
      <c r="BN215" s="275"/>
      <c r="BO215" s="276"/>
      <c r="BP215" s="277"/>
      <c r="BQ215" s="156"/>
      <c r="BR215" s="274"/>
      <c r="BS215" s="270"/>
      <c r="BT215" s="270"/>
      <c r="BU215" s="274"/>
      <c r="BV215" s="274"/>
      <c r="BW215" s="278"/>
      <c r="BX215" s="278"/>
      <c r="BY215" s="278"/>
      <c r="BZ215" s="351"/>
    </row>
    <row r="216" spans="1:78" s="90" customFormat="1" ht="19.5" hidden="1" customHeight="1">
      <c r="A216" s="137"/>
      <c r="B216" s="197">
        <f t="shared" si="10"/>
        <v>206</v>
      </c>
      <c r="C216" s="30" t="s">
        <v>206</v>
      </c>
      <c r="D216" s="30" t="s">
        <v>225</v>
      </c>
      <c r="E216" s="234" t="s">
        <v>826</v>
      </c>
      <c r="F216" s="235" t="s">
        <v>1217</v>
      </c>
      <c r="G216" s="284">
        <f>IFERROR(VLOOKUP(E216,Assign!$C$2:$J$142,8,FALSE),)</f>
        <v>0</v>
      </c>
      <c r="H216" s="361" t="s">
        <v>4638</v>
      </c>
      <c r="I216" s="363">
        <v>1</v>
      </c>
      <c r="J216" s="364" t="s">
        <v>208</v>
      </c>
      <c r="K216" s="364" t="s">
        <v>261</v>
      </c>
      <c r="L216" s="365" t="s">
        <v>1822</v>
      </c>
      <c r="M216" s="362" t="s">
        <v>2173</v>
      </c>
      <c r="N216" s="421" t="s">
        <v>207</v>
      </c>
      <c r="O216" s="269">
        <v>59.18</v>
      </c>
      <c r="P216" s="269">
        <v>83.21</v>
      </c>
      <c r="Q216" s="426"/>
      <c r="R216" s="418" t="s">
        <v>826</v>
      </c>
      <c r="S216" s="427" t="s">
        <v>613</v>
      </c>
      <c r="T216" s="357">
        <v>1</v>
      </c>
      <c r="U216" s="357" t="s">
        <v>204</v>
      </c>
      <c r="V216" s="367">
        <v>110000000</v>
      </c>
      <c r="W216" s="368">
        <v>110000000</v>
      </c>
      <c r="X216" s="357"/>
      <c r="Y216" s="357"/>
      <c r="Z216" s="400"/>
      <c r="AA216" s="369"/>
      <c r="AB216" s="370"/>
      <c r="AC216" s="404"/>
      <c r="AD216" s="270"/>
      <c r="AE216" s="156"/>
      <c r="AF216" s="156"/>
      <c r="AG216" s="357"/>
      <c r="AH216" s="357"/>
      <c r="AI216" s="357"/>
      <c r="AJ216" s="156"/>
      <c r="AK216" s="156"/>
      <c r="AL216" s="375"/>
      <c r="AM216" s="405"/>
      <c r="AN216" s="273"/>
      <c r="AO216" s="405"/>
      <c r="AP216" s="273"/>
      <c r="AQ216" s="273"/>
      <c r="AR216" s="273"/>
      <c r="AS216" s="273"/>
      <c r="AT216" s="273"/>
      <c r="AU216" s="273"/>
      <c r="AV216" s="322">
        <f t="shared" si="11"/>
        <v>0</v>
      </c>
      <c r="AW216" s="402" t="s">
        <v>3387</v>
      </c>
      <c r="AX216" s="376">
        <v>45765</v>
      </c>
      <c r="AY216" s="373" t="s">
        <v>3388</v>
      </c>
      <c r="AZ216" s="375"/>
      <c r="BA216" s="375">
        <v>205000000</v>
      </c>
      <c r="BB216" s="156"/>
      <c r="BC216" s="156"/>
      <c r="BD216" s="353">
        <f t="shared" si="12"/>
        <v>205000000</v>
      </c>
      <c r="BE216" s="432" t="s">
        <v>355</v>
      </c>
      <c r="BF216" s="407" t="s">
        <v>499</v>
      </c>
      <c r="BG216" s="168"/>
      <c r="BH216" s="274"/>
      <c r="BI216" s="168"/>
      <c r="BJ216" s="274"/>
      <c r="BK216" s="168"/>
      <c r="BL216" s="275"/>
      <c r="BM216" s="276"/>
      <c r="BN216" s="275"/>
      <c r="BO216" s="276"/>
      <c r="BP216" s="277"/>
      <c r="BQ216" s="156"/>
      <c r="BR216" s="274"/>
      <c r="BS216" s="270"/>
      <c r="BT216" s="270"/>
      <c r="BU216" s="274"/>
      <c r="BV216" s="274"/>
      <c r="BW216" s="278"/>
      <c r="BX216" s="278"/>
      <c r="BY216" s="278"/>
      <c r="BZ216" s="351"/>
    </row>
    <row r="217" spans="1:78" s="90" customFormat="1" ht="19.5" hidden="1" customHeight="1">
      <c r="A217" s="137"/>
      <c r="B217" s="197">
        <f t="shared" si="10"/>
        <v>207</v>
      </c>
      <c r="C217" s="30" t="s">
        <v>206</v>
      </c>
      <c r="D217" s="30" t="s">
        <v>225</v>
      </c>
      <c r="E217" s="234" t="s">
        <v>827</v>
      </c>
      <c r="F217" s="235" t="s">
        <v>1225</v>
      </c>
      <c r="G217" s="284" t="str">
        <f>IFERROR(VLOOKUP(E217,Assign!$C$2:$J$142,8,FALSE),)</f>
        <v>문선영</v>
      </c>
      <c r="H217" s="361" t="s">
        <v>4978</v>
      </c>
      <c r="I217" s="363">
        <v>1</v>
      </c>
      <c r="J217" s="364" t="s">
        <v>213</v>
      </c>
      <c r="K217" s="364" t="s">
        <v>2451</v>
      </c>
      <c r="L217" s="365" t="s">
        <v>2452</v>
      </c>
      <c r="M217" s="362" t="s">
        <v>2496</v>
      </c>
      <c r="N217" s="421" t="s">
        <v>3078</v>
      </c>
      <c r="O217" s="269">
        <v>6.8101651231871401</v>
      </c>
      <c r="P217" s="269">
        <v>41.88</v>
      </c>
      <c r="Q217" s="426"/>
      <c r="R217" s="418" t="s">
        <v>827</v>
      </c>
      <c r="S217" s="427" t="s">
        <v>613</v>
      </c>
      <c r="T217" s="357">
        <v>1</v>
      </c>
      <c r="U217" s="357" t="s">
        <v>204</v>
      </c>
      <c r="V217" s="367">
        <v>141600000</v>
      </c>
      <c r="W217" s="368">
        <v>141600000</v>
      </c>
      <c r="X217" s="357"/>
      <c r="Y217" s="357"/>
      <c r="Z217" s="400"/>
      <c r="AA217" s="369"/>
      <c r="AB217" s="370"/>
      <c r="AC217" s="404"/>
      <c r="AD217" s="270"/>
      <c r="AE217" s="156"/>
      <c r="AF217" s="156"/>
      <c r="AG217" s="357"/>
      <c r="AH217" s="357"/>
      <c r="AI217" s="357"/>
      <c r="AJ217" s="156"/>
      <c r="AK217" s="156"/>
      <c r="AL217" s="375"/>
      <c r="AM217" s="405"/>
      <c r="AN217" s="273"/>
      <c r="AO217" s="405"/>
      <c r="AP217" s="273"/>
      <c r="AQ217" s="273"/>
      <c r="AR217" s="273"/>
      <c r="AS217" s="273"/>
      <c r="AT217" s="273"/>
      <c r="AU217" s="273"/>
      <c r="AV217" s="322">
        <f t="shared" si="11"/>
        <v>0</v>
      </c>
      <c r="AW217" s="402"/>
      <c r="AX217" s="376"/>
      <c r="AY217" s="373"/>
      <c r="AZ217" s="375"/>
      <c r="BA217" s="375"/>
      <c r="BB217" s="375"/>
      <c r="BC217" s="375"/>
      <c r="BD217" s="353">
        <f t="shared" si="12"/>
        <v>0</v>
      </c>
      <c r="BE217" s="432" t="s">
        <v>355</v>
      </c>
      <c r="BF217" s="407" t="s">
        <v>524</v>
      </c>
      <c r="BG217" s="168"/>
      <c r="BH217" s="274"/>
      <c r="BI217" s="168"/>
      <c r="BJ217" s="274"/>
      <c r="BK217" s="168"/>
      <c r="BL217" s="275"/>
      <c r="BM217" s="276"/>
      <c r="BN217" s="275"/>
      <c r="BO217" s="276"/>
      <c r="BP217" s="277"/>
      <c r="BQ217" s="156"/>
      <c r="BR217" s="274"/>
      <c r="BS217" s="270"/>
      <c r="BT217" s="270"/>
      <c r="BU217" s="274"/>
      <c r="BV217" s="274"/>
      <c r="BW217" s="278"/>
      <c r="BX217" s="278"/>
      <c r="BY217" s="278"/>
      <c r="BZ217" s="351"/>
    </row>
    <row r="218" spans="1:78" s="90" customFormat="1" ht="19.5" hidden="1" customHeight="1">
      <c r="A218" s="137"/>
      <c r="B218" s="197">
        <f t="shared" si="10"/>
        <v>208</v>
      </c>
      <c r="C218" s="30" t="s">
        <v>206</v>
      </c>
      <c r="D218" s="30" t="s">
        <v>225</v>
      </c>
      <c r="E218" s="234" t="s">
        <v>828</v>
      </c>
      <c r="F218" s="235" t="s">
        <v>1229</v>
      </c>
      <c r="G218" s="284">
        <f>IFERROR(VLOOKUP(E218,Assign!$C$2:$J$142,8,FALSE),)</f>
        <v>0</v>
      </c>
      <c r="H218" s="361" t="s">
        <v>4419</v>
      </c>
      <c r="I218" s="363">
        <v>1</v>
      </c>
      <c r="J218" s="364" t="s">
        <v>208</v>
      </c>
      <c r="K218" s="364" t="s">
        <v>322</v>
      </c>
      <c r="L218" s="365" t="s">
        <v>395</v>
      </c>
      <c r="M218" s="362" t="s">
        <v>1975</v>
      </c>
      <c r="N218" s="421" t="s">
        <v>207</v>
      </c>
      <c r="O218" s="366" t="s">
        <v>265</v>
      </c>
      <c r="P218" s="269">
        <v>129.79</v>
      </c>
      <c r="Q218" s="426"/>
      <c r="R218" s="418" t="s">
        <v>828</v>
      </c>
      <c r="S218" s="427" t="s">
        <v>613</v>
      </c>
      <c r="T218" s="357">
        <v>1</v>
      </c>
      <c r="U218" s="357" t="s">
        <v>204</v>
      </c>
      <c r="V218" s="367">
        <v>144000000</v>
      </c>
      <c r="W218" s="368">
        <v>144000000</v>
      </c>
      <c r="X218" s="357"/>
      <c r="Y218" s="357"/>
      <c r="Z218" s="400"/>
      <c r="AA218" s="369"/>
      <c r="AB218" s="370"/>
      <c r="AC218" s="404"/>
      <c r="AD218" s="270"/>
      <c r="AE218" s="156"/>
      <c r="AF218" s="156"/>
      <c r="AG218" s="357"/>
      <c r="AH218" s="357"/>
      <c r="AI218" s="357"/>
      <c r="AJ218" s="156"/>
      <c r="AK218" s="156"/>
      <c r="AL218" s="375"/>
      <c r="AM218" s="405"/>
      <c r="AN218" s="273"/>
      <c r="AO218" s="405"/>
      <c r="AP218" s="273"/>
      <c r="AQ218" s="273"/>
      <c r="AR218" s="273"/>
      <c r="AS218" s="273"/>
      <c r="AT218" s="273"/>
      <c r="AU218" s="273"/>
      <c r="AV218" s="322">
        <f t="shared" si="11"/>
        <v>0</v>
      </c>
      <c r="AW218" s="402" t="s">
        <v>3387</v>
      </c>
      <c r="AX218" s="274">
        <v>45765</v>
      </c>
      <c r="AY218" s="270" t="s">
        <v>3388</v>
      </c>
      <c r="AZ218" s="156"/>
      <c r="BA218" s="156">
        <v>590000000</v>
      </c>
      <c r="BB218" s="156"/>
      <c r="BC218" s="156"/>
      <c r="BD218" s="353">
        <f t="shared" si="12"/>
        <v>590000000</v>
      </c>
      <c r="BE218" s="432" t="s">
        <v>355</v>
      </c>
      <c r="BF218" s="407" t="s">
        <v>502</v>
      </c>
      <c r="BG218" s="168"/>
      <c r="BH218" s="274"/>
      <c r="BI218" s="168"/>
      <c r="BJ218" s="274"/>
      <c r="BK218" s="168"/>
      <c r="BL218" s="275"/>
      <c r="BM218" s="276"/>
      <c r="BN218" s="275"/>
      <c r="BO218" s="276"/>
      <c r="BP218" s="277"/>
      <c r="BQ218" s="156"/>
      <c r="BR218" s="274"/>
      <c r="BS218" s="270"/>
      <c r="BT218" s="270"/>
      <c r="BU218" s="274"/>
      <c r="BV218" s="274"/>
      <c r="BW218" s="278"/>
      <c r="BX218" s="278"/>
      <c r="BY218" s="278"/>
      <c r="BZ218" s="351"/>
    </row>
    <row r="219" spans="1:78" s="90" customFormat="1" ht="19.5" hidden="1" customHeight="1">
      <c r="A219" s="137"/>
      <c r="B219" s="197">
        <f t="shared" si="10"/>
        <v>209</v>
      </c>
      <c r="C219" s="30" t="s">
        <v>206</v>
      </c>
      <c r="D219" s="30" t="s">
        <v>225</v>
      </c>
      <c r="E219" s="234" t="s">
        <v>829</v>
      </c>
      <c r="F219" s="235" t="s">
        <v>1217</v>
      </c>
      <c r="G219" s="284">
        <f>IFERROR(VLOOKUP(E219,Assign!$C$2:$J$142,8,FALSE),)</f>
        <v>0</v>
      </c>
      <c r="H219" s="361" t="s">
        <v>4829</v>
      </c>
      <c r="I219" s="363">
        <v>1</v>
      </c>
      <c r="J219" s="364" t="s">
        <v>208</v>
      </c>
      <c r="K219" s="364" t="s">
        <v>250</v>
      </c>
      <c r="L219" s="365" t="s">
        <v>568</v>
      </c>
      <c r="M219" s="362" t="s">
        <v>2359</v>
      </c>
      <c r="N219" s="421" t="s">
        <v>3076</v>
      </c>
      <c r="O219" s="269">
        <v>27.26</v>
      </c>
      <c r="P219" s="269">
        <v>51.65</v>
      </c>
      <c r="Q219" s="426"/>
      <c r="R219" s="418" t="s">
        <v>829</v>
      </c>
      <c r="S219" s="427" t="s">
        <v>613</v>
      </c>
      <c r="T219" s="357">
        <v>1</v>
      </c>
      <c r="U219" s="357" t="s">
        <v>204</v>
      </c>
      <c r="V219" s="367">
        <v>134400000</v>
      </c>
      <c r="W219" s="368">
        <v>134400000</v>
      </c>
      <c r="X219" s="357"/>
      <c r="Y219" s="357"/>
      <c r="Z219" s="400"/>
      <c r="AA219" s="369"/>
      <c r="AB219" s="370"/>
      <c r="AC219" s="404"/>
      <c r="AD219" s="270"/>
      <c r="AE219" s="156"/>
      <c r="AF219" s="156"/>
      <c r="AG219" s="357"/>
      <c r="AH219" s="357"/>
      <c r="AI219" s="357"/>
      <c r="AJ219" s="156"/>
      <c r="AK219" s="156"/>
      <c r="AL219" s="375"/>
      <c r="AM219" s="405"/>
      <c r="AN219" s="273"/>
      <c r="AO219" s="405"/>
      <c r="AP219" s="273"/>
      <c r="AQ219" s="273"/>
      <c r="AR219" s="273"/>
      <c r="AS219" s="273"/>
      <c r="AT219" s="273"/>
      <c r="AU219" s="273"/>
      <c r="AV219" s="322">
        <f t="shared" si="11"/>
        <v>0</v>
      </c>
      <c r="AW219" s="402"/>
      <c r="AX219" s="376"/>
      <c r="AY219" s="373"/>
      <c r="AZ219" s="375"/>
      <c r="BA219" s="375"/>
      <c r="BB219" s="375"/>
      <c r="BC219" s="375"/>
      <c r="BD219" s="353">
        <f t="shared" si="12"/>
        <v>0</v>
      </c>
      <c r="BE219" s="432" t="s">
        <v>355</v>
      </c>
      <c r="BF219" s="407" t="s">
        <v>493</v>
      </c>
      <c r="BG219" s="168"/>
      <c r="BH219" s="274"/>
      <c r="BI219" s="168"/>
      <c r="BJ219" s="274"/>
      <c r="BK219" s="168"/>
      <c r="BL219" s="275"/>
      <c r="BM219" s="276"/>
      <c r="BN219" s="275"/>
      <c r="BO219" s="276"/>
      <c r="BP219" s="277"/>
      <c r="BQ219" s="156"/>
      <c r="BR219" s="274"/>
      <c r="BS219" s="270"/>
      <c r="BT219" s="270"/>
      <c r="BU219" s="274"/>
      <c r="BV219" s="274"/>
      <c r="BW219" s="278"/>
      <c r="BX219" s="278"/>
      <c r="BY219" s="278"/>
      <c r="BZ219" s="351"/>
    </row>
    <row r="220" spans="1:78" s="90" customFormat="1" ht="19.5" hidden="1" customHeight="1">
      <c r="A220" s="137"/>
      <c r="B220" s="197">
        <f t="shared" si="10"/>
        <v>210</v>
      </c>
      <c r="C220" s="30" t="s">
        <v>206</v>
      </c>
      <c r="D220" s="30" t="s">
        <v>225</v>
      </c>
      <c r="E220" s="234" t="s">
        <v>830</v>
      </c>
      <c r="F220" s="235" t="s">
        <v>1229</v>
      </c>
      <c r="G220" s="284">
        <f>IFERROR(VLOOKUP(E220,Assign!$C$2:$J$142,8,FALSE),)</f>
        <v>0</v>
      </c>
      <c r="H220" s="361" t="s">
        <v>4789</v>
      </c>
      <c r="I220" s="363">
        <v>1</v>
      </c>
      <c r="J220" s="364" t="s">
        <v>208</v>
      </c>
      <c r="K220" s="364" t="s">
        <v>228</v>
      </c>
      <c r="L220" s="365" t="s">
        <v>2318</v>
      </c>
      <c r="M220" s="362" t="s">
        <v>2319</v>
      </c>
      <c r="N220" s="421" t="s">
        <v>3505</v>
      </c>
      <c r="O220" s="269">
        <v>4.2782</v>
      </c>
      <c r="P220" s="269">
        <v>24.12</v>
      </c>
      <c r="Q220" s="426"/>
      <c r="R220" s="418" t="s">
        <v>830</v>
      </c>
      <c r="S220" s="427" t="s">
        <v>613</v>
      </c>
      <c r="T220" s="357">
        <v>1</v>
      </c>
      <c r="U220" s="357" t="s">
        <v>204</v>
      </c>
      <c r="V220" s="367">
        <v>120000000</v>
      </c>
      <c r="W220" s="368">
        <v>120000000</v>
      </c>
      <c r="X220" s="357"/>
      <c r="Y220" s="357"/>
      <c r="Z220" s="400"/>
      <c r="AA220" s="369"/>
      <c r="AB220" s="370"/>
      <c r="AC220" s="404"/>
      <c r="AD220" s="270"/>
      <c r="AE220" s="156"/>
      <c r="AF220" s="156"/>
      <c r="AG220" s="357"/>
      <c r="AH220" s="357"/>
      <c r="AI220" s="357"/>
      <c r="AJ220" s="156"/>
      <c r="AK220" s="156"/>
      <c r="AL220" s="375"/>
      <c r="AM220" s="405"/>
      <c r="AN220" s="273"/>
      <c r="AO220" s="405"/>
      <c r="AP220" s="273"/>
      <c r="AQ220" s="273"/>
      <c r="AR220" s="273"/>
      <c r="AS220" s="273"/>
      <c r="AT220" s="273"/>
      <c r="AU220" s="273"/>
      <c r="AV220" s="322">
        <f t="shared" si="11"/>
        <v>0</v>
      </c>
      <c r="AW220" s="402"/>
      <c r="AX220" s="274"/>
      <c r="AY220" s="270"/>
      <c r="AZ220" s="156"/>
      <c r="BA220" s="156"/>
      <c r="BB220" s="156"/>
      <c r="BC220" s="156"/>
      <c r="BD220" s="353">
        <f t="shared" si="12"/>
        <v>0</v>
      </c>
      <c r="BE220" s="432" t="s">
        <v>355</v>
      </c>
      <c r="BF220" s="407" t="s">
        <v>424</v>
      </c>
      <c r="BG220" s="168"/>
      <c r="BH220" s="274"/>
      <c r="BI220" s="168"/>
      <c r="BJ220" s="274"/>
      <c r="BK220" s="168"/>
      <c r="BL220" s="275"/>
      <c r="BM220" s="276"/>
      <c r="BN220" s="275"/>
      <c r="BO220" s="276"/>
      <c r="BP220" s="277"/>
      <c r="BQ220" s="156"/>
      <c r="BR220" s="274"/>
      <c r="BS220" s="270"/>
      <c r="BT220" s="270"/>
      <c r="BU220" s="274"/>
      <c r="BV220" s="274"/>
      <c r="BW220" s="278"/>
      <c r="BX220" s="278"/>
      <c r="BY220" s="278"/>
      <c r="BZ220" s="351"/>
    </row>
    <row r="221" spans="1:78" s="90" customFormat="1" ht="19.5" hidden="1" customHeight="1">
      <c r="A221" s="137"/>
      <c r="B221" s="197">
        <f t="shared" si="10"/>
        <v>211</v>
      </c>
      <c r="C221" s="30" t="s">
        <v>206</v>
      </c>
      <c r="D221" s="30" t="s">
        <v>225</v>
      </c>
      <c r="E221" s="234" t="s">
        <v>831</v>
      </c>
      <c r="F221" s="235" t="s">
        <v>1223</v>
      </c>
      <c r="G221" s="284">
        <f>IFERROR(VLOOKUP(E221,Assign!$C$2:$J$142,8,FALSE),)</f>
        <v>0</v>
      </c>
      <c r="H221" s="361" t="s">
        <v>5337</v>
      </c>
      <c r="I221" s="363">
        <v>1</v>
      </c>
      <c r="J221" s="364" t="s">
        <v>209</v>
      </c>
      <c r="K221" s="364" t="s">
        <v>341</v>
      </c>
      <c r="L221" s="365" t="s">
        <v>1511</v>
      </c>
      <c r="M221" s="362" t="s">
        <v>1512</v>
      </c>
      <c r="N221" s="421" t="s">
        <v>207</v>
      </c>
      <c r="O221" s="269">
        <v>39.178779008611201</v>
      </c>
      <c r="P221" s="269">
        <v>84.53</v>
      </c>
      <c r="Q221" s="426"/>
      <c r="R221" s="418" t="s">
        <v>3638</v>
      </c>
      <c r="S221" s="427" t="s">
        <v>613</v>
      </c>
      <c r="T221" s="357">
        <v>6</v>
      </c>
      <c r="U221" s="357" t="s">
        <v>204</v>
      </c>
      <c r="V221" s="367">
        <v>110000000</v>
      </c>
      <c r="W221" s="368">
        <v>110000000</v>
      </c>
      <c r="X221" s="357"/>
      <c r="Y221" s="357"/>
      <c r="Z221" s="400"/>
      <c r="AA221" s="369"/>
      <c r="AB221" s="370"/>
      <c r="AC221" s="404" t="s">
        <v>333</v>
      </c>
      <c r="AD221" s="270" t="s">
        <v>204</v>
      </c>
      <c r="AE221" s="156">
        <v>450000000</v>
      </c>
      <c r="AF221" s="156">
        <v>450000000</v>
      </c>
      <c r="AG221" s="357"/>
      <c r="AH221" s="357"/>
      <c r="AI221" s="357"/>
      <c r="AJ221" s="156"/>
      <c r="AK221" s="156"/>
      <c r="AL221" s="375"/>
      <c r="AM221" s="405"/>
      <c r="AN221" s="273"/>
      <c r="AO221" s="405"/>
      <c r="AP221" s="273"/>
      <c r="AQ221" s="273"/>
      <c r="AR221" s="273"/>
      <c r="AS221" s="273"/>
      <c r="AT221" s="273"/>
      <c r="AU221" s="273"/>
      <c r="AV221" s="322">
        <f t="shared" si="11"/>
        <v>0</v>
      </c>
      <c r="AW221" s="402" t="s">
        <v>3387</v>
      </c>
      <c r="AX221" s="376">
        <v>45765</v>
      </c>
      <c r="AY221" s="373" t="s">
        <v>3388</v>
      </c>
      <c r="AZ221" s="375"/>
      <c r="BA221" s="375">
        <v>2950000000</v>
      </c>
      <c r="BB221" s="375"/>
      <c r="BC221" s="375"/>
      <c r="BD221" s="353">
        <f t="shared" si="12"/>
        <v>2950000000</v>
      </c>
      <c r="BE221" s="432" t="s">
        <v>335</v>
      </c>
      <c r="BF221" s="407" t="s">
        <v>519</v>
      </c>
      <c r="BG221" s="168" t="s">
        <v>488</v>
      </c>
      <c r="BH221" s="274">
        <v>45631</v>
      </c>
      <c r="BI221" s="168" t="s">
        <v>3259</v>
      </c>
      <c r="BJ221" s="274">
        <v>45713</v>
      </c>
      <c r="BK221" s="168">
        <v>109823064</v>
      </c>
      <c r="BL221" s="275"/>
      <c r="BM221" s="276"/>
      <c r="BN221" s="275"/>
      <c r="BO221" s="276"/>
      <c r="BP221" s="277"/>
      <c r="BQ221" s="156"/>
      <c r="BR221" s="274"/>
      <c r="BS221" s="270"/>
      <c r="BT221" s="270"/>
      <c r="BU221" s="274"/>
      <c r="BV221" s="274"/>
      <c r="BW221" s="278"/>
      <c r="BX221" s="278"/>
      <c r="BY221" s="278"/>
      <c r="BZ221" s="351"/>
    </row>
    <row r="222" spans="1:78" s="90" customFormat="1" ht="19.5" hidden="1" customHeight="1">
      <c r="A222" s="137"/>
      <c r="B222" s="197">
        <f t="shared" si="10"/>
        <v>212</v>
      </c>
      <c r="C222" s="30" t="s">
        <v>206</v>
      </c>
      <c r="D222" s="30" t="s">
        <v>225</v>
      </c>
      <c r="E222" s="234" t="s">
        <v>832</v>
      </c>
      <c r="F222" s="235" t="s">
        <v>1259</v>
      </c>
      <c r="G222" s="284" t="str">
        <f>IFERROR(VLOOKUP(E222,Assign!$C$2:$J$142,8,FALSE),)</f>
        <v>문선영</v>
      </c>
      <c r="H222" s="361" t="s">
        <v>4324</v>
      </c>
      <c r="I222" s="363">
        <v>1</v>
      </c>
      <c r="J222" s="364" t="s">
        <v>213</v>
      </c>
      <c r="K222" s="364" t="s">
        <v>275</v>
      </c>
      <c r="L222" s="365" t="s">
        <v>276</v>
      </c>
      <c r="M222" s="362" t="s">
        <v>1889</v>
      </c>
      <c r="N222" s="421" t="s">
        <v>207</v>
      </c>
      <c r="O222" s="269">
        <v>28.94</v>
      </c>
      <c r="P222" s="269">
        <v>73.22</v>
      </c>
      <c r="Q222" s="426"/>
      <c r="R222" s="418" t="s">
        <v>832</v>
      </c>
      <c r="S222" s="427" t="s">
        <v>613</v>
      </c>
      <c r="T222" s="357">
        <v>1</v>
      </c>
      <c r="U222" s="357" t="s">
        <v>204</v>
      </c>
      <c r="V222" s="367">
        <v>121200000</v>
      </c>
      <c r="W222" s="368">
        <v>121200000</v>
      </c>
      <c r="X222" s="357"/>
      <c r="Y222" s="357"/>
      <c r="Z222" s="400"/>
      <c r="AA222" s="369"/>
      <c r="AB222" s="370"/>
      <c r="AC222" s="404"/>
      <c r="AD222" s="270"/>
      <c r="AE222" s="156"/>
      <c r="AF222" s="156"/>
      <c r="AG222" s="357"/>
      <c r="AH222" s="357"/>
      <c r="AI222" s="357"/>
      <c r="AJ222" s="156"/>
      <c r="AK222" s="156"/>
      <c r="AL222" s="375"/>
      <c r="AM222" s="405"/>
      <c r="AN222" s="273"/>
      <c r="AO222" s="405"/>
      <c r="AP222" s="273"/>
      <c r="AQ222" s="273"/>
      <c r="AR222" s="273"/>
      <c r="AS222" s="273"/>
      <c r="AT222" s="273"/>
      <c r="AU222" s="273"/>
      <c r="AV222" s="322">
        <f t="shared" si="11"/>
        <v>0</v>
      </c>
      <c r="AW222" s="402" t="s">
        <v>3387</v>
      </c>
      <c r="AX222" s="376">
        <v>45765</v>
      </c>
      <c r="AY222" s="373" t="s">
        <v>3388</v>
      </c>
      <c r="AZ222" s="375"/>
      <c r="BA222" s="375">
        <v>143000000</v>
      </c>
      <c r="BB222" s="156"/>
      <c r="BC222" s="156"/>
      <c r="BD222" s="353">
        <f t="shared" si="12"/>
        <v>143000000</v>
      </c>
      <c r="BE222" s="432" t="s">
        <v>355</v>
      </c>
      <c r="BF222" s="407" t="s">
        <v>524</v>
      </c>
      <c r="BG222" s="168"/>
      <c r="BH222" s="274"/>
      <c r="BI222" s="168"/>
      <c r="BJ222" s="274"/>
      <c r="BK222" s="168"/>
      <c r="BL222" s="275"/>
      <c r="BM222" s="276"/>
      <c r="BN222" s="275"/>
      <c r="BO222" s="276"/>
      <c r="BP222" s="277"/>
      <c r="BQ222" s="156"/>
      <c r="BR222" s="274"/>
      <c r="BS222" s="270"/>
      <c r="BT222" s="270"/>
      <c r="BU222" s="274"/>
      <c r="BV222" s="274"/>
      <c r="BW222" s="278"/>
      <c r="BX222" s="278"/>
      <c r="BY222" s="278"/>
      <c r="BZ222" s="351"/>
    </row>
    <row r="223" spans="1:78" s="90" customFormat="1" ht="19.5" hidden="1" customHeight="1">
      <c r="A223" s="137"/>
      <c r="B223" s="197">
        <f t="shared" si="10"/>
        <v>213</v>
      </c>
      <c r="C223" s="30" t="s">
        <v>206</v>
      </c>
      <c r="D223" s="30" t="s">
        <v>225</v>
      </c>
      <c r="E223" s="234" t="s">
        <v>833</v>
      </c>
      <c r="F223" s="235" t="s">
        <v>1217</v>
      </c>
      <c r="G223" s="284">
        <f>IFERROR(VLOOKUP(E223,Assign!$C$2:$J$142,8,FALSE),)</f>
        <v>0</v>
      </c>
      <c r="H223" s="361" t="s">
        <v>4982</v>
      </c>
      <c r="I223" s="363">
        <v>1</v>
      </c>
      <c r="J223" s="364" t="s">
        <v>208</v>
      </c>
      <c r="K223" s="364" t="s">
        <v>316</v>
      </c>
      <c r="L223" s="365" t="s">
        <v>2500</v>
      </c>
      <c r="M223" s="362" t="s">
        <v>2501</v>
      </c>
      <c r="N223" s="421" t="s">
        <v>606</v>
      </c>
      <c r="O223" s="269">
        <v>42.25</v>
      </c>
      <c r="P223" s="269">
        <v>55.027000000000001</v>
      </c>
      <c r="Q223" s="426"/>
      <c r="R223" s="418" t="s">
        <v>833</v>
      </c>
      <c r="S223" s="427" t="s">
        <v>613</v>
      </c>
      <c r="T223" s="357">
        <v>1</v>
      </c>
      <c r="U223" s="357" t="s">
        <v>204</v>
      </c>
      <c r="V223" s="367">
        <v>105600000</v>
      </c>
      <c r="W223" s="368">
        <v>105600000</v>
      </c>
      <c r="X223" s="357"/>
      <c r="Y223" s="357"/>
      <c r="Z223" s="400"/>
      <c r="AA223" s="369"/>
      <c r="AB223" s="370"/>
      <c r="AC223" s="404"/>
      <c r="AD223" s="270"/>
      <c r="AE223" s="156"/>
      <c r="AF223" s="156"/>
      <c r="AG223" s="357"/>
      <c r="AH223" s="357"/>
      <c r="AI223" s="357"/>
      <c r="AJ223" s="156"/>
      <c r="AK223" s="156"/>
      <c r="AL223" s="375"/>
      <c r="AM223" s="405"/>
      <c r="AN223" s="273"/>
      <c r="AO223" s="405"/>
      <c r="AP223" s="273"/>
      <c r="AQ223" s="273"/>
      <c r="AR223" s="273"/>
      <c r="AS223" s="273"/>
      <c r="AT223" s="273"/>
      <c r="AU223" s="273"/>
      <c r="AV223" s="322">
        <f t="shared" si="11"/>
        <v>0</v>
      </c>
      <c r="AW223" s="402"/>
      <c r="AX223" s="274"/>
      <c r="AY223" s="270"/>
      <c r="AZ223" s="156"/>
      <c r="BA223" s="156"/>
      <c r="BB223" s="156"/>
      <c r="BC223" s="156"/>
      <c r="BD223" s="353">
        <f t="shared" si="12"/>
        <v>0</v>
      </c>
      <c r="BE223" s="432" t="s">
        <v>335</v>
      </c>
      <c r="BF223" s="407" t="s">
        <v>501</v>
      </c>
      <c r="BG223" s="168" t="s">
        <v>3396</v>
      </c>
      <c r="BH223" s="274">
        <v>45567</v>
      </c>
      <c r="BI223" s="168" t="s">
        <v>3323</v>
      </c>
      <c r="BJ223" s="274">
        <v>45635</v>
      </c>
      <c r="BK223" s="168">
        <v>20000000</v>
      </c>
      <c r="BL223" s="275"/>
      <c r="BM223" s="276"/>
      <c r="BN223" s="275"/>
      <c r="BO223" s="276"/>
      <c r="BP223" s="277"/>
      <c r="BQ223" s="156"/>
      <c r="BR223" s="274"/>
      <c r="BS223" s="270"/>
      <c r="BT223" s="270"/>
      <c r="BU223" s="274"/>
      <c r="BV223" s="274"/>
      <c r="BW223" s="278"/>
      <c r="BX223" s="278"/>
      <c r="BY223" s="278"/>
      <c r="BZ223" s="351"/>
    </row>
    <row r="224" spans="1:78" s="90" customFormat="1" ht="19.5" hidden="1" customHeight="1">
      <c r="A224" s="137"/>
      <c r="B224" s="197">
        <f t="shared" si="10"/>
        <v>214</v>
      </c>
      <c r="C224" s="30" t="s">
        <v>206</v>
      </c>
      <c r="D224" s="30" t="s">
        <v>225</v>
      </c>
      <c r="E224" s="234" t="s">
        <v>834</v>
      </c>
      <c r="F224" s="235" t="s">
        <v>1219</v>
      </c>
      <c r="G224" s="284">
        <f>IFERROR(VLOOKUP(E224,Assign!$C$2:$J$142,8,FALSE),)</f>
        <v>0</v>
      </c>
      <c r="H224" s="361" t="s">
        <v>4853</v>
      </c>
      <c r="I224" s="363">
        <v>1</v>
      </c>
      <c r="J224" s="364" t="s">
        <v>223</v>
      </c>
      <c r="K224" s="364" t="s">
        <v>410</v>
      </c>
      <c r="L224" s="365" t="s">
        <v>2378</v>
      </c>
      <c r="M224" s="362" t="s">
        <v>2379</v>
      </c>
      <c r="N224" s="421" t="s">
        <v>207</v>
      </c>
      <c r="O224" s="269">
        <v>51.678400000000003</v>
      </c>
      <c r="P224" s="269">
        <v>84.920599999999993</v>
      </c>
      <c r="Q224" s="426"/>
      <c r="R224" s="418" t="s">
        <v>834</v>
      </c>
      <c r="S224" s="427" t="s">
        <v>613</v>
      </c>
      <c r="T224" s="357">
        <v>1</v>
      </c>
      <c r="U224" s="357" t="s">
        <v>204</v>
      </c>
      <c r="V224" s="367">
        <v>142800000</v>
      </c>
      <c r="W224" s="368">
        <v>142800000</v>
      </c>
      <c r="X224" s="357"/>
      <c r="Y224" s="357"/>
      <c r="Z224" s="400"/>
      <c r="AA224" s="369"/>
      <c r="AB224" s="370"/>
      <c r="AC224" s="404"/>
      <c r="AD224" s="270"/>
      <c r="AE224" s="156"/>
      <c r="AF224" s="156"/>
      <c r="AG224" s="357"/>
      <c r="AH224" s="357"/>
      <c r="AI224" s="357"/>
      <c r="AJ224" s="156"/>
      <c r="AK224" s="156"/>
      <c r="AL224" s="375"/>
      <c r="AM224" s="405"/>
      <c r="AN224" s="273"/>
      <c r="AO224" s="405"/>
      <c r="AP224" s="273"/>
      <c r="AQ224" s="273"/>
      <c r="AR224" s="273"/>
      <c r="AS224" s="273"/>
      <c r="AT224" s="273"/>
      <c r="AU224" s="273"/>
      <c r="AV224" s="322">
        <f t="shared" si="11"/>
        <v>0</v>
      </c>
      <c r="AW224" s="402" t="s">
        <v>3387</v>
      </c>
      <c r="AX224" s="376">
        <v>45765</v>
      </c>
      <c r="AY224" s="373" t="s">
        <v>3388</v>
      </c>
      <c r="AZ224" s="375"/>
      <c r="BA224" s="375">
        <v>170000000</v>
      </c>
      <c r="BB224" s="156"/>
      <c r="BC224" s="156"/>
      <c r="BD224" s="353">
        <f t="shared" si="12"/>
        <v>170000000</v>
      </c>
      <c r="BE224" s="432" t="s">
        <v>355</v>
      </c>
      <c r="BF224" s="407" t="s">
        <v>514</v>
      </c>
      <c r="BG224" s="168"/>
      <c r="BH224" s="274"/>
      <c r="BI224" s="168"/>
      <c r="BJ224" s="274"/>
      <c r="BK224" s="168"/>
      <c r="BL224" s="275"/>
      <c r="BM224" s="276"/>
      <c r="BN224" s="275"/>
      <c r="BO224" s="276"/>
      <c r="BP224" s="277"/>
      <c r="BQ224" s="156"/>
      <c r="BR224" s="274"/>
      <c r="BS224" s="270"/>
      <c r="BT224" s="270"/>
      <c r="BU224" s="274"/>
      <c r="BV224" s="274"/>
      <c r="BW224" s="278"/>
      <c r="BX224" s="278"/>
      <c r="BY224" s="278"/>
      <c r="BZ224" s="351"/>
    </row>
    <row r="225" spans="1:78" s="90" customFormat="1" ht="19.5" hidden="1" customHeight="1">
      <c r="A225" s="137"/>
      <c r="B225" s="197">
        <f t="shared" si="10"/>
        <v>215</v>
      </c>
      <c r="C225" s="30" t="s">
        <v>206</v>
      </c>
      <c r="D225" s="30" t="s">
        <v>225</v>
      </c>
      <c r="E225" s="234" t="s">
        <v>835</v>
      </c>
      <c r="F225" s="235" t="s">
        <v>1225</v>
      </c>
      <c r="G225" s="284">
        <f>IFERROR(VLOOKUP(E225,Assign!$C$2:$J$142,8,FALSE),)</f>
        <v>0</v>
      </c>
      <c r="H225" s="361" t="s">
        <v>4732</v>
      </c>
      <c r="I225" s="363">
        <v>1</v>
      </c>
      <c r="J225" s="364" t="s">
        <v>208</v>
      </c>
      <c r="K225" s="364" t="s">
        <v>383</v>
      </c>
      <c r="L225" s="365" t="s">
        <v>2269</v>
      </c>
      <c r="M225" s="362" t="s">
        <v>3083</v>
      </c>
      <c r="N225" s="421" t="s">
        <v>396</v>
      </c>
      <c r="O225" s="269">
        <v>165</v>
      </c>
      <c r="P225" s="269">
        <v>49.2</v>
      </c>
      <c r="Q225" s="426"/>
      <c r="R225" s="418" t="s">
        <v>835</v>
      </c>
      <c r="S225" s="427" t="s">
        <v>613</v>
      </c>
      <c r="T225" s="357">
        <v>1</v>
      </c>
      <c r="U225" s="357" t="s">
        <v>204</v>
      </c>
      <c r="V225" s="367">
        <v>109320000</v>
      </c>
      <c r="W225" s="368">
        <v>109320000</v>
      </c>
      <c r="X225" s="357"/>
      <c r="Y225" s="357"/>
      <c r="Z225" s="400"/>
      <c r="AA225" s="369"/>
      <c r="AB225" s="370"/>
      <c r="AC225" s="404"/>
      <c r="AD225" s="270"/>
      <c r="AE225" s="156"/>
      <c r="AF225" s="156"/>
      <c r="AG225" s="357"/>
      <c r="AH225" s="357"/>
      <c r="AI225" s="357"/>
      <c r="AJ225" s="156"/>
      <c r="AK225" s="156"/>
      <c r="AL225" s="375"/>
      <c r="AM225" s="405"/>
      <c r="AN225" s="273"/>
      <c r="AO225" s="405"/>
      <c r="AP225" s="273"/>
      <c r="AQ225" s="273"/>
      <c r="AR225" s="273"/>
      <c r="AS225" s="273"/>
      <c r="AT225" s="273"/>
      <c r="AU225" s="273"/>
      <c r="AV225" s="322">
        <f t="shared" si="11"/>
        <v>0</v>
      </c>
      <c r="AW225" s="402"/>
      <c r="AX225" s="376"/>
      <c r="AY225" s="373"/>
      <c r="AZ225" s="375"/>
      <c r="BA225" s="375"/>
      <c r="BB225" s="375"/>
      <c r="BC225" s="375"/>
      <c r="BD225" s="353">
        <f t="shared" si="12"/>
        <v>0</v>
      </c>
      <c r="BE225" s="432" t="s">
        <v>355</v>
      </c>
      <c r="BF225" s="407" t="s">
        <v>525</v>
      </c>
      <c r="BG225" s="168"/>
      <c r="BH225" s="274"/>
      <c r="BI225" s="168"/>
      <c r="BJ225" s="274"/>
      <c r="BK225" s="168"/>
      <c r="BL225" s="275"/>
      <c r="BM225" s="276"/>
      <c r="BN225" s="275"/>
      <c r="BO225" s="276"/>
      <c r="BP225" s="277"/>
      <c r="BQ225" s="156"/>
      <c r="BR225" s="274"/>
      <c r="BS225" s="270"/>
      <c r="BT225" s="270"/>
      <c r="BU225" s="274"/>
      <c r="BV225" s="274"/>
      <c r="BW225" s="278"/>
      <c r="BX225" s="278"/>
      <c r="BY225" s="278"/>
      <c r="BZ225" s="351"/>
    </row>
    <row r="226" spans="1:78" s="90" customFormat="1" ht="19.5" hidden="1" customHeight="1">
      <c r="A226" s="137"/>
      <c r="B226" s="197">
        <f t="shared" si="10"/>
        <v>216</v>
      </c>
      <c r="C226" s="30" t="s">
        <v>206</v>
      </c>
      <c r="D226" s="30" t="s">
        <v>225</v>
      </c>
      <c r="E226" s="234" t="s">
        <v>836</v>
      </c>
      <c r="F226" s="235" t="s">
        <v>1231</v>
      </c>
      <c r="G226" s="284">
        <f>IFERROR(VLOOKUP(E226,Assign!$C$2:$J$142,8,FALSE),)</f>
        <v>0</v>
      </c>
      <c r="H226" s="361" t="s">
        <v>4555</v>
      </c>
      <c r="I226" s="363">
        <v>1</v>
      </c>
      <c r="J226" s="364" t="s">
        <v>214</v>
      </c>
      <c r="K226" s="364" t="s">
        <v>338</v>
      </c>
      <c r="L226" s="365" t="s">
        <v>1765</v>
      </c>
      <c r="M226" s="362" t="s">
        <v>2095</v>
      </c>
      <c r="N226" s="421" t="s">
        <v>3074</v>
      </c>
      <c r="O226" s="269">
        <v>4.29</v>
      </c>
      <c r="P226" s="269">
        <v>18.64</v>
      </c>
      <c r="Q226" s="426"/>
      <c r="R226" s="418" t="s">
        <v>836</v>
      </c>
      <c r="S226" s="427" t="s">
        <v>613</v>
      </c>
      <c r="T226" s="357">
        <v>1</v>
      </c>
      <c r="U226" s="357" t="s">
        <v>204</v>
      </c>
      <c r="V226" s="367">
        <v>55200000</v>
      </c>
      <c r="W226" s="368">
        <v>55200000</v>
      </c>
      <c r="X226" s="357"/>
      <c r="Y226" s="357"/>
      <c r="Z226" s="400"/>
      <c r="AA226" s="369"/>
      <c r="AB226" s="370"/>
      <c r="AC226" s="404"/>
      <c r="AD226" s="270"/>
      <c r="AE226" s="156"/>
      <c r="AF226" s="156"/>
      <c r="AG226" s="357"/>
      <c r="AH226" s="357"/>
      <c r="AI226" s="357"/>
      <c r="AJ226" s="156"/>
      <c r="AK226" s="156"/>
      <c r="AL226" s="375"/>
      <c r="AM226" s="405"/>
      <c r="AN226" s="273"/>
      <c r="AO226" s="405"/>
      <c r="AP226" s="273"/>
      <c r="AQ226" s="273"/>
      <c r="AR226" s="273"/>
      <c r="AS226" s="273"/>
      <c r="AT226" s="273"/>
      <c r="AU226" s="273"/>
      <c r="AV226" s="322">
        <f t="shared" si="11"/>
        <v>0</v>
      </c>
      <c r="AW226" s="402"/>
      <c r="AX226" s="274"/>
      <c r="AY226" s="270"/>
      <c r="AZ226" s="156"/>
      <c r="BA226" s="156"/>
      <c r="BB226" s="156"/>
      <c r="BC226" s="156"/>
      <c r="BD226" s="353">
        <f t="shared" si="12"/>
        <v>0</v>
      </c>
      <c r="BE226" s="432" t="s">
        <v>355</v>
      </c>
      <c r="BF226" s="407" t="s">
        <v>500</v>
      </c>
      <c r="BG226" s="168"/>
      <c r="BH226" s="274"/>
      <c r="BI226" s="168"/>
      <c r="BJ226" s="274"/>
      <c r="BK226" s="168"/>
      <c r="BL226" s="275"/>
      <c r="BM226" s="276"/>
      <c r="BN226" s="275"/>
      <c r="BO226" s="276"/>
      <c r="BP226" s="277"/>
      <c r="BQ226" s="156"/>
      <c r="BR226" s="274"/>
      <c r="BS226" s="270"/>
      <c r="BT226" s="270"/>
      <c r="BU226" s="274"/>
      <c r="BV226" s="274"/>
      <c r="BW226" s="278"/>
      <c r="BX226" s="278"/>
      <c r="BY226" s="278"/>
      <c r="BZ226" s="351"/>
    </row>
    <row r="227" spans="1:78" s="90" customFormat="1" ht="19.5" hidden="1" customHeight="1">
      <c r="A227" s="137"/>
      <c r="B227" s="197">
        <f t="shared" si="10"/>
        <v>217</v>
      </c>
      <c r="C227" s="30" t="s">
        <v>206</v>
      </c>
      <c r="D227" s="30" t="s">
        <v>225</v>
      </c>
      <c r="E227" s="234" t="s">
        <v>836</v>
      </c>
      <c r="F227" s="235" t="s">
        <v>1231</v>
      </c>
      <c r="G227" s="284">
        <f>IFERROR(VLOOKUP(E227,Assign!$C$2:$J$142,8,FALSE),)</f>
        <v>0</v>
      </c>
      <c r="H227" s="361" t="s">
        <v>4557</v>
      </c>
      <c r="I227" s="363">
        <v>2</v>
      </c>
      <c r="J227" s="364" t="s">
        <v>214</v>
      </c>
      <c r="K227" s="364" t="s">
        <v>338</v>
      </c>
      <c r="L227" s="365" t="s">
        <v>1765</v>
      </c>
      <c r="M227" s="362" t="s">
        <v>2097</v>
      </c>
      <c r="N227" s="421" t="s">
        <v>3074</v>
      </c>
      <c r="O227" s="269">
        <v>4.29</v>
      </c>
      <c r="P227" s="269">
        <v>18.64</v>
      </c>
      <c r="Q227" s="426"/>
      <c r="R227" s="418" t="s">
        <v>836</v>
      </c>
      <c r="S227" s="427" t="s">
        <v>613</v>
      </c>
      <c r="T227" s="357">
        <v>1</v>
      </c>
      <c r="U227" s="357" t="s">
        <v>204</v>
      </c>
      <c r="V227" s="367">
        <v>55200000</v>
      </c>
      <c r="W227" s="368">
        <v>55200000</v>
      </c>
      <c r="X227" s="357"/>
      <c r="Y227" s="357"/>
      <c r="Z227" s="400"/>
      <c r="AA227" s="369"/>
      <c r="AB227" s="370"/>
      <c r="AC227" s="404"/>
      <c r="AD227" s="270"/>
      <c r="AE227" s="156"/>
      <c r="AF227" s="156"/>
      <c r="AG227" s="357"/>
      <c r="AH227" s="357"/>
      <c r="AI227" s="357"/>
      <c r="AJ227" s="156"/>
      <c r="AK227" s="156"/>
      <c r="AL227" s="375"/>
      <c r="AM227" s="405"/>
      <c r="AN227" s="273"/>
      <c r="AO227" s="405"/>
      <c r="AP227" s="273"/>
      <c r="AQ227" s="273"/>
      <c r="AR227" s="273"/>
      <c r="AS227" s="273"/>
      <c r="AT227" s="273"/>
      <c r="AU227" s="273"/>
      <c r="AV227" s="322">
        <f t="shared" si="11"/>
        <v>0</v>
      </c>
      <c r="AW227" s="402"/>
      <c r="AX227" s="376"/>
      <c r="AY227" s="373"/>
      <c r="AZ227" s="375"/>
      <c r="BA227" s="375"/>
      <c r="BB227" s="375"/>
      <c r="BC227" s="375"/>
      <c r="BD227" s="353">
        <f t="shared" si="12"/>
        <v>0</v>
      </c>
      <c r="BE227" s="432" t="s">
        <v>355</v>
      </c>
      <c r="BF227" s="407" t="s">
        <v>500</v>
      </c>
      <c r="BG227" s="168"/>
      <c r="BH227" s="274"/>
      <c r="BI227" s="168"/>
      <c r="BJ227" s="274"/>
      <c r="BK227" s="168"/>
      <c r="BL227" s="275"/>
      <c r="BM227" s="276"/>
      <c r="BN227" s="275"/>
      <c r="BO227" s="276"/>
      <c r="BP227" s="277"/>
      <c r="BQ227" s="156"/>
      <c r="BR227" s="274"/>
      <c r="BS227" s="270"/>
      <c r="BT227" s="270"/>
      <c r="BU227" s="274"/>
      <c r="BV227" s="274"/>
      <c r="BW227" s="278"/>
      <c r="BX227" s="278"/>
      <c r="BY227" s="278"/>
      <c r="BZ227" s="351"/>
    </row>
    <row r="228" spans="1:78" s="90" customFormat="1" ht="19.5" hidden="1" customHeight="1">
      <c r="A228" s="137"/>
      <c r="B228" s="197">
        <f t="shared" si="10"/>
        <v>218</v>
      </c>
      <c r="C228" s="30" t="s">
        <v>206</v>
      </c>
      <c r="D228" s="30" t="s">
        <v>225</v>
      </c>
      <c r="E228" s="234" t="s">
        <v>837</v>
      </c>
      <c r="F228" s="235" t="s">
        <v>1218</v>
      </c>
      <c r="G228" s="284">
        <f>IFERROR(VLOOKUP(E228,Assign!$C$2:$J$142,8,FALSE),)</f>
        <v>0</v>
      </c>
      <c r="H228" s="361" t="s">
        <v>4604</v>
      </c>
      <c r="I228" s="363">
        <v>1</v>
      </c>
      <c r="J228" s="364" t="s">
        <v>224</v>
      </c>
      <c r="K228" s="364" t="s">
        <v>428</v>
      </c>
      <c r="L228" s="365" t="s">
        <v>2141</v>
      </c>
      <c r="M228" s="362" t="s">
        <v>2142</v>
      </c>
      <c r="N228" s="421" t="s">
        <v>606</v>
      </c>
      <c r="O228" s="269">
        <v>54.725000000000001</v>
      </c>
      <c r="P228" s="269">
        <v>76.98</v>
      </c>
      <c r="Q228" s="426"/>
      <c r="R228" s="418" t="s">
        <v>837</v>
      </c>
      <c r="S228" s="427" t="s">
        <v>613</v>
      </c>
      <c r="T228" s="357">
        <v>1</v>
      </c>
      <c r="U228" s="357" t="s">
        <v>204</v>
      </c>
      <c r="V228" s="367">
        <v>126000000</v>
      </c>
      <c r="W228" s="368">
        <v>126000000</v>
      </c>
      <c r="X228" s="357"/>
      <c r="Y228" s="357"/>
      <c r="Z228" s="400"/>
      <c r="AA228" s="369"/>
      <c r="AB228" s="370"/>
      <c r="AC228" s="404"/>
      <c r="AD228" s="270"/>
      <c r="AE228" s="156"/>
      <c r="AF228" s="156"/>
      <c r="AG228" s="357"/>
      <c r="AH228" s="357"/>
      <c r="AI228" s="357"/>
      <c r="AJ228" s="156"/>
      <c r="AK228" s="156"/>
      <c r="AL228" s="375"/>
      <c r="AM228" s="405"/>
      <c r="AN228" s="273"/>
      <c r="AO228" s="405"/>
      <c r="AP228" s="273"/>
      <c r="AQ228" s="273"/>
      <c r="AR228" s="273"/>
      <c r="AS228" s="273"/>
      <c r="AT228" s="273"/>
      <c r="AU228" s="273"/>
      <c r="AV228" s="322">
        <f t="shared" si="11"/>
        <v>0</v>
      </c>
      <c r="AW228" s="402"/>
      <c r="AX228" s="376"/>
      <c r="AY228" s="373"/>
      <c r="AZ228" s="375"/>
      <c r="BA228" s="375"/>
      <c r="BB228" s="375"/>
      <c r="BC228" s="375"/>
      <c r="BD228" s="353">
        <f t="shared" si="12"/>
        <v>0</v>
      </c>
      <c r="BE228" s="432" t="s">
        <v>355</v>
      </c>
      <c r="BF228" s="407" t="s">
        <v>512</v>
      </c>
      <c r="BG228" s="168"/>
      <c r="BH228" s="274"/>
      <c r="BI228" s="168"/>
      <c r="BJ228" s="274"/>
      <c r="BK228" s="168"/>
      <c r="BL228" s="275"/>
      <c r="BM228" s="276"/>
      <c r="BN228" s="275"/>
      <c r="BO228" s="276"/>
      <c r="BP228" s="277"/>
      <c r="BQ228" s="156"/>
      <c r="BR228" s="274"/>
      <c r="BS228" s="270"/>
      <c r="BT228" s="270"/>
      <c r="BU228" s="274"/>
      <c r="BV228" s="274"/>
      <c r="BW228" s="278"/>
      <c r="BX228" s="278"/>
      <c r="BY228" s="278"/>
      <c r="BZ228" s="351"/>
    </row>
    <row r="229" spans="1:78" s="90" customFormat="1" ht="19.5" hidden="1" customHeight="1">
      <c r="A229" s="137"/>
      <c r="B229" s="197">
        <f t="shared" si="10"/>
        <v>219</v>
      </c>
      <c r="C229" s="30" t="s">
        <v>206</v>
      </c>
      <c r="D229" s="30" t="s">
        <v>225</v>
      </c>
      <c r="E229" s="234" t="s">
        <v>838</v>
      </c>
      <c r="F229" s="235" t="s">
        <v>1223</v>
      </c>
      <c r="G229" s="284">
        <f>IFERROR(VLOOKUP(E229,Assign!$C$2:$J$142,8,FALSE),)</f>
        <v>0</v>
      </c>
      <c r="H229" s="361" t="s">
        <v>4857</v>
      </c>
      <c r="I229" s="363">
        <v>1</v>
      </c>
      <c r="J229" s="364" t="s">
        <v>212</v>
      </c>
      <c r="K229" s="364" t="s">
        <v>304</v>
      </c>
      <c r="L229" s="365" t="s">
        <v>2382</v>
      </c>
      <c r="M229" s="362" t="s">
        <v>2383</v>
      </c>
      <c r="N229" s="421" t="s">
        <v>606</v>
      </c>
      <c r="O229" s="269">
        <v>33.4</v>
      </c>
      <c r="P229" s="269">
        <v>59.41</v>
      </c>
      <c r="Q229" s="426"/>
      <c r="R229" s="418" t="s">
        <v>838</v>
      </c>
      <c r="S229" s="427" t="s">
        <v>613</v>
      </c>
      <c r="T229" s="357">
        <v>1</v>
      </c>
      <c r="U229" s="357" t="s">
        <v>204</v>
      </c>
      <c r="V229" s="367">
        <v>122400000</v>
      </c>
      <c r="W229" s="368">
        <v>122400000</v>
      </c>
      <c r="X229" s="357"/>
      <c r="Y229" s="357"/>
      <c r="Z229" s="400"/>
      <c r="AA229" s="369"/>
      <c r="AB229" s="370"/>
      <c r="AC229" s="404"/>
      <c r="AD229" s="270"/>
      <c r="AE229" s="156"/>
      <c r="AF229" s="156"/>
      <c r="AG229" s="357"/>
      <c r="AH229" s="357"/>
      <c r="AI229" s="357"/>
      <c r="AJ229" s="156"/>
      <c r="AK229" s="156"/>
      <c r="AL229" s="375"/>
      <c r="AM229" s="405"/>
      <c r="AN229" s="273"/>
      <c r="AO229" s="405"/>
      <c r="AP229" s="273"/>
      <c r="AQ229" s="273"/>
      <c r="AR229" s="273"/>
      <c r="AS229" s="273"/>
      <c r="AT229" s="273"/>
      <c r="AU229" s="273"/>
      <c r="AV229" s="322">
        <f t="shared" si="11"/>
        <v>0</v>
      </c>
      <c r="AW229" s="402"/>
      <c r="AX229" s="376"/>
      <c r="AY229" s="373"/>
      <c r="AZ229" s="375"/>
      <c r="BA229" s="375"/>
      <c r="BB229" s="375"/>
      <c r="BC229" s="375"/>
      <c r="BD229" s="353">
        <f t="shared" si="12"/>
        <v>0</v>
      </c>
      <c r="BE229" s="432" t="s">
        <v>355</v>
      </c>
      <c r="BF229" s="407" t="s">
        <v>496</v>
      </c>
      <c r="BG229" s="168"/>
      <c r="BH229" s="274"/>
      <c r="BI229" s="168"/>
      <c r="BJ229" s="274"/>
      <c r="BK229" s="168"/>
      <c r="BL229" s="275"/>
      <c r="BM229" s="276"/>
      <c r="BN229" s="275"/>
      <c r="BO229" s="276"/>
      <c r="BP229" s="277"/>
      <c r="BQ229" s="156"/>
      <c r="BR229" s="274"/>
      <c r="BS229" s="270"/>
      <c r="BT229" s="270"/>
      <c r="BU229" s="274"/>
      <c r="BV229" s="274"/>
      <c r="BW229" s="278"/>
      <c r="BX229" s="278"/>
      <c r="BY229" s="278"/>
      <c r="BZ229" s="351"/>
    </row>
    <row r="230" spans="1:78" s="90" customFormat="1" ht="19.5" hidden="1" customHeight="1">
      <c r="A230" s="137"/>
      <c r="B230" s="197">
        <f t="shared" si="10"/>
        <v>220</v>
      </c>
      <c r="C230" s="30" t="s">
        <v>206</v>
      </c>
      <c r="D230" s="30" t="s">
        <v>225</v>
      </c>
      <c r="E230" s="234" t="s">
        <v>839</v>
      </c>
      <c r="F230" s="235" t="s">
        <v>1260</v>
      </c>
      <c r="G230" s="284">
        <f>IFERROR(VLOOKUP(E230,Assign!$C$2:$J$142,8,FALSE),)</f>
        <v>0</v>
      </c>
      <c r="H230" s="361" t="s">
        <v>5166</v>
      </c>
      <c r="I230" s="363">
        <v>1</v>
      </c>
      <c r="J230" s="364" t="s">
        <v>208</v>
      </c>
      <c r="K230" s="364" t="s">
        <v>365</v>
      </c>
      <c r="L230" s="365" t="s">
        <v>366</v>
      </c>
      <c r="M230" s="362" t="s">
        <v>2678</v>
      </c>
      <c r="N230" s="421" t="s">
        <v>606</v>
      </c>
      <c r="O230" s="269">
        <v>30.45</v>
      </c>
      <c r="P230" s="269">
        <v>58.59</v>
      </c>
      <c r="Q230" s="426"/>
      <c r="R230" s="418" t="s">
        <v>839</v>
      </c>
      <c r="S230" s="427" t="s">
        <v>613</v>
      </c>
      <c r="T230" s="357">
        <v>1</v>
      </c>
      <c r="U230" s="357" t="s">
        <v>204</v>
      </c>
      <c r="V230" s="367">
        <v>117600000</v>
      </c>
      <c r="W230" s="368">
        <v>117600000</v>
      </c>
      <c r="X230" s="357"/>
      <c r="Y230" s="357"/>
      <c r="Z230" s="400"/>
      <c r="AA230" s="369"/>
      <c r="AB230" s="370"/>
      <c r="AC230" s="404"/>
      <c r="AD230" s="270"/>
      <c r="AE230" s="156"/>
      <c r="AF230" s="156"/>
      <c r="AG230" s="357"/>
      <c r="AH230" s="357"/>
      <c r="AI230" s="357"/>
      <c r="AJ230" s="156"/>
      <c r="AK230" s="156"/>
      <c r="AL230" s="375"/>
      <c r="AM230" s="405"/>
      <c r="AN230" s="273"/>
      <c r="AO230" s="405"/>
      <c r="AP230" s="273"/>
      <c r="AQ230" s="273"/>
      <c r="AR230" s="273"/>
      <c r="AS230" s="273"/>
      <c r="AT230" s="273"/>
      <c r="AU230" s="273"/>
      <c r="AV230" s="322">
        <f t="shared" si="11"/>
        <v>0</v>
      </c>
      <c r="AW230" s="402"/>
      <c r="AX230" s="376"/>
      <c r="AY230" s="373"/>
      <c r="AZ230" s="375"/>
      <c r="BA230" s="375"/>
      <c r="BB230" s="375"/>
      <c r="BC230" s="375"/>
      <c r="BD230" s="353">
        <f t="shared" si="12"/>
        <v>0</v>
      </c>
      <c r="BE230" s="432" t="s">
        <v>355</v>
      </c>
      <c r="BF230" s="407" t="s">
        <v>422</v>
      </c>
      <c r="BG230" s="168"/>
      <c r="BH230" s="274"/>
      <c r="BI230" s="168"/>
      <c r="BJ230" s="274"/>
      <c r="BK230" s="168"/>
      <c r="BL230" s="275"/>
      <c r="BM230" s="276"/>
      <c r="BN230" s="275"/>
      <c r="BO230" s="276"/>
      <c r="BP230" s="277"/>
      <c r="BQ230" s="156"/>
      <c r="BR230" s="274"/>
      <c r="BS230" s="270"/>
      <c r="BT230" s="270"/>
      <c r="BU230" s="274"/>
      <c r="BV230" s="274"/>
      <c r="BW230" s="278"/>
      <c r="BX230" s="278"/>
      <c r="BY230" s="278"/>
      <c r="BZ230" s="351"/>
    </row>
    <row r="231" spans="1:78" s="90" customFormat="1" ht="19.5" customHeight="1">
      <c r="A231" s="137"/>
      <c r="B231" s="197">
        <f t="shared" si="10"/>
        <v>221</v>
      </c>
      <c r="C231" s="30" t="s">
        <v>206</v>
      </c>
      <c r="D231" s="30" t="s">
        <v>225</v>
      </c>
      <c r="E231" s="234" t="s">
        <v>840</v>
      </c>
      <c r="F231" s="235" t="s">
        <v>1219</v>
      </c>
      <c r="G231" s="284" t="str">
        <f>IFERROR(VLOOKUP(E231,Assign!$C$2:$J$142,8,FALSE),)</f>
        <v>문선영</v>
      </c>
      <c r="H231" s="361" t="s">
        <v>4507</v>
      </c>
      <c r="I231" s="363">
        <v>1</v>
      </c>
      <c r="J231" s="364" t="s">
        <v>219</v>
      </c>
      <c r="K231" s="364" t="s">
        <v>313</v>
      </c>
      <c r="L231" s="365" t="s">
        <v>2049</v>
      </c>
      <c r="M231" s="362" t="s">
        <v>2050</v>
      </c>
      <c r="N231" s="421" t="s">
        <v>207</v>
      </c>
      <c r="O231" s="269">
        <v>57.680700000000002</v>
      </c>
      <c r="P231" s="269">
        <v>84.696200000000005</v>
      </c>
      <c r="Q231" s="426"/>
      <c r="R231" s="418" t="s">
        <v>840</v>
      </c>
      <c r="S231" s="427" t="s">
        <v>613</v>
      </c>
      <c r="T231" s="357" t="s">
        <v>292</v>
      </c>
      <c r="U231" s="357" t="s">
        <v>204</v>
      </c>
      <c r="V231" s="367">
        <v>102000000</v>
      </c>
      <c r="W231" s="368">
        <v>102000000</v>
      </c>
      <c r="X231" s="357"/>
      <c r="Y231" s="357"/>
      <c r="Z231" s="400"/>
      <c r="AA231" s="369"/>
      <c r="AB231" s="370"/>
      <c r="AC231" s="404">
        <v>1</v>
      </c>
      <c r="AD231" s="270" t="s">
        <v>204</v>
      </c>
      <c r="AE231" s="156">
        <v>168300000</v>
      </c>
      <c r="AF231" s="156">
        <v>168300000</v>
      </c>
      <c r="AG231" s="357"/>
      <c r="AH231" s="357"/>
      <c r="AI231" s="357"/>
      <c r="AJ231" s="156"/>
      <c r="AK231" s="156"/>
      <c r="AL231" s="375"/>
      <c r="AM231" s="405"/>
      <c r="AN231" s="273"/>
      <c r="AO231" s="405"/>
      <c r="AP231" s="273"/>
      <c r="AQ231" s="273"/>
      <c r="AR231" s="273"/>
      <c r="AS231" s="273"/>
      <c r="AT231" s="273"/>
      <c r="AU231" s="273"/>
      <c r="AV231" s="322">
        <f t="shared" si="11"/>
        <v>0</v>
      </c>
      <c r="AW231" s="402" t="s">
        <v>3387</v>
      </c>
      <c r="AX231" s="376">
        <v>45765</v>
      </c>
      <c r="AY231" s="373" t="s">
        <v>3388</v>
      </c>
      <c r="AZ231" s="375"/>
      <c r="BA231" s="375">
        <v>325000000</v>
      </c>
      <c r="BB231" s="156"/>
      <c r="BC231" s="156"/>
      <c r="BD231" s="353">
        <f t="shared" si="12"/>
        <v>325000000</v>
      </c>
      <c r="BE231" s="432" t="s">
        <v>335</v>
      </c>
      <c r="BF231" s="407" t="s">
        <v>526</v>
      </c>
      <c r="BG231" s="168" t="s">
        <v>619</v>
      </c>
      <c r="BH231" s="274">
        <v>45446</v>
      </c>
      <c r="BI231" s="168" t="s">
        <v>3225</v>
      </c>
      <c r="BJ231" s="274">
        <v>45539</v>
      </c>
      <c r="BK231" s="168">
        <v>42372727</v>
      </c>
      <c r="BL231" s="275"/>
      <c r="BM231" s="276"/>
      <c r="BN231" s="275"/>
      <c r="BO231" s="276"/>
      <c r="BP231" s="277"/>
      <c r="BQ231" s="156"/>
      <c r="BR231" s="274"/>
      <c r="BS231" s="270"/>
      <c r="BT231" s="270"/>
      <c r="BU231" s="274"/>
      <c r="BV231" s="274"/>
      <c r="BW231" s="278"/>
      <c r="BX231" s="278"/>
      <c r="BY231" s="278"/>
      <c r="BZ231" s="351"/>
    </row>
    <row r="232" spans="1:78" s="90" customFormat="1" ht="19.5" hidden="1" customHeight="1">
      <c r="A232" s="137"/>
      <c r="B232" s="197">
        <f t="shared" si="10"/>
        <v>222</v>
      </c>
      <c r="C232" s="30" t="s">
        <v>206</v>
      </c>
      <c r="D232" s="30" t="s">
        <v>225</v>
      </c>
      <c r="E232" s="234" t="s">
        <v>841</v>
      </c>
      <c r="F232" s="235" t="s">
        <v>1217</v>
      </c>
      <c r="G232" s="284" t="str">
        <f>IFERROR(VLOOKUP(E232,Assign!$C$2:$J$142,8,FALSE),)</f>
        <v>문선영</v>
      </c>
      <c r="H232" s="361" t="s">
        <v>4864</v>
      </c>
      <c r="I232" s="363">
        <v>1</v>
      </c>
      <c r="J232" s="364" t="s">
        <v>217</v>
      </c>
      <c r="K232" s="364" t="s">
        <v>2010</v>
      </c>
      <c r="L232" s="365" t="s">
        <v>2390</v>
      </c>
      <c r="M232" s="362" t="s">
        <v>2391</v>
      </c>
      <c r="N232" s="421" t="s">
        <v>207</v>
      </c>
      <c r="O232" s="269">
        <v>37.0045</v>
      </c>
      <c r="P232" s="269">
        <v>74.993899999999996</v>
      </c>
      <c r="Q232" s="426"/>
      <c r="R232" s="418" t="s">
        <v>841</v>
      </c>
      <c r="S232" s="427" t="s">
        <v>613</v>
      </c>
      <c r="T232" s="357">
        <v>2</v>
      </c>
      <c r="U232" s="357" t="s">
        <v>204</v>
      </c>
      <c r="V232" s="367">
        <v>99000000</v>
      </c>
      <c r="W232" s="368">
        <v>99000000</v>
      </c>
      <c r="X232" s="357"/>
      <c r="Y232" s="357"/>
      <c r="Z232" s="400"/>
      <c r="AA232" s="369"/>
      <c r="AB232" s="370"/>
      <c r="AC232" s="404">
        <v>1</v>
      </c>
      <c r="AD232" s="270" t="s">
        <v>204</v>
      </c>
      <c r="AE232" s="156">
        <v>158400000</v>
      </c>
      <c r="AF232" s="156">
        <v>158400000</v>
      </c>
      <c r="AG232" s="357"/>
      <c r="AH232" s="357"/>
      <c r="AI232" s="357"/>
      <c r="AJ232" s="156"/>
      <c r="AK232" s="156"/>
      <c r="AL232" s="375"/>
      <c r="AM232" s="405"/>
      <c r="AN232" s="273"/>
      <c r="AO232" s="405"/>
      <c r="AP232" s="273"/>
      <c r="AQ232" s="273"/>
      <c r="AR232" s="273"/>
      <c r="AS232" s="273"/>
      <c r="AT232" s="273"/>
      <c r="AU232" s="273"/>
      <c r="AV232" s="322">
        <f t="shared" si="11"/>
        <v>0</v>
      </c>
      <c r="AW232" s="402" t="s">
        <v>3387</v>
      </c>
      <c r="AX232" s="376">
        <v>45765</v>
      </c>
      <c r="AY232" s="373" t="s">
        <v>3388</v>
      </c>
      <c r="AZ232" s="375"/>
      <c r="BA232" s="375">
        <v>300000000</v>
      </c>
      <c r="BB232" s="375"/>
      <c r="BC232" s="375"/>
      <c r="BD232" s="353">
        <f t="shared" si="12"/>
        <v>300000000</v>
      </c>
      <c r="BE232" s="432" t="s">
        <v>355</v>
      </c>
      <c r="BF232" s="407" t="s">
        <v>3211</v>
      </c>
      <c r="BG232" s="168"/>
      <c r="BH232" s="274"/>
      <c r="BI232" s="168"/>
      <c r="BJ232" s="274"/>
      <c r="BK232" s="168"/>
      <c r="BL232" s="275"/>
      <c r="BM232" s="276"/>
      <c r="BN232" s="275"/>
      <c r="BO232" s="276"/>
      <c r="BP232" s="277"/>
      <c r="BQ232" s="156"/>
      <c r="BR232" s="274"/>
      <c r="BS232" s="270"/>
      <c r="BT232" s="270"/>
      <c r="BU232" s="274"/>
      <c r="BV232" s="274"/>
      <c r="BW232" s="278"/>
      <c r="BX232" s="278"/>
      <c r="BY232" s="278"/>
      <c r="BZ232" s="351"/>
    </row>
    <row r="233" spans="1:78" s="90" customFormat="1" ht="19.5" hidden="1" customHeight="1">
      <c r="A233" s="137"/>
      <c r="B233" s="197">
        <f t="shared" si="10"/>
        <v>223</v>
      </c>
      <c r="C233" s="30" t="s">
        <v>206</v>
      </c>
      <c r="D233" s="30" t="s">
        <v>225</v>
      </c>
      <c r="E233" s="234" t="s">
        <v>842</v>
      </c>
      <c r="F233" s="235" t="s">
        <v>1238</v>
      </c>
      <c r="G233" s="284">
        <f>IFERROR(VLOOKUP(E233,Assign!$C$2:$J$142,8,FALSE),)</f>
        <v>0</v>
      </c>
      <c r="H233" s="361" t="s">
        <v>4413</v>
      </c>
      <c r="I233" s="363">
        <v>1</v>
      </c>
      <c r="J233" s="364" t="s">
        <v>219</v>
      </c>
      <c r="K233" s="364" t="s">
        <v>1934</v>
      </c>
      <c r="L233" s="365" t="s">
        <v>1968</v>
      </c>
      <c r="M233" s="362" t="s">
        <v>1969</v>
      </c>
      <c r="N233" s="421" t="s">
        <v>207</v>
      </c>
      <c r="O233" s="269">
        <v>74.730999999999995</v>
      </c>
      <c r="P233" s="269">
        <v>84.915000000000006</v>
      </c>
      <c r="Q233" s="426"/>
      <c r="R233" s="418" t="s">
        <v>842</v>
      </c>
      <c r="S233" s="427" t="s">
        <v>613</v>
      </c>
      <c r="T233" s="357">
        <v>1</v>
      </c>
      <c r="U233" s="357" t="s">
        <v>204</v>
      </c>
      <c r="V233" s="367">
        <v>103200000</v>
      </c>
      <c r="W233" s="368">
        <v>103200000</v>
      </c>
      <c r="X233" s="357"/>
      <c r="Y233" s="357"/>
      <c r="Z233" s="400"/>
      <c r="AA233" s="369"/>
      <c r="AB233" s="370"/>
      <c r="AC233" s="404"/>
      <c r="AD233" s="270"/>
      <c r="AE233" s="156"/>
      <c r="AF233" s="156"/>
      <c r="AG233" s="357"/>
      <c r="AH233" s="357"/>
      <c r="AI233" s="357"/>
      <c r="AJ233" s="156"/>
      <c r="AK233" s="156"/>
      <c r="AL233" s="375"/>
      <c r="AM233" s="405"/>
      <c r="AN233" s="273"/>
      <c r="AO233" s="405"/>
      <c r="AP233" s="273"/>
      <c r="AQ233" s="273"/>
      <c r="AR233" s="273"/>
      <c r="AS233" s="273"/>
      <c r="AT233" s="273"/>
      <c r="AU233" s="273"/>
      <c r="AV233" s="322">
        <f t="shared" si="11"/>
        <v>0</v>
      </c>
      <c r="AW233" s="402" t="s">
        <v>3387</v>
      </c>
      <c r="AX233" s="274">
        <v>45765</v>
      </c>
      <c r="AY233" s="270" t="s">
        <v>3388</v>
      </c>
      <c r="AZ233" s="156"/>
      <c r="BA233" s="156">
        <v>320000000</v>
      </c>
      <c r="BB233" s="156"/>
      <c r="BC233" s="156"/>
      <c r="BD233" s="353">
        <f t="shared" si="12"/>
        <v>320000000</v>
      </c>
      <c r="BE233" s="432" t="s">
        <v>355</v>
      </c>
      <c r="BF233" s="407" t="s">
        <v>3210</v>
      </c>
      <c r="BG233" s="168"/>
      <c r="BH233" s="274"/>
      <c r="BI233" s="168"/>
      <c r="BJ233" s="274"/>
      <c r="BK233" s="168"/>
      <c r="BL233" s="275"/>
      <c r="BM233" s="276"/>
      <c r="BN233" s="275"/>
      <c r="BO233" s="276"/>
      <c r="BP233" s="277"/>
      <c r="BQ233" s="156"/>
      <c r="BR233" s="274"/>
      <c r="BS233" s="270"/>
      <c r="BT233" s="270"/>
      <c r="BU233" s="274"/>
      <c r="BV233" s="274"/>
      <c r="BW233" s="278"/>
      <c r="BX233" s="278"/>
      <c r="BY233" s="278"/>
      <c r="BZ233" s="351"/>
    </row>
    <row r="234" spans="1:78" s="90" customFormat="1" ht="19.5" hidden="1" customHeight="1">
      <c r="A234" s="137"/>
      <c r="B234" s="197">
        <f t="shared" si="10"/>
        <v>224</v>
      </c>
      <c r="C234" s="30" t="s">
        <v>206</v>
      </c>
      <c r="D234" s="30" t="s">
        <v>225</v>
      </c>
      <c r="E234" s="234" t="s">
        <v>843</v>
      </c>
      <c r="F234" s="235" t="s">
        <v>1257</v>
      </c>
      <c r="G234" s="284">
        <f>IFERROR(VLOOKUP(E234,Assign!$C$2:$J$142,8,FALSE),)</f>
        <v>0</v>
      </c>
      <c r="H234" s="361" t="s">
        <v>4062</v>
      </c>
      <c r="I234" s="363">
        <v>1</v>
      </c>
      <c r="J234" s="364" t="s">
        <v>224</v>
      </c>
      <c r="K234" s="364" t="s">
        <v>428</v>
      </c>
      <c r="L234" s="365" t="s">
        <v>1637</v>
      </c>
      <c r="M234" s="362" t="s">
        <v>3099</v>
      </c>
      <c r="N234" s="421" t="s">
        <v>396</v>
      </c>
      <c r="O234" s="269">
        <v>188.5</v>
      </c>
      <c r="P234" s="269">
        <v>108.24</v>
      </c>
      <c r="Q234" s="426"/>
      <c r="R234" s="418" t="s">
        <v>843</v>
      </c>
      <c r="S234" s="427" t="s">
        <v>613</v>
      </c>
      <c r="T234" s="357">
        <v>1</v>
      </c>
      <c r="U234" s="357" t="s">
        <v>204</v>
      </c>
      <c r="V234" s="367">
        <v>98000000</v>
      </c>
      <c r="W234" s="368">
        <v>98000000</v>
      </c>
      <c r="X234" s="357"/>
      <c r="Y234" s="357"/>
      <c r="Z234" s="400"/>
      <c r="AA234" s="369"/>
      <c r="AB234" s="370"/>
      <c r="AC234" s="404"/>
      <c r="AD234" s="270"/>
      <c r="AE234" s="156"/>
      <c r="AF234" s="156"/>
      <c r="AG234" s="357"/>
      <c r="AH234" s="357"/>
      <c r="AI234" s="357"/>
      <c r="AJ234" s="156"/>
      <c r="AK234" s="156"/>
      <c r="AL234" s="375"/>
      <c r="AM234" s="405"/>
      <c r="AN234" s="273"/>
      <c r="AO234" s="405"/>
      <c r="AP234" s="273"/>
      <c r="AQ234" s="273"/>
      <c r="AR234" s="273"/>
      <c r="AS234" s="273"/>
      <c r="AT234" s="273"/>
      <c r="AU234" s="273"/>
      <c r="AV234" s="322">
        <f t="shared" si="11"/>
        <v>0</v>
      </c>
      <c r="AW234" s="402"/>
      <c r="AX234" s="376"/>
      <c r="AY234" s="373"/>
      <c r="AZ234" s="375"/>
      <c r="BA234" s="375"/>
      <c r="BB234" s="375"/>
      <c r="BC234" s="375"/>
      <c r="BD234" s="353">
        <f t="shared" si="12"/>
        <v>0</v>
      </c>
      <c r="BE234" s="432" t="s">
        <v>355</v>
      </c>
      <c r="BF234" s="407" t="s">
        <v>512</v>
      </c>
      <c r="BG234" s="168"/>
      <c r="BH234" s="274"/>
      <c r="BI234" s="168"/>
      <c r="BJ234" s="274"/>
      <c r="BK234" s="168"/>
      <c r="BL234" s="275"/>
      <c r="BM234" s="276"/>
      <c r="BN234" s="275"/>
      <c r="BO234" s="276"/>
      <c r="BP234" s="277"/>
      <c r="BQ234" s="156"/>
      <c r="BR234" s="274"/>
      <c r="BS234" s="270"/>
      <c r="BT234" s="270"/>
      <c r="BU234" s="274"/>
      <c r="BV234" s="274"/>
      <c r="BW234" s="278"/>
      <c r="BX234" s="278"/>
      <c r="BY234" s="278"/>
      <c r="BZ234" s="351"/>
    </row>
    <row r="235" spans="1:78" s="90" customFormat="1" ht="19.5" hidden="1" customHeight="1">
      <c r="A235" s="137"/>
      <c r="B235" s="197">
        <f t="shared" si="10"/>
        <v>225</v>
      </c>
      <c r="C235" s="30" t="s">
        <v>206</v>
      </c>
      <c r="D235" s="30" t="s">
        <v>225</v>
      </c>
      <c r="E235" s="234" t="s">
        <v>844</v>
      </c>
      <c r="F235" s="235" t="s">
        <v>1261</v>
      </c>
      <c r="G235" s="284">
        <f>IFERROR(VLOOKUP(E235,Assign!$C$2:$J$142,8,FALSE),)</f>
        <v>0</v>
      </c>
      <c r="H235" s="361" t="s">
        <v>4505</v>
      </c>
      <c r="I235" s="363">
        <v>1</v>
      </c>
      <c r="J235" s="364" t="s">
        <v>208</v>
      </c>
      <c r="K235" s="364" t="s">
        <v>259</v>
      </c>
      <c r="L235" s="365" t="s">
        <v>1678</v>
      </c>
      <c r="M235" s="362" t="s">
        <v>2047</v>
      </c>
      <c r="N235" s="421" t="s">
        <v>362</v>
      </c>
      <c r="O235" s="269">
        <v>8.7579999999999991</v>
      </c>
      <c r="P235" s="269">
        <v>38.5</v>
      </c>
      <c r="Q235" s="426"/>
      <c r="R235" s="418" t="s">
        <v>844</v>
      </c>
      <c r="S235" s="427" t="s">
        <v>613</v>
      </c>
      <c r="T235" s="357">
        <v>1</v>
      </c>
      <c r="U235" s="357" t="s">
        <v>204</v>
      </c>
      <c r="V235" s="367">
        <v>99600000</v>
      </c>
      <c r="W235" s="367">
        <v>99600000</v>
      </c>
      <c r="X235" s="357"/>
      <c r="Y235" s="357"/>
      <c r="Z235" s="400"/>
      <c r="AA235" s="369"/>
      <c r="AB235" s="370"/>
      <c r="AC235" s="404"/>
      <c r="AD235" s="270"/>
      <c r="AE235" s="156"/>
      <c r="AF235" s="156"/>
      <c r="AG235" s="357"/>
      <c r="AH235" s="357"/>
      <c r="AI235" s="357"/>
      <c r="AJ235" s="156"/>
      <c r="AK235" s="156"/>
      <c r="AL235" s="375"/>
      <c r="AM235" s="405"/>
      <c r="AN235" s="273"/>
      <c r="AO235" s="405"/>
      <c r="AP235" s="273"/>
      <c r="AQ235" s="273"/>
      <c r="AR235" s="273"/>
      <c r="AS235" s="273"/>
      <c r="AT235" s="273"/>
      <c r="AU235" s="273"/>
      <c r="AV235" s="322">
        <f t="shared" si="11"/>
        <v>0</v>
      </c>
      <c r="AW235" s="402"/>
      <c r="AX235" s="376"/>
      <c r="AY235" s="373"/>
      <c r="AZ235" s="375"/>
      <c r="BA235" s="375"/>
      <c r="BB235" s="375"/>
      <c r="BC235" s="375"/>
      <c r="BD235" s="353">
        <f t="shared" si="12"/>
        <v>0</v>
      </c>
      <c r="BE235" s="432" t="s">
        <v>355</v>
      </c>
      <c r="BF235" s="407" t="s">
        <v>499</v>
      </c>
      <c r="BG235" s="168"/>
      <c r="BH235" s="274"/>
      <c r="BI235" s="168"/>
      <c r="BJ235" s="274"/>
      <c r="BK235" s="168"/>
      <c r="BL235" s="275"/>
      <c r="BM235" s="276"/>
      <c r="BN235" s="275"/>
      <c r="BO235" s="276"/>
      <c r="BP235" s="277"/>
      <c r="BQ235" s="156"/>
      <c r="BR235" s="274"/>
      <c r="BS235" s="270"/>
      <c r="BT235" s="270"/>
      <c r="BU235" s="274"/>
      <c r="BV235" s="274"/>
      <c r="BW235" s="278"/>
      <c r="BX235" s="278"/>
      <c r="BY235" s="278"/>
      <c r="BZ235" s="351"/>
    </row>
    <row r="236" spans="1:78" s="90" customFormat="1" ht="19.5" hidden="1" customHeight="1">
      <c r="A236" s="137"/>
      <c r="B236" s="197">
        <f t="shared" si="10"/>
        <v>226</v>
      </c>
      <c r="C236" s="30" t="s">
        <v>206</v>
      </c>
      <c r="D236" s="30" t="s">
        <v>225</v>
      </c>
      <c r="E236" s="234" t="s">
        <v>845</v>
      </c>
      <c r="F236" s="235" t="s">
        <v>1262</v>
      </c>
      <c r="G236" s="284">
        <f>IFERROR(VLOOKUP(E236,Assign!$C$2:$J$142,8,FALSE),)</f>
        <v>0</v>
      </c>
      <c r="H236" s="361" t="s">
        <v>4930</v>
      </c>
      <c r="I236" s="363">
        <v>1</v>
      </c>
      <c r="J236" s="364" t="s">
        <v>209</v>
      </c>
      <c r="K236" s="364" t="s">
        <v>291</v>
      </c>
      <c r="L236" s="365" t="s">
        <v>293</v>
      </c>
      <c r="M236" s="362" t="s">
        <v>2449</v>
      </c>
      <c r="N236" s="421" t="s">
        <v>606</v>
      </c>
      <c r="O236" s="269">
        <v>31.925000000000001</v>
      </c>
      <c r="P236" s="269">
        <v>55.2</v>
      </c>
      <c r="Q236" s="426"/>
      <c r="R236" s="418" t="s">
        <v>845</v>
      </c>
      <c r="S236" s="427" t="s">
        <v>613</v>
      </c>
      <c r="T236" s="357">
        <v>1</v>
      </c>
      <c r="U236" s="357" t="s">
        <v>204</v>
      </c>
      <c r="V236" s="367">
        <v>168000000</v>
      </c>
      <c r="W236" s="368">
        <v>168000000</v>
      </c>
      <c r="X236" s="357"/>
      <c r="Y236" s="357"/>
      <c r="Z236" s="400"/>
      <c r="AA236" s="369"/>
      <c r="AB236" s="370"/>
      <c r="AC236" s="404"/>
      <c r="AD236" s="270"/>
      <c r="AE236" s="156"/>
      <c r="AF236" s="156"/>
      <c r="AG236" s="357"/>
      <c r="AH236" s="357"/>
      <c r="AI236" s="357"/>
      <c r="AJ236" s="156"/>
      <c r="AK236" s="156"/>
      <c r="AL236" s="375"/>
      <c r="AM236" s="405"/>
      <c r="AN236" s="273"/>
      <c r="AO236" s="405"/>
      <c r="AP236" s="273"/>
      <c r="AQ236" s="273"/>
      <c r="AR236" s="273"/>
      <c r="AS236" s="273"/>
      <c r="AT236" s="273"/>
      <c r="AU236" s="273"/>
      <c r="AV236" s="322">
        <f t="shared" si="11"/>
        <v>0</v>
      </c>
      <c r="AW236" s="402"/>
      <c r="AX236" s="376"/>
      <c r="AY236" s="373"/>
      <c r="AZ236" s="375"/>
      <c r="BA236" s="375"/>
      <c r="BB236" s="375"/>
      <c r="BC236" s="375"/>
      <c r="BD236" s="353">
        <f t="shared" si="12"/>
        <v>0</v>
      </c>
      <c r="BE236" s="432" t="s">
        <v>355</v>
      </c>
      <c r="BF236" s="407" t="s">
        <v>495</v>
      </c>
      <c r="BG236" s="168"/>
      <c r="BH236" s="274"/>
      <c r="BI236" s="168"/>
      <c r="BJ236" s="274"/>
      <c r="BK236" s="168"/>
      <c r="BL236" s="275"/>
      <c r="BM236" s="276"/>
      <c r="BN236" s="275"/>
      <c r="BO236" s="276"/>
      <c r="BP236" s="277"/>
      <c r="BQ236" s="156"/>
      <c r="BR236" s="274"/>
      <c r="BS236" s="270"/>
      <c r="BT236" s="270"/>
      <c r="BU236" s="274"/>
      <c r="BV236" s="274"/>
      <c r="BW236" s="278"/>
      <c r="BX236" s="278"/>
      <c r="BY236" s="278"/>
      <c r="BZ236" s="351"/>
    </row>
    <row r="237" spans="1:78" s="90" customFormat="1" ht="19.5" hidden="1" customHeight="1">
      <c r="A237" s="137"/>
      <c r="B237" s="197">
        <f t="shared" si="10"/>
        <v>227</v>
      </c>
      <c r="C237" s="30" t="s">
        <v>206</v>
      </c>
      <c r="D237" s="30" t="s">
        <v>225</v>
      </c>
      <c r="E237" s="234" t="s">
        <v>846</v>
      </c>
      <c r="F237" s="235" t="s">
        <v>1217</v>
      </c>
      <c r="G237" s="284">
        <f>IFERROR(VLOOKUP(E237,Assign!$C$2:$J$142,8,FALSE),)</f>
        <v>0</v>
      </c>
      <c r="H237" s="361" t="s">
        <v>4928</v>
      </c>
      <c r="I237" s="363">
        <v>1</v>
      </c>
      <c r="J237" s="364" t="s">
        <v>209</v>
      </c>
      <c r="K237" s="364" t="s">
        <v>287</v>
      </c>
      <c r="L237" s="365" t="s">
        <v>388</v>
      </c>
      <c r="M237" s="362" t="s">
        <v>2448</v>
      </c>
      <c r="N237" s="421" t="s">
        <v>606</v>
      </c>
      <c r="O237" s="269">
        <v>39.453400000000002</v>
      </c>
      <c r="P237" s="269">
        <v>80.05</v>
      </c>
      <c r="Q237" s="426"/>
      <c r="R237" s="418" t="s">
        <v>3468</v>
      </c>
      <c r="S237" s="427" t="s">
        <v>613</v>
      </c>
      <c r="T237" s="357" t="s">
        <v>292</v>
      </c>
      <c r="U237" s="357" t="s">
        <v>204</v>
      </c>
      <c r="V237" s="367">
        <v>120000000</v>
      </c>
      <c r="W237" s="368">
        <v>120000000</v>
      </c>
      <c r="X237" s="357"/>
      <c r="Y237" s="357"/>
      <c r="Z237" s="400"/>
      <c r="AA237" s="369"/>
      <c r="AB237" s="370"/>
      <c r="AC237" s="404">
        <v>1</v>
      </c>
      <c r="AD237" s="270" t="s">
        <v>204</v>
      </c>
      <c r="AE237" s="156">
        <v>162800000</v>
      </c>
      <c r="AF237" s="156">
        <v>162800000</v>
      </c>
      <c r="AG237" s="357"/>
      <c r="AH237" s="357"/>
      <c r="AI237" s="357"/>
      <c r="AJ237" s="156"/>
      <c r="AK237" s="156"/>
      <c r="AL237" s="375"/>
      <c r="AM237" s="405"/>
      <c r="AN237" s="273"/>
      <c r="AO237" s="405"/>
      <c r="AP237" s="273"/>
      <c r="AQ237" s="273"/>
      <c r="AR237" s="273"/>
      <c r="AS237" s="273"/>
      <c r="AT237" s="273"/>
      <c r="AU237" s="273"/>
      <c r="AV237" s="322">
        <f t="shared" si="11"/>
        <v>0</v>
      </c>
      <c r="AW237" s="402"/>
      <c r="AX237" s="376"/>
      <c r="AY237" s="373"/>
      <c r="AZ237" s="375"/>
      <c r="BA237" s="375"/>
      <c r="BB237" s="375"/>
      <c r="BC237" s="375"/>
      <c r="BD237" s="353">
        <f t="shared" si="12"/>
        <v>0</v>
      </c>
      <c r="BE237" s="432" t="s">
        <v>355</v>
      </c>
      <c r="BF237" s="407" t="s">
        <v>519</v>
      </c>
      <c r="BG237" s="168"/>
      <c r="BH237" s="274"/>
      <c r="BI237" s="168"/>
      <c r="BJ237" s="274"/>
      <c r="BK237" s="168"/>
      <c r="BL237" s="275"/>
      <c r="BM237" s="276"/>
      <c r="BN237" s="275"/>
      <c r="BO237" s="276"/>
      <c r="BP237" s="277"/>
      <c r="BQ237" s="156"/>
      <c r="BR237" s="274"/>
      <c r="BS237" s="270"/>
      <c r="BT237" s="270"/>
      <c r="BU237" s="274"/>
      <c r="BV237" s="274"/>
      <c r="BW237" s="278"/>
      <c r="BX237" s="278"/>
      <c r="BY237" s="278"/>
      <c r="BZ237" s="351"/>
    </row>
    <row r="238" spans="1:78" s="90" customFormat="1" ht="19.5" hidden="1" customHeight="1">
      <c r="A238" s="137"/>
      <c r="B238" s="197">
        <f t="shared" si="10"/>
        <v>228</v>
      </c>
      <c r="C238" s="30" t="s">
        <v>206</v>
      </c>
      <c r="D238" s="30" t="s">
        <v>225</v>
      </c>
      <c r="E238" s="234" t="s">
        <v>847</v>
      </c>
      <c r="F238" s="235" t="s">
        <v>1232</v>
      </c>
      <c r="G238" s="284">
        <f>IFERROR(VLOOKUP(E238,Assign!$C$2:$J$142,8,FALSE),)</f>
        <v>0</v>
      </c>
      <c r="H238" s="361" t="s">
        <v>4730</v>
      </c>
      <c r="I238" s="363">
        <v>1</v>
      </c>
      <c r="J238" s="364" t="s">
        <v>208</v>
      </c>
      <c r="K238" s="364" t="s">
        <v>280</v>
      </c>
      <c r="L238" s="365" t="s">
        <v>2265</v>
      </c>
      <c r="M238" s="362" t="s">
        <v>2266</v>
      </c>
      <c r="N238" s="421" t="s">
        <v>362</v>
      </c>
      <c r="O238" s="269">
        <v>5.7385000000000002</v>
      </c>
      <c r="P238" s="269">
        <v>6.6</v>
      </c>
      <c r="Q238" s="426"/>
      <c r="R238" s="418" t="s">
        <v>3490</v>
      </c>
      <c r="S238" s="427" t="s">
        <v>613</v>
      </c>
      <c r="T238" s="357">
        <v>1</v>
      </c>
      <c r="U238" s="357" t="s">
        <v>204</v>
      </c>
      <c r="V238" s="367">
        <v>118800000</v>
      </c>
      <c r="W238" s="368">
        <v>118800000</v>
      </c>
      <c r="X238" s="357"/>
      <c r="Y238" s="357"/>
      <c r="Z238" s="400"/>
      <c r="AA238" s="369"/>
      <c r="AB238" s="370"/>
      <c r="AC238" s="404"/>
      <c r="AD238" s="270"/>
      <c r="AE238" s="156"/>
      <c r="AF238" s="156"/>
      <c r="AG238" s="357"/>
      <c r="AH238" s="357"/>
      <c r="AI238" s="357"/>
      <c r="AJ238" s="156"/>
      <c r="AK238" s="156"/>
      <c r="AL238" s="375"/>
      <c r="AM238" s="405"/>
      <c r="AN238" s="273"/>
      <c r="AO238" s="405"/>
      <c r="AP238" s="273"/>
      <c r="AQ238" s="273"/>
      <c r="AR238" s="273"/>
      <c r="AS238" s="273"/>
      <c r="AT238" s="273"/>
      <c r="AU238" s="273"/>
      <c r="AV238" s="322">
        <f t="shared" si="11"/>
        <v>0</v>
      </c>
      <c r="AW238" s="402"/>
      <c r="AX238" s="274"/>
      <c r="AY238" s="270"/>
      <c r="AZ238" s="156"/>
      <c r="BA238" s="156"/>
      <c r="BB238" s="156"/>
      <c r="BC238" s="156"/>
      <c r="BD238" s="353">
        <f t="shared" si="12"/>
        <v>0</v>
      </c>
      <c r="BE238" s="432" t="s">
        <v>355</v>
      </c>
      <c r="BF238" s="407" t="s">
        <v>422</v>
      </c>
      <c r="BG238" s="168"/>
      <c r="BH238" s="274"/>
      <c r="BI238" s="168"/>
      <c r="BJ238" s="274"/>
      <c r="BK238" s="168"/>
      <c r="BL238" s="275"/>
      <c r="BM238" s="276"/>
      <c r="BN238" s="275"/>
      <c r="BO238" s="276"/>
      <c r="BP238" s="277"/>
      <c r="BQ238" s="156"/>
      <c r="BR238" s="274"/>
      <c r="BS238" s="270"/>
      <c r="BT238" s="270"/>
      <c r="BU238" s="274"/>
      <c r="BV238" s="274"/>
      <c r="BW238" s="278"/>
      <c r="BX238" s="278"/>
      <c r="BY238" s="278"/>
      <c r="BZ238" s="351"/>
    </row>
    <row r="239" spans="1:78" s="90" customFormat="1" ht="19.5" hidden="1" customHeight="1">
      <c r="A239" s="137"/>
      <c r="B239" s="197">
        <f t="shared" si="10"/>
        <v>229</v>
      </c>
      <c r="C239" s="30" t="s">
        <v>206</v>
      </c>
      <c r="D239" s="30" t="s">
        <v>225</v>
      </c>
      <c r="E239" s="234" t="s">
        <v>848</v>
      </c>
      <c r="F239" s="235" t="s">
        <v>1231</v>
      </c>
      <c r="G239" s="284">
        <f>IFERROR(VLOOKUP(E239,Assign!$C$2:$J$142,8,FALSE),)</f>
        <v>0</v>
      </c>
      <c r="H239" s="361" t="s">
        <v>3982</v>
      </c>
      <c r="I239" s="363">
        <v>1</v>
      </c>
      <c r="J239" s="364" t="s">
        <v>208</v>
      </c>
      <c r="K239" s="364" t="s">
        <v>259</v>
      </c>
      <c r="L239" s="365" t="s">
        <v>387</v>
      </c>
      <c r="M239" s="362" t="s">
        <v>1559</v>
      </c>
      <c r="N239" s="421" t="s">
        <v>207</v>
      </c>
      <c r="O239" s="269">
        <v>31.611999999999998</v>
      </c>
      <c r="P239" s="269">
        <v>84.7</v>
      </c>
      <c r="Q239" s="426"/>
      <c r="R239" s="418" t="s">
        <v>3420</v>
      </c>
      <c r="S239" s="427" t="s">
        <v>613</v>
      </c>
      <c r="T239" s="357" t="s">
        <v>229</v>
      </c>
      <c r="U239" s="357" t="s">
        <v>204</v>
      </c>
      <c r="V239" s="367">
        <v>180000000</v>
      </c>
      <c r="W239" s="368">
        <v>180000000</v>
      </c>
      <c r="X239" s="357"/>
      <c r="Y239" s="357"/>
      <c r="Z239" s="400"/>
      <c r="AA239" s="369"/>
      <c r="AB239" s="370"/>
      <c r="AC239" s="404"/>
      <c r="AD239" s="270"/>
      <c r="AE239" s="156"/>
      <c r="AF239" s="156"/>
      <c r="AG239" s="357"/>
      <c r="AH239" s="357"/>
      <c r="AI239" s="357"/>
      <c r="AJ239" s="156"/>
      <c r="AK239" s="156"/>
      <c r="AL239" s="375"/>
      <c r="AM239" s="405"/>
      <c r="AN239" s="273"/>
      <c r="AO239" s="405"/>
      <c r="AP239" s="273"/>
      <c r="AQ239" s="273"/>
      <c r="AR239" s="273"/>
      <c r="AS239" s="273"/>
      <c r="AT239" s="273"/>
      <c r="AU239" s="273"/>
      <c r="AV239" s="322">
        <f t="shared" si="11"/>
        <v>0</v>
      </c>
      <c r="AW239" s="402" t="s">
        <v>3387</v>
      </c>
      <c r="AX239" s="376">
        <v>45765</v>
      </c>
      <c r="AY239" s="373" t="s">
        <v>3388</v>
      </c>
      <c r="AZ239" s="375"/>
      <c r="BA239" s="375">
        <v>340000000</v>
      </c>
      <c r="BB239" s="375"/>
      <c r="BC239" s="375"/>
      <c r="BD239" s="353">
        <f t="shared" si="12"/>
        <v>340000000</v>
      </c>
      <c r="BE239" s="432" t="s">
        <v>355</v>
      </c>
      <c r="BF239" s="407" t="s">
        <v>499</v>
      </c>
      <c r="BG239" s="168"/>
      <c r="BH239" s="274"/>
      <c r="BI239" s="168"/>
      <c r="BJ239" s="274"/>
      <c r="BK239" s="168"/>
      <c r="BL239" s="275"/>
      <c r="BM239" s="276"/>
      <c r="BN239" s="275"/>
      <c r="BO239" s="276"/>
      <c r="BP239" s="277"/>
      <c r="BQ239" s="156"/>
      <c r="BR239" s="274"/>
      <c r="BS239" s="270"/>
      <c r="BT239" s="270"/>
      <c r="BU239" s="274"/>
      <c r="BV239" s="274"/>
      <c r="BW239" s="278"/>
      <c r="BX239" s="278"/>
      <c r="BY239" s="278"/>
      <c r="BZ239" s="351"/>
    </row>
    <row r="240" spans="1:78" s="90" customFormat="1" ht="19.5" customHeight="1">
      <c r="A240" s="137"/>
      <c r="B240" s="197">
        <f t="shared" si="10"/>
        <v>230</v>
      </c>
      <c r="C240" s="30" t="s">
        <v>206</v>
      </c>
      <c r="D240" s="30" t="s">
        <v>225</v>
      </c>
      <c r="E240" s="234" t="s">
        <v>849</v>
      </c>
      <c r="F240" s="235" t="s">
        <v>1217</v>
      </c>
      <c r="G240" s="284" t="str">
        <f>IFERROR(VLOOKUP(E240,Assign!$C$2:$J$142,8,FALSE),)</f>
        <v>문선영</v>
      </c>
      <c r="H240" s="361" t="s">
        <v>4544</v>
      </c>
      <c r="I240" s="363">
        <v>1</v>
      </c>
      <c r="J240" s="364" t="s">
        <v>214</v>
      </c>
      <c r="K240" s="364" t="s">
        <v>2085</v>
      </c>
      <c r="L240" s="365" t="s">
        <v>2086</v>
      </c>
      <c r="M240" s="362" t="s">
        <v>3120</v>
      </c>
      <c r="N240" s="421" t="s">
        <v>396</v>
      </c>
      <c r="O240" s="269">
        <v>330</v>
      </c>
      <c r="P240" s="269">
        <v>85.23</v>
      </c>
      <c r="Q240" s="426"/>
      <c r="R240" s="418" t="s">
        <v>3456</v>
      </c>
      <c r="S240" s="427" t="s">
        <v>613</v>
      </c>
      <c r="T240" s="357">
        <v>1</v>
      </c>
      <c r="U240" s="357" t="s">
        <v>204</v>
      </c>
      <c r="V240" s="367">
        <v>65000000</v>
      </c>
      <c r="W240" s="368">
        <v>65000000</v>
      </c>
      <c r="X240" s="357"/>
      <c r="Y240" s="357"/>
      <c r="Z240" s="400"/>
      <c r="AA240" s="369"/>
      <c r="AB240" s="370"/>
      <c r="AC240" s="404"/>
      <c r="AD240" s="270"/>
      <c r="AE240" s="156"/>
      <c r="AF240" s="156"/>
      <c r="AG240" s="357"/>
      <c r="AH240" s="357"/>
      <c r="AI240" s="357"/>
      <c r="AJ240" s="156"/>
      <c r="AK240" s="156"/>
      <c r="AL240" s="375"/>
      <c r="AM240" s="405"/>
      <c r="AN240" s="273"/>
      <c r="AO240" s="405"/>
      <c r="AP240" s="273"/>
      <c r="AQ240" s="273"/>
      <c r="AR240" s="273"/>
      <c r="AS240" s="273"/>
      <c r="AT240" s="273"/>
      <c r="AU240" s="273"/>
      <c r="AV240" s="322">
        <f t="shared" si="11"/>
        <v>0</v>
      </c>
      <c r="AW240" s="402"/>
      <c r="AX240" s="376"/>
      <c r="AY240" s="373"/>
      <c r="AZ240" s="375"/>
      <c r="BA240" s="375"/>
      <c r="BB240" s="156"/>
      <c r="BC240" s="156"/>
      <c r="BD240" s="353">
        <f t="shared" si="12"/>
        <v>0</v>
      </c>
      <c r="BE240" s="432" t="s">
        <v>335</v>
      </c>
      <c r="BF240" s="407" t="s">
        <v>507</v>
      </c>
      <c r="BG240" s="168" t="s">
        <v>1373</v>
      </c>
      <c r="BH240" s="274">
        <v>45604</v>
      </c>
      <c r="BI240" s="168" t="s">
        <v>3229</v>
      </c>
      <c r="BJ240" s="274">
        <v>45702</v>
      </c>
      <c r="BK240" s="168">
        <v>65000000</v>
      </c>
      <c r="BL240" s="275"/>
      <c r="BM240" s="276"/>
      <c r="BN240" s="275"/>
      <c r="BO240" s="276"/>
      <c r="BP240" s="277"/>
      <c r="BQ240" s="156"/>
      <c r="BR240" s="274"/>
      <c r="BS240" s="270"/>
      <c r="BT240" s="270"/>
      <c r="BU240" s="274"/>
      <c r="BV240" s="274"/>
      <c r="BW240" s="278"/>
      <c r="BX240" s="278"/>
      <c r="BY240" s="278"/>
      <c r="BZ240" s="351"/>
    </row>
    <row r="241" spans="1:78" s="90" customFormat="1" ht="19.5" hidden="1" customHeight="1">
      <c r="A241" s="137"/>
      <c r="B241" s="197">
        <f t="shared" si="10"/>
        <v>231</v>
      </c>
      <c r="C241" s="30" t="s">
        <v>206</v>
      </c>
      <c r="D241" s="30" t="s">
        <v>225</v>
      </c>
      <c r="E241" s="234" t="s">
        <v>850</v>
      </c>
      <c r="F241" s="235" t="s">
        <v>1229</v>
      </c>
      <c r="G241" s="284">
        <f>IFERROR(VLOOKUP(E241,Assign!$C$2:$J$142,8,FALSE),)</f>
        <v>0</v>
      </c>
      <c r="H241" s="361" t="s">
        <v>4415</v>
      </c>
      <c r="I241" s="363">
        <v>1</v>
      </c>
      <c r="J241" s="364" t="s">
        <v>221</v>
      </c>
      <c r="K241" s="364" t="s">
        <v>405</v>
      </c>
      <c r="L241" s="365" t="s">
        <v>1970</v>
      </c>
      <c r="M241" s="362" t="s">
        <v>1971</v>
      </c>
      <c r="N241" s="421" t="s">
        <v>207</v>
      </c>
      <c r="O241" s="269">
        <v>51.762599999999999</v>
      </c>
      <c r="P241" s="269">
        <v>82.600999999999999</v>
      </c>
      <c r="Q241" s="426"/>
      <c r="R241" s="418" t="s">
        <v>850</v>
      </c>
      <c r="S241" s="427" t="s">
        <v>613</v>
      </c>
      <c r="T241" s="357">
        <v>1</v>
      </c>
      <c r="U241" s="357" t="s">
        <v>204</v>
      </c>
      <c r="V241" s="367">
        <v>123600000</v>
      </c>
      <c r="W241" s="368">
        <v>123600000</v>
      </c>
      <c r="X241" s="357"/>
      <c r="Y241" s="357"/>
      <c r="Z241" s="400"/>
      <c r="AA241" s="369"/>
      <c r="AB241" s="370"/>
      <c r="AC241" s="404"/>
      <c r="AD241" s="270"/>
      <c r="AE241" s="156"/>
      <c r="AF241" s="156"/>
      <c r="AG241" s="357"/>
      <c r="AH241" s="357"/>
      <c r="AI241" s="357"/>
      <c r="AJ241" s="156"/>
      <c r="AK241" s="156"/>
      <c r="AL241" s="375"/>
      <c r="AM241" s="405"/>
      <c r="AN241" s="273"/>
      <c r="AO241" s="405"/>
      <c r="AP241" s="273"/>
      <c r="AQ241" s="273"/>
      <c r="AR241" s="273"/>
      <c r="AS241" s="273"/>
      <c r="AT241" s="273"/>
      <c r="AU241" s="273"/>
      <c r="AV241" s="322">
        <f t="shared" si="11"/>
        <v>0</v>
      </c>
      <c r="AW241" s="402" t="s">
        <v>3387</v>
      </c>
      <c r="AX241" s="376">
        <v>45765</v>
      </c>
      <c r="AY241" s="373" t="s">
        <v>3388</v>
      </c>
      <c r="AZ241" s="375"/>
      <c r="BA241" s="375">
        <v>181500000</v>
      </c>
      <c r="BB241" s="375"/>
      <c r="BC241" s="375"/>
      <c r="BD241" s="353">
        <f t="shared" si="12"/>
        <v>181500000</v>
      </c>
      <c r="BE241" s="432" t="s">
        <v>355</v>
      </c>
      <c r="BF241" s="407" t="s">
        <v>513</v>
      </c>
      <c r="BG241" s="168"/>
      <c r="BH241" s="274"/>
      <c r="BI241" s="168"/>
      <c r="BJ241" s="274"/>
      <c r="BK241" s="168"/>
      <c r="BL241" s="275"/>
      <c r="BM241" s="276"/>
      <c r="BN241" s="275"/>
      <c r="BO241" s="276"/>
      <c r="BP241" s="277"/>
      <c r="BQ241" s="156"/>
      <c r="BR241" s="274"/>
      <c r="BS241" s="270"/>
      <c r="BT241" s="270"/>
      <c r="BU241" s="274"/>
      <c r="BV241" s="274"/>
      <c r="BW241" s="278"/>
      <c r="BX241" s="278"/>
      <c r="BY241" s="278"/>
      <c r="BZ241" s="351"/>
    </row>
    <row r="242" spans="1:78" s="90" customFormat="1" ht="19.5" hidden="1" customHeight="1">
      <c r="A242" s="137"/>
      <c r="B242" s="197">
        <f t="shared" si="10"/>
        <v>232</v>
      </c>
      <c r="C242" s="30" t="s">
        <v>206</v>
      </c>
      <c r="D242" s="30" t="s">
        <v>225</v>
      </c>
      <c r="E242" s="234" t="s">
        <v>851</v>
      </c>
      <c r="F242" s="235" t="s">
        <v>1225</v>
      </c>
      <c r="G242" s="284" t="str">
        <f>IFERROR(VLOOKUP(E242,Assign!$C$2:$J$142,8,FALSE),)</f>
        <v>문선영</v>
      </c>
      <c r="H242" s="361" t="s">
        <v>4134</v>
      </c>
      <c r="I242" s="363">
        <v>1</v>
      </c>
      <c r="J242" s="364" t="s">
        <v>211</v>
      </c>
      <c r="K242" s="364" t="s">
        <v>299</v>
      </c>
      <c r="L242" s="365" t="s">
        <v>1710</v>
      </c>
      <c r="M242" s="362" t="s">
        <v>1711</v>
      </c>
      <c r="N242" s="421" t="s">
        <v>207</v>
      </c>
      <c r="O242" s="269">
        <v>45.82</v>
      </c>
      <c r="P242" s="269">
        <v>75.493399999999994</v>
      </c>
      <c r="Q242" s="426"/>
      <c r="R242" s="418" t="s">
        <v>851</v>
      </c>
      <c r="S242" s="427" t="s">
        <v>613</v>
      </c>
      <c r="T242" s="357">
        <v>2</v>
      </c>
      <c r="U242" s="357" t="s">
        <v>204</v>
      </c>
      <c r="V242" s="367">
        <v>126000000</v>
      </c>
      <c r="W242" s="368">
        <v>126000000</v>
      </c>
      <c r="X242" s="357">
        <v>2</v>
      </c>
      <c r="Y242" s="357">
        <v>2</v>
      </c>
      <c r="Z242" s="400" t="s">
        <v>3206</v>
      </c>
      <c r="AA242" s="369">
        <v>126000000</v>
      </c>
      <c r="AB242" s="370">
        <v>126000000</v>
      </c>
      <c r="AC242" s="404">
        <v>1</v>
      </c>
      <c r="AD242" s="270" t="s">
        <v>204</v>
      </c>
      <c r="AE242" s="156">
        <v>155100000</v>
      </c>
      <c r="AF242" s="156">
        <v>155100000</v>
      </c>
      <c r="AG242" s="357"/>
      <c r="AH242" s="357"/>
      <c r="AI242" s="357"/>
      <c r="AJ242" s="156"/>
      <c r="AK242" s="156"/>
      <c r="AL242" s="375"/>
      <c r="AM242" s="405"/>
      <c r="AN242" s="273"/>
      <c r="AO242" s="405"/>
      <c r="AP242" s="273"/>
      <c r="AQ242" s="273"/>
      <c r="AR242" s="273"/>
      <c r="AS242" s="273"/>
      <c r="AT242" s="273"/>
      <c r="AU242" s="273"/>
      <c r="AV242" s="322">
        <f t="shared" si="11"/>
        <v>0</v>
      </c>
      <c r="AW242" s="402" t="s">
        <v>3387</v>
      </c>
      <c r="AX242" s="376">
        <v>45765</v>
      </c>
      <c r="AY242" s="373" t="s">
        <v>3388</v>
      </c>
      <c r="AZ242" s="375"/>
      <c r="BA242" s="375">
        <v>217500000</v>
      </c>
      <c r="BB242" s="156"/>
      <c r="BC242" s="156"/>
      <c r="BD242" s="353">
        <f t="shared" si="12"/>
        <v>217500000</v>
      </c>
      <c r="BE242" s="432" t="s">
        <v>355</v>
      </c>
      <c r="BF242" s="407" t="s">
        <v>527</v>
      </c>
      <c r="BG242" s="168"/>
      <c r="BH242" s="274"/>
      <c r="BI242" s="168"/>
      <c r="BJ242" s="274"/>
      <c r="BK242" s="168"/>
      <c r="BL242" s="275"/>
      <c r="BM242" s="276"/>
      <c r="BN242" s="275"/>
      <c r="BO242" s="276"/>
      <c r="BP242" s="277"/>
      <c r="BQ242" s="156"/>
      <c r="BR242" s="274"/>
      <c r="BS242" s="270"/>
      <c r="BT242" s="270"/>
      <c r="BU242" s="274"/>
      <c r="BV242" s="274"/>
      <c r="BW242" s="278"/>
      <c r="BX242" s="278"/>
      <c r="BY242" s="278"/>
      <c r="BZ242" s="351"/>
    </row>
    <row r="243" spans="1:78" s="90" customFormat="1" ht="19.5" hidden="1" customHeight="1">
      <c r="A243" s="137"/>
      <c r="B243" s="197">
        <f t="shared" si="10"/>
        <v>233</v>
      </c>
      <c r="C243" s="30" t="s">
        <v>206</v>
      </c>
      <c r="D243" s="30" t="s">
        <v>225</v>
      </c>
      <c r="E243" s="234" t="s">
        <v>851</v>
      </c>
      <c r="F243" s="235" t="s">
        <v>1225</v>
      </c>
      <c r="G243" s="284" t="str">
        <f>IFERROR(VLOOKUP(E243,Assign!$C$2:$J$142,8,FALSE),)</f>
        <v>문선영</v>
      </c>
      <c r="H243" s="361" t="s">
        <v>4136</v>
      </c>
      <c r="I243" s="363">
        <v>2</v>
      </c>
      <c r="J243" s="364" t="s">
        <v>211</v>
      </c>
      <c r="K243" s="364" t="s">
        <v>299</v>
      </c>
      <c r="L243" s="365" t="s">
        <v>1712</v>
      </c>
      <c r="M243" s="362" t="s">
        <v>1713</v>
      </c>
      <c r="N243" s="421" t="s">
        <v>207</v>
      </c>
      <c r="O243" s="269">
        <v>32.862000000000002</v>
      </c>
      <c r="P243" s="269">
        <v>59.63</v>
      </c>
      <c r="Q243" s="426"/>
      <c r="R243" s="418" t="s">
        <v>851</v>
      </c>
      <c r="S243" s="427" t="s">
        <v>613</v>
      </c>
      <c r="T243" s="357">
        <v>2</v>
      </c>
      <c r="U243" s="357" t="s">
        <v>204</v>
      </c>
      <c r="V243" s="367">
        <v>126000000</v>
      </c>
      <c r="W243" s="368">
        <v>126000000</v>
      </c>
      <c r="X243" s="357">
        <v>1</v>
      </c>
      <c r="Y243" s="357">
        <v>2</v>
      </c>
      <c r="Z243" s="400" t="s">
        <v>3206</v>
      </c>
      <c r="AA243" s="369">
        <v>126000000</v>
      </c>
      <c r="AB243" s="370">
        <v>126000000</v>
      </c>
      <c r="AC243" s="404">
        <v>1</v>
      </c>
      <c r="AD243" s="270" t="s">
        <v>204</v>
      </c>
      <c r="AE243" s="156">
        <v>42000000</v>
      </c>
      <c r="AF243" s="156">
        <v>42000000</v>
      </c>
      <c r="AG243" s="357"/>
      <c r="AH243" s="357"/>
      <c r="AI243" s="357"/>
      <c r="AJ243" s="156"/>
      <c r="AK243" s="156"/>
      <c r="AL243" s="375"/>
      <c r="AM243" s="405"/>
      <c r="AN243" s="273"/>
      <c r="AO243" s="405"/>
      <c r="AP243" s="273"/>
      <c r="AQ243" s="273"/>
      <c r="AR243" s="273"/>
      <c r="AS243" s="273"/>
      <c r="AT243" s="273"/>
      <c r="AU243" s="273"/>
      <c r="AV243" s="322">
        <f t="shared" si="11"/>
        <v>0</v>
      </c>
      <c r="AW243" s="402" t="s">
        <v>3387</v>
      </c>
      <c r="AX243" s="376">
        <v>45765</v>
      </c>
      <c r="AY243" s="373" t="s">
        <v>3388</v>
      </c>
      <c r="AZ243" s="375"/>
      <c r="BA243" s="375">
        <v>155000000</v>
      </c>
      <c r="BB243" s="375"/>
      <c r="BC243" s="375"/>
      <c r="BD243" s="353">
        <f t="shared" si="12"/>
        <v>155000000</v>
      </c>
      <c r="BE243" s="432" t="s">
        <v>355</v>
      </c>
      <c r="BF243" s="407" t="s">
        <v>527</v>
      </c>
      <c r="BG243" s="168"/>
      <c r="BH243" s="274"/>
      <c r="BI243" s="168"/>
      <c r="BJ243" s="274"/>
      <c r="BK243" s="168"/>
      <c r="BL243" s="275"/>
      <c r="BM243" s="276"/>
      <c r="BN243" s="275"/>
      <c r="BO243" s="276"/>
      <c r="BP243" s="277"/>
      <c r="BQ243" s="156"/>
      <c r="BR243" s="274"/>
      <c r="BS243" s="270"/>
      <c r="BT243" s="270"/>
      <c r="BU243" s="274"/>
      <c r="BV243" s="274"/>
      <c r="BW243" s="278"/>
      <c r="BX243" s="278"/>
      <c r="BY243" s="278"/>
      <c r="BZ243" s="351"/>
    </row>
    <row r="244" spans="1:78" s="90" customFormat="1" ht="19.5" hidden="1" customHeight="1">
      <c r="A244" s="137"/>
      <c r="B244" s="197">
        <f t="shared" si="10"/>
        <v>234</v>
      </c>
      <c r="C244" s="30" t="s">
        <v>206</v>
      </c>
      <c r="D244" s="30" t="s">
        <v>225</v>
      </c>
      <c r="E244" s="234" t="s">
        <v>852</v>
      </c>
      <c r="F244" s="235" t="s">
        <v>1263</v>
      </c>
      <c r="G244" s="284">
        <f>IFERROR(VLOOKUP(E244,Assign!$C$2:$J$142,8,FALSE),)</f>
        <v>0</v>
      </c>
      <c r="H244" s="361" t="s">
        <v>4238</v>
      </c>
      <c r="I244" s="363">
        <v>1</v>
      </c>
      <c r="J244" s="364" t="s">
        <v>208</v>
      </c>
      <c r="K244" s="364" t="s">
        <v>234</v>
      </c>
      <c r="L244" s="365" t="s">
        <v>411</v>
      </c>
      <c r="M244" s="362" t="s">
        <v>1810</v>
      </c>
      <c r="N244" s="421" t="s">
        <v>606</v>
      </c>
      <c r="O244" s="269">
        <v>37.17</v>
      </c>
      <c r="P244" s="269">
        <v>50.16</v>
      </c>
      <c r="Q244" s="426"/>
      <c r="R244" s="418" t="s">
        <v>852</v>
      </c>
      <c r="S244" s="427" t="s">
        <v>613</v>
      </c>
      <c r="T244" s="357">
        <v>1</v>
      </c>
      <c r="U244" s="357" t="s">
        <v>204</v>
      </c>
      <c r="V244" s="367">
        <v>109200000</v>
      </c>
      <c r="W244" s="368">
        <v>109200000</v>
      </c>
      <c r="X244" s="357"/>
      <c r="Y244" s="357"/>
      <c r="Z244" s="400"/>
      <c r="AA244" s="369"/>
      <c r="AB244" s="370"/>
      <c r="AC244" s="404"/>
      <c r="AD244" s="270"/>
      <c r="AE244" s="156"/>
      <c r="AF244" s="156"/>
      <c r="AG244" s="357"/>
      <c r="AH244" s="357"/>
      <c r="AI244" s="357"/>
      <c r="AJ244" s="156"/>
      <c r="AK244" s="156"/>
      <c r="AL244" s="375"/>
      <c r="AM244" s="405"/>
      <c r="AN244" s="273"/>
      <c r="AO244" s="405"/>
      <c r="AP244" s="273"/>
      <c r="AQ244" s="273"/>
      <c r="AR244" s="273"/>
      <c r="AS244" s="273"/>
      <c r="AT244" s="273"/>
      <c r="AU244" s="273"/>
      <c r="AV244" s="322">
        <f t="shared" si="11"/>
        <v>0</v>
      </c>
      <c r="AW244" s="402"/>
      <c r="AX244" s="376"/>
      <c r="AY244" s="373"/>
      <c r="AZ244" s="375"/>
      <c r="BA244" s="375"/>
      <c r="BB244" s="375"/>
      <c r="BC244" s="375"/>
      <c r="BD244" s="353">
        <f t="shared" si="12"/>
        <v>0</v>
      </c>
      <c r="BE244" s="432" t="s">
        <v>355</v>
      </c>
      <c r="BF244" s="407" t="s">
        <v>504</v>
      </c>
      <c r="BG244" s="168"/>
      <c r="BH244" s="274"/>
      <c r="BI244" s="168"/>
      <c r="BJ244" s="274"/>
      <c r="BK244" s="168"/>
      <c r="BL244" s="275"/>
      <c r="BM244" s="276"/>
      <c r="BN244" s="275"/>
      <c r="BO244" s="276"/>
      <c r="BP244" s="277"/>
      <c r="BQ244" s="156"/>
      <c r="BR244" s="274"/>
      <c r="BS244" s="270"/>
      <c r="BT244" s="270"/>
      <c r="BU244" s="274"/>
      <c r="BV244" s="274"/>
      <c r="BW244" s="278"/>
      <c r="BX244" s="278"/>
      <c r="BY244" s="278"/>
      <c r="BZ244" s="351"/>
    </row>
    <row r="245" spans="1:78" s="90" customFormat="1" ht="19.5" hidden="1" customHeight="1">
      <c r="A245" s="137"/>
      <c r="B245" s="197">
        <f t="shared" si="10"/>
        <v>235</v>
      </c>
      <c r="C245" s="30" t="s">
        <v>206</v>
      </c>
      <c r="D245" s="30" t="s">
        <v>225</v>
      </c>
      <c r="E245" s="234" t="s">
        <v>853</v>
      </c>
      <c r="F245" s="235" t="s">
        <v>1264</v>
      </c>
      <c r="G245" s="284" t="str">
        <f>IFERROR(VLOOKUP(E245,Assign!$C$2:$J$142,8,FALSE),)</f>
        <v>문선영</v>
      </c>
      <c r="H245" s="361" t="s">
        <v>4181</v>
      </c>
      <c r="I245" s="363">
        <v>1</v>
      </c>
      <c r="J245" s="364" t="s">
        <v>209</v>
      </c>
      <c r="K245" s="364" t="s">
        <v>246</v>
      </c>
      <c r="L245" s="365" t="s">
        <v>253</v>
      </c>
      <c r="M245" s="362" t="s">
        <v>1756</v>
      </c>
      <c r="N245" s="421" t="s">
        <v>207</v>
      </c>
      <c r="O245" s="269">
        <v>28.04</v>
      </c>
      <c r="P245" s="269">
        <v>41.3</v>
      </c>
      <c r="Q245" s="426"/>
      <c r="R245" s="418" t="s">
        <v>853</v>
      </c>
      <c r="S245" s="427" t="s">
        <v>613</v>
      </c>
      <c r="T245" s="357" t="s">
        <v>233</v>
      </c>
      <c r="U245" s="357" t="s">
        <v>204</v>
      </c>
      <c r="V245" s="367">
        <v>86400000</v>
      </c>
      <c r="W245" s="368">
        <v>86400000</v>
      </c>
      <c r="X245" s="357"/>
      <c r="Y245" s="357"/>
      <c r="Z245" s="400"/>
      <c r="AA245" s="369"/>
      <c r="AB245" s="370"/>
      <c r="AC245" s="404"/>
      <c r="AD245" s="270"/>
      <c r="AE245" s="156"/>
      <c r="AF245" s="156"/>
      <c r="AG245" s="357"/>
      <c r="AH245" s="357"/>
      <c r="AI245" s="357"/>
      <c r="AJ245" s="156"/>
      <c r="AK245" s="156"/>
      <c r="AL245" s="375"/>
      <c r="AM245" s="405"/>
      <c r="AN245" s="273"/>
      <c r="AO245" s="405"/>
      <c r="AP245" s="273"/>
      <c r="AQ245" s="273"/>
      <c r="AR245" s="273"/>
      <c r="AS245" s="273"/>
      <c r="AT245" s="273"/>
      <c r="AU245" s="273"/>
      <c r="AV245" s="322">
        <f t="shared" si="11"/>
        <v>0</v>
      </c>
      <c r="AW245" s="402" t="s">
        <v>3387</v>
      </c>
      <c r="AX245" s="274">
        <v>45765</v>
      </c>
      <c r="AY245" s="270" t="s">
        <v>3388</v>
      </c>
      <c r="AZ245" s="156"/>
      <c r="BA245" s="156">
        <v>480000000</v>
      </c>
      <c r="BB245" s="156"/>
      <c r="BC245" s="156"/>
      <c r="BD245" s="353">
        <f t="shared" si="12"/>
        <v>480000000</v>
      </c>
      <c r="BE245" s="432" t="s">
        <v>355</v>
      </c>
      <c r="BF245" s="407" t="s">
        <v>510</v>
      </c>
      <c r="BG245" s="168"/>
      <c r="BH245" s="274"/>
      <c r="BI245" s="168"/>
      <c r="BJ245" s="274"/>
      <c r="BK245" s="168"/>
      <c r="BL245" s="275"/>
      <c r="BM245" s="276"/>
      <c r="BN245" s="275"/>
      <c r="BO245" s="276"/>
      <c r="BP245" s="277"/>
      <c r="BQ245" s="156"/>
      <c r="BR245" s="274"/>
      <c r="BS245" s="270"/>
      <c r="BT245" s="270"/>
      <c r="BU245" s="274"/>
      <c r="BV245" s="274"/>
      <c r="BW245" s="278"/>
      <c r="BX245" s="278"/>
      <c r="BY245" s="278"/>
      <c r="BZ245" s="351"/>
    </row>
    <row r="246" spans="1:78" s="90" customFormat="1" ht="19.5" hidden="1" customHeight="1">
      <c r="A246" s="137"/>
      <c r="B246" s="197">
        <f t="shared" si="10"/>
        <v>236</v>
      </c>
      <c r="C246" s="30" t="s">
        <v>206</v>
      </c>
      <c r="D246" s="30" t="s">
        <v>225</v>
      </c>
      <c r="E246" s="234" t="s">
        <v>854</v>
      </c>
      <c r="F246" s="235" t="s">
        <v>1229</v>
      </c>
      <c r="G246" s="284">
        <f>IFERROR(VLOOKUP(E246,Assign!$C$2:$J$142,8,FALSE),)</f>
        <v>0</v>
      </c>
      <c r="H246" s="361" t="s">
        <v>4032</v>
      </c>
      <c r="I246" s="363">
        <v>1</v>
      </c>
      <c r="J246" s="364" t="s">
        <v>214</v>
      </c>
      <c r="K246" s="364" t="s">
        <v>349</v>
      </c>
      <c r="L246" s="365" t="s">
        <v>351</v>
      </c>
      <c r="M246" s="362" t="s">
        <v>1606</v>
      </c>
      <c r="N246" s="421" t="s">
        <v>3505</v>
      </c>
      <c r="O246" s="269">
        <v>9.9426000000000005</v>
      </c>
      <c r="P246" s="269">
        <v>20.96</v>
      </c>
      <c r="Q246" s="426"/>
      <c r="R246" s="418" t="s">
        <v>854</v>
      </c>
      <c r="S246" s="427" t="s">
        <v>613</v>
      </c>
      <c r="T246" s="357">
        <v>1</v>
      </c>
      <c r="U246" s="357" t="s">
        <v>204</v>
      </c>
      <c r="V246" s="368">
        <v>84000000</v>
      </c>
      <c r="W246" s="368">
        <v>84000000</v>
      </c>
      <c r="X246" s="357"/>
      <c r="Y246" s="357"/>
      <c r="Z246" s="400"/>
      <c r="AA246" s="369"/>
      <c r="AB246" s="370"/>
      <c r="AC246" s="404"/>
      <c r="AD246" s="270"/>
      <c r="AE246" s="156"/>
      <c r="AF246" s="156"/>
      <c r="AG246" s="357"/>
      <c r="AH246" s="357"/>
      <c r="AI246" s="357"/>
      <c r="AJ246" s="156"/>
      <c r="AK246" s="156"/>
      <c r="AL246" s="375"/>
      <c r="AM246" s="405"/>
      <c r="AN246" s="273"/>
      <c r="AO246" s="405"/>
      <c r="AP246" s="273"/>
      <c r="AQ246" s="273"/>
      <c r="AR246" s="273"/>
      <c r="AS246" s="273"/>
      <c r="AT246" s="273"/>
      <c r="AU246" s="273"/>
      <c r="AV246" s="322">
        <f t="shared" si="11"/>
        <v>0</v>
      </c>
      <c r="AW246" s="402"/>
      <c r="AX246" s="274"/>
      <c r="AY246" s="270"/>
      <c r="AZ246" s="156"/>
      <c r="BA246" s="156"/>
      <c r="BB246" s="156"/>
      <c r="BC246" s="156"/>
      <c r="BD246" s="353">
        <f t="shared" si="12"/>
        <v>0</v>
      </c>
      <c r="BE246" s="432" t="s">
        <v>355</v>
      </c>
      <c r="BF246" s="407" t="s">
        <v>500</v>
      </c>
      <c r="BG246" s="168"/>
      <c r="BH246" s="274"/>
      <c r="BI246" s="168"/>
      <c r="BJ246" s="274"/>
      <c r="BK246" s="168"/>
      <c r="BL246" s="275"/>
      <c r="BM246" s="276"/>
      <c r="BN246" s="275"/>
      <c r="BO246" s="276"/>
      <c r="BP246" s="277"/>
      <c r="BQ246" s="156"/>
      <c r="BR246" s="274"/>
      <c r="BS246" s="270"/>
      <c r="BT246" s="270"/>
      <c r="BU246" s="274"/>
      <c r="BV246" s="274"/>
      <c r="BW246" s="278"/>
      <c r="BX246" s="278"/>
      <c r="BY246" s="278"/>
      <c r="BZ246" s="351"/>
    </row>
    <row r="247" spans="1:78" s="90" customFormat="1" ht="19.5" hidden="1" customHeight="1">
      <c r="A247" s="137"/>
      <c r="B247" s="197">
        <f t="shared" si="10"/>
        <v>237</v>
      </c>
      <c r="C247" s="30" t="s">
        <v>206</v>
      </c>
      <c r="D247" s="30" t="s">
        <v>225</v>
      </c>
      <c r="E247" s="234" t="s">
        <v>855</v>
      </c>
      <c r="F247" s="235" t="s">
        <v>1235</v>
      </c>
      <c r="G247" s="284">
        <f>IFERROR(VLOOKUP(E247,Assign!$C$2:$J$142,8,FALSE),)</f>
        <v>0</v>
      </c>
      <c r="H247" s="361" t="s">
        <v>4515</v>
      </c>
      <c r="I247" s="363">
        <v>1</v>
      </c>
      <c r="J247" s="364" t="s">
        <v>214</v>
      </c>
      <c r="K247" s="364" t="s">
        <v>349</v>
      </c>
      <c r="L247" s="365" t="s">
        <v>351</v>
      </c>
      <c r="M247" s="362" t="s">
        <v>2057</v>
      </c>
      <c r="N247" s="421" t="s">
        <v>3505</v>
      </c>
      <c r="O247" s="269">
        <v>9.9283000000000001</v>
      </c>
      <c r="P247" s="269">
        <v>20.93</v>
      </c>
      <c r="Q247" s="426"/>
      <c r="R247" s="418" t="s">
        <v>855</v>
      </c>
      <c r="S247" s="427" t="s">
        <v>613</v>
      </c>
      <c r="T247" s="357">
        <v>1</v>
      </c>
      <c r="U247" s="357" t="s">
        <v>204</v>
      </c>
      <c r="V247" s="367">
        <v>84000000</v>
      </c>
      <c r="W247" s="368">
        <v>84000000</v>
      </c>
      <c r="X247" s="357"/>
      <c r="Y247" s="357"/>
      <c r="Z247" s="400"/>
      <c r="AA247" s="369"/>
      <c r="AB247" s="370"/>
      <c r="AC247" s="404"/>
      <c r="AD247" s="270"/>
      <c r="AE247" s="156"/>
      <c r="AF247" s="156"/>
      <c r="AG247" s="357"/>
      <c r="AH247" s="357"/>
      <c r="AI247" s="357"/>
      <c r="AJ247" s="156"/>
      <c r="AK247" s="156"/>
      <c r="AL247" s="375"/>
      <c r="AM247" s="405"/>
      <c r="AN247" s="273"/>
      <c r="AO247" s="405"/>
      <c r="AP247" s="273"/>
      <c r="AQ247" s="273"/>
      <c r="AR247" s="273"/>
      <c r="AS247" s="273"/>
      <c r="AT247" s="273"/>
      <c r="AU247" s="273"/>
      <c r="AV247" s="322">
        <f t="shared" si="11"/>
        <v>0</v>
      </c>
      <c r="AW247" s="402"/>
      <c r="AX247" s="376"/>
      <c r="AY247" s="373"/>
      <c r="AZ247" s="375"/>
      <c r="BA247" s="375"/>
      <c r="BB247" s="375"/>
      <c r="BC247" s="375"/>
      <c r="BD247" s="353">
        <f t="shared" si="12"/>
        <v>0</v>
      </c>
      <c r="BE247" s="432" t="s">
        <v>355</v>
      </c>
      <c r="BF247" s="407" t="s">
        <v>500</v>
      </c>
      <c r="BG247" s="168"/>
      <c r="BH247" s="274"/>
      <c r="BI247" s="168"/>
      <c r="BJ247" s="274"/>
      <c r="BK247" s="168"/>
      <c r="BL247" s="275"/>
      <c r="BM247" s="276"/>
      <c r="BN247" s="275"/>
      <c r="BO247" s="276"/>
      <c r="BP247" s="277"/>
      <c r="BQ247" s="156"/>
      <c r="BR247" s="274"/>
      <c r="BS247" s="270"/>
      <c r="BT247" s="270"/>
      <c r="BU247" s="274"/>
      <c r="BV247" s="274"/>
      <c r="BW247" s="278"/>
      <c r="BX247" s="278"/>
      <c r="BY247" s="278"/>
      <c r="BZ247" s="351"/>
    </row>
    <row r="248" spans="1:78" s="90" customFormat="1" ht="19.5" hidden="1" customHeight="1">
      <c r="A248" s="137"/>
      <c r="B248" s="197">
        <f t="shared" si="10"/>
        <v>238</v>
      </c>
      <c r="C248" s="30" t="s">
        <v>206</v>
      </c>
      <c r="D248" s="30" t="s">
        <v>225</v>
      </c>
      <c r="E248" s="234" t="s">
        <v>856</v>
      </c>
      <c r="F248" s="235" t="s">
        <v>1263</v>
      </c>
      <c r="G248" s="284">
        <f>IFERROR(VLOOKUP(E248,Assign!$C$2:$J$142,8,FALSE),)</f>
        <v>0</v>
      </c>
      <c r="H248" s="361" t="s">
        <v>5029</v>
      </c>
      <c r="I248" s="363">
        <v>1</v>
      </c>
      <c r="J248" s="364" t="s">
        <v>208</v>
      </c>
      <c r="K248" s="364" t="s">
        <v>391</v>
      </c>
      <c r="L248" s="365" t="s">
        <v>2547</v>
      </c>
      <c r="M248" s="362" t="s">
        <v>2548</v>
      </c>
      <c r="N248" s="421" t="s">
        <v>606</v>
      </c>
      <c r="O248" s="269">
        <v>66.930000000000007</v>
      </c>
      <c r="P248" s="269">
        <v>64.7881</v>
      </c>
      <c r="Q248" s="426"/>
      <c r="R248" s="418" t="s">
        <v>3458</v>
      </c>
      <c r="S248" s="427" t="s">
        <v>613</v>
      </c>
      <c r="T248" s="357">
        <v>1</v>
      </c>
      <c r="U248" s="357" t="s">
        <v>204</v>
      </c>
      <c r="V248" s="367">
        <v>120000000</v>
      </c>
      <c r="W248" s="368">
        <v>120000000</v>
      </c>
      <c r="X248" s="357"/>
      <c r="Y248" s="357"/>
      <c r="Z248" s="400"/>
      <c r="AA248" s="369"/>
      <c r="AB248" s="370"/>
      <c r="AC248" s="404"/>
      <c r="AD248" s="270"/>
      <c r="AE248" s="156"/>
      <c r="AF248" s="156"/>
      <c r="AG248" s="357"/>
      <c r="AH248" s="357"/>
      <c r="AI248" s="357"/>
      <c r="AJ248" s="156"/>
      <c r="AK248" s="156"/>
      <c r="AL248" s="375"/>
      <c r="AM248" s="405"/>
      <c r="AN248" s="273"/>
      <c r="AO248" s="405"/>
      <c r="AP248" s="273"/>
      <c r="AQ248" s="273"/>
      <c r="AR248" s="273"/>
      <c r="AS248" s="273"/>
      <c r="AT248" s="273"/>
      <c r="AU248" s="273"/>
      <c r="AV248" s="322">
        <f t="shared" si="11"/>
        <v>0</v>
      </c>
      <c r="AW248" s="402"/>
      <c r="AX248" s="376"/>
      <c r="AY248" s="373"/>
      <c r="AZ248" s="375"/>
      <c r="BA248" s="375"/>
      <c r="BB248" s="375"/>
      <c r="BC248" s="375"/>
      <c r="BD248" s="353">
        <f t="shared" si="12"/>
        <v>0</v>
      </c>
      <c r="BE248" s="432" t="s">
        <v>355</v>
      </c>
      <c r="BF248" s="407" t="s">
        <v>493</v>
      </c>
      <c r="BG248" s="168"/>
      <c r="BH248" s="274"/>
      <c r="BI248" s="168"/>
      <c r="BJ248" s="274"/>
      <c r="BK248" s="168"/>
      <c r="BL248" s="275"/>
      <c r="BM248" s="276"/>
      <c r="BN248" s="275"/>
      <c r="BO248" s="276"/>
      <c r="BP248" s="277"/>
      <c r="BQ248" s="156"/>
      <c r="BR248" s="274"/>
      <c r="BS248" s="270"/>
      <c r="BT248" s="270"/>
      <c r="BU248" s="274"/>
      <c r="BV248" s="274"/>
      <c r="BW248" s="278"/>
      <c r="BX248" s="278"/>
      <c r="BY248" s="278"/>
      <c r="BZ248" s="351"/>
    </row>
    <row r="249" spans="1:78" s="90" customFormat="1" ht="19.5" hidden="1" customHeight="1">
      <c r="A249" s="137"/>
      <c r="B249" s="197">
        <f t="shared" si="10"/>
        <v>239</v>
      </c>
      <c r="C249" s="30" t="s">
        <v>206</v>
      </c>
      <c r="D249" s="30" t="s">
        <v>225</v>
      </c>
      <c r="E249" s="234" t="s">
        <v>857</v>
      </c>
      <c r="F249" s="235" t="s">
        <v>1251</v>
      </c>
      <c r="G249" s="284">
        <f>IFERROR(VLOOKUP(E249,Assign!$C$2:$J$142,8,FALSE),)</f>
        <v>0</v>
      </c>
      <c r="H249" s="361" t="s">
        <v>4944</v>
      </c>
      <c r="I249" s="363">
        <v>1</v>
      </c>
      <c r="J249" s="364" t="s">
        <v>208</v>
      </c>
      <c r="K249" s="364" t="s">
        <v>413</v>
      </c>
      <c r="L249" s="365" t="s">
        <v>2465</v>
      </c>
      <c r="M249" s="362" t="s">
        <v>2466</v>
      </c>
      <c r="N249" s="421" t="s">
        <v>606</v>
      </c>
      <c r="O249" s="269">
        <v>46.692</v>
      </c>
      <c r="P249" s="269">
        <v>38.286999999999999</v>
      </c>
      <c r="Q249" s="426"/>
      <c r="R249" s="418" t="s">
        <v>857</v>
      </c>
      <c r="S249" s="427" t="s">
        <v>613</v>
      </c>
      <c r="T249" s="357">
        <v>1</v>
      </c>
      <c r="U249" s="357" t="s">
        <v>204</v>
      </c>
      <c r="V249" s="367">
        <v>79800000</v>
      </c>
      <c r="W249" s="368">
        <v>79800000</v>
      </c>
      <c r="X249" s="357"/>
      <c r="Y249" s="357"/>
      <c r="Z249" s="400"/>
      <c r="AA249" s="369"/>
      <c r="AB249" s="370"/>
      <c r="AC249" s="404"/>
      <c r="AD249" s="270"/>
      <c r="AE249" s="156"/>
      <c r="AF249" s="156"/>
      <c r="AG249" s="357"/>
      <c r="AH249" s="357"/>
      <c r="AI249" s="357"/>
      <c r="AJ249" s="156"/>
      <c r="AK249" s="156"/>
      <c r="AL249" s="375"/>
      <c r="AM249" s="405"/>
      <c r="AN249" s="273"/>
      <c r="AO249" s="405"/>
      <c r="AP249" s="273"/>
      <c r="AQ249" s="273"/>
      <c r="AR249" s="273"/>
      <c r="AS249" s="273"/>
      <c r="AT249" s="273"/>
      <c r="AU249" s="273"/>
      <c r="AV249" s="322">
        <f t="shared" si="11"/>
        <v>0</v>
      </c>
      <c r="AW249" s="402"/>
      <c r="AX249" s="376"/>
      <c r="AY249" s="373"/>
      <c r="AZ249" s="375"/>
      <c r="BA249" s="375"/>
      <c r="BB249" s="375"/>
      <c r="BC249" s="375"/>
      <c r="BD249" s="353">
        <f t="shared" si="12"/>
        <v>0</v>
      </c>
      <c r="BE249" s="432" t="s">
        <v>355</v>
      </c>
      <c r="BF249" s="407" t="s">
        <v>499</v>
      </c>
      <c r="BG249" s="168"/>
      <c r="BH249" s="274"/>
      <c r="BI249" s="168"/>
      <c r="BJ249" s="274"/>
      <c r="BK249" s="168"/>
      <c r="BL249" s="275"/>
      <c r="BM249" s="276"/>
      <c r="BN249" s="275"/>
      <c r="BO249" s="276"/>
      <c r="BP249" s="277"/>
      <c r="BQ249" s="156"/>
      <c r="BR249" s="274"/>
      <c r="BS249" s="270"/>
      <c r="BT249" s="270"/>
      <c r="BU249" s="274"/>
      <c r="BV249" s="274"/>
      <c r="BW249" s="278"/>
      <c r="BX249" s="278"/>
      <c r="BY249" s="278"/>
      <c r="BZ249" s="351"/>
    </row>
    <row r="250" spans="1:78" s="90" customFormat="1" ht="19.5" hidden="1" customHeight="1">
      <c r="A250" s="137"/>
      <c r="B250" s="197">
        <f t="shared" si="10"/>
        <v>240</v>
      </c>
      <c r="C250" s="30" t="s">
        <v>206</v>
      </c>
      <c r="D250" s="30" t="s">
        <v>225</v>
      </c>
      <c r="E250" s="234" t="s">
        <v>858</v>
      </c>
      <c r="F250" s="235" t="s">
        <v>1225</v>
      </c>
      <c r="G250" s="284">
        <f>IFERROR(VLOOKUP(E250,Assign!$C$2:$J$142,8,FALSE),)</f>
        <v>0</v>
      </c>
      <c r="H250" s="361" t="s">
        <v>4060</v>
      </c>
      <c r="I250" s="363">
        <v>1</v>
      </c>
      <c r="J250" s="364" t="s">
        <v>208</v>
      </c>
      <c r="K250" s="364" t="s">
        <v>413</v>
      </c>
      <c r="L250" s="365" t="s">
        <v>1635</v>
      </c>
      <c r="M250" s="362" t="s">
        <v>1636</v>
      </c>
      <c r="N250" s="421" t="s">
        <v>606</v>
      </c>
      <c r="O250" s="269">
        <v>66.5</v>
      </c>
      <c r="P250" s="269">
        <v>71.400000000000006</v>
      </c>
      <c r="Q250" s="426"/>
      <c r="R250" s="418" t="s">
        <v>858</v>
      </c>
      <c r="S250" s="427" t="s">
        <v>613</v>
      </c>
      <c r="T250" s="357">
        <v>1</v>
      </c>
      <c r="U250" s="357" t="s">
        <v>204</v>
      </c>
      <c r="V250" s="367">
        <v>77990000</v>
      </c>
      <c r="W250" s="368">
        <v>77990000</v>
      </c>
      <c r="X250" s="357"/>
      <c r="Y250" s="357"/>
      <c r="Z250" s="400"/>
      <c r="AA250" s="369"/>
      <c r="AB250" s="370"/>
      <c r="AC250" s="404"/>
      <c r="AD250" s="270"/>
      <c r="AE250" s="156"/>
      <c r="AF250" s="156"/>
      <c r="AG250" s="357"/>
      <c r="AH250" s="357"/>
      <c r="AI250" s="357"/>
      <c r="AJ250" s="156"/>
      <c r="AK250" s="156"/>
      <c r="AL250" s="375"/>
      <c r="AM250" s="405"/>
      <c r="AN250" s="273"/>
      <c r="AO250" s="405"/>
      <c r="AP250" s="273"/>
      <c r="AQ250" s="273"/>
      <c r="AR250" s="273"/>
      <c r="AS250" s="273"/>
      <c r="AT250" s="273"/>
      <c r="AU250" s="273"/>
      <c r="AV250" s="322">
        <f t="shared" si="11"/>
        <v>0</v>
      </c>
      <c r="AW250" s="402"/>
      <c r="AX250" s="376"/>
      <c r="AY250" s="373"/>
      <c r="AZ250" s="375"/>
      <c r="BA250" s="375"/>
      <c r="BB250" s="375"/>
      <c r="BC250" s="375"/>
      <c r="BD250" s="353">
        <f t="shared" si="12"/>
        <v>0</v>
      </c>
      <c r="BE250" s="432" t="s">
        <v>355</v>
      </c>
      <c r="BF250" s="407" t="s">
        <v>499</v>
      </c>
      <c r="BG250" s="168"/>
      <c r="BH250" s="274"/>
      <c r="BI250" s="168"/>
      <c r="BJ250" s="274"/>
      <c r="BK250" s="168"/>
      <c r="BL250" s="275"/>
      <c r="BM250" s="276"/>
      <c r="BN250" s="275"/>
      <c r="BO250" s="276"/>
      <c r="BP250" s="277"/>
      <c r="BQ250" s="156"/>
      <c r="BR250" s="274"/>
      <c r="BS250" s="270"/>
      <c r="BT250" s="270"/>
      <c r="BU250" s="274"/>
      <c r="BV250" s="274"/>
      <c r="BW250" s="278"/>
      <c r="BX250" s="278"/>
      <c r="BY250" s="278"/>
      <c r="BZ250" s="351"/>
    </row>
    <row r="251" spans="1:78" s="90" customFormat="1" ht="19.5" hidden="1" customHeight="1">
      <c r="A251" s="137"/>
      <c r="B251" s="197">
        <f t="shared" si="10"/>
        <v>241</v>
      </c>
      <c r="C251" s="30" t="s">
        <v>206</v>
      </c>
      <c r="D251" s="30" t="s">
        <v>225</v>
      </c>
      <c r="E251" s="234" t="s">
        <v>859</v>
      </c>
      <c r="F251" s="235" t="s">
        <v>1223</v>
      </c>
      <c r="G251" s="284">
        <f>IFERROR(VLOOKUP(E251,Assign!$C$2:$J$142,8,FALSE),)</f>
        <v>0</v>
      </c>
      <c r="H251" s="361" t="s">
        <v>3938</v>
      </c>
      <c r="I251" s="363">
        <v>1</v>
      </c>
      <c r="J251" s="364" t="s">
        <v>209</v>
      </c>
      <c r="K251" s="364" t="s">
        <v>341</v>
      </c>
      <c r="L251" s="365" t="s">
        <v>1511</v>
      </c>
      <c r="M251" s="362" t="s">
        <v>1512</v>
      </c>
      <c r="N251" s="421" t="s">
        <v>207</v>
      </c>
      <c r="O251" s="269">
        <v>39.178779008611201</v>
      </c>
      <c r="P251" s="269">
        <v>84.53</v>
      </c>
      <c r="Q251" s="426"/>
      <c r="R251" s="418" t="s">
        <v>3638</v>
      </c>
      <c r="S251" s="427" t="s">
        <v>613</v>
      </c>
      <c r="T251" s="357">
        <v>4</v>
      </c>
      <c r="U251" s="357" t="s">
        <v>204</v>
      </c>
      <c r="V251" s="367">
        <v>120000000</v>
      </c>
      <c r="W251" s="368">
        <v>120000000</v>
      </c>
      <c r="X251" s="357"/>
      <c r="Y251" s="357"/>
      <c r="Z251" s="400"/>
      <c r="AA251" s="369"/>
      <c r="AB251" s="370"/>
      <c r="AC251" s="404" t="s">
        <v>233</v>
      </c>
      <c r="AD251" s="270" t="s">
        <v>204</v>
      </c>
      <c r="AE251" s="156">
        <v>150000000</v>
      </c>
      <c r="AF251" s="156">
        <v>150000000</v>
      </c>
      <c r="AG251" s="357"/>
      <c r="AH251" s="357"/>
      <c r="AI251" s="357"/>
      <c r="AJ251" s="156"/>
      <c r="AK251" s="156"/>
      <c r="AL251" s="375"/>
      <c r="AM251" s="405"/>
      <c r="AN251" s="273"/>
      <c r="AO251" s="405"/>
      <c r="AP251" s="273"/>
      <c r="AQ251" s="273"/>
      <c r="AR251" s="273"/>
      <c r="AS251" s="273"/>
      <c r="AT251" s="273"/>
      <c r="AU251" s="273"/>
      <c r="AV251" s="322">
        <f t="shared" si="11"/>
        <v>0</v>
      </c>
      <c r="AW251" s="402" t="s">
        <v>3387</v>
      </c>
      <c r="AX251" s="376">
        <v>45765</v>
      </c>
      <c r="AY251" s="373" t="s">
        <v>3388</v>
      </c>
      <c r="AZ251" s="375"/>
      <c r="BA251" s="375">
        <v>2950000000</v>
      </c>
      <c r="BB251" s="375"/>
      <c r="BC251" s="375"/>
      <c r="BD251" s="353">
        <f t="shared" si="12"/>
        <v>2950000000</v>
      </c>
      <c r="BE251" s="432" t="s">
        <v>335</v>
      </c>
      <c r="BF251" s="407" t="s">
        <v>519</v>
      </c>
      <c r="BG251" s="168" t="s">
        <v>488</v>
      </c>
      <c r="BH251" s="274">
        <v>45631</v>
      </c>
      <c r="BI251" s="168" t="s">
        <v>3259</v>
      </c>
      <c r="BJ251" s="274">
        <v>45713</v>
      </c>
      <c r="BK251" s="168">
        <v>109823064</v>
      </c>
      <c r="BL251" s="275"/>
      <c r="BM251" s="276"/>
      <c r="BN251" s="275"/>
      <c r="BO251" s="276"/>
      <c r="BP251" s="277"/>
      <c r="BQ251" s="156"/>
      <c r="BR251" s="274"/>
      <c r="BS251" s="270"/>
      <c r="BT251" s="270"/>
      <c r="BU251" s="274"/>
      <c r="BV251" s="274"/>
      <c r="BW251" s="278"/>
      <c r="BX251" s="278"/>
      <c r="BY251" s="278"/>
      <c r="BZ251" s="351"/>
    </row>
    <row r="252" spans="1:78" s="90" customFormat="1" ht="19.5" hidden="1" customHeight="1">
      <c r="A252" s="137"/>
      <c r="B252" s="197">
        <f t="shared" si="10"/>
        <v>242</v>
      </c>
      <c r="C252" s="30" t="s">
        <v>206</v>
      </c>
      <c r="D252" s="30" t="s">
        <v>225</v>
      </c>
      <c r="E252" s="234" t="s">
        <v>860</v>
      </c>
      <c r="F252" s="235" t="s">
        <v>1229</v>
      </c>
      <c r="G252" s="284">
        <f>IFERROR(VLOOKUP(E252,Assign!$C$2:$J$142,8,FALSE),)</f>
        <v>0</v>
      </c>
      <c r="H252" s="361" t="s">
        <v>4225</v>
      </c>
      <c r="I252" s="363">
        <v>1</v>
      </c>
      <c r="J252" s="364" t="s">
        <v>208</v>
      </c>
      <c r="K252" s="364" t="s">
        <v>236</v>
      </c>
      <c r="L252" s="365" t="s">
        <v>267</v>
      </c>
      <c r="M252" s="362" t="s">
        <v>1801</v>
      </c>
      <c r="N252" s="421" t="s">
        <v>606</v>
      </c>
      <c r="O252" s="269">
        <v>21.19</v>
      </c>
      <c r="P252" s="269">
        <v>35.49</v>
      </c>
      <c r="Q252" s="426"/>
      <c r="R252" s="418" t="s">
        <v>860</v>
      </c>
      <c r="S252" s="427" t="s">
        <v>613</v>
      </c>
      <c r="T252" s="357">
        <v>1</v>
      </c>
      <c r="U252" s="357" t="s">
        <v>204</v>
      </c>
      <c r="V252" s="367">
        <v>76000000</v>
      </c>
      <c r="W252" s="368">
        <v>76000000</v>
      </c>
      <c r="X252" s="357"/>
      <c r="Y252" s="357"/>
      <c r="Z252" s="400"/>
      <c r="AA252" s="369"/>
      <c r="AB252" s="370"/>
      <c r="AC252" s="404"/>
      <c r="AD252" s="270"/>
      <c r="AE252" s="156"/>
      <c r="AF252" s="156"/>
      <c r="AG252" s="357"/>
      <c r="AH252" s="357"/>
      <c r="AI252" s="357"/>
      <c r="AJ252" s="156"/>
      <c r="AK252" s="156"/>
      <c r="AL252" s="375"/>
      <c r="AM252" s="405"/>
      <c r="AN252" s="273"/>
      <c r="AO252" s="405"/>
      <c r="AP252" s="273"/>
      <c r="AQ252" s="273"/>
      <c r="AR252" s="273"/>
      <c r="AS252" s="273"/>
      <c r="AT252" s="273"/>
      <c r="AU252" s="273"/>
      <c r="AV252" s="322">
        <f t="shared" si="11"/>
        <v>0</v>
      </c>
      <c r="AW252" s="402"/>
      <c r="AX252" s="376"/>
      <c r="AY252" s="373"/>
      <c r="AZ252" s="375"/>
      <c r="BA252" s="375"/>
      <c r="BB252" s="375"/>
      <c r="BC252" s="375"/>
      <c r="BD252" s="353">
        <f t="shared" si="12"/>
        <v>0</v>
      </c>
      <c r="BE252" s="432" t="s">
        <v>335</v>
      </c>
      <c r="BF252" s="407" t="s">
        <v>504</v>
      </c>
      <c r="BG252" s="168" t="s">
        <v>3280</v>
      </c>
      <c r="BH252" s="274">
        <v>45569</v>
      </c>
      <c r="BI252" s="168" t="s">
        <v>3281</v>
      </c>
      <c r="BJ252" s="274">
        <v>45650</v>
      </c>
      <c r="BK252" s="168">
        <v>29764384</v>
      </c>
      <c r="BL252" s="275"/>
      <c r="BM252" s="276"/>
      <c r="BN252" s="275"/>
      <c r="BO252" s="276"/>
      <c r="BP252" s="277"/>
      <c r="BQ252" s="156"/>
      <c r="BR252" s="274"/>
      <c r="BS252" s="270"/>
      <c r="BT252" s="270"/>
      <c r="BU252" s="274"/>
      <c r="BV252" s="274"/>
      <c r="BW252" s="278"/>
      <c r="BX252" s="278"/>
      <c r="BY252" s="278"/>
      <c r="BZ252" s="351" t="s">
        <v>3415</v>
      </c>
    </row>
    <row r="253" spans="1:78" s="90" customFormat="1" ht="19.5" hidden="1" customHeight="1">
      <c r="A253" s="137"/>
      <c r="B253" s="197">
        <f t="shared" si="10"/>
        <v>243</v>
      </c>
      <c r="C253" s="30" t="s">
        <v>206</v>
      </c>
      <c r="D253" s="30" t="s">
        <v>225</v>
      </c>
      <c r="E253" s="234" t="s">
        <v>861</v>
      </c>
      <c r="F253" s="235" t="s">
        <v>1229</v>
      </c>
      <c r="G253" s="284">
        <f>IFERROR(VLOOKUP(E253,Assign!$C$2:$J$142,8,FALSE),)</f>
        <v>0</v>
      </c>
      <c r="H253" s="361" t="s">
        <v>5209</v>
      </c>
      <c r="I253" s="363">
        <v>1</v>
      </c>
      <c r="J253" s="364" t="s">
        <v>208</v>
      </c>
      <c r="K253" s="364" t="s">
        <v>237</v>
      </c>
      <c r="L253" s="365" t="s">
        <v>1804</v>
      </c>
      <c r="M253" s="362" t="s">
        <v>2702</v>
      </c>
      <c r="N253" s="421" t="s">
        <v>207</v>
      </c>
      <c r="O253" s="269">
        <v>27.568519999999999</v>
      </c>
      <c r="P253" s="269">
        <v>49.77</v>
      </c>
      <c r="Q253" s="426"/>
      <c r="R253" s="418" t="s">
        <v>861</v>
      </c>
      <c r="S253" s="427" t="s">
        <v>613</v>
      </c>
      <c r="T253" s="357">
        <v>1</v>
      </c>
      <c r="U253" s="357" t="s">
        <v>204</v>
      </c>
      <c r="V253" s="367">
        <v>84000000</v>
      </c>
      <c r="W253" s="368">
        <v>84000000</v>
      </c>
      <c r="X253" s="357"/>
      <c r="Y253" s="357"/>
      <c r="Z253" s="400"/>
      <c r="AA253" s="369"/>
      <c r="AB253" s="370"/>
      <c r="AC253" s="404"/>
      <c r="AD253" s="270"/>
      <c r="AE253" s="156"/>
      <c r="AF253" s="156"/>
      <c r="AG253" s="357"/>
      <c r="AH253" s="357"/>
      <c r="AI253" s="357"/>
      <c r="AJ253" s="156"/>
      <c r="AK253" s="156"/>
      <c r="AL253" s="375"/>
      <c r="AM253" s="405"/>
      <c r="AN253" s="273"/>
      <c r="AO253" s="405"/>
      <c r="AP253" s="273"/>
      <c r="AQ253" s="273"/>
      <c r="AR253" s="273"/>
      <c r="AS253" s="273"/>
      <c r="AT253" s="273"/>
      <c r="AU253" s="273"/>
      <c r="AV253" s="322">
        <f t="shared" si="11"/>
        <v>0</v>
      </c>
      <c r="AW253" s="402" t="s">
        <v>3387</v>
      </c>
      <c r="AX253" s="376">
        <v>45765</v>
      </c>
      <c r="AY253" s="373" t="s">
        <v>3388</v>
      </c>
      <c r="AZ253" s="375"/>
      <c r="BA253" s="375">
        <v>310000000</v>
      </c>
      <c r="BB253" s="375"/>
      <c r="BC253" s="375"/>
      <c r="BD253" s="353">
        <f t="shared" si="12"/>
        <v>310000000</v>
      </c>
      <c r="BE253" s="432" t="s">
        <v>355</v>
      </c>
      <c r="BF253" s="407" t="s">
        <v>502</v>
      </c>
      <c r="BG253" s="168"/>
      <c r="BH253" s="274"/>
      <c r="BI253" s="168"/>
      <c r="BJ253" s="274"/>
      <c r="BK253" s="168"/>
      <c r="BL253" s="275"/>
      <c r="BM253" s="276"/>
      <c r="BN253" s="275"/>
      <c r="BO253" s="276"/>
      <c r="BP253" s="277"/>
      <c r="BQ253" s="156"/>
      <c r="BR253" s="274"/>
      <c r="BS253" s="270"/>
      <c r="BT253" s="270"/>
      <c r="BU253" s="274"/>
      <c r="BV253" s="274"/>
      <c r="BW253" s="278"/>
      <c r="BX253" s="278"/>
      <c r="BY253" s="278"/>
      <c r="BZ253" s="351"/>
    </row>
    <row r="254" spans="1:78" s="90" customFormat="1" ht="19.5" hidden="1" customHeight="1">
      <c r="A254" s="137"/>
      <c r="B254" s="197">
        <f t="shared" si="10"/>
        <v>244</v>
      </c>
      <c r="C254" s="30" t="s">
        <v>206</v>
      </c>
      <c r="D254" s="30" t="s">
        <v>225</v>
      </c>
      <c r="E254" s="234" t="s">
        <v>862</v>
      </c>
      <c r="F254" s="235" t="s">
        <v>1231</v>
      </c>
      <c r="G254" s="284" t="str">
        <f>IFERROR(VLOOKUP(E254,Assign!$C$2:$J$142,8,FALSE),)</f>
        <v>문선영</v>
      </c>
      <c r="H254" s="361" t="s">
        <v>4870</v>
      </c>
      <c r="I254" s="363">
        <v>1</v>
      </c>
      <c r="J254" s="364" t="s">
        <v>215</v>
      </c>
      <c r="K254" s="364" t="s">
        <v>294</v>
      </c>
      <c r="L254" s="365" t="s">
        <v>2394</v>
      </c>
      <c r="M254" s="362" t="s">
        <v>2395</v>
      </c>
      <c r="N254" s="421" t="s">
        <v>357</v>
      </c>
      <c r="O254" s="269">
        <v>23.016999999999999</v>
      </c>
      <c r="P254" s="269">
        <v>82.139899999999997</v>
      </c>
      <c r="Q254" s="426"/>
      <c r="R254" s="418" t="s">
        <v>862</v>
      </c>
      <c r="S254" s="427" t="s">
        <v>613</v>
      </c>
      <c r="T254" s="357">
        <v>1</v>
      </c>
      <c r="U254" s="357" t="s">
        <v>204</v>
      </c>
      <c r="V254" s="367">
        <v>148320000</v>
      </c>
      <c r="W254" s="368">
        <v>148320000</v>
      </c>
      <c r="X254" s="357"/>
      <c r="Y254" s="357"/>
      <c r="Z254" s="400"/>
      <c r="AA254" s="369"/>
      <c r="AB254" s="370"/>
      <c r="AC254" s="404"/>
      <c r="AD254" s="270"/>
      <c r="AE254" s="156"/>
      <c r="AF254" s="156"/>
      <c r="AG254" s="357"/>
      <c r="AH254" s="357"/>
      <c r="AI254" s="357"/>
      <c r="AJ254" s="156"/>
      <c r="AK254" s="156"/>
      <c r="AL254" s="375"/>
      <c r="AM254" s="405"/>
      <c r="AN254" s="273"/>
      <c r="AO254" s="405"/>
      <c r="AP254" s="273"/>
      <c r="AQ254" s="273"/>
      <c r="AR254" s="273"/>
      <c r="AS254" s="273"/>
      <c r="AT254" s="273"/>
      <c r="AU254" s="273"/>
      <c r="AV254" s="322">
        <f t="shared" si="11"/>
        <v>0</v>
      </c>
      <c r="AW254" s="402"/>
      <c r="AX254" s="376"/>
      <c r="AY254" s="373"/>
      <c r="AZ254" s="375"/>
      <c r="BA254" s="375"/>
      <c r="BB254" s="375"/>
      <c r="BC254" s="375"/>
      <c r="BD254" s="353">
        <f t="shared" si="12"/>
        <v>0</v>
      </c>
      <c r="BE254" s="432" t="s">
        <v>355</v>
      </c>
      <c r="BF254" s="407" t="s">
        <v>515</v>
      </c>
      <c r="BG254" s="168"/>
      <c r="BH254" s="274"/>
      <c r="BI254" s="168"/>
      <c r="BJ254" s="274"/>
      <c r="BK254" s="168"/>
      <c r="BL254" s="275"/>
      <c r="BM254" s="276"/>
      <c r="BN254" s="275"/>
      <c r="BO254" s="276"/>
      <c r="BP254" s="277"/>
      <c r="BQ254" s="156"/>
      <c r="BR254" s="274"/>
      <c r="BS254" s="270"/>
      <c r="BT254" s="270"/>
      <c r="BU254" s="274"/>
      <c r="BV254" s="274"/>
      <c r="BW254" s="278"/>
      <c r="BX254" s="278"/>
      <c r="BY254" s="278"/>
      <c r="BZ254" s="351"/>
    </row>
    <row r="255" spans="1:78" s="90" customFormat="1" ht="19.5" hidden="1" customHeight="1">
      <c r="A255" s="137"/>
      <c r="B255" s="197">
        <f t="shared" si="10"/>
        <v>245</v>
      </c>
      <c r="C255" s="30" t="s">
        <v>206</v>
      </c>
      <c r="D255" s="30" t="s">
        <v>225</v>
      </c>
      <c r="E255" s="234" t="s">
        <v>863</v>
      </c>
      <c r="F255" s="235" t="s">
        <v>1265</v>
      </c>
      <c r="G255" s="284" t="str">
        <f>IFERROR(VLOOKUP(E255,Assign!$C$2:$J$142,8,FALSE),)</f>
        <v>문선영</v>
      </c>
      <c r="H255" s="361" t="s">
        <v>4450</v>
      </c>
      <c r="I255" s="363">
        <v>1</v>
      </c>
      <c r="J255" s="364" t="s">
        <v>216</v>
      </c>
      <c r="K255" s="364" t="s">
        <v>312</v>
      </c>
      <c r="L255" s="365" t="s">
        <v>1997</v>
      </c>
      <c r="M255" s="362" t="s">
        <v>1998</v>
      </c>
      <c r="N255" s="421" t="s">
        <v>207</v>
      </c>
      <c r="O255" s="269">
        <v>36.854459610740598</v>
      </c>
      <c r="P255" s="269">
        <v>45.245699999999999</v>
      </c>
      <c r="Q255" s="426"/>
      <c r="R255" s="418" t="s">
        <v>863</v>
      </c>
      <c r="S255" s="427" t="s">
        <v>613</v>
      </c>
      <c r="T255" s="357">
        <v>1</v>
      </c>
      <c r="U255" s="357" t="s">
        <v>204</v>
      </c>
      <c r="V255" s="367">
        <v>77280000</v>
      </c>
      <c r="W255" s="368">
        <v>77280000</v>
      </c>
      <c r="X255" s="357"/>
      <c r="Y255" s="357"/>
      <c r="Z255" s="400"/>
      <c r="AA255" s="369"/>
      <c r="AB255" s="370"/>
      <c r="AC255" s="404"/>
      <c r="AD255" s="270"/>
      <c r="AE255" s="156"/>
      <c r="AF255" s="156"/>
      <c r="AG255" s="357"/>
      <c r="AH255" s="357"/>
      <c r="AI255" s="357"/>
      <c r="AJ255" s="156"/>
      <c r="AK255" s="156"/>
      <c r="AL255" s="375"/>
      <c r="AM255" s="405"/>
      <c r="AN255" s="273"/>
      <c r="AO255" s="405"/>
      <c r="AP255" s="273"/>
      <c r="AQ255" s="273"/>
      <c r="AR255" s="273"/>
      <c r="AS255" s="273"/>
      <c r="AT255" s="273"/>
      <c r="AU255" s="273"/>
      <c r="AV255" s="322">
        <f t="shared" si="11"/>
        <v>0</v>
      </c>
      <c r="AW255" s="402" t="s">
        <v>3387</v>
      </c>
      <c r="AX255" s="376">
        <v>45765</v>
      </c>
      <c r="AY255" s="373" t="s">
        <v>3388</v>
      </c>
      <c r="AZ255" s="375"/>
      <c r="BA255" s="375">
        <v>75000000</v>
      </c>
      <c r="BB255" s="375"/>
      <c r="BC255" s="375"/>
      <c r="BD255" s="353">
        <f t="shared" si="12"/>
        <v>75000000</v>
      </c>
      <c r="BE255" s="432" t="s">
        <v>355</v>
      </c>
      <c r="BF255" s="407" t="s">
        <v>509</v>
      </c>
      <c r="BG255" s="168"/>
      <c r="BH255" s="274"/>
      <c r="BI255" s="168"/>
      <c r="BJ255" s="274"/>
      <c r="BK255" s="168"/>
      <c r="BL255" s="275"/>
      <c r="BM255" s="276"/>
      <c r="BN255" s="275"/>
      <c r="BO255" s="276"/>
      <c r="BP255" s="277"/>
      <c r="BQ255" s="156"/>
      <c r="BR255" s="274"/>
      <c r="BS255" s="270"/>
      <c r="BT255" s="270"/>
      <c r="BU255" s="274"/>
      <c r="BV255" s="274"/>
      <c r="BW255" s="278"/>
      <c r="BX255" s="278"/>
      <c r="BY255" s="278"/>
      <c r="BZ255" s="351"/>
    </row>
    <row r="256" spans="1:78" s="90" customFormat="1" ht="19.5" hidden="1" customHeight="1">
      <c r="A256" s="137"/>
      <c r="B256" s="197">
        <f t="shared" si="10"/>
        <v>246</v>
      </c>
      <c r="C256" s="30" t="s">
        <v>206</v>
      </c>
      <c r="D256" s="30" t="s">
        <v>225</v>
      </c>
      <c r="E256" s="234" t="s">
        <v>864</v>
      </c>
      <c r="F256" s="235" t="s">
        <v>1244</v>
      </c>
      <c r="G256" s="284">
        <f>IFERROR(VLOOKUP(E256,Assign!$C$2:$J$142,8,FALSE),)</f>
        <v>0</v>
      </c>
      <c r="H256" s="361" t="s">
        <v>4179</v>
      </c>
      <c r="I256" s="363">
        <v>1</v>
      </c>
      <c r="J256" s="364" t="s">
        <v>222</v>
      </c>
      <c r="K256" s="364" t="s">
        <v>232</v>
      </c>
      <c r="L256" s="365" t="s">
        <v>1753</v>
      </c>
      <c r="M256" s="362" t="s">
        <v>1754</v>
      </c>
      <c r="N256" s="421" t="s">
        <v>532</v>
      </c>
      <c r="O256" s="269">
        <v>26.814</v>
      </c>
      <c r="P256" s="269">
        <v>119.39</v>
      </c>
      <c r="Q256" s="426"/>
      <c r="R256" s="418" t="s">
        <v>864</v>
      </c>
      <c r="S256" s="427" t="s">
        <v>613</v>
      </c>
      <c r="T256" s="357">
        <v>1</v>
      </c>
      <c r="U256" s="357" t="s">
        <v>204</v>
      </c>
      <c r="V256" s="367">
        <v>81600000</v>
      </c>
      <c r="W256" s="368">
        <v>81600000</v>
      </c>
      <c r="X256" s="357"/>
      <c r="Y256" s="357"/>
      <c r="Z256" s="400"/>
      <c r="AA256" s="369"/>
      <c r="AB256" s="370"/>
      <c r="AC256" s="404"/>
      <c r="AD256" s="270"/>
      <c r="AE256" s="156"/>
      <c r="AF256" s="156"/>
      <c r="AG256" s="357"/>
      <c r="AH256" s="357"/>
      <c r="AI256" s="357"/>
      <c r="AJ256" s="156"/>
      <c r="AK256" s="156"/>
      <c r="AL256" s="375"/>
      <c r="AM256" s="405"/>
      <c r="AN256" s="273"/>
      <c r="AO256" s="405"/>
      <c r="AP256" s="273"/>
      <c r="AQ256" s="273"/>
      <c r="AR256" s="273"/>
      <c r="AS256" s="273"/>
      <c r="AT256" s="273"/>
      <c r="AU256" s="273"/>
      <c r="AV256" s="322">
        <f t="shared" si="11"/>
        <v>0</v>
      </c>
      <c r="AW256" s="402"/>
      <c r="AX256" s="376"/>
      <c r="AY256" s="373"/>
      <c r="AZ256" s="375"/>
      <c r="BA256" s="375"/>
      <c r="BB256" s="375"/>
      <c r="BC256" s="375"/>
      <c r="BD256" s="353">
        <f t="shared" si="12"/>
        <v>0</v>
      </c>
      <c r="BE256" s="432" t="s">
        <v>355</v>
      </c>
      <c r="BF256" s="407" t="s">
        <v>494</v>
      </c>
      <c r="BG256" s="168"/>
      <c r="BH256" s="274"/>
      <c r="BI256" s="168"/>
      <c r="BJ256" s="274"/>
      <c r="BK256" s="168"/>
      <c r="BL256" s="275"/>
      <c r="BM256" s="276"/>
      <c r="BN256" s="275"/>
      <c r="BO256" s="276"/>
      <c r="BP256" s="277"/>
      <c r="BQ256" s="156"/>
      <c r="BR256" s="274"/>
      <c r="BS256" s="270"/>
      <c r="BT256" s="270"/>
      <c r="BU256" s="274"/>
      <c r="BV256" s="274"/>
      <c r="BW256" s="278"/>
      <c r="BX256" s="278"/>
      <c r="BY256" s="278"/>
      <c r="BZ256" s="351"/>
    </row>
    <row r="257" spans="1:78" s="90" customFormat="1" ht="19.5" hidden="1" customHeight="1">
      <c r="A257" s="137"/>
      <c r="B257" s="197">
        <f t="shared" si="10"/>
        <v>247</v>
      </c>
      <c r="C257" s="30" t="s">
        <v>206</v>
      </c>
      <c r="D257" s="30" t="s">
        <v>225</v>
      </c>
      <c r="E257" s="234" t="s">
        <v>865</v>
      </c>
      <c r="F257" s="235" t="s">
        <v>1235</v>
      </c>
      <c r="G257" s="284" t="str">
        <f>IFERROR(VLOOKUP(E257,Assign!$C$2:$J$142,8,FALSE),)</f>
        <v>문선영</v>
      </c>
      <c r="H257" s="361" t="s">
        <v>4445</v>
      </c>
      <c r="I257" s="363">
        <v>1</v>
      </c>
      <c r="J257" s="364" t="s">
        <v>224</v>
      </c>
      <c r="K257" s="364" t="s">
        <v>428</v>
      </c>
      <c r="L257" s="365" t="s">
        <v>1992</v>
      </c>
      <c r="M257" s="362" t="s">
        <v>3708</v>
      </c>
      <c r="N257" s="421" t="s">
        <v>296</v>
      </c>
      <c r="O257" s="269">
        <v>185.1</v>
      </c>
      <c r="P257" s="269">
        <v>277.5</v>
      </c>
      <c r="Q257" s="426"/>
      <c r="R257" s="418" t="s">
        <v>3480</v>
      </c>
      <c r="S257" s="427" t="s">
        <v>613</v>
      </c>
      <c r="T257" s="357" t="s">
        <v>229</v>
      </c>
      <c r="U257" s="357" t="s">
        <v>204</v>
      </c>
      <c r="V257" s="367">
        <v>108000000</v>
      </c>
      <c r="W257" s="368">
        <v>108000000</v>
      </c>
      <c r="X257" s="357"/>
      <c r="Y257" s="357"/>
      <c r="Z257" s="400"/>
      <c r="AA257" s="369"/>
      <c r="AB257" s="370"/>
      <c r="AC257" s="404"/>
      <c r="AD257" s="270"/>
      <c r="AE257" s="156"/>
      <c r="AF257" s="156"/>
      <c r="AG257" s="357"/>
      <c r="AH257" s="357"/>
      <c r="AI257" s="357"/>
      <c r="AJ257" s="156"/>
      <c r="AK257" s="156"/>
      <c r="AL257" s="375"/>
      <c r="AM257" s="405"/>
      <c r="AN257" s="273"/>
      <c r="AO257" s="405"/>
      <c r="AP257" s="273"/>
      <c r="AQ257" s="273"/>
      <c r="AR257" s="273"/>
      <c r="AS257" s="273"/>
      <c r="AT257" s="273"/>
      <c r="AU257" s="273"/>
      <c r="AV257" s="322">
        <f t="shared" si="11"/>
        <v>0</v>
      </c>
      <c r="AW257" s="402"/>
      <c r="AX257" s="376"/>
      <c r="AY257" s="373"/>
      <c r="AZ257" s="375"/>
      <c r="BA257" s="375"/>
      <c r="BB257" s="375"/>
      <c r="BC257" s="375"/>
      <c r="BD257" s="353">
        <f t="shared" si="12"/>
        <v>0</v>
      </c>
      <c r="BE257" s="432" t="s">
        <v>355</v>
      </c>
      <c r="BF257" s="407" t="s">
        <v>512</v>
      </c>
      <c r="BG257" s="168"/>
      <c r="BH257" s="274"/>
      <c r="BI257" s="168"/>
      <c r="BJ257" s="274"/>
      <c r="BK257" s="168"/>
      <c r="BL257" s="275"/>
      <c r="BM257" s="276"/>
      <c r="BN257" s="275"/>
      <c r="BO257" s="276"/>
      <c r="BP257" s="277"/>
      <c r="BQ257" s="156"/>
      <c r="BR257" s="274"/>
      <c r="BS257" s="270"/>
      <c r="BT257" s="270"/>
      <c r="BU257" s="274"/>
      <c r="BV257" s="274"/>
      <c r="BW257" s="278"/>
      <c r="BX257" s="278"/>
      <c r="BY257" s="278"/>
      <c r="BZ257" s="351"/>
    </row>
    <row r="258" spans="1:78" s="90" customFormat="1" ht="19.5" hidden="1" customHeight="1">
      <c r="A258" s="137"/>
      <c r="B258" s="197">
        <f t="shared" si="10"/>
        <v>248</v>
      </c>
      <c r="C258" s="30" t="s">
        <v>206</v>
      </c>
      <c r="D258" s="30" t="s">
        <v>225</v>
      </c>
      <c r="E258" s="234" t="s">
        <v>866</v>
      </c>
      <c r="F258" s="235" t="s">
        <v>1252</v>
      </c>
      <c r="G258" s="284">
        <f>IFERROR(VLOOKUP(E258,Assign!$C$2:$J$142,8,FALSE),)</f>
        <v>0</v>
      </c>
      <c r="H258" s="361" t="s">
        <v>4984</v>
      </c>
      <c r="I258" s="363">
        <v>1</v>
      </c>
      <c r="J258" s="364" t="s">
        <v>210</v>
      </c>
      <c r="K258" s="364" t="s">
        <v>252</v>
      </c>
      <c r="L258" s="365" t="s">
        <v>2502</v>
      </c>
      <c r="M258" s="362" t="s">
        <v>2503</v>
      </c>
      <c r="N258" s="421" t="s">
        <v>207</v>
      </c>
      <c r="O258" s="269">
        <v>55.800600000000003</v>
      </c>
      <c r="P258" s="269">
        <v>99.006299999999996</v>
      </c>
      <c r="Q258" s="426"/>
      <c r="R258" s="418" t="s">
        <v>3466</v>
      </c>
      <c r="S258" s="427" t="s">
        <v>613</v>
      </c>
      <c r="T258" s="357">
        <v>1</v>
      </c>
      <c r="U258" s="357" t="s">
        <v>204</v>
      </c>
      <c r="V258" s="367">
        <v>120000000</v>
      </c>
      <c r="W258" s="368">
        <v>120000000</v>
      </c>
      <c r="X258" s="357"/>
      <c r="Y258" s="357"/>
      <c r="Z258" s="400"/>
      <c r="AA258" s="369"/>
      <c r="AB258" s="370"/>
      <c r="AC258" s="404"/>
      <c r="AD258" s="270"/>
      <c r="AE258" s="156"/>
      <c r="AF258" s="156"/>
      <c r="AG258" s="357"/>
      <c r="AH258" s="357"/>
      <c r="AI258" s="357"/>
      <c r="AJ258" s="156"/>
      <c r="AK258" s="156"/>
      <c r="AL258" s="375"/>
      <c r="AM258" s="405"/>
      <c r="AN258" s="273"/>
      <c r="AO258" s="405"/>
      <c r="AP258" s="273"/>
      <c r="AQ258" s="273"/>
      <c r="AR258" s="273"/>
      <c r="AS258" s="273"/>
      <c r="AT258" s="273"/>
      <c r="AU258" s="273"/>
      <c r="AV258" s="322">
        <f t="shared" si="11"/>
        <v>0</v>
      </c>
      <c r="AW258" s="402" t="s">
        <v>3387</v>
      </c>
      <c r="AX258" s="376">
        <v>45765</v>
      </c>
      <c r="AY258" s="373" t="s">
        <v>3388</v>
      </c>
      <c r="AZ258" s="375"/>
      <c r="BA258" s="375">
        <v>450000000</v>
      </c>
      <c r="BB258" s="375"/>
      <c r="BC258" s="375"/>
      <c r="BD258" s="353">
        <f t="shared" si="12"/>
        <v>450000000</v>
      </c>
      <c r="BE258" s="432" t="s">
        <v>355</v>
      </c>
      <c r="BF258" s="407" t="s">
        <v>503</v>
      </c>
      <c r="BG258" s="168"/>
      <c r="BH258" s="274"/>
      <c r="BI258" s="168"/>
      <c r="BJ258" s="274"/>
      <c r="BK258" s="168"/>
      <c r="BL258" s="275"/>
      <c r="BM258" s="276"/>
      <c r="BN258" s="275"/>
      <c r="BO258" s="276"/>
      <c r="BP258" s="277"/>
      <c r="BQ258" s="156"/>
      <c r="BR258" s="274"/>
      <c r="BS258" s="270"/>
      <c r="BT258" s="270"/>
      <c r="BU258" s="274"/>
      <c r="BV258" s="274"/>
      <c r="BW258" s="278"/>
      <c r="BX258" s="278"/>
      <c r="BY258" s="278"/>
      <c r="BZ258" s="351"/>
    </row>
    <row r="259" spans="1:78" s="90" customFormat="1" ht="19.5" hidden="1" customHeight="1">
      <c r="A259" s="137"/>
      <c r="B259" s="197">
        <f t="shared" si="10"/>
        <v>249</v>
      </c>
      <c r="C259" s="30" t="s">
        <v>206</v>
      </c>
      <c r="D259" s="30" t="s">
        <v>225</v>
      </c>
      <c r="E259" s="234" t="s">
        <v>867</v>
      </c>
      <c r="F259" s="235" t="s">
        <v>1249</v>
      </c>
      <c r="G259" s="284">
        <f>IFERROR(VLOOKUP(E259,Assign!$C$2:$J$142,8,FALSE),)</f>
        <v>0</v>
      </c>
      <c r="H259" s="361" t="s">
        <v>4833</v>
      </c>
      <c r="I259" s="363">
        <v>1</v>
      </c>
      <c r="J259" s="364" t="s">
        <v>209</v>
      </c>
      <c r="K259" s="364" t="s">
        <v>481</v>
      </c>
      <c r="L259" s="365" t="s">
        <v>2362</v>
      </c>
      <c r="M259" s="362" t="s">
        <v>2363</v>
      </c>
      <c r="N259" s="421" t="s">
        <v>362</v>
      </c>
      <c r="O259" s="269">
        <v>2.0134278588583001</v>
      </c>
      <c r="P259" s="269">
        <v>8.41</v>
      </c>
      <c r="Q259" s="426"/>
      <c r="R259" s="418" t="s">
        <v>867</v>
      </c>
      <c r="S259" s="427" t="s">
        <v>613</v>
      </c>
      <c r="T259" s="357">
        <v>1</v>
      </c>
      <c r="U259" s="357" t="s">
        <v>204</v>
      </c>
      <c r="V259" s="367">
        <v>75600000</v>
      </c>
      <c r="W259" s="368">
        <v>75600000</v>
      </c>
      <c r="X259" s="357"/>
      <c r="Y259" s="357"/>
      <c r="Z259" s="400"/>
      <c r="AA259" s="369"/>
      <c r="AB259" s="370"/>
      <c r="AC259" s="404"/>
      <c r="AD259" s="270"/>
      <c r="AE259" s="156"/>
      <c r="AF259" s="156"/>
      <c r="AG259" s="357"/>
      <c r="AH259" s="357"/>
      <c r="AI259" s="357"/>
      <c r="AJ259" s="156"/>
      <c r="AK259" s="156"/>
      <c r="AL259" s="375"/>
      <c r="AM259" s="405"/>
      <c r="AN259" s="273"/>
      <c r="AO259" s="405"/>
      <c r="AP259" s="273"/>
      <c r="AQ259" s="273"/>
      <c r="AR259" s="273"/>
      <c r="AS259" s="273"/>
      <c r="AT259" s="273"/>
      <c r="AU259" s="273"/>
      <c r="AV259" s="322">
        <f t="shared" si="11"/>
        <v>0</v>
      </c>
      <c r="AW259" s="402"/>
      <c r="AX259" s="376"/>
      <c r="AY259" s="373"/>
      <c r="AZ259" s="375"/>
      <c r="BA259" s="375"/>
      <c r="BB259" s="375"/>
      <c r="BC259" s="375"/>
      <c r="BD259" s="353">
        <f t="shared" si="12"/>
        <v>0</v>
      </c>
      <c r="BE259" s="432" t="s">
        <v>355</v>
      </c>
      <c r="BF259" s="407" t="s">
        <v>519</v>
      </c>
      <c r="BG259" s="168"/>
      <c r="BH259" s="274"/>
      <c r="BI259" s="168"/>
      <c r="BJ259" s="274"/>
      <c r="BK259" s="168"/>
      <c r="BL259" s="275"/>
      <c r="BM259" s="276"/>
      <c r="BN259" s="275"/>
      <c r="BO259" s="276"/>
      <c r="BP259" s="277"/>
      <c r="BQ259" s="156"/>
      <c r="BR259" s="274"/>
      <c r="BS259" s="270"/>
      <c r="BT259" s="270"/>
      <c r="BU259" s="274"/>
      <c r="BV259" s="274"/>
      <c r="BW259" s="278"/>
      <c r="BX259" s="278"/>
      <c r="BY259" s="278"/>
      <c r="BZ259" s="351"/>
    </row>
    <row r="260" spans="1:78" s="90" customFormat="1" ht="19.5" hidden="1" customHeight="1">
      <c r="A260" s="137"/>
      <c r="B260" s="197">
        <f t="shared" si="10"/>
        <v>250</v>
      </c>
      <c r="C260" s="30" t="s">
        <v>206</v>
      </c>
      <c r="D260" s="30" t="s">
        <v>225</v>
      </c>
      <c r="E260" s="234" t="s">
        <v>868</v>
      </c>
      <c r="F260" s="235" t="s">
        <v>1229</v>
      </c>
      <c r="G260" s="284">
        <f>IFERROR(VLOOKUP(E260,Assign!$C$2:$J$142,8,FALSE),)</f>
        <v>0</v>
      </c>
      <c r="H260" s="361" t="s">
        <v>4378</v>
      </c>
      <c r="I260" s="363">
        <v>1</v>
      </c>
      <c r="J260" s="364" t="s">
        <v>219</v>
      </c>
      <c r="K260" s="364" t="s">
        <v>1934</v>
      </c>
      <c r="L260" s="365" t="s">
        <v>1935</v>
      </c>
      <c r="M260" s="362" t="s">
        <v>1936</v>
      </c>
      <c r="N260" s="421" t="s">
        <v>207</v>
      </c>
      <c r="O260" s="269">
        <v>63.500300000000003</v>
      </c>
      <c r="P260" s="269">
        <v>84.93</v>
      </c>
      <c r="Q260" s="426"/>
      <c r="R260" s="418" t="s">
        <v>868</v>
      </c>
      <c r="S260" s="427" t="s">
        <v>613</v>
      </c>
      <c r="T260" s="357" t="s">
        <v>229</v>
      </c>
      <c r="U260" s="357" t="s">
        <v>204</v>
      </c>
      <c r="V260" s="367">
        <v>253000000</v>
      </c>
      <c r="W260" s="368">
        <v>253000000</v>
      </c>
      <c r="X260" s="357"/>
      <c r="Y260" s="357"/>
      <c r="Z260" s="400"/>
      <c r="AA260" s="369"/>
      <c r="AB260" s="370"/>
      <c r="AC260" s="404"/>
      <c r="AD260" s="270"/>
      <c r="AE260" s="156"/>
      <c r="AF260" s="156"/>
      <c r="AG260" s="357"/>
      <c r="AH260" s="357"/>
      <c r="AI260" s="357"/>
      <c r="AJ260" s="156"/>
      <c r="AK260" s="156"/>
      <c r="AL260" s="375"/>
      <c r="AM260" s="405"/>
      <c r="AN260" s="273"/>
      <c r="AO260" s="405"/>
      <c r="AP260" s="273"/>
      <c r="AQ260" s="273"/>
      <c r="AR260" s="273"/>
      <c r="AS260" s="273"/>
      <c r="AT260" s="273"/>
      <c r="AU260" s="273"/>
      <c r="AV260" s="322">
        <f t="shared" si="11"/>
        <v>0</v>
      </c>
      <c r="AW260" s="402" t="s">
        <v>3387</v>
      </c>
      <c r="AX260" s="376">
        <v>45765</v>
      </c>
      <c r="AY260" s="373" t="s">
        <v>3388</v>
      </c>
      <c r="AZ260" s="375"/>
      <c r="BA260" s="375">
        <v>315000000</v>
      </c>
      <c r="BB260" s="375"/>
      <c r="BC260" s="375"/>
      <c r="BD260" s="353">
        <f t="shared" si="12"/>
        <v>315000000</v>
      </c>
      <c r="BE260" s="432" t="s">
        <v>355</v>
      </c>
      <c r="BF260" s="407" t="s">
        <v>3210</v>
      </c>
      <c r="BG260" s="168"/>
      <c r="BH260" s="274"/>
      <c r="BI260" s="168"/>
      <c r="BJ260" s="274"/>
      <c r="BK260" s="168"/>
      <c r="BL260" s="275"/>
      <c r="BM260" s="276"/>
      <c r="BN260" s="275"/>
      <c r="BO260" s="276"/>
      <c r="BP260" s="277"/>
      <c r="BQ260" s="156"/>
      <c r="BR260" s="274"/>
      <c r="BS260" s="270"/>
      <c r="BT260" s="270"/>
      <c r="BU260" s="274"/>
      <c r="BV260" s="274"/>
      <c r="BW260" s="278"/>
      <c r="BX260" s="278"/>
      <c r="BY260" s="278"/>
      <c r="BZ260" s="351"/>
    </row>
    <row r="261" spans="1:78" s="90" customFormat="1" ht="19.5" hidden="1" customHeight="1">
      <c r="A261" s="137"/>
      <c r="B261" s="197">
        <f t="shared" si="10"/>
        <v>251</v>
      </c>
      <c r="C261" s="30" t="s">
        <v>206</v>
      </c>
      <c r="D261" s="30" t="s">
        <v>225</v>
      </c>
      <c r="E261" s="234" t="s">
        <v>869</v>
      </c>
      <c r="F261" s="235" t="s">
        <v>1229</v>
      </c>
      <c r="G261" s="284" t="str">
        <f>IFERROR(VLOOKUP(E261,Assign!$C$2:$J$142,8,FALSE),)</f>
        <v>문선영</v>
      </c>
      <c r="H261" s="361" t="s">
        <v>4354</v>
      </c>
      <c r="I261" s="363">
        <v>1</v>
      </c>
      <c r="J261" s="364" t="s">
        <v>217</v>
      </c>
      <c r="K261" s="364" t="s">
        <v>336</v>
      </c>
      <c r="L261" s="365" t="s">
        <v>1912</v>
      </c>
      <c r="M261" s="362" t="s">
        <v>1913</v>
      </c>
      <c r="N261" s="421" t="s">
        <v>207</v>
      </c>
      <c r="O261" s="269">
        <v>29.192599999999999</v>
      </c>
      <c r="P261" s="269">
        <v>59.99</v>
      </c>
      <c r="Q261" s="426"/>
      <c r="R261" s="418" t="s">
        <v>869</v>
      </c>
      <c r="S261" s="427" t="s">
        <v>613</v>
      </c>
      <c r="T261" s="357">
        <v>1</v>
      </c>
      <c r="U261" s="357" t="s">
        <v>204</v>
      </c>
      <c r="V261" s="367">
        <v>96000000</v>
      </c>
      <c r="W261" s="368">
        <v>96000000</v>
      </c>
      <c r="X261" s="357"/>
      <c r="Y261" s="357"/>
      <c r="Z261" s="400"/>
      <c r="AA261" s="369"/>
      <c r="AB261" s="370"/>
      <c r="AC261" s="404"/>
      <c r="AD261" s="270"/>
      <c r="AE261" s="156"/>
      <c r="AF261" s="156"/>
      <c r="AG261" s="357"/>
      <c r="AH261" s="357"/>
      <c r="AI261" s="357"/>
      <c r="AJ261" s="156"/>
      <c r="AK261" s="156"/>
      <c r="AL261" s="375"/>
      <c r="AM261" s="405"/>
      <c r="AN261" s="273"/>
      <c r="AO261" s="405"/>
      <c r="AP261" s="273"/>
      <c r="AQ261" s="273"/>
      <c r="AR261" s="273"/>
      <c r="AS261" s="273"/>
      <c r="AT261" s="273"/>
      <c r="AU261" s="273"/>
      <c r="AV261" s="322">
        <f t="shared" si="11"/>
        <v>0</v>
      </c>
      <c r="AW261" s="402" t="s">
        <v>3387</v>
      </c>
      <c r="AX261" s="376">
        <v>45765</v>
      </c>
      <c r="AY261" s="373" t="s">
        <v>3388</v>
      </c>
      <c r="AZ261" s="375"/>
      <c r="BA261" s="375">
        <v>115000000</v>
      </c>
      <c r="BB261" s="375"/>
      <c r="BC261" s="375"/>
      <c r="BD261" s="353">
        <f t="shared" si="12"/>
        <v>115000000</v>
      </c>
      <c r="BE261" s="432" t="s">
        <v>355</v>
      </c>
      <c r="BF261" s="407" t="s">
        <v>518</v>
      </c>
      <c r="BG261" s="168"/>
      <c r="BH261" s="274"/>
      <c r="BI261" s="168"/>
      <c r="BJ261" s="274"/>
      <c r="BK261" s="168"/>
      <c r="BL261" s="275"/>
      <c r="BM261" s="276"/>
      <c r="BN261" s="275"/>
      <c r="BO261" s="276"/>
      <c r="BP261" s="277"/>
      <c r="BQ261" s="156"/>
      <c r="BR261" s="274"/>
      <c r="BS261" s="270"/>
      <c r="BT261" s="270"/>
      <c r="BU261" s="274"/>
      <c r="BV261" s="274"/>
      <c r="BW261" s="278"/>
      <c r="BX261" s="278"/>
      <c r="BY261" s="278"/>
      <c r="BZ261" s="351"/>
    </row>
    <row r="262" spans="1:78" s="90" customFormat="1" ht="19.5" hidden="1" customHeight="1">
      <c r="A262" s="137"/>
      <c r="B262" s="197">
        <f t="shared" si="10"/>
        <v>252</v>
      </c>
      <c r="C262" s="30" t="s">
        <v>206</v>
      </c>
      <c r="D262" s="30" t="s">
        <v>225</v>
      </c>
      <c r="E262" s="234" t="s">
        <v>870</v>
      </c>
      <c r="F262" s="235" t="s">
        <v>1220</v>
      </c>
      <c r="G262" s="284">
        <f>IFERROR(VLOOKUP(E262,Assign!$C$2:$J$142,8,FALSE),)</f>
        <v>0</v>
      </c>
      <c r="H262" s="361" t="s">
        <v>4157</v>
      </c>
      <c r="I262" s="363">
        <v>1</v>
      </c>
      <c r="J262" s="364" t="s">
        <v>208</v>
      </c>
      <c r="K262" s="364" t="s">
        <v>244</v>
      </c>
      <c r="L262" s="365" t="s">
        <v>278</v>
      </c>
      <c r="M262" s="362" t="s">
        <v>1733</v>
      </c>
      <c r="N262" s="421" t="s">
        <v>207</v>
      </c>
      <c r="O262" s="269">
        <v>53.322800000000001</v>
      </c>
      <c r="P262" s="269">
        <v>84.67</v>
      </c>
      <c r="Q262" s="426"/>
      <c r="R262" s="418" t="s">
        <v>870</v>
      </c>
      <c r="S262" s="427" t="s">
        <v>613</v>
      </c>
      <c r="T262" s="357">
        <v>1</v>
      </c>
      <c r="U262" s="357" t="s">
        <v>204</v>
      </c>
      <c r="V262" s="367">
        <v>76000000</v>
      </c>
      <c r="W262" s="367">
        <v>76000000</v>
      </c>
      <c r="X262" s="357"/>
      <c r="Y262" s="357"/>
      <c r="Z262" s="400"/>
      <c r="AA262" s="369"/>
      <c r="AB262" s="370"/>
      <c r="AC262" s="404"/>
      <c r="AD262" s="270"/>
      <c r="AE262" s="156"/>
      <c r="AF262" s="156"/>
      <c r="AG262" s="357"/>
      <c r="AH262" s="357"/>
      <c r="AI262" s="357"/>
      <c r="AJ262" s="156"/>
      <c r="AK262" s="156"/>
      <c r="AL262" s="375"/>
      <c r="AM262" s="405"/>
      <c r="AN262" s="273"/>
      <c r="AO262" s="405"/>
      <c r="AP262" s="273"/>
      <c r="AQ262" s="273"/>
      <c r="AR262" s="273"/>
      <c r="AS262" s="273"/>
      <c r="AT262" s="273"/>
      <c r="AU262" s="273"/>
      <c r="AV262" s="322">
        <f t="shared" si="11"/>
        <v>0</v>
      </c>
      <c r="AW262" s="402" t="s">
        <v>3387</v>
      </c>
      <c r="AX262" s="376">
        <v>45765</v>
      </c>
      <c r="AY262" s="373" t="s">
        <v>3388</v>
      </c>
      <c r="AZ262" s="375"/>
      <c r="BA262" s="375">
        <v>955000000</v>
      </c>
      <c r="BB262" s="375"/>
      <c r="BC262" s="375"/>
      <c r="BD262" s="353">
        <f t="shared" si="12"/>
        <v>955000000</v>
      </c>
      <c r="BE262" s="432" t="s">
        <v>355</v>
      </c>
      <c r="BF262" s="407" t="s">
        <v>501</v>
      </c>
      <c r="BG262" s="168"/>
      <c r="BH262" s="274"/>
      <c r="BI262" s="168"/>
      <c r="BJ262" s="274"/>
      <c r="BK262" s="168"/>
      <c r="BL262" s="275"/>
      <c r="BM262" s="276"/>
      <c r="BN262" s="275"/>
      <c r="BO262" s="276"/>
      <c r="BP262" s="277"/>
      <c r="BQ262" s="156"/>
      <c r="BR262" s="274"/>
      <c r="BS262" s="270"/>
      <c r="BT262" s="270"/>
      <c r="BU262" s="274"/>
      <c r="BV262" s="274"/>
      <c r="BW262" s="278"/>
      <c r="BX262" s="278"/>
      <c r="BY262" s="278"/>
      <c r="BZ262" s="351"/>
    </row>
    <row r="263" spans="1:78" s="90" customFormat="1" ht="19.5" hidden="1" customHeight="1">
      <c r="A263" s="137"/>
      <c r="B263" s="197">
        <f t="shared" si="10"/>
        <v>253</v>
      </c>
      <c r="C263" s="30" t="s">
        <v>206</v>
      </c>
      <c r="D263" s="30" t="s">
        <v>225</v>
      </c>
      <c r="E263" s="234" t="s">
        <v>871</v>
      </c>
      <c r="F263" s="235" t="s">
        <v>1229</v>
      </c>
      <c r="G263" s="284">
        <f>IFERROR(VLOOKUP(E263,Assign!$C$2:$J$142,8,FALSE),)</f>
        <v>0</v>
      </c>
      <c r="H263" s="361" t="s">
        <v>4769</v>
      </c>
      <c r="I263" s="363">
        <v>1</v>
      </c>
      <c r="J263" s="364" t="s">
        <v>208</v>
      </c>
      <c r="K263" s="364" t="s">
        <v>234</v>
      </c>
      <c r="L263" s="365" t="s">
        <v>235</v>
      </c>
      <c r="M263" s="362" t="s">
        <v>2301</v>
      </c>
      <c r="N263" s="421" t="s">
        <v>531</v>
      </c>
      <c r="O263" s="269">
        <v>5.3630000000000004</v>
      </c>
      <c r="P263" s="269">
        <v>20</v>
      </c>
      <c r="Q263" s="426"/>
      <c r="R263" s="418" t="s">
        <v>871</v>
      </c>
      <c r="S263" s="427" t="s">
        <v>613</v>
      </c>
      <c r="T263" s="357">
        <v>1</v>
      </c>
      <c r="U263" s="357" t="s">
        <v>204</v>
      </c>
      <c r="V263" s="367">
        <v>78000000</v>
      </c>
      <c r="W263" s="368">
        <v>78000000</v>
      </c>
      <c r="X263" s="357"/>
      <c r="Y263" s="357"/>
      <c r="Z263" s="400"/>
      <c r="AA263" s="369"/>
      <c r="AB263" s="370"/>
      <c r="AC263" s="404"/>
      <c r="AD263" s="270"/>
      <c r="AE263" s="156"/>
      <c r="AF263" s="156"/>
      <c r="AG263" s="357"/>
      <c r="AH263" s="357"/>
      <c r="AI263" s="357"/>
      <c r="AJ263" s="156"/>
      <c r="AK263" s="156"/>
      <c r="AL263" s="375"/>
      <c r="AM263" s="405"/>
      <c r="AN263" s="273"/>
      <c r="AO263" s="405"/>
      <c r="AP263" s="273"/>
      <c r="AQ263" s="273"/>
      <c r="AR263" s="273"/>
      <c r="AS263" s="273"/>
      <c r="AT263" s="273"/>
      <c r="AU263" s="273"/>
      <c r="AV263" s="322">
        <f t="shared" si="11"/>
        <v>0</v>
      </c>
      <c r="AW263" s="402"/>
      <c r="AX263" s="376"/>
      <c r="AY263" s="373"/>
      <c r="AZ263" s="375"/>
      <c r="BA263" s="375"/>
      <c r="BB263" s="375"/>
      <c r="BC263" s="375"/>
      <c r="BD263" s="353">
        <f t="shared" si="12"/>
        <v>0</v>
      </c>
      <c r="BE263" s="432" t="s">
        <v>355</v>
      </c>
      <c r="BF263" s="407" t="s">
        <v>504</v>
      </c>
      <c r="BG263" s="168"/>
      <c r="BH263" s="274"/>
      <c r="BI263" s="168"/>
      <c r="BJ263" s="274"/>
      <c r="BK263" s="168"/>
      <c r="BL263" s="275"/>
      <c r="BM263" s="276"/>
      <c r="BN263" s="275"/>
      <c r="BO263" s="276"/>
      <c r="BP263" s="277"/>
      <c r="BQ263" s="156"/>
      <c r="BR263" s="274"/>
      <c r="BS263" s="270"/>
      <c r="BT263" s="270"/>
      <c r="BU263" s="274"/>
      <c r="BV263" s="274"/>
      <c r="BW263" s="278"/>
      <c r="BX263" s="278"/>
      <c r="BY263" s="278"/>
      <c r="BZ263" s="351"/>
    </row>
    <row r="264" spans="1:78" s="90" customFormat="1" ht="19.5" hidden="1" customHeight="1">
      <c r="A264" s="137"/>
      <c r="B264" s="197">
        <f t="shared" si="10"/>
        <v>254</v>
      </c>
      <c r="C264" s="30" t="s">
        <v>206</v>
      </c>
      <c r="D264" s="30" t="s">
        <v>225</v>
      </c>
      <c r="E264" s="234" t="s">
        <v>872</v>
      </c>
      <c r="F264" s="235" t="s">
        <v>1220</v>
      </c>
      <c r="G264" s="284">
        <f>IFERROR(VLOOKUP(E264,Assign!$C$2:$J$142,8,FALSE),)</f>
        <v>0</v>
      </c>
      <c r="H264" s="361" t="s">
        <v>4899</v>
      </c>
      <c r="I264" s="363">
        <v>1</v>
      </c>
      <c r="J264" s="364" t="s">
        <v>208</v>
      </c>
      <c r="K264" s="364" t="s">
        <v>372</v>
      </c>
      <c r="L264" s="365" t="s">
        <v>416</v>
      </c>
      <c r="M264" s="362" t="s">
        <v>2419</v>
      </c>
      <c r="N264" s="421" t="s">
        <v>606</v>
      </c>
      <c r="O264" s="269">
        <v>29.01</v>
      </c>
      <c r="P264" s="269">
        <v>59.61</v>
      </c>
      <c r="Q264" s="426"/>
      <c r="R264" s="418" t="s">
        <v>872</v>
      </c>
      <c r="S264" s="427" t="s">
        <v>613</v>
      </c>
      <c r="T264" s="357">
        <v>1</v>
      </c>
      <c r="U264" s="357" t="s">
        <v>204</v>
      </c>
      <c r="V264" s="367">
        <v>72000000</v>
      </c>
      <c r="W264" s="368">
        <v>72000000</v>
      </c>
      <c r="X264" s="357"/>
      <c r="Y264" s="357"/>
      <c r="Z264" s="400"/>
      <c r="AA264" s="369"/>
      <c r="AB264" s="370"/>
      <c r="AC264" s="404"/>
      <c r="AD264" s="270"/>
      <c r="AE264" s="156"/>
      <c r="AF264" s="156"/>
      <c r="AG264" s="357"/>
      <c r="AH264" s="357"/>
      <c r="AI264" s="357"/>
      <c r="AJ264" s="156"/>
      <c r="AK264" s="156"/>
      <c r="AL264" s="375"/>
      <c r="AM264" s="405"/>
      <c r="AN264" s="273"/>
      <c r="AO264" s="405"/>
      <c r="AP264" s="273"/>
      <c r="AQ264" s="273"/>
      <c r="AR264" s="273"/>
      <c r="AS264" s="273"/>
      <c r="AT264" s="273"/>
      <c r="AU264" s="273"/>
      <c r="AV264" s="322">
        <f t="shared" si="11"/>
        <v>0</v>
      </c>
      <c r="AW264" s="402"/>
      <c r="AX264" s="376"/>
      <c r="AY264" s="373"/>
      <c r="AZ264" s="375"/>
      <c r="BA264" s="375"/>
      <c r="BB264" s="375"/>
      <c r="BC264" s="375"/>
      <c r="BD264" s="353">
        <f t="shared" si="12"/>
        <v>0</v>
      </c>
      <c r="BE264" s="432" t="s">
        <v>355</v>
      </c>
      <c r="BF264" s="407" t="s">
        <v>498</v>
      </c>
      <c r="BG264" s="168"/>
      <c r="BH264" s="274"/>
      <c r="BI264" s="168"/>
      <c r="BJ264" s="274"/>
      <c r="BK264" s="168"/>
      <c r="BL264" s="275"/>
      <c r="BM264" s="276"/>
      <c r="BN264" s="275"/>
      <c r="BO264" s="276"/>
      <c r="BP264" s="277"/>
      <c r="BQ264" s="156"/>
      <c r="BR264" s="274"/>
      <c r="BS264" s="270"/>
      <c r="BT264" s="270"/>
      <c r="BU264" s="274"/>
      <c r="BV264" s="274"/>
      <c r="BW264" s="278"/>
      <c r="BX264" s="278"/>
      <c r="BY264" s="278"/>
      <c r="BZ264" s="351"/>
    </row>
    <row r="265" spans="1:78" s="90" customFormat="1" ht="19.5" hidden="1" customHeight="1">
      <c r="A265" s="137"/>
      <c r="B265" s="197">
        <f t="shared" si="10"/>
        <v>255</v>
      </c>
      <c r="C265" s="30" t="s">
        <v>206</v>
      </c>
      <c r="D265" s="30" t="s">
        <v>225</v>
      </c>
      <c r="E265" s="234" t="s">
        <v>873</v>
      </c>
      <c r="F265" s="235" t="s">
        <v>1225</v>
      </c>
      <c r="G265" s="284">
        <f>IFERROR(VLOOKUP(E265,Assign!$C$2:$J$142,8,FALSE),)</f>
        <v>0</v>
      </c>
      <c r="H265" s="361" t="s">
        <v>4356</v>
      </c>
      <c r="I265" s="363">
        <v>1</v>
      </c>
      <c r="J265" s="364" t="s">
        <v>214</v>
      </c>
      <c r="K265" s="364" t="s">
        <v>338</v>
      </c>
      <c r="L265" s="365" t="s">
        <v>1914</v>
      </c>
      <c r="M265" s="362" t="s">
        <v>1915</v>
      </c>
      <c r="N265" s="421" t="s">
        <v>207</v>
      </c>
      <c r="O265" s="269">
        <v>34.443600000000004</v>
      </c>
      <c r="P265" s="269">
        <v>59.76</v>
      </c>
      <c r="Q265" s="426"/>
      <c r="R265" s="418" t="s">
        <v>873</v>
      </c>
      <c r="S265" s="427" t="s">
        <v>613</v>
      </c>
      <c r="T265" s="357">
        <v>1</v>
      </c>
      <c r="U265" s="357" t="s">
        <v>204</v>
      </c>
      <c r="V265" s="367">
        <v>80400000</v>
      </c>
      <c r="W265" s="368">
        <v>80400000</v>
      </c>
      <c r="X265" s="357"/>
      <c r="Y265" s="357"/>
      <c r="Z265" s="400"/>
      <c r="AA265" s="369"/>
      <c r="AB265" s="370"/>
      <c r="AC265" s="404"/>
      <c r="AD265" s="270"/>
      <c r="AE265" s="156"/>
      <c r="AF265" s="156"/>
      <c r="AG265" s="357"/>
      <c r="AH265" s="357"/>
      <c r="AI265" s="357"/>
      <c r="AJ265" s="156"/>
      <c r="AK265" s="156"/>
      <c r="AL265" s="375"/>
      <c r="AM265" s="405"/>
      <c r="AN265" s="273"/>
      <c r="AO265" s="405"/>
      <c r="AP265" s="273"/>
      <c r="AQ265" s="273"/>
      <c r="AR265" s="273"/>
      <c r="AS265" s="273"/>
      <c r="AT265" s="273"/>
      <c r="AU265" s="273"/>
      <c r="AV265" s="322">
        <f t="shared" si="11"/>
        <v>0</v>
      </c>
      <c r="AW265" s="402" t="s">
        <v>3387</v>
      </c>
      <c r="AX265" s="376">
        <v>45765</v>
      </c>
      <c r="AY265" s="373" t="s">
        <v>3388</v>
      </c>
      <c r="AZ265" s="375"/>
      <c r="BA265" s="375">
        <v>86000000</v>
      </c>
      <c r="BB265" s="375"/>
      <c r="BC265" s="375"/>
      <c r="BD265" s="353">
        <f t="shared" si="12"/>
        <v>86000000</v>
      </c>
      <c r="BE265" s="432" t="s">
        <v>355</v>
      </c>
      <c r="BF265" s="407" t="s">
        <v>500</v>
      </c>
      <c r="BG265" s="168"/>
      <c r="BH265" s="274"/>
      <c r="BI265" s="168"/>
      <c r="BJ265" s="274"/>
      <c r="BK265" s="168"/>
      <c r="BL265" s="275"/>
      <c r="BM265" s="276"/>
      <c r="BN265" s="275"/>
      <c r="BO265" s="276"/>
      <c r="BP265" s="277"/>
      <c r="BQ265" s="156"/>
      <c r="BR265" s="274"/>
      <c r="BS265" s="270"/>
      <c r="BT265" s="270"/>
      <c r="BU265" s="274"/>
      <c r="BV265" s="274"/>
      <c r="BW265" s="278"/>
      <c r="BX265" s="278"/>
      <c r="BY265" s="278"/>
      <c r="BZ265" s="351"/>
    </row>
    <row r="266" spans="1:78" s="90" customFormat="1" ht="19.5" hidden="1" customHeight="1">
      <c r="A266" s="137"/>
      <c r="B266" s="197">
        <f t="shared" si="10"/>
        <v>256</v>
      </c>
      <c r="C266" s="30" t="s">
        <v>206</v>
      </c>
      <c r="D266" s="30" t="s">
        <v>225</v>
      </c>
      <c r="E266" s="234" t="s">
        <v>874</v>
      </c>
      <c r="F266" s="235" t="s">
        <v>1257</v>
      </c>
      <c r="G266" s="284">
        <f>IFERROR(VLOOKUP(E266,Assign!$C$2:$J$142,8,FALSE),)</f>
        <v>0</v>
      </c>
      <c r="H266" s="361" t="s">
        <v>4405</v>
      </c>
      <c r="I266" s="363">
        <v>1</v>
      </c>
      <c r="J266" s="364" t="s">
        <v>220</v>
      </c>
      <c r="K266" s="364" t="s">
        <v>564</v>
      </c>
      <c r="L266" s="365" t="s">
        <v>1618</v>
      </c>
      <c r="M266" s="362" t="s">
        <v>1959</v>
      </c>
      <c r="N266" s="421" t="s">
        <v>207</v>
      </c>
      <c r="O266" s="269">
        <v>4.7918000000000003</v>
      </c>
      <c r="P266" s="269">
        <v>28.868400000000001</v>
      </c>
      <c r="Q266" s="426"/>
      <c r="R266" s="418" t="s">
        <v>874</v>
      </c>
      <c r="S266" s="427" t="s">
        <v>613</v>
      </c>
      <c r="T266" s="357">
        <v>1</v>
      </c>
      <c r="U266" s="357" t="s">
        <v>204</v>
      </c>
      <c r="V266" s="367">
        <v>76800000</v>
      </c>
      <c r="W266" s="368">
        <v>76800000</v>
      </c>
      <c r="X266" s="357"/>
      <c r="Y266" s="357"/>
      <c r="Z266" s="400"/>
      <c r="AA266" s="369"/>
      <c r="AB266" s="370"/>
      <c r="AC266" s="404"/>
      <c r="AD266" s="270"/>
      <c r="AE266" s="156"/>
      <c r="AF266" s="156"/>
      <c r="AG266" s="357"/>
      <c r="AH266" s="357"/>
      <c r="AI266" s="357"/>
      <c r="AJ266" s="156"/>
      <c r="AK266" s="156"/>
      <c r="AL266" s="375"/>
      <c r="AM266" s="405"/>
      <c r="AN266" s="273"/>
      <c r="AO266" s="405"/>
      <c r="AP266" s="273"/>
      <c r="AQ266" s="273"/>
      <c r="AR266" s="273"/>
      <c r="AS266" s="273"/>
      <c r="AT266" s="273"/>
      <c r="AU266" s="273"/>
      <c r="AV266" s="322">
        <f t="shared" si="11"/>
        <v>0</v>
      </c>
      <c r="AW266" s="402" t="s">
        <v>3387</v>
      </c>
      <c r="AX266" s="376">
        <v>45765</v>
      </c>
      <c r="AY266" s="373" t="s">
        <v>3388</v>
      </c>
      <c r="AZ266" s="375"/>
      <c r="BA266" s="375">
        <v>88000000</v>
      </c>
      <c r="BB266" s="375"/>
      <c r="BC266" s="375"/>
      <c r="BD266" s="353">
        <f t="shared" si="12"/>
        <v>88000000</v>
      </c>
      <c r="BE266" s="432" t="s">
        <v>355</v>
      </c>
      <c r="BF266" s="407" t="s">
        <v>523</v>
      </c>
      <c r="BG266" s="168"/>
      <c r="BH266" s="274"/>
      <c r="BI266" s="168"/>
      <c r="BJ266" s="274"/>
      <c r="BK266" s="168"/>
      <c r="BL266" s="275"/>
      <c r="BM266" s="276"/>
      <c r="BN266" s="275"/>
      <c r="BO266" s="276"/>
      <c r="BP266" s="277"/>
      <c r="BQ266" s="156"/>
      <c r="BR266" s="274"/>
      <c r="BS266" s="270"/>
      <c r="BT266" s="270"/>
      <c r="BU266" s="274"/>
      <c r="BV266" s="274"/>
      <c r="BW266" s="278"/>
      <c r="BX266" s="278"/>
      <c r="BY266" s="278"/>
      <c r="BZ266" s="351"/>
    </row>
    <row r="267" spans="1:78" s="90" customFormat="1" ht="19.5" hidden="1" customHeight="1">
      <c r="A267" s="137"/>
      <c r="B267" s="197">
        <f t="shared" ref="B267:B330" si="13">ROW()-10</f>
        <v>257</v>
      </c>
      <c r="C267" s="30" t="s">
        <v>206</v>
      </c>
      <c r="D267" s="30" t="s">
        <v>225</v>
      </c>
      <c r="E267" s="234" t="s">
        <v>875</v>
      </c>
      <c r="F267" s="235" t="s">
        <v>1226</v>
      </c>
      <c r="G267" s="284">
        <f>IFERROR(VLOOKUP(E267,Assign!$C$2:$J$142,8,FALSE),)</f>
        <v>0</v>
      </c>
      <c r="H267" s="361" t="s">
        <v>4140</v>
      </c>
      <c r="I267" s="363">
        <v>1</v>
      </c>
      <c r="J267" s="364" t="s">
        <v>208</v>
      </c>
      <c r="K267" s="364" t="s">
        <v>372</v>
      </c>
      <c r="L267" s="365" t="s">
        <v>1561</v>
      </c>
      <c r="M267" s="362" t="s">
        <v>1716</v>
      </c>
      <c r="N267" s="421" t="s">
        <v>207</v>
      </c>
      <c r="O267" s="269">
        <v>31.771999999999998</v>
      </c>
      <c r="P267" s="269">
        <v>84.92</v>
      </c>
      <c r="Q267" s="426"/>
      <c r="R267" s="418" t="s">
        <v>3417</v>
      </c>
      <c r="S267" s="427" t="s">
        <v>613</v>
      </c>
      <c r="T267" s="357">
        <v>2</v>
      </c>
      <c r="U267" s="357" t="s">
        <v>204</v>
      </c>
      <c r="V267" s="367">
        <v>66000000</v>
      </c>
      <c r="W267" s="368">
        <v>66000000</v>
      </c>
      <c r="X267" s="357"/>
      <c r="Y267" s="357"/>
      <c r="Z267" s="400"/>
      <c r="AA267" s="369"/>
      <c r="AB267" s="370"/>
      <c r="AC267" s="404">
        <v>1</v>
      </c>
      <c r="AD267" s="270" t="s">
        <v>204</v>
      </c>
      <c r="AE267" s="156">
        <v>90200000</v>
      </c>
      <c r="AF267" s="156">
        <v>90200000</v>
      </c>
      <c r="AG267" s="357"/>
      <c r="AH267" s="357"/>
      <c r="AI267" s="357"/>
      <c r="AJ267" s="156"/>
      <c r="AK267" s="156"/>
      <c r="AL267" s="375"/>
      <c r="AM267" s="405"/>
      <c r="AN267" s="273"/>
      <c r="AO267" s="405"/>
      <c r="AP267" s="273"/>
      <c r="AQ267" s="273"/>
      <c r="AR267" s="273"/>
      <c r="AS267" s="273"/>
      <c r="AT267" s="273"/>
      <c r="AU267" s="273"/>
      <c r="AV267" s="322">
        <f t="shared" ref="AV267:AV330" si="14">SUM(AP267:AU267)</f>
        <v>0</v>
      </c>
      <c r="AW267" s="402" t="s">
        <v>3387</v>
      </c>
      <c r="AX267" s="376">
        <v>45765</v>
      </c>
      <c r="AY267" s="373" t="s">
        <v>3388</v>
      </c>
      <c r="AZ267" s="375"/>
      <c r="BA267" s="375">
        <v>365000000</v>
      </c>
      <c r="BB267" s="375"/>
      <c r="BC267" s="375"/>
      <c r="BD267" s="353">
        <f t="shared" ref="BD267:BD330" si="15">SUM(AZ267:BC267)</f>
        <v>365000000</v>
      </c>
      <c r="BE267" s="432" t="s">
        <v>355</v>
      </c>
      <c r="BF267" s="407" t="s">
        <v>498</v>
      </c>
      <c r="BG267" s="168"/>
      <c r="BH267" s="274"/>
      <c r="BI267" s="168"/>
      <c r="BJ267" s="274"/>
      <c r="BK267" s="168"/>
      <c r="BL267" s="275"/>
      <c r="BM267" s="276"/>
      <c r="BN267" s="275"/>
      <c r="BO267" s="276"/>
      <c r="BP267" s="277"/>
      <c r="BQ267" s="156"/>
      <c r="BR267" s="274"/>
      <c r="BS267" s="270"/>
      <c r="BT267" s="270"/>
      <c r="BU267" s="274"/>
      <c r="BV267" s="274"/>
      <c r="BW267" s="278"/>
      <c r="BX267" s="278"/>
      <c r="BY267" s="278"/>
      <c r="BZ267" s="351"/>
    </row>
    <row r="268" spans="1:78" s="90" customFormat="1" ht="19.5" hidden="1" customHeight="1">
      <c r="A268" s="137"/>
      <c r="B268" s="197">
        <f t="shared" si="13"/>
        <v>258</v>
      </c>
      <c r="C268" s="30" t="s">
        <v>206</v>
      </c>
      <c r="D268" s="30" t="s">
        <v>225</v>
      </c>
      <c r="E268" s="234" t="s">
        <v>876</v>
      </c>
      <c r="F268" s="235" t="s">
        <v>1233</v>
      </c>
      <c r="G268" s="284">
        <f>IFERROR(VLOOKUP(E268,Assign!$C$2:$J$142,8,FALSE),)</f>
        <v>0</v>
      </c>
      <c r="H268" s="361" t="s">
        <v>4781</v>
      </c>
      <c r="I268" s="363">
        <v>1</v>
      </c>
      <c r="J268" s="364" t="s">
        <v>212</v>
      </c>
      <c r="K268" s="364" t="s">
        <v>389</v>
      </c>
      <c r="L268" s="365" t="s">
        <v>379</v>
      </c>
      <c r="M268" s="362" t="s">
        <v>2311</v>
      </c>
      <c r="N268" s="421" t="s">
        <v>207</v>
      </c>
      <c r="O268" s="269">
        <v>44.387999999999998</v>
      </c>
      <c r="P268" s="269">
        <v>58.32</v>
      </c>
      <c r="Q268" s="426"/>
      <c r="R268" s="418" t="s">
        <v>3365</v>
      </c>
      <c r="S268" s="427" t="s">
        <v>613</v>
      </c>
      <c r="T268" s="357">
        <v>1</v>
      </c>
      <c r="U268" s="357" t="s">
        <v>204</v>
      </c>
      <c r="V268" s="367">
        <v>72000000</v>
      </c>
      <c r="W268" s="368">
        <v>72000000</v>
      </c>
      <c r="X268" s="357"/>
      <c r="Y268" s="357"/>
      <c r="Z268" s="400"/>
      <c r="AA268" s="369"/>
      <c r="AB268" s="370"/>
      <c r="AC268" s="404"/>
      <c r="AD268" s="270"/>
      <c r="AE268" s="156"/>
      <c r="AF268" s="156"/>
      <c r="AG268" s="357"/>
      <c r="AH268" s="357"/>
      <c r="AI268" s="357"/>
      <c r="AJ268" s="156"/>
      <c r="AK268" s="156"/>
      <c r="AL268" s="375"/>
      <c r="AM268" s="405"/>
      <c r="AN268" s="273"/>
      <c r="AO268" s="405"/>
      <c r="AP268" s="273"/>
      <c r="AQ268" s="273"/>
      <c r="AR268" s="273"/>
      <c r="AS268" s="273"/>
      <c r="AT268" s="273"/>
      <c r="AU268" s="273"/>
      <c r="AV268" s="322">
        <f t="shared" si="14"/>
        <v>0</v>
      </c>
      <c r="AW268" s="402" t="s">
        <v>3387</v>
      </c>
      <c r="AX268" s="376">
        <v>45765</v>
      </c>
      <c r="AY268" s="373" t="s">
        <v>3388</v>
      </c>
      <c r="AZ268" s="375"/>
      <c r="BA268" s="375">
        <v>115000000</v>
      </c>
      <c r="BB268" s="375"/>
      <c r="BC268" s="375"/>
      <c r="BD268" s="353">
        <f t="shared" si="15"/>
        <v>115000000</v>
      </c>
      <c r="BE268" s="432" t="s">
        <v>355</v>
      </c>
      <c r="BF268" s="407" t="s">
        <v>496</v>
      </c>
      <c r="BG268" s="168"/>
      <c r="BH268" s="274"/>
      <c r="BI268" s="168"/>
      <c r="BJ268" s="274"/>
      <c r="BK268" s="168"/>
      <c r="BL268" s="275"/>
      <c r="BM268" s="276"/>
      <c r="BN268" s="275"/>
      <c r="BO268" s="276"/>
      <c r="BP268" s="277"/>
      <c r="BQ268" s="156"/>
      <c r="BR268" s="274"/>
      <c r="BS268" s="270"/>
      <c r="BT268" s="270"/>
      <c r="BU268" s="274"/>
      <c r="BV268" s="274"/>
      <c r="BW268" s="278"/>
      <c r="BX268" s="278"/>
      <c r="BY268" s="278"/>
      <c r="BZ268" s="351"/>
    </row>
    <row r="269" spans="1:78" s="90" customFormat="1" ht="19.5" hidden="1" customHeight="1">
      <c r="A269" s="137"/>
      <c r="B269" s="197">
        <f t="shared" si="13"/>
        <v>259</v>
      </c>
      <c r="C269" s="30" t="s">
        <v>206</v>
      </c>
      <c r="D269" s="30" t="s">
        <v>225</v>
      </c>
      <c r="E269" s="234" t="s">
        <v>877</v>
      </c>
      <c r="F269" s="235" t="s">
        <v>1217</v>
      </c>
      <c r="G269" s="284">
        <f>IFERROR(VLOOKUP(E269,Assign!$C$2:$J$142,8,FALSE),)</f>
        <v>0</v>
      </c>
      <c r="H269" s="361" t="s">
        <v>4480</v>
      </c>
      <c r="I269" s="363">
        <v>1</v>
      </c>
      <c r="J269" s="364" t="s">
        <v>212</v>
      </c>
      <c r="K269" s="364" t="s">
        <v>232</v>
      </c>
      <c r="L269" s="365" t="s">
        <v>263</v>
      </c>
      <c r="M269" s="362" t="s">
        <v>2024</v>
      </c>
      <c r="N269" s="421" t="s">
        <v>207</v>
      </c>
      <c r="O269" s="269">
        <v>28.54</v>
      </c>
      <c r="P269" s="269">
        <v>59.36</v>
      </c>
      <c r="Q269" s="426"/>
      <c r="R269" s="418" t="s">
        <v>877</v>
      </c>
      <c r="S269" s="427" t="s">
        <v>613</v>
      </c>
      <c r="T269" s="357" t="s">
        <v>233</v>
      </c>
      <c r="U269" s="357" t="s">
        <v>204</v>
      </c>
      <c r="V269" s="367">
        <v>103400000</v>
      </c>
      <c r="W269" s="368">
        <v>103400000</v>
      </c>
      <c r="X269" s="357"/>
      <c r="Y269" s="357"/>
      <c r="Z269" s="400"/>
      <c r="AA269" s="369"/>
      <c r="AB269" s="370"/>
      <c r="AC269" s="404"/>
      <c r="AD269" s="270"/>
      <c r="AE269" s="156"/>
      <c r="AF269" s="156"/>
      <c r="AG269" s="357"/>
      <c r="AH269" s="357"/>
      <c r="AI269" s="357"/>
      <c r="AJ269" s="156"/>
      <c r="AK269" s="156"/>
      <c r="AL269" s="375"/>
      <c r="AM269" s="405"/>
      <c r="AN269" s="273"/>
      <c r="AO269" s="405"/>
      <c r="AP269" s="273"/>
      <c r="AQ269" s="273"/>
      <c r="AR269" s="273"/>
      <c r="AS269" s="273"/>
      <c r="AT269" s="273"/>
      <c r="AU269" s="273"/>
      <c r="AV269" s="322">
        <f t="shared" si="14"/>
        <v>0</v>
      </c>
      <c r="AW269" s="402" t="s">
        <v>3387</v>
      </c>
      <c r="AX269" s="376">
        <v>45765</v>
      </c>
      <c r="AY269" s="373" t="s">
        <v>3388</v>
      </c>
      <c r="AZ269" s="375"/>
      <c r="BA269" s="375">
        <v>220000000</v>
      </c>
      <c r="BB269" s="375"/>
      <c r="BC269" s="375"/>
      <c r="BD269" s="353">
        <f t="shared" si="15"/>
        <v>220000000</v>
      </c>
      <c r="BE269" s="432" t="s">
        <v>335</v>
      </c>
      <c r="BF269" s="407" t="s">
        <v>496</v>
      </c>
      <c r="BG269" s="168" t="s">
        <v>3305</v>
      </c>
      <c r="BH269" s="274">
        <v>45762</v>
      </c>
      <c r="BI269" s="168" t="s">
        <v>3224</v>
      </c>
      <c r="BJ269" s="274">
        <v>45848</v>
      </c>
      <c r="BK269" s="168">
        <v>99949622</v>
      </c>
      <c r="BL269" s="275"/>
      <c r="BM269" s="276"/>
      <c r="BN269" s="275"/>
      <c r="BO269" s="276"/>
      <c r="BP269" s="277"/>
      <c r="BQ269" s="156"/>
      <c r="BR269" s="274"/>
      <c r="BS269" s="270"/>
      <c r="BT269" s="270"/>
      <c r="BU269" s="274"/>
      <c r="BV269" s="274"/>
      <c r="BW269" s="278"/>
      <c r="BX269" s="278"/>
      <c r="BY269" s="278"/>
      <c r="BZ269" s="351"/>
    </row>
    <row r="270" spans="1:78" s="90" customFormat="1" ht="19.5" hidden="1" customHeight="1">
      <c r="A270" s="137"/>
      <c r="B270" s="197">
        <f t="shared" si="13"/>
        <v>260</v>
      </c>
      <c r="C270" s="30" t="s">
        <v>206</v>
      </c>
      <c r="D270" s="30" t="s">
        <v>225</v>
      </c>
      <c r="E270" s="234" t="s">
        <v>878</v>
      </c>
      <c r="F270" s="235" t="s">
        <v>1236</v>
      </c>
      <c r="G270" s="284">
        <f>IFERROR(VLOOKUP(E270,Assign!$C$2:$J$142,8,FALSE),)</f>
        <v>0</v>
      </c>
      <c r="H270" s="361" t="s">
        <v>4890</v>
      </c>
      <c r="I270" s="363">
        <v>1</v>
      </c>
      <c r="J270" s="364" t="s">
        <v>208</v>
      </c>
      <c r="K270" s="364" t="s">
        <v>234</v>
      </c>
      <c r="L270" s="365" t="s">
        <v>317</v>
      </c>
      <c r="M270" s="362" t="s">
        <v>2412</v>
      </c>
      <c r="N270" s="421" t="s">
        <v>3505</v>
      </c>
      <c r="O270" s="269">
        <v>4.3659999999999997</v>
      </c>
      <c r="P270" s="269">
        <v>23.77</v>
      </c>
      <c r="Q270" s="426"/>
      <c r="R270" s="418" t="s">
        <v>878</v>
      </c>
      <c r="S270" s="427" t="s">
        <v>613</v>
      </c>
      <c r="T270" s="357">
        <v>1</v>
      </c>
      <c r="U270" s="357" t="s">
        <v>204</v>
      </c>
      <c r="V270" s="367">
        <v>81600000</v>
      </c>
      <c r="W270" s="368">
        <v>81600000</v>
      </c>
      <c r="X270" s="357"/>
      <c r="Y270" s="357"/>
      <c r="Z270" s="400"/>
      <c r="AA270" s="369"/>
      <c r="AB270" s="370"/>
      <c r="AC270" s="404"/>
      <c r="AD270" s="270"/>
      <c r="AE270" s="156"/>
      <c r="AF270" s="156"/>
      <c r="AG270" s="357"/>
      <c r="AH270" s="357"/>
      <c r="AI270" s="357"/>
      <c r="AJ270" s="156"/>
      <c r="AK270" s="156"/>
      <c r="AL270" s="375"/>
      <c r="AM270" s="405"/>
      <c r="AN270" s="273"/>
      <c r="AO270" s="405"/>
      <c r="AP270" s="273"/>
      <c r="AQ270" s="273"/>
      <c r="AR270" s="273"/>
      <c r="AS270" s="273"/>
      <c r="AT270" s="273"/>
      <c r="AU270" s="273"/>
      <c r="AV270" s="322">
        <f t="shared" si="14"/>
        <v>0</v>
      </c>
      <c r="AW270" s="402"/>
      <c r="AX270" s="376"/>
      <c r="AY270" s="373"/>
      <c r="AZ270" s="375"/>
      <c r="BA270" s="375"/>
      <c r="BB270" s="375"/>
      <c r="BC270" s="375"/>
      <c r="BD270" s="353">
        <f t="shared" si="15"/>
        <v>0</v>
      </c>
      <c r="BE270" s="432" t="s">
        <v>355</v>
      </c>
      <c r="BF270" s="407" t="s">
        <v>504</v>
      </c>
      <c r="BG270" s="168"/>
      <c r="BH270" s="274"/>
      <c r="BI270" s="168"/>
      <c r="BJ270" s="274"/>
      <c r="BK270" s="168"/>
      <c r="BL270" s="275"/>
      <c r="BM270" s="276"/>
      <c r="BN270" s="275"/>
      <c r="BO270" s="276"/>
      <c r="BP270" s="277"/>
      <c r="BQ270" s="156"/>
      <c r="BR270" s="274"/>
      <c r="BS270" s="270"/>
      <c r="BT270" s="270"/>
      <c r="BU270" s="274"/>
      <c r="BV270" s="274"/>
      <c r="BW270" s="278"/>
      <c r="BX270" s="278"/>
      <c r="BY270" s="278"/>
      <c r="BZ270" s="351"/>
    </row>
    <row r="271" spans="1:78" s="90" customFormat="1" ht="19.5" hidden="1" customHeight="1">
      <c r="A271" s="137"/>
      <c r="B271" s="197">
        <f t="shared" si="13"/>
        <v>261</v>
      </c>
      <c r="C271" s="30" t="s">
        <v>206</v>
      </c>
      <c r="D271" s="30" t="s">
        <v>225</v>
      </c>
      <c r="E271" s="234" t="s">
        <v>879</v>
      </c>
      <c r="F271" s="235" t="s">
        <v>1229</v>
      </c>
      <c r="G271" s="284">
        <f>IFERROR(VLOOKUP(E271,Assign!$C$2:$J$142,8,FALSE),)</f>
        <v>0</v>
      </c>
      <c r="H271" s="361" t="s">
        <v>4436</v>
      </c>
      <c r="I271" s="363">
        <v>1</v>
      </c>
      <c r="J271" s="364" t="s">
        <v>220</v>
      </c>
      <c r="K271" s="364" t="s">
        <v>390</v>
      </c>
      <c r="L271" s="365" t="s">
        <v>574</v>
      </c>
      <c r="M271" s="362" t="s">
        <v>1985</v>
      </c>
      <c r="N271" s="421" t="s">
        <v>207</v>
      </c>
      <c r="O271" s="269">
        <v>67.209999999999994</v>
      </c>
      <c r="P271" s="269">
        <v>79.86</v>
      </c>
      <c r="Q271" s="426"/>
      <c r="R271" s="418" t="s">
        <v>879</v>
      </c>
      <c r="S271" s="427" t="s">
        <v>613</v>
      </c>
      <c r="T271" s="357">
        <v>1</v>
      </c>
      <c r="U271" s="357" t="s">
        <v>204</v>
      </c>
      <c r="V271" s="367">
        <v>93600000</v>
      </c>
      <c r="W271" s="368">
        <v>93600000</v>
      </c>
      <c r="X271" s="357"/>
      <c r="Y271" s="357"/>
      <c r="Z271" s="400"/>
      <c r="AA271" s="369"/>
      <c r="AB271" s="370"/>
      <c r="AC271" s="404"/>
      <c r="AD271" s="270"/>
      <c r="AE271" s="156"/>
      <c r="AF271" s="156"/>
      <c r="AG271" s="357"/>
      <c r="AH271" s="357"/>
      <c r="AI271" s="357"/>
      <c r="AJ271" s="156"/>
      <c r="AK271" s="156"/>
      <c r="AL271" s="375"/>
      <c r="AM271" s="405"/>
      <c r="AN271" s="273"/>
      <c r="AO271" s="405"/>
      <c r="AP271" s="273"/>
      <c r="AQ271" s="273"/>
      <c r="AR271" s="273"/>
      <c r="AS271" s="273"/>
      <c r="AT271" s="273"/>
      <c r="AU271" s="273"/>
      <c r="AV271" s="322">
        <f t="shared" si="14"/>
        <v>0</v>
      </c>
      <c r="AW271" s="402"/>
      <c r="AX271" s="376"/>
      <c r="AY271" s="373"/>
      <c r="AZ271" s="375"/>
      <c r="BA271" s="375"/>
      <c r="BB271" s="375"/>
      <c r="BC271" s="375"/>
      <c r="BD271" s="353">
        <f t="shared" si="15"/>
        <v>0</v>
      </c>
      <c r="BE271" s="432" t="s">
        <v>355</v>
      </c>
      <c r="BF271" s="407" t="s">
        <v>523</v>
      </c>
      <c r="BG271" s="168"/>
      <c r="BH271" s="274"/>
      <c r="BI271" s="168"/>
      <c r="BJ271" s="274"/>
      <c r="BK271" s="168"/>
      <c r="BL271" s="275"/>
      <c r="BM271" s="276"/>
      <c r="BN271" s="275"/>
      <c r="BO271" s="276"/>
      <c r="BP271" s="277"/>
      <c r="BQ271" s="156"/>
      <c r="BR271" s="274"/>
      <c r="BS271" s="270"/>
      <c r="BT271" s="270"/>
      <c r="BU271" s="274"/>
      <c r="BV271" s="274"/>
      <c r="BW271" s="278"/>
      <c r="BX271" s="278"/>
      <c r="BY271" s="278"/>
      <c r="BZ271" s="351"/>
    </row>
    <row r="272" spans="1:78" s="90" customFormat="1" ht="19.5" hidden="1" customHeight="1">
      <c r="A272" s="137"/>
      <c r="B272" s="197">
        <f t="shared" si="13"/>
        <v>262</v>
      </c>
      <c r="C272" s="30" t="s">
        <v>206</v>
      </c>
      <c r="D272" s="30" t="s">
        <v>225</v>
      </c>
      <c r="E272" s="234" t="s">
        <v>880</v>
      </c>
      <c r="F272" s="235" t="s">
        <v>1239</v>
      </c>
      <c r="G272" s="284">
        <f>IFERROR(VLOOKUP(E272,Assign!$C$2:$J$142,8,FALSE),)</f>
        <v>0</v>
      </c>
      <c r="H272" s="361" t="s">
        <v>4634</v>
      </c>
      <c r="I272" s="363">
        <v>1</v>
      </c>
      <c r="J272" s="364" t="s">
        <v>209</v>
      </c>
      <c r="K272" s="364" t="s">
        <v>364</v>
      </c>
      <c r="L272" s="365" t="s">
        <v>1621</v>
      </c>
      <c r="M272" s="362" t="s">
        <v>2171</v>
      </c>
      <c r="N272" s="421" t="s">
        <v>606</v>
      </c>
      <c r="O272" s="269">
        <v>36.869999999999997</v>
      </c>
      <c r="P272" s="269">
        <v>41.53</v>
      </c>
      <c r="Q272" s="426"/>
      <c r="R272" s="418" t="s">
        <v>880</v>
      </c>
      <c r="S272" s="427" t="s">
        <v>613</v>
      </c>
      <c r="T272" s="357">
        <v>1</v>
      </c>
      <c r="U272" s="357" t="s">
        <v>204</v>
      </c>
      <c r="V272" s="367">
        <v>57000000</v>
      </c>
      <c r="W272" s="368">
        <v>57000000</v>
      </c>
      <c r="X272" s="357"/>
      <c r="Y272" s="357"/>
      <c r="Z272" s="400"/>
      <c r="AA272" s="369"/>
      <c r="AB272" s="370"/>
      <c r="AC272" s="404"/>
      <c r="AD272" s="270"/>
      <c r="AE272" s="156"/>
      <c r="AF272" s="156"/>
      <c r="AG272" s="357"/>
      <c r="AH272" s="357"/>
      <c r="AI272" s="357"/>
      <c r="AJ272" s="156"/>
      <c r="AK272" s="156"/>
      <c r="AL272" s="375"/>
      <c r="AM272" s="405"/>
      <c r="AN272" s="273"/>
      <c r="AO272" s="405"/>
      <c r="AP272" s="273"/>
      <c r="AQ272" s="273"/>
      <c r="AR272" s="273"/>
      <c r="AS272" s="273"/>
      <c r="AT272" s="273"/>
      <c r="AU272" s="273"/>
      <c r="AV272" s="322">
        <f t="shared" si="14"/>
        <v>0</v>
      </c>
      <c r="AW272" s="402"/>
      <c r="AX272" s="376"/>
      <c r="AY272" s="373"/>
      <c r="AZ272" s="375"/>
      <c r="BA272" s="375"/>
      <c r="BB272" s="375"/>
      <c r="BC272" s="375"/>
      <c r="BD272" s="353">
        <f t="shared" si="15"/>
        <v>0</v>
      </c>
      <c r="BE272" s="432" t="s">
        <v>355</v>
      </c>
      <c r="BF272" s="407" t="s">
        <v>495</v>
      </c>
      <c r="BG272" s="168"/>
      <c r="BH272" s="274"/>
      <c r="BI272" s="168"/>
      <c r="BJ272" s="274"/>
      <c r="BK272" s="168"/>
      <c r="BL272" s="275"/>
      <c r="BM272" s="276"/>
      <c r="BN272" s="275"/>
      <c r="BO272" s="276"/>
      <c r="BP272" s="277"/>
      <c r="BQ272" s="156"/>
      <c r="BR272" s="274"/>
      <c r="BS272" s="270"/>
      <c r="BT272" s="270"/>
      <c r="BU272" s="274"/>
      <c r="BV272" s="274"/>
      <c r="BW272" s="278"/>
      <c r="BX272" s="278"/>
      <c r="BY272" s="278"/>
      <c r="BZ272" s="351"/>
    </row>
    <row r="273" spans="1:78" s="90" customFormat="1" ht="19.5" hidden="1" customHeight="1">
      <c r="A273" s="137"/>
      <c r="B273" s="197">
        <f t="shared" si="13"/>
        <v>263</v>
      </c>
      <c r="C273" s="30" t="s">
        <v>206</v>
      </c>
      <c r="D273" s="30" t="s">
        <v>225</v>
      </c>
      <c r="E273" s="234" t="s">
        <v>881</v>
      </c>
      <c r="F273" s="235" t="s">
        <v>1247</v>
      </c>
      <c r="G273" s="284">
        <f>IFERROR(VLOOKUP(E273,Assign!$C$2:$J$142,8,FALSE),)</f>
        <v>0</v>
      </c>
      <c r="H273" s="361" t="s">
        <v>4050</v>
      </c>
      <c r="I273" s="363">
        <v>1</v>
      </c>
      <c r="J273" s="364" t="s">
        <v>208</v>
      </c>
      <c r="K273" s="364" t="s">
        <v>234</v>
      </c>
      <c r="L273" s="365" t="s">
        <v>551</v>
      </c>
      <c r="M273" s="362" t="s">
        <v>1626</v>
      </c>
      <c r="N273" s="421" t="s">
        <v>207</v>
      </c>
      <c r="O273" s="269">
        <v>87.14</v>
      </c>
      <c r="P273" s="269">
        <v>153.18</v>
      </c>
      <c r="Q273" s="426"/>
      <c r="R273" s="418" t="s">
        <v>881</v>
      </c>
      <c r="S273" s="427" t="s">
        <v>613</v>
      </c>
      <c r="T273" s="357">
        <v>2</v>
      </c>
      <c r="U273" s="357" t="s">
        <v>204</v>
      </c>
      <c r="V273" s="367">
        <v>60000000</v>
      </c>
      <c r="W273" s="368">
        <v>60000000</v>
      </c>
      <c r="X273" s="357"/>
      <c r="Y273" s="357"/>
      <c r="Z273" s="400"/>
      <c r="AA273" s="369"/>
      <c r="AB273" s="370"/>
      <c r="AC273" s="404">
        <v>1</v>
      </c>
      <c r="AD273" s="270" t="s">
        <v>204</v>
      </c>
      <c r="AE273" s="156">
        <v>326400000</v>
      </c>
      <c r="AF273" s="156">
        <v>326400000</v>
      </c>
      <c r="AG273" s="357"/>
      <c r="AH273" s="357"/>
      <c r="AI273" s="357"/>
      <c r="AJ273" s="156"/>
      <c r="AK273" s="156"/>
      <c r="AL273" s="375"/>
      <c r="AM273" s="405"/>
      <c r="AN273" s="273"/>
      <c r="AO273" s="405"/>
      <c r="AP273" s="273"/>
      <c r="AQ273" s="273"/>
      <c r="AR273" s="273"/>
      <c r="AS273" s="273"/>
      <c r="AT273" s="273"/>
      <c r="AU273" s="273"/>
      <c r="AV273" s="322">
        <f t="shared" si="14"/>
        <v>0</v>
      </c>
      <c r="AW273" s="402" t="s">
        <v>3387</v>
      </c>
      <c r="AX273" s="376">
        <v>45765</v>
      </c>
      <c r="AY273" s="373" t="s">
        <v>3388</v>
      </c>
      <c r="AZ273" s="375"/>
      <c r="BA273" s="375">
        <v>700000000</v>
      </c>
      <c r="BB273" s="375"/>
      <c r="BC273" s="375"/>
      <c r="BD273" s="353">
        <f t="shared" si="15"/>
        <v>700000000</v>
      </c>
      <c r="BE273" s="432" t="s">
        <v>355</v>
      </c>
      <c r="BF273" s="407" t="s">
        <v>504</v>
      </c>
      <c r="BG273" s="168"/>
      <c r="BH273" s="274"/>
      <c r="BI273" s="168"/>
      <c r="BJ273" s="274"/>
      <c r="BK273" s="168"/>
      <c r="BL273" s="275"/>
      <c r="BM273" s="276"/>
      <c r="BN273" s="275"/>
      <c r="BO273" s="276"/>
      <c r="BP273" s="277"/>
      <c r="BQ273" s="156"/>
      <c r="BR273" s="274"/>
      <c r="BS273" s="270"/>
      <c r="BT273" s="270"/>
      <c r="BU273" s="274"/>
      <c r="BV273" s="274"/>
      <c r="BW273" s="278"/>
      <c r="BX273" s="278"/>
      <c r="BY273" s="278"/>
      <c r="BZ273" s="351"/>
    </row>
    <row r="274" spans="1:78" s="90" customFormat="1" ht="19.5" hidden="1" customHeight="1">
      <c r="A274" s="137"/>
      <c r="B274" s="197">
        <f t="shared" si="13"/>
        <v>264</v>
      </c>
      <c r="C274" s="30" t="s">
        <v>206</v>
      </c>
      <c r="D274" s="30" t="s">
        <v>225</v>
      </c>
      <c r="E274" s="234" t="s">
        <v>882</v>
      </c>
      <c r="F274" s="235" t="s">
        <v>1320</v>
      </c>
      <c r="G274" s="284">
        <f>IFERROR(VLOOKUP(E274,Assign!$C$2:$J$142,8,FALSE),)</f>
        <v>0</v>
      </c>
      <c r="H274" s="361" t="s">
        <v>5339</v>
      </c>
      <c r="I274" s="363">
        <v>1</v>
      </c>
      <c r="J274" s="364" t="s">
        <v>208</v>
      </c>
      <c r="K274" s="364" t="s">
        <v>228</v>
      </c>
      <c r="L274" s="365" t="s">
        <v>2817</v>
      </c>
      <c r="M274" s="362" t="s">
        <v>2818</v>
      </c>
      <c r="N274" s="421" t="s">
        <v>207</v>
      </c>
      <c r="O274" s="269">
        <v>63.070399999999999</v>
      </c>
      <c r="P274" s="269">
        <v>84.950500000000005</v>
      </c>
      <c r="Q274" s="426"/>
      <c r="R274" s="418" t="s">
        <v>3450</v>
      </c>
      <c r="S274" s="427" t="s">
        <v>613</v>
      </c>
      <c r="T274" s="357">
        <v>2</v>
      </c>
      <c r="U274" s="357" t="s">
        <v>204</v>
      </c>
      <c r="V274" s="367">
        <v>60000000</v>
      </c>
      <c r="W274" s="368">
        <v>60000000</v>
      </c>
      <c r="X274" s="357"/>
      <c r="Y274" s="357"/>
      <c r="Z274" s="400"/>
      <c r="AA274" s="369"/>
      <c r="AB274" s="370"/>
      <c r="AC274" s="404">
        <v>1</v>
      </c>
      <c r="AD274" s="270" t="s">
        <v>204</v>
      </c>
      <c r="AE274" s="156">
        <v>144000000</v>
      </c>
      <c r="AF274" s="156">
        <v>144000000</v>
      </c>
      <c r="AG274" s="357"/>
      <c r="AH274" s="357"/>
      <c r="AI274" s="357"/>
      <c r="AJ274" s="156"/>
      <c r="AK274" s="156"/>
      <c r="AL274" s="375"/>
      <c r="AM274" s="405"/>
      <c r="AN274" s="273"/>
      <c r="AO274" s="405"/>
      <c r="AP274" s="273"/>
      <c r="AQ274" s="273"/>
      <c r="AR274" s="273"/>
      <c r="AS274" s="273"/>
      <c r="AT274" s="273"/>
      <c r="AU274" s="273"/>
      <c r="AV274" s="322">
        <f t="shared" si="14"/>
        <v>0</v>
      </c>
      <c r="AW274" s="402" t="s">
        <v>3387</v>
      </c>
      <c r="AX274" s="376">
        <v>45765</v>
      </c>
      <c r="AY274" s="373" t="s">
        <v>3388</v>
      </c>
      <c r="AZ274" s="375"/>
      <c r="BA274" s="375">
        <v>390000000</v>
      </c>
      <c r="BB274" s="375"/>
      <c r="BC274" s="375"/>
      <c r="BD274" s="353">
        <f t="shared" si="15"/>
        <v>390000000</v>
      </c>
      <c r="BE274" s="432" t="s">
        <v>355</v>
      </c>
      <c r="BF274" s="407" t="s">
        <v>424</v>
      </c>
      <c r="BG274" s="168"/>
      <c r="BH274" s="274"/>
      <c r="BI274" s="168"/>
      <c r="BJ274" s="274"/>
      <c r="BK274" s="168"/>
      <c r="BL274" s="275"/>
      <c r="BM274" s="276"/>
      <c r="BN274" s="275"/>
      <c r="BO274" s="276"/>
      <c r="BP274" s="277"/>
      <c r="BQ274" s="156"/>
      <c r="BR274" s="274"/>
      <c r="BS274" s="270"/>
      <c r="BT274" s="270"/>
      <c r="BU274" s="274"/>
      <c r="BV274" s="274"/>
      <c r="BW274" s="278"/>
      <c r="BX274" s="278"/>
      <c r="BY274" s="278"/>
      <c r="BZ274" s="351"/>
    </row>
    <row r="275" spans="1:78" s="90" customFormat="1" ht="19.5" hidden="1" customHeight="1">
      <c r="A275" s="137"/>
      <c r="B275" s="197">
        <f t="shared" si="13"/>
        <v>265</v>
      </c>
      <c r="C275" s="30" t="s">
        <v>206</v>
      </c>
      <c r="D275" s="30" t="s">
        <v>225</v>
      </c>
      <c r="E275" s="234" t="s">
        <v>883</v>
      </c>
      <c r="F275" s="235" t="s">
        <v>1229</v>
      </c>
      <c r="G275" s="284">
        <f>IFERROR(VLOOKUP(E275,Assign!$C$2:$J$142,8,FALSE),)</f>
        <v>0</v>
      </c>
      <c r="H275" s="361" t="s">
        <v>3999</v>
      </c>
      <c r="I275" s="363">
        <v>1</v>
      </c>
      <c r="J275" s="364" t="s">
        <v>209</v>
      </c>
      <c r="K275" s="364" t="s">
        <v>272</v>
      </c>
      <c r="L275" s="365" t="s">
        <v>403</v>
      </c>
      <c r="M275" s="362" t="s">
        <v>1574</v>
      </c>
      <c r="N275" s="421" t="s">
        <v>207</v>
      </c>
      <c r="O275" s="269">
        <v>25.72</v>
      </c>
      <c r="P275" s="269">
        <v>36.159999999999997</v>
      </c>
      <c r="Q275" s="426"/>
      <c r="R275" s="418" t="s">
        <v>883</v>
      </c>
      <c r="S275" s="427" t="s">
        <v>613</v>
      </c>
      <c r="T275" s="357">
        <v>1</v>
      </c>
      <c r="U275" s="357" t="s">
        <v>204</v>
      </c>
      <c r="V275" s="367">
        <v>96000000</v>
      </c>
      <c r="W275" s="368">
        <v>96000000</v>
      </c>
      <c r="X275" s="357"/>
      <c r="Y275" s="357"/>
      <c r="Z275" s="400"/>
      <c r="AA275" s="369"/>
      <c r="AB275" s="370"/>
      <c r="AC275" s="404"/>
      <c r="AD275" s="270"/>
      <c r="AE275" s="156"/>
      <c r="AF275" s="156"/>
      <c r="AG275" s="357"/>
      <c r="AH275" s="357"/>
      <c r="AI275" s="357"/>
      <c r="AJ275" s="156"/>
      <c r="AK275" s="156"/>
      <c r="AL275" s="375"/>
      <c r="AM275" s="405"/>
      <c r="AN275" s="273"/>
      <c r="AO275" s="405"/>
      <c r="AP275" s="273"/>
      <c r="AQ275" s="273"/>
      <c r="AR275" s="273"/>
      <c r="AS275" s="273"/>
      <c r="AT275" s="273"/>
      <c r="AU275" s="273"/>
      <c r="AV275" s="322">
        <f t="shared" si="14"/>
        <v>0</v>
      </c>
      <c r="AW275" s="402" t="s">
        <v>3387</v>
      </c>
      <c r="AX275" s="376">
        <v>45765</v>
      </c>
      <c r="AY275" s="373" t="s">
        <v>3388</v>
      </c>
      <c r="AZ275" s="375"/>
      <c r="BA275" s="375">
        <v>327500000</v>
      </c>
      <c r="BB275" s="375"/>
      <c r="BC275" s="375"/>
      <c r="BD275" s="353">
        <f t="shared" si="15"/>
        <v>327500000</v>
      </c>
      <c r="BE275" s="432" t="s">
        <v>355</v>
      </c>
      <c r="BF275" s="407" t="s">
        <v>510</v>
      </c>
      <c r="BG275" s="168"/>
      <c r="BH275" s="274"/>
      <c r="BI275" s="168"/>
      <c r="BJ275" s="274"/>
      <c r="BK275" s="168"/>
      <c r="BL275" s="275"/>
      <c r="BM275" s="276"/>
      <c r="BN275" s="275"/>
      <c r="BO275" s="276"/>
      <c r="BP275" s="277"/>
      <c r="BQ275" s="156"/>
      <c r="BR275" s="274"/>
      <c r="BS275" s="270"/>
      <c r="BT275" s="270"/>
      <c r="BU275" s="274"/>
      <c r="BV275" s="274"/>
      <c r="BW275" s="278"/>
      <c r="BX275" s="278"/>
      <c r="BY275" s="278"/>
      <c r="BZ275" s="351"/>
    </row>
    <row r="276" spans="1:78" s="90" customFormat="1" ht="19.5" customHeight="1">
      <c r="A276" s="137"/>
      <c r="B276" s="197">
        <f t="shared" si="13"/>
        <v>266</v>
      </c>
      <c r="C276" s="30" t="s">
        <v>206</v>
      </c>
      <c r="D276" s="30" t="s">
        <v>225</v>
      </c>
      <c r="E276" s="234" t="s">
        <v>884</v>
      </c>
      <c r="F276" s="235" t="s">
        <v>1266</v>
      </c>
      <c r="G276" s="284" t="str">
        <f>IFERROR(VLOOKUP(E276,Assign!$C$2:$J$142,8,FALSE),)</f>
        <v>문선영</v>
      </c>
      <c r="H276" s="361" t="s">
        <v>5038</v>
      </c>
      <c r="I276" s="363">
        <v>1</v>
      </c>
      <c r="J276" s="364" t="s">
        <v>211</v>
      </c>
      <c r="K276" s="364" t="s">
        <v>2556</v>
      </c>
      <c r="L276" s="365" t="s">
        <v>2557</v>
      </c>
      <c r="M276" s="362" t="s">
        <v>2558</v>
      </c>
      <c r="N276" s="421" t="s">
        <v>207</v>
      </c>
      <c r="O276" s="269">
        <v>23.053000000000001</v>
      </c>
      <c r="P276" s="269">
        <v>59.88</v>
      </c>
      <c r="Q276" s="426"/>
      <c r="R276" s="418" t="s">
        <v>884</v>
      </c>
      <c r="S276" s="427" t="s">
        <v>613</v>
      </c>
      <c r="T276" s="357">
        <v>1</v>
      </c>
      <c r="U276" s="357" t="s">
        <v>204</v>
      </c>
      <c r="V276" s="367">
        <v>72000000</v>
      </c>
      <c r="W276" s="368">
        <v>72000000</v>
      </c>
      <c r="X276" s="357"/>
      <c r="Y276" s="357"/>
      <c r="Z276" s="400"/>
      <c r="AA276" s="369"/>
      <c r="AB276" s="370"/>
      <c r="AC276" s="404"/>
      <c r="AD276" s="270"/>
      <c r="AE276" s="156"/>
      <c r="AF276" s="156"/>
      <c r="AG276" s="357"/>
      <c r="AH276" s="357"/>
      <c r="AI276" s="357"/>
      <c r="AJ276" s="156"/>
      <c r="AK276" s="156"/>
      <c r="AL276" s="375"/>
      <c r="AM276" s="405"/>
      <c r="AN276" s="273"/>
      <c r="AO276" s="405"/>
      <c r="AP276" s="273"/>
      <c r="AQ276" s="273"/>
      <c r="AR276" s="273"/>
      <c r="AS276" s="273"/>
      <c r="AT276" s="273"/>
      <c r="AU276" s="273"/>
      <c r="AV276" s="322">
        <f t="shared" si="14"/>
        <v>0</v>
      </c>
      <c r="AW276" s="402" t="s">
        <v>3650</v>
      </c>
      <c r="AX276" s="376">
        <v>45005</v>
      </c>
      <c r="AY276" s="373" t="s">
        <v>3661</v>
      </c>
      <c r="AZ276" s="375"/>
      <c r="BA276" s="375">
        <v>84000000</v>
      </c>
      <c r="BB276" s="375"/>
      <c r="BC276" s="375"/>
      <c r="BD276" s="353">
        <f t="shared" si="15"/>
        <v>84000000</v>
      </c>
      <c r="BE276" s="432" t="s">
        <v>335</v>
      </c>
      <c r="BF276" s="407" t="s">
        <v>3213</v>
      </c>
      <c r="BG276" s="168" t="s">
        <v>619</v>
      </c>
      <c r="BH276" s="274">
        <v>44991</v>
      </c>
      <c r="BI276" s="168" t="s">
        <v>3328</v>
      </c>
      <c r="BJ276" s="274">
        <v>45070</v>
      </c>
      <c r="BK276" s="168">
        <v>72230593</v>
      </c>
      <c r="BL276" s="275"/>
      <c r="BM276" s="276"/>
      <c r="BN276" s="275"/>
      <c r="BO276" s="276"/>
      <c r="BP276" s="277"/>
      <c r="BQ276" s="156">
        <v>84000000</v>
      </c>
      <c r="BR276" s="274">
        <v>45470</v>
      </c>
      <c r="BS276" s="270">
        <v>2</v>
      </c>
      <c r="BT276" s="270" t="s">
        <v>3414</v>
      </c>
      <c r="BU276" s="274">
        <v>45526</v>
      </c>
      <c r="BV276" s="274"/>
      <c r="BW276" s="278">
        <v>75099990</v>
      </c>
      <c r="BX276" s="278">
        <v>67200000</v>
      </c>
      <c r="BY276" s="278"/>
      <c r="BZ276" s="351"/>
    </row>
    <row r="277" spans="1:78" s="90" customFormat="1" ht="19.5" hidden="1" customHeight="1">
      <c r="A277" s="137"/>
      <c r="B277" s="197">
        <f t="shared" si="13"/>
        <v>267</v>
      </c>
      <c r="C277" s="30" t="s">
        <v>206</v>
      </c>
      <c r="D277" s="30" t="s">
        <v>225</v>
      </c>
      <c r="E277" s="234" t="s">
        <v>885</v>
      </c>
      <c r="F277" s="235" t="s">
        <v>1221</v>
      </c>
      <c r="G277" s="284">
        <f>IFERROR(VLOOKUP(E277,Assign!$C$2:$J$142,8,FALSE),)</f>
        <v>0</v>
      </c>
      <c r="H277" s="361" t="s">
        <v>4482</v>
      </c>
      <c r="I277" s="363">
        <v>1</v>
      </c>
      <c r="J277" s="364" t="s">
        <v>223</v>
      </c>
      <c r="K277" s="364" t="s">
        <v>2025</v>
      </c>
      <c r="L277" s="365" t="s">
        <v>2026</v>
      </c>
      <c r="M277" s="362" t="s">
        <v>3118</v>
      </c>
      <c r="N277" s="421" t="s">
        <v>396</v>
      </c>
      <c r="O277" s="269">
        <v>631</v>
      </c>
      <c r="P277" s="269">
        <v>44</v>
      </c>
      <c r="Q277" s="426"/>
      <c r="R277" s="418" t="s">
        <v>3483</v>
      </c>
      <c r="S277" s="427" t="s">
        <v>613</v>
      </c>
      <c r="T277" s="357" t="s">
        <v>268</v>
      </c>
      <c r="U277" s="357" t="s">
        <v>204</v>
      </c>
      <c r="V277" s="367">
        <v>92400000</v>
      </c>
      <c r="W277" s="368">
        <v>92400000</v>
      </c>
      <c r="X277" s="357"/>
      <c r="Y277" s="357"/>
      <c r="Z277" s="400"/>
      <c r="AA277" s="369"/>
      <c r="AB277" s="370"/>
      <c r="AC277" s="404"/>
      <c r="AD277" s="270"/>
      <c r="AE277" s="156"/>
      <c r="AF277" s="156"/>
      <c r="AG277" s="357"/>
      <c r="AH277" s="357"/>
      <c r="AI277" s="357"/>
      <c r="AJ277" s="156"/>
      <c r="AK277" s="156"/>
      <c r="AL277" s="375"/>
      <c r="AM277" s="405"/>
      <c r="AN277" s="273"/>
      <c r="AO277" s="405"/>
      <c r="AP277" s="273"/>
      <c r="AQ277" s="273"/>
      <c r="AR277" s="273"/>
      <c r="AS277" s="273"/>
      <c r="AT277" s="273"/>
      <c r="AU277" s="273"/>
      <c r="AV277" s="322">
        <f t="shared" si="14"/>
        <v>0</v>
      </c>
      <c r="AW277" s="402"/>
      <c r="AX277" s="376"/>
      <c r="AY277" s="373"/>
      <c r="AZ277" s="375"/>
      <c r="BA277" s="375"/>
      <c r="BB277" s="375"/>
      <c r="BC277" s="375"/>
      <c r="BD277" s="353">
        <f t="shared" si="15"/>
        <v>0</v>
      </c>
      <c r="BE277" s="432" t="s">
        <v>355</v>
      </c>
      <c r="BF277" s="407" t="s">
        <v>3212</v>
      </c>
      <c r="BG277" s="168"/>
      <c r="BH277" s="274"/>
      <c r="BI277" s="168"/>
      <c r="BJ277" s="274"/>
      <c r="BK277" s="168"/>
      <c r="BL277" s="275"/>
      <c r="BM277" s="276"/>
      <c r="BN277" s="275"/>
      <c r="BO277" s="276"/>
      <c r="BP277" s="277"/>
      <c r="BQ277" s="156"/>
      <c r="BR277" s="274"/>
      <c r="BS277" s="270"/>
      <c r="BT277" s="270"/>
      <c r="BU277" s="274"/>
      <c r="BV277" s="274"/>
      <c r="BW277" s="278"/>
      <c r="BX277" s="278"/>
      <c r="BY277" s="278"/>
      <c r="BZ277" s="351"/>
    </row>
    <row r="278" spans="1:78" s="90" customFormat="1" ht="19.5" hidden="1" customHeight="1">
      <c r="A278" s="137"/>
      <c r="B278" s="197">
        <f t="shared" si="13"/>
        <v>268</v>
      </c>
      <c r="C278" s="30" t="s">
        <v>206</v>
      </c>
      <c r="D278" s="30" t="s">
        <v>225</v>
      </c>
      <c r="E278" s="234" t="s">
        <v>886</v>
      </c>
      <c r="F278" s="235" t="s">
        <v>1252</v>
      </c>
      <c r="G278" s="284">
        <f>IFERROR(VLOOKUP(E278,Assign!$C$2:$J$142,8,FALSE),)</f>
        <v>0</v>
      </c>
      <c r="H278" s="361" t="s">
        <v>4288</v>
      </c>
      <c r="I278" s="363">
        <v>1</v>
      </c>
      <c r="J278" s="364" t="s">
        <v>208</v>
      </c>
      <c r="K278" s="364" t="s">
        <v>322</v>
      </c>
      <c r="L278" s="365" t="s">
        <v>376</v>
      </c>
      <c r="M278" s="362" t="s">
        <v>1856</v>
      </c>
      <c r="N278" s="421" t="s">
        <v>3386</v>
      </c>
      <c r="O278" s="269">
        <v>6.97</v>
      </c>
      <c r="P278" s="269">
        <v>34.86</v>
      </c>
      <c r="Q278" s="426"/>
      <c r="R278" s="418" t="s">
        <v>886</v>
      </c>
      <c r="S278" s="427" t="s">
        <v>613</v>
      </c>
      <c r="T278" s="357">
        <v>1</v>
      </c>
      <c r="U278" s="357" t="s">
        <v>204</v>
      </c>
      <c r="V278" s="367">
        <v>55200000</v>
      </c>
      <c r="W278" s="368">
        <v>55200000</v>
      </c>
      <c r="X278" s="357"/>
      <c r="Y278" s="357"/>
      <c r="Z278" s="400"/>
      <c r="AA278" s="369"/>
      <c r="AB278" s="370"/>
      <c r="AC278" s="404"/>
      <c r="AD278" s="270"/>
      <c r="AE278" s="156"/>
      <c r="AF278" s="156"/>
      <c r="AG278" s="357"/>
      <c r="AH278" s="357"/>
      <c r="AI278" s="357"/>
      <c r="AJ278" s="156"/>
      <c r="AK278" s="156"/>
      <c r="AL278" s="375"/>
      <c r="AM278" s="405"/>
      <c r="AN278" s="273"/>
      <c r="AO278" s="405"/>
      <c r="AP278" s="273"/>
      <c r="AQ278" s="273"/>
      <c r="AR278" s="273"/>
      <c r="AS278" s="273"/>
      <c r="AT278" s="273"/>
      <c r="AU278" s="273"/>
      <c r="AV278" s="322">
        <f t="shared" si="14"/>
        <v>0</v>
      </c>
      <c r="AW278" s="402"/>
      <c r="AX278" s="376"/>
      <c r="AY278" s="373"/>
      <c r="AZ278" s="375"/>
      <c r="BA278" s="375"/>
      <c r="BB278" s="375"/>
      <c r="BC278" s="375"/>
      <c r="BD278" s="353">
        <f t="shared" si="15"/>
        <v>0</v>
      </c>
      <c r="BE278" s="432" t="s">
        <v>355</v>
      </c>
      <c r="BF278" s="407" t="s">
        <v>502</v>
      </c>
      <c r="BG278" s="168"/>
      <c r="BH278" s="274"/>
      <c r="BI278" s="168"/>
      <c r="BJ278" s="274"/>
      <c r="BK278" s="168"/>
      <c r="BL278" s="275"/>
      <c r="BM278" s="276"/>
      <c r="BN278" s="275"/>
      <c r="BO278" s="276"/>
      <c r="BP278" s="277"/>
      <c r="BQ278" s="156"/>
      <c r="BR278" s="274"/>
      <c r="BS278" s="270"/>
      <c r="BT278" s="270"/>
      <c r="BU278" s="274"/>
      <c r="BV278" s="274"/>
      <c r="BW278" s="278"/>
      <c r="BX278" s="278"/>
      <c r="BY278" s="278"/>
      <c r="BZ278" s="351"/>
    </row>
    <row r="279" spans="1:78" s="90" customFormat="1" ht="19.5" hidden="1" customHeight="1">
      <c r="A279" s="137"/>
      <c r="B279" s="197">
        <f t="shared" si="13"/>
        <v>269</v>
      </c>
      <c r="C279" s="30" t="s">
        <v>206</v>
      </c>
      <c r="D279" s="30" t="s">
        <v>225</v>
      </c>
      <c r="E279" s="234" t="s">
        <v>887</v>
      </c>
      <c r="F279" s="235" t="s">
        <v>1225</v>
      </c>
      <c r="G279" s="284">
        <f>IFERROR(VLOOKUP(E279,Assign!$C$2:$J$142,8,FALSE),)</f>
        <v>0</v>
      </c>
      <c r="H279" s="361" t="s">
        <v>4955</v>
      </c>
      <c r="I279" s="363">
        <v>1</v>
      </c>
      <c r="J279" s="364" t="s">
        <v>212</v>
      </c>
      <c r="K279" s="364" t="s">
        <v>289</v>
      </c>
      <c r="L279" s="365" t="s">
        <v>2474</v>
      </c>
      <c r="M279" s="362" t="s">
        <v>2475</v>
      </c>
      <c r="N279" s="421" t="s">
        <v>606</v>
      </c>
      <c r="O279" s="269">
        <v>30</v>
      </c>
      <c r="P279" s="269">
        <v>59.93</v>
      </c>
      <c r="Q279" s="426"/>
      <c r="R279" s="418" t="s">
        <v>887</v>
      </c>
      <c r="S279" s="427" t="s">
        <v>613</v>
      </c>
      <c r="T279" s="357">
        <v>1</v>
      </c>
      <c r="U279" s="357" t="s">
        <v>204</v>
      </c>
      <c r="V279" s="367">
        <v>60000000</v>
      </c>
      <c r="W279" s="368">
        <v>60000000</v>
      </c>
      <c r="X279" s="357"/>
      <c r="Y279" s="357"/>
      <c r="Z279" s="400"/>
      <c r="AA279" s="369"/>
      <c r="AB279" s="370"/>
      <c r="AC279" s="404"/>
      <c r="AD279" s="270"/>
      <c r="AE279" s="156"/>
      <c r="AF279" s="156"/>
      <c r="AG279" s="357"/>
      <c r="AH279" s="357"/>
      <c r="AI279" s="357"/>
      <c r="AJ279" s="156"/>
      <c r="AK279" s="156"/>
      <c r="AL279" s="375"/>
      <c r="AM279" s="405"/>
      <c r="AN279" s="273"/>
      <c r="AO279" s="405"/>
      <c r="AP279" s="273"/>
      <c r="AQ279" s="273"/>
      <c r="AR279" s="273"/>
      <c r="AS279" s="273"/>
      <c r="AT279" s="273"/>
      <c r="AU279" s="273"/>
      <c r="AV279" s="322">
        <f t="shared" si="14"/>
        <v>0</v>
      </c>
      <c r="AW279" s="402"/>
      <c r="AX279" s="376"/>
      <c r="AY279" s="373"/>
      <c r="AZ279" s="375"/>
      <c r="BA279" s="375"/>
      <c r="BB279" s="375"/>
      <c r="BC279" s="375"/>
      <c r="BD279" s="353">
        <f t="shared" si="15"/>
        <v>0</v>
      </c>
      <c r="BE279" s="432" t="s">
        <v>355</v>
      </c>
      <c r="BF279" s="407" t="s">
        <v>203</v>
      </c>
      <c r="BG279" s="168"/>
      <c r="BH279" s="274"/>
      <c r="BI279" s="168"/>
      <c r="BJ279" s="274"/>
      <c r="BK279" s="168"/>
      <c r="BL279" s="275"/>
      <c r="BM279" s="276"/>
      <c r="BN279" s="275"/>
      <c r="BO279" s="276"/>
      <c r="BP279" s="277"/>
      <c r="BQ279" s="156"/>
      <c r="BR279" s="274"/>
      <c r="BS279" s="270"/>
      <c r="BT279" s="270"/>
      <c r="BU279" s="274"/>
      <c r="BV279" s="274"/>
      <c r="BW279" s="278"/>
      <c r="BX279" s="278"/>
      <c r="BY279" s="278"/>
      <c r="BZ279" s="351"/>
    </row>
    <row r="280" spans="1:78" s="90" customFormat="1" ht="19.5" hidden="1" customHeight="1">
      <c r="A280" s="137"/>
      <c r="B280" s="197">
        <f t="shared" si="13"/>
        <v>270</v>
      </c>
      <c r="C280" s="30" t="s">
        <v>206</v>
      </c>
      <c r="D280" s="30" t="s">
        <v>225</v>
      </c>
      <c r="E280" s="234" t="s">
        <v>888</v>
      </c>
      <c r="F280" s="235" t="s">
        <v>1217</v>
      </c>
      <c r="G280" s="284">
        <f>IFERROR(VLOOKUP(E280,Assign!$C$2:$J$142,8,FALSE),)</f>
        <v>0</v>
      </c>
      <c r="H280" s="361" t="s">
        <v>4911</v>
      </c>
      <c r="I280" s="363">
        <v>1</v>
      </c>
      <c r="J280" s="364" t="s">
        <v>208</v>
      </c>
      <c r="K280" s="364" t="s">
        <v>402</v>
      </c>
      <c r="L280" s="365" t="s">
        <v>2429</v>
      </c>
      <c r="M280" s="362" t="s">
        <v>2430</v>
      </c>
      <c r="N280" s="421" t="s">
        <v>207</v>
      </c>
      <c r="O280" s="269">
        <v>52.57</v>
      </c>
      <c r="P280" s="269">
        <v>57.15</v>
      </c>
      <c r="Q280" s="426"/>
      <c r="R280" s="418" t="s">
        <v>888</v>
      </c>
      <c r="S280" s="427" t="s">
        <v>613</v>
      </c>
      <c r="T280" s="357">
        <v>1</v>
      </c>
      <c r="U280" s="357" t="s">
        <v>204</v>
      </c>
      <c r="V280" s="367">
        <v>62400000</v>
      </c>
      <c r="W280" s="368">
        <v>62400000</v>
      </c>
      <c r="X280" s="357"/>
      <c r="Y280" s="357"/>
      <c r="Z280" s="400"/>
      <c r="AA280" s="369"/>
      <c r="AB280" s="370"/>
      <c r="AC280" s="404"/>
      <c r="AD280" s="270"/>
      <c r="AE280" s="156"/>
      <c r="AF280" s="156"/>
      <c r="AG280" s="357"/>
      <c r="AH280" s="357"/>
      <c r="AI280" s="357"/>
      <c r="AJ280" s="156"/>
      <c r="AK280" s="156"/>
      <c r="AL280" s="375"/>
      <c r="AM280" s="405"/>
      <c r="AN280" s="273"/>
      <c r="AO280" s="405"/>
      <c r="AP280" s="273"/>
      <c r="AQ280" s="273"/>
      <c r="AR280" s="273"/>
      <c r="AS280" s="273"/>
      <c r="AT280" s="273"/>
      <c r="AU280" s="273"/>
      <c r="AV280" s="322">
        <f t="shared" si="14"/>
        <v>0</v>
      </c>
      <c r="AW280" s="402" t="s">
        <v>3387</v>
      </c>
      <c r="AX280" s="376">
        <v>45765</v>
      </c>
      <c r="AY280" s="373" t="s">
        <v>3388</v>
      </c>
      <c r="AZ280" s="375"/>
      <c r="BA280" s="375">
        <v>75000000</v>
      </c>
      <c r="BB280" s="375"/>
      <c r="BC280" s="375"/>
      <c r="BD280" s="353">
        <f t="shared" si="15"/>
        <v>75000000</v>
      </c>
      <c r="BE280" s="432" t="s">
        <v>355</v>
      </c>
      <c r="BF280" s="407" t="s">
        <v>525</v>
      </c>
      <c r="BG280" s="168"/>
      <c r="BH280" s="274"/>
      <c r="BI280" s="168"/>
      <c r="BJ280" s="274"/>
      <c r="BK280" s="168"/>
      <c r="BL280" s="275"/>
      <c r="BM280" s="276"/>
      <c r="BN280" s="275"/>
      <c r="BO280" s="276"/>
      <c r="BP280" s="277"/>
      <c r="BQ280" s="156"/>
      <c r="BR280" s="274"/>
      <c r="BS280" s="270"/>
      <c r="BT280" s="270"/>
      <c r="BU280" s="274"/>
      <c r="BV280" s="274"/>
      <c r="BW280" s="278"/>
      <c r="BX280" s="278"/>
      <c r="BY280" s="278"/>
      <c r="BZ280" s="351"/>
    </row>
    <row r="281" spans="1:78" s="90" customFormat="1" ht="19.5" hidden="1" customHeight="1">
      <c r="A281" s="137"/>
      <c r="B281" s="197">
        <f t="shared" si="13"/>
        <v>271</v>
      </c>
      <c r="C281" s="30" t="s">
        <v>206</v>
      </c>
      <c r="D281" s="30" t="s">
        <v>225</v>
      </c>
      <c r="E281" s="234" t="s">
        <v>889</v>
      </c>
      <c r="F281" s="235" t="s">
        <v>1225</v>
      </c>
      <c r="G281" s="284">
        <f>IFERROR(VLOOKUP(E281,Assign!$C$2:$J$142,8,FALSE),)</f>
        <v>0</v>
      </c>
      <c r="H281" s="361" t="s">
        <v>4539</v>
      </c>
      <c r="I281" s="363">
        <v>1</v>
      </c>
      <c r="J281" s="364" t="s">
        <v>209</v>
      </c>
      <c r="K281" s="364" t="s">
        <v>295</v>
      </c>
      <c r="L281" s="365" t="s">
        <v>2078</v>
      </c>
      <c r="M281" s="362" t="s">
        <v>2079</v>
      </c>
      <c r="N281" s="421" t="s">
        <v>606</v>
      </c>
      <c r="O281" s="269">
        <v>33.68</v>
      </c>
      <c r="P281" s="269">
        <v>69.260000000000005</v>
      </c>
      <c r="Q281" s="426"/>
      <c r="R281" s="418" t="s">
        <v>3417</v>
      </c>
      <c r="S281" s="427" t="s">
        <v>613</v>
      </c>
      <c r="T281" s="357">
        <v>1</v>
      </c>
      <c r="U281" s="357" t="s">
        <v>204</v>
      </c>
      <c r="V281" s="367">
        <v>72000000</v>
      </c>
      <c r="W281" s="368">
        <v>72000000</v>
      </c>
      <c r="X281" s="357"/>
      <c r="Y281" s="357"/>
      <c r="Z281" s="400"/>
      <c r="AA281" s="369"/>
      <c r="AB281" s="370"/>
      <c r="AC281" s="404"/>
      <c r="AD281" s="270"/>
      <c r="AE281" s="156"/>
      <c r="AF281" s="156"/>
      <c r="AG281" s="357"/>
      <c r="AH281" s="357"/>
      <c r="AI281" s="357"/>
      <c r="AJ281" s="156"/>
      <c r="AK281" s="156"/>
      <c r="AL281" s="375"/>
      <c r="AM281" s="405"/>
      <c r="AN281" s="273"/>
      <c r="AO281" s="405"/>
      <c r="AP281" s="273"/>
      <c r="AQ281" s="273"/>
      <c r="AR281" s="273"/>
      <c r="AS281" s="273"/>
      <c r="AT281" s="273"/>
      <c r="AU281" s="273"/>
      <c r="AV281" s="322">
        <f t="shared" si="14"/>
        <v>0</v>
      </c>
      <c r="AW281" s="402"/>
      <c r="AX281" s="376"/>
      <c r="AY281" s="373"/>
      <c r="AZ281" s="375"/>
      <c r="BA281" s="375"/>
      <c r="BB281" s="375"/>
      <c r="BC281" s="375"/>
      <c r="BD281" s="353">
        <f t="shared" si="15"/>
        <v>0</v>
      </c>
      <c r="BE281" s="432" t="s">
        <v>355</v>
      </c>
      <c r="BF281" s="407" t="s">
        <v>497</v>
      </c>
      <c r="BG281" s="168"/>
      <c r="BH281" s="274"/>
      <c r="BI281" s="168"/>
      <c r="BJ281" s="274"/>
      <c r="BK281" s="168"/>
      <c r="BL281" s="275"/>
      <c r="BM281" s="276"/>
      <c r="BN281" s="275"/>
      <c r="BO281" s="276"/>
      <c r="BP281" s="277"/>
      <c r="BQ281" s="156"/>
      <c r="BR281" s="274"/>
      <c r="BS281" s="270"/>
      <c r="BT281" s="270"/>
      <c r="BU281" s="274"/>
      <c r="BV281" s="274"/>
      <c r="BW281" s="278"/>
      <c r="BX281" s="278"/>
      <c r="BY281" s="278"/>
      <c r="BZ281" s="351"/>
    </row>
    <row r="282" spans="1:78" s="90" customFormat="1" ht="19.5" hidden="1" customHeight="1">
      <c r="A282" s="137"/>
      <c r="B282" s="197">
        <f t="shared" si="13"/>
        <v>272</v>
      </c>
      <c r="C282" s="30" t="s">
        <v>206</v>
      </c>
      <c r="D282" s="30" t="s">
        <v>225</v>
      </c>
      <c r="E282" s="234" t="s">
        <v>890</v>
      </c>
      <c r="F282" s="235" t="s">
        <v>1229</v>
      </c>
      <c r="G282" s="284">
        <f>IFERROR(VLOOKUP(E282,Assign!$C$2:$J$142,8,FALSE),)</f>
        <v>0</v>
      </c>
      <c r="H282" s="361" t="s">
        <v>3912</v>
      </c>
      <c r="I282" s="363">
        <v>1</v>
      </c>
      <c r="J282" s="364" t="s">
        <v>208</v>
      </c>
      <c r="K282" s="364" t="s">
        <v>271</v>
      </c>
      <c r="L282" s="365" t="s">
        <v>1482</v>
      </c>
      <c r="M282" s="362" t="s">
        <v>1483</v>
      </c>
      <c r="N282" s="421" t="s">
        <v>3074</v>
      </c>
      <c r="O282" s="269">
        <v>8.1547000000000001</v>
      </c>
      <c r="P282" s="269">
        <v>16.146599999999999</v>
      </c>
      <c r="Q282" s="426"/>
      <c r="R282" s="418" t="s">
        <v>890</v>
      </c>
      <c r="S282" s="427" t="s">
        <v>613</v>
      </c>
      <c r="T282" s="357">
        <v>1</v>
      </c>
      <c r="U282" s="357" t="s">
        <v>204</v>
      </c>
      <c r="V282" s="367">
        <v>57600000</v>
      </c>
      <c r="W282" s="368">
        <v>57600000</v>
      </c>
      <c r="X282" s="357"/>
      <c r="Y282" s="357"/>
      <c r="Z282" s="400"/>
      <c r="AA282" s="369"/>
      <c r="AB282" s="370"/>
      <c r="AC282" s="404"/>
      <c r="AD282" s="270"/>
      <c r="AE282" s="156"/>
      <c r="AF282" s="156"/>
      <c r="AG282" s="357"/>
      <c r="AH282" s="357"/>
      <c r="AI282" s="357"/>
      <c r="AJ282" s="156"/>
      <c r="AK282" s="156"/>
      <c r="AL282" s="375"/>
      <c r="AM282" s="405"/>
      <c r="AN282" s="273"/>
      <c r="AO282" s="405"/>
      <c r="AP282" s="273"/>
      <c r="AQ282" s="273"/>
      <c r="AR282" s="273"/>
      <c r="AS282" s="273"/>
      <c r="AT282" s="273"/>
      <c r="AU282" s="273"/>
      <c r="AV282" s="322">
        <f t="shared" si="14"/>
        <v>0</v>
      </c>
      <c r="AW282" s="402"/>
      <c r="AX282" s="376"/>
      <c r="AY282" s="373"/>
      <c r="AZ282" s="375"/>
      <c r="BA282" s="375"/>
      <c r="BB282" s="375"/>
      <c r="BC282" s="375"/>
      <c r="BD282" s="353">
        <f t="shared" si="15"/>
        <v>0</v>
      </c>
      <c r="BE282" s="432" t="s">
        <v>355</v>
      </c>
      <c r="BF282" s="407" t="s">
        <v>424</v>
      </c>
      <c r="BG282" s="168"/>
      <c r="BH282" s="274"/>
      <c r="BI282" s="168"/>
      <c r="BJ282" s="274"/>
      <c r="BK282" s="168"/>
      <c r="BL282" s="275"/>
      <c r="BM282" s="276"/>
      <c r="BN282" s="275"/>
      <c r="BO282" s="276"/>
      <c r="BP282" s="277"/>
      <c r="BQ282" s="156"/>
      <c r="BR282" s="274"/>
      <c r="BS282" s="270"/>
      <c r="BT282" s="270"/>
      <c r="BU282" s="274"/>
      <c r="BV282" s="274"/>
      <c r="BW282" s="278"/>
      <c r="BX282" s="278"/>
      <c r="BY282" s="278"/>
      <c r="BZ282" s="351"/>
    </row>
    <row r="283" spans="1:78" s="90" customFormat="1" ht="19.5" hidden="1" customHeight="1">
      <c r="A283" s="137"/>
      <c r="B283" s="197">
        <f t="shared" si="13"/>
        <v>273</v>
      </c>
      <c r="C283" s="30" t="s">
        <v>206</v>
      </c>
      <c r="D283" s="30" t="s">
        <v>225</v>
      </c>
      <c r="E283" s="234" t="s">
        <v>891</v>
      </c>
      <c r="F283" s="235" t="s">
        <v>1220</v>
      </c>
      <c r="G283" s="284">
        <f>IFERROR(VLOOKUP(E283,Assign!$C$2:$J$142,8,FALSE),)</f>
        <v>0</v>
      </c>
      <c r="H283" s="361" t="s">
        <v>4785</v>
      </c>
      <c r="I283" s="363">
        <v>1</v>
      </c>
      <c r="J283" s="364" t="s">
        <v>222</v>
      </c>
      <c r="K283" s="364" t="s">
        <v>337</v>
      </c>
      <c r="L283" s="365" t="s">
        <v>2313</v>
      </c>
      <c r="M283" s="362" t="s">
        <v>2314</v>
      </c>
      <c r="N283" s="421" t="s">
        <v>207</v>
      </c>
      <c r="O283" s="269">
        <v>3.1728999999999998</v>
      </c>
      <c r="P283" s="269">
        <v>15.169700000000001</v>
      </c>
      <c r="Q283" s="426"/>
      <c r="R283" s="418" t="s">
        <v>891</v>
      </c>
      <c r="S283" s="427" t="s">
        <v>613</v>
      </c>
      <c r="T283" s="357">
        <v>1</v>
      </c>
      <c r="U283" s="357" t="s">
        <v>204</v>
      </c>
      <c r="V283" s="367">
        <v>49680000</v>
      </c>
      <c r="W283" s="368">
        <v>49680000</v>
      </c>
      <c r="X283" s="357"/>
      <c r="Y283" s="357"/>
      <c r="Z283" s="400"/>
      <c r="AA283" s="369"/>
      <c r="AB283" s="370"/>
      <c r="AC283" s="404"/>
      <c r="AD283" s="270"/>
      <c r="AE283" s="156"/>
      <c r="AF283" s="156"/>
      <c r="AG283" s="357"/>
      <c r="AH283" s="357"/>
      <c r="AI283" s="357"/>
      <c r="AJ283" s="156"/>
      <c r="AK283" s="156"/>
      <c r="AL283" s="375"/>
      <c r="AM283" s="405"/>
      <c r="AN283" s="273"/>
      <c r="AO283" s="405"/>
      <c r="AP283" s="273"/>
      <c r="AQ283" s="273"/>
      <c r="AR283" s="273"/>
      <c r="AS283" s="273"/>
      <c r="AT283" s="273"/>
      <c r="AU283" s="273"/>
      <c r="AV283" s="322">
        <f t="shared" si="14"/>
        <v>0</v>
      </c>
      <c r="AW283" s="402" t="s">
        <v>3387</v>
      </c>
      <c r="AX283" s="376">
        <v>45765</v>
      </c>
      <c r="AY283" s="373" t="s">
        <v>3388</v>
      </c>
      <c r="AZ283" s="375"/>
      <c r="BA283" s="375">
        <v>60000000</v>
      </c>
      <c r="BB283" s="375"/>
      <c r="BC283" s="375"/>
      <c r="BD283" s="353">
        <f t="shared" si="15"/>
        <v>60000000</v>
      </c>
      <c r="BE283" s="432" t="s">
        <v>355</v>
      </c>
      <c r="BF283" s="407" t="s">
        <v>494</v>
      </c>
      <c r="BG283" s="168"/>
      <c r="BH283" s="274"/>
      <c r="BI283" s="168"/>
      <c r="BJ283" s="274"/>
      <c r="BK283" s="168"/>
      <c r="BL283" s="275"/>
      <c r="BM283" s="276"/>
      <c r="BN283" s="275"/>
      <c r="BO283" s="276"/>
      <c r="BP283" s="277"/>
      <c r="BQ283" s="156"/>
      <c r="BR283" s="274"/>
      <c r="BS283" s="270"/>
      <c r="BT283" s="270"/>
      <c r="BU283" s="274"/>
      <c r="BV283" s="274"/>
      <c r="BW283" s="278"/>
      <c r="BX283" s="278"/>
      <c r="BY283" s="278"/>
      <c r="BZ283" s="351"/>
    </row>
    <row r="284" spans="1:78" s="90" customFormat="1" ht="19.5" hidden="1" customHeight="1">
      <c r="A284" s="137"/>
      <c r="B284" s="197">
        <f t="shared" si="13"/>
        <v>274</v>
      </c>
      <c r="C284" s="30" t="s">
        <v>206</v>
      </c>
      <c r="D284" s="30" t="s">
        <v>225</v>
      </c>
      <c r="E284" s="234" t="s">
        <v>892</v>
      </c>
      <c r="F284" s="235" t="s">
        <v>1267</v>
      </c>
      <c r="G284" s="284">
        <f>IFERROR(VLOOKUP(E284,Assign!$C$2:$J$142,8,FALSE),)</f>
        <v>0</v>
      </c>
      <c r="H284" s="361" t="s">
        <v>4497</v>
      </c>
      <c r="I284" s="363">
        <v>1</v>
      </c>
      <c r="J284" s="364" t="s">
        <v>221</v>
      </c>
      <c r="K284" s="364" t="s">
        <v>405</v>
      </c>
      <c r="L284" s="365" t="s">
        <v>2041</v>
      </c>
      <c r="M284" s="362" t="s">
        <v>2042</v>
      </c>
      <c r="N284" s="421" t="s">
        <v>207</v>
      </c>
      <c r="O284" s="269">
        <v>51.731000000000002</v>
      </c>
      <c r="P284" s="269">
        <v>84.87</v>
      </c>
      <c r="Q284" s="426"/>
      <c r="R284" s="418" t="s">
        <v>892</v>
      </c>
      <c r="S284" s="427" t="s">
        <v>613</v>
      </c>
      <c r="T284" s="357">
        <v>2</v>
      </c>
      <c r="U284" s="357" t="s">
        <v>204</v>
      </c>
      <c r="V284" s="367">
        <v>47300000</v>
      </c>
      <c r="W284" s="368">
        <v>47300000</v>
      </c>
      <c r="X284" s="357"/>
      <c r="Y284" s="357"/>
      <c r="Z284" s="400"/>
      <c r="AA284" s="369"/>
      <c r="AB284" s="370"/>
      <c r="AC284" s="404">
        <v>1</v>
      </c>
      <c r="AD284" s="270" t="s">
        <v>204</v>
      </c>
      <c r="AE284" s="156">
        <v>22000000</v>
      </c>
      <c r="AF284" s="156">
        <v>22000000</v>
      </c>
      <c r="AG284" s="357"/>
      <c r="AH284" s="357"/>
      <c r="AI284" s="357"/>
      <c r="AJ284" s="156"/>
      <c r="AK284" s="156"/>
      <c r="AL284" s="375"/>
      <c r="AM284" s="405"/>
      <c r="AN284" s="273"/>
      <c r="AO284" s="405"/>
      <c r="AP284" s="273"/>
      <c r="AQ284" s="273"/>
      <c r="AR284" s="273"/>
      <c r="AS284" s="273"/>
      <c r="AT284" s="273"/>
      <c r="AU284" s="273"/>
      <c r="AV284" s="322">
        <f t="shared" si="14"/>
        <v>0</v>
      </c>
      <c r="AW284" s="402" t="s">
        <v>3387</v>
      </c>
      <c r="AX284" s="376">
        <v>45765</v>
      </c>
      <c r="AY284" s="373" t="s">
        <v>3388</v>
      </c>
      <c r="AZ284" s="375"/>
      <c r="BA284" s="375">
        <v>94000000</v>
      </c>
      <c r="BB284" s="375"/>
      <c r="BC284" s="375"/>
      <c r="BD284" s="353">
        <f t="shared" si="15"/>
        <v>94000000</v>
      </c>
      <c r="BE284" s="432" t="s">
        <v>355</v>
      </c>
      <c r="BF284" s="407" t="s">
        <v>513</v>
      </c>
      <c r="BG284" s="168"/>
      <c r="BH284" s="274"/>
      <c r="BI284" s="168"/>
      <c r="BJ284" s="274"/>
      <c r="BK284" s="168"/>
      <c r="BL284" s="275"/>
      <c r="BM284" s="276"/>
      <c r="BN284" s="275"/>
      <c r="BO284" s="276"/>
      <c r="BP284" s="277"/>
      <c r="BQ284" s="156"/>
      <c r="BR284" s="274"/>
      <c r="BS284" s="270"/>
      <c r="BT284" s="270"/>
      <c r="BU284" s="274"/>
      <c r="BV284" s="274"/>
      <c r="BW284" s="278"/>
      <c r="BX284" s="278"/>
      <c r="BY284" s="278"/>
      <c r="BZ284" s="351"/>
    </row>
    <row r="285" spans="1:78" s="90" customFormat="1" ht="19.5" hidden="1" customHeight="1">
      <c r="A285" s="137"/>
      <c r="B285" s="197">
        <f t="shared" si="13"/>
        <v>275</v>
      </c>
      <c r="C285" s="30" t="s">
        <v>206</v>
      </c>
      <c r="D285" s="30" t="s">
        <v>225</v>
      </c>
      <c r="E285" s="234" t="s">
        <v>893</v>
      </c>
      <c r="F285" s="235" t="s">
        <v>1229</v>
      </c>
      <c r="G285" s="284">
        <f>IFERROR(VLOOKUP(E285,Assign!$C$2:$J$142,8,FALSE),)</f>
        <v>0</v>
      </c>
      <c r="H285" s="361" t="s">
        <v>4456</v>
      </c>
      <c r="I285" s="363">
        <v>1</v>
      </c>
      <c r="J285" s="364" t="s">
        <v>209</v>
      </c>
      <c r="K285" s="364" t="s">
        <v>380</v>
      </c>
      <c r="L285" s="365" t="s">
        <v>1597</v>
      </c>
      <c r="M285" s="362" t="s">
        <v>2002</v>
      </c>
      <c r="N285" s="421" t="s">
        <v>207</v>
      </c>
      <c r="O285" s="269">
        <v>23.117000000000001</v>
      </c>
      <c r="P285" s="269">
        <v>84.77</v>
      </c>
      <c r="Q285" s="426"/>
      <c r="R285" s="418" t="s">
        <v>893</v>
      </c>
      <c r="S285" s="427" t="s">
        <v>613</v>
      </c>
      <c r="T285" s="357">
        <v>1</v>
      </c>
      <c r="U285" s="357" t="s">
        <v>204</v>
      </c>
      <c r="V285" s="367">
        <v>60000000</v>
      </c>
      <c r="W285" s="368">
        <v>60000000</v>
      </c>
      <c r="X285" s="357"/>
      <c r="Y285" s="357"/>
      <c r="Z285" s="400"/>
      <c r="AA285" s="369"/>
      <c r="AB285" s="370"/>
      <c r="AC285" s="404"/>
      <c r="AD285" s="270"/>
      <c r="AE285" s="156"/>
      <c r="AF285" s="156"/>
      <c r="AG285" s="357"/>
      <c r="AH285" s="357"/>
      <c r="AI285" s="357"/>
      <c r="AJ285" s="156"/>
      <c r="AK285" s="156"/>
      <c r="AL285" s="375"/>
      <c r="AM285" s="405"/>
      <c r="AN285" s="273"/>
      <c r="AO285" s="405"/>
      <c r="AP285" s="273"/>
      <c r="AQ285" s="273"/>
      <c r="AR285" s="273"/>
      <c r="AS285" s="273"/>
      <c r="AT285" s="273"/>
      <c r="AU285" s="273"/>
      <c r="AV285" s="322">
        <f t="shared" si="14"/>
        <v>0</v>
      </c>
      <c r="AW285" s="402" t="s">
        <v>3387</v>
      </c>
      <c r="AX285" s="376">
        <v>45765</v>
      </c>
      <c r="AY285" s="373" t="s">
        <v>3388</v>
      </c>
      <c r="AZ285" s="375"/>
      <c r="BA285" s="375">
        <v>725000000</v>
      </c>
      <c r="BB285" s="375"/>
      <c r="BC285" s="375"/>
      <c r="BD285" s="353">
        <f t="shared" si="15"/>
        <v>725000000</v>
      </c>
      <c r="BE285" s="432" t="s">
        <v>335</v>
      </c>
      <c r="BF285" s="407" t="s">
        <v>510</v>
      </c>
      <c r="BG285" s="168" t="s">
        <v>3302</v>
      </c>
      <c r="BH285" s="274">
        <v>45532</v>
      </c>
      <c r="BI285" s="168" t="s">
        <v>3220</v>
      </c>
      <c r="BJ285" s="274">
        <v>45607</v>
      </c>
      <c r="BK285" s="168">
        <v>130000000</v>
      </c>
      <c r="BL285" s="275"/>
      <c r="BM285" s="276"/>
      <c r="BN285" s="275"/>
      <c r="BO285" s="276"/>
      <c r="BP285" s="277"/>
      <c r="BQ285" s="156"/>
      <c r="BR285" s="274"/>
      <c r="BS285" s="270"/>
      <c r="BT285" s="270"/>
      <c r="BU285" s="274"/>
      <c r="BV285" s="274"/>
      <c r="BW285" s="278"/>
      <c r="BX285" s="278"/>
      <c r="BY285" s="278"/>
      <c r="BZ285" s="351"/>
    </row>
    <row r="286" spans="1:78" s="90" customFormat="1" ht="19.5" hidden="1" customHeight="1">
      <c r="A286" s="137"/>
      <c r="B286" s="197">
        <f t="shared" si="13"/>
        <v>276</v>
      </c>
      <c r="C286" s="30" t="s">
        <v>206</v>
      </c>
      <c r="D286" s="30" t="s">
        <v>225</v>
      </c>
      <c r="E286" s="234" t="s">
        <v>894</v>
      </c>
      <c r="F286" s="235" t="s">
        <v>1268</v>
      </c>
      <c r="G286" s="284">
        <f>IFERROR(VLOOKUP(E286,Assign!$C$2:$J$142,8,FALSE),)</f>
        <v>0</v>
      </c>
      <c r="H286" s="361" t="s">
        <v>4114</v>
      </c>
      <c r="I286" s="363">
        <v>1</v>
      </c>
      <c r="J286" s="364" t="s">
        <v>208</v>
      </c>
      <c r="K286" s="364" t="s">
        <v>261</v>
      </c>
      <c r="L286" s="365" t="s">
        <v>1689</v>
      </c>
      <c r="M286" s="362" t="s">
        <v>1690</v>
      </c>
      <c r="N286" s="421" t="s">
        <v>207</v>
      </c>
      <c r="O286" s="269">
        <v>35.948</v>
      </c>
      <c r="P286" s="269">
        <v>58.62</v>
      </c>
      <c r="Q286" s="426"/>
      <c r="R286" s="418" t="s">
        <v>894</v>
      </c>
      <c r="S286" s="427" t="s">
        <v>613</v>
      </c>
      <c r="T286" s="357">
        <v>1</v>
      </c>
      <c r="U286" s="357" t="s">
        <v>204</v>
      </c>
      <c r="V286" s="367">
        <v>70800000</v>
      </c>
      <c r="W286" s="368">
        <v>70800000</v>
      </c>
      <c r="X286" s="357"/>
      <c r="Y286" s="357"/>
      <c r="Z286" s="400"/>
      <c r="AA286" s="369"/>
      <c r="AB286" s="370"/>
      <c r="AC286" s="404"/>
      <c r="AD286" s="270"/>
      <c r="AE286" s="156"/>
      <c r="AF286" s="156"/>
      <c r="AG286" s="357"/>
      <c r="AH286" s="357"/>
      <c r="AI286" s="357"/>
      <c r="AJ286" s="156"/>
      <c r="AK286" s="156"/>
      <c r="AL286" s="375"/>
      <c r="AM286" s="405"/>
      <c r="AN286" s="273"/>
      <c r="AO286" s="405"/>
      <c r="AP286" s="273"/>
      <c r="AQ286" s="273"/>
      <c r="AR286" s="273"/>
      <c r="AS286" s="273"/>
      <c r="AT286" s="273"/>
      <c r="AU286" s="273"/>
      <c r="AV286" s="322">
        <f t="shared" si="14"/>
        <v>0</v>
      </c>
      <c r="AW286" s="402" t="s">
        <v>3387</v>
      </c>
      <c r="AX286" s="376">
        <v>45765</v>
      </c>
      <c r="AY286" s="373" t="s">
        <v>3388</v>
      </c>
      <c r="AZ286" s="375"/>
      <c r="BA286" s="375">
        <v>90000000</v>
      </c>
      <c r="BB286" s="375"/>
      <c r="BC286" s="375"/>
      <c r="BD286" s="353">
        <f t="shared" si="15"/>
        <v>90000000</v>
      </c>
      <c r="BE286" s="432" t="s">
        <v>355</v>
      </c>
      <c r="BF286" s="407" t="s">
        <v>499</v>
      </c>
      <c r="BG286" s="168"/>
      <c r="BH286" s="274"/>
      <c r="BI286" s="168"/>
      <c r="BJ286" s="274"/>
      <c r="BK286" s="168"/>
      <c r="BL286" s="275"/>
      <c r="BM286" s="276"/>
      <c r="BN286" s="275"/>
      <c r="BO286" s="276"/>
      <c r="BP286" s="277"/>
      <c r="BQ286" s="156"/>
      <c r="BR286" s="274"/>
      <c r="BS286" s="270"/>
      <c r="BT286" s="270"/>
      <c r="BU286" s="274"/>
      <c r="BV286" s="274"/>
      <c r="BW286" s="278"/>
      <c r="BX286" s="278"/>
      <c r="BY286" s="278"/>
      <c r="BZ286" s="351"/>
    </row>
    <row r="287" spans="1:78" s="90" customFormat="1" ht="19.5" customHeight="1">
      <c r="A287" s="137"/>
      <c r="B287" s="197">
        <f t="shared" si="13"/>
        <v>277</v>
      </c>
      <c r="C287" s="30" t="s">
        <v>206</v>
      </c>
      <c r="D287" s="30" t="s">
        <v>225</v>
      </c>
      <c r="E287" s="234" t="s">
        <v>895</v>
      </c>
      <c r="F287" s="235" t="s">
        <v>1225</v>
      </c>
      <c r="G287" s="284" t="str">
        <f>IFERROR(VLOOKUP(E287,Assign!$C$2:$J$142,8,FALSE),)</f>
        <v>문선영</v>
      </c>
      <c r="H287" s="361" t="s">
        <v>4266</v>
      </c>
      <c r="I287" s="363">
        <v>1</v>
      </c>
      <c r="J287" s="364" t="s">
        <v>213</v>
      </c>
      <c r="K287" s="364" t="s">
        <v>426</v>
      </c>
      <c r="L287" s="365" t="s">
        <v>1835</v>
      </c>
      <c r="M287" s="362" t="s">
        <v>1836</v>
      </c>
      <c r="N287" s="421" t="s">
        <v>207</v>
      </c>
      <c r="O287" s="269">
        <v>49.237200000000001</v>
      </c>
      <c r="P287" s="269">
        <v>59.898600000000002</v>
      </c>
      <c r="Q287" s="426"/>
      <c r="R287" s="418" t="s">
        <v>895</v>
      </c>
      <c r="S287" s="427" t="s">
        <v>613</v>
      </c>
      <c r="T287" s="357">
        <v>1</v>
      </c>
      <c r="U287" s="357" t="s">
        <v>204</v>
      </c>
      <c r="V287" s="367">
        <v>55000000</v>
      </c>
      <c r="W287" s="368">
        <v>55000000</v>
      </c>
      <c r="X287" s="357"/>
      <c r="Y287" s="357"/>
      <c r="Z287" s="400"/>
      <c r="AA287" s="369"/>
      <c r="AB287" s="370"/>
      <c r="AC287" s="404"/>
      <c r="AD287" s="270"/>
      <c r="AE287" s="156"/>
      <c r="AF287" s="156"/>
      <c r="AG287" s="357"/>
      <c r="AH287" s="357"/>
      <c r="AI287" s="357"/>
      <c r="AJ287" s="156"/>
      <c r="AK287" s="156"/>
      <c r="AL287" s="375"/>
      <c r="AM287" s="405"/>
      <c r="AN287" s="273"/>
      <c r="AO287" s="405"/>
      <c r="AP287" s="273"/>
      <c r="AQ287" s="273"/>
      <c r="AR287" s="273"/>
      <c r="AS287" s="273"/>
      <c r="AT287" s="273"/>
      <c r="AU287" s="273"/>
      <c r="AV287" s="322">
        <f t="shared" si="14"/>
        <v>0</v>
      </c>
      <c r="AW287" s="402" t="s">
        <v>3387</v>
      </c>
      <c r="AX287" s="376">
        <v>45765</v>
      </c>
      <c r="AY287" s="373" t="s">
        <v>3388</v>
      </c>
      <c r="AZ287" s="375"/>
      <c r="BA287" s="375">
        <v>210000000</v>
      </c>
      <c r="BB287" s="375"/>
      <c r="BC287" s="375"/>
      <c r="BD287" s="353">
        <f t="shared" si="15"/>
        <v>210000000</v>
      </c>
      <c r="BE287" s="432" t="s">
        <v>335</v>
      </c>
      <c r="BF287" s="407" t="s">
        <v>423</v>
      </c>
      <c r="BG287" s="168" t="s">
        <v>3408</v>
      </c>
      <c r="BH287" s="274">
        <v>45561</v>
      </c>
      <c r="BI287" s="168" t="s">
        <v>3284</v>
      </c>
      <c r="BJ287" s="274">
        <v>45639</v>
      </c>
      <c r="BK287" s="168">
        <v>25932097</v>
      </c>
      <c r="BL287" s="275" t="s">
        <v>3285</v>
      </c>
      <c r="BM287" s="276">
        <v>45670</v>
      </c>
      <c r="BN287" s="275" t="s">
        <v>3359</v>
      </c>
      <c r="BO287" s="276"/>
      <c r="BP287" s="277">
        <v>50593416</v>
      </c>
      <c r="BQ287" s="156"/>
      <c r="BR287" s="274"/>
      <c r="BS287" s="270"/>
      <c r="BT287" s="270"/>
      <c r="BU287" s="274"/>
      <c r="BV287" s="274"/>
      <c r="BW287" s="278"/>
      <c r="BX287" s="278"/>
      <c r="BY287" s="278"/>
      <c r="BZ287" s="351"/>
    </row>
    <row r="288" spans="1:78" s="90" customFormat="1" ht="19.5" hidden="1" customHeight="1">
      <c r="A288" s="137"/>
      <c r="B288" s="197">
        <f t="shared" si="13"/>
        <v>278</v>
      </c>
      <c r="C288" s="30" t="s">
        <v>206</v>
      </c>
      <c r="D288" s="30" t="s">
        <v>225</v>
      </c>
      <c r="E288" s="234" t="s">
        <v>896</v>
      </c>
      <c r="F288" s="235" t="s">
        <v>1223</v>
      </c>
      <c r="G288" s="284">
        <f>IFERROR(VLOOKUP(E288,Assign!$C$2:$J$142,8,FALSE),)</f>
        <v>0</v>
      </c>
      <c r="H288" s="361" t="s">
        <v>5036</v>
      </c>
      <c r="I288" s="363">
        <v>1</v>
      </c>
      <c r="J288" s="364" t="s">
        <v>214</v>
      </c>
      <c r="K288" s="364" t="s">
        <v>1701</v>
      </c>
      <c r="L288" s="365" t="s">
        <v>2553</v>
      </c>
      <c r="M288" s="362" t="s">
        <v>2554</v>
      </c>
      <c r="N288" s="421" t="s">
        <v>207</v>
      </c>
      <c r="O288" s="269">
        <v>27.76</v>
      </c>
      <c r="P288" s="269">
        <v>49.8</v>
      </c>
      <c r="Q288" s="426"/>
      <c r="R288" s="418" t="s">
        <v>896</v>
      </c>
      <c r="S288" s="427" t="s">
        <v>613</v>
      </c>
      <c r="T288" s="357">
        <v>1</v>
      </c>
      <c r="U288" s="357" t="s">
        <v>204</v>
      </c>
      <c r="V288" s="367">
        <v>57600000</v>
      </c>
      <c r="W288" s="368">
        <v>57600000</v>
      </c>
      <c r="X288" s="357"/>
      <c r="Y288" s="357"/>
      <c r="Z288" s="400"/>
      <c r="AA288" s="369"/>
      <c r="AB288" s="370"/>
      <c r="AC288" s="404"/>
      <c r="AD288" s="270"/>
      <c r="AE288" s="156"/>
      <c r="AF288" s="156"/>
      <c r="AG288" s="357"/>
      <c r="AH288" s="357"/>
      <c r="AI288" s="357"/>
      <c r="AJ288" s="156"/>
      <c r="AK288" s="156"/>
      <c r="AL288" s="375"/>
      <c r="AM288" s="405"/>
      <c r="AN288" s="273"/>
      <c r="AO288" s="405"/>
      <c r="AP288" s="273"/>
      <c r="AQ288" s="273"/>
      <c r="AR288" s="273"/>
      <c r="AS288" s="273"/>
      <c r="AT288" s="273"/>
      <c r="AU288" s="273"/>
      <c r="AV288" s="322">
        <f t="shared" si="14"/>
        <v>0</v>
      </c>
      <c r="AW288" s="402" t="s">
        <v>3387</v>
      </c>
      <c r="AX288" s="376">
        <v>45765</v>
      </c>
      <c r="AY288" s="373" t="s">
        <v>3388</v>
      </c>
      <c r="AZ288" s="375"/>
      <c r="BA288" s="375">
        <v>70000000</v>
      </c>
      <c r="BB288" s="375"/>
      <c r="BC288" s="375"/>
      <c r="BD288" s="353">
        <f t="shared" si="15"/>
        <v>70000000</v>
      </c>
      <c r="BE288" s="432" t="s">
        <v>355</v>
      </c>
      <c r="BF288" s="407" t="s">
        <v>503</v>
      </c>
      <c r="BG288" s="168"/>
      <c r="BH288" s="274"/>
      <c r="BI288" s="168"/>
      <c r="BJ288" s="274"/>
      <c r="BK288" s="168"/>
      <c r="BL288" s="275"/>
      <c r="BM288" s="276"/>
      <c r="BN288" s="275"/>
      <c r="BO288" s="276"/>
      <c r="BP288" s="277"/>
      <c r="BQ288" s="156"/>
      <c r="BR288" s="274"/>
      <c r="BS288" s="270"/>
      <c r="BT288" s="270"/>
      <c r="BU288" s="274"/>
      <c r="BV288" s="274"/>
      <c r="BW288" s="278"/>
      <c r="BX288" s="278"/>
      <c r="BY288" s="278"/>
      <c r="BZ288" s="351"/>
    </row>
    <row r="289" spans="1:78" s="90" customFormat="1" ht="19.5" hidden="1" customHeight="1">
      <c r="A289" s="137"/>
      <c r="B289" s="197">
        <f t="shared" si="13"/>
        <v>279</v>
      </c>
      <c r="C289" s="30" t="s">
        <v>206</v>
      </c>
      <c r="D289" s="30" t="s">
        <v>225</v>
      </c>
      <c r="E289" s="234" t="s">
        <v>897</v>
      </c>
      <c r="F289" s="235" t="s">
        <v>1225</v>
      </c>
      <c r="G289" s="284">
        <f>IFERROR(VLOOKUP(E289,Assign!$C$2:$J$142,8,FALSE),)</f>
        <v>0</v>
      </c>
      <c r="H289" s="361" t="s">
        <v>4110</v>
      </c>
      <c r="I289" s="363">
        <v>1</v>
      </c>
      <c r="J289" s="364" t="s">
        <v>212</v>
      </c>
      <c r="K289" s="364" t="s">
        <v>232</v>
      </c>
      <c r="L289" s="365" t="s">
        <v>1686</v>
      </c>
      <c r="M289" s="362" t="s">
        <v>1687</v>
      </c>
      <c r="N289" s="421" t="s">
        <v>606</v>
      </c>
      <c r="O289" s="269">
        <v>23.8</v>
      </c>
      <c r="P289" s="269">
        <v>46.56</v>
      </c>
      <c r="Q289" s="426"/>
      <c r="R289" s="418" t="s">
        <v>897</v>
      </c>
      <c r="S289" s="427" t="s">
        <v>613</v>
      </c>
      <c r="T289" s="357">
        <v>1</v>
      </c>
      <c r="U289" s="357" t="s">
        <v>204</v>
      </c>
      <c r="V289" s="367">
        <v>57600000</v>
      </c>
      <c r="W289" s="368">
        <v>57600000</v>
      </c>
      <c r="X289" s="357"/>
      <c r="Y289" s="357"/>
      <c r="Z289" s="400"/>
      <c r="AA289" s="369"/>
      <c r="AB289" s="370"/>
      <c r="AC289" s="404"/>
      <c r="AD289" s="270"/>
      <c r="AE289" s="156"/>
      <c r="AF289" s="156"/>
      <c r="AG289" s="357"/>
      <c r="AH289" s="357"/>
      <c r="AI289" s="357"/>
      <c r="AJ289" s="156"/>
      <c r="AK289" s="156"/>
      <c r="AL289" s="375"/>
      <c r="AM289" s="405"/>
      <c r="AN289" s="273"/>
      <c r="AO289" s="405"/>
      <c r="AP289" s="273"/>
      <c r="AQ289" s="273"/>
      <c r="AR289" s="273"/>
      <c r="AS289" s="273"/>
      <c r="AT289" s="273"/>
      <c r="AU289" s="273"/>
      <c r="AV289" s="322">
        <f t="shared" si="14"/>
        <v>0</v>
      </c>
      <c r="AW289" s="402"/>
      <c r="AX289" s="376"/>
      <c r="AY289" s="373"/>
      <c r="AZ289" s="375"/>
      <c r="BA289" s="375"/>
      <c r="BB289" s="375"/>
      <c r="BC289" s="375"/>
      <c r="BD289" s="353">
        <f t="shared" si="15"/>
        <v>0</v>
      </c>
      <c r="BE289" s="432" t="s">
        <v>355</v>
      </c>
      <c r="BF289" s="407" t="s">
        <v>496</v>
      </c>
      <c r="BG289" s="168"/>
      <c r="BH289" s="274"/>
      <c r="BI289" s="168"/>
      <c r="BJ289" s="274"/>
      <c r="BK289" s="168"/>
      <c r="BL289" s="275"/>
      <c r="BM289" s="276"/>
      <c r="BN289" s="275"/>
      <c r="BO289" s="276"/>
      <c r="BP289" s="277"/>
      <c r="BQ289" s="156"/>
      <c r="BR289" s="274"/>
      <c r="BS289" s="270"/>
      <c r="BT289" s="270"/>
      <c r="BU289" s="274"/>
      <c r="BV289" s="274"/>
      <c r="BW289" s="278"/>
      <c r="BX289" s="278"/>
      <c r="BY289" s="278"/>
      <c r="BZ289" s="351"/>
    </row>
    <row r="290" spans="1:78" s="90" customFormat="1" ht="19.5" hidden="1" customHeight="1">
      <c r="A290" s="137"/>
      <c r="B290" s="197">
        <f t="shared" si="13"/>
        <v>280</v>
      </c>
      <c r="C290" s="30" t="s">
        <v>206</v>
      </c>
      <c r="D290" s="30" t="s">
        <v>225</v>
      </c>
      <c r="E290" s="234" t="s">
        <v>898</v>
      </c>
      <c r="F290" s="235" t="s">
        <v>1229</v>
      </c>
      <c r="G290" s="284">
        <f>IFERROR(VLOOKUP(E290,Assign!$C$2:$J$142,8,FALSE),)</f>
        <v>0</v>
      </c>
      <c r="H290" s="361" t="s">
        <v>4161</v>
      </c>
      <c r="I290" s="363">
        <v>1</v>
      </c>
      <c r="J290" s="364" t="s">
        <v>214</v>
      </c>
      <c r="K290" s="364" t="s">
        <v>1673</v>
      </c>
      <c r="L290" s="365" t="s">
        <v>1735</v>
      </c>
      <c r="M290" s="362" t="s">
        <v>1736</v>
      </c>
      <c r="N290" s="421" t="s">
        <v>606</v>
      </c>
      <c r="O290" s="269">
        <v>45.478000000000002</v>
      </c>
      <c r="P290" s="269">
        <v>71.2</v>
      </c>
      <c r="Q290" s="426"/>
      <c r="R290" s="418" t="s">
        <v>898</v>
      </c>
      <c r="S290" s="427" t="s">
        <v>613</v>
      </c>
      <c r="T290" s="357">
        <v>1</v>
      </c>
      <c r="U290" s="357" t="s">
        <v>204</v>
      </c>
      <c r="V290" s="367">
        <v>90000000</v>
      </c>
      <c r="W290" s="368">
        <v>90000000</v>
      </c>
      <c r="X290" s="357"/>
      <c r="Y290" s="357"/>
      <c r="Z290" s="400"/>
      <c r="AA290" s="369"/>
      <c r="AB290" s="370"/>
      <c r="AC290" s="404"/>
      <c r="AD290" s="270"/>
      <c r="AE290" s="156"/>
      <c r="AF290" s="156"/>
      <c r="AG290" s="357"/>
      <c r="AH290" s="357"/>
      <c r="AI290" s="357"/>
      <c r="AJ290" s="156"/>
      <c r="AK290" s="156"/>
      <c r="AL290" s="375"/>
      <c r="AM290" s="405"/>
      <c r="AN290" s="273"/>
      <c r="AO290" s="405"/>
      <c r="AP290" s="273"/>
      <c r="AQ290" s="273"/>
      <c r="AR290" s="273"/>
      <c r="AS290" s="273"/>
      <c r="AT290" s="273"/>
      <c r="AU290" s="273"/>
      <c r="AV290" s="322">
        <f t="shared" si="14"/>
        <v>0</v>
      </c>
      <c r="AW290" s="402"/>
      <c r="AX290" s="376"/>
      <c r="AY290" s="373"/>
      <c r="AZ290" s="375"/>
      <c r="BA290" s="375"/>
      <c r="BB290" s="375"/>
      <c r="BC290" s="375"/>
      <c r="BD290" s="353">
        <f t="shared" si="15"/>
        <v>0</v>
      </c>
      <c r="BE290" s="432" t="s">
        <v>355</v>
      </c>
      <c r="BF290" s="407" t="s">
        <v>507</v>
      </c>
      <c r="BG290" s="168"/>
      <c r="BH290" s="274"/>
      <c r="BI290" s="168"/>
      <c r="BJ290" s="274"/>
      <c r="BK290" s="168"/>
      <c r="BL290" s="275"/>
      <c r="BM290" s="276"/>
      <c r="BN290" s="275"/>
      <c r="BO290" s="276"/>
      <c r="BP290" s="277"/>
      <c r="BQ290" s="156"/>
      <c r="BR290" s="274"/>
      <c r="BS290" s="270"/>
      <c r="BT290" s="270"/>
      <c r="BU290" s="274"/>
      <c r="BV290" s="274"/>
      <c r="BW290" s="278"/>
      <c r="BX290" s="278"/>
      <c r="BY290" s="278"/>
      <c r="BZ290" s="351"/>
    </row>
    <row r="291" spans="1:78" s="90" customFormat="1" ht="19.5" hidden="1" customHeight="1">
      <c r="A291" s="137"/>
      <c r="B291" s="197">
        <f t="shared" si="13"/>
        <v>281</v>
      </c>
      <c r="C291" s="30" t="s">
        <v>206</v>
      </c>
      <c r="D291" s="30" t="s">
        <v>225</v>
      </c>
      <c r="E291" s="234" t="s">
        <v>899</v>
      </c>
      <c r="F291" s="235" t="s">
        <v>1217</v>
      </c>
      <c r="G291" s="284">
        <f>IFERROR(VLOOKUP(E291,Assign!$C$2:$J$142,8,FALSE),)</f>
        <v>0</v>
      </c>
      <c r="H291" s="361" t="s">
        <v>4195</v>
      </c>
      <c r="I291" s="363">
        <v>1</v>
      </c>
      <c r="J291" s="364" t="s">
        <v>220</v>
      </c>
      <c r="K291" s="364" t="s">
        <v>347</v>
      </c>
      <c r="L291" s="365" t="s">
        <v>565</v>
      </c>
      <c r="M291" s="362" t="s">
        <v>1770</v>
      </c>
      <c r="N291" s="421" t="s">
        <v>618</v>
      </c>
      <c r="O291" s="269">
        <v>71.5</v>
      </c>
      <c r="P291" s="269">
        <v>59.36</v>
      </c>
      <c r="Q291" s="426"/>
      <c r="R291" s="418" t="s">
        <v>899</v>
      </c>
      <c r="S291" s="427" t="s">
        <v>613</v>
      </c>
      <c r="T291" s="357">
        <v>1</v>
      </c>
      <c r="U291" s="357" t="s">
        <v>204</v>
      </c>
      <c r="V291" s="367">
        <v>58800000</v>
      </c>
      <c r="W291" s="368">
        <v>58800000</v>
      </c>
      <c r="X291" s="357"/>
      <c r="Y291" s="357"/>
      <c r="Z291" s="400"/>
      <c r="AA291" s="369"/>
      <c r="AB291" s="370"/>
      <c r="AC291" s="404"/>
      <c r="AD291" s="270"/>
      <c r="AE291" s="156"/>
      <c r="AF291" s="156"/>
      <c r="AG291" s="357"/>
      <c r="AH291" s="357"/>
      <c r="AI291" s="357"/>
      <c r="AJ291" s="156"/>
      <c r="AK291" s="156"/>
      <c r="AL291" s="375"/>
      <c r="AM291" s="405"/>
      <c r="AN291" s="273"/>
      <c r="AO291" s="405"/>
      <c r="AP291" s="273"/>
      <c r="AQ291" s="273"/>
      <c r="AR291" s="273"/>
      <c r="AS291" s="273"/>
      <c r="AT291" s="273"/>
      <c r="AU291" s="273"/>
      <c r="AV291" s="322">
        <f t="shared" si="14"/>
        <v>0</v>
      </c>
      <c r="AW291" s="402"/>
      <c r="AX291" s="376"/>
      <c r="AY291" s="373"/>
      <c r="AZ291" s="375"/>
      <c r="BA291" s="375"/>
      <c r="BB291" s="375"/>
      <c r="BC291" s="375"/>
      <c r="BD291" s="353">
        <f t="shared" si="15"/>
        <v>0</v>
      </c>
      <c r="BE291" s="432" t="s">
        <v>355</v>
      </c>
      <c r="BF291" s="407" t="s">
        <v>528</v>
      </c>
      <c r="BG291" s="168"/>
      <c r="BH291" s="274"/>
      <c r="BI291" s="168"/>
      <c r="BJ291" s="274"/>
      <c r="BK291" s="168"/>
      <c r="BL291" s="275"/>
      <c r="BM291" s="276"/>
      <c r="BN291" s="275"/>
      <c r="BO291" s="276"/>
      <c r="BP291" s="277"/>
      <c r="BQ291" s="156"/>
      <c r="BR291" s="274"/>
      <c r="BS291" s="270"/>
      <c r="BT291" s="270"/>
      <c r="BU291" s="274"/>
      <c r="BV291" s="274"/>
      <c r="BW291" s="278"/>
      <c r="BX291" s="278"/>
      <c r="BY291" s="278"/>
      <c r="BZ291" s="351"/>
    </row>
    <row r="292" spans="1:78" s="90" customFormat="1" ht="19.5" hidden="1" customHeight="1">
      <c r="A292" s="137"/>
      <c r="B292" s="197">
        <f t="shared" si="13"/>
        <v>282</v>
      </c>
      <c r="C292" s="30" t="s">
        <v>206</v>
      </c>
      <c r="D292" s="30" t="s">
        <v>225</v>
      </c>
      <c r="E292" s="234" t="s">
        <v>900</v>
      </c>
      <c r="F292" s="235" t="s">
        <v>1221</v>
      </c>
      <c r="G292" s="284">
        <f>IFERROR(VLOOKUP(E292,Assign!$C$2:$J$142,8,FALSE),)</f>
        <v>0</v>
      </c>
      <c r="H292" s="361" t="s">
        <v>4386</v>
      </c>
      <c r="I292" s="363">
        <v>1</v>
      </c>
      <c r="J292" s="364" t="s">
        <v>223</v>
      </c>
      <c r="K292" s="364" t="s">
        <v>1941</v>
      </c>
      <c r="L292" s="365" t="s">
        <v>1942</v>
      </c>
      <c r="M292" s="362" t="s">
        <v>1943</v>
      </c>
      <c r="N292" s="421" t="s">
        <v>3505</v>
      </c>
      <c r="O292" s="269">
        <v>14.316597</v>
      </c>
      <c r="P292" s="269">
        <v>54.41</v>
      </c>
      <c r="Q292" s="426"/>
      <c r="R292" s="418" t="s">
        <v>900</v>
      </c>
      <c r="S292" s="427" t="s">
        <v>613</v>
      </c>
      <c r="T292" s="357">
        <v>1</v>
      </c>
      <c r="U292" s="357" t="s">
        <v>204</v>
      </c>
      <c r="V292" s="367">
        <v>62400000</v>
      </c>
      <c r="W292" s="368">
        <v>62400000</v>
      </c>
      <c r="X292" s="357"/>
      <c r="Y292" s="357"/>
      <c r="Z292" s="400"/>
      <c r="AA292" s="369"/>
      <c r="AB292" s="370"/>
      <c r="AC292" s="404"/>
      <c r="AD292" s="270"/>
      <c r="AE292" s="156"/>
      <c r="AF292" s="156"/>
      <c r="AG292" s="357"/>
      <c r="AH292" s="357"/>
      <c r="AI292" s="357"/>
      <c r="AJ292" s="156"/>
      <c r="AK292" s="156"/>
      <c r="AL292" s="375"/>
      <c r="AM292" s="405"/>
      <c r="AN292" s="273"/>
      <c r="AO292" s="405"/>
      <c r="AP292" s="273"/>
      <c r="AQ292" s="273"/>
      <c r="AR292" s="273"/>
      <c r="AS292" s="273"/>
      <c r="AT292" s="273"/>
      <c r="AU292" s="273"/>
      <c r="AV292" s="322">
        <f t="shared" si="14"/>
        <v>0</v>
      </c>
      <c r="AW292" s="402"/>
      <c r="AX292" s="376"/>
      <c r="AY292" s="373"/>
      <c r="AZ292" s="375"/>
      <c r="BA292" s="375"/>
      <c r="BB292" s="375"/>
      <c r="BC292" s="375"/>
      <c r="BD292" s="353">
        <f t="shared" si="15"/>
        <v>0</v>
      </c>
      <c r="BE292" s="432" t="s">
        <v>355</v>
      </c>
      <c r="BF292" s="407" t="s">
        <v>514</v>
      </c>
      <c r="BG292" s="168"/>
      <c r="BH292" s="274"/>
      <c r="BI292" s="168"/>
      <c r="BJ292" s="274"/>
      <c r="BK292" s="168"/>
      <c r="BL292" s="275"/>
      <c r="BM292" s="276"/>
      <c r="BN292" s="275"/>
      <c r="BO292" s="276"/>
      <c r="BP292" s="277"/>
      <c r="BQ292" s="156"/>
      <c r="BR292" s="274"/>
      <c r="BS292" s="270"/>
      <c r="BT292" s="270"/>
      <c r="BU292" s="274"/>
      <c r="BV292" s="274"/>
      <c r="BW292" s="278"/>
      <c r="BX292" s="278"/>
      <c r="BY292" s="278"/>
      <c r="BZ292" s="351"/>
    </row>
    <row r="293" spans="1:78" s="90" customFormat="1" ht="19.5" hidden="1" customHeight="1">
      <c r="A293" s="137"/>
      <c r="B293" s="197">
        <f t="shared" si="13"/>
        <v>283</v>
      </c>
      <c r="C293" s="30" t="s">
        <v>206</v>
      </c>
      <c r="D293" s="30" t="s">
        <v>225</v>
      </c>
      <c r="E293" s="234" t="s">
        <v>901</v>
      </c>
      <c r="F293" s="235" t="s">
        <v>1226</v>
      </c>
      <c r="G293" s="284">
        <f>IFERROR(VLOOKUP(E293,Assign!$C$2:$J$142,8,FALSE),)</f>
        <v>0</v>
      </c>
      <c r="H293" s="361" t="s">
        <v>3950</v>
      </c>
      <c r="I293" s="363">
        <v>1</v>
      </c>
      <c r="J293" s="364" t="s">
        <v>220</v>
      </c>
      <c r="K293" s="364" t="s">
        <v>384</v>
      </c>
      <c r="L293" s="365" t="s">
        <v>1525</v>
      </c>
      <c r="M293" s="362" t="s">
        <v>1526</v>
      </c>
      <c r="N293" s="421" t="s">
        <v>207</v>
      </c>
      <c r="O293" s="269">
        <v>31.326000000000001</v>
      </c>
      <c r="P293" s="269">
        <v>59.76</v>
      </c>
      <c r="Q293" s="426"/>
      <c r="R293" s="418" t="s">
        <v>901</v>
      </c>
      <c r="S293" s="427" t="s">
        <v>613</v>
      </c>
      <c r="T293" s="357">
        <v>1</v>
      </c>
      <c r="U293" s="357" t="s">
        <v>204</v>
      </c>
      <c r="V293" s="367">
        <v>48000000</v>
      </c>
      <c r="W293" s="368">
        <v>48000000</v>
      </c>
      <c r="X293" s="357"/>
      <c r="Y293" s="357"/>
      <c r="Z293" s="400"/>
      <c r="AA293" s="369"/>
      <c r="AB293" s="370"/>
      <c r="AC293" s="404"/>
      <c r="AD293" s="270"/>
      <c r="AE293" s="156"/>
      <c r="AF293" s="156"/>
      <c r="AG293" s="357"/>
      <c r="AH293" s="357"/>
      <c r="AI293" s="357"/>
      <c r="AJ293" s="156"/>
      <c r="AK293" s="156"/>
      <c r="AL293" s="375"/>
      <c r="AM293" s="405"/>
      <c r="AN293" s="273"/>
      <c r="AO293" s="405"/>
      <c r="AP293" s="273"/>
      <c r="AQ293" s="273"/>
      <c r="AR293" s="273"/>
      <c r="AS293" s="273"/>
      <c r="AT293" s="273"/>
      <c r="AU293" s="273"/>
      <c r="AV293" s="322">
        <f t="shared" si="14"/>
        <v>0</v>
      </c>
      <c r="AW293" s="402" t="s">
        <v>3387</v>
      </c>
      <c r="AX293" s="376">
        <v>45765</v>
      </c>
      <c r="AY293" s="373" t="s">
        <v>3388</v>
      </c>
      <c r="AZ293" s="375"/>
      <c r="BA293" s="375">
        <v>130000000</v>
      </c>
      <c r="BB293" s="375"/>
      <c r="BC293" s="375"/>
      <c r="BD293" s="353">
        <f t="shared" si="15"/>
        <v>130000000</v>
      </c>
      <c r="BE293" s="432" t="s">
        <v>355</v>
      </c>
      <c r="BF293" s="407" t="s">
        <v>523</v>
      </c>
      <c r="BG293" s="168"/>
      <c r="BH293" s="274"/>
      <c r="BI293" s="168"/>
      <c r="BJ293" s="274"/>
      <c r="BK293" s="168"/>
      <c r="BL293" s="275"/>
      <c r="BM293" s="276"/>
      <c r="BN293" s="275"/>
      <c r="BO293" s="276"/>
      <c r="BP293" s="277"/>
      <c r="BQ293" s="156"/>
      <c r="BR293" s="274"/>
      <c r="BS293" s="270"/>
      <c r="BT293" s="270"/>
      <c r="BU293" s="274"/>
      <c r="BV293" s="274"/>
      <c r="BW293" s="278"/>
      <c r="BX293" s="278"/>
      <c r="BY293" s="278"/>
      <c r="BZ293" s="351"/>
    </row>
    <row r="294" spans="1:78" s="90" customFormat="1" ht="19.5" hidden="1" customHeight="1">
      <c r="A294" s="137"/>
      <c r="B294" s="197">
        <f t="shared" si="13"/>
        <v>284</v>
      </c>
      <c r="C294" s="30" t="s">
        <v>206</v>
      </c>
      <c r="D294" s="30" t="s">
        <v>225</v>
      </c>
      <c r="E294" s="234" t="s">
        <v>902</v>
      </c>
      <c r="F294" s="235" t="s">
        <v>1321</v>
      </c>
      <c r="G294" s="284">
        <f>IFERROR(VLOOKUP(E294,Assign!$C$2:$J$142,8,FALSE),)</f>
        <v>0</v>
      </c>
      <c r="H294" s="361" t="s">
        <v>5538</v>
      </c>
      <c r="I294" s="363">
        <v>1</v>
      </c>
      <c r="J294" s="364" t="s">
        <v>209</v>
      </c>
      <c r="K294" s="364" t="s">
        <v>380</v>
      </c>
      <c r="L294" s="365" t="s">
        <v>1774</v>
      </c>
      <c r="M294" s="362" t="s">
        <v>3011</v>
      </c>
      <c r="N294" s="421" t="s">
        <v>606</v>
      </c>
      <c r="O294" s="269">
        <v>28.57</v>
      </c>
      <c r="P294" s="269">
        <v>53.11</v>
      </c>
      <c r="Q294" s="426"/>
      <c r="R294" s="418" t="s">
        <v>3395</v>
      </c>
      <c r="S294" s="427" t="s">
        <v>613</v>
      </c>
      <c r="T294" s="357">
        <v>2</v>
      </c>
      <c r="U294" s="357" t="s">
        <v>204</v>
      </c>
      <c r="V294" s="367">
        <v>132000000</v>
      </c>
      <c r="W294" s="368">
        <v>132000000</v>
      </c>
      <c r="X294" s="357"/>
      <c r="Y294" s="357"/>
      <c r="Z294" s="400"/>
      <c r="AA294" s="369"/>
      <c r="AB294" s="370"/>
      <c r="AC294" s="404">
        <v>1</v>
      </c>
      <c r="AD294" s="270" t="s">
        <v>204</v>
      </c>
      <c r="AE294" s="156">
        <v>91200000</v>
      </c>
      <c r="AF294" s="156">
        <v>91200000</v>
      </c>
      <c r="AG294" s="357"/>
      <c r="AH294" s="357"/>
      <c r="AI294" s="357"/>
      <c r="AJ294" s="156"/>
      <c r="AK294" s="156"/>
      <c r="AL294" s="375"/>
      <c r="AM294" s="405"/>
      <c r="AN294" s="273"/>
      <c r="AO294" s="405"/>
      <c r="AP294" s="273"/>
      <c r="AQ294" s="273"/>
      <c r="AR294" s="273"/>
      <c r="AS294" s="273"/>
      <c r="AT294" s="273"/>
      <c r="AU294" s="273"/>
      <c r="AV294" s="322">
        <f t="shared" si="14"/>
        <v>0</v>
      </c>
      <c r="AW294" s="402"/>
      <c r="AX294" s="376"/>
      <c r="AY294" s="373"/>
      <c r="AZ294" s="375"/>
      <c r="BA294" s="375"/>
      <c r="BB294" s="375"/>
      <c r="BC294" s="375"/>
      <c r="BD294" s="353">
        <f t="shared" si="15"/>
        <v>0</v>
      </c>
      <c r="BE294" s="432" t="s">
        <v>355</v>
      </c>
      <c r="BF294" s="407" t="s">
        <v>510</v>
      </c>
      <c r="BG294" s="168"/>
      <c r="BH294" s="274"/>
      <c r="BI294" s="168"/>
      <c r="BJ294" s="274"/>
      <c r="BK294" s="168"/>
      <c r="BL294" s="275"/>
      <c r="BM294" s="276"/>
      <c r="BN294" s="275"/>
      <c r="BO294" s="276"/>
      <c r="BP294" s="277"/>
      <c r="BQ294" s="156"/>
      <c r="BR294" s="274"/>
      <c r="BS294" s="270"/>
      <c r="BT294" s="270"/>
      <c r="BU294" s="274"/>
      <c r="BV294" s="274"/>
      <c r="BW294" s="278"/>
      <c r="BX294" s="278"/>
      <c r="BY294" s="278"/>
      <c r="BZ294" s="351"/>
    </row>
    <row r="295" spans="1:78" s="90" customFormat="1" ht="19.5" hidden="1" customHeight="1">
      <c r="A295" s="137"/>
      <c r="B295" s="197">
        <f t="shared" si="13"/>
        <v>285</v>
      </c>
      <c r="C295" s="30" t="s">
        <v>206</v>
      </c>
      <c r="D295" s="30" t="s">
        <v>225</v>
      </c>
      <c r="E295" s="234" t="s">
        <v>903</v>
      </c>
      <c r="F295" s="235" t="s">
        <v>1266</v>
      </c>
      <c r="G295" s="284">
        <f>IFERROR(VLOOKUP(E295,Assign!$C$2:$J$142,8,FALSE),)</f>
        <v>0</v>
      </c>
      <c r="H295" s="361" t="s">
        <v>5177</v>
      </c>
      <c r="I295" s="363">
        <v>1</v>
      </c>
      <c r="J295" s="364" t="s">
        <v>210</v>
      </c>
      <c r="K295" s="364" t="s">
        <v>294</v>
      </c>
      <c r="L295" s="365" t="s">
        <v>555</v>
      </c>
      <c r="M295" s="362" t="s">
        <v>2685</v>
      </c>
      <c r="N295" s="421" t="s">
        <v>207</v>
      </c>
      <c r="O295" s="269">
        <v>41.017021034439203</v>
      </c>
      <c r="P295" s="269">
        <v>84.88</v>
      </c>
      <c r="Q295" s="426"/>
      <c r="R295" s="418" t="s">
        <v>903</v>
      </c>
      <c r="S295" s="427" t="s">
        <v>613</v>
      </c>
      <c r="T295" s="357">
        <v>2</v>
      </c>
      <c r="U295" s="357" t="s">
        <v>204</v>
      </c>
      <c r="V295" s="367">
        <v>37400000</v>
      </c>
      <c r="W295" s="368">
        <v>37400000</v>
      </c>
      <c r="X295" s="357"/>
      <c r="Y295" s="357"/>
      <c r="Z295" s="400"/>
      <c r="AA295" s="369"/>
      <c r="AB295" s="370"/>
      <c r="AC295" s="404">
        <v>1</v>
      </c>
      <c r="AD295" s="270" t="s">
        <v>204</v>
      </c>
      <c r="AE295" s="156">
        <v>113850000</v>
      </c>
      <c r="AF295" s="156">
        <v>113850000</v>
      </c>
      <c r="AG295" s="357"/>
      <c r="AH295" s="357"/>
      <c r="AI295" s="357"/>
      <c r="AJ295" s="156"/>
      <c r="AK295" s="156"/>
      <c r="AL295" s="375"/>
      <c r="AM295" s="405"/>
      <c r="AN295" s="273"/>
      <c r="AO295" s="405"/>
      <c r="AP295" s="273"/>
      <c r="AQ295" s="273"/>
      <c r="AR295" s="273"/>
      <c r="AS295" s="273"/>
      <c r="AT295" s="273"/>
      <c r="AU295" s="273"/>
      <c r="AV295" s="322">
        <f t="shared" si="14"/>
        <v>0</v>
      </c>
      <c r="AW295" s="402" t="s">
        <v>3387</v>
      </c>
      <c r="AX295" s="376">
        <v>45765</v>
      </c>
      <c r="AY295" s="373" t="s">
        <v>3388</v>
      </c>
      <c r="AZ295" s="375"/>
      <c r="BA295" s="375">
        <v>242500000</v>
      </c>
      <c r="BB295" s="375"/>
      <c r="BC295" s="375"/>
      <c r="BD295" s="353">
        <f t="shared" si="15"/>
        <v>242500000</v>
      </c>
      <c r="BE295" s="432" t="s">
        <v>355</v>
      </c>
      <c r="BF295" s="407" t="s">
        <v>503</v>
      </c>
      <c r="BG295" s="168"/>
      <c r="BH295" s="274"/>
      <c r="BI295" s="168"/>
      <c r="BJ295" s="274"/>
      <c r="BK295" s="168"/>
      <c r="BL295" s="275"/>
      <c r="BM295" s="276"/>
      <c r="BN295" s="275"/>
      <c r="BO295" s="276"/>
      <c r="BP295" s="277"/>
      <c r="BQ295" s="156"/>
      <c r="BR295" s="274"/>
      <c r="BS295" s="270"/>
      <c r="BT295" s="270"/>
      <c r="BU295" s="274"/>
      <c r="BV295" s="274"/>
      <c r="BW295" s="278"/>
      <c r="BX295" s="278"/>
      <c r="BY295" s="278"/>
      <c r="BZ295" s="351"/>
    </row>
    <row r="296" spans="1:78" s="90" customFormat="1" ht="19.5" hidden="1" customHeight="1">
      <c r="A296" s="137"/>
      <c r="B296" s="197">
        <f t="shared" si="13"/>
        <v>286</v>
      </c>
      <c r="C296" s="30" t="s">
        <v>206</v>
      </c>
      <c r="D296" s="30" t="s">
        <v>225</v>
      </c>
      <c r="E296" s="234" t="s">
        <v>904</v>
      </c>
      <c r="F296" s="235" t="s">
        <v>1221</v>
      </c>
      <c r="G296" s="284">
        <f>IFERROR(VLOOKUP(E296,Assign!$C$2:$J$142,8,FALSE),)</f>
        <v>0</v>
      </c>
      <c r="H296" s="361" t="s">
        <v>3923</v>
      </c>
      <c r="I296" s="363">
        <v>1</v>
      </c>
      <c r="J296" s="364" t="s">
        <v>208</v>
      </c>
      <c r="K296" s="364" t="s">
        <v>280</v>
      </c>
      <c r="L296" s="365" t="s">
        <v>1494</v>
      </c>
      <c r="M296" s="362" t="s">
        <v>1495</v>
      </c>
      <c r="N296" s="421" t="s">
        <v>618</v>
      </c>
      <c r="O296" s="269">
        <v>29.75</v>
      </c>
      <c r="P296" s="269">
        <v>51.83</v>
      </c>
      <c r="Q296" s="426"/>
      <c r="R296" s="418" t="s">
        <v>904</v>
      </c>
      <c r="S296" s="427" t="s">
        <v>613</v>
      </c>
      <c r="T296" s="357">
        <v>2</v>
      </c>
      <c r="U296" s="357" t="s">
        <v>204</v>
      </c>
      <c r="V296" s="367">
        <v>33000000</v>
      </c>
      <c r="W296" s="368">
        <v>33000000</v>
      </c>
      <c r="X296" s="357"/>
      <c r="Y296" s="357"/>
      <c r="Z296" s="400"/>
      <c r="AA296" s="369"/>
      <c r="AB296" s="370"/>
      <c r="AC296" s="404">
        <v>1</v>
      </c>
      <c r="AD296" s="270" t="s">
        <v>204</v>
      </c>
      <c r="AE296" s="156">
        <v>55000000</v>
      </c>
      <c r="AF296" s="156">
        <v>55000000</v>
      </c>
      <c r="AG296" s="357"/>
      <c r="AH296" s="357"/>
      <c r="AI296" s="357"/>
      <c r="AJ296" s="156"/>
      <c r="AK296" s="156"/>
      <c r="AL296" s="375"/>
      <c r="AM296" s="405"/>
      <c r="AN296" s="273"/>
      <c r="AO296" s="405"/>
      <c r="AP296" s="273"/>
      <c r="AQ296" s="273"/>
      <c r="AR296" s="273"/>
      <c r="AS296" s="273"/>
      <c r="AT296" s="273"/>
      <c r="AU296" s="273"/>
      <c r="AV296" s="322">
        <f t="shared" si="14"/>
        <v>0</v>
      </c>
      <c r="AW296" s="402"/>
      <c r="AX296" s="376"/>
      <c r="AY296" s="373"/>
      <c r="AZ296" s="375"/>
      <c r="BA296" s="375"/>
      <c r="BB296" s="375"/>
      <c r="BC296" s="375"/>
      <c r="BD296" s="353">
        <f t="shared" si="15"/>
        <v>0</v>
      </c>
      <c r="BE296" s="432" t="s">
        <v>355</v>
      </c>
      <c r="BF296" s="407" t="s">
        <v>422</v>
      </c>
      <c r="BG296" s="168"/>
      <c r="BH296" s="274"/>
      <c r="BI296" s="168"/>
      <c r="BJ296" s="274"/>
      <c r="BK296" s="168"/>
      <c r="BL296" s="275"/>
      <c r="BM296" s="276"/>
      <c r="BN296" s="275"/>
      <c r="BO296" s="276"/>
      <c r="BP296" s="277"/>
      <c r="BQ296" s="156"/>
      <c r="BR296" s="274"/>
      <c r="BS296" s="270"/>
      <c r="BT296" s="270"/>
      <c r="BU296" s="274"/>
      <c r="BV296" s="274"/>
      <c r="BW296" s="278"/>
      <c r="BX296" s="278"/>
      <c r="BY296" s="278"/>
      <c r="BZ296" s="351"/>
    </row>
    <row r="297" spans="1:78" s="90" customFormat="1" ht="19.5" hidden="1" customHeight="1">
      <c r="A297" s="137"/>
      <c r="B297" s="197">
        <f t="shared" si="13"/>
        <v>287</v>
      </c>
      <c r="C297" s="30" t="s">
        <v>206</v>
      </c>
      <c r="D297" s="30" t="s">
        <v>225</v>
      </c>
      <c r="E297" s="234" t="s">
        <v>905</v>
      </c>
      <c r="F297" s="235" t="s">
        <v>1229</v>
      </c>
      <c r="G297" s="284">
        <f>IFERROR(VLOOKUP(E297,Assign!$C$2:$J$142,8,FALSE),)</f>
        <v>0</v>
      </c>
      <c r="H297" s="361" t="s">
        <v>4044</v>
      </c>
      <c r="I297" s="363">
        <v>1</v>
      </c>
      <c r="J297" s="364" t="s">
        <v>212</v>
      </c>
      <c r="K297" s="364" t="s">
        <v>304</v>
      </c>
      <c r="L297" s="365" t="s">
        <v>314</v>
      </c>
      <c r="M297" s="362" t="s">
        <v>1620</v>
      </c>
      <c r="N297" s="421" t="s">
        <v>207</v>
      </c>
      <c r="O297" s="269">
        <v>22.792999999999999</v>
      </c>
      <c r="P297" s="269">
        <v>59.7</v>
      </c>
      <c r="Q297" s="426"/>
      <c r="R297" s="418" t="s">
        <v>905</v>
      </c>
      <c r="S297" s="427" t="s">
        <v>613</v>
      </c>
      <c r="T297" s="357">
        <v>1</v>
      </c>
      <c r="U297" s="357" t="s">
        <v>204</v>
      </c>
      <c r="V297" s="367">
        <v>33000000</v>
      </c>
      <c r="W297" s="368">
        <v>33000000</v>
      </c>
      <c r="X297" s="357"/>
      <c r="Y297" s="357"/>
      <c r="Z297" s="400"/>
      <c r="AA297" s="369"/>
      <c r="AB297" s="370"/>
      <c r="AC297" s="404"/>
      <c r="AD297" s="270"/>
      <c r="AE297" s="156"/>
      <c r="AF297" s="156"/>
      <c r="AG297" s="357"/>
      <c r="AH297" s="357"/>
      <c r="AI297" s="357"/>
      <c r="AJ297" s="156"/>
      <c r="AK297" s="156"/>
      <c r="AL297" s="375"/>
      <c r="AM297" s="405"/>
      <c r="AN297" s="273"/>
      <c r="AO297" s="405"/>
      <c r="AP297" s="273"/>
      <c r="AQ297" s="273"/>
      <c r="AR297" s="273"/>
      <c r="AS297" s="273"/>
      <c r="AT297" s="273"/>
      <c r="AU297" s="273"/>
      <c r="AV297" s="322">
        <f t="shared" si="14"/>
        <v>0</v>
      </c>
      <c r="AW297" s="402" t="s">
        <v>3387</v>
      </c>
      <c r="AX297" s="376">
        <v>45765</v>
      </c>
      <c r="AY297" s="373" t="s">
        <v>3388</v>
      </c>
      <c r="AZ297" s="375"/>
      <c r="BA297" s="375">
        <v>247500000</v>
      </c>
      <c r="BB297" s="375"/>
      <c r="BC297" s="375"/>
      <c r="BD297" s="353">
        <f t="shared" si="15"/>
        <v>247500000</v>
      </c>
      <c r="BE297" s="432" t="s">
        <v>355</v>
      </c>
      <c r="BF297" s="407" t="s">
        <v>496</v>
      </c>
      <c r="BG297" s="168"/>
      <c r="BH297" s="274"/>
      <c r="BI297" s="168"/>
      <c r="BJ297" s="274"/>
      <c r="BK297" s="168"/>
      <c r="BL297" s="275"/>
      <c r="BM297" s="276"/>
      <c r="BN297" s="275"/>
      <c r="BO297" s="276"/>
      <c r="BP297" s="277"/>
      <c r="BQ297" s="156"/>
      <c r="BR297" s="274"/>
      <c r="BS297" s="270"/>
      <c r="BT297" s="270"/>
      <c r="BU297" s="274"/>
      <c r="BV297" s="274"/>
      <c r="BW297" s="278"/>
      <c r="BX297" s="278"/>
      <c r="BY297" s="278"/>
      <c r="BZ297" s="351"/>
    </row>
    <row r="298" spans="1:78" s="90" customFormat="1" ht="19.5" hidden="1" customHeight="1">
      <c r="A298" s="137"/>
      <c r="B298" s="197">
        <f t="shared" si="13"/>
        <v>288</v>
      </c>
      <c r="C298" s="30" t="s">
        <v>206</v>
      </c>
      <c r="D298" s="30" t="s">
        <v>225</v>
      </c>
      <c r="E298" s="234" t="s">
        <v>906</v>
      </c>
      <c r="F298" s="235" t="s">
        <v>1222</v>
      </c>
      <c r="G298" s="284">
        <f>IFERROR(VLOOKUP(E298,Assign!$C$2:$J$142,8,FALSE),)</f>
        <v>0</v>
      </c>
      <c r="H298" s="361" t="s">
        <v>4675</v>
      </c>
      <c r="I298" s="363">
        <v>1</v>
      </c>
      <c r="J298" s="364" t="s">
        <v>208</v>
      </c>
      <c r="K298" s="364" t="s">
        <v>280</v>
      </c>
      <c r="L298" s="365" t="s">
        <v>561</v>
      </c>
      <c r="M298" s="362" t="s">
        <v>2213</v>
      </c>
      <c r="N298" s="421" t="s">
        <v>207</v>
      </c>
      <c r="O298" s="269">
        <v>68.319000000000003</v>
      </c>
      <c r="P298" s="269">
        <v>84.944999999999993</v>
      </c>
      <c r="Q298" s="426"/>
      <c r="R298" s="418" t="s">
        <v>906</v>
      </c>
      <c r="S298" s="427" t="s">
        <v>613</v>
      </c>
      <c r="T298" s="357" t="s">
        <v>3857</v>
      </c>
      <c r="U298" s="357" t="s">
        <v>204</v>
      </c>
      <c r="V298" s="367">
        <v>32400000</v>
      </c>
      <c r="W298" s="368">
        <v>32400000</v>
      </c>
      <c r="X298" s="357"/>
      <c r="Y298" s="357"/>
      <c r="Z298" s="400"/>
      <c r="AA298" s="369"/>
      <c r="AB298" s="370"/>
      <c r="AC298" s="404">
        <v>1</v>
      </c>
      <c r="AD298" s="270" t="s">
        <v>3855</v>
      </c>
      <c r="AE298" s="156">
        <v>117200000</v>
      </c>
      <c r="AF298" s="156">
        <v>117200000</v>
      </c>
      <c r="AG298" s="357"/>
      <c r="AH298" s="357"/>
      <c r="AI298" s="357"/>
      <c r="AJ298" s="156"/>
      <c r="AK298" s="156"/>
      <c r="AL298" s="375"/>
      <c r="AM298" s="405"/>
      <c r="AN298" s="273"/>
      <c r="AO298" s="405"/>
      <c r="AP298" s="273"/>
      <c r="AQ298" s="273"/>
      <c r="AR298" s="273"/>
      <c r="AS298" s="273"/>
      <c r="AT298" s="273"/>
      <c r="AU298" s="273"/>
      <c r="AV298" s="322">
        <f t="shared" si="14"/>
        <v>0</v>
      </c>
      <c r="AW298" s="402" t="s">
        <v>3387</v>
      </c>
      <c r="AX298" s="376">
        <v>45765</v>
      </c>
      <c r="AY298" s="373" t="s">
        <v>3388</v>
      </c>
      <c r="AZ298" s="375"/>
      <c r="BA298" s="375">
        <v>267500000</v>
      </c>
      <c r="BB298" s="375"/>
      <c r="BC298" s="375"/>
      <c r="BD298" s="353">
        <f t="shared" si="15"/>
        <v>267500000</v>
      </c>
      <c r="BE298" s="432" t="s">
        <v>335</v>
      </c>
      <c r="BF298" s="407" t="s">
        <v>422</v>
      </c>
      <c r="BG298" s="168" t="s">
        <v>3315</v>
      </c>
      <c r="BH298" s="274">
        <v>45665</v>
      </c>
      <c r="BI298" s="168" t="s">
        <v>3243</v>
      </c>
      <c r="BJ298" s="274">
        <v>45754</v>
      </c>
      <c r="BK298" s="168">
        <v>81632660</v>
      </c>
      <c r="BL298" s="275"/>
      <c r="BM298" s="276"/>
      <c r="BN298" s="275"/>
      <c r="BO298" s="276"/>
      <c r="BP298" s="277"/>
      <c r="BQ298" s="156"/>
      <c r="BR298" s="274"/>
      <c r="BS298" s="270"/>
      <c r="BT298" s="270"/>
      <c r="BU298" s="274"/>
      <c r="BV298" s="274"/>
      <c r="BW298" s="278"/>
      <c r="BX298" s="278"/>
      <c r="BY298" s="278"/>
      <c r="BZ298" s="351"/>
    </row>
    <row r="299" spans="1:78" s="90" customFormat="1" ht="19.5" hidden="1" customHeight="1">
      <c r="A299" s="137"/>
      <c r="B299" s="197">
        <f t="shared" si="13"/>
        <v>289</v>
      </c>
      <c r="C299" s="30" t="s">
        <v>206</v>
      </c>
      <c r="D299" s="30" t="s">
        <v>225</v>
      </c>
      <c r="E299" s="234" t="s">
        <v>907</v>
      </c>
      <c r="F299" s="235" t="s">
        <v>1252</v>
      </c>
      <c r="G299" s="284">
        <f>IFERROR(VLOOKUP(E299,Assign!$C$2:$J$142,8,FALSE),)</f>
        <v>0</v>
      </c>
      <c r="H299" s="361" t="s">
        <v>5130</v>
      </c>
      <c r="I299" s="363">
        <v>1</v>
      </c>
      <c r="J299" s="364" t="s">
        <v>208</v>
      </c>
      <c r="K299" s="364" t="s">
        <v>259</v>
      </c>
      <c r="L299" s="365" t="s">
        <v>2309</v>
      </c>
      <c r="M299" s="362" t="s">
        <v>2643</v>
      </c>
      <c r="N299" s="421" t="s">
        <v>207</v>
      </c>
      <c r="O299" s="269">
        <v>19.46</v>
      </c>
      <c r="P299" s="269">
        <v>59.95</v>
      </c>
      <c r="Q299" s="426"/>
      <c r="R299" s="418" t="s">
        <v>907</v>
      </c>
      <c r="S299" s="427" t="s">
        <v>613</v>
      </c>
      <c r="T299" s="357">
        <v>1</v>
      </c>
      <c r="U299" s="357" t="s">
        <v>204</v>
      </c>
      <c r="V299" s="367">
        <v>33000000</v>
      </c>
      <c r="W299" s="368">
        <v>33000000</v>
      </c>
      <c r="X299" s="357"/>
      <c r="Y299" s="357"/>
      <c r="Z299" s="400"/>
      <c r="AA299" s="369"/>
      <c r="AB299" s="370"/>
      <c r="AC299" s="404"/>
      <c r="AD299" s="270"/>
      <c r="AE299" s="156"/>
      <c r="AF299" s="156"/>
      <c r="AG299" s="357"/>
      <c r="AH299" s="357"/>
      <c r="AI299" s="357"/>
      <c r="AJ299" s="156"/>
      <c r="AK299" s="156"/>
      <c r="AL299" s="375"/>
      <c r="AM299" s="405"/>
      <c r="AN299" s="273"/>
      <c r="AO299" s="405"/>
      <c r="AP299" s="273"/>
      <c r="AQ299" s="273"/>
      <c r="AR299" s="273"/>
      <c r="AS299" s="273"/>
      <c r="AT299" s="273"/>
      <c r="AU299" s="273"/>
      <c r="AV299" s="322">
        <f t="shared" si="14"/>
        <v>0</v>
      </c>
      <c r="AW299" s="402" t="s">
        <v>3387</v>
      </c>
      <c r="AX299" s="376">
        <v>45765</v>
      </c>
      <c r="AY299" s="373" t="s">
        <v>3388</v>
      </c>
      <c r="AZ299" s="375"/>
      <c r="BA299" s="375">
        <v>172500000</v>
      </c>
      <c r="BB299" s="375"/>
      <c r="BC299" s="375"/>
      <c r="BD299" s="353">
        <f t="shared" si="15"/>
        <v>172500000</v>
      </c>
      <c r="BE299" s="432" t="s">
        <v>355</v>
      </c>
      <c r="BF299" s="407" t="s">
        <v>499</v>
      </c>
      <c r="BG299" s="168"/>
      <c r="BH299" s="274"/>
      <c r="BI299" s="168"/>
      <c r="BJ299" s="274"/>
      <c r="BK299" s="168"/>
      <c r="BL299" s="275"/>
      <c r="BM299" s="276"/>
      <c r="BN299" s="275"/>
      <c r="BO299" s="276"/>
      <c r="BP299" s="277"/>
      <c r="BQ299" s="156"/>
      <c r="BR299" s="274"/>
      <c r="BS299" s="270"/>
      <c r="BT299" s="270"/>
      <c r="BU299" s="274"/>
      <c r="BV299" s="274"/>
      <c r="BW299" s="278"/>
      <c r="BX299" s="278"/>
      <c r="BY299" s="278"/>
      <c r="BZ299" s="351"/>
    </row>
    <row r="300" spans="1:78" s="90" customFormat="1" ht="19.5" hidden="1" customHeight="1">
      <c r="A300" s="137"/>
      <c r="B300" s="197">
        <f t="shared" si="13"/>
        <v>290</v>
      </c>
      <c r="C300" s="30" t="s">
        <v>206</v>
      </c>
      <c r="D300" s="30" t="s">
        <v>225</v>
      </c>
      <c r="E300" s="234" t="s">
        <v>908</v>
      </c>
      <c r="F300" s="235" t="s">
        <v>1225</v>
      </c>
      <c r="G300" s="284">
        <f>IFERROR(VLOOKUP(E300,Assign!$C$2:$J$142,8,FALSE),)</f>
        <v>0</v>
      </c>
      <c r="H300" s="361" t="s">
        <v>4332</v>
      </c>
      <c r="I300" s="363">
        <v>1</v>
      </c>
      <c r="J300" s="364" t="s">
        <v>208</v>
      </c>
      <c r="K300" s="364" t="s">
        <v>234</v>
      </c>
      <c r="L300" s="365" t="s">
        <v>414</v>
      </c>
      <c r="M300" s="362" t="s">
        <v>1895</v>
      </c>
      <c r="N300" s="421" t="s">
        <v>207</v>
      </c>
      <c r="O300" s="269">
        <v>46.026899999999998</v>
      </c>
      <c r="P300" s="269">
        <v>98.43</v>
      </c>
      <c r="Q300" s="426"/>
      <c r="R300" s="418" t="s">
        <v>908</v>
      </c>
      <c r="S300" s="427" t="s">
        <v>613</v>
      </c>
      <c r="T300" s="357">
        <v>1</v>
      </c>
      <c r="U300" s="357" t="s">
        <v>204</v>
      </c>
      <c r="V300" s="367">
        <v>36000000</v>
      </c>
      <c r="W300" s="368">
        <v>36000000</v>
      </c>
      <c r="X300" s="357"/>
      <c r="Y300" s="357"/>
      <c r="Z300" s="400"/>
      <c r="AA300" s="369"/>
      <c r="AB300" s="370"/>
      <c r="AC300" s="404"/>
      <c r="AD300" s="270"/>
      <c r="AE300" s="156"/>
      <c r="AF300" s="156"/>
      <c r="AG300" s="357"/>
      <c r="AH300" s="357"/>
      <c r="AI300" s="357"/>
      <c r="AJ300" s="156"/>
      <c r="AK300" s="156"/>
      <c r="AL300" s="375"/>
      <c r="AM300" s="405"/>
      <c r="AN300" s="273"/>
      <c r="AO300" s="405"/>
      <c r="AP300" s="273"/>
      <c r="AQ300" s="273"/>
      <c r="AR300" s="273"/>
      <c r="AS300" s="273"/>
      <c r="AT300" s="273"/>
      <c r="AU300" s="273"/>
      <c r="AV300" s="322">
        <f t="shared" si="14"/>
        <v>0</v>
      </c>
      <c r="AW300" s="402" t="s">
        <v>3387</v>
      </c>
      <c r="AX300" s="376">
        <v>45765</v>
      </c>
      <c r="AY300" s="373" t="s">
        <v>3388</v>
      </c>
      <c r="AZ300" s="375"/>
      <c r="BA300" s="375">
        <v>430000000</v>
      </c>
      <c r="BB300" s="375"/>
      <c r="BC300" s="375"/>
      <c r="BD300" s="353">
        <f t="shared" si="15"/>
        <v>430000000</v>
      </c>
      <c r="BE300" s="432" t="s">
        <v>355</v>
      </c>
      <c r="BF300" s="407" t="s">
        <v>504</v>
      </c>
      <c r="BG300" s="168"/>
      <c r="BH300" s="274"/>
      <c r="BI300" s="168"/>
      <c r="BJ300" s="274"/>
      <c r="BK300" s="168"/>
      <c r="BL300" s="275"/>
      <c r="BM300" s="276"/>
      <c r="BN300" s="275"/>
      <c r="BO300" s="276"/>
      <c r="BP300" s="277"/>
      <c r="BQ300" s="156"/>
      <c r="BR300" s="274"/>
      <c r="BS300" s="270"/>
      <c r="BT300" s="270"/>
      <c r="BU300" s="274"/>
      <c r="BV300" s="274"/>
      <c r="BW300" s="278"/>
      <c r="BX300" s="278"/>
      <c r="BY300" s="278"/>
      <c r="BZ300" s="351"/>
    </row>
    <row r="301" spans="1:78" s="90" customFormat="1" ht="19.5" hidden="1" customHeight="1">
      <c r="A301" s="137"/>
      <c r="B301" s="197">
        <f t="shared" si="13"/>
        <v>291</v>
      </c>
      <c r="C301" s="30" t="s">
        <v>206</v>
      </c>
      <c r="D301" s="30" t="s">
        <v>225</v>
      </c>
      <c r="E301" s="234" t="s">
        <v>909</v>
      </c>
      <c r="F301" s="235" t="s">
        <v>1269</v>
      </c>
      <c r="G301" s="284">
        <f>IFERROR(VLOOKUP(E301,Assign!$C$2:$J$142,8,FALSE),)</f>
        <v>0</v>
      </c>
      <c r="H301" s="361" t="s">
        <v>3896</v>
      </c>
      <c r="I301" s="363">
        <v>1</v>
      </c>
      <c r="J301" s="364" t="s">
        <v>210</v>
      </c>
      <c r="K301" s="364" t="s">
        <v>337</v>
      </c>
      <c r="L301" s="365" t="s">
        <v>429</v>
      </c>
      <c r="M301" s="362" t="s">
        <v>1464</v>
      </c>
      <c r="N301" s="421" t="s">
        <v>606</v>
      </c>
      <c r="O301" s="269">
        <v>30.81</v>
      </c>
      <c r="P301" s="269">
        <v>46.77</v>
      </c>
      <c r="Q301" s="426"/>
      <c r="R301" s="418" t="s">
        <v>909</v>
      </c>
      <c r="S301" s="427" t="s">
        <v>613</v>
      </c>
      <c r="T301" s="357">
        <v>1</v>
      </c>
      <c r="U301" s="357" t="s">
        <v>204</v>
      </c>
      <c r="V301" s="367">
        <v>42000000</v>
      </c>
      <c r="W301" s="368">
        <v>42000000</v>
      </c>
      <c r="X301" s="357"/>
      <c r="Y301" s="357"/>
      <c r="Z301" s="400"/>
      <c r="AA301" s="369"/>
      <c r="AB301" s="370"/>
      <c r="AC301" s="404"/>
      <c r="AD301" s="270"/>
      <c r="AE301" s="156"/>
      <c r="AF301" s="156"/>
      <c r="AG301" s="357"/>
      <c r="AH301" s="357"/>
      <c r="AI301" s="357"/>
      <c r="AJ301" s="156"/>
      <c r="AK301" s="156"/>
      <c r="AL301" s="375"/>
      <c r="AM301" s="405"/>
      <c r="AN301" s="273"/>
      <c r="AO301" s="405"/>
      <c r="AP301" s="273"/>
      <c r="AQ301" s="273"/>
      <c r="AR301" s="273"/>
      <c r="AS301" s="273"/>
      <c r="AT301" s="273"/>
      <c r="AU301" s="273"/>
      <c r="AV301" s="322">
        <f t="shared" si="14"/>
        <v>0</v>
      </c>
      <c r="AW301" s="402"/>
      <c r="AX301" s="376"/>
      <c r="AY301" s="373"/>
      <c r="AZ301" s="375"/>
      <c r="BA301" s="375"/>
      <c r="BB301" s="375"/>
      <c r="BC301" s="375"/>
      <c r="BD301" s="353">
        <f t="shared" si="15"/>
        <v>0</v>
      </c>
      <c r="BE301" s="432" t="s">
        <v>355</v>
      </c>
      <c r="BF301" s="407" t="s">
        <v>503</v>
      </c>
      <c r="BG301" s="168"/>
      <c r="BH301" s="274"/>
      <c r="BI301" s="168"/>
      <c r="BJ301" s="274"/>
      <c r="BK301" s="168"/>
      <c r="BL301" s="275"/>
      <c r="BM301" s="276"/>
      <c r="BN301" s="275"/>
      <c r="BO301" s="276"/>
      <c r="BP301" s="277"/>
      <c r="BQ301" s="156"/>
      <c r="BR301" s="274"/>
      <c r="BS301" s="270"/>
      <c r="BT301" s="270"/>
      <c r="BU301" s="274"/>
      <c r="BV301" s="274"/>
      <c r="BW301" s="278"/>
      <c r="BX301" s="278"/>
      <c r="BY301" s="278"/>
      <c r="BZ301" s="351"/>
    </row>
    <row r="302" spans="1:78" s="90" customFormat="1" ht="19.5" hidden="1" customHeight="1">
      <c r="A302" s="137"/>
      <c r="B302" s="197">
        <f t="shared" si="13"/>
        <v>292</v>
      </c>
      <c r="C302" s="30" t="s">
        <v>206</v>
      </c>
      <c r="D302" s="30" t="s">
        <v>225</v>
      </c>
      <c r="E302" s="234" t="s">
        <v>910</v>
      </c>
      <c r="F302" s="235" t="s">
        <v>1226</v>
      </c>
      <c r="G302" s="284">
        <f>IFERROR(VLOOKUP(E302,Assign!$C$2:$J$142,8,FALSE),)</f>
        <v>0</v>
      </c>
      <c r="H302" s="361" t="s">
        <v>3904</v>
      </c>
      <c r="I302" s="363">
        <v>1</v>
      </c>
      <c r="J302" s="364" t="s">
        <v>208</v>
      </c>
      <c r="K302" s="364" t="s">
        <v>234</v>
      </c>
      <c r="L302" s="365" t="s">
        <v>235</v>
      </c>
      <c r="M302" s="362" t="s">
        <v>1474</v>
      </c>
      <c r="N302" s="421" t="s">
        <v>207</v>
      </c>
      <c r="O302" s="269">
        <v>28.320499999999999</v>
      </c>
      <c r="P302" s="269">
        <v>84.982600000000005</v>
      </c>
      <c r="Q302" s="426"/>
      <c r="R302" s="418" t="s">
        <v>3418</v>
      </c>
      <c r="S302" s="427" t="s">
        <v>613</v>
      </c>
      <c r="T302" s="357">
        <v>2</v>
      </c>
      <c r="U302" s="357" t="s">
        <v>204</v>
      </c>
      <c r="V302" s="367">
        <v>60000000</v>
      </c>
      <c r="W302" s="368">
        <v>60000000</v>
      </c>
      <c r="X302" s="357"/>
      <c r="Y302" s="357"/>
      <c r="Z302" s="400"/>
      <c r="AA302" s="369"/>
      <c r="AB302" s="370"/>
      <c r="AC302" s="404">
        <v>1</v>
      </c>
      <c r="AD302" s="270" t="s">
        <v>204</v>
      </c>
      <c r="AE302" s="156">
        <v>192000000</v>
      </c>
      <c r="AF302" s="156">
        <v>192000000</v>
      </c>
      <c r="AG302" s="357"/>
      <c r="AH302" s="357"/>
      <c r="AI302" s="357"/>
      <c r="AJ302" s="156"/>
      <c r="AK302" s="156"/>
      <c r="AL302" s="375"/>
      <c r="AM302" s="405"/>
      <c r="AN302" s="273"/>
      <c r="AO302" s="405"/>
      <c r="AP302" s="273"/>
      <c r="AQ302" s="273"/>
      <c r="AR302" s="273"/>
      <c r="AS302" s="273"/>
      <c r="AT302" s="273"/>
      <c r="AU302" s="273"/>
      <c r="AV302" s="322">
        <f t="shared" si="14"/>
        <v>0</v>
      </c>
      <c r="AW302" s="402" t="s">
        <v>3387</v>
      </c>
      <c r="AX302" s="376">
        <v>45765</v>
      </c>
      <c r="AY302" s="373" t="s">
        <v>3388</v>
      </c>
      <c r="AZ302" s="375"/>
      <c r="BA302" s="375">
        <v>585000000</v>
      </c>
      <c r="BB302" s="375"/>
      <c r="BC302" s="375"/>
      <c r="BD302" s="353">
        <f t="shared" si="15"/>
        <v>585000000</v>
      </c>
      <c r="BE302" s="432" t="s">
        <v>355</v>
      </c>
      <c r="BF302" s="407" t="s">
        <v>504</v>
      </c>
      <c r="BG302" s="168"/>
      <c r="BH302" s="274"/>
      <c r="BI302" s="168"/>
      <c r="BJ302" s="274"/>
      <c r="BK302" s="168"/>
      <c r="BL302" s="275"/>
      <c r="BM302" s="276"/>
      <c r="BN302" s="275"/>
      <c r="BO302" s="276"/>
      <c r="BP302" s="277"/>
      <c r="BQ302" s="156"/>
      <c r="BR302" s="274"/>
      <c r="BS302" s="270"/>
      <c r="BT302" s="270"/>
      <c r="BU302" s="274"/>
      <c r="BV302" s="274"/>
      <c r="BW302" s="278"/>
      <c r="BX302" s="278"/>
      <c r="BY302" s="278"/>
      <c r="BZ302" s="351"/>
    </row>
    <row r="303" spans="1:78" s="90" customFormat="1" ht="19.5" hidden="1" customHeight="1">
      <c r="A303" s="137"/>
      <c r="B303" s="197">
        <f t="shared" si="13"/>
        <v>293</v>
      </c>
      <c r="C303" s="30" t="s">
        <v>206</v>
      </c>
      <c r="D303" s="30" t="s">
        <v>225</v>
      </c>
      <c r="E303" s="234" t="s">
        <v>911</v>
      </c>
      <c r="F303" s="235" t="s">
        <v>1234</v>
      </c>
      <c r="G303" s="284">
        <f>IFERROR(VLOOKUP(E303,Assign!$C$2:$J$142,8,FALSE),)</f>
        <v>0</v>
      </c>
      <c r="H303" s="361" t="s">
        <v>4940</v>
      </c>
      <c r="I303" s="363">
        <v>1</v>
      </c>
      <c r="J303" s="364" t="s">
        <v>219</v>
      </c>
      <c r="K303" s="364" t="s">
        <v>313</v>
      </c>
      <c r="L303" s="365" t="s">
        <v>2462</v>
      </c>
      <c r="M303" s="362" t="s">
        <v>2463</v>
      </c>
      <c r="N303" s="421" t="s">
        <v>618</v>
      </c>
      <c r="O303" s="269">
        <v>51.57</v>
      </c>
      <c r="P303" s="269">
        <v>68.400000000000006</v>
      </c>
      <c r="Q303" s="426"/>
      <c r="R303" s="418" t="s">
        <v>911</v>
      </c>
      <c r="S303" s="427" t="s">
        <v>613</v>
      </c>
      <c r="T303" s="357">
        <v>1</v>
      </c>
      <c r="U303" s="357" t="s">
        <v>204</v>
      </c>
      <c r="V303" s="367">
        <v>33000000</v>
      </c>
      <c r="W303" s="368">
        <v>33000000</v>
      </c>
      <c r="X303" s="357"/>
      <c r="Y303" s="357"/>
      <c r="Z303" s="400"/>
      <c r="AA303" s="369"/>
      <c r="AB303" s="370"/>
      <c r="AC303" s="404"/>
      <c r="AD303" s="270"/>
      <c r="AE303" s="156"/>
      <c r="AF303" s="156"/>
      <c r="AG303" s="357"/>
      <c r="AH303" s="357"/>
      <c r="AI303" s="357"/>
      <c r="AJ303" s="156"/>
      <c r="AK303" s="156"/>
      <c r="AL303" s="375"/>
      <c r="AM303" s="405"/>
      <c r="AN303" s="273"/>
      <c r="AO303" s="405"/>
      <c r="AP303" s="273"/>
      <c r="AQ303" s="273"/>
      <c r="AR303" s="273"/>
      <c r="AS303" s="273"/>
      <c r="AT303" s="273"/>
      <c r="AU303" s="273"/>
      <c r="AV303" s="322">
        <f t="shared" si="14"/>
        <v>0</v>
      </c>
      <c r="AW303" s="402"/>
      <c r="AX303" s="376"/>
      <c r="AY303" s="373"/>
      <c r="AZ303" s="375"/>
      <c r="BA303" s="375"/>
      <c r="BB303" s="375"/>
      <c r="BC303" s="375"/>
      <c r="BD303" s="353">
        <f t="shared" si="15"/>
        <v>0</v>
      </c>
      <c r="BE303" s="432" t="s">
        <v>355</v>
      </c>
      <c r="BF303" s="407" t="s">
        <v>526</v>
      </c>
      <c r="BG303" s="168"/>
      <c r="BH303" s="274"/>
      <c r="BI303" s="168"/>
      <c r="BJ303" s="274"/>
      <c r="BK303" s="168"/>
      <c r="BL303" s="275"/>
      <c r="BM303" s="276"/>
      <c r="BN303" s="275"/>
      <c r="BO303" s="276"/>
      <c r="BP303" s="277"/>
      <c r="BQ303" s="156"/>
      <c r="BR303" s="274"/>
      <c r="BS303" s="270"/>
      <c r="BT303" s="270"/>
      <c r="BU303" s="274"/>
      <c r="BV303" s="274"/>
      <c r="BW303" s="278"/>
      <c r="BX303" s="278"/>
      <c r="BY303" s="278"/>
      <c r="BZ303" s="351"/>
    </row>
    <row r="304" spans="1:78" s="90" customFormat="1" ht="19.5" hidden="1" customHeight="1">
      <c r="A304" s="137"/>
      <c r="B304" s="197">
        <f t="shared" si="13"/>
        <v>294</v>
      </c>
      <c r="C304" s="30" t="s">
        <v>206</v>
      </c>
      <c r="D304" s="30" t="s">
        <v>225</v>
      </c>
      <c r="E304" s="234" t="s">
        <v>912</v>
      </c>
      <c r="F304" s="235" t="s">
        <v>1246</v>
      </c>
      <c r="G304" s="284">
        <f>IFERROR(VLOOKUP(E304,Assign!$C$2:$J$142,8,FALSE),)</f>
        <v>0</v>
      </c>
      <c r="H304" s="361" t="s">
        <v>4056</v>
      </c>
      <c r="I304" s="363">
        <v>1</v>
      </c>
      <c r="J304" s="364" t="s">
        <v>208</v>
      </c>
      <c r="K304" s="364" t="s">
        <v>258</v>
      </c>
      <c r="L304" s="365" t="s">
        <v>393</v>
      </c>
      <c r="M304" s="362" t="s">
        <v>1631</v>
      </c>
      <c r="N304" s="421" t="s">
        <v>606</v>
      </c>
      <c r="O304" s="269">
        <v>27.4</v>
      </c>
      <c r="P304" s="269">
        <v>59.18</v>
      </c>
      <c r="Q304" s="426"/>
      <c r="R304" s="418" t="s">
        <v>912</v>
      </c>
      <c r="S304" s="427" t="s">
        <v>613</v>
      </c>
      <c r="T304" s="357">
        <v>1</v>
      </c>
      <c r="U304" s="357" t="s">
        <v>204</v>
      </c>
      <c r="V304" s="367">
        <v>36000000</v>
      </c>
      <c r="W304" s="368">
        <v>36000000</v>
      </c>
      <c r="X304" s="357"/>
      <c r="Y304" s="357"/>
      <c r="Z304" s="400"/>
      <c r="AA304" s="369"/>
      <c r="AB304" s="370"/>
      <c r="AC304" s="404"/>
      <c r="AD304" s="270"/>
      <c r="AE304" s="156"/>
      <c r="AF304" s="156"/>
      <c r="AG304" s="357"/>
      <c r="AH304" s="357"/>
      <c r="AI304" s="357"/>
      <c r="AJ304" s="156"/>
      <c r="AK304" s="156"/>
      <c r="AL304" s="375"/>
      <c r="AM304" s="405"/>
      <c r="AN304" s="273"/>
      <c r="AO304" s="405"/>
      <c r="AP304" s="273"/>
      <c r="AQ304" s="273"/>
      <c r="AR304" s="273"/>
      <c r="AS304" s="273"/>
      <c r="AT304" s="273"/>
      <c r="AU304" s="273"/>
      <c r="AV304" s="322">
        <f t="shared" si="14"/>
        <v>0</v>
      </c>
      <c r="AW304" s="402"/>
      <c r="AX304" s="376"/>
      <c r="AY304" s="373"/>
      <c r="AZ304" s="375"/>
      <c r="BA304" s="375"/>
      <c r="BB304" s="375"/>
      <c r="BC304" s="375"/>
      <c r="BD304" s="353">
        <f t="shared" si="15"/>
        <v>0</v>
      </c>
      <c r="BE304" s="432" t="s">
        <v>355</v>
      </c>
      <c r="BF304" s="407" t="s">
        <v>498</v>
      </c>
      <c r="BG304" s="168"/>
      <c r="BH304" s="274"/>
      <c r="BI304" s="168"/>
      <c r="BJ304" s="274"/>
      <c r="BK304" s="168"/>
      <c r="BL304" s="275"/>
      <c r="BM304" s="276"/>
      <c r="BN304" s="275"/>
      <c r="BO304" s="276"/>
      <c r="BP304" s="277"/>
      <c r="BQ304" s="156"/>
      <c r="BR304" s="274"/>
      <c r="BS304" s="270"/>
      <c r="BT304" s="270"/>
      <c r="BU304" s="274"/>
      <c r="BV304" s="274"/>
      <c r="BW304" s="278"/>
      <c r="BX304" s="278"/>
      <c r="BY304" s="278"/>
      <c r="BZ304" s="351"/>
    </row>
    <row r="305" spans="1:78" s="90" customFormat="1" ht="19.5" hidden="1" customHeight="1">
      <c r="A305" s="137"/>
      <c r="B305" s="197">
        <f t="shared" si="13"/>
        <v>295</v>
      </c>
      <c r="C305" s="30" t="s">
        <v>206</v>
      </c>
      <c r="D305" s="30" t="s">
        <v>225</v>
      </c>
      <c r="E305" s="234" t="s">
        <v>913</v>
      </c>
      <c r="F305" s="235" t="s">
        <v>1260</v>
      </c>
      <c r="G305" s="284">
        <f>IFERROR(VLOOKUP(E305,Assign!$C$2:$J$142,8,FALSE),)</f>
        <v>0</v>
      </c>
      <c r="H305" s="361" t="s">
        <v>4942</v>
      </c>
      <c r="I305" s="363">
        <v>1</v>
      </c>
      <c r="J305" s="364" t="s">
        <v>210</v>
      </c>
      <c r="K305" s="364" t="s">
        <v>375</v>
      </c>
      <c r="L305" s="365" t="s">
        <v>2455</v>
      </c>
      <c r="M305" s="362" t="s">
        <v>2464</v>
      </c>
      <c r="N305" s="421" t="s">
        <v>606</v>
      </c>
      <c r="O305" s="269">
        <v>28.45</v>
      </c>
      <c r="P305" s="269">
        <v>44.07</v>
      </c>
      <c r="Q305" s="426"/>
      <c r="R305" s="418" t="s">
        <v>913</v>
      </c>
      <c r="S305" s="427" t="s">
        <v>613</v>
      </c>
      <c r="T305" s="357">
        <v>1</v>
      </c>
      <c r="U305" s="357" t="s">
        <v>204</v>
      </c>
      <c r="V305" s="367">
        <v>36000000</v>
      </c>
      <c r="W305" s="368">
        <v>36000000</v>
      </c>
      <c r="X305" s="357"/>
      <c r="Y305" s="357"/>
      <c r="Z305" s="400"/>
      <c r="AA305" s="369"/>
      <c r="AB305" s="370"/>
      <c r="AC305" s="404"/>
      <c r="AD305" s="270"/>
      <c r="AE305" s="156"/>
      <c r="AF305" s="156"/>
      <c r="AG305" s="357"/>
      <c r="AH305" s="357"/>
      <c r="AI305" s="357"/>
      <c r="AJ305" s="156"/>
      <c r="AK305" s="156"/>
      <c r="AL305" s="375"/>
      <c r="AM305" s="405"/>
      <c r="AN305" s="273"/>
      <c r="AO305" s="405"/>
      <c r="AP305" s="273"/>
      <c r="AQ305" s="273"/>
      <c r="AR305" s="273"/>
      <c r="AS305" s="273"/>
      <c r="AT305" s="273"/>
      <c r="AU305" s="273"/>
      <c r="AV305" s="322">
        <f t="shared" si="14"/>
        <v>0</v>
      </c>
      <c r="AW305" s="402"/>
      <c r="AX305" s="376"/>
      <c r="AY305" s="373"/>
      <c r="AZ305" s="375"/>
      <c r="BA305" s="375"/>
      <c r="BB305" s="375"/>
      <c r="BC305" s="375"/>
      <c r="BD305" s="353">
        <f t="shared" si="15"/>
        <v>0</v>
      </c>
      <c r="BE305" s="432" t="s">
        <v>355</v>
      </c>
      <c r="BF305" s="407" t="s">
        <v>503</v>
      </c>
      <c r="BG305" s="168"/>
      <c r="BH305" s="274"/>
      <c r="BI305" s="168"/>
      <c r="BJ305" s="274"/>
      <c r="BK305" s="168"/>
      <c r="BL305" s="275"/>
      <c r="BM305" s="276"/>
      <c r="BN305" s="275"/>
      <c r="BO305" s="276"/>
      <c r="BP305" s="277"/>
      <c r="BQ305" s="156"/>
      <c r="BR305" s="274"/>
      <c r="BS305" s="270"/>
      <c r="BT305" s="270"/>
      <c r="BU305" s="274"/>
      <c r="BV305" s="274"/>
      <c r="BW305" s="278"/>
      <c r="BX305" s="278"/>
      <c r="BY305" s="278"/>
      <c r="BZ305" s="351"/>
    </row>
    <row r="306" spans="1:78" s="90" customFormat="1" ht="19.5" hidden="1" customHeight="1">
      <c r="A306" s="137"/>
      <c r="B306" s="197">
        <f t="shared" si="13"/>
        <v>296</v>
      </c>
      <c r="C306" s="30" t="s">
        <v>206</v>
      </c>
      <c r="D306" s="30" t="s">
        <v>225</v>
      </c>
      <c r="E306" s="234" t="s">
        <v>914</v>
      </c>
      <c r="F306" s="235" t="s">
        <v>1270</v>
      </c>
      <c r="G306" s="284">
        <f>IFERROR(VLOOKUP(E306,Assign!$C$2:$J$142,8,FALSE),)</f>
        <v>0</v>
      </c>
      <c r="H306" s="361" t="s">
        <v>4980</v>
      </c>
      <c r="I306" s="363">
        <v>1</v>
      </c>
      <c r="J306" s="364" t="s">
        <v>224</v>
      </c>
      <c r="K306" s="364" t="s">
        <v>428</v>
      </c>
      <c r="L306" s="365" t="s">
        <v>2498</v>
      </c>
      <c r="M306" s="362" t="s">
        <v>2499</v>
      </c>
      <c r="N306" s="421" t="s">
        <v>207</v>
      </c>
      <c r="O306" s="269">
        <v>33.3123</v>
      </c>
      <c r="P306" s="269">
        <v>58.6477</v>
      </c>
      <c r="Q306" s="426"/>
      <c r="R306" s="418" t="s">
        <v>914</v>
      </c>
      <c r="S306" s="427" t="s">
        <v>613</v>
      </c>
      <c r="T306" s="357">
        <v>1</v>
      </c>
      <c r="U306" s="357" t="s">
        <v>204</v>
      </c>
      <c r="V306" s="367">
        <v>29280000</v>
      </c>
      <c r="W306" s="368">
        <v>29280000</v>
      </c>
      <c r="X306" s="357"/>
      <c r="Y306" s="357"/>
      <c r="Z306" s="400"/>
      <c r="AA306" s="369"/>
      <c r="AB306" s="370"/>
      <c r="AC306" s="404"/>
      <c r="AD306" s="270"/>
      <c r="AE306" s="156"/>
      <c r="AF306" s="156"/>
      <c r="AG306" s="357"/>
      <c r="AH306" s="357"/>
      <c r="AI306" s="357"/>
      <c r="AJ306" s="156"/>
      <c r="AK306" s="156"/>
      <c r="AL306" s="375"/>
      <c r="AM306" s="405"/>
      <c r="AN306" s="273"/>
      <c r="AO306" s="405"/>
      <c r="AP306" s="273"/>
      <c r="AQ306" s="273"/>
      <c r="AR306" s="273"/>
      <c r="AS306" s="273"/>
      <c r="AT306" s="273"/>
      <c r="AU306" s="273"/>
      <c r="AV306" s="322">
        <f t="shared" si="14"/>
        <v>0</v>
      </c>
      <c r="AW306" s="402"/>
      <c r="AX306" s="376"/>
      <c r="AY306" s="373"/>
      <c r="AZ306" s="375"/>
      <c r="BA306" s="375"/>
      <c r="BB306" s="375"/>
      <c r="BC306" s="375"/>
      <c r="BD306" s="353">
        <f t="shared" si="15"/>
        <v>0</v>
      </c>
      <c r="BE306" s="432" t="s">
        <v>355</v>
      </c>
      <c r="BF306" s="407" t="s">
        <v>512</v>
      </c>
      <c r="BG306" s="168"/>
      <c r="BH306" s="274"/>
      <c r="BI306" s="168"/>
      <c r="BJ306" s="274"/>
      <c r="BK306" s="168"/>
      <c r="BL306" s="275"/>
      <c r="BM306" s="276"/>
      <c r="BN306" s="275"/>
      <c r="BO306" s="276"/>
      <c r="BP306" s="277"/>
      <c r="BQ306" s="156"/>
      <c r="BR306" s="274"/>
      <c r="BS306" s="270"/>
      <c r="BT306" s="270"/>
      <c r="BU306" s="274"/>
      <c r="BV306" s="274"/>
      <c r="BW306" s="278"/>
      <c r="BX306" s="278"/>
      <c r="BY306" s="278"/>
      <c r="BZ306" s="351"/>
    </row>
    <row r="307" spans="1:78" s="90" customFormat="1" ht="19.5" hidden="1" customHeight="1">
      <c r="A307" s="137"/>
      <c r="B307" s="197">
        <f t="shared" si="13"/>
        <v>297</v>
      </c>
      <c r="C307" s="30" t="s">
        <v>206</v>
      </c>
      <c r="D307" s="30" t="s">
        <v>225</v>
      </c>
      <c r="E307" s="234" t="s">
        <v>915</v>
      </c>
      <c r="F307" s="235" t="s">
        <v>1229</v>
      </c>
      <c r="G307" s="284">
        <f>IFERROR(VLOOKUP(E307,Assign!$C$2:$J$142,8,FALSE),)</f>
        <v>0</v>
      </c>
      <c r="H307" s="361" t="s">
        <v>4165</v>
      </c>
      <c r="I307" s="363">
        <v>1</v>
      </c>
      <c r="J307" s="364" t="s">
        <v>212</v>
      </c>
      <c r="K307" s="364" t="s">
        <v>232</v>
      </c>
      <c r="L307" s="365" t="s">
        <v>1737</v>
      </c>
      <c r="M307" s="362" t="s">
        <v>1740</v>
      </c>
      <c r="N307" s="421" t="s">
        <v>606</v>
      </c>
      <c r="O307" s="269">
        <v>15.85</v>
      </c>
      <c r="P307" s="269">
        <v>43.05</v>
      </c>
      <c r="Q307" s="426"/>
      <c r="R307" s="418" t="s">
        <v>915</v>
      </c>
      <c r="S307" s="427" t="s">
        <v>613</v>
      </c>
      <c r="T307" s="357">
        <v>1</v>
      </c>
      <c r="U307" s="357" t="s">
        <v>204</v>
      </c>
      <c r="V307" s="367">
        <v>48000000</v>
      </c>
      <c r="W307" s="368">
        <v>48000000</v>
      </c>
      <c r="X307" s="357"/>
      <c r="Y307" s="357"/>
      <c r="Z307" s="400"/>
      <c r="AA307" s="369"/>
      <c r="AB307" s="370"/>
      <c r="AC307" s="404"/>
      <c r="AD307" s="270"/>
      <c r="AE307" s="156"/>
      <c r="AF307" s="156"/>
      <c r="AG307" s="357"/>
      <c r="AH307" s="357"/>
      <c r="AI307" s="357"/>
      <c r="AJ307" s="156"/>
      <c r="AK307" s="156"/>
      <c r="AL307" s="375"/>
      <c r="AM307" s="405"/>
      <c r="AN307" s="273"/>
      <c r="AO307" s="405"/>
      <c r="AP307" s="273"/>
      <c r="AQ307" s="273"/>
      <c r="AR307" s="273"/>
      <c r="AS307" s="273"/>
      <c r="AT307" s="273"/>
      <c r="AU307" s="273"/>
      <c r="AV307" s="322">
        <f t="shared" si="14"/>
        <v>0</v>
      </c>
      <c r="AW307" s="402"/>
      <c r="AX307" s="376"/>
      <c r="AY307" s="373"/>
      <c r="AZ307" s="375"/>
      <c r="BA307" s="375"/>
      <c r="BB307" s="375"/>
      <c r="BC307" s="375"/>
      <c r="BD307" s="353">
        <f t="shared" si="15"/>
        <v>0</v>
      </c>
      <c r="BE307" s="432" t="s">
        <v>355</v>
      </c>
      <c r="BF307" s="407" t="s">
        <v>496</v>
      </c>
      <c r="BG307" s="168"/>
      <c r="BH307" s="274"/>
      <c r="BI307" s="168"/>
      <c r="BJ307" s="274"/>
      <c r="BK307" s="168"/>
      <c r="BL307" s="275"/>
      <c r="BM307" s="276"/>
      <c r="BN307" s="275"/>
      <c r="BO307" s="276"/>
      <c r="BP307" s="277"/>
      <c r="BQ307" s="156"/>
      <c r="BR307" s="274"/>
      <c r="BS307" s="270"/>
      <c r="BT307" s="270"/>
      <c r="BU307" s="274"/>
      <c r="BV307" s="274"/>
      <c r="BW307" s="278"/>
      <c r="BX307" s="278"/>
      <c r="BY307" s="278"/>
      <c r="BZ307" s="351"/>
    </row>
    <row r="308" spans="1:78" s="90" customFormat="1" ht="19.5" hidden="1" customHeight="1">
      <c r="A308" s="137"/>
      <c r="B308" s="197">
        <f t="shared" si="13"/>
        <v>298</v>
      </c>
      <c r="C308" s="30" t="s">
        <v>206</v>
      </c>
      <c r="D308" s="30" t="s">
        <v>225</v>
      </c>
      <c r="E308" s="234" t="s">
        <v>916</v>
      </c>
      <c r="F308" s="235" t="s">
        <v>1271</v>
      </c>
      <c r="G308" s="284" t="str">
        <f>IFERROR(VLOOKUP(E308,Assign!$C$2:$J$142,8,FALSE),)</f>
        <v>문선영</v>
      </c>
      <c r="H308" s="361" t="s">
        <v>4428</v>
      </c>
      <c r="I308" s="363">
        <v>1</v>
      </c>
      <c r="J308" s="364" t="s">
        <v>215</v>
      </c>
      <c r="K308" s="364" t="s">
        <v>284</v>
      </c>
      <c r="L308" s="422" t="s">
        <v>3721</v>
      </c>
      <c r="M308" s="423" t="s">
        <v>3502</v>
      </c>
      <c r="N308" s="421" t="s">
        <v>207</v>
      </c>
      <c r="O308" s="269">
        <v>40.39</v>
      </c>
      <c r="P308" s="269">
        <v>84.86</v>
      </c>
      <c r="Q308" s="426"/>
      <c r="R308" s="418" t="s">
        <v>3365</v>
      </c>
      <c r="S308" s="427" t="s">
        <v>613</v>
      </c>
      <c r="T308" s="357">
        <v>1</v>
      </c>
      <c r="U308" s="357" t="s">
        <v>204</v>
      </c>
      <c r="V308" s="367">
        <v>7700000</v>
      </c>
      <c r="W308" s="368">
        <v>7700000</v>
      </c>
      <c r="X308" s="357"/>
      <c r="Y308" s="357"/>
      <c r="Z308" s="400"/>
      <c r="AA308" s="369"/>
      <c r="AB308" s="370"/>
      <c r="AC308" s="404"/>
      <c r="AD308" s="270"/>
      <c r="AE308" s="156"/>
      <c r="AF308" s="156"/>
      <c r="AG308" s="357"/>
      <c r="AH308" s="357"/>
      <c r="AI308" s="357"/>
      <c r="AJ308" s="156"/>
      <c r="AK308" s="156"/>
      <c r="AL308" s="375"/>
      <c r="AM308" s="405"/>
      <c r="AN308" s="273"/>
      <c r="AO308" s="405"/>
      <c r="AP308" s="273"/>
      <c r="AQ308" s="273"/>
      <c r="AR308" s="273"/>
      <c r="AS308" s="273"/>
      <c r="AT308" s="273"/>
      <c r="AU308" s="273"/>
      <c r="AV308" s="322">
        <f t="shared" si="14"/>
        <v>0</v>
      </c>
      <c r="AW308" s="402" t="s">
        <v>3387</v>
      </c>
      <c r="AX308" s="376">
        <v>45765</v>
      </c>
      <c r="AY308" s="373" t="s">
        <v>3388</v>
      </c>
      <c r="AZ308" s="375"/>
      <c r="BA308" s="375">
        <v>255000000</v>
      </c>
      <c r="BB308" s="375"/>
      <c r="BC308" s="375"/>
      <c r="BD308" s="353">
        <f t="shared" si="15"/>
        <v>255000000</v>
      </c>
      <c r="BE308" s="432" t="s">
        <v>355</v>
      </c>
      <c r="BF308" s="407" t="s">
        <v>508</v>
      </c>
      <c r="BG308" s="168"/>
      <c r="BH308" s="274"/>
      <c r="BI308" s="168"/>
      <c r="BJ308" s="274"/>
      <c r="BK308" s="168"/>
      <c r="BL308" s="275"/>
      <c r="BM308" s="276"/>
      <c r="BN308" s="275"/>
      <c r="BO308" s="276"/>
      <c r="BP308" s="277"/>
      <c r="BQ308" s="156"/>
      <c r="BR308" s="274"/>
      <c r="BS308" s="270"/>
      <c r="BT308" s="270"/>
      <c r="BU308" s="274"/>
      <c r="BV308" s="274"/>
      <c r="BW308" s="278"/>
      <c r="BX308" s="278"/>
      <c r="BY308" s="278"/>
      <c r="BZ308" s="351"/>
    </row>
    <row r="309" spans="1:78" s="90" customFormat="1" ht="19.5" hidden="1" customHeight="1">
      <c r="A309" s="137"/>
      <c r="B309" s="197">
        <f t="shared" si="13"/>
        <v>299</v>
      </c>
      <c r="C309" s="30" t="s">
        <v>206</v>
      </c>
      <c r="D309" s="30" t="s">
        <v>225</v>
      </c>
      <c r="E309" s="234" t="s">
        <v>917</v>
      </c>
      <c r="F309" s="235" t="s">
        <v>1221</v>
      </c>
      <c r="G309" s="284" t="str">
        <f>IFERROR(VLOOKUP(E309,Assign!$C$2:$J$142,8,FALSE),)</f>
        <v>문선영</v>
      </c>
      <c r="H309" s="361" t="s">
        <v>4442</v>
      </c>
      <c r="I309" s="363">
        <v>1</v>
      </c>
      <c r="J309" s="364" t="s">
        <v>217</v>
      </c>
      <c r="K309" s="364" t="s">
        <v>336</v>
      </c>
      <c r="L309" s="365" t="s">
        <v>1990</v>
      </c>
      <c r="M309" s="362" t="s">
        <v>3114</v>
      </c>
      <c r="N309" s="421" t="s">
        <v>396</v>
      </c>
      <c r="O309" s="269">
        <v>140.1</v>
      </c>
      <c r="P309" s="269">
        <v>116.76</v>
      </c>
      <c r="Q309" s="426"/>
      <c r="R309" s="418" t="s">
        <v>917</v>
      </c>
      <c r="S309" s="427" t="s">
        <v>613</v>
      </c>
      <c r="T309" s="357">
        <v>1</v>
      </c>
      <c r="U309" s="357" t="s">
        <v>204</v>
      </c>
      <c r="V309" s="367">
        <v>42700000</v>
      </c>
      <c r="W309" s="368">
        <v>42700000</v>
      </c>
      <c r="X309" s="357"/>
      <c r="Y309" s="357"/>
      <c r="Z309" s="400"/>
      <c r="AA309" s="369"/>
      <c r="AB309" s="370"/>
      <c r="AC309" s="404"/>
      <c r="AD309" s="270"/>
      <c r="AE309" s="156"/>
      <c r="AF309" s="156"/>
      <c r="AG309" s="357"/>
      <c r="AH309" s="357"/>
      <c r="AI309" s="357"/>
      <c r="AJ309" s="156"/>
      <c r="AK309" s="156"/>
      <c r="AL309" s="375"/>
      <c r="AM309" s="405"/>
      <c r="AN309" s="273"/>
      <c r="AO309" s="405"/>
      <c r="AP309" s="273"/>
      <c r="AQ309" s="273"/>
      <c r="AR309" s="273"/>
      <c r="AS309" s="273"/>
      <c r="AT309" s="273"/>
      <c r="AU309" s="273"/>
      <c r="AV309" s="322">
        <f t="shared" si="14"/>
        <v>0</v>
      </c>
      <c r="AW309" s="402"/>
      <c r="AX309" s="376"/>
      <c r="AY309" s="373"/>
      <c r="AZ309" s="375"/>
      <c r="BA309" s="375"/>
      <c r="BB309" s="375"/>
      <c r="BC309" s="375"/>
      <c r="BD309" s="353">
        <f t="shared" si="15"/>
        <v>0</v>
      </c>
      <c r="BE309" s="432" t="s">
        <v>355</v>
      </c>
      <c r="BF309" s="407" t="s">
        <v>518</v>
      </c>
      <c r="BG309" s="168"/>
      <c r="BH309" s="274"/>
      <c r="BI309" s="168"/>
      <c r="BJ309" s="274"/>
      <c r="BK309" s="168"/>
      <c r="BL309" s="275"/>
      <c r="BM309" s="276"/>
      <c r="BN309" s="275"/>
      <c r="BO309" s="276"/>
      <c r="BP309" s="277"/>
      <c r="BQ309" s="156"/>
      <c r="BR309" s="274"/>
      <c r="BS309" s="270"/>
      <c r="BT309" s="270"/>
      <c r="BU309" s="274"/>
      <c r="BV309" s="274"/>
      <c r="BW309" s="278"/>
      <c r="BX309" s="278"/>
      <c r="BY309" s="278"/>
      <c r="BZ309" s="351"/>
    </row>
    <row r="310" spans="1:78" s="90" customFormat="1" ht="19.5" hidden="1" customHeight="1">
      <c r="A310" s="137"/>
      <c r="B310" s="197">
        <f t="shared" si="13"/>
        <v>300</v>
      </c>
      <c r="C310" s="30" t="s">
        <v>206</v>
      </c>
      <c r="D310" s="30" t="s">
        <v>359</v>
      </c>
      <c r="E310" s="234" t="s">
        <v>918</v>
      </c>
      <c r="F310" s="235" t="s">
        <v>1322</v>
      </c>
      <c r="G310" s="284">
        <f>IFERROR(VLOOKUP(E310,Assign!$C$2:$J$142,8,FALSE),)</f>
        <v>0</v>
      </c>
      <c r="H310" s="361" t="s">
        <v>5192</v>
      </c>
      <c r="I310" s="363">
        <v>1</v>
      </c>
      <c r="J310" s="364" t="s">
        <v>211</v>
      </c>
      <c r="K310" s="364" t="s">
        <v>251</v>
      </c>
      <c r="L310" s="365" t="s">
        <v>543</v>
      </c>
      <c r="M310" s="362" t="s">
        <v>3163</v>
      </c>
      <c r="N310" s="421" t="s">
        <v>603</v>
      </c>
      <c r="O310" s="269">
        <v>10897</v>
      </c>
      <c r="P310" s="269">
        <v>8467.43</v>
      </c>
      <c r="Q310" s="426"/>
      <c r="R310" s="418" t="s">
        <v>918</v>
      </c>
      <c r="S310" s="427" t="s">
        <v>613</v>
      </c>
      <c r="T310" s="357" t="s">
        <v>418</v>
      </c>
      <c r="U310" s="357" t="s">
        <v>204</v>
      </c>
      <c r="V310" s="367">
        <v>7800000000</v>
      </c>
      <c r="W310" s="368">
        <v>7800000000</v>
      </c>
      <c r="X310" s="357"/>
      <c r="Y310" s="357"/>
      <c r="Z310" s="400"/>
      <c r="AA310" s="369"/>
      <c r="AB310" s="370"/>
      <c r="AC310" s="404" t="s">
        <v>418</v>
      </c>
      <c r="AD310" s="270" t="s">
        <v>204</v>
      </c>
      <c r="AE310" s="156">
        <v>9000000000</v>
      </c>
      <c r="AF310" s="156">
        <v>9000000000</v>
      </c>
      <c r="AG310" s="357"/>
      <c r="AH310" s="357"/>
      <c r="AI310" s="357"/>
      <c r="AJ310" s="156"/>
      <c r="AK310" s="156"/>
      <c r="AL310" s="375"/>
      <c r="AM310" s="405"/>
      <c r="AN310" s="273"/>
      <c r="AO310" s="405"/>
      <c r="AP310" s="273"/>
      <c r="AQ310" s="273"/>
      <c r="AR310" s="273"/>
      <c r="AS310" s="273"/>
      <c r="AT310" s="273"/>
      <c r="AU310" s="273"/>
      <c r="AV310" s="322">
        <f t="shared" si="14"/>
        <v>0</v>
      </c>
      <c r="AW310" s="402"/>
      <c r="AX310" s="376"/>
      <c r="AY310" s="373"/>
      <c r="AZ310" s="375"/>
      <c r="BA310" s="375"/>
      <c r="BB310" s="375"/>
      <c r="BC310" s="375"/>
      <c r="BD310" s="353">
        <f t="shared" si="15"/>
        <v>0</v>
      </c>
      <c r="BE310" s="432" t="s">
        <v>335</v>
      </c>
      <c r="BF310" s="407" t="s">
        <v>509</v>
      </c>
      <c r="BG310" s="168" t="s">
        <v>3402</v>
      </c>
      <c r="BH310" s="274">
        <v>45596</v>
      </c>
      <c r="BI310" s="168" t="s">
        <v>607</v>
      </c>
      <c r="BJ310" s="274">
        <v>45677</v>
      </c>
      <c r="BK310" s="168">
        <v>705888524</v>
      </c>
      <c r="BL310" s="275"/>
      <c r="BM310" s="276"/>
      <c r="BN310" s="275"/>
      <c r="BO310" s="276"/>
      <c r="BP310" s="277"/>
      <c r="BQ310" s="156"/>
      <c r="BR310" s="274"/>
      <c r="BS310" s="270"/>
      <c r="BT310" s="270"/>
      <c r="BU310" s="274"/>
      <c r="BV310" s="274"/>
      <c r="BW310" s="278"/>
      <c r="BX310" s="278"/>
      <c r="BY310" s="278"/>
      <c r="BZ310" s="351"/>
    </row>
    <row r="311" spans="1:78" s="90" customFormat="1" ht="19.5" hidden="1" customHeight="1">
      <c r="A311" s="137"/>
      <c r="B311" s="197">
        <f t="shared" si="13"/>
        <v>301</v>
      </c>
      <c r="C311" s="30" t="s">
        <v>206</v>
      </c>
      <c r="D311" s="30" t="s">
        <v>359</v>
      </c>
      <c r="E311" s="234" t="s">
        <v>919</v>
      </c>
      <c r="F311" s="235" t="s">
        <v>1323</v>
      </c>
      <c r="G311" s="284">
        <f>IFERROR(VLOOKUP(E311,Assign!$C$2:$J$142,8,FALSE),)</f>
        <v>0</v>
      </c>
      <c r="H311" s="361" t="s">
        <v>4286</v>
      </c>
      <c r="I311" s="363">
        <v>1</v>
      </c>
      <c r="J311" s="364" t="s">
        <v>209</v>
      </c>
      <c r="K311" s="364" t="s">
        <v>248</v>
      </c>
      <c r="L311" s="365" t="s">
        <v>1853</v>
      </c>
      <c r="M311" s="362" t="s">
        <v>1854</v>
      </c>
      <c r="N311" s="421" t="s">
        <v>3386</v>
      </c>
      <c r="O311" s="269">
        <v>161.34</v>
      </c>
      <c r="P311" s="269">
        <v>967.46</v>
      </c>
      <c r="Q311" s="426"/>
      <c r="R311" s="418" t="s">
        <v>919</v>
      </c>
      <c r="S311" s="427" t="s">
        <v>613</v>
      </c>
      <c r="T311" s="357">
        <v>1</v>
      </c>
      <c r="U311" s="357" t="s">
        <v>204</v>
      </c>
      <c r="V311" s="367">
        <v>4089000000</v>
      </c>
      <c r="W311" s="368">
        <v>4089000000</v>
      </c>
      <c r="X311" s="357"/>
      <c r="Y311" s="357"/>
      <c r="Z311" s="400"/>
      <c r="AA311" s="369"/>
      <c r="AB311" s="370"/>
      <c r="AC311" s="404"/>
      <c r="AD311" s="270"/>
      <c r="AE311" s="156"/>
      <c r="AF311" s="156"/>
      <c r="AG311" s="357"/>
      <c r="AH311" s="357"/>
      <c r="AI311" s="357"/>
      <c r="AJ311" s="156"/>
      <c r="AK311" s="156"/>
      <c r="AL311" s="375"/>
      <c r="AM311" s="405"/>
      <c r="AN311" s="273"/>
      <c r="AO311" s="405"/>
      <c r="AP311" s="273"/>
      <c r="AQ311" s="273"/>
      <c r="AR311" s="273"/>
      <c r="AS311" s="273"/>
      <c r="AT311" s="273"/>
      <c r="AU311" s="273"/>
      <c r="AV311" s="322">
        <f t="shared" si="14"/>
        <v>0</v>
      </c>
      <c r="AW311" s="402"/>
      <c r="AX311" s="376"/>
      <c r="AY311" s="373"/>
      <c r="AZ311" s="375"/>
      <c r="BA311" s="375"/>
      <c r="BB311" s="375"/>
      <c r="BC311" s="375"/>
      <c r="BD311" s="353">
        <f t="shared" si="15"/>
        <v>0</v>
      </c>
      <c r="BE311" s="432" t="s">
        <v>355</v>
      </c>
      <c r="BF311" s="407" t="s">
        <v>511</v>
      </c>
      <c r="BG311" s="168"/>
      <c r="BH311" s="274"/>
      <c r="BI311" s="168"/>
      <c r="BJ311" s="274"/>
      <c r="BK311" s="168"/>
      <c r="BL311" s="275"/>
      <c r="BM311" s="276"/>
      <c r="BN311" s="275"/>
      <c r="BO311" s="276"/>
      <c r="BP311" s="277"/>
      <c r="BQ311" s="156"/>
      <c r="BR311" s="274"/>
      <c r="BS311" s="270"/>
      <c r="BT311" s="270"/>
      <c r="BU311" s="274"/>
      <c r="BV311" s="274"/>
      <c r="BW311" s="278"/>
      <c r="BX311" s="278"/>
      <c r="BY311" s="278"/>
      <c r="BZ311" s="351"/>
    </row>
    <row r="312" spans="1:78" s="90" customFormat="1" ht="19.5" hidden="1" customHeight="1">
      <c r="A312" s="137"/>
      <c r="B312" s="197">
        <f t="shared" si="13"/>
        <v>302</v>
      </c>
      <c r="C312" s="30" t="s">
        <v>206</v>
      </c>
      <c r="D312" s="30" t="s">
        <v>359</v>
      </c>
      <c r="E312" s="234" t="s">
        <v>920</v>
      </c>
      <c r="F312" s="235" t="s">
        <v>1272</v>
      </c>
      <c r="G312" s="284">
        <f>IFERROR(VLOOKUP(E312,Assign!$C$2:$J$142,8,FALSE),)</f>
        <v>0</v>
      </c>
      <c r="H312" s="361" t="s">
        <v>5004</v>
      </c>
      <c r="I312" s="363">
        <v>1</v>
      </c>
      <c r="J312" s="364" t="s">
        <v>217</v>
      </c>
      <c r="K312" s="364" t="s">
        <v>344</v>
      </c>
      <c r="L312" s="365" t="s">
        <v>2525</v>
      </c>
      <c r="M312" s="362" t="s">
        <v>3147</v>
      </c>
      <c r="N312" s="421" t="s">
        <v>285</v>
      </c>
      <c r="O312" s="269">
        <v>4888.1000000000004</v>
      </c>
      <c r="P312" s="269">
        <v>4357.49</v>
      </c>
      <c r="Q312" s="426">
        <v>2</v>
      </c>
      <c r="R312" s="418" t="s">
        <v>920</v>
      </c>
      <c r="S312" s="427" t="s">
        <v>613</v>
      </c>
      <c r="T312" s="357" t="s">
        <v>229</v>
      </c>
      <c r="U312" s="357" t="s">
        <v>204</v>
      </c>
      <c r="V312" s="367">
        <v>4560000000</v>
      </c>
      <c r="W312" s="368">
        <v>4560000000</v>
      </c>
      <c r="X312" s="357"/>
      <c r="Y312" s="357"/>
      <c r="Z312" s="400"/>
      <c r="AA312" s="369"/>
      <c r="AB312" s="370"/>
      <c r="AC312" s="404"/>
      <c r="AD312" s="270"/>
      <c r="AE312" s="156"/>
      <c r="AF312" s="156"/>
      <c r="AG312" s="357"/>
      <c r="AH312" s="357"/>
      <c r="AI312" s="357"/>
      <c r="AJ312" s="156"/>
      <c r="AK312" s="156"/>
      <c r="AL312" s="375"/>
      <c r="AM312" s="405"/>
      <c r="AN312" s="273"/>
      <c r="AO312" s="405"/>
      <c r="AP312" s="273"/>
      <c r="AQ312" s="273"/>
      <c r="AR312" s="273"/>
      <c r="AS312" s="273"/>
      <c r="AT312" s="273"/>
      <c r="AU312" s="273"/>
      <c r="AV312" s="322">
        <f t="shared" si="14"/>
        <v>0</v>
      </c>
      <c r="AW312" s="402"/>
      <c r="AX312" s="376"/>
      <c r="AY312" s="373"/>
      <c r="AZ312" s="375"/>
      <c r="BA312" s="375"/>
      <c r="BB312" s="375"/>
      <c r="BC312" s="375"/>
      <c r="BD312" s="353">
        <f t="shared" si="15"/>
        <v>0</v>
      </c>
      <c r="BE312" s="432" t="s">
        <v>355</v>
      </c>
      <c r="BF312" s="407" t="s">
        <v>515</v>
      </c>
      <c r="BG312" s="168"/>
      <c r="BH312" s="274"/>
      <c r="BI312" s="168"/>
      <c r="BJ312" s="274"/>
      <c r="BK312" s="168"/>
      <c r="BL312" s="275"/>
      <c r="BM312" s="276"/>
      <c r="BN312" s="275"/>
      <c r="BO312" s="276"/>
      <c r="BP312" s="277"/>
      <c r="BQ312" s="156"/>
      <c r="BR312" s="274"/>
      <c r="BS312" s="270"/>
      <c r="BT312" s="270"/>
      <c r="BU312" s="274"/>
      <c r="BV312" s="274"/>
      <c r="BW312" s="278"/>
      <c r="BX312" s="278"/>
      <c r="BY312" s="278"/>
      <c r="BZ312" s="351"/>
    </row>
    <row r="313" spans="1:78" s="90" customFormat="1" ht="19.5" hidden="1" customHeight="1">
      <c r="A313" s="137"/>
      <c r="B313" s="197">
        <f t="shared" si="13"/>
        <v>303</v>
      </c>
      <c r="C313" s="30" t="s">
        <v>206</v>
      </c>
      <c r="D313" s="30" t="s">
        <v>359</v>
      </c>
      <c r="E313" s="234" t="s">
        <v>921</v>
      </c>
      <c r="F313" s="235" t="s">
        <v>1273</v>
      </c>
      <c r="G313" s="284">
        <f>IFERROR(VLOOKUP(E313,Assign!$C$2:$J$142,8,FALSE),)</f>
        <v>0</v>
      </c>
      <c r="H313" s="361" t="s">
        <v>4963</v>
      </c>
      <c r="I313" s="363">
        <v>1</v>
      </c>
      <c r="J313" s="364" t="s">
        <v>208</v>
      </c>
      <c r="K313" s="364" t="s">
        <v>318</v>
      </c>
      <c r="L313" s="365" t="s">
        <v>2482</v>
      </c>
      <c r="M313" s="362" t="s">
        <v>3140</v>
      </c>
      <c r="N313" s="421" t="s">
        <v>3642</v>
      </c>
      <c r="O313" s="269">
        <v>496</v>
      </c>
      <c r="P313" s="269">
        <v>1503.52</v>
      </c>
      <c r="Q313" s="426"/>
      <c r="R313" s="418" t="s">
        <v>921</v>
      </c>
      <c r="S313" s="427" t="s">
        <v>613</v>
      </c>
      <c r="T313" s="357" t="s">
        <v>3064</v>
      </c>
      <c r="U313" s="357" t="s">
        <v>204</v>
      </c>
      <c r="V313" s="367">
        <v>3975600000</v>
      </c>
      <c r="W313" s="368">
        <v>3975600000</v>
      </c>
      <c r="X313" s="357"/>
      <c r="Y313" s="357"/>
      <c r="Z313" s="400"/>
      <c r="AA313" s="369"/>
      <c r="AB313" s="370"/>
      <c r="AC313" s="404" t="s">
        <v>3073</v>
      </c>
      <c r="AD313" s="270" t="s">
        <v>204</v>
      </c>
      <c r="AE313" s="156">
        <v>1210400000</v>
      </c>
      <c r="AF313" s="156">
        <v>1210400000</v>
      </c>
      <c r="AG313" s="357"/>
      <c r="AH313" s="357"/>
      <c r="AI313" s="357"/>
      <c r="AJ313" s="156"/>
      <c r="AK313" s="156"/>
      <c r="AL313" s="375"/>
      <c r="AM313" s="405"/>
      <c r="AN313" s="273"/>
      <c r="AO313" s="405"/>
      <c r="AP313" s="273"/>
      <c r="AQ313" s="273"/>
      <c r="AR313" s="273"/>
      <c r="AS313" s="273"/>
      <c r="AT313" s="273"/>
      <c r="AU313" s="273"/>
      <c r="AV313" s="322">
        <f t="shared" si="14"/>
        <v>0</v>
      </c>
      <c r="AW313" s="402"/>
      <c r="AX313" s="376"/>
      <c r="AY313" s="373"/>
      <c r="AZ313" s="375"/>
      <c r="BA313" s="375"/>
      <c r="BB313" s="375"/>
      <c r="BC313" s="375"/>
      <c r="BD313" s="353">
        <f t="shared" si="15"/>
        <v>0</v>
      </c>
      <c r="BE313" s="432" t="s">
        <v>355</v>
      </c>
      <c r="BF313" s="407" t="s">
        <v>422</v>
      </c>
      <c r="BG313" s="168"/>
      <c r="BH313" s="274"/>
      <c r="BI313" s="168"/>
      <c r="BJ313" s="274"/>
      <c r="BK313" s="168"/>
      <c r="BL313" s="275"/>
      <c r="BM313" s="276"/>
      <c r="BN313" s="275"/>
      <c r="BO313" s="276"/>
      <c r="BP313" s="277"/>
      <c r="BQ313" s="156"/>
      <c r="BR313" s="274"/>
      <c r="BS313" s="270"/>
      <c r="BT313" s="270"/>
      <c r="BU313" s="274"/>
      <c r="BV313" s="274"/>
      <c r="BW313" s="278"/>
      <c r="BX313" s="278"/>
      <c r="BY313" s="278"/>
      <c r="BZ313" s="351"/>
    </row>
    <row r="314" spans="1:78" s="90" customFormat="1" ht="19.5" hidden="1" customHeight="1">
      <c r="A314" s="137"/>
      <c r="B314" s="197">
        <f t="shared" si="13"/>
        <v>304</v>
      </c>
      <c r="C314" s="30" t="s">
        <v>206</v>
      </c>
      <c r="D314" s="30" t="s">
        <v>359</v>
      </c>
      <c r="E314" s="234" t="s">
        <v>921</v>
      </c>
      <c r="F314" s="235" t="s">
        <v>1273</v>
      </c>
      <c r="G314" s="284">
        <f>IFERROR(VLOOKUP(E314,Assign!$C$2:$J$142,8,FALSE),)</f>
        <v>0</v>
      </c>
      <c r="H314" s="361" t="s">
        <v>4966</v>
      </c>
      <c r="I314" s="363">
        <v>2</v>
      </c>
      <c r="J314" s="364" t="s">
        <v>208</v>
      </c>
      <c r="K314" s="364" t="s">
        <v>237</v>
      </c>
      <c r="L314" s="365" t="s">
        <v>331</v>
      </c>
      <c r="M314" s="362" t="s">
        <v>2484</v>
      </c>
      <c r="N314" s="421" t="s">
        <v>3141</v>
      </c>
      <c r="O314" s="269">
        <v>201.92189999999999</v>
      </c>
      <c r="P314" s="269">
        <v>84.959299999999999</v>
      </c>
      <c r="Q314" s="426"/>
      <c r="R314" s="418" t="s">
        <v>3395</v>
      </c>
      <c r="S314" s="427" t="s">
        <v>613</v>
      </c>
      <c r="T314" s="357">
        <v>2</v>
      </c>
      <c r="U314" s="357" t="s">
        <v>204</v>
      </c>
      <c r="V314" s="367">
        <v>360000000</v>
      </c>
      <c r="W314" s="368">
        <v>360000000</v>
      </c>
      <c r="X314" s="357"/>
      <c r="Y314" s="357"/>
      <c r="Z314" s="400"/>
      <c r="AA314" s="369"/>
      <c r="AB314" s="370"/>
      <c r="AC314" s="404">
        <v>1</v>
      </c>
      <c r="AD314" s="270" t="s">
        <v>204</v>
      </c>
      <c r="AE314" s="156">
        <v>360000000</v>
      </c>
      <c r="AF314" s="156">
        <v>360000000</v>
      </c>
      <c r="AG314" s="357"/>
      <c r="AH314" s="357"/>
      <c r="AI314" s="357"/>
      <c r="AJ314" s="156"/>
      <c r="AK314" s="156"/>
      <c r="AL314" s="375"/>
      <c r="AM314" s="405"/>
      <c r="AN314" s="273"/>
      <c r="AO314" s="405"/>
      <c r="AP314" s="273"/>
      <c r="AQ314" s="273"/>
      <c r="AR314" s="273"/>
      <c r="AS314" s="273"/>
      <c r="AT314" s="273"/>
      <c r="AU314" s="273"/>
      <c r="AV314" s="322">
        <f t="shared" si="14"/>
        <v>0</v>
      </c>
      <c r="AW314" s="402"/>
      <c r="AX314" s="376"/>
      <c r="AY314" s="373"/>
      <c r="AZ314" s="375"/>
      <c r="BA314" s="375"/>
      <c r="BB314" s="375"/>
      <c r="BC314" s="375"/>
      <c r="BD314" s="353">
        <f t="shared" si="15"/>
        <v>0</v>
      </c>
      <c r="BE314" s="432" t="s">
        <v>355</v>
      </c>
      <c r="BF314" s="407" t="s">
        <v>502</v>
      </c>
      <c r="BG314" s="168"/>
      <c r="BH314" s="274"/>
      <c r="BI314" s="168"/>
      <c r="BJ314" s="274"/>
      <c r="BK314" s="168"/>
      <c r="BL314" s="275"/>
      <c r="BM314" s="276"/>
      <c r="BN314" s="275"/>
      <c r="BO314" s="276"/>
      <c r="BP314" s="277"/>
      <c r="BQ314" s="156"/>
      <c r="BR314" s="274"/>
      <c r="BS314" s="270"/>
      <c r="BT314" s="270"/>
      <c r="BU314" s="274"/>
      <c r="BV314" s="274"/>
      <c r="BW314" s="278"/>
      <c r="BX314" s="278"/>
      <c r="BY314" s="278"/>
      <c r="BZ314" s="351"/>
    </row>
    <row r="315" spans="1:78" s="90" customFormat="1" ht="19.5" hidden="1" customHeight="1">
      <c r="A315" s="137"/>
      <c r="B315" s="197">
        <f t="shared" si="13"/>
        <v>305</v>
      </c>
      <c r="C315" s="30" t="s">
        <v>206</v>
      </c>
      <c r="D315" s="30" t="s">
        <v>359</v>
      </c>
      <c r="E315" s="234" t="s">
        <v>922</v>
      </c>
      <c r="F315" s="235" t="s">
        <v>1324</v>
      </c>
      <c r="G315" s="284">
        <f>IFERROR(VLOOKUP(E315,Assign!$C$2:$J$142,8,FALSE),)</f>
        <v>0</v>
      </c>
      <c r="H315" s="361" t="s">
        <v>5182</v>
      </c>
      <c r="I315" s="363">
        <v>1</v>
      </c>
      <c r="J315" s="364" t="s">
        <v>208</v>
      </c>
      <c r="K315" s="364" t="s">
        <v>1703</v>
      </c>
      <c r="L315" s="365" t="s">
        <v>2686</v>
      </c>
      <c r="M315" s="362" t="s">
        <v>3161</v>
      </c>
      <c r="N315" s="421" t="s">
        <v>620</v>
      </c>
      <c r="O315" s="269">
        <v>1371</v>
      </c>
      <c r="P315" s="269">
        <v>697.64</v>
      </c>
      <c r="Q315" s="426"/>
      <c r="R315" s="418" t="s">
        <v>922</v>
      </c>
      <c r="S315" s="427" t="s">
        <v>613</v>
      </c>
      <c r="T315" s="357">
        <v>1</v>
      </c>
      <c r="U315" s="357" t="s">
        <v>204</v>
      </c>
      <c r="V315" s="367">
        <v>1920000000</v>
      </c>
      <c r="W315" s="368">
        <v>1920000000</v>
      </c>
      <c r="X315" s="357"/>
      <c r="Y315" s="357"/>
      <c r="Z315" s="400"/>
      <c r="AA315" s="369"/>
      <c r="AB315" s="370"/>
      <c r="AC315" s="404"/>
      <c r="AD315" s="270"/>
      <c r="AE315" s="156"/>
      <c r="AF315" s="156"/>
      <c r="AG315" s="357"/>
      <c r="AH315" s="357"/>
      <c r="AI315" s="357"/>
      <c r="AJ315" s="156"/>
      <c r="AK315" s="156"/>
      <c r="AL315" s="375"/>
      <c r="AM315" s="405"/>
      <c r="AN315" s="273"/>
      <c r="AO315" s="405"/>
      <c r="AP315" s="273"/>
      <c r="AQ315" s="273"/>
      <c r="AR315" s="273"/>
      <c r="AS315" s="273"/>
      <c r="AT315" s="273"/>
      <c r="AU315" s="273"/>
      <c r="AV315" s="322">
        <f t="shared" si="14"/>
        <v>0</v>
      </c>
      <c r="AW315" s="402"/>
      <c r="AX315" s="376"/>
      <c r="AY315" s="373"/>
      <c r="AZ315" s="375"/>
      <c r="BA315" s="375"/>
      <c r="BB315" s="375"/>
      <c r="BC315" s="375"/>
      <c r="BD315" s="353">
        <f t="shared" si="15"/>
        <v>0</v>
      </c>
      <c r="BE315" s="432" t="s">
        <v>355</v>
      </c>
      <c r="BF315" s="407" t="s">
        <v>504</v>
      </c>
      <c r="BG315" s="168"/>
      <c r="BH315" s="274"/>
      <c r="BI315" s="168"/>
      <c r="BJ315" s="274"/>
      <c r="BK315" s="168"/>
      <c r="BL315" s="275"/>
      <c r="BM315" s="276"/>
      <c r="BN315" s="275"/>
      <c r="BO315" s="276"/>
      <c r="BP315" s="277"/>
      <c r="BQ315" s="156"/>
      <c r="BR315" s="274"/>
      <c r="BS315" s="270"/>
      <c r="BT315" s="270"/>
      <c r="BU315" s="274"/>
      <c r="BV315" s="274"/>
      <c r="BW315" s="278"/>
      <c r="BX315" s="278"/>
      <c r="BY315" s="278"/>
      <c r="BZ315" s="351"/>
    </row>
    <row r="316" spans="1:78" s="90" customFormat="1" ht="19.5" hidden="1" customHeight="1">
      <c r="A316" s="137"/>
      <c r="B316" s="197">
        <f t="shared" si="13"/>
        <v>306</v>
      </c>
      <c r="C316" s="30" t="s">
        <v>206</v>
      </c>
      <c r="D316" s="30" t="s">
        <v>359</v>
      </c>
      <c r="E316" s="234" t="s">
        <v>922</v>
      </c>
      <c r="F316" s="235" t="s">
        <v>1324</v>
      </c>
      <c r="G316" s="284">
        <f>IFERROR(VLOOKUP(E316,Assign!$C$2:$J$142,8,FALSE),)</f>
        <v>0</v>
      </c>
      <c r="H316" s="361" t="s">
        <v>5185</v>
      </c>
      <c r="I316" s="363">
        <v>2</v>
      </c>
      <c r="J316" s="364" t="s">
        <v>208</v>
      </c>
      <c r="K316" s="364" t="s">
        <v>391</v>
      </c>
      <c r="L316" s="365" t="s">
        <v>2689</v>
      </c>
      <c r="M316" s="362" t="s">
        <v>3162</v>
      </c>
      <c r="N316" s="421" t="s">
        <v>245</v>
      </c>
      <c r="O316" s="269">
        <v>2887</v>
      </c>
      <c r="P316" s="269"/>
      <c r="Q316" s="426"/>
      <c r="R316" s="418" t="s">
        <v>922</v>
      </c>
      <c r="S316" s="427" t="s">
        <v>613</v>
      </c>
      <c r="T316" s="357">
        <v>1</v>
      </c>
      <c r="U316" s="357" t="s">
        <v>204</v>
      </c>
      <c r="V316" s="367">
        <v>678000000</v>
      </c>
      <c r="W316" s="368">
        <v>678000000</v>
      </c>
      <c r="X316" s="357"/>
      <c r="Y316" s="357"/>
      <c r="Z316" s="400"/>
      <c r="AA316" s="369"/>
      <c r="AB316" s="370"/>
      <c r="AC316" s="404"/>
      <c r="AD316" s="270"/>
      <c r="AE316" s="156"/>
      <c r="AF316" s="156"/>
      <c r="AG316" s="357"/>
      <c r="AH316" s="357"/>
      <c r="AI316" s="357"/>
      <c r="AJ316" s="156"/>
      <c r="AK316" s="156"/>
      <c r="AL316" s="375"/>
      <c r="AM316" s="405"/>
      <c r="AN316" s="273"/>
      <c r="AO316" s="405"/>
      <c r="AP316" s="273"/>
      <c r="AQ316" s="273"/>
      <c r="AR316" s="273"/>
      <c r="AS316" s="273"/>
      <c r="AT316" s="273"/>
      <c r="AU316" s="273"/>
      <c r="AV316" s="322">
        <f t="shared" si="14"/>
        <v>0</v>
      </c>
      <c r="AW316" s="402"/>
      <c r="AX316" s="376"/>
      <c r="AY316" s="373"/>
      <c r="AZ316" s="375"/>
      <c r="BA316" s="375"/>
      <c r="BB316" s="375"/>
      <c r="BC316" s="375"/>
      <c r="BD316" s="353">
        <f t="shared" si="15"/>
        <v>0</v>
      </c>
      <c r="BE316" s="432" t="s">
        <v>355</v>
      </c>
      <c r="BF316" s="407" t="s">
        <v>493</v>
      </c>
      <c r="BG316" s="168"/>
      <c r="BH316" s="274"/>
      <c r="BI316" s="168"/>
      <c r="BJ316" s="274"/>
      <c r="BK316" s="168"/>
      <c r="BL316" s="275"/>
      <c r="BM316" s="276"/>
      <c r="BN316" s="275"/>
      <c r="BO316" s="276"/>
      <c r="BP316" s="277"/>
      <c r="BQ316" s="156"/>
      <c r="BR316" s="274"/>
      <c r="BS316" s="270"/>
      <c r="BT316" s="270"/>
      <c r="BU316" s="274"/>
      <c r="BV316" s="274"/>
      <c r="BW316" s="278"/>
      <c r="BX316" s="278"/>
      <c r="BY316" s="278"/>
      <c r="BZ316" s="351"/>
    </row>
    <row r="317" spans="1:78" s="90" customFormat="1" ht="19.5" hidden="1" customHeight="1">
      <c r="A317" s="137"/>
      <c r="B317" s="197">
        <f t="shared" si="13"/>
        <v>307</v>
      </c>
      <c r="C317" s="30" t="s">
        <v>206</v>
      </c>
      <c r="D317" s="30" t="s">
        <v>359</v>
      </c>
      <c r="E317" s="234" t="s">
        <v>923</v>
      </c>
      <c r="F317" s="235" t="s">
        <v>1325</v>
      </c>
      <c r="G317" s="284">
        <f>IFERROR(VLOOKUP(E317,Assign!$C$2:$J$142,8,FALSE),)</f>
        <v>0</v>
      </c>
      <c r="H317" s="361" t="s">
        <v>5040</v>
      </c>
      <c r="I317" s="363">
        <v>1</v>
      </c>
      <c r="J317" s="364" t="s">
        <v>212</v>
      </c>
      <c r="K317" s="364" t="s">
        <v>309</v>
      </c>
      <c r="L317" s="365" t="s">
        <v>328</v>
      </c>
      <c r="M317" s="362" t="s">
        <v>2559</v>
      </c>
      <c r="N317" s="421" t="s">
        <v>3151</v>
      </c>
      <c r="O317" s="269">
        <v>195.04</v>
      </c>
      <c r="P317" s="269">
        <v>301.76</v>
      </c>
      <c r="Q317" s="426"/>
      <c r="R317" s="418" t="s">
        <v>923</v>
      </c>
      <c r="S317" s="427" t="s">
        <v>613</v>
      </c>
      <c r="T317" s="357" t="s">
        <v>381</v>
      </c>
      <c r="U317" s="357" t="s">
        <v>204</v>
      </c>
      <c r="V317" s="367">
        <v>936000000</v>
      </c>
      <c r="W317" s="368">
        <v>936000000</v>
      </c>
      <c r="X317" s="357">
        <v>2</v>
      </c>
      <c r="Y317" s="357">
        <v>3</v>
      </c>
      <c r="Z317" s="400" t="s">
        <v>3206</v>
      </c>
      <c r="AA317" s="369">
        <v>120000000</v>
      </c>
      <c r="AB317" s="370">
        <v>120000000</v>
      </c>
      <c r="AC317" s="404">
        <v>2</v>
      </c>
      <c r="AD317" s="270" t="s">
        <v>204</v>
      </c>
      <c r="AE317" s="156">
        <v>240000000</v>
      </c>
      <c r="AF317" s="156">
        <v>240000000</v>
      </c>
      <c r="AG317" s="357"/>
      <c r="AH317" s="357"/>
      <c r="AI317" s="357"/>
      <c r="AJ317" s="156"/>
      <c r="AK317" s="156"/>
      <c r="AL317" s="375"/>
      <c r="AM317" s="405"/>
      <c r="AN317" s="273"/>
      <c r="AO317" s="405"/>
      <c r="AP317" s="273"/>
      <c r="AQ317" s="273"/>
      <c r="AR317" s="273"/>
      <c r="AS317" s="273"/>
      <c r="AT317" s="273"/>
      <c r="AU317" s="273"/>
      <c r="AV317" s="322">
        <f t="shared" si="14"/>
        <v>0</v>
      </c>
      <c r="AW317" s="402"/>
      <c r="AX317" s="376"/>
      <c r="AY317" s="373"/>
      <c r="AZ317" s="375"/>
      <c r="BA317" s="375"/>
      <c r="BB317" s="375"/>
      <c r="BC317" s="375"/>
      <c r="BD317" s="353">
        <f t="shared" si="15"/>
        <v>0</v>
      </c>
      <c r="BE317" s="432" t="s">
        <v>355</v>
      </c>
      <c r="BF317" s="407" t="s">
        <v>496</v>
      </c>
      <c r="BG317" s="168"/>
      <c r="BH317" s="274"/>
      <c r="BI317" s="168"/>
      <c r="BJ317" s="274"/>
      <c r="BK317" s="168"/>
      <c r="BL317" s="275"/>
      <c r="BM317" s="276"/>
      <c r="BN317" s="275"/>
      <c r="BO317" s="276"/>
      <c r="BP317" s="277"/>
      <c r="BQ317" s="156"/>
      <c r="BR317" s="274"/>
      <c r="BS317" s="270"/>
      <c r="BT317" s="270"/>
      <c r="BU317" s="274"/>
      <c r="BV317" s="274"/>
      <c r="BW317" s="278"/>
      <c r="BX317" s="278"/>
      <c r="BY317" s="278"/>
      <c r="BZ317" s="351"/>
    </row>
    <row r="318" spans="1:78" s="90" customFormat="1" ht="19.5" hidden="1" customHeight="1">
      <c r="A318" s="137"/>
      <c r="B318" s="197">
        <f t="shared" si="13"/>
        <v>308</v>
      </c>
      <c r="C318" s="30" t="s">
        <v>206</v>
      </c>
      <c r="D318" s="30" t="s">
        <v>359</v>
      </c>
      <c r="E318" s="234" t="s">
        <v>923</v>
      </c>
      <c r="F318" s="235" t="s">
        <v>1325</v>
      </c>
      <c r="G318" s="284">
        <f>IFERROR(VLOOKUP(E318,Assign!$C$2:$J$142,8,FALSE),)</f>
        <v>0</v>
      </c>
      <c r="H318" s="361" t="s">
        <v>5042</v>
      </c>
      <c r="I318" s="363">
        <v>2</v>
      </c>
      <c r="J318" s="364" t="s">
        <v>212</v>
      </c>
      <c r="K318" s="364" t="s">
        <v>309</v>
      </c>
      <c r="L318" s="365" t="s">
        <v>328</v>
      </c>
      <c r="M318" s="362" t="s">
        <v>2561</v>
      </c>
      <c r="N318" s="421" t="s">
        <v>207</v>
      </c>
      <c r="O318" s="269">
        <v>42.421399999999998</v>
      </c>
      <c r="P318" s="269">
        <v>95.87</v>
      </c>
      <c r="Q318" s="426"/>
      <c r="R318" s="418" t="s">
        <v>3450</v>
      </c>
      <c r="S318" s="427" t="s">
        <v>613</v>
      </c>
      <c r="T318" s="357" t="s">
        <v>3065</v>
      </c>
      <c r="U318" s="357" t="s">
        <v>204</v>
      </c>
      <c r="V318" s="367">
        <v>220000000</v>
      </c>
      <c r="W318" s="368">
        <v>220000000</v>
      </c>
      <c r="X318" s="357">
        <v>1</v>
      </c>
      <c r="Y318" s="357">
        <v>6</v>
      </c>
      <c r="Z318" s="400" t="s">
        <v>3206</v>
      </c>
      <c r="AA318" s="369">
        <v>120000000</v>
      </c>
      <c r="AB318" s="370">
        <v>120000000</v>
      </c>
      <c r="AC318" s="404" t="s">
        <v>3067</v>
      </c>
      <c r="AD318" s="270" t="s">
        <v>204</v>
      </c>
      <c r="AE318" s="156">
        <v>773400000</v>
      </c>
      <c r="AF318" s="156">
        <v>773400000</v>
      </c>
      <c r="AG318" s="357"/>
      <c r="AH318" s="357"/>
      <c r="AI318" s="357"/>
      <c r="AJ318" s="156"/>
      <c r="AK318" s="156"/>
      <c r="AL318" s="375"/>
      <c r="AM318" s="405"/>
      <c r="AN318" s="273"/>
      <c r="AO318" s="405"/>
      <c r="AP318" s="273"/>
      <c r="AQ318" s="273"/>
      <c r="AR318" s="273"/>
      <c r="AS318" s="273"/>
      <c r="AT318" s="273"/>
      <c r="AU318" s="273"/>
      <c r="AV318" s="322">
        <f t="shared" si="14"/>
        <v>0</v>
      </c>
      <c r="AW318" s="402" t="s">
        <v>3387</v>
      </c>
      <c r="AX318" s="376">
        <v>45765</v>
      </c>
      <c r="AY318" s="373" t="s">
        <v>3388</v>
      </c>
      <c r="AZ318" s="375"/>
      <c r="BA318" s="375">
        <v>1200000000</v>
      </c>
      <c r="BB318" s="375"/>
      <c r="BC318" s="375"/>
      <c r="BD318" s="353">
        <f t="shared" si="15"/>
        <v>1200000000</v>
      </c>
      <c r="BE318" s="432" t="s">
        <v>335</v>
      </c>
      <c r="BF318" s="407" t="s">
        <v>496</v>
      </c>
      <c r="BG318" s="168" t="s">
        <v>1373</v>
      </c>
      <c r="BH318" s="274">
        <v>45720</v>
      </c>
      <c r="BI318" s="168" t="s">
        <v>3329</v>
      </c>
      <c r="BJ318" s="274">
        <v>45810</v>
      </c>
      <c r="BK318" s="168">
        <v>220000000</v>
      </c>
      <c r="BL318" s="275"/>
      <c r="BM318" s="276"/>
      <c r="BN318" s="275"/>
      <c r="BO318" s="276"/>
      <c r="BP318" s="277"/>
      <c r="BQ318" s="156"/>
      <c r="BR318" s="274"/>
      <c r="BS318" s="270"/>
      <c r="BT318" s="270"/>
      <c r="BU318" s="274"/>
      <c r="BV318" s="274"/>
      <c r="BW318" s="278"/>
      <c r="BX318" s="278"/>
      <c r="BY318" s="278"/>
      <c r="BZ318" s="351" t="s">
        <v>3415</v>
      </c>
    </row>
    <row r="319" spans="1:78" s="90" customFormat="1" ht="19.5" hidden="1" customHeight="1">
      <c r="A319" s="137"/>
      <c r="B319" s="197">
        <f t="shared" si="13"/>
        <v>309</v>
      </c>
      <c r="C319" s="30" t="s">
        <v>206</v>
      </c>
      <c r="D319" s="30" t="s">
        <v>359</v>
      </c>
      <c r="E319" s="234" t="s">
        <v>923</v>
      </c>
      <c r="F319" s="235" t="s">
        <v>1325</v>
      </c>
      <c r="G319" s="284">
        <f>IFERROR(VLOOKUP(E319,Assign!$C$2:$J$142,8,FALSE),)</f>
        <v>0</v>
      </c>
      <c r="H319" s="361" t="s">
        <v>5044</v>
      </c>
      <c r="I319" s="363">
        <v>3</v>
      </c>
      <c r="J319" s="364" t="s">
        <v>212</v>
      </c>
      <c r="K319" s="364" t="s">
        <v>294</v>
      </c>
      <c r="L319" s="365" t="s">
        <v>279</v>
      </c>
      <c r="M319" s="362" t="s">
        <v>2563</v>
      </c>
      <c r="N319" s="421" t="s">
        <v>207</v>
      </c>
      <c r="O319" s="269">
        <v>49.8337</v>
      </c>
      <c r="P319" s="269">
        <v>101.7629</v>
      </c>
      <c r="Q319" s="426"/>
      <c r="R319" s="418" t="s">
        <v>3365</v>
      </c>
      <c r="S319" s="427" t="s">
        <v>613</v>
      </c>
      <c r="T319" s="357">
        <v>2</v>
      </c>
      <c r="U319" s="357" t="s">
        <v>204</v>
      </c>
      <c r="V319" s="367">
        <v>100000000</v>
      </c>
      <c r="W319" s="368">
        <v>100000000</v>
      </c>
      <c r="X319" s="357"/>
      <c r="Y319" s="357"/>
      <c r="Z319" s="400"/>
      <c r="AA319" s="369"/>
      <c r="AB319" s="370"/>
      <c r="AC319" s="404">
        <v>1</v>
      </c>
      <c r="AD319" s="270" t="s">
        <v>204</v>
      </c>
      <c r="AE319" s="156">
        <v>110770000</v>
      </c>
      <c r="AF319" s="156">
        <v>110770000</v>
      </c>
      <c r="AG319" s="357"/>
      <c r="AH319" s="357"/>
      <c r="AI319" s="357"/>
      <c r="AJ319" s="156"/>
      <c r="AK319" s="156"/>
      <c r="AL319" s="375"/>
      <c r="AM319" s="405"/>
      <c r="AN319" s="273"/>
      <c r="AO319" s="405"/>
      <c r="AP319" s="273"/>
      <c r="AQ319" s="273"/>
      <c r="AR319" s="273"/>
      <c r="AS319" s="273"/>
      <c r="AT319" s="273"/>
      <c r="AU319" s="273"/>
      <c r="AV319" s="322">
        <f t="shared" si="14"/>
        <v>0</v>
      </c>
      <c r="AW319" s="402" t="s">
        <v>3387</v>
      </c>
      <c r="AX319" s="376">
        <v>45765</v>
      </c>
      <c r="AY319" s="373" t="s">
        <v>3388</v>
      </c>
      <c r="AZ319" s="375"/>
      <c r="BA319" s="375">
        <v>465000000</v>
      </c>
      <c r="BB319" s="375"/>
      <c r="BC319" s="375"/>
      <c r="BD319" s="353">
        <f t="shared" si="15"/>
        <v>465000000</v>
      </c>
      <c r="BE319" s="432" t="s">
        <v>335</v>
      </c>
      <c r="BF319" s="407" t="s">
        <v>496</v>
      </c>
      <c r="BG319" s="168" t="s">
        <v>1373</v>
      </c>
      <c r="BH319" s="274">
        <v>45720</v>
      </c>
      <c r="BI319" s="168" t="s">
        <v>3330</v>
      </c>
      <c r="BJ319" s="274">
        <v>45803</v>
      </c>
      <c r="BK319" s="168">
        <v>100000000</v>
      </c>
      <c r="BL319" s="275"/>
      <c r="BM319" s="276"/>
      <c r="BN319" s="275"/>
      <c r="BO319" s="276"/>
      <c r="BP319" s="277"/>
      <c r="BQ319" s="156"/>
      <c r="BR319" s="274"/>
      <c r="BS319" s="270"/>
      <c r="BT319" s="270"/>
      <c r="BU319" s="274"/>
      <c r="BV319" s="274"/>
      <c r="BW319" s="278"/>
      <c r="BX319" s="278"/>
      <c r="BY319" s="278"/>
      <c r="BZ319" s="351" t="s">
        <v>3415</v>
      </c>
    </row>
    <row r="320" spans="1:78" s="90" customFormat="1" ht="19.5" hidden="1" customHeight="1">
      <c r="A320" s="137"/>
      <c r="B320" s="197">
        <f t="shared" si="13"/>
        <v>310</v>
      </c>
      <c r="C320" s="30" t="s">
        <v>206</v>
      </c>
      <c r="D320" s="30" t="s">
        <v>359</v>
      </c>
      <c r="E320" s="234" t="s">
        <v>924</v>
      </c>
      <c r="F320" s="235" t="s">
        <v>1247</v>
      </c>
      <c r="G320" s="284" t="str">
        <f>IFERROR(VLOOKUP(E320,Assign!$C$2:$J$142,8,FALSE),)</f>
        <v>문선영</v>
      </c>
      <c r="H320" s="361" t="s">
        <v>4048</v>
      </c>
      <c r="I320" s="363">
        <v>1</v>
      </c>
      <c r="J320" s="364" t="s">
        <v>215</v>
      </c>
      <c r="K320" s="364" t="s">
        <v>311</v>
      </c>
      <c r="L320" s="365" t="s">
        <v>1624</v>
      </c>
      <c r="M320" s="362" t="s">
        <v>1625</v>
      </c>
      <c r="N320" s="421" t="s">
        <v>207</v>
      </c>
      <c r="O320" s="269">
        <v>24.6511</v>
      </c>
      <c r="P320" s="269">
        <v>170.85509999999999</v>
      </c>
      <c r="Q320" s="426"/>
      <c r="R320" s="418" t="s">
        <v>924</v>
      </c>
      <c r="S320" s="427" t="s">
        <v>613</v>
      </c>
      <c r="T320" s="357" t="s">
        <v>229</v>
      </c>
      <c r="U320" s="357" t="s">
        <v>204</v>
      </c>
      <c r="V320" s="367">
        <v>1164000000</v>
      </c>
      <c r="W320" s="368">
        <v>1164000000</v>
      </c>
      <c r="X320" s="357"/>
      <c r="Y320" s="357"/>
      <c r="Z320" s="400"/>
      <c r="AA320" s="369"/>
      <c r="AB320" s="370"/>
      <c r="AC320" s="404"/>
      <c r="AD320" s="270"/>
      <c r="AE320" s="156"/>
      <c r="AF320" s="156"/>
      <c r="AG320" s="357"/>
      <c r="AH320" s="357"/>
      <c r="AI320" s="357"/>
      <c r="AJ320" s="156"/>
      <c r="AK320" s="156"/>
      <c r="AL320" s="375"/>
      <c r="AM320" s="405"/>
      <c r="AN320" s="273"/>
      <c r="AO320" s="405"/>
      <c r="AP320" s="273"/>
      <c r="AQ320" s="273"/>
      <c r="AR320" s="273"/>
      <c r="AS320" s="273"/>
      <c r="AT320" s="273"/>
      <c r="AU320" s="273"/>
      <c r="AV320" s="322">
        <f t="shared" si="14"/>
        <v>0</v>
      </c>
      <c r="AW320" s="402" t="s">
        <v>3387</v>
      </c>
      <c r="AX320" s="376">
        <v>45765</v>
      </c>
      <c r="AY320" s="373" t="s">
        <v>3388</v>
      </c>
      <c r="AZ320" s="375"/>
      <c r="BA320" s="375">
        <v>2105000000</v>
      </c>
      <c r="BB320" s="375"/>
      <c r="BC320" s="375"/>
      <c r="BD320" s="353">
        <f t="shared" si="15"/>
        <v>2105000000</v>
      </c>
      <c r="BE320" s="432" t="s">
        <v>355</v>
      </c>
      <c r="BF320" s="407" t="s">
        <v>515</v>
      </c>
      <c r="BG320" s="168"/>
      <c r="BH320" s="274"/>
      <c r="BI320" s="168"/>
      <c r="BJ320" s="274"/>
      <c r="BK320" s="168"/>
      <c r="BL320" s="275"/>
      <c r="BM320" s="276"/>
      <c r="BN320" s="275"/>
      <c r="BO320" s="276"/>
      <c r="BP320" s="277"/>
      <c r="BQ320" s="156"/>
      <c r="BR320" s="274"/>
      <c r="BS320" s="270"/>
      <c r="BT320" s="270"/>
      <c r="BU320" s="274"/>
      <c r="BV320" s="274"/>
      <c r="BW320" s="278"/>
      <c r="BX320" s="278"/>
      <c r="BY320" s="278"/>
      <c r="BZ320" s="351"/>
    </row>
    <row r="321" spans="1:78" s="90" customFormat="1" ht="19.5" hidden="1" customHeight="1">
      <c r="A321" s="137"/>
      <c r="B321" s="197">
        <f t="shared" si="13"/>
        <v>311</v>
      </c>
      <c r="C321" s="30" t="s">
        <v>206</v>
      </c>
      <c r="D321" s="30" t="s">
        <v>359</v>
      </c>
      <c r="E321" s="234" t="s">
        <v>925</v>
      </c>
      <c r="F321" s="235" t="s">
        <v>1326</v>
      </c>
      <c r="G321" s="284">
        <f>IFERROR(VLOOKUP(E321,Assign!$C$2:$J$142,8,FALSE),)</f>
        <v>0</v>
      </c>
      <c r="H321" s="361" t="s">
        <v>5394</v>
      </c>
      <c r="I321" s="363">
        <v>1</v>
      </c>
      <c r="J321" s="364" t="s">
        <v>208</v>
      </c>
      <c r="K321" s="364" t="s">
        <v>269</v>
      </c>
      <c r="L321" s="365" t="s">
        <v>2380</v>
      </c>
      <c r="M321" s="362" t="s">
        <v>2870</v>
      </c>
      <c r="N321" s="421" t="s">
        <v>546</v>
      </c>
      <c r="O321" s="269">
        <v>65.531000000000006</v>
      </c>
      <c r="P321" s="269">
        <v>171.11</v>
      </c>
      <c r="Q321" s="426"/>
      <c r="R321" s="418" t="s">
        <v>925</v>
      </c>
      <c r="S321" s="427" t="s">
        <v>613</v>
      </c>
      <c r="T321" s="357">
        <v>1</v>
      </c>
      <c r="U321" s="357" t="s">
        <v>204</v>
      </c>
      <c r="V321" s="367">
        <v>360000000</v>
      </c>
      <c r="W321" s="368">
        <v>360000000</v>
      </c>
      <c r="X321" s="357"/>
      <c r="Y321" s="357"/>
      <c r="Z321" s="400"/>
      <c r="AA321" s="369"/>
      <c r="AB321" s="370"/>
      <c r="AC321" s="404"/>
      <c r="AD321" s="270"/>
      <c r="AE321" s="156"/>
      <c r="AF321" s="156"/>
      <c r="AG321" s="357"/>
      <c r="AH321" s="357"/>
      <c r="AI321" s="357"/>
      <c r="AJ321" s="156"/>
      <c r="AK321" s="156"/>
      <c r="AL321" s="375"/>
      <c r="AM321" s="405"/>
      <c r="AN321" s="273"/>
      <c r="AO321" s="405"/>
      <c r="AP321" s="273"/>
      <c r="AQ321" s="273"/>
      <c r="AR321" s="273"/>
      <c r="AS321" s="273"/>
      <c r="AT321" s="273"/>
      <c r="AU321" s="273"/>
      <c r="AV321" s="322">
        <f t="shared" si="14"/>
        <v>0</v>
      </c>
      <c r="AW321" s="402"/>
      <c r="AX321" s="376"/>
      <c r="AY321" s="373"/>
      <c r="AZ321" s="375"/>
      <c r="BA321" s="375"/>
      <c r="BB321" s="375"/>
      <c r="BC321" s="375"/>
      <c r="BD321" s="353">
        <f t="shared" si="15"/>
        <v>0</v>
      </c>
      <c r="BE321" s="432" t="s">
        <v>355</v>
      </c>
      <c r="BF321" s="407" t="s">
        <v>498</v>
      </c>
      <c r="BG321" s="168"/>
      <c r="BH321" s="274"/>
      <c r="BI321" s="168"/>
      <c r="BJ321" s="274"/>
      <c r="BK321" s="168"/>
      <c r="BL321" s="275"/>
      <c r="BM321" s="276"/>
      <c r="BN321" s="275"/>
      <c r="BO321" s="276"/>
      <c r="BP321" s="277"/>
      <c r="BQ321" s="156"/>
      <c r="BR321" s="274"/>
      <c r="BS321" s="270"/>
      <c r="BT321" s="270"/>
      <c r="BU321" s="274"/>
      <c r="BV321" s="274"/>
      <c r="BW321" s="278"/>
      <c r="BX321" s="278"/>
      <c r="BY321" s="278"/>
      <c r="BZ321" s="351"/>
    </row>
    <row r="322" spans="1:78" s="90" customFormat="1" ht="19.5" hidden="1" customHeight="1">
      <c r="A322" s="137"/>
      <c r="B322" s="197">
        <f t="shared" si="13"/>
        <v>312</v>
      </c>
      <c r="C322" s="30" t="s">
        <v>206</v>
      </c>
      <c r="D322" s="30" t="s">
        <v>359</v>
      </c>
      <c r="E322" s="234" t="s">
        <v>926</v>
      </c>
      <c r="F322" s="235" t="s">
        <v>1225</v>
      </c>
      <c r="G322" s="284" t="str">
        <f>IFERROR(VLOOKUP(E322,Assign!$C$2:$J$142,8,FALSE),)</f>
        <v>문선영</v>
      </c>
      <c r="H322" s="361" t="s">
        <v>5557</v>
      </c>
      <c r="I322" s="363">
        <v>1</v>
      </c>
      <c r="J322" s="364" t="s">
        <v>213</v>
      </c>
      <c r="K322" s="364" t="s">
        <v>1840</v>
      </c>
      <c r="L322" s="365" t="s">
        <v>3027</v>
      </c>
      <c r="M322" s="362" t="s">
        <v>3028</v>
      </c>
      <c r="N322" s="421" t="s">
        <v>207</v>
      </c>
      <c r="O322" s="269">
        <v>36.61</v>
      </c>
      <c r="P322" s="269">
        <v>122.74</v>
      </c>
      <c r="Q322" s="426"/>
      <c r="R322" s="418" t="s">
        <v>926</v>
      </c>
      <c r="S322" s="427" t="s">
        <v>613</v>
      </c>
      <c r="T322" s="357">
        <v>1</v>
      </c>
      <c r="U322" s="357" t="s">
        <v>204</v>
      </c>
      <c r="V322" s="367">
        <v>276000000</v>
      </c>
      <c r="W322" s="368">
        <v>276000000</v>
      </c>
      <c r="X322" s="357"/>
      <c r="Y322" s="357"/>
      <c r="Z322" s="400"/>
      <c r="AA322" s="369"/>
      <c r="AB322" s="370"/>
      <c r="AC322" s="404"/>
      <c r="AD322" s="270"/>
      <c r="AE322" s="156"/>
      <c r="AF322" s="156"/>
      <c r="AG322" s="357"/>
      <c r="AH322" s="357"/>
      <c r="AI322" s="357"/>
      <c r="AJ322" s="156"/>
      <c r="AK322" s="156"/>
      <c r="AL322" s="375"/>
      <c r="AM322" s="405"/>
      <c r="AN322" s="273"/>
      <c r="AO322" s="405"/>
      <c r="AP322" s="273"/>
      <c r="AQ322" s="273"/>
      <c r="AR322" s="273"/>
      <c r="AS322" s="273"/>
      <c r="AT322" s="273"/>
      <c r="AU322" s="273"/>
      <c r="AV322" s="322">
        <f t="shared" si="14"/>
        <v>0</v>
      </c>
      <c r="AW322" s="402" t="s">
        <v>3387</v>
      </c>
      <c r="AX322" s="376">
        <v>45765</v>
      </c>
      <c r="AY322" s="373" t="s">
        <v>3388</v>
      </c>
      <c r="AZ322" s="375"/>
      <c r="BA322" s="375">
        <v>435000000</v>
      </c>
      <c r="BB322" s="375"/>
      <c r="BC322" s="375"/>
      <c r="BD322" s="353">
        <f t="shared" si="15"/>
        <v>435000000</v>
      </c>
      <c r="BE322" s="432" t="s">
        <v>355</v>
      </c>
      <c r="BF322" s="407" t="s">
        <v>524</v>
      </c>
      <c r="BG322" s="168"/>
      <c r="BH322" s="274"/>
      <c r="BI322" s="168"/>
      <c r="BJ322" s="274"/>
      <c r="BK322" s="168"/>
      <c r="BL322" s="275"/>
      <c r="BM322" s="276"/>
      <c r="BN322" s="275"/>
      <c r="BO322" s="276"/>
      <c r="BP322" s="277"/>
      <c r="BQ322" s="156"/>
      <c r="BR322" s="274"/>
      <c r="BS322" s="270"/>
      <c r="BT322" s="270"/>
      <c r="BU322" s="274"/>
      <c r="BV322" s="274"/>
      <c r="BW322" s="278"/>
      <c r="BX322" s="278"/>
      <c r="BY322" s="278"/>
      <c r="BZ322" s="351"/>
    </row>
    <row r="323" spans="1:78" s="90" customFormat="1" ht="19.5" hidden="1" customHeight="1">
      <c r="A323" s="137"/>
      <c r="B323" s="197">
        <f t="shared" si="13"/>
        <v>313</v>
      </c>
      <c r="C323" s="30" t="s">
        <v>206</v>
      </c>
      <c r="D323" s="30" t="s">
        <v>359</v>
      </c>
      <c r="E323" s="234" t="s">
        <v>927</v>
      </c>
      <c r="F323" s="235" t="s">
        <v>1232</v>
      </c>
      <c r="G323" s="284">
        <f>IFERROR(VLOOKUP(E323,Assign!$C$2:$J$142,8,FALSE),)</f>
        <v>0</v>
      </c>
      <c r="H323" s="361" t="s">
        <v>5555</v>
      </c>
      <c r="I323" s="363">
        <v>1</v>
      </c>
      <c r="J323" s="364" t="s">
        <v>208</v>
      </c>
      <c r="K323" s="364" t="s">
        <v>237</v>
      </c>
      <c r="L323" s="365" t="s">
        <v>238</v>
      </c>
      <c r="M323" s="362" t="s">
        <v>3026</v>
      </c>
      <c r="N323" s="421" t="s">
        <v>207</v>
      </c>
      <c r="O323" s="269">
        <v>29.5123</v>
      </c>
      <c r="P323" s="269">
        <v>84.984200000000001</v>
      </c>
      <c r="Q323" s="426"/>
      <c r="R323" s="418" t="s">
        <v>927</v>
      </c>
      <c r="S323" s="427" t="s">
        <v>613</v>
      </c>
      <c r="T323" s="357">
        <v>1</v>
      </c>
      <c r="U323" s="357" t="s">
        <v>204</v>
      </c>
      <c r="V323" s="367">
        <v>234400000</v>
      </c>
      <c r="W323" s="368">
        <v>234400000</v>
      </c>
      <c r="X323" s="357"/>
      <c r="Y323" s="357"/>
      <c r="Z323" s="400"/>
      <c r="AA323" s="369"/>
      <c r="AB323" s="370"/>
      <c r="AC323" s="404"/>
      <c r="AD323" s="270"/>
      <c r="AE323" s="156"/>
      <c r="AF323" s="156"/>
      <c r="AG323" s="357"/>
      <c r="AH323" s="357"/>
      <c r="AI323" s="357"/>
      <c r="AJ323" s="156"/>
      <c r="AK323" s="156"/>
      <c r="AL323" s="375"/>
      <c r="AM323" s="405"/>
      <c r="AN323" s="273"/>
      <c r="AO323" s="405"/>
      <c r="AP323" s="273"/>
      <c r="AQ323" s="273"/>
      <c r="AR323" s="273"/>
      <c r="AS323" s="273"/>
      <c r="AT323" s="273"/>
      <c r="AU323" s="273"/>
      <c r="AV323" s="322">
        <f t="shared" si="14"/>
        <v>0</v>
      </c>
      <c r="AW323" s="402" t="s">
        <v>3387</v>
      </c>
      <c r="AX323" s="376">
        <v>45765</v>
      </c>
      <c r="AY323" s="373" t="s">
        <v>3388</v>
      </c>
      <c r="AZ323" s="375"/>
      <c r="BA323" s="375">
        <v>775000000</v>
      </c>
      <c r="BB323" s="375"/>
      <c r="BC323" s="375"/>
      <c r="BD323" s="353">
        <f t="shared" si="15"/>
        <v>775000000</v>
      </c>
      <c r="BE323" s="432" t="s">
        <v>355</v>
      </c>
      <c r="BF323" s="407" t="s">
        <v>502</v>
      </c>
      <c r="BG323" s="168"/>
      <c r="BH323" s="274"/>
      <c r="BI323" s="168"/>
      <c r="BJ323" s="274"/>
      <c r="BK323" s="168"/>
      <c r="BL323" s="275"/>
      <c r="BM323" s="276"/>
      <c r="BN323" s="275"/>
      <c r="BO323" s="276"/>
      <c r="BP323" s="277"/>
      <c r="BQ323" s="156"/>
      <c r="BR323" s="274"/>
      <c r="BS323" s="270"/>
      <c r="BT323" s="270"/>
      <c r="BU323" s="274"/>
      <c r="BV323" s="274"/>
      <c r="BW323" s="278"/>
      <c r="BX323" s="278"/>
      <c r="BY323" s="278"/>
      <c r="BZ323" s="351"/>
    </row>
    <row r="324" spans="1:78" s="90" customFormat="1" ht="19.5" hidden="1" customHeight="1">
      <c r="A324" s="137"/>
      <c r="B324" s="197">
        <f t="shared" si="13"/>
        <v>314</v>
      </c>
      <c r="C324" s="30" t="s">
        <v>206</v>
      </c>
      <c r="D324" s="30" t="s">
        <v>359</v>
      </c>
      <c r="E324" s="234" t="s">
        <v>7148</v>
      </c>
      <c r="F324" s="235" t="s">
        <v>7149</v>
      </c>
      <c r="G324" s="284" t="str">
        <f>IFERROR(VLOOKUP(E324,Assign!$C$2:$J$142,8,FALSE),)</f>
        <v>문선영</v>
      </c>
      <c r="H324" s="361" t="s">
        <v>5582</v>
      </c>
      <c r="I324" s="363">
        <v>1</v>
      </c>
      <c r="J324" s="364" t="s">
        <v>208</v>
      </c>
      <c r="K324" s="364" t="s">
        <v>266</v>
      </c>
      <c r="L324" s="365" t="s">
        <v>2805</v>
      </c>
      <c r="M324" s="362" t="s">
        <v>3701</v>
      </c>
      <c r="N324" s="421" t="s">
        <v>546</v>
      </c>
      <c r="O324" s="269">
        <v>56.618639999999999</v>
      </c>
      <c r="P324" s="269">
        <v>211.23</v>
      </c>
      <c r="Q324" s="426"/>
      <c r="R324" s="418" t="s">
        <v>3704</v>
      </c>
      <c r="S324" s="427" t="s">
        <v>613</v>
      </c>
      <c r="T324" s="357" t="s">
        <v>229</v>
      </c>
      <c r="U324" s="357" t="s">
        <v>204</v>
      </c>
      <c r="V324" s="367">
        <v>624000000</v>
      </c>
      <c r="W324" s="368">
        <v>624000000</v>
      </c>
      <c r="X324" s="357"/>
      <c r="Y324" s="357"/>
      <c r="Z324" s="400"/>
      <c r="AA324" s="369"/>
      <c r="AB324" s="370"/>
      <c r="AC324" s="404"/>
      <c r="AD324" s="270"/>
      <c r="AE324" s="156"/>
      <c r="AF324" s="156"/>
      <c r="AG324" s="357"/>
      <c r="AH324" s="357"/>
      <c r="AI324" s="357"/>
      <c r="AJ324" s="156"/>
      <c r="AK324" s="156"/>
      <c r="AL324" s="375"/>
      <c r="AM324" s="405"/>
      <c r="AN324" s="273"/>
      <c r="AO324" s="405"/>
      <c r="AP324" s="273"/>
      <c r="AQ324" s="273"/>
      <c r="AR324" s="273"/>
      <c r="AS324" s="273"/>
      <c r="AT324" s="273"/>
      <c r="AU324" s="273"/>
      <c r="AV324" s="322">
        <f t="shared" si="14"/>
        <v>0</v>
      </c>
      <c r="AW324" s="402"/>
      <c r="AX324" s="376"/>
      <c r="AY324" s="373"/>
      <c r="AZ324" s="375"/>
      <c r="BA324" s="375"/>
      <c r="BB324" s="375"/>
      <c r="BC324" s="375"/>
      <c r="BD324" s="353">
        <f t="shared" si="15"/>
        <v>0</v>
      </c>
      <c r="BE324" s="432" t="s">
        <v>3850</v>
      </c>
      <c r="BF324" s="407" t="s">
        <v>501</v>
      </c>
      <c r="BG324" s="168"/>
      <c r="BH324" s="274"/>
      <c r="BI324" s="168"/>
      <c r="BJ324" s="274"/>
      <c r="BK324" s="168"/>
      <c r="BL324" s="275"/>
      <c r="BM324" s="276"/>
      <c r="BN324" s="275"/>
      <c r="BO324" s="276"/>
      <c r="BP324" s="277"/>
      <c r="BQ324" s="156"/>
      <c r="BR324" s="274"/>
      <c r="BS324" s="270"/>
      <c r="BT324" s="270"/>
      <c r="BU324" s="274"/>
      <c r="BV324" s="274"/>
      <c r="BW324" s="278"/>
      <c r="BX324" s="278"/>
      <c r="BY324" s="278"/>
      <c r="BZ324" s="351"/>
    </row>
    <row r="325" spans="1:78" s="90" customFormat="1" ht="19.5" hidden="1" customHeight="1">
      <c r="A325" s="137"/>
      <c r="B325" s="197">
        <f t="shared" si="13"/>
        <v>315</v>
      </c>
      <c r="C325" s="30" t="s">
        <v>206</v>
      </c>
      <c r="D325" s="30" t="s">
        <v>359</v>
      </c>
      <c r="E325" s="234" t="s">
        <v>7148</v>
      </c>
      <c r="F325" s="235" t="s">
        <v>7149</v>
      </c>
      <c r="G325" s="284" t="str">
        <f>IFERROR(VLOOKUP(E325,Assign!$C$2:$J$142,8,FALSE),)</f>
        <v>문선영</v>
      </c>
      <c r="H325" s="361" t="s">
        <v>5584</v>
      </c>
      <c r="I325" s="363">
        <v>2</v>
      </c>
      <c r="J325" s="364" t="s">
        <v>208</v>
      </c>
      <c r="K325" s="364" t="s">
        <v>325</v>
      </c>
      <c r="L325" s="365" t="s">
        <v>3702</v>
      </c>
      <c r="M325" s="362" t="s">
        <v>3703</v>
      </c>
      <c r="N325" s="421" t="s">
        <v>207</v>
      </c>
      <c r="O325" s="269">
        <v>68.859200000000001</v>
      </c>
      <c r="P325" s="269">
        <v>134.583</v>
      </c>
      <c r="Q325" s="426"/>
      <c r="R325" s="418" t="s">
        <v>3705</v>
      </c>
      <c r="S325" s="427" t="s">
        <v>613</v>
      </c>
      <c r="T325" s="357">
        <v>2</v>
      </c>
      <c r="U325" s="357" t="s">
        <v>204</v>
      </c>
      <c r="V325" s="367">
        <v>480000000</v>
      </c>
      <c r="W325" s="368">
        <v>480000000</v>
      </c>
      <c r="X325" s="357"/>
      <c r="Y325" s="357"/>
      <c r="Z325" s="400"/>
      <c r="AA325" s="369"/>
      <c r="AB325" s="370"/>
      <c r="AC325" s="404">
        <v>1</v>
      </c>
      <c r="AD325" s="270" t="s">
        <v>204</v>
      </c>
      <c r="AE325" s="156">
        <v>99000000</v>
      </c>
      <c r="AF325" s="156">
        <v>99000000</v>
      </c>
      <c r="AG325" s="357"/>
      <c r="AH325" s="357"/>
      <c r="AI325" s="357"/>
      <c r="AJ325" s="156"/>
      <c r="AK325" s="156"/>
      <c r="AL325" s="375"/>
      <c r="AM325" s="405"/>
      <c r="AN325" s="273"/>
      <c r="AO325" s="405"/>
      <c r="AP325" s="273"/>
      <c r="AQ325" s="273"/>
      <c r="AR325" s="273"/>
      <c r="AS325" s="273"/>
      <c r="AT325" s="273"/>
      <c r="AU325" s="273"/>
      <c r="AV325" s="322">
        <f t="shared" si="14"/>
        <v>0</v>
      </c>
      <c r="AW325" s="402" t="s">
        <v>3851</v>
      </c>
      <c r="AX325" s="376">
        <v>45772</v>
      </c>
      <c r="AY325" s="373" t="s">
        <v>3852</v>
      </c>
      <c r="AZ325" s="375"/>
      <c r="BA325" s="375">
        <v>1030000000</v>
      </c>
      <c r="BB325" s="375"/>
      <c r="BC325" s="375"/>
      <c r="BD325" s="353">
        <f t="shared" si="15"/>
        <v>1030000000</v>
      </c>
      <c r="BE325" s="432" t="s">
        <v>3850</v>
      </c>
      <c r="BF325" s="407" t="s">
        <v>424</v>
      </c>
      <c r="BG325" s="168"/>
      <c r="BH325" s="274"/>
      <c r="BI325" s="168"/>
      <c r="BJ325" s="274"/>
      <c r="BK325" s="168"/>
      <c r="BL325" s="275"/>
      <c r="BM325" s="276"/>
      <c r="BN325" s="275"/>
      <c r="BO325" s="276"/>
      <c r="BP325" s="277"/>
      <c r="BQ325" s="156"/>
      <c r="BR325" s="274"/>
      <c r="BS325" s="270"/>
      <c r="BT325" s="270"/>
      <c r="BU325" s="274"/>
      <c r="BV325" s="274"/>
      <c r="BW325" s="278"/>
      <c r="BX325" s="278"/>
      <c r="BY325" s="278"/>
      <c r="BZ325" s="351"/>
    </row>
    <row r="326" spans="1:78" s="90" customFormat="1" ht="19.5" hidden="1" customHeight="1">
      <c r="A326" s="137"/>
      <c r="B326" s="197">
        <f t="shared" si="13"/>
        <v>316</v>
      </c>
      <c r="C326" s="30" t="s">
        <v>202</v>
      </c>
      <c r="D326" s="30" t="s">
        <v>225</v>
      </c>
      <c r="E326" s="234" t="s">
        <v>928</v>
      </c>
      <c r="F326" s="235" t="s">
        <v>1327</v>
      </c>
      <c r="G326" s="284">
        <f>IFERROR(VLOOKUP(E326,Assign!$C$2:$J$142,8,FALSE),)</f>
        <v>0</v>
      </c>
      <c r="H326" s="361" t="s">
        <v>5436</v>
      </c>
      <c r="I326" s="363">
        <v>1</v>
      </c>
      <c r="J326" s="364" t="s">
        <v>214</v>
      </c>
      <c r="K326" s="364" t="s">
        <v>326</v>
      </c>
      <c r="L326" s="365" t="s">
        <v>2911</v>
      </c>
      <c r="M326" s="362" t="s">
        <v>3648</v>
      </c>
      <c r="N326" s="421" t="s">
        <v>604</v>
      </c>
      <c r="O326" s="269">
        <v>22256</v>
      </c>
      <c r="P326" s="269">
        <v>8514.16</v>
      </c>
      <c r="Q326" s="426"/>
      <c r="R326" s="418" t="s">
        <v>576</v>
      </c>
      <c r="S326" s="427" t="s">
        <v>617</v>
      </c>
      <c r="T326" s="357" t="s">
        <v>418</v>
      </c>
      <c r="U326" s="357" t="s">
        <v>204</v>
      </c>
      <c r="V326" s="367">
        <v>10800000000</v>
      </c>
      <c r="W326" s="368">
        <v>10800000000</v>
      </c>
      <c r="X326" s="357"/>
      <c r="Y326" s="357"/>
      <c r="Z326" s="400"/>
      <c r="AA326" s="369"/>
      <c r="AB326" s="370"/>
      <c r="AC326" s="404" t="s">
        <v>418</v>
      </c>
      <c r="AD326" s="270" t="s">
        <v>204</v>
      </c>
      <c r="AE326" s="156">
        <v>18750000000</v>
      </c>
      <c r="AF326" s="156">
        <v>18750000000</v>
      </c>
      <c r="AG326" s="357"/>
      <c r="AH326" s="357"/>
      <c r="AI326" s="357"/>
      <c r="AJ326" s="156"/>
      <c r="AK326" s="156"/>
      <c r="AL326" s="375"/>
      <c r="AM326" s="405"/>
      <c r="AN326" s="273"/>
      <c r="AO326" s="405"/>
      <c r="AP326" s="273"/>
      <c r="AQ326" s="273"/>
      <c r="AR326" s="273"/>
      <c r="AS326" s="273"/>
      <c r="AT326" s="273"/>
      <c r="AU326" s="273"/>
      <c r="AV326" s="322">
        <f t="shared" si="14"/>
        <v>0</v>
      </c>
      <c r="AW326" s="402"/>
      <c r="AX326" s="376"/>
      <c r="AY326" s="373"/>
      <c r="AZ326" s="375"/>
      <c r="BA326" s="375"/>
      <c r="BB326" s="375"/>
      <c r="BC326" s="375"/>
      <c r="BD326" s="353">
        <f t="shared" si="15"/>
        <v>0</v>
      </c>
      <c r="BE326" s="432" t="s">
        <v>355</v>
      </c>
      <c r="BF326" s="407" t="s">
        <v>507</v>
      </c>
      <c r="BG326" s="168"/>
      <c r="BH326" s="274"/>
      <c r="BI326" s="168"/>
      <c r="BJ326" s="274"/>
      <c r="BK326" s="168"/>
      <c r="BL326" s="275"/>
      <c r="BM326" s="276"/>
      <c r="BN326" s="275"/>
      <c r="BO326" s="276"/>
      <c r="BP326" s="277"/>
      <c r="BQ326" s="156"/>
      <c r="BR326" s="274"/>
      <c r="BS326" s="270"/>
      <c r="BT326" s="270"/>
      <c r="BU326" s="274"/>
      <c r="BV326" s="274"/>
      <c r="BW326" s="278"/>
      <c r="BX326" s="278"/>
      <c r="BY326" s="278"/>
      <c r="BZ326" s="351"/>
    </row>
    <row r="327" spans="1:78" s="90" customFormat="1" ht="19.5" hidden="1" customHeight="1">
      <c r="A327" s="137"/>
      <c r="B327" s="197">
        <f t="shared" si="13"/>
        <v>317</v>
      </c>
      <c r="C327" s="30" t="s">
        <v>202</v>
      </c>
      <c r="D327" s="30" t="s">
        <v>225</v>
      </c>
      <c r="E327" s="234" t="s">
        <v>929</v>
      </c>
      <c r="F327" s="235" t="s">
        <v>1329</v>
      </c>
      <c r="G327" s="284">
        <f>IFERROR(VLOOKUP(E327,Assign!$C$2:$J$142,8,FALSE),)</f>
        <v>0</v>
      </c>
      <c r="H327" s="361" t="s">
        <v>5492</v>
      </c>
      <c r="I327" s="363">
        <v>1</v>
      </c>
      <c r="J327" s="364" t="s">
        <v>209</v>
      </c>
      <c r="K327" s="364" t="s">
        <v>294</v>
      </c>
      <c r="L327" s="365" t="s">
        <v>2963</v>
      </c>
      <c r="M327" s="362" t="s">
        <v>3194</v>
      </c>
      <c r="N327" s="421" t="s">
        <v>3386</v>
      </c>
      <c r="O327" s="269">
        <v>177.16470000000001</v>
      </c>
      <c r="P327" s="269">
        <v>785.69</v>
      </c>
      <c r="Q327" s="426"/>
      <c r="R327" s="418" t="s">
        <v>929</v>
      </c>
      <c r="S327" s="427" t="s">
        <v>613</v>
      </c>
      <c r="T327" s="357">
        <v>1</v>
      </c>
      <c r="U327" s="357" t="s">
        <v>204</v>
      </c>
      <c r="V327" s="367">
        <v>10200000000</v>
      </c>
      <c r="W327" s="368">
        <v>10200000000</v>
      </c>
      <c r="X327" s="357" t="s">
        <v>1387</v>
      </c>
      <c r="Y327" s="357">
        <v>1</v>
      </c>
      <c r="Z327" s="400" t="s">
        <v>3206</v>
      </c>
      <c r="AA327" s="369">
        <v>10200000000</v>
      </c>
      <c r="AB327" s="370">
        <v>10200000000</v>
      </c>
      <c r="AC327" s="404"/>
      <c r="AD327" s="270"/>
      <c r="AE327" s="156"/>
      <c r="AF327" s="156"/>
      <c r="AG327" s="357"/>
      <c r="AH327" s="357"/>
      <c r="AI327" s="357"/>
      <c r="AJ327" s="156"/>
      <c r="AK327" s="156"/>
      <c r="AL327" s="375"/>
      <c r="AM327" s="405"/>
      <c r="AN327" s="273"/>
      <c r="AO327" s="405"/>
      <c r="AP327" s="273"/>
      <c r="AQ327" s="273"/>
      <c r="AR327" s="273"/>
      <c r="AS327" s="273"/>
      <c r="AT327" s="273"/>
      <c r="AU327" s="273"/>
      <c r="AV327" s="322">
        <f t="shared" si="14"/>
        <v>0</v>
      </c>
      <c r="AW327" s="402"/>
      <c r="AX327" s="376"/>
      <c r="AY327" s="373"/>
      <c r="AZ327" s="375"/>
      <c r="BA327" s="375"/>
      <c r="BB327" s="375"/>
      <c r="BC327" s="375"/>
      <c r="BD327" s="353">
        <f t="shared" si="15"/>
        <v>0</v>
      </c>
      <c r="BE327" s="432" t="s">
        <v>355</v>
      </c>
      <c r="BF327" s="407" t="s">
        <v>519</v>
      </c>
      <c r="BG327" s="168"/>
      <c r="BH327" s="274"/>
      <c r="BI327" s="168"/>
      <c r="BJ327" s="274"/>
      <c r="BK327" s="168"/>
      <c r="BL327" s="275"/>
      <c r="BM327" s="276"/>
      <c r="BN327" s="275"/>
      <c r="BO327" s="276"/>
      <c r="BP327" s="277"/>
      <c r="BQ327" s="156"/>
      <c r="BR327" s="274"/>
      <c r="BS327" s="270"/>
      <c r="BT327" s="270"/>
      <c r="BU327" s="274"/>
      <c r="BV327" s="274"/>
      <c r="BW327" s="278"/>
      <c r="BX327" s="278"/>
      <c r="BY327" s="278"/>
      <c r="BZ327" s="351"/>
    </row>
    <row r="328" spans="1:78" s="90" customFormat="1" ht="19.5" hidden="1" customHeight="1">
      <c r="A328" s="137"/>
      <c r="B328" s="197">
        <f t="shared" si="13"/>
        <v>318</v>
      </c>
      <c r="C328" s="30" t="s">
        <v>202</v>
      </c>
      <c r="D328" s="30" t="s">
        <v>225</v>
      </c>
      <c r="E328" s="234" t="s">
        <v>929</v>
      </c>
      <c r="F328" s="235" t="s">
        <v>1329</v>
      </c>
      <c r="G328" s="284">
        <f>IFERROR(VLOOKUP(E328,Assign!$C$2:$J$142,8,FALSE),)</f>
        <v>0</v>
      </c>
      <c r="H328" s="361" t="s">
        <v>5517</v>
      </c>
      <c r="I328" s="363">
        <v>2</v>
      </c>
      <c r="J328" s="364" t="s">
        <v>209</v>
      </c>
      <c r="K328" s="364" t="s">
        <v>305</v>
      </c>
      <c r="L328" s="365" t="s">
        <v>2147</v>
      </c>
      <c r="M328" s="362" t="s">
        <v>3195</v>
      </c>
      <c r="N328" s="421" t="s">
        <v>559</v>
      </c>
      <c r="O328" s="366" t="s">
        <v>273</v>
      </c>
      <c r="P328" s="269">
        <v>140.6</v>
      </c>
      <c r="Q328" s="426"/>
      <c r="R328" s="418" t="s">
        <v>3430</v>
      </c>
      <c r="S328" s="427" t="s">
        <v>613</v>
      </c>
      <c r="T328" s="357">
        <v>1</v>
      </c>
      <c r="U328" s="357" t="s">
        <v>204</v>
      </c>
      <c r="V328" s="367">
        <v>10200000000</v>
      </c>
      <c r="W328" s="368">
        <v>10200000000</v>
      </c>
      <c r="X328" s="357" t="s">
        <v>381</v>
      </c>
      <c r="Y328" s="357">
        <v>1</v>
      </c>
      <c r="Z328" s="400" t="s">
        <v>3206</v>
      </c>
      <c r="AA328" s="369">
        <v>10200000000</v>
      </c>
      <c r="AB328" s="370">
        <v>10200000000</v>
      </c>
      <c r="AC328" s="404"/>
      <c r="AD328" s="270"/>
      <c r="AE328" s="156"/>
      <c r="AF328" s="156"/>
      <c r="AG328" s="357"/>
      <c r="AH328" s="357"/>
      <c r="AI328" s="357"/>
      <c r="AJ328" s="156"/>
      <c r="AK328" s="156"/>
      <c r="AL328" s="375"/>
      <c r="AM328" s="405"/>
      <c r="AN328" s="273"/>
      <c r="AO328" s="405"/>
      <c r="AP328" s="273"/>
      <c r="AQ328" s="273"/>
      <c r="AR328" s="273"/>
      <c r="AS328" s="273"/>
      <c r="AT328" s="273"/>
      <c r="AU328" s="273"/>
      <c r="AV328" s="322">
        <f t="shared" si="14"/>
        <v>0</v>
      </c>
      <c r="AW328" s="402"/>
      <c r="AX328" s="376"/>
      <c r="AY328" s="373"/>
      <c r="AZ328" s="375"/>
      <c r="BA328" s="375"/>
      <c r="BB328" s="375"/>
      <c r="BC328" s="375"/>
      <c r="BD328" s="353">
        <f t="shared" si="15"/>
        <v>0</v>
      </c>
      <c r="BE328" s="432" t="s">
        <v>355</v>
      </c>
      <c r="BF328" s="407" t="s">
        <v>510</v>
      </c>
      <c r="BG328" s="168"/>
      <c r="BH328" s="274"/>
      <c r="BI328" s="168"/>
      <c r="BJ328" s="274"/>
      <c r="BK328" s="168"/>
      <c r="BL328" s="275"/>
      <c r="BM328" s="276"/>
      <c r="BN328" s="275"/>
      <c r="BO328" s="276"/>
      <c r="BP328" s="277"/>
      <c r="BQ328" s="156"/>
      <c r="BR328" s="274"/>
      <c r="BS328" s="270"/>
      <c r="BT328" s="270"/>
      <c r="BU328" s="274"/>
      <c r="BV328" s="274"/>
      <c r="BW328" s="278"/>
      <c r="BX328" s="278"/>
      <c r="BY328" s="278"/>
      <c r="BZ328" s="351"/>
    </row>
    <row r="329" spans="1:78" s="90" customFormat="1" ht="19.5" hidden="1" customHeight="1">
      <c r="A329" s="137"/>
      <c r="B329" s="197">
        <f t="shared" si="13"/>
        <v>319</v>
      </c>
      <c r="C329" s="30" t="s">
        <v>202</v>
      </c>
      <c r="D329" s="30" t="s">
        <v>225</v>
      </c>
      <c r="E329" s="234" t="s">
        <v>929</v>
      </c>
      <c r="F329" s="235" t="s">
        <v>1329</v>
      </c>
      <c r="G329" s="284">
        <f>IFERROR(VLOOKUP(E329,Assign!$C$2:$J$142,8,FALSE),)</f>
        <v>0</v>
      </c>
      <c r="H329" s="361" t="s">
        <v>5532</v>
      </c>
      <c r="I329" s="363">
        <v>3</v>
      </c>
      <c r="J329" s="364" t="s">
        <v>208</v>
      </c>
      <c r="K329" s="364" t="s">
        <v>280</v>
      </c>
      <c r="L329" s="365" t="s">
        <v>1615</v>
      </c>
      <c r="M329" s="362" t="s">
        <v>3196</v>
      </c>
      <c r="N329" s="421" t="s">
        <v>285</v>
      </c>
      <c r="O329" s="269">
        <v>9157</v>
      </c>
      <c r="P329" s="269">
        <v>4449.8</v>
      </c>
      <c r="Q329" s="426"/>
      <c r="R329" s="418" t="s">
        <v>3397</v>
      </c>
      <c r="S329" s="427" t="s">
        <v>613</v>
      </c>
      <c r="T329" s="357">
        <v>2</v>
      </c>
      <c r="U329" s="357" t="s">
        <v>204</v>
      </c>
      <c r="V329" s="367">
        <v>10200000000</v>
      </c>
      <c r="W329" s="368">
        <v>10200000000</v>
      </c>
      <c r="X329" s="357" t="s">
        <v>1388</v>
      </c>
      <c r="Y329" s="357">
        <v>2</v>
      </c>
      <c r="Z329" s="400" t="s">
        <v>3206</v>
      </c>
      <c r="AA329" s="369">
        <v>10200000000</v>
      </c>
      <c r="AB329" s="370">
        <v>10200000000</v>
      </c>
      <c r="AC329" s="404">
        <v>1</v>
      </c>
      <c r="AD329" s="270" t="s">
        <v>204</v>
      </c>
      <c r="AE329" s="156">
        <v>2160000000</v>
      </c>
      <c r="AF329" s="156">
        <v>2160000000</v>
      </c>
      <c r="AG329" s="357"/>
      <c r="AH329" s="357"/>
      <c r="AI329" s="357"/>
      <c r="AJ329" s="156"/>
      <c r="AK329" s="156"/>
      <c r="AL329" s="375"/>
      <c r="AM329" s="405"/>
      <c r="AN329" s="273"/>
      <c r="AO329" s="405"/>
      <c r="AP329" s="273"/>
      <c r="AQ329" s="273"/>
      <c r="AR329" s="273"/>
      <c r="AS329" s="273"/>
      <c r="AT329" s="273"/>
      <c r="AU329" s="273"/>
      <c r="AV329" s="322">
        <f t="shared" si="14"/>
        <v>0</v>
      </c>
      <c r="AW329" s="402"/>
      <c r="AX329" s="376"/>
      <c r="AY329" s="373"/>
      <c r="AZ329" s="375"/>
      <c r="BA329" s="375"/>
      <c r="BB329" s="375"/>
      <c r="BC329" s="375"/>
      <c r="BD329" s="353">
        <f t="shared" si="15"/>
        <v>0</v>
      </c>
      <c r="BE329" s="432" t="s">
        <v>355</v>
      </c>
      <c r="BF329" s="407" t="s">
        <v>422</v>
      </c>
      <c r="BG329" s="168"/>
      <c r="BH329" s="274"/>
      <c r="BI329" s="168"/>
      <c r="BJ329" s="274"/>
      <c r="BK329" s="168"/>
      <c r="BL329" s="275"/>
      <c r="BM329" s="276"/>
      <c r="BN329" s="275"/>
      <c r="BO329" s="276"/>
      <c r="BP329" s="277"/>
      <c r="BQ329" s="156"/>
      <c r="BR329" s="274"/>
      <c r="BS329" s="270"/>
      <c r="BT329" s="270"/>
      <c r="BU329" s="274"/>
      <c r="BV329" s="274"/>
      <c r="BW329" s="278"/>
      <c r="BX329" s="278"/>
      <c r="BY329" s="278"/>
      <c r="BZ329" s="351"/>
    </row>
    <row r="330" spans="1:78" s="90" customFormat="1" ht="19.5" hidden="1" customHeight="1">
      <c r="A330" s="137"/>
      <c r="B330" s="197">
        <f t="shared" si="13"/>
        <v>320</v>
      </c>
      <c r="C330" s="30" t="s">
        <v>202</v>
      </c>
      <c r="D330" s="30" t="s">
        <v>225</v>
      </c>
      <c r="E330" s="234" t="s">
        <v>930</v>
      </c>
      <c r="F330" s="235" t="s">
        <v>1330</v>
      </c>
      <c r="G330" s="284">
        <f>IFERROR(VLOOKUP(E330,Assign!$C$2:$J$142,8,FALSE),)</f>
        <v>0</v>
      </c>
      <c r="H330" s="361" t="s">
        <v>4448</v>
      </c>
      <c r="I330" s="363">
        <v>1</v>
      </c>
      <c r="J330" s="364" t="s">
        <v>209</v>
      </c>
      <c r="K330" s="364" t="s">
        <v>231</v>
      </c>
      <c r="L330" s="365" t="s">
        <v>1488</v>
      </c>
      <c r="M330" s="362" t="s">
        <v>1995</v>
      </c>
      <c r="N330" s="421" t="s">
        <v>3115</v>
      </c>
      <c r="O330" s="269">
        <v>126.96</v>
      </c>
      <c r="P330" s="269">
        <v>459.43</v>
      </c>
      <c r="Q330" s="426"/>
      <c r="R330" s="418" t="s">
        <v>930</v>
      </c>
      <c r="S330" s="427" t="s">
        <v>613</v>
      </c>
      <c r="T330" s="357">
        <v>1</v>
      </c>
      <c r="U330" s="357" t="s">
        <v>204</v>
      </c>
      <c r="V330" s="367">
        <v>6450000000</v>
      </c>
      <c r="W330" s="368">
        <v>6450000000</v>
      </c>
      <c r="X330" s="357"/>
      <c r="Y330" s="357"/>
      <c r="Z330" s="400"/>
      <c r="AA330" s="369"/>
      <c r="AB330" s="370"/>
      <c r="AC330" s="404"/>
      <c r="AD330" s="270"/>
      <c r="AE330" s="156"/>
      <c r="AF330" s="156"/>
      <c r="AG330" s="357"/>
      <c r="AH330" s="357"/>
      <c r="AI330" s="357"/>
      <c r="AJ330" s="156"/>
      <c r="AK330" s="156"/>
      <c r="AL330" s="375"/>
      <c r="AM330" s="405"/>
      <c r="AN330" s="273"/>
      <c r="AO330" s="405"/>
      <c r="AP330" s="273"/>
      <c r="AQ330" s="273"/>
      <c r="AR330" s="273"/>
      <c r="AS330" s="273"/>
      <c r="AT330" s="273"/>
      <c r="AU330" s="273"/>
      <c r="AV330" s="322">
        <f t="shared" si="14"/>
        <v>0</v>
      </c>
      <c r="AW330" s="402"/>
      <c r="AX330" s="376"/>
      <c r="AY330" s="373"/>
      <c r="AZ330" s="375"/>
      <c r="BA330" s="375"/>
      <c r="BB330" s="375"/>
      <c r="BC330" s="375"/>
      <c r="BD330" s="353">
        <f t="shared" si="15"/>
        <v>0</v>
      </c>
      <c r="BE330" s="432" t="s">
        <v>355</v>
      </c>
      <c r="BF330" s="407" t="s">
        <v>511</v>
      </c>
      <c r="BG330" s="168"/>
      <c r="BH330" s="274"/>
      <c r="BI330" s="168"/>
      <c r="BJ330" s="274"/>
      <c r="BK330" s="168"/>
      <c r="BL330" s="275"/>
      <c r="BM330" s="276"/>
      <c r="BN330" s="275"/>
      <c r="BO330" s="276"/>
      <c r="BP330" s="277"/>
      <c r="BQ330" s="156"/>
      <c r="BR330" s="274"/>
      <c r="BS330" s="270"/>
      <c r="BT330" s="270"/>
      <c r="BU330" s="274"/>
      <c r="BV330" s="274"/>
      <c r="BW330" s="278"/>
      <c r="BX330" s="278"/>
      <c r="BY330" s="278"/>
      <c r="BZ330" s="351"/>
    </row>
    <row r="331" spans="1:78" s="90" customFormat="1" ht="19.5" hidden="1" customHeight="1">
      <c r="A331" s="137"/>
      <c r="B331" s="197">
        <f t="shared" ref="B331:B394" si="16">ROW()-10</f>
        <v>321</v>
      </c>
      <c r="C331" s="30" t="s">
        <v>202</v>
      </c>
      <c r="D331" s="30" t="s">
        <v>225</v>
      </c>
      <c r="E331" s="234" t="s">
        <v>931</v>
      </c>
      <c r="F331" s="235" t="s">
        <v>1331</v>
      </c>
      <c r="G331" s="284">
        <f>IFERROR(VLOOKUP(E331,Assign!$C$2:$J$142,8,FALSE),)</f>
        <v>0</v>
      </c>
      <c r="H331" s="361" t="s">
        <v>5312</v>
      </c>
      <c r="I331" s="363">
        <v>1</v>
      </c>
      <c r="J331" s="364" t="s">
        <v>221</v>
      </c>
      <c r="K331" s="364" t="s">
        <v>348</v>
      </c>
      <c r="L331" s="365" t="s">
        <v>2792</v>
      </c>
      <c r="M331" s="362" t="s">
        <v>3174</v>
      </c>
      <c r="N331" s="421" t="s">
        <v>285</v>
      </c>
      <c r="O331" s="269">
        <v>21424.400000000001</v>
      </c>
      <c r="P331" s="269">
        <v>2649.5</v>
      </c>
      <c r="Q331" s="426"/>
      <c r="R331" s="418" t="s">
        <v>931</v>
      </c>
      <c r="S331" s="427" t="s">
        <v>613</v>
      </c>
      <c r="T331" s="357" t="s">
        <v>233</v>
      </c>
      <c r="U331" s="357" t="s">
        <v>204</v>
      </c>
      <c r="V331" s="367">
        <v>6600000000</v>
      </c>
      <c r="W331" s="368">
        <v>6600000000</v>
      </c>
      <c r="X331" s="357"/>
      <c r="Y331" s="357"/>
      <c r="Z331" s="400"/>
      <c r="AA331" s="369"/>
      <c r="AB331" s="370"/>
      <c r="AC331" s="404"/>
      <c r="AD331" s="270"/>
      <c r="AE331" s="156"/>
      <c r="AF331" s="156"/>
      <c r="AG331" s="357"/>
      <c r="AH331" s="357"/>
      <c r="AI331" s="357"/>
      <c r="AJ331" s="156"/>
      <c r="AK331" s="156"/>
      <c r="AL331" s="375"/>
      <c r="AM331" s="405"/>
      <c r="AN331" s="273"/>
      <c r="AO331" s="405"/>
      <c r="AP331" s="273"/>
      <c r="AQ331" s="273"/>
      <c r="AR331" s="273"/>
      <c r="AS331" s="273"/>
      <c r="AT331" s="273"/>
      <c r="AU331" s="273"/>
      <c r="AV331" s="322">
        <f t="shared" ref="AV331:AV394" si="17">SUM(AP331:AU331)</f>
        <v>0</v>
      </c>
      <c r="AW331" s="402"/>
      <c r="AX331" s="376"/>
      <c r="AY331" s="373"/>
      <c r="AZ331" s="375"/>
      <c r="BA331" s="375"/>
      <c r="BB331" s="375"/>
      <c r="BC331" s="375"/>
      <c r="BD331" s="353">
        <f t="shared" ref="BD331:BD394" si="18">SUM(AZ331:BC331)</f>
        <v>0</v>
      </c>
      <c r="BE331" s="432" t="s">
        <v>355</v>
      </c>
      <c r="BF331" s="407" t="s">
        <v>494</v>
      </c>
      <c r="BG331" s="168"/>
      <c r="BH331" s="274"/>
      <c r="BI331" s="168"/>
      <c r="BJ331" s="274"/>
      <c r="BK331" s="168"/>
      <c r="BL331" s="275"/>
      <c r="BM331" s="276"/>
      <c r="BN331" s="275"/>
      <c r="BO331" s="276"/>
      <c r="BP331" s="277"/>
      <c r="BQ331" s="156"/>
      <c r="BR331" s="274"/>
      <c r="BS331" s="270"/>
      <c r="BT331" s="270"/>
      <c r="BU331" s="274"/>
      <c r="BV331" s="274"/>
      <c r="BW331" s="278"/>
      <c r="BX331" s="278"/>
      <c r="BY331" s="278"/>
      <c r="BZ331" s="351"/>
    </row>
    <row r="332" spans="1:78" s="90" customFormat="1" ht="19.5" hidden="1" customHeight="1">
      <c r="A332" s="137"/>
      <c r="B332" s="197">
        <f t="shared" si="16"/>
        <v>322</v>
      </c>
      <c r="C332" s="30" t="s">
        <v>202</v>
      </c>
      <c r="D332" s="30" t="s">
        <v>225</v>
      </c>
      <c r="E332" s="234" t="s">
        <v>932</v>
      </c>
      <c r="F332" s="235" t="s">
        <v>1332</v>
      </c>
      <c r="G332" s="284">
        <f>IFERROR(VLOOKUP(E332,Assign!$C$2:$J$142,8,FALSE),)</f>
        <v>0</v>
      </c>
      <c r="H332" s="361" t="s">
        <v>5136</v>
      </c>
      <c r="I332" s="363">
        <v>1</v>
      </c>
      <c r="J332" s="364" t="s">
        <v>217</v>
      </c>
      <c r="K332" s="364" t="s">
        <v>545</v>
      </c>
      <c r="L332" s="365" t="s">
        <v>2648</v>
      </c>
      <c r="M332" s="362" t="s">
        <v>3157</v>
      </c>
      <c r="N332" s="421" t="s">
        <v>285</v>
      </c>
      <c r="O332" s="269">
        <v>7358</v>
      </c>
      <c r="P332" s="269">
        <v>1700.88</v>
      </c>
      <c r="Q332" s="426">
        <v>6</v>
      </c>
      <c r="R332" s="418" t="s">
        <v>932</v>
      </c>
      <c r="S332" s="427" t="s">
        <v>613</v>
      </c>
      <c r="T332" s="357" t="s">
        <v>268</v>
      </c>
      <c r="U332" s="357" t="s">
        <v>204</v>
      </c>
      <c r="V332" s="367">
        <v>4724400000</v>
      </c>
      <c r="W332" s="368">
        <v>4724400000</v>
      </c>
      <c r="X332" s="357"/>
      <c r="Y332" s="357"/>
      <c r="Z332" s="400"/>
      <c r="AA332" s="369"/>
      <c r="AB332" s="370"/>
      <c r="AC332" s="404"/>
      <c r="AD332" s="270"/>
      <c r="AE332" s="156"/>
      <c r="AF332" s="156"/>
      <c r="AG332" s="357"/>
      <c r="AH332" s="357"/>
      <c r="AI332" s="357"/>
      <c r="AJ332" s="156"/>
      <c r="AK332" s="156"/>
      <c r="AL332" s="375"/>
      <c r="AM332" s="405"/>
      <c r="AN332" s="273"/>
      <c r="AO332" s="405"/>
      <c r="AP332" s="273"/>
      <c r="AQ332" s="273"/>
      <c r="AR332" s="273"/>
      <c r="AS332" s="273"/>
      <c r="AT332" s="273"/>
      <c r="AU332" s="273"/>
      <c r="AV332" s="322">
        <f t="shared" si="17"/>
        <v>0</v>
      </c>
      <c r="AW332" s="402"/>
      <c r="AX332" s="376"/>
      <c r="AY332" s="373"/>
      <c r="AZ332" s="375"/>
      <c r="BA332" s="375"/>
      <c r="BB332" s="375"/>
      <c r="BC332" s="375"/>
      <c r="BD332" s="353">
        <f t="shared" si="18"/>
        <v>0</v>
      </c>
      <c r="BE332" s="432" t="s">
        <v>355</v>
      </c>
      <c r="BF332" s="407" t="s">
        <v>508</v>
      </c>
      <c r="BG332" s="168"/>
      <c r="BH332" s="274"/>
      <c r="BI332" s="168"/>
      <c r="BJ332" s="274"/>
      <c r="BK332" s="168"/>
      <c r="BL332" s="275"/>
      <c r="BM332" s="276"/>
      <c r="BN332" s="275"/>
      <c r="BO332" s="276"/>
      <c r="BP332" s="277"/>
      <c r="BQ332" s="156"/>
      <c r="BR332" s="274"/>
      <c r="BS332" s="270"/>
      <c r="BT332" s="270"/>
      <c r="BU332" s="274"/>
      <c r="BV332" s="274"/>
      <c r="BW332" s="278"/>
      <c r="BX332" s="278"/>
      <c r="BY332" s="278"/>
      <c r="BZ332" s="351"/>
    </row>
    <row r="333" spans="1:78" s="90" customFormat="1" ht="19.5" hidden="1" customHeight="1">
      <c r="A333" s="137"/>
      <c r="B333" s="197">
        <f t="shared" si="16"/>
        <v>323</v>
      </c>
      <c r="C333" s="30" t="s">
        <v>202</v>
      </c>
      <c r="D333" s="30" t="s">
        <v>225</v>
      </c>
      <c r="E333" s="234" t="s">
        <v>933</v>
      </c>
      <c r="F333" s="235" t="s">
        <v>1266</v>
      </c>
      <c r="G333" s="284">
        <f>IFERROR(VLOOKUP(E333,Assign!$C$2:$J$142,8,FALSE),)</f>
        <v>0</v>
      </c>
      <c r="H333" s="361" t="s">
        <v>3927</v>
      </c>
      <c r="I333" s="363">
        <v>1</v>
      </c>
      <c r="J333" s="364" t="s">
        <v>211</v>
      </c>
      <c r="K333" s="364" t="s">
        <v>1499</v>
      </c>
      <c r="L333" s="365" t="s">
        <v>1500</v>
      </c>
      <c r="M333" s="362" t="s">
        <v>3089</v>
      </c>
      <c r="N333" s="421" t="s">
        <v>620</v>
      </c>
      <c r="O333" s="269">
        <v>3036</v>
      </c>
      <c r="P333" s="269">
        <v>5925.32</v>
      </c>
      <c r="Q333" s="426"/>
      <c r="R333" s="418" t="s">
        <v>933</v>
      </c>
      <c r="S333" s="427" t="s">
        <v>613</v>
      </c>
      <c r="T333" s="357" t="s">
        <v>233</v>
      </c>
      <c r="U333" s="357" t="s">
        <v>204</v>
      </c>
      <c r="V333" s="367">
        <v>6370000000</v>
      </c>
      <c r="W333" s="368">
        <v>6370000000</v>
      </c>
      <c r="X333" s="357" t="s">
        <v>1387</v>
      </c>
      <c r="Y333" s="357" t="s">
        <v>233</v>
      </c>
      <c r="Z333" s="400" t="s">
        <v>3206</v>
      </c>
      <c r="AA333" s="369">
        <v>6370000000</v>
      </c>
      <c r="AB333" s="370">
        <v>6370000000</v>
      </c>
      <c r="AC333" s="404"/>
      <c r="AD333" s="270"/>
      <c r="AE333" s="156"/>
      <c r="AF333" s="156"/>
      <c r="AG333" s="357"/>
      <c r="AH333" s="357"/>
      <c r="AI333" s="357"/>
      <c r="AJ333" s="156"/>
      <c r="AK333" s="156"/>
      <c r="AL333" s="375"/>
      <c r="AM333" s="405"/>
      <c r="AN333" s="273"/>
      <c r="AO333" s="405"/>
      <c r="AP333" s="273"/>
      <c r="AQ333" s="273"/>
      <c r="AR333" s="273"/>
      <c r="AS333" s="273"/>
      <c r="AT333" s="273"/>
      <c r="AU333" s="273"/>
      <c r="AV333" s="322">
        <f t="shared" si="17"/>
        <v>0</v>
      </c>
      <c r="AW333" s="402"/>
      <c r="AX333" s="376"/>
      <c r="AY333" s="373"/>
      <c r="AZ333" s="375"/>
      <c r="BA333" s="375"/>
      <c r="BB333" s="375"/>
      <c r="BC333" s="375"/>
      <c r="BD333" s="353">
        <f t="shared" si="18"/>
        <v>0</v>
      </c>
      <c r="BE333" s="432" t="s">
        <v>355</v>
      </c>
      <c r="BF333" s="407" t="s">
        <v>3209</v>
      </c>
      <c r="BG333" s="168"/>
      <c r="BH333" s="274"/>
      <c r="BI333" s="168"/>
      <c r="BJ333" s="274"/>
      <c r="BK333" s="168"/>
      <c r="BL333" s="275"/>
      <c r="BM333" s="276"/>
      <c r="BN333" s="275"/>
      <c r="BO333" s="276"/>
      <c r="BP333" s="277"/>
      <c r="BQ333" s="156"/>
      <c r="BR333" s="274"/>
      <c r="BS333" s="270"/>
      <c r="BT333" s="270"/>
      <c r="BU333" s="274"/>
      <c r="BV333" s="274"/>
      <c r="BW333" s="278"/>
      <c r="BX333" s="278"/>
      <c r="BY333" s="278"/>
      <c r="BZ333" s="351"/>
    </row>
    <row r="334" spans="1:78" s="90" customFormat="1" ht="19.5" hidden="1" customHeight="1">
      <c r="A334" s="137"/>
      <c r="B334" s="197">
        <f t="shared" si="16"/>
        <v>324</v>
      </c>
      <c r="C334" s="30" t="s">
        <v>202</v>
      </c>
      <c r="D334" s="30" t="s">
        <v>225</v>
      </c>
      <c r="E334" s="234" t="s">
        <v>933</v>
      </c>
      <c r="F334" s="235" t="s">
        <v>1266</v>
      </c>
      <c r="G334" s="284">
        <f>IFERROR(VLOOKUP(E334,Assign!$C$2:$J$142,8,FALSE),)</f>
        <v>0</v>
      </c>
      <c r="H334" s="361" t="s">
        <v>3931</v>
      </c>
      <c r="I334" s="363">
        <v>2</v>
      </c>
      <c r="J334" s="364" t="s">
        <v>211</v>
      </c>
      <c r="K334" s="364" t="s">
        <v>1499</v>
      </c>
      <c r="L334" s="365" t="s">
        <v>1500</v>
      </c>
      <c r="M334" s="362" t="s">
        <v>3090</v>
      </c>
      <c r="N334" s="421" t="s">
        <v>620</v>
      </c>
      <c r="O334" s="269"/>
      <c r="P334" s="269">
        <v>521.52</v>
      </c>
      <c r="Q334" s="426"/>
      <c r="R334" s="418" t="s">
        <v>933</v>
      </c>
      <c r="S334" s="427" t="s">
        <v>613</v>
      </c>
      <c r="T334" s="357">
        <v>1</v>
      </c>
      <c r="U334" s="357" t="s">
        <v>204</v>
      </c>
      <c r="V334" s="367">
        <v>1170000000</v>
      </c>
      <c r="W334" s="368">
        <v>1170000000</v>
      </c>
      <c r="X334" s="357" t="s">
        <v>381</v>
      </c>
      <c r="Y334" s="357">
        <v>1</v>
      </c>
      <c r="Z334" s="400" t="s">
        <v>3206</v>
      </c>
      <c r="AA334" s="369">
        <v>1170000000</v>
      </c>
      <c r="AB334" s="370">
        <v>1170000000</v>
      </c>
      <c r="AC334" s="404"/>
      <c r="AD334" s="270"/>
      <c r="AE334" s="156"/>
      <c r="AF334" s="156"/>
      <c r="AG334" s="357"/>
      <c r="AH334" s="357"/>
      <c r="AI334" s="357"/>
      <c r="AJ334" s="156"/>
      <c r="AK334" s="156"/>
      <c r="AL334" s="375"/>
      <c r="AM334" s="405"/>
      <c r="AN334" s="273"/>
      <c r="AO334" s="405"/>
      <c r="AP334" s="273"/>
      <c r="AQ334" s="273"/>
      <c r="AR334" s="273"/>
      <c r="AS334" s="273"/>
      <c r="AT334" s="273"/>
      <c r="AU334" s="273"/>
      <c r="AV334" s="322">
        <f t="shared" si="17"/>
        <v>0</v>
      </c>
      <c r="AW334" s="402"/>
      <c r="AX334" s="376"/>
      <c r="AY334" s="373"/>
      <c r="AZ334" s="375"/>
      <c r="BA334" s="375"/>
      <c r="BB334" s="375"/>
      <c r="BC334" s="375"/>
      <c r="BD334" s="353">
        <f t="shared" si="18"/>
        <v>0</v>
      </c>
      <c r="BE334" s="432" t="s">
        <v>355</v>
      </c>
      <c r="BF334" s="407" t="s">
        <v>3209</v>
      </c>
      <c r="BG334" s="168"/>
      <c r="BH334" s="274"/>
      <c r="BI334" s="168"/>
      <c r="BJ334" s="274"/>
      <c r="BK334" s="168"/>
      <c r="BL334" s="275"/>
      <c r="BM334" s="276"/>
      <c r="BN334" s="275"/>
      <c r="BO334" s="276"/>
      <c r="BP334" s="277"/>
      <c r="BQ334" s="156"/>
      <c r="BR334" s="274"/>
      <c r="BS334" s="270"/>
      <c r="BT334" s="270"/>
      <c r="BU334" s="274"/>
      <c r="BV334" s="274"/>
      <c r="BW334" s="278"/>
      <c r="BX334" s="278"/>
      <c r="BY334" s="278"/>
      <c r="BZ334" s="351"/>
    </row>
    <row r="335" spans="1:78" s="90" customFormat="1" ht="19.5" hidden="1" customHeight="1">
      <c r="A335" s="137"/>
      <c r="B335" s="197">
        <f t="shared" si="16"/>
        <v>325</v>
      </c>
      <c r="C335" s="30" t="s">
        <v>202</v>
      </c>
      <c r="D335" s="30" t="s">
        <v>225</v>
      </c>
      <c r="E335" s="234" t="s">
        <v>933</v>
      </c>
      <c r="F335" s="235" t="s">
        <v>1266</v>
      </c>
      <c r="G335" s="284">
        <f>IFERROR(VLOOKUP(E335,Assign!$C$2:$J$142,8,FALSE),)</f>
        <v>0</v>
      </c>
      <c r="H335" s="361" t="s">
        <v>3933</v>
      </c>
      <c r="I335" s="363">
        <v>3</v>
      </c>
      <c r="J335" s="364" t="s">
        <v>211</v>
      </c>
      <c r="K335" s="364" t="s">
        <v>1499</v>
      </c>
      <c r="L335" s="365" t="s">
        <v>1506</v>
      </c>
      <c r="M335" s="362" t="s">
        <v>3091</v>
      </c>
      <c r="N335" s="421" t="s">
        <v>352</v>
      </c>
      <c r="O335" s="269">
        <v>923</v>
      </c>
      <c r="P335" s="269"/>
      <c r="Q335" s="426"/>
      <c r="R335" s="418" t="s">
        <v>933</v>
      </c>
      <c r="S335" s="427" t="s">
        <v>613</v>
      </c>
      <c r="T335" s="357" t="s">
        <v>233</v>
      </c>
      <c r="U335" s="357" t="s">
        <v>204</v>
      </c>
      <c r="V335" s="367">
        <v>6370000000</v>
      </c>
      <c r="W335" s="368">
        <v>6370000000</v>
      </c>
      <c r="X335" s="357" t="s">
        <v>1388</v>
      </c>
      <c r="Y335" s="357" t="s">
        <v>233</v>
      </c>
      <c r="Z335" s="400" t="s">
        <v>3206</v>
      </c>
      <c r="AA335" s="369">
        <v>6370000000</v>
      </c>
      <c r="AB335" s="370">
        <v>6370000000</v>
      </c>
      <c r="AC335" s="404"/>
      <c r="AD335" s="270"/>
      <c r="AE335" s="156"/>
      <c r="AF335" s="156"/>
      <c r="AG335" s="357"/>
      <c r="AH335" s="357"/>
      <c r="AI335" s="357"/>
      <c r="AJ335" s="156"/>
      <c r="AK335" s="156"/>
      <c r="AL335" s="375"/>
      <c r="AM335" s="405"/>
      <c r="AN335" s="273"/>
      <c r="AO335" s="405"/>
      <c r="AP335" s="273"/>
      <c r="AQ335" s="273"/>
      <c r="AR335" s="273"/>
      <c r="AS335" s="273"/>
      <c r="AT335" s="273"/>
      <c r="AU335" s="273"/>
      <c r="AV335" s="322">
        <f t="shared" si="17"/>
        <v>0</v>
      </c>
      <c r="AW335" s="402"/>
      <c r="AX335" s="376"/>
      <c r="AY335" s="373"/>
      <c r="AZ335" s="375"/>
      <c r="BA335" s="375"/>
      <c r="BB335" s="375"/>
      <c r="BC335" s="375"/>
      <c r="BD335" s="353">
        <f t="shared" si="18"/>
        <v>0</v>
      </c>
      <c r="BE335" s="432" t="s">
        <v>355</v>
      </c>
      <c r="BF335" s="407" t="s">
        <v>3209</v>
      </c>
      <c r="BG335" s="168"/>
      <c r="BH335" s="274"/>
      <c r="BI335" s="168"/>
      <c r="BJ335" s="274"/>
      <c r="BK335" s="168"/>
      <c r="BL335" s="275"/>
      <c r="BM335" s="276"/>
      <c r="BN335" s="275"/>
      <c r="BO335" s="276"/>
      <c r="BP335" s="277"/>
      <c r="BQ335" s="156"/>
      <c r="BR335" s="274"/>
      <c r="BS335" s="270"/>
      <c r="BT335" s="270"/>
      <c r="BU335" s="274"/>
      <c r="BV335" s="274"/>
      <c r="BW335" s="278"/>
      <c r="BX335" s="278"/>
      <c r="BY335" s="278"/>
      <c r="BZ335" s="351"/>
    </row>
    <row r="336" spans="1:78" s="90" customFormat="1" ht="19.5" hidden="1" customHeight="1">
      <c r="A336" s="137"/>
      <c r="B336" s="197">
        <f t="shared" si="16"/>
        <v>326</v>
      </c>
      <c r="C336" s="30" t="s">
        <v>202</v>
      </c>
      <c r="D336" s="30" t="s">
        <v>225</v>
      </c>
      <c r="E336" s="234" t="s">
        <v>934</v>
      </c>
      <c r="F336" s="235" t="s">
        <v>1333</v>
      </c>
      <c r="G336" s="284">
        <f>IFERROR(VLOOKUP(E336,Assign!$C$2:$J$142,8,FALSE),)</f>
        <v>0</v>
      </c>
      <c r="H336" s="361" t="s">
        <v>4812</v>
      </c>
      <c r="I336" s="363">
        <v>1</v>
      </c>
      <c r="J336" s="364" t="s">
        <v>209</v>
      </c>
      <c r="K336" s="364" t="s">
        <v>1546</v>
      </c>
      <c r="L336" s="365" t="s">
        <v>2340</v>
      </c>
      <c r="M336" s="362" t="s">
        <v>3132</v>
      </c>
      <c r="N336" s="421" t="s">
        <v>546</v>
      </c>
      <c r="O336" s="269">
        <v>72.099999999999994</v>
      </c>
      <c r="P336" s="269">
        <v>276.8</v>
      </c>
      <c r="Q336" s="426"/>
      <c r="R336" s="418" t="s">
        <v>934</v>
      </c>
      <c r="S336" s="427" t="s">
        <v>613</v>
      </c>
      <c r="T336" s="357">
        <v>1</v>
      </c>
      <c r="U336" s="357" t="s">
        <v>204</v>
      </c>
      <c r="V336" s="367">
        <v>3470640000</v>
      </c>
      <c r="W336" s="368">
        <v>3470640000</v>
      </c>
      <c r="X336" s="357"/>
      <c r="Y336" s="357"/>
      <c r="Z336" s="400"/>
      <c r="AA336" s="369"/>
      <c r="AB336" s="370"/>
      <c r="AC336" s="404"/>
      <c r="AD336" s="270"/>
      <c r="AE336" s="156"/>
      <c r="AF336" s="156"/>
      <c r="AG336" s="357"/>
      <c r="AH336" s="357"/>
      <c r="AI336" s="357"/>
      <c r="AJ336" s="156"/>
      <c r="AK336" s="156"/>
      <c r="AL336" s="375"/>
      <c r="AM336" s="405"/>
      <c r="AN336" s="273"/>
      <c r="AO336" s="405"/>
      <c r="AP336" s="273"/>
      <c r="AQ336" s="273"/>
      <c r="AR336" s="273"/>
      <c r="AS336" s="273"/>
      <c r="AT336" s="273"/>
      <c r="AU336" s="273"/>
      <c r="AV336" s="322">
        <f t="shared" si="17"/>
        <v>0</v>
      </c>
      <c r="AW336" s="402"/>
      <c r="AX336" s="376"/>
      <c r="AY336" s="373"/>
      <c r="AZ336" s="375"/>
      <c r="BA336" s="375"/>
      <c r="BB336" s="375"/>
      <c r="BC336" s="375"/>
      <c r="BD336" s="353">
        <f t="shared" si="18"/>
        <v>0</v>
      </c>
      <c r="BE336" s="432" t="s">
        <v>335</v>
      </c>
      <c r="BF336" s="407" t="s">
        <v>511</v>
      </c>
      <c r="BG336" s="168" t="s">
        <v>1373</v>
      </c>
      <c r="BH336" s="274">
        <v>45761</v>
      </c>
      <c r="BI336" s="168" t="s">
        <v>3252</v>
      </c>
      <c r="BJ336" s="274">
        <v>45840</v>
      </c>
      <c r="BK336" s="168">
        <v>3470640000</v>
      </c>
      <c r="BL336" s="275"/>
      <c r="BM336" s="276"/>
      <c r="BN336" s="275"/>
      <c r="BO336" s="276"/>
      <c r="BP336" s="277"/>
      <c r="BQ336" s="156"/>
      <c r="BR336" s="274"/>
      <c r="BS336" s="270"/>
      <c r="BT336" s="270"/>
      <c r="BU336" s="274"/>
      <c r="BV336" s="274"/>
      <c r="BW336" s="278"/>
      <c r="BX336" s="278"/>
      <c r="BY336" s="278"/>
      <c r="BZ336" s="351"/>
    </row>
    <row r="337" spans="1:78" s="90" customFormat="1" ht="19.5" hidden="1" customHeight="1">
      <c r="A337" s="137"/>
      <c r="B337" s="197">
        <f t="shared" si="16"/>
        <v>327</v>
      </c>
      <c r="C337" s="30" t="s">
        <v>202</v>
      </c>
      <c r="D337" s="30" t="s">
        <v>225</v>
      </c>
      <c r="E337" s="234" t="s">
        <v>935</v>
      </c>
      <c r="F337" s="235" t="s">
        <v>1334</v>
      </c>
      <c r="G337" s="284">
        <f>IFERROR(VLOOKUP(E337,Assign!$C$2:$J$142,8,FALSE),)</f>
        <v>0</v>
      </c>
      <c r="H337" s="361" t="s">
        <v>5088</v>
      </c>
      <c r="I337" s="363">
        <v>1</v>
      </c>
      <c r="J337" s="364" t="s">
        <v>211</v>
      </c>
      <c r="K337" s="364" t="s">
        <v>2556</v>
      </c>
      <c r="L337" s="365" t="s">
        <v>2601</v>
      </c>
      <c r="M337" s="362" t="s">
        <v>3155</v>
      </c>
      <c r="N337" s="421" t="s">
        <v>3386</v>
      </c>
      <c r="O337" s="269">
        <v>669.8907999999999</v>
      </c>
      <c r="P337" s="269">
        <v>1254.83</v>
      </c>
      <c r="Q337" s="426"/>
      <c r="R337" s="418" t="s">
        <v>935</v>
      </c>
      <c r="S337" s="427" t="s">
        <v>613</v>
      </c>
      <c r="T337" s="357">
        <v>1</v>
      </c>
      <c r="U337" s="357" t="s">
        <v>204</v>
      </c>
      <c r="V337" s="367">
        <v>5280000000</v>
      </c>
      <c r="W337" s="368">
        <v>5280000000</v>
      </c>
      <c r="X337" s="357"/>
      <c r="Y337" s="357"/>
      <c r="Z337" s="400"/>
      <c r="AA337" s="369"/>
      <c r="AB337" s="370"/>
      <c r="AC337" s="404"/>
      <c r="AD337" s="270"/>
      <c r="AE337" s="156"/>
      <c r="AF337" s="156"/>
      <c r="AG337" s="357"/>
      <c r="AH337" s="357"/>
      <c r="AI337" s="357"/>
      <c r="AJ337" s="156"/>
      <c r="AK337" s="156"/>
      <c r="AL337" s="375"/>
      <c r="AM337" s="405"/>
      <c r="AN337" s="273"/>
      <c r="AO337" s="405"/>
      <c r="AP337" s="273"/>
      <c r="AQ337" s="273"/>
      <c r="AR337" s="273"/>
      <c r="AS337" s="273"/>
      <c r="AT337" s="273"/>
      <c r="AU337" s="273"/>
      <c r="AV337" s="322">
        <f t="shared" si="17"/>
        <v>0</v>
      </c>
      <c r="AW337" s="402"/>
      <c r="AX337" s="376"/>
      <c r="AY337" s="373"/>
      <c r="AZ337" s="375"/>
      <c r="BA337" s="375"/>
      <c r="BB337" s="375"/>
      <c r="BC337" s="375"/>
      <c r="BD337" s="353">
        <f t="shared" si="18"/>
        <v>0</v>
      </c>
      <c r="BE337" s="432" t="s">
        <v>355</v>
      </c>
      <c r="BF337" s="407" t="s">
        <v>3213</v>
      </c>
      <c r="BG337" s="168"/>
      <c r="BH337" s="274"/>
      <c r="BI337" s="168"/>
      <c r="BJ337" s="274"/>
      <c r="BK337" s="168"/>
      <c r="BL337" s="275"/>
      <c r="BM337" s="276"/>
      <c r="BN337" s="275"/>
      <c r="BO337" s="276"/>
      <c r="BP337" s="277"/>
      <c r="BQ337" s="156"/>
      <c r="BR337" s="274"/>
      <c r="BS337" s="270"/>
      <c r="BT337" s="270"/>
      <c r="BU337" s="274"/>
      <c r="BV337" s="274"/>
      <c r="BW337" s="278"/>
      <c r="BX337" s="278"/>
      <c r="BY337" s="278"/>
      <c r="BZ337" s="351"/>
    </row>
    <row r="338" spans="1:78" s="90" customFormat="1" ht="19.5" hidden="1" customHeight="1">
      <c r="A338" s="137"/>
      <c r="B338" s="197">
        <f t="shared" si="16"/>
        <v>328</v>
      </c>
      <c r="C338" s="30" t="s">
        <v>202</v>
      </c>
      <c r="D338" s="30" t="s">
        <v>225</v>
      </c>
      <c r="E338" s="234" t="s">
        <v>935</v>
      </c>
      <c r="F338" s="235" t="s">
        <v>1334</v>
      </c>
      <c r="G338" s="284">
        <f>IFERROR(VLOOKUP(E338,Assign!$C$2:$J$142,8,FALSE),)</f>
        <v>0</v>
      </c>
      <c r="H338" s="361" t="s">
        <v>5113</v>
      </c>
      <c r="I338" s="363">
        <v>2</v>
      </c>
      <c r="J338" s="364" t="s">
        <v>211</v>
      </c>
      <c r="K338" s="364" t="s">
        <v>2556</v>
      </c>
      <c r="L338" s="365" t="s">
        <v>2601</v>
      </c>
      <c r="M338" s="362" t="s">
        <v>2627</v>
      </c>
      <c r="N338" s="421" t="s">
        <v>3386</v>
      </c>
      <c r="O338" s="269">
        <v>87.444599999999994</v>
      </c>
      <c r="P338" s="269">
        <v>163.80000000000001</v>
      </c>
      <c r="Q338" s="426"/>
      <c r="R338" s="418" t="s">
        <v>935</v>
      </c>
      <c r="S338" s="427" t="s">
        <v>613</v>
      </c>
      <c r="T338" s="357">
        <v>1</v>
      </c>
      <c r="U338" s="357" t="s">
        <v>204</v>
      </c>
      <c r="V338" s="367">
        <v>600000000</v>
      </c>
      <c r="W338" s="368">
        <v>600000000</v>
      </c>
      <c r="X338" s="357"/>
      <c r="Y338" s="357"/>
      <c r="Z338" s="400"/>
      <c r="AA338" s="369"/>
      <c r="AB338" s="370"/>
      <c r="AC338" s="404"/>
      <c r="AD338" s="270"/>
      <c r="AE338" s="156"/>
      <c r="AF338" s="156"/>
      <c r="AG338" s="357"/>
      <c r="AH338" s="357"/>
      <c r="AI338" s="357"/>
      <c r="AJ338" s="156"/>
      <c r="AK338" s="156"/>
      <c r="AL338" s="375"/>
      <c r="AM338" s="405"/>
      <c r="AN338" s="273"/>
      <c r="AO338" s="405"/>
      <c r="AP338" s="273"/>
      <c r="AQ338" s="273"/>
      <c r="AR338" s="273"/>
      <c r="AS338" s="273"/>
      <c r="AT338" s="273"/>
      <c r="AU338" s="273"/>
      <c r="AV338" s="322">
        <f t="shared" si="17"/>
        <v>0</v>
      </c>
      <c r="AW338" s="402"/>
      <c r="AX338" s="376"/>
      <c r="AY338" s="373"/>
      <c r="AZ338" s="375"/>
      <c r="BA338" s="375"/>
      <c r="BB338" s="375"/>
      <c r="BC338" s="375"/>
      <c r="BD338" s="353">
        <f t="shared" si="18"/>
        <v>0</v>
      </c>
      <c r="BE338" s="432" t="s">
        <v>355</v>
      </c>
      <c r="BF338" s="407" t="s">
        <v>3213</v>
      </c>
      <c r="BG338" s="168"/>
      <c r="BH338" s="274"/>
      <c r="BI338" s="168"/>
      <c r="BJ338" s="274"/>
      <c r="BK338" s="168"/>
      <c r="BL338" s="275"/>
      <c r="BM338" s="276"/>
      <c r="BN338" s="275"/>
      <c r="BO338" s="276"/>
      <c r="BP338" s="277"/>
      <c r="BQ338" s="156"/>
      <c r="BR338" s="274"/>
      <c r="BS338" s="270"/>
      <c r="BT338" s="270"/>
      <c r="BU338" s="274"/>
      <c r="BV338" s="274"/>
      <c r="BW338" s="278"/>
      <c r="BX338" s="278"/>
      <c r="BY338" s="278"/>
      <c r="BZ338" s="351"/>
    </row>
    <row r="339" spans="1:78" s="90" customFormat="1" ht="19.5" hidden="1" customHeight="1">
      <c r="A339" s="137"/>
      <c r="B339" s="197">
        <f t="shared" si="16"/>
        <v>329</v>
      </c>
      <c r="C339" s="30" t="s">
        <v>202</v>
      </c>
      <c r="D339" s="30" t="s">
        <v>225</v>
      </c>
      <c r="E339" s="234" t="s">
        <v>936</v>
      </c>
      <c r="F339" s="235" t="s">
        <v>1335</v>
      </c>
      <c r="G339" s="284">
        <f>IFERROR(VLOOKUP(E339,Assign!$C$2:$J$142,8,FALSE),)</f>
        <v>0</v>
      </c>
      <c r="H339" s="361" t="s">
        <v>5412</v>
      </c>
      <c r="I339" s="363">
        <v>1</v>
      </c>
      <c r="J339" s="364" t="s">
        <v>211</v>
      </c>
      <c r="K339" s="364" t="s">
        <v>2435</v>
      </c>
      <c r="L339" s="365" t="s">
        <v>2884</v>
      </c>
      <c r="M339" s="362" t="s">
        <v>3186</v>
      </c>
      <c r="N339" s="421" t="s">
        <v>285</v>
      </c>
      <c r="O339" s="269">
        <v>6366.3999999999987</v>
      </c>
      <c r="P339" s="269">
        <v>3259.22</v>
      </c>
      <c r="Q339" s="426">
        <v>12</v>
      </c>
      <c r="R339" s="418" t="s">
        <v>936</v>
      </c>
      <c r="S339" s="427" t="s">
        <v>613</v>
      </c>
      <c r="T339" s="357" t="s">
        <v>229</v>
      </c>
      <c r="U339" s="357" t="s">
        <v>3071</v>
      </c>
      <c r="V339" s="413" t="s">
        <v>3381</v>
      </c>
      <c r="W339" s="368">
        <v>3951090000</v>
      </c>
      <c r="X339" s="357"/>
      <c r="Y339" s="357"/>
      <c r="Z339" s="400"/>
      <c r="AA339" s="369"/>
      <c r="AB339" s="370"/>
      <c r="AC339" s="404"/>
      <c r="AD339" s="270"/>
      <c r="AE339" s="156"/>
      <c r="AF339" s="156"/>
      <c r="AG339" s="357"/>
      <c r="AH339" s="357"/>
      <c r="AI339" s="357"/>
      <c r="AJ339" s="156"/>
      <c r="AK339" s="156"/>
      <c r="AL339" s="375"/>
      <c r="AM339" s="405"/>
      <c r="AN339" s="273"/>
      <c r="AO339" s="405"/>
      <c r="AP339" s="273"/>
      <c r="AQ339" s="273"/>
      <c r="AR339" s="273"/>
      <c r="AS339" s="273"/>
      <c r="AT339" s="273"/>
      <c r="AU339" s="273"/>
      <c r="AV339" s="322">
        <f t="shared" si="17"/>
        <v>0</v>
      </c>
      <c r="AW339" s="402"/>
      <c r="AX339" s="376"/>
      <c r="AY339" s="373"/>
      <c r="AZ339" s="375"/>
      <c r="BA339" s="375"/>
      <c r="BB339" s="375"/>
      <c r="BC339" s="375"/>
      <c r="BD339" s="353">
        <f t="shared" si="18"/>
        <v>0</v>
      </c>
      <c r="BE339" s="432" t="s">
        <v>355</v>
      </c>
      <c r="BF339" s="407" t="s">
        <v>3209</v>
      </c>
      <c r="BG339" s="168"/>
      <c r="BH339" s="274"/>
      <c r="BI339" s="168"/>
      <c r="BJ339" s="274"/>
      <c r="BK339" s="168"/>
      <c r="BL339" s="275"/>
      <c r="BM339" s="276"/>
      <c r="BN339" s="275"/>
      <c r="BO339" s="276"/>
      <c r="BP339" s="277"/>
      <c r="BQ339" s="156"/>
      <c r="BR339" s="274"/>
      <c r="BS339" s="270"/>
      <c r="BT339" s="270"/>
      <c r="BU339" s="274"/>
      <c r="BV339" s="274"/>
      <c r="BW339" s="278"/>
      <c r="BX339" s="278"/>
      <c r="BY339" s="278"/>
      <c r="BZ339" s="351"/>
    </row>
    <row r="340" spans="1:78" s="90" customFormat="1" ht="19.5" hidden="1" customHeight="1">
      <c r="A340" s="137"/>
      <c r="B340" s="197">
        <f t="shared" si="16"/>
        <v>330</v>
      </c>
      <c r="C340" s="30" t="s">
        <v>202</v>
      </c>
      <c r="D340" s="30" t="s">
        <v>225</v>
      </c>
      <c r="E340" s="234" t="s">
        <v>937</v>
      </c>
      <c r="F340" s="235" t="s">
        <v>1336</v>
      </c>
      <c r="G340" s="284">
        <f>IFERROR(VLOOKUP(E340,Assign!$C$2:$J$142,8,FALSE),)</f>
        <v>0</v>
      </c>
      <c r="H340" s="361" t="s">
        <v>5294</v>
      </c>
      <c r="I340" s="363">
        <v>1</v>
      </c>
      <c r="J340" s="364" t="s">
        <v>221</v>
      </c>
      <c r="K340" s="364" t="s">
        <v>405</v>
      </c>
      <c r="L340" s="365" t="s">
        <v>2778</v>
      </c>
      <c r="M340" s="362" t="s">
        <v>3173</v>
      </c>
      <c r="N340" s="421" t="s">
        <v>285</v>
      </c>
      <c r="O340" s="269">
        <v>4858.1000000000004</v>
      </c>
      <c r="P340" s="269">
        <v>1679.8</v>
      </c>
      <c r="Q340" s="426">
        <v>7</v>
      </c>
      <c r="R340" s="418" t="s">
        <v>937</v>
      </c>
      <c r="S340" s="427" t="s">
        <v>613</v>
      </c>
      <c r="T340" s="357" t="s">
        <v>229</v>
      </c>
      <c r="U340" s="357" t="s">
        <v>204</v>
      </c>
      <c r="V340" s="367">
        <v>3708000000</v>
      </c>
      <c r="W340" s="368">
        <v>3708000000</v>
      </c>
      <c r="X340" s="357"/>
      <c r="Y340" s="357"/>
      <c r="Z340" s="400"/>
      <c r="AA340" s="369"/>
      <c r="AB340" s="370"/>
      <c r="AC340" s="404"/>
      <c r="AD340" s="270"/>
      <c r="AE340" s="156"/>
      <c r="AF340" s="156"/>
      <c r="AG340" s="357"/>
      <c r="AH340" s="357"/>
      <c r="AI340" s="357"/>
      <c r="AJ340" s="156"/>
      <c r="AK340" s="156"/>
      <c r="AL340" s="375"/>
      <c r="AM340" s="405"/>
      <c r="AN340" s="273"/>
      <c r="AO340" s="405"/>
      <c r="AP340" s="273"/>
      <c r="AQ340" s="273"/>
      <c r="AR340" s="273"/>
      <c r="AS340" s="273"/>
      <c r="AT340" s="273"/>
      <c r="AU340" s="273"/>
      <c r="AV340" s="322">
        <f t="shared" si="17"/>
        <v>0</v>
      </c>
      <c r="AW340" s="402"/>
      <c r="AX340" s="376"/>
      <c r="AY340" s="373"/>
      <c r="AZ340" s="375"/>
      <c r="BA340" s="375"/>
      <c r="BB340" s="375"/>
      <c r="BC340" s="375"/>
      <c r="BD340" s="353">
        <f t="shared" si="18"/>
        <v>0</v>
      </c>
      <c r="BE340" s="432" t="s">
        <v>355</v>
      </c>
      <c r="BF340" s="407" t="s">
        <v>513</v>
      </c>
      <c r="BG340" s="168"/>
      <c r="BH340" s="274"/>
      <c r="BI340" s="168"/>
      <c r="BJ340" s="274"/>
      <c r="BK340" s="168"/>
      <c r="BL340" s="275"/>
      <c r="BM340" s="276"/>
      <c r="BN340" s="275"/>
      <c r="BO340" s="276"/>
      <c r="BP340" s="277"/>
      <c r="BQ340" s="156"/>
      <c r="BR340" s="274"/>
      <c r="BS340" s="270"/>
      <c r="BT340" s="270"/>
      <c r="BU340" s="274"/>
      <c r="BV340" s="274"/>
      <c r="BW340" s="278"/>
      <c r="BX340" s="278"/>
      <c r="BY340" s="278"/>
      <c r="BZ340" s="351"/>
    </row>
    <row r="341" spans="1:78" s="90" customFormat="1" ht="19.5" hidden="1" customHeight="1">
      <c r="A341" s="137"/>
      <c r="B341" s="197">
        <f t="shared" si="16"/>
        <v>331</v>
      </c>
      <c r="C341" s="30" t="s">
        <v>202</v>
      </c>
      <c r="D341" s="30" t="s">
        <v>225</v>
      </c>
      <c r="E341" s="234" t="s">
        <v>938</v>
      </c>
      <c r="F341" s="235" t="s">
        <v>1231</v>
      </c>
      <c r="G341" s="284">
        <f>IFERROR(VLOOKUP(E341,Assign!$C$2:$J$142,8,FALSE),)</f>
        <v>0</v>
      </c>
      <c r="H341" s="361" t="s">
        <v>4807</v>
      </c>
      <c r="I341" s="363">
        <v>1</v>
      </c>
      <c r="J341" s="364" t="s">
        <v>212</v>
      </c>
      <c r="K341" s="364" t="s">
        <v>232</v>
      </c>
      <c r="L341" s="365" t="s">
        <v>263</v>
      </c>
      <c r="M341" s="362" t="s">
        <v>3131</v>
      </c>
      <c r="N341" s="421" t="s">
        <v>620</v>
      </c>
      <c r="O341" s="269">
        <v>780.2</v>
      </c>
      <c r="P341" s="269">
        <v>1346.32</v>
      </c>
      <c r="Q341" s="426"/>
      <c r="R341" s="418" t="s">
        <v>3488</v>
      </c>
      <c r="S341" s="427" t="s">
        <v>613</v>
      </c>
      <c r="T341" s="357" t="s">
        <v>233</v>
      </c>
      <c r="U341" s="357" t="s">
        <v>204</v>
      </c>
      <c r="V341" s="367">
        <v>3552000000</v>
      </c>
      <c r="W341" s="368">
        <v>3552000000</v>
      </c>
      <c r="X341" s="357"/>
      <c r="Y341" s="357"/>
      <c r="Z341" s="400"/>
      <c r="AA341" s="369"/>
      <c r="AB341" s="370"/>
      <c r="AC341" s="404"/>
      <c r="AD341" s="270"/>
      <c r="AE341" s="156"/>
      <c r="AF341" s="156"/>
      <c r="AG341" s="357"/>
      <c r="AH341" s="357"/>
      <c r="AI341" s="357"/>
      <c r="AJ341" s="156"/>
      <c r="AK341" s="156"/>
      <c r="AL341" s="375"/>
      <c r="AM341" s="405"/>
      <c r="AN341" s="273"/>
      <c r="AO341" s="405"/>
      <c r="AP341" s="273"/>
      <c r="AQ341" s="273"/>
      <c r="AR341" s="273"/>
      <c r="AS341" s="273"/>
      <c r="AT341" s="273"/>
      <c r="AU341" s="273"/>
      <c r="AV341" s="322">
        <f t="shared" si="17"/>
        <v>0</v>
      </c>
      <c r="AW341" s="402"/>
      <c r="AX341" s="376"/>
      <c r="AY341" s="373"/>
      <c r="AZ341" s="375"/>
      <c r="BA341" s="375"/>
      <c r="BB341" s="375"/>
      <c r="BC341" s="375"/>
      <c r="BD341" s="353">
        <f t="shared" si="18"/>
        <v>0</v>
      </c>
      <c r="BE341" s="432" t="s">
        <v>355</v>
      </c>
      <c r="BF341" s="407" t="s">
        <v>496</v>
      </c>
      <c r="BG341" s="168"/>
      <c r="BH341" s="274"/>
      <c r="BI341" s="168"/>
      <c r="BJ341" s="274"/>
      <c r="BK341" s="168"/>
      <c r="BL341" s="275"/>
      <c r="BM341" s="276"/>
      <c r="BN341" s="275"/>
      <c r="BO341" s="276"/>
      <c r="BP341" s="277"/>
      <c r="BQ341" s="156"/>
      <c r="BR341" s="274"/>
      <c r="BS341" s="270"/>
      <c r="BT341" s="270"/>
      <c r="BU341" s="274"/>
      <c r="BV341" s="274"/>
      <c r="BW341" s="278"/>
      <c r="BX341" s="278"/>
      <c r="BY341" s="278"/>
      <c r="BZ341" s="351"/>
    </row>
    <row r="342" spans="1:78" s="90" customFormat="1" ht="19.5" hidden="1" customHeight="1">
      <c r="A342" s="137"/>
      <c r="B342" s="197">
        <f t="shared" si="16"/>
        <v>332</v>
      </c>
      <c r="C342" s="30" t="s">
        <v>202</v>
      </c>
      <c r="D342" s="30" t="s">
        <v>225</v>
      </c>
      <c r="E342" s="234" t="s">
        <v>939</v>
      </c>
      <c r="F342" s="235" t="s">
        <v>1338</v>
      </c>
      <c r="G342" s="284">
        <f>IFERROR(VLOOKUP(E342,Assign!$C$2:$J$142,8,FALSE),)</f>
        <v>0</v>
      </c>
      <c r="H342" s="361" t="s">
        <v>5559</v>
      </c>
      <c r="I342" s="363">
        <v>1</v>
      </c>
      <c r="J342" s="364" t="s">
        <v>208</v>
      </c>
      <c r="K342" s="364" t="s">
        <v>259</v>
      </c>
      <c r="L342" s="365" t="s">
        <v>379</v>
      </c>
      <c r="M342" s="362" t="s">
        <v>3198</v>
      </c>
      <c r="N342" s="421" t="s">
        <v>285</v>
      </c>
      <c r="O342" s="269">
        <v>1320.9</v>
      </c>
      <c r="P342" s="269">
        <v>3298.87</v>
      </c>
      <c r="Q342" s="426"/>
      <c r="R342" s="418" t="s">
        <v>939</v>
      </c>
      <c r="S342" s="427" t="s">
        <v>613</v>
      </c>
      <c r="T342" s="357">
        <v>1</v>
      </c>
      <c r="U342" s="357" t="s">
        <v>204</v>
      </c>
      <c r="V342" s="367">
        <v>3774000000</v>
      </c>
      <c r="W342" s="368">
        <v>3774000000</v>
      </c>
      <c r="X342" s="357"/>
      <c r="Y342" s="357"/>
      <c r="Z342" s="400"/>
      <c r="AA342" s="369"/>
      <c r="AB342" s="370"/>
      <c r="AC342" s="404"/>
      <c r="AD342" s="270"/>
      <c r="AE342" s="156"/>
      <c r="AF342" s="156"/>
      <c r="AG342" s="357"/>
      <c r="AH342" s="357"/>
      <c r="AI342" s="357"/>
      <c r="AJ342" s="156"/>
      <c r="AK342" s="156"/>
      <c r="AL342" s="375"/>
      <c r="AM342" s="405"/>
      <c r="AN342" s="273"/>
      <c r="AO342" s="405"/>
      <c r="AP342" s="273"/>
      <c r="AQ342" s="273"/>
      <c r="AR342" s="273"/>
      <c r="AS342" s="273"/>
      <c r="AT342" s="273"/>
      <c r="AU342" s="273"/>
      <c r="AV342" s="322">
        <f t="shared" si="17"/>
        <v>0</v>
      </c>
      <c r="AW342" s="402"/>
      <c r="AX342" s="376"/>
      <c r="AY342" s="373"/>
      <c r="AZ342" s="375"/>
      <c r="BA342" s="375"/>
      <c r="BB342" s="375"/>
      <c r="BC342" s="375"/>
      <c r="BD342" s="353">
        <f t="shared" si="18"/>
        <v>0</v>
      </c>
      <c r="BE342" s="432" t="s">
        <v>355</v>
      </c>
      <c r="BF342" s="407" t="s">
        <v>499</v>
      </c>
      <c r="BG342" s="168"/>
      <c r="BH342" s="274"/>
      <c r="BI342" s="168"/>
      <c r="BJ342" s="274"/>
      <c r="BK342" s="168"/>
      <c r="BL342" s="275"/>
      <c r="BM342" s="276"/>
      <c r="BN342" s="275"/>
      <c r="BO342" s="276"/>
      <c r="BP342" s="277"/>
      <c r="BQ342" s="156"/>
      <c r="BR342" s="274"/>
      <c r="BS342" s="270"/>
      <c r="BT342" s="270"/>
      <c r="BU342" s="274"/>
      <c r="BV342" s="274"/>
      <c r="BW342" s="278"/>
      <c r="BX342" s="278"/>
      <c r="BY342" s="278"/>
      <c r="BZ342" s="351"/>
    </row>
    <row r="343" spans="1:78" s="90" customFormat="1" ht="19.5" hidden="1" customHeight="1">
      <c r="A343" s="137"/>
      <c r="B343" s="197">
        <f t="shared" si="16"/>
        <v>333</v>
      </c>
      <c r="C343" s="30" t="s">
        <v>202</v>
      </c>
      <c r="D343" s="30" t="s">
        <v>225</v>
      </c>
      <c r="E343" s="234" t="s">
        <v>940</v>
      </c>
      <c r="F343" s="235" t="s">
        <v>1339</v>
      </c>
      <c r="G343" s="284">
        <f>IFERROR(VLOOKUP(E343,Assign!$C$2:$J$142,8,FALSE),)</f>
        <v>0</v>
      </c>
      <c r="H343" s="361" t="s">
        <v>5540</v>
      </c>
      <c r="I343" s="363">
        <v>1</v>
      </c>
      <c r="J343" s="364" t="s">
        <v>209</v>
      </c>
      <c r="K343" s="364" t="s">
        <v>354</v>
      </c>
      <c r="L343" s="365" t="s">
        <v>3013</v>
      </c>
      <c r="M343" s="362" t="s">
        <v>3014</v>
      </c>
      <c r="N343" s="421" t="s">
        <v>546</v>
      </c>
      <c r="O343" s="269">
        <v>21.1</v>
      </c>
      <c r="P343" s="269">
        <v>80.260000000000005</v>
      </c>
      <c r="Q343" s="426"/>
      <c r="R343" s="418" t="s">
        <v>940</v>
      </c>
      <c r="S343" s="427" t="s">
        <v>613</v>
      </c>
      <c r="T343" s="357">
        <v>1</v>
      </c>
      <c r="U343" s="357" t="s">
        <v>204</v>
      </c>
      <c r="V343" s="367">
        <v>1104000000</v>
      </c>
      <c r="W343" s="368">
        <v>1104000000</v>
      </c>
      <c r="X343" s="357"/>
      <c r="Y343" s="357"/>
      <c r="Z343" s="400"/>
      <c r="AA343" s="369"/>
      <c r="AB343" s="370"/>
      <c r="AC343" s="404"/>
      <c r="AD343" s="270"/>
      <c r="AE343" s="156"/>
      <c r="AF343" s="156"/>
      <c r="AG343" s="357"/>
      <c r="AH343" s="357"/>
      <c r="AI343" s="357"/>
      <c r="AJ343" s="156"/>
      <c r="AK343" s="156"/>
      <c r="AL343" s="375"/>
      <c r="AM343" s="405"/>
      <c r="AN343" s="273"/>
      <c r="AO343" s="405"/>
      <c r="AP343" s="273"/>
      <c r="AQ343" s="273"/>
      <c r="AR343" s="273"/>
      <c r="AS343" s="273"/>
      <c r="AT343" s="273"/>
      <c r="AU343" s="273"/>
      <c r="AV343" s="322">
        <f t="shared" si="17"/>
        <v>0</v>
      </c>
      <c r="AW343" s="402"/>
      <c r="AX343" s="376"/>
      <c r="AY343" s="373"/>
      <c r="AZ343" s="375"/>
      <c r="BA343" s="375"/>
      <c r="BB343" s="375"/>
      <c r="BC343" s="375"/>
      <c r="BD343" s="353">
        <f t="shared" si="18"/>
        <v>0</v>
      </c>
      <c r="BE343" s="432" t="s">
        <v>355</v>
      </c>
      <c r="BF343" s="407" t="s">
        <v>495</v>
      </c>
      <c r="BG343" s="168"/>
      <c r="BH343" s="274"/>
      <c r="BI343" s="168"/>
      <c r="BJ343" s="274"/>
      <c r="BK343" s="168"/>
      <c r="BL343" s="275"/>
      <c r="BM343" s="276"/>
      <c r="BN343" s="275"/>
      <c r="BO343" s="276"/>
      <c r="BP343" s="277"/>
      <c r="BQ343" s="156"/>
      <c r="BR343" s="274"/>
      <c r="BS343" s="270"/>
      <c r="BT343" s="270"/>
      <c r="BU343" s="274"/>
      <c r="BV343" s="274"/>
      <c r="BW343" s="278"/>
      <c r="BX343" s="278"/>
      <c r="BY343" s="278"/>
      <c r="BZ343" s="351"/>
    </row>
    <row r="344" spans="1:78" s="90" customFormat="1" ht="19.5" hidden="1" customHeight="1">
      <c r="A344" s="137"/>
      <c r="B344" s="197">
        <f t="shared" si="16"/>
        <v>334</v>
      </c>
      <c r="C344" s="30" t="s">
        <v>202</v>
      </c>
      <c r="D344" s="30" t="s">
        <v>225</v>
      </c>
      <c r="E344" s="234" t="s">
        <v>940</v>
      </c>
      <c r="F344" s="235" t="s">
        <v>1339</v>
      </c>
      <c r="G344" s="284">
        <f>IFERROR(VLOOKUP(E344,Assign!$C$2:$J$142,8,FALSE),)</f>
        <v>0</v>
      </c>
      <c r="H344" s="361" t="s">
        <v>5542</v>
      </c>
      <c r="I344" s="363">
        <v>2</v>
      </c>
      <c r="J344" s="364" t="s">
        <v>209</v>
      </c>
      <c r="K344" s="364" t="s">
        <v>354</v>
      </c>
      <c r="L344" s="365" t="s">
        <v>3013</v>
      </c>
      <c r="M344" s="362" t="s">
        <v>3016</v>
      </c>
      <c r="N344" s="421" t="s">
        <v>546</v>
      </c>
      <c r="O344" s="269">
        <v>18.88</v>
      </c>
      <c r="P344" s="269">
        <v>71.819999999999993</v>
      </c>
      <c r="Q344" s="426"/>
      <c r="R344" s="418" t="s">
        <v>940</v>
      </c>
      <c r="S344" s="427" t="s">
        <v>613</v>
      </c>
      <c r="T344" s="357" t="s">
        <v>3664</v>
      </c>
      <c r="U344" s="357" t="s">
        <v>204</v>
      </c>
      <c r="V344" s="367">
        <v>996000000</v>
      </c>
      <c r="W344" s="368">
        <v>996000000</v>
      </c>
      <c r="X344" s="357"/>
      <c r="Y344" s="357"/>
      <c r="Z344" s="400"/>
      <c r="AA344" s="369"/>
      <c r="AB344" s="370"/>
      <c r="AC344" s="404"/>
      <c r="AD344" s="270"/>
      <c r="AE344" s="156"/>
      <c r="AF344" s="156"/>
      <c r="AG344" s="357"/>
      <c r="AH344" s="357"/>
      <c r="AI344" s="357"/>
      <c r="AJ344" s="156"/>
      <c r="AK344" s="156"/>
      <c r="AL344" s="375"/>
      <c r="AM344" s="405"/>
      <c r="AN344" s="273"/>
      <c r="AO344" s="405"/>
      <c r="AP344" s="273"/>
      <c r="AQ344" s="273"/>
      <c r="AR344" s="273"/>
      <c r="AS344" s="273"/>
      <c r="AT344" s="273"/>
      <c r="AU344" s="273"/>
      <c r="AV344" s="322">
        <f t="shared" si="17"/>
        <v>0</v>
      </c>
      <c r="AW344" s="402"/>
      <c r="AX344" s="376"/>
      <c r="AY344" s="373"/>
      <c r="AZ344" s="375"/>
      <c r="BA344" s="375"/>
      <c r="BB344" s="375"/>
      <c r="BC344" s="375"/>
      <c r="BD344" s="353">
        <f t="shared" si="18"/>
        <v>0</v>
      </c>
      <c r="BE344" s="432" t="s">
        <v>355</v>
      </c>
      <c r="BF344" s="407" t="s">
        <v>495</v>
      </c>
      <c r="BG344" s="168"/>
      <c r="BH344" s="274"/>
      <c r="BI344" s="168"/>
      <c r="BJ344" s="274"/>
      <c r="BK344" s="168"/>
      <c r="BL344" s="275"/>
      <c r="BM344" s="276"/>
      <c r="BN344" s="275"/>
      <c r="BO344" s="276"/>
      <c r="BP344" s="277"/>
      <c r="BQ344" s="156"/>
      <c r="BR344" s="274"/>
      <c r="BS344" s="270"/>
      <c r="BT344" s="270"/>
      <c r="BU344" s="274"/>
      <c r="BV344" s="274"/>
      <c r="BW344" s="278"/>
      <c r="BX344" s="278"/>
      <c r="BY344" s="278"/>
      <c r="BZ344" s="351"/>
    </row>
    <row r="345" spans="1:78" s="90" customFormat="1" ht="19.5" hidden="1" customHeight="1">
      <c r="A345" s="137"/>
      <c r="B345" s="197">
        <f t="shared" si="16"/>
        <v>335</v>
      </c>
      <c r="C345" s="30" t="s">
        <v>202</v>
      </c>
      <c r="D345" s="30" t="s">
        <v>225</v>
      </c>
      <c r="E345" s="234" t="s">
        <v>940</v>
      </c>
      <c r="F345" s="235" t="s">
        <v>1339</v>
      </c>
      <c r="G345" s="284">
        <f>IFERROR(VLOOKUP(E345,Assign!$C$2:$J$142,8,FALSE),)</f>
        <v>0</v>
      </c>
      <c r="H345" s="361" t="s">
        <v>5544</v>
      </c>
      <c r="I345" s="363">
        <v>3</v>
      </c>
      <c r="J345" s="364" t="s">
        <v>209</v>
      </c>
      <c r="K345" s="364" t="s">
        <v>354</v>
      </c>
      <c r="L345" s="365" t="s">
        <v>3013</v>
      </c>
      <c r="M345" s="362" t="s">
        <v>3017</v>
      </c>
      <c r="N345" s="421" t="s">
        <v>546</v>
      </c>
      <c r="O345" s="269">
        <v>13.01</v>
      </c>
      <c r="P345" s="269">
        <v>49.5</v>
      </c>
      <c r="Q345" s="426"/>
      <c r="R345" s="418" t="s">
        <v>940</v>
      </c>
      <c r="S345" s="427" t="s">
        <v>613</v>
      </c>
      <c r="T345" s="357">
        <v>1</v>
      </c>
      <c r="U345" s="357" t="s">
        <v>204</v>
      </c>
      <c r="V345" s="367">
        <v>660000000</v>
      </c>
      <c r="W345" s="368">
        <v>660000000</v>
      </c>
      <c r="X345" s="357"/>
      <c r="Y345" s="357"/>
      <c r="Z345" s="400"/>
      <c r="AA345" s="369"/>
      <c r="AB345" s="370"/>
      <c r="AC345" s="404"/>
      <c r="AD345" s="270"/>
      <c r="AE345" s="156"/>
      <c r="AF345" s="156"/>
      <c r="AG345" s="357"/>
      <c r="AH345" s="357"/>
      <c r="AI345" s="357"/>
      <c r="AJ345" s="156"/>
      <c r="AK345" s="156"/>
      <c r="AL345" s="375"/>
      <c r="AM345" s="405"/>
      <c r="AN345" s="273"/>
      <c r="AO345" s="405"/>
      <c r="AP345" s="273"/>
      <c r="AQ345" s="273"/>
      <c r="AR345" s="273"/>
      <c r="AS345" s="273"/>
      <c r="AT345" s="273"/>
      <c r="AU345" s="273"/>
      <c r="AV345" s="322">
        <f t="shared" si="17"/>
        <v>0</v>
      </c>
      <c r="AW345" s="402"/>
      <c r="AX345" s="376"/>
      <c r="AY345" s="373"/>
      <c r="AZ345" s="375"/>
      <c r="BA345" s="375"/>
      <c r="BB345" s="375"/>
      <c r="BC345" s="375"/>
      <c r="BD345" s="353">
        <f t="shared" si="18"/>
        <v>0</v>
      </c>
      <c r="BE345" s="432" t="s">
        <v>355</v>
      </c>
      <c r="BF345" s="407" t="s">
        <v>495</v>
      </c>
      <c r="BG345" s="168"/>
      <c r="BH345" s="274"/>
      <c r="BI345" s="168"/>
      <c r="BJ345" s="274"/>
      <c r="BK345" s="168"/>
      <c r="BL345" s="275"/>
      <c r="BM345" s="276"/>
      <c r="BN345" s="275"/>
      <c r="BO345" s="276"/>
      <c r="BP345" s="277"/>
      <c r="BQ345" s="156"/>
      <c r="BR345" s="274"/>
      <c r="BS345" s="270"/>
      <c r="BT345" s="270"/>
      <c r="BU345" s="274"/>
      <c r="BV345" s="274"/>
      <c r="BW345" s="278"/>
      <c r="BX345" s="278"/>
      <c r="BY345" s="278"/>
      <c r="BZ345" s="351"/>
    </row>
    <row r="346" spans="1:78" s="90" customFormat="1" ht="19.5" hidden="1" customHeight="1">
      <c r="A346" s="137"/>
      <c r="B346" s="197">
        <f t="shared" si="16"/>
        <v>336</v>
      </c>
      <c r="C346" s="30" t="s">
        <v>202</v>
      </c>
      <c r="D346" s="30" t="s">
        <v>225</v>
      </c>
      <c r="E346" s="234" t="s">
        <v>941</v>
      </c>
      <c r="F346" s="235" t="s">
        <v>1229</v>
      </c>
      <c r="G346" s="284">
        <f>IFERROR(VLOOKUP(E346,Assign!$C$2:$J$142,8,FALSE),)</f>
        <v>0</v>
      </c>
      <c r="H346" s="361" t="s">
        <v>3940</v>
      </c>
      <c r="I346" s="363">
        <v>1</v>
      </c>
      <c r="J346" s="364" t="s">
        <v>214</v>
      </c>
      <c r="K346" s="364" t="s">
        <v>338</v>
      </c>
      <c r="L346" s="365" t="s">
        <v>1513</v>
      </c>
      <c r="M346" s="362" t="s">
        <v>3092</v>
      </c>
      <c r="N346" s="421" t="s">
        <v>595</v>
      </c>
      <c r="O346" s="269">
        <v>9984</v>
      </c>
      <c r="P346" s="269">
        <v>3072</v>
      </c>
      <c r="Q346" s="426"/>
      <c r="R346" s="418" t="s">
        <v>3434</v>
      </c>
      <c r="S346" s="427" t="s">
        <v>613</v>
      </c>
      <c r="T346" s="357">
        <v>1</v>
      </c>
      <c r="U346" s="357" t="s">
        <v>204</v>
      </c>
      <c r="V346" s="367">
        <v>2400000000</v>
      </c>
      <c r="W346" s="368">
        <v>2400000000</v>
      </c>
      <c r="X346" s="357">
        <v>2</v>
      </c>
      <c r="Y346" s="357">
        <v>1</v>
      </c>
      <c r="Z346" s="400" t="s">
        <v>3206</v>
      </c>
      <c r="AA346" s="369">
        <v>2400000000</v>
      </c>
      <c r="AB346" s="370">
        <v>2400000000</v>
      </c>
      <c r="AC346" s="404"/>
      <c r="AD346" s="270"/>
      <c r="AE346" s="156"/>
      <c r="AF346" s="156"/>
      <c r="AG346" s="357"/>
      <c r="AH346" s="357"/>
      <c r="AI346" s="357"/>
      <c r="AJ346" s="156"/>
      <c r="AK346" s="156"/>
      <c r="AL346" s="375"/>
      <c r="AM346" s="405"/>
      <c r="AN346" s="273"/>
      <c r="AO346" s="405"/>
      <c r="AP346" s="273"/>
      <c r="AQ346" s="273"/>
      <c r="AR346" s="273"/>
      <c r="AS346" s="273"/>
      <c r="AT346" s="273"/>
      <c r="AU346" s="273"/>
      <c r="AV346" s="322">
        <f t="shared" si="17"/>
        <v>0</v>
      </c>
      <c r="AW346" s="402"/>
      <c r="AX346" s="376"/>
      <c r="AY346" s="373"/>
      <c r="AZ346" s="375"/>
      <c r="BA346" s="375"/>
      <c r="BB346" s="375"/>
      <c r="BC346" s="375"/>
      <c r="BD346" s="353">
        <f t="shared" si="18"/>
        <v>0</v>
      </c>
      <c r="BE346" s="432" t="s">
        <v>355</v>
      </c>
      <c r="BF346" s="407" t="s">
        <v>500</v>
      </c>
      <c r="BG346" s="168"/>
      <c r="BH346" s="274"/>
      <c r="BI346" s="168"/>
      <c r="BJ346" s="274"/>
      <c r="BK346" s="168"/>
      <c r="BL346" s="275"/>
      <c r="BM346" s="276"/>
      <c r="BN346" s="275"/>
      <c r="BO346" s="276"/>
      <c r="BP346" s="277"/>
      <c r="BQ346" s="156"/>
      <c r="BR346" s="274"/>
      <c r="BS346" s="270"/>
      <c r="BT346" s="270"/>
      <c r="BU346" s="274"/>
      <c r="BV346" s="274"/>
      <c r="BW346" s="278"/>
      <c r="BX346" s="278"/>
      <c r="BY346" s="278"/>
      <c r="BZ346" s="351"/>
    </row>
    <row r="347" spans="1:78" s="90" customFormat="1" ht="19.5" hidden="1" customHeight="1">
      <c r="A347" s="137"/>
      <c r="B347" s="197">
        <f t="shared" si="16"/>
        <v>337</v>
      </c>
      <c r="C347" s="30" t="s">
        <v>202</v>
      </c>
      <c r="D347" s="30" t="s">
        <v>225</v>
      </c>
      <c r="E347" s="234" t="s">
        <v>941</v>
      </c>
      <c r="F347" s="235" t="s">
        <v>1229</v>
      </c>
      <c r="G347" s="284">
        <f>IFERROR(VLOOKUP(E347,Assign!$C$2:$J$142,8,FALSE),)</f>
        <v>0</v>
      </c>
      <c r="H347" s="361" t="s">
        <v>3945</v>
      </c>
      <c r="I347" s="363">
        <v>2</v>
      </c>
      <c r="J347" s="364" t="s">
        <v>214</v>
      </c>
      <c r="K347" s="364" t="s">
        <v>338</v>
      </c>
      <c r="L347" s="365" t="s">
        <v>1513</v>
      </c>
      <c r="M347" s="362" t="s">
        <v>3093</v>
      </c>
      <c r="N347" s="421" t="s">
        <v>446</v>
      </c>
      <c r="O347" s="269">
        <v>2676</v>
      </c>
      <c r="P347" s="269"/>
      <c r="Q347" s="426"/>
      <c r="R347" s="418" t="s">
        <v>3434</v>
      </c>
      <c r="S347" s="427" t="s">
        <v>613</v>
      </c>
      <c r="T347" s="357">
        <v>1</v>
      </c>
      <c r="U347" s="357" t="s">
        <v>204</v>
      </c>
      <c r="V347" s="367">
        <v>2400000000</v>
      </c>
      <c r="W347" s="368">
        <v>2400000000</v>
      </c>
      <c r="X347" s="357">
        <v>1</v>
      </c>
      <c r="Y347" s="357">
        <v>1</v>
      </c>
      <c r="Z347" s="400" t="s">
        <v>3206</v>
      </c>
      <c r="AA347" s="369">
        <v>2400000000</v>
      </c>
      <c r="AB347" s="370">
        <v>2400000000</v>
      </c>
      <c r="AC347" s="404"/>
      <c r="AD347" s="270"/>
      <c r="AE347" s="156"/>
      <c r="AF347" s="156"/>
      <c r="AG347" s="357"/>
      <c r="AH347" s="357"/>
      <c r="AI347" s="357"/>
      <c r="AJ347" s="156"/>
      <c r="AK347" s="156"/>
      <c r="AL347" s="375"/>
      <c r="AM347" s="405"/>
      <c r="AN347" s="273"/>
      <c r="AO347" s="405"/>
      <c r="AP347" s="273"/>
      <c r="AQ347" s="273"/>
      <c r="AR347" s="273"/>
      <c r="AS347" s="273"/>
      <c r="AT347" s="273"/>
      <c r="AU347" s="273"/>
      <c r="AV347" s="322">
        <f t="shared" si="17"/>
        <v>0</v>
      </c>
      <c r="AW347" s="402"/>
      <c r="AX347" s="376"/>
      <c r="AY347" s="373"/>
      <c r="AZ347" s="375"/>
      <c r="BA347" s="375"/>
      <c r="BB347" s="375"/>
      <c r="BC347" s="375"/>
      <c r="BD347" s="353">
        <f t="shared" si="18"/>
        <v>0</v>
      </c>
      <c r="BE347" s="432" t="s">
        <v>355</v>
      </c>
      <c r="BF347" s="407" t="s">
        <v>500</v>
      </c>
      <c r="BG347" s="168"/>
      <c r="BH347" s="274"/>
      <c r="BI347" s="168"/>
      <c r="BJ347" s="274"/>
      <c r="BK347" s="168"/>
      <c r="BL347" s="275"/>
      <c r="BM347" s="276"/>
      <c r="BN347" s="275"/>
      <c r="BO347" s="276"/>
      <c r="BP347" s="277"/>
      <c r="BQ347" s="156"/>
      <c r="BR347" s="274"/>
      <c r="BS347" s="270"/>
      <c r="BT347" s="270"/>
      <c r="BU347" s="274"/>
      <c r="BV347" s="274"/>
      <c r="BW347" s="278"/>
      <c r="BX347" s="278"/>
      <c r="BY347" s="278"/>
      <c r="BZ347" s="351"/>
    </row>
    <row r="348" spans="1:78" s="90" customFormat="1" ht="19.5" hidden="1" customHeight="1">
      <c r="A348" s="137"/>
      <c r="B348" s="197">
        <f t="shared" si="16"/>
        <v>338</v>
      </c>
      <c r="C348" s="30" t="s">
        <v>202</v>
      </c>
      <c r="D348" s="30" t="s">
        <v>225</v>
      </c>
      <c r="E348" s="234" t="s">
        <v>941</v>
      </c>
      <c r="F348" s="235" t="s">
        <v>1229</v>
      </c>
      <c r="G348" s="284">
        <f>IFERROR(VLOOKUP(E348,Assign!$C$2:$J$142,8,FALSE),)</f>
        <v>0</v>
      </c>
      <c r="H348" s="361" t="s">
        <v>3947</v>
      </c>
      <c r="I348" s="363">
        <v>3</v>
      </c>
      <c r="J348" s="364" t="s">
        <v>209</v>
      </c>
      <c r="K348" s="364" t="s">
        <v>334</v>
      </c>
      <c r="L348" s="365" t="s">
        <v>1521</v>
      </c>
      <c r="M348" s="362" t="s">
        <v>3094</v>
      </c>
      <c r="N348" s="421" t="s">
        <v>396</v>
      </c>
      <c r="O348" s="269">
        <v>228.8</v>
      </c>
      <c r="P348" s="269">
        <v>298.16000000000003</v>
      </c>
      <c r="Q348" s="426"/>
      <c r="R348" s="418" t="s">
        <v>3435</v>
      </c>
      <c r="S348" s="427" t="s">
        <v>613</v>
      </c>
      <c r="T348" s="357">
        <v>1</v>
      </c>
      <c r="U348" s="357" t="s">
        <v>204</v>
      </c>
      <c r="V348" s="367">
        <v>120000000</v>
      </c>
      <c r="W348" s="368">
        <v>120000000</v>
      </c>
      <c r="X348" s="357"/>
      <c r="Y348" s="357"/>
      <c r="Z348" s="400"/>
      <c r="AA348" s="369"/>
      <c r="AB348" s="370"/>
      <c r="AC348" s="404"/>
      <c r="AD348" s="270"/>
      <c r="AE348" s="156"/>
      <c r="AF348" s="156"/>
      <c r="AG348" s="357"/>
      <c r="AH348" s="357"/>
      <c r="AI348" s="357"/>
      <c r="AJ348" s="156"/>
      <c r="AK348" s="156"/>
      <c r="AL348" s="375"/>
      <c r="AM348" s="405"/>
      <c r="AN348" s="273"/>
      <c r="AO348" s="405"/>
      <c r="AP348" s="273"/>
      <c r="AQ348" s="273"/>
      <c r="AR348" s="273"/>
      <c r="AS348" s="273"/>
      <c r="AT348" s="273"/>
      <c r="AU348" s="273"/>
      <c r="AV348" s="322">
        <f t="shared" si="17"/>
        <v>0</v>
      </c>
      <c r="AW348" s="402"/>
      <c r="AX348" s="376"/>
      <c r="AY348" s="373"/>
      <c r="AZ348" s="375"/>
      <c r="BA348" s="375"/>
      <c r="BB348" s="375"/>
      <c r="BC348" s="375"/>
      <c r="BD348" s="353">
        <f t="shared" si="18"/>
        <v>0</v>
      </c>
      <c r="BE348" s="432" t="s">
        <v>355</v>
      </c>
      <c r="BF348" s="407" t="s">
        <v>497</v>
      </c>
      <c r="BG348" s="168"/>
      <c r="BH348" s="274"/>
      <c r="BI348" s="168"/>
      <c r="BJ348" s="274"/>
      <c r="BK348" s="168"/>
      <c r="BL348" s="275"/>
      <c r="BM348" s="276"/>
      <c r="BN348" s="275"/>
      <c r="BO348" s="276"/>
      <c r="BP348" s="277"/>
      <c r="BQ348" s="156"/>
      <c r="BR348" s="274"/>
      <c r="BS348" s="270"/>
      <c r="BT348" s="270"/>
      <c r="BU348" s="274"/>
      <c r="BV348" s="274"/>
      <c r="BW348" s="278"/>
      <c r="BX348" s="278"/>
      <c r="BY348" s="278"/>
      <c r="BZ348" s="351"/>
    </row>
    <row r="349" spans="1:78" s="90" customFormat="1" ht="19.5" hidden="1" customHeight="1">
      <c r="A349" s="137"/>
      <c r="B349" s="197">
        <f t="shared" si="16"/>
        <v>339</v>
      </c>
      <c r="C349" s="30" t="s">
        <v>202</v>
      </c>
      <c r="D349" s="30" t="s">
        <v>225</v>
      </c>
      <c r="E349" s="234" t="s">
        <v>942</v>
      </c>
      <c r="F349" s="235" t="s">
        <v>1340</v>
      </c>
      <c r="G349" s="284">
        <f>IFERROR(VLOOKUP(E349,Assign!$C$2:$J$142,8,FALSE),)</f>
        <v>0</v>
      </c>
      <c r="H349" s="361" t="s">
        <v>5423</v>
      </c>
      <c r="I349" s="363">
        <v>1</v>
      </c>
      <c r="J349" s="364" t="s">
        <v>208</v>
      </c>
      <c r="K349" s="364" t="s">
        <v>228</v>
      </c>
      <c r="L349" s="365" t="s">
        <v>340</v>
      </c>
      <c r="M349" s="362" t="s">
        <v>3187</v>
      </c>
      <c r="N349" s="421" t="s">
        <v>3115</v>
      </c>
      <c r="O349" s="269">
        <v>55.02</v>
      </c>
      <c r="P349" s="269">
        <v>171.72</v>
      </c>
      <c r="Q349" s="426"/>
      <c r="R349" s="418" t="s">
        <v>942</v>
      </c>
      <c r="S349" s="427" t="s">
        <v>613</v>
      </c>
      <c r="T349" s="357">
        <v>1</v>
      </c>
      <c r="U349" s="357" t="s">
        <v>204</v>
      </c>
      <c r="V349" s="367">
        <v>1140000000</v>
      </c>
      <c r="W349" s="368">
        <v>1140000000</v>
      </c>
      <c r="X349" s="357"/>
      <c r="Y349" s="357"/>
      <c r="Z349" s="400"/>
      <c r="AA349" s="369"/>
      <c r="AB349" s="370"/>
      <c r="AC349" s="404"/>
      <c r="AD349" s="270"/>
      <c r="AE349" s="156"/>
      <c r="AF349" s="156"/>
      <c r="AG349" s="357"/>
      <c r="AH349" s="357"/>
      <c r="AI349" s="357"/>
      <c r="AJ349" s="156"/>
      <c r="AK349" s="156"/>
      <c r="AL349" s="375"/>
      <c r="AM349" s="405"/>
      <c r="AN349" s="273"/>
      <c r="AO349" s="405"/>
      <c r="AP349" s="273"/>
      <c r="AQ349" s="273"/>
      <c r="AR349" s="273"/>
      <c r="AS349" s="273"/>
      <c r="AT349" s="273"/>
      <c r="AU349" s="273"/>
      <c r="AV349" s="322">
        <f t="shared" si="17"/>
        <v>0</v>
      </c>
      <c r="AW349" s="402"/>
      <c r="AX349" s="376"/>
      <c r="AY349" s="373"/>
      <c r="AZ349" s="375"/>
      <c r="BA349" s="375"/>
      <c r="BB349" s="375"/>
      <c r="BC349" s="375"/>
      <c r="BD349" s="353">
        <f t="shared" si="18"/>
        <v>0</v>
      </c>
      <c r="BE349" s="432" t="s">
        <v>335</v>
      </c>
      <c r="BF349" s="407" t="s">
        <v>424</v>
      </c>
      <c r="BG349" s="168" t="s">
        <v>1373</v>
      </c>
      <c r="BH349" s="274">
        <v>45714</v>
      </c>
      <c r="BI349" s="168" t="s">
        <v>3348</v>
      </c>
      <c r="BJ349" s="274">
        <v>45786</v>
      </c>
      <c r="BK349" s="168">
        <v>1140000000</v>
      </c>
      <c r="BL349" s="275"/>
      <c r="BM349" s="276"/>
      <c r="BN349" s="275"/>
      <c r="BO349" s="276"/>
      <c r="BP349" s="277"/>
      <c r="BQ349" s="156"/>
      <c r="BR349" s="274"/>
      <c r="BS349" s="270"/>
      <c r="BT349" s="270"/>
      <c r="BU349" s="274"/>
      <c r="BV349" s="274"/>
      <c r="BW349" s="278"/>
      <c r="BX349" s="278"/>
      <c r="BY349" s="278"/>
      <c r="BZ349" s="351"/>
    </row>
    <row r="350" spans="1:78" s="90" customFormat="1" ht="19.5" hidden="1" customHeight="1">
      <c r="A350" s="137"/>
      <c r="B350" s="197">
        <f t="shared" si="16"/>
        <v>340</v>
      </c>
      <c r="C350" s="30" t="s">
        <v>202</v>
      </c>
      <c r="D350" s="30" t="s">
        <v>225</v>
      </c>
      <c r="E350" s="234" t="s">
        <v>942</v>
      </c>
      <c r="F350" s="235" t="s">
        <v>1340</v>
      </c>
      <c r="G350" s="284">
        <f>IFERROR(VLOOKUP(E350,Assign!$C$2:$J$142,8,FALSE),)</f>
        <v>0</v>
      </c>
      <c r="H350" s="361" t="s">
        <v>5426</v>
      </c>
      <c r="I350" s="363">
        <v>2</v>
      </c>
      <c r="J350" s="364" t="s">
        <v>216</v>
      </c>
      <c r="K350" s="364" t="s">
        <v>289</v>
      </c>
      <c r="L350" s="365" t="s">
        <v>2900</v>
      </c>
      <c r="M350" s="362" t="s">
        <v>2901</v>
      </c>
      <c r="N350" s="421" t="s">
        <v>3386</v>
      </c>
      <c r="O350" s="269">
        <v>29.634499999999999</v>
      </c>
      <c r="P350" s="269">
        <v>162.96</v>
      </c>
      <c r="Q350" s="426"/>
      <c r="R350" s="418" t="s">
        <v>942</v>
      </c>
      <c r="S350" s="427" t="s">
        <v>613</v>
      </c>
      <c r="T350" s="357">
        <v>1</v>
      </c>
      <c r="U350" s="357" t="s">
        <v>204</v>
      </c>
      <c r="V350" s="367">
        <v>960000000</v>
      </c>
      <c r="W350" s="368">
        <v>960000000</v>
      </c>
      <c r="X350" s="357"/>
      <c r="Y350" s="357"/>
      <c r="Z350" s="400"/>
      <c r="AA350" s="369"/>
      <c r="AB350" s="370"/>
      <c r="AC350" s="404"/>
      <c r="AD350" s="270"/>
      <c r="AE350" s="156"/>
      <c r="AF350" s="156"/>
      <c r="AG350" s="357"/>
      <c r="AH350" s="357"/>
      <c r="AI350" s="357"/>
      <c r="AJ350" s="156"/>
      <c r="AK350" s="156"/>
      <c r="AL350" s="375"/>
      <c r="AM350" s="405"/>
      <c r="AN350" s="273"/>
      <c r="AO350" s="405"/>
      <c r="AP350" s="273"/>
      <c r="AQ350" s="273"/>
      <c r="AR350" s="273"/>
      <c r="AS350" s="273"/>
      <c r="AT350" s="273"/>
      <c r="AU350" s="273"/>
      <c r="AV350" s="322">
        <f t="shared" si="17"/>
        <v>0</v>
      </c>
      <c r="AW350" s="402"/>
      <c r="AX350" s="376"/>
      <c r="AY350" s="373"/>
      <c r="AZ350" s="375"/>
      <c r="BA350" s="375"/>
      <c r="BB350" s="375"/>
      <c r="BC350" s="375"/>
      <c r="BD350" s="353">
        <f t="shared" si="18"/>
        <v>0</v>
      </c>
      <c r="BE350" s="432" t="s">
        <v>335</v>
      </c>
      <c r="BF350" s="407" t="s">
        <v>509</v>
      </c>
      <c r="BG350" s="168" t="s">
        <v>1373</v>
      </c>
      <c r="BH350" s="274">
        <v>45714</v>
      </c>
      <c r="BI350" s="168" t="s">
        <v>3349</v>
      </c>
      <c r="BJ350" s="274">
        <v>45805</v>
      </c>
      <c r="BK350" s="168">
        <v>960000000</v>
      </c>
      <c r="BL350" s="275"/>
      <c r="BM350" s="276"/>
      <c r="BN350" s="275"/>
      <c r="BO350" s="276"/>
      <c r="BP350" s="277"/>
      <c r="BQ350" s="156"/>
      <c r="BR350" s="274"/>
      <c r="BS350" s="270"/>
      <c r="BT350" s="270"/>
      <c r="BU350" s="274"/>
      <c r="BV350" s="274"/>
      <c r="BW350" s="278"/>
      <c r="BX350" s="278"/>
      <c r="BY350" s="278"/>
      <c r="BZ350" s="351"/>
    </row>
    <row r="351" spans="1:78" s="90" customFormat="1" ht="19.5" customHeight="1">
      <c r="A351" s="137"/>
      <c r="B351" s="197">
        <f t="shared" si="16"/>
        <v>341</v>
      </c>
      <c r="C351" s="30" t="s">
        <v>202</v>
      </c>
      <c r="D351" s="30" t="s">
        <v>225</v>
      </c>
      <c r="E351" s="234" t="s">
        <v>943</v>
      </c>
      <c r="F351" s="235" t="s">
        <v>1341</v>
      </c>
      <c r="G351" s="284" t="str">
        <f>IFERROR(VLOOKUP(E351,Assign!$C$2:$J$142,8,FALSE),)</f>
        <v>문선영</v>
      </c>
      <c r="H351" s="361" t="s">
        <v>5237</v>
      </c>
      <c r="I351" s="363">
        <v>1</v>
      </c>
      <c r="J351" s="364" t="s">
        <v>208</v>
      </c>
      <c r="K351" s="364" t="s">
        <v>280</v>
      </c>
      <c r="L351" s="365" t="s">
        <v>2729</v>
      </c>
      <c r="M351" s="362" t="s">
        <v>3166</v>
      </c>
      <c r="N351" s="421" t="s">
        <v>285</v>
      </c>
      <c r="O351" s="269">
        <v>2692</v>
      </c>
      <c r="P351" s="269">
        <v>827.55</v>
      </c>
      <c r="Q351" s="426">
        <v>10</v>
      </c>
      <c r="R351" s="418" t="s">
        <v>943</v>
      </c>
      <c r="S351" s="427" t="s">
        <v>613</v>
      </c>
      <c r="T351" s="357" t="s">
        <v>229</v>
      </c>
      <c r="U351" s="357" t="s">
        <v>204</v>
      </c>
      <c r="V351" s="367">
        <v>1835000000</v>
      </c>
      <c r="W351" s="368">
        <v>1835000000</v>
      </c>
      <c r="X351" s="357"/>
      <c r="Y351" s="357"/>
      <c r="Z351" s="400"/>
      <c r="AA351" s="369"/>
      <c r="AB351" s="370"/>
      <c r="AC351" s="404"/>
      <c r="AD351" s="270"/>
      <c r="AE351" s="156"/>
      <c r="AF351" s="156"/>
      <c r="AG351" s="357"/>
      <c r="AH351" s="357"/>
      <c r="AI351" s="357"/>
      <c r="AJ351" s="156"/>
      <c r="AK351" s="156"/>
      <c r="AL351" s="375"/>
      <c r="AM351" s="405"/>
      <c r="AN351" s="273"/>
      <c r="AO351" s="405"/>
      <c r="AP351" s="273"/>
      <c r="AQ351" s="273"/>
      <c r="AR351" s="273"/>
      <c r="AS351" s="273"/>
      <c r="AT351" s="273"/>
      <c r="AU351" s="273"/>
      <c r="AV351" s="322">
        <f t="shared" si="17"/>
        <v>0</v>
      </c>
      <c r="AW351" s="402"/>
      <c r="AX351" s="376"/>
      <c r="AY351" s="373"/>
      <c r="AZ351" s="375"/>
      <c r="BA351" s="375"/>
      <c r="BB351" s="375"/>
      <c r="BC351" s="375"/>
      <c r="BD351" s="353">
        <f t="shared" si="18"/>
        <v>0</v>
      </c>
      <c r="BE351" s="432" t="s">
        <v>335</v>
      </c>
      <c r="BF351" s="407" t="s">
        <v>422</v>
      </c>
      <c r="BG351" s="168" t="s">
        <v>1373</v>
      </c>
      <c r="BH351" s="274">
        <v>45744</v>
      </c>
      <c r="BI351" s="168" t="s">
        <v>3334</v>
      </c>
      <c r="BJ351" s="274">
        <v>45824</v>
      </c>
      <c r="BK351" s="168">
        <v>1535665959</v>
      </c>
      <c r="BL351" s="275"/>
      <c r="BM351" s="276"/>
      <c r="BN351" s="275"/>
      <c r="BO351" s="276"/>
      <c r="BP351" s="277"/>
      <c r="BQ351" s="156"/>
      <c r="BR351" s="274"/>
      <c r="BS351" s="270"/>
      <c r="BT351" s="270"/>
      <c r="BU351" s="274"/>
      <c r="BV351" s="274"/>
      <c r="BW351" s="278"/>
      <c r="BX351" s="278"/>
      <c r="BY351" s="278"/>
      <c r="BZ351" s="351"/>
    </row>
    <row r="352" spans="1:78" s="90" customFormat="1" ht="19.5" hidden="1" customHeight="1">
      <c r="A352" s="137"/>
      <c r="B352" s="197">
        <f t="shared" si="16"/>
        <v>342</v>
      </c>
      <c r="C352" s="30" t="s">
        <v>202</v>
      </c>
      <c r="D352" s="30" t="s">
        <v>225</v>
      </c>
      <c r="E352" s="234" t="s">
        <v>944</v>
      </c>
      <c r="F352" s="235" t="s">
        <v>1342</v>
      </c>
      <c r="G352" s="284">
        <f>IFERROR(VLOOKUP(E352,Assign!$C$2:$J$142,8,FALSE),)</f>
        <v>0</v>
      </c>
      <c r="H352" s="361" t="s">
        <v>5550</v>
      </c>
      <c r="I352" s="363">
        <v>1</v>
      </c>
      <c r="J352" s="364" t="s">
        <v>208</v>
      </c>
      <c r="K352" s="364" t="s">
        <v>280</v>
      </c>
      <c r="L352" s="365" t="s">
        <v>281</v>
      </c>
      <c r="M352" s="362" t="s">
        <v>3197</v>
      </c>
      <c r="N352" s="421" t="s">
        <v>3386</v>
      </c>
      <c r="O352" s="269">
        <v>42.999499999999998</v>
      </c>
      <c r="P352" s="269">
        <v>145.13</v>
      </c>
      <c r="Q352" s="426"/>
      <c r="R352" s="418" t="s">
        <v>3201</v>
      </c>
      <c r="S352" s="427" t="s">
        <v>617</v>
      </c>
      <c r="T352" s="357">
        <v>1</v>
      </c>
      <c r="U352" s="357" t="s">
        <v>204</v>
      </c>
      <c r="V352" s="367">
        <v>1680000000</v>
      </c>
      <c r="W352" s="368">
        <v>1680000000</v>
      </c>
      <c r="X352" s="357"/>
      <c r="Y352" s="357"/>
      <c r="Z352" s="400"/>
      <c r="AA352" s="369"/>
      <c r="AB352" s="370"/>
      <c r="AC352" s="404"/>
      <c r="AD352" s="270"/>
      <c r="AE352" s="156"/>
      <c r="AF352" s="156"/>
      <c r="AG352" s="357"/>
      <c r="AH352" s="357"/>
      <c r="AI352" s="357"/>
      <c r="AJ352" s="156"/>
      <c r="AK352" s="156"/>
      <c r="AL352" s="375"/>
      <c r="AM352" s="405"/>
      <c r="AN352" s="273"/>
      <c r="AO352" s="405"/>
      <c r="AP352" s="273"/>
      <c r="AQ352" s="273"/>
      <c r="AR352" s="273"/>
      <c r="AS352" s="273"/>
      <c r="AT352" s="273"/>
      <c r="AU352" s="273"/>
      <c r="AV352" s="322">
        <f t="shared" si="17"/>
        <v>0</v>
      </c>
      <c r="AW352" s="402"/>
      <c r="AX352" s="376"/>
      <c r="AY352" s="373"/>
      <c r="AZ352" s="375"/>
      <c r="BA352" s="375"/>
      <c r="BB352" s="375"/>
      <c r="BC352" s="375"/>
      <c r="BD352" s="353">
        <f t="shared" si="18"/>
        <v>0</v>
      </c>
      <c r="BE352" s="432" t="s">
        <v>355</v>
      </c>
      <c r="BF352" s="407" t="s">
        <v>422</v>
      </c>
      <c r="BG352" s="168"/>
      <c r="BH352" s="274"/>
      <c r="BI352" s="168"/>
      <c r="BJ352" s="274"/>
      <c r="BK352" s="168"/>
      <c r="BL352" s="275"/>
      <c r="BM352" s="276"/>
      <c r="BN352" s="275"/>
      <c r="BO352" s="276"/>
      <c r="BP352" s="277"/>
      <c r="BQ352" s="156"/>
      <c r="BR352" s="274"/>
      <c r="BS352" s="270"/>
      <c r="BT352" s="270"/>
      <c r="BU352" s="274"/>
      <c r="BV352" s="274"/>
      <c r="BW352" s="278"/>
      <c r="BX352" s="278"/>
      <c r="BY352" s="278"/>
      <c r="BZ352" s="351"/>
    </row>
    <row r="353" spans="1:78" s="90" customFormat="1" ht="19.5" hidden="1" customHeight="1">
      <c r="A353" s="137"/>
      <c r="B353" s="197">
        <f t="shared" si="16"/>
        <v>343</v>
      </c>
      <c r="C353" s="30" t="s">
        <v>202</v>
      </c>
      <c r="D353" s="30" t="s">
        <v>225</v>
      </c>
      <c r="E353" s="234" t="s">
        <v>945</v>
      </c>
      <c r="F353" s="235" t="s">
        <v>1235</v>
      </c>
      <c r="G353" s="284">
        <f>IFERROR(VLOOKUP(E353,Assign!$C$2:$J$142,8,FALSE),)</f>
        <v>0</v>
      </c>
      <c r="H353" s="361" t="s">
        <v>4756</v>
      </c>
      <c r="I353" s="363">
        <v>1</v>
      </c>
      <c r="J353" s="364" t="s">
        <v>209</v>
      </c>
      <c r="K353" s="364" t="s">
        <v>286</v>
      </c>
      <c r="L353" s="365" t="s">
        <v>2288</v>
      </c>
      <c r="M353" s="362" t="s">
        <v>3130</v>
      </c>
      <c r="N353" s="421" t="s">
        <v>3505</v>
      </c>
      <c r="O353" s="269">
        <v>81.919743395511787</v>
      </c>
      <c r="P353" s="269">
        <v>229.93</v>
      </c>
      <c r="Q353" s="426"/>
      <c r="R353" s="418" t="s">
        <v>945</v>
      </c>
      <c r="S353" s="427" t="s">
        <v>613</v>
      </c>
      <c r="T353" s="357">
        <v>1</v>
      </c>
      <c r="U353" s="357" t="s">
        <v>204</v>
      </c>
      <c r="V353" s="367">
        <v>1680000000</v>
      </c>
      <c r="W353" s="368">
        <v>1680000000</v>
      </c>
      <c r="X353" s="357"/>
      <c r="Y353" s="357"/>
      <c r="Z353" s="400"/>
      <c r="AA353" s="369"/>
      <c r="AB353" s="370"/>
      <c r="AC353" s="404"/>
      <c r="AD353" s="270"/>
      <c r="AE353" s="156"/>
      <c r="AF353" s="156"/>
      <c r="AG353" s="357"/>
      <c r="AH353" s="357"/>
      <c r="AI353" s="357"/>
      <c r="AJ353" s="156"/>
      <c r="AK353" s="156"/>
      <c r="AL353" s="375"/>
      <c r="AM353" s="405"/>
      <c r="AN353" s="273"/>
      <c r="AO353" s="405"/>
      <c r="AP353" s="273"/>
      <c r="AQ353" s="273"/>
      <c r="AR353" s="273"/>
      <c r="AS353" s="273"/>
      <c r="AT353" s="273"/>
      <c r="AU353" s="273"/>
      <c r="AV353" s="322">
        <f t="shared" si="17"/>
        <v>0</v>
      </c>
      <c r="AW353" s="402"/>
      <c r="AX353" s="376"/>
      <c r="AY353" s="373"/>
      <c r="AZ353" s="375"/>
      <c r="BA353" s="375"/>
      <c r="BB353" s="375"/>
      <c r="BC353" s="375"/>
      <c r="BD353" s="353">
        <f t="shared" si="18"/>
        <v>0</v>
      </c>
      <c r="BE353" s="432" t="s">
        <v>335</v>
      </c>
      <c r="BF353" s="407" t="s">
        <v>519</v>
      </c>
      <c r="BG353" s="168" t="s">
        <v>3317</v>
      </c>
      <c r="BH353" s="274">
        <v>45734</v>
      </c>
      <c r="BI353" s="168" t="s">
        <v>3250</v>
      </c>
      <c r="BJ353" s="274">
        <v>45810</v>
      </c>
      <c r="BK353" s="168">
        <v>1044992776</v>
      </c>
      <c r="BL353" s="275"/>
      <c r="BM353" s="276"/>
      <c r="BN353" s="275"/>
      <c r="BO353" s="276"/>
      <c r="BP353" s="277"/>
      <c r="BQ353" s="156"/>
      <c r="BR353" s="274"/>
      <c r="BS353" s="270"/>
      <c r="BT353" s="270"/>
      <c r="BU353" s="274"/>
      <c r="BV353" s="274"/>
      <c r="BW353" s="278"/>
      <c r="BX353" s="278"/>
      <c r="BY353" s="278"/>
      <c r="BZ353" s="351"/>
    </row>
    <row r="354" spans="1:78" s="90" customFormat="1" ht="19.5" hidden="1" customHeight="1">
      <c r="A354" s="137"/>
      <c r="B354" s="197">
        <f t="shared" si="16"/>
        <v>344</v>
      </c>
      <c r="C354" s="30" t="s">
        <v>202</v>
      </c>
      <c r="D354" s="30" t="s">
        <v>225</v>
      </c>
      <c r="E354" s="234" t="s">
        <v>946</v>
      </c>
      <c r="F354" s="235" t="s">
        <v>1343</v>
      </c>
      <c r="G354" s="284">
        <f>IFERROR(VLOOKUP(E354,Assign!$C$2:$J$142,8,FALSE),)</f>
        <v>0</v>
      </c>
      <c r="H354" s="361" t="s">
        <v>5222</v>
      </c>
      <c r="I354" s="363">
        <v>1</v>
      </c>
      <c r="J354" s="364" t="s">
        <v>209</v>
      </c>
      <c r="K354" s="364" t="s">
        <v>226</v>
      </c>
      <c r="L354" s="365" t="s">
        <v>227</v>
      </c>
      <c r="M354" s="362" t="s">
        <v>3165</v>
      </c>
      <c r="N354" s="421" t="s">
        <v>546</v>
      </c>
      <c r="O354" s="269">
        <v>75.81</v>
      </c>
      <c r="P354" s="269">
        <v>336.1</v>
      </c>
      <c r="Q354" s="426"/>
      <c r="R354" s="418" t="s">
        <v>946</v>
      </c>
      <c r="S354" s="427" t="s">
        <v>613</v>
      </c>
      <c r="T354" s="357">
        <v>1</v>
      </c>
      <c r="U354" s="357" t="s">
        <v>204</v>
      </c>
      <c r="V354" s="367">
        <v>1636800000</v>
      </c>
      <c r="W354" s="368">
        <v>1636800000</v>
      </c>
      <c r="X354" s="357"/>
      <c r="Y354" s="357"/>
      <c r="Z354" s="400"/>
      <c r="AA354" s="369"/>
      <c r="AB354" s="370"/>
      <c r="AC354" s="404"/>
      <c r="AD354" s="270"/>
      <c r="AE354" s="156"/>
      <c r="AF354" s="156"/>
      <c r="AG354" s="357"/>
      <c r="AH354" s="357"/>
      <c r="AI354" s="357"/>
      <c r="AJ354" s="156"/>
      <c r="AK354" s="156"/>
      <c r="AL354" s="375"/>
      <c r="AM354" s="405"/>
      <c r="AN354" s="273"/>
      <c r="AO354" s="405"/>
      <c r="AP354" s="273"/>
      <c r="AQ354" s="273"/>
      <c r="AR354" s="273"/>
      <c r="AS354" s="273"/>
      <c r="AT354" s="273"/>
      <c r="AU354" s="273"/>
      <c r="AV354" s="322">
        <f t="shared" si="17"/>
        <v>0</v>
      </c>
      <c r="AW354" s="402"/>
      <c r="AX354" s="376"/>
      <c r="AY354" s="373"/>
      <c r="AZ354" s="375"/>
      <c r="BA354" s="375"/>
      <c r="BB354" s="375"/>
      <c r="BC354" s="375"/>
      <c r="BD354" s="353">
        <f t="shared" si="18"/>
        <v>0</v>
      </c>
      <c r="BE354" s="432" t="s">
        <v>355</v>
      </c>
      <c r="BF354" s="407" t="s">
        <v>495</v>
      </c>
      <c r="BG354" s="168"/>
      <c r="BH354" s="274"/>
      <c r="BI354" s="168"/>
      <c r="BJ354" s="274"/>
      <c r="BK354" s="168"/>
      <c r="BL354" s="275"/>
      <c r="BM354" s="276"/>
      <c r="BN354" s="275"/>
      <c r="BO354" s="276"/>
      <c r="BP354" s="277"/>
      <c r="BQ354" s="156"/>
      <c r="BR354" s="274"/>
      <c r="BS354" s="270"/>
      <c r="BT354" s="270"/>
      <c r="BU354" s="274"/>
      <c r="BV354" s="274"/>
      <c r="BW354" s="278"/>
      <c r="BX354" s="278"/>
      <c r="BY354" s="278"/>
      <c r="BZ354" s="351"/>
    </row>
    <row r="355" spans="1:78" s="90" customFormat="1" ht="19.5" hidden="1" customHeight="1">
      <c r="A355" s="137"/>
      <c r="B355" s="197">
        <f t="shared" si="16"/>
        <v>345</v>
      </c>
      <c r="C355" s="30" t="s">
        <v>202</v>
      </c>
      <c r="D355" s="30" t="s">
        <v>225</v>
      </c>
      <c r="E355" s="234" t="s">
        <v>946</v>
      </c>
      <c r="F355" s="235" t="s">
        <v>1343</v>
      </c>
      <c r="G355" s="284">
        <f>IFERROR(VLOOKUP(E355,Assign!$C$2:$J$142,8,FALSE),)</f>
        <v>0</v>
      </c>
      <c r="H355" s="361" t="s">
        <v>5231</v>
      </c>
      <c r="I355" s="363">
        <v>2</v>
      </c>
      <c r="J355" s="364" t="s">
        <v>208</v>
      </c>
      <c r="K355" s="364" t="s">
        <v>258</v>
      </c>
      <c r="L355" s="365" t="s">
        <v>2723</v>
      </c>
      <c r="M355" s="362" t="s">
        <v>2724</v>
      </c>
      <c r="N355" s="421" t="s">
        <v>207</v>
      </c>
      <c r="O355" s="269">
        <v>62.548999999999999</v>
      </c>
      <c r="P355" s="269">
        <v>134.892</v>
      </c>
      <c r="Q355" s="426"/>
      <c r="R355" s="418" t="s">
        <v>3397</v>
      </c>
      <c r="S355" s="427" t="s">
        <v>613</v>
      </c>
      <c r="T355" s="357">
        <v>2</v>
      </c>
      <c r="U355" s="357" t="s">
        <v>204</v>
      </c>
      <c r="V355" s="367">
        <v>250000000</v>
      </c>
      <c r="W355" s="368">
        <v>250000000</v>
      </c>
      <c r="X355" s="357"/>
      <c r="Y355" s="357"/>
      <c r="Z355" s="400"/>
      <c r="AA355" s="369"/>
      <c r="AB355" s="370"/>
      <c r="AC355" s="404">
        <v>1</v>
      </c>
      <c r="AD355" s="270" t="s">
        <v>204</v>
      </c>
      <c r="AE355" s="156">
        <v>273350000</v>
      </c>
      <c r="AF355" s="156">
        <v>273350000</v>
      </c>
      <c r="AG355" s="357"/>
      <c r="AH355" s="357"/>
      <c r="AI355" s="357"/>
      <c r="AJ355" s="156"/>
      <c r="AK355" s="156"/>
      <c r="AL355" s="375"/>
      <c r="AM355" s="405"/>
      <c r="AN355" s="273"/>
      <c r="AO355" s="405"/>
      <c r="AP355" s="273"/>
      <c r="AQ355" s="273"/>
      <c r="AR355" s="273"/>
      <c r="AS355" s="273"/>
      <c r="AT355" s="273"/>
      <c r="AU355" s="273"/>
      <c r="AV355" s="322">
        <f t="shared" si="17"/>
        <v>0</v>
      </c>
      <c r="AW355" s="402"/>
      <c r="AX355" s="376"/>
      <c r="AY355" s="373"/>
      <c r="AZ355" s="375"/>
      <c r="BA355" s="375"/>
      <c r="BB355" s="375"/>
      <c r="BC355" s="375"/>
      <c r="BD355" s="353">
        <f t="shared" si="18"/>
        <v>0</v>
      </c>
      <c r="BE355" s="432" t="s">
        <v>355</v>
      </c>
      <c r="BF355" s="407" t="s">
        <v>498</v>
      </c>
      <c r="BG355" s="168"/>
      <c r="BH355" s="274"/>
      <c r="BI355" s="168"/>
      <c r="BJ355" s="274"/>
      <c r="BK355" s="168"/>
      <c r="BL355" s="275"/>
      <c r="BM355" s="276"/>
      <c r="BN355" s="275"/>
      <c r="BO355" s="276"/>
      <c r="BP355" s="277"/>
      <c r="BQ355" s="156"/>
      <c r="BR355" s="274"/>
      <c r="BS355" s="270"/>
      <c r="BT355" s="270"/>
      <c r="BU355" s="274"/>
      <c r="BV355" s="274"/>
      <c r="BW355" s="278"/>
      <c r="BX355" s="278"/>
      <c r="BY355" s="278"/>
      <c r="BZ355" s="351"/>
    </row>
    <row r="356" spans="1:78" s="90" customFormat="1" ht="19.5" hidden="1" customHeight="1">
      <c r="A356" s="137"/>
      <c r="B356" s="197">
        <f t="shared" si="16"/>
        <v>346</v>
      </c>
      <c r="C356" s="30" t="s">
        <v>202</v>
      </c>
      <c r="D356" s="30" t="s">
        <v>225</v>
      </c>
      <c r="E356" s="234" t="s">
        <v>947</v>
      </c>
      <c r="F356" s="235" t="s">
        <v>1244</v>
      </c>
      <c r="G356" s="284">
        <f>IFERROR(VLOOKUP(E356,Assign!$C$2:$J$142,8,FALSE),)</f>
        <v>0</v>
      </c>
      <c r="H356" s="361" t="s">
        <v>4606</v>
      </c>
      <c r="I356" s="363">
        <v>1</v>
      </c>
      <c r="J356" s="364" t="s">
        <v>208</v>
      </c>
      <c r="K356" s="364" t="s">
        <v>369</v>
      </c>
      <c r="L356" s="365" t="s">
        <v>2143</v>
      </c>
      <c r="M356" s="362" t="s">
        <v>3503</v>
      </c>
      <c r="N356" s="421" t="s">
        <v>396</v>
      </c>
      <c r="O356" s="269">
        <v>621</v>
      </c>
      <c r="P356" s="269">
        <v>329.05</v>
      </c>
      <c r="Q356" s="426"/>
      <c r="R356" s="418" t="s">
        <v>947</v>
      </c>
      <c r="S356" s="427" t="s">
        <v>613</v>
      </c>
      <c r="T356" s="357" t="s">
        <v>233</v>
      </c>
      <c r="U356" s="357" t="s">
        <v>204</v>
      </c>
      <c r="V356" s="367">
        <v>1480000000</v>
      </c>
      <c r="W356" s="368">
        <v>1480000000</v>
      </c>
      <c r="X356" s="357"/>
      <c r="Y356" s="357"/>
      <c r="Z356" s="400"/>
      <c r="AA356" s="369"/>
      <c r="AB356" s="370"/>
      <c r="AC356" s="404"/>
      <c r="AD356" s="270"/>
      <c r="AE356" s="156"/>
      <c r="AF356" s="156"/>
      <c r="AG356" s="357"/>
      <c r="AH356" s="357"/>
      <c r="AI356" s="357"/>
      <c r="AJ356" s="156"/>
      <c r="AK356" s="156"/>
      <c r="AL356" s="375"/>
      <c r="AM356" s="405"/>
      <c r="AN356" s="273"/>
      <c r="AO356" s="405"/>
      <c r="AP356" s="273"/>
      <c r="AQ356" s="273"/>
      <c r="AR356" s="273"/>
      <c r="AS356" s="273"/>
      <c r="AT356" s="273"/>
      <c r="AU356" s="273"/>
      <c r="AV356" s="322">
        <f t="shared" si="17"/>
        <v>0</v>
      </c>
      <c r="AW356" s="402"/>
      <c r="AX356" s="376"/>
      <c r="AY356" s="373"/>
      <c r="AZ356" s="375"/>
      <c r="BA356" s="375"/>
      <c r="BB356" s="375"/>
      <c r="BC356" s="375"/>
      <c r="BD356" s="353">
        <f t="shared" si="18"/>
        <v>0</v>
      </c>
      <c r="BE356" s="432" t="s">
        <v>335</v>
      </c>
      <c r="BF356" s="407" t="s">
        <v>501</v>
      </c>
      <c r="BG356" s="168" t="s">
        <v>3311</v>
      </c>
      <c r="BH356" s="274">
        <v>45715</v>
      </c>
      <c r="BI356" s="168" t="s">
        <v>3237</v>
      </c>
      <c r="BJ356" s="274">
        <v>45784</v>
      </c>
      <c r="BK356" s="168">
        <v>400000000</v>
      </c>
      <c r="BL356" s="275" t="s">
        <v>421</v>
      </c>
      <c r="BM356" s="276">
        <v>45740</v>
      </c>
      <c r="BN356" s="275" t="s">
        <v>3356</v>
      </c>
      <c r="BO356" s="276"/>
      <c r="BP356" s="277">
        <v>960000000</v>
      </c>
      <c r="BQ356" s="156"/>
      <c r="BR356" s="274"/>
      <c r="BS356" s="270"/>
      <c r="BT356" s="270"/>
      <c r="BU356" s="274"/>
      <c r="BV356" s="274"/>
      <c r="BW356" s="278"/>
      <c r="BX356" s="278"/>
      <c r="BY356" s="278"/>
      <c r="BZ356" s="351"/>
    </row>
    <row r="357" spans="1:78" s="90" customFormat="1" ht="19.5" hidden="1" customHeight="1">
      <c r="A357" s="137"/>
      <c r="B357" s="197">
        <f t="shared" si="16"/>
        <v>347</v>
      </c>
      <c r="C357" s="30" t="s">
        <v>202</v>
      </c>
      <c r="D357" s="30" t="s">
        <v>225</v>
      </c>
      <c r="E357" s="234" t="s">
        <v>948</v>
      </c>
      <c r="F357" s="235" t="s">
        <v>1344</v>
      </c>
      <c r="G357" s="284">
        <f>IFERROR(VLOOKUP(E357,Assign!$C$2:$J$142,8,FALSE),)</f>
        <v>0</v>
      </c>
      <c r="H357" s="361" t="s">
        <v>5059</v>
      </c>
      <c r="I357" s="363">
        <v>1</v>
      </c>
      <c r="J357" s="364" t="s">
        <v>220</v>
      </c>
      <c r="K357" s="364" t="s">
        <v>2574</v>
      </c>
      <c r="L357" s="365" t="s">
        <v>2575</v>
      </c>
      <c r="M357" s="362" t="s">
        <v>3153</v>
      </c>
      <c r="N357" s="421" t="s">
        <v>285</v>
      </c>
      <c r="O357" s="269">
        <v>6619</v>
      </c>
      <c r="P357" s="269">
        <v>3485.8</v>
      </c>
      <c r="Q357" s="426"/>
      <c r="R357" s="418" t="s">
        <v>948</v>
      </c>
      <c r="S357" s="427" t="s">
        <v>613</v>
      </c>
      <c r="T357" s="357">
        <v>1</v>
      </c>
      <c r="U357" s="357" t="s">
        <v>204</v>
      </c>
      <c r="V357" s="367">
        <v>840000000</v>
      </c>
      <c r="W357" s="368">
        <v>840000000</v>
      </c>
      <c r="X357" s="357"/>
      <c r="Y357" s="357"/>
      <c r="Z357" s="400"/>
      <c r="AA357" s="369"/>
      <c r="AB357" s="370"/>
      <c r="AC357" s="404"/>
      <c r="AD357" s="270"/>
      <c r="AE357" s="156"/>
      <c r="AF357" s="156"/>
      <c r="AG357" s="357"/>
      <c r="AH357" s="357"/>
      <c r="AI357" s="357"/>
      <c r="AJ357" s="156"/>
      <c r="AK357" s="156"/>
      <c r="AL357" s="375"/>
      <c r="AM357" s="405"/>
      <c r="AN357" s="273"/>
      <c r="AO357" s="405"/>
      <c r="AP357" s="273"/>
      <c r="AQ357" s="273"/>
      <c r="AR357" s="273"/>
      <c r="AS357" s="273"/>
      <c r="AT357" s="273"/>
      <c r="AU357" s="273"/>
      <c r="AV357" s="322">
        <f t="shared" si="17"/>
        <v>0</v>
      </c>
      <c r="AW357" s="402"/>
      <c r="AX357" s="376"/>
      <c r="AY357" s="373"/>
      <c r="AZ357" s="375"/>
      <c r="BA357" s="375"/>
      <c r="BB357" s="375"/>
      <c r="BC357" s="375"/>
      <c r="BD357" s="353">
        <f t="shared" si="18"/>
        <v>0</v>
      </c>
      <c r="BE357" s="432" t="s">
        <v>355</v>
      </c>
      <c r="BF357" s="407" t="s">
        <v>523</v>
      </c>
      <c r="BG357" s="168"/>
      <c r="BH357" s="274"/>
      <c r="BI357" s="168"/>
      <c r="BJ357" s="274"/>
      <c r="BK357" s="168"/>
      <c r="BL357" s="275"/>
      <c r="BM357" s="276"/>
      <c r="BN357" s="275"/>
      <c r="BO357" s="276"/>
      <c r="BP357" s="277"/>
      <c r="BQ357" s="156"/>
      <c r="BR357" s="274"/>
      <c r="BS357" s="270"/>
      <c r="BT357" s="270"/>
      <c r="BU357" s="274"/>
      <c r="BV357" s="274"/>
      <c r="BW357" s="278"/>
      <c r="BX357" s="278"/>
      <c r="BY357" s="278"/>
      <c r="BZ357" s="351"/>
    </row>
    <row r="358" spans="1:78" s="90" customFormat="1" ht="19.5" hidden="1" customHeight="1">
      <c r="A358" s="137"/>
      <c r="B358" s="197">
        <f t="shared" si="16"/>
        <v>348</v>
      </c>
      <c r="C358" s="30" t="s">
        <v>202</v>
      </c>
      <c r="D358" s="30" t="s">
        <v>225</v>
      </c>
      <c r="E358" s="234" t="s">
        <v>948</v>
      </c>
      <c r="F358" s="235" t="s">
        <v>1344</v>
      </c>
      <c r="G358" s="284">
        <f>IFERROR(VLOOKUP(E358,Assign!$C$2:$J$142,8,FALSE),)</f>
        <v>0</v>
      </c>
      <c r="H358" s="361" t="s">
        <v>5065</v>
      </c>
      <c r="I358" s="363">
        <v>2</v>
      </c>
      <c r="J358" s="364"/>
      <c r="K358" s="364"/>
      <c r="L358" s="365"/>
      <c r="M358" s="362" t="s">
        <v>3845</v>
      </c>
      <c r="N358" s="421" t="s">
        <v>3363</v>
      </c>
      <c r="O358" s="269"/>
      <c r="P358" s="269"/>
      <c r="Q358" s="426"/>
      <c r="R358" s="418" t="s">
        <v>948</v>
      </c>
      <c r="S358" s="427" t="s">
        <v>3849</v>
      </c>
      <c r="T358" s="357">
        <v>1</v>
      </c>
      <c r="U358" s="357" t="s">
        <v>204</v>
      </c>
      <c r="V358" s="367">
        <v>840000000</v>
      </c>
      <c r="W358" s="368">
        <v>840000000</v>
      </c>
      <c r="X358" s="357"/>
      <c r="Y358" s="357"/>
      <c r="Z358" s="400"/>
      <c r="AA358" s="369"/>
      <c r="AB358" s="370"/>
      <c r="AC358" s="404"/>
      <c r="AD358" s="270"/>
      <c r="AE358" s="156"/>
      <c r="AF358" s="156"/>
      <c r="AG358" s="357"/>
      <c r="AH358" s="357"/>
      <c r="AI358" s="357"/>
      <c r="AJ358" s="156"/>
      <c r="AK358" s="156"/>
      <c r="AL358" s="375"/>
      <c r="AM358" s="405"/>
      <c r="AN358" s="273"/>
      <c r="AO358" s="405"/>
      <c r="AP358" s="273"/>
      <c r="AQ358" s="273"/>
      <c r="AR358" s="273"/>
      <c r="AS358" s="273"/>
      <c r="AT358" s="273"/>
      <c r="AU358" s="273"/>
      <c r="AV358" s="322">
        <f t="shared" si="17"/>
        <v>0</v>
      </c>
      <c r="AW358" s="402"/>
      <c r="AX358" s="376"/>
      <c r="AY358" s="373"/>
      <c r="AZ358" s="375"/>
      <c r="BA358" s="375"/>
      <c r="BB358" s="375"/>
      <c r="BC358" s="375"/>
      <c r="BD358" s="353">
        <f t="shared" si="18"/>
        <v>0</v>
      </c>
      <c r="BE358" s="432" t="s">
        <v>355</v>
      </c>
      <c r="BF358" s="407"/>
      <c r="BG358" s="168"/>
      <c r="BH358" s="274"/>
      <c r="BI358" s="168"/>
      <c r="BJ358" s="274"/>
      <c r="BK358" s="168"/>
      <c r="BL358" s="275"/>
      <c r="BM358" s="276"/>
      <c r="BN358" s="275"/>
      <c r="BO358" s="276"/>
      <c r="BP358" s="277"/>
      <c r="BQ358" s="156"/>
      <c r="BR358" s="274"/>
      <c r="BS358" s="270"/>
      <c r="BT358" s="270"/>
      <c r="BU358" s="274"/>
      <c r="BV358" s="274"/>
      <c r="BW358" s="278"/>
      <c r="BX358" s="278"/>
      <c r="BY358" s="278"/>
      <c r="BZ358" s="351"/>
    </row>
    <row r="359" spans="1:78" s="90" customFormat="1" ht="19.5" hidden="1" customHeight="1">
      <c r="A359" s="137"/>
      <c r="B359" s="197">
        <f t="shared" si="16"/>
        <v>349</v>
      </c>
      <c r="C359" s="30" t="s">
        <v>202</v>
      </c>
      <c r="D359" s="30" t="s">
        <v>225</v>
      </c>
      <c r="E359" s="234" t="s">
        <v>948</v>
      </c>
      <c r="F359" s="235" t="s">
        <v>1344</v>
      </c>
      <c r="G359" s="284">
        <f>IFERROR(VLOOKUP(E359,Assign!$C$2:$J$142,8,FALSE),)</f>
        <v>0</v>
      </c>
      <c r="H359" s="361" t="s">
        <v>5067</v>
      </c>
      <c r="I359" s="363">
        <v>3</v>
      </c>
      <c r="J359" s="364" t="s">
        <v>220</v>
      </c>
      <c r="K359" s="364" t="s">
        <v>3846</v>
      </c>
      <c r="L359" s="365" t="s">
        <v>3847</v>
      </c>
      <c r="M359" s="362" t="s">
        <v>3848</v>
      </c>
      <c r="N359" s="421" t="s">
        <v>3363</v>
      </c>
      <c r="O359" s="269"/>
      <c r="P359" s="269"/>
      <c r="Q359" s="426"/>
      <c r="R359" s="418" t="s">
        <v>948</v>
      </c>
      <c r="S359" s="427" t="s">
        <v>3849</v>
      </c>
      <c r="T359" s="357">
        <v>1</v>
      </c>
      <c r="U359" s="357" t="s">
        <v>204</v>
      </c>
      <c r="V359" s="367">
        <v>255000000</v>
      </c>
      <c r="W359" s="368">
        <v>255000000</v>
      </c>
      <c r="X359" s="357"/>
      <c r="Y359" s="357"/>
      <c r="Z359" s="400"/>
      <c r="AA359" s="369"/>
      <c r="AB359" s="370"/>
      <c r="AC359" s="404"/>
      <c r="AD359" s="270"/>
      <c r="AE359" s="156"/>
      <c r="AF359" s="156"/>
      <c r="AG359" s="357"/>
      <c r="AH359" s="357"/>
      <c r="AI359" s="357"/>
      <c r="AJ359" s="156"/>
      <c r="AK359" s="156"/>
      <c r="AL359" s="375"/>
      <c r="AM359" s="405"/>
      <c r="AN359" s="273"/>
      <c r="AO359" s="405"/>
      <c r="AP359" s="273"/>
      <c r="AQ359" s="273"/>
      <c r="AR359" s="273"/>
      <c r="AS359" s="273"/>
      <c r="AT359" s="273"/>
      <c r="AU359" s="273"/>
      <c r="AV359" s="322">
        <f t="shared" si="17"/>
        <v>0</v>
      </c>
      <c r="AW359" s="402"/>
      <c r="AX359" s="376"/>
      <c r="AY359" s="373"/>
      <c r="AZ359" s="375"/>
      <c r="BA359" s="375"/>
      <c r="BB359" s="375"/>
      <c r="BC359" s="375"/>
      <c r="BD359" s="353">
        <f t="shared" si="18"/>
        <v>0</v>
      </c>
      <c r="BE359" s="432" t="s">
        <v>355</v>
      </c>
      <c r="BF359" s="407"/>
      <c r="BG359" s="168"/>
      <c r="BH359" s="274"/>
      <c r="BI359" s="168"/>
      <c r="BJ359" s="274"/>
      <c r="BK359" s="168"/>
      <c r="BL359" s="275"/>
      <c r="BM359" s="276"/>
      <c r="BN359" s="275"/>
      <c r="BO359" s="276"/>
      <c r="BP359" s="277"/>
      <c r="BQ359" s="156"/>
      <c r="BR359" s="274"/>
      <c r="BS359" s="270"/>
      <c r="BT359" s="270"/>
      <c r="BU359" s="274"/>
      <c r="BV359" s="274"/>
      <c r="BW359" s="278"/>
      <c r="BX359" s="278"/>
      <c r="BY359" s="278"/>
      <c r="BZ359" s="351"/>
    </row>
    <row r="360" spans="1:78" s="90" customFormat="1" ht="19.5" hidden="1" customHeight="1">
      <c r="A360" s="137"/>
      <c r="B360" s="197">
        <f t="shared" si="16"/>
        <v>350</v>
      </c>
      <c r="C360" s="30" t="s">
        <v>202</v>
      </c>
      <c r="D360" s="30" t="s">
        <v>225</v>
      </c>
      <c r="E360" s="234" t="s">
        <v>949</v>
      </c>
      <c r="F360" s="235" t="s">
        <v>1252</v>
      </c>
      <c r="G360" s="284" t="str">
        <f>IFERROR(VLOOKUP(E360,Assign!$C$2:$J$142,8,FALSE),)</f>
        <v>문선영</v>
      </c>
      <c r="H360" s="361" t="s">
        <v>5213</v>
      </c>
      <c r="I360" s="363">
        <v>1</v>
      </c>
      <c r="J360" s="364" t="s">
        <v>208</v>
      </c>
      <c r="K360" s="364" t="s">
        <v>280</v>
      </c>
      <c r="L360" s="365" t="s">
        <v>2705</v>
      </c>
      <c r="M360" s="362" t="s">
        <v>3164</v>
      </c>
      <c r="N360" s="421" t="s">
        <v>285</v>
      </c>
      <c r="O360" s="269">
        <v>1325</v>
      </c>
      <c r="P360" s="269">
        <v>622.20000000000005</v>
      </c>
      <c r="Q360" s="426"/>
      <c r="R360" s="418" t="s">
        <v>3464</v>
      </c>
      <c r="S360" s="427" t="s">
        <v>613</v>
      </c>
      <c r="T360" s="357">
        <v>1</v>
      </c>
      <c r="U360" s="357" t="s">
        <v>204</v>
      </c>
      <c r="V360" s="367">
        <v>972000000</v>
      </c>
      <c r="W360" s="368">
        <v>972000000</v>
      </c>
      <c r="X360" s="357"/>
      <c r="Y360" s="357"/>
      <c r="Z360" s="400"/>
      <c r="AA360" s="369"/>
      <c r="AB360" s="370"/>
      <c r="AC360" s="404"/>
      <c r="AD360" s="270"/>
      <c r="AE360" s="156"/>
      <c r="AF360" s="156"/>
      <c r="AG360" s="357"/>
      <c r="AH360" s="357"/>
      <c r="AI360" s="357"/>
      <c r="AJ360" s="156"/>
      <c r="AK360" s="156"/>
      <c r="AL360" s="375"/>
      <c r="AM360" s="405"/>
      <c r="AN360" s="273"/>
      <c r="AO360" s="405"/>
      <c r="AP360" s="273"/>
      <c r="AQ360" s="273"/>
      <c r="AR360" s="273"/>
      <c r="AS360" s="273"/>
      <c r="AT360" s="273"/>
      <c r="AU360" s="273"/>
      <c r="AV360" s="322">
        <f t="shared" si="17"/>
        <v>0</v>
      </c>
      <c r="AW360" s="402"/>
      <c r="AX360" s="376"/>
      <c r="AY360" s="373"/>
      <c r="AZ360" s="375"/>
      <c r="BA360" s="375"/>
      <c r="BB360" s="375"/>
      <c r="BC360" s="375"/>
      <c r="BD360" s="353">
        <f t="shared" si="18"/>
        <v>0</v>
      </c>
      <c r="BE360" s="432" t="s">
        <v>355</v>
      </c>
      <c r="BF360" s="407" t="s">
        <v>422</v>
      </c>
      <c r="BG360" s="168"/>
      <c r="BH360" s="274"/>
      <c r="BI360" s="168"/>
      <c r="BJ360" s="274"/>
      <c r="BK360" s="168"/>
      <c r="BL360" s="275"/>
      <c r="BM360" s="276"/>
      <c r="BN360" s="275"/>
      <c r="BO360" s="276"/>
      <c r="BP360" s="277"/>
      <c r="BQ360" s="156"/>
      <c r="BR360" s="274"/>
      <c r="BS360" s="270"/>
      <c r="BT360" s="270"/>
      <c r="BU360" s="274"/>
      <c r="BV360" s="274"/>
      <c r="BW360" s="278"/>
      <c r="BX360" s="278"/>
      <c r="BY360" s="278"/>
      <c r="BZ360" s="351"/>
    </row>
    <row r="361" spans="1:78" s="90" customFormat="1" ht="19.5" hidden="1" customHeight="1">
      <c r="A361" s="137"/>
      <c r="B361" s="197">
        <f t="shared" si="16"/>
        <v>351</v>
      </c>
      <c r="C361" s="30" t="s">
        <v>202</v>
      </c>
      <c r="D361" s="30" t="s">
        <v>225</v>
      </c>
      <c r="E361" s="234" t="s">
        <v>949</v>
      </c>
      <c r="F361" s="235" t="s">
        <v>1252</v>
      </c>
      <c r="G361" s="284" t="str">
        <f>IFERROR(VLOOKUP(E361,Assign!$C$2:$J$142,8,FALSE),)</f>
        <v>문선영</v>
      </c>
      <c r="H361" s="361" t="s">
        <v>5218</v>
      </c>
      <c r="I361" s="363">
        <v>2</v>
      </c>
      <c r="J361" s="364" t="s">
        <v>208</v>
      </c>
      <c r="K361" s="364" t="s">
        <v>280</v>
      </c>
      <c r="L361" s="365" t="s">
        <v>323</v>
      </c>
      <c r="M361" s="362" t="s">
        <v>2711</v>
      </c>
      <c r="N361" s="421" t="s">
        <v>207</v>
      </c>
      <c r="O361" s="269">
        <v>78.48</v>
      </c>
      <c r="P361" s="269">
        <v>134.52000000000001</v>
      </c>
      <c r="Q361" s="426"/>
      <c r="R361" s="418" t="s">
        <v>949</v>
      </c>
      <c r="S361" s="427" t="s">
        <v>613</v>
      </c>
      <c r="T361" s="357" t="s">
        <v>229</v>
      </c>
      <c r="U361" s="357" t="s">
        <v>204</v>
      </c>
      <c r="V361" s="367">
        <v>444000000</v>
      </c>
      <c r="W361" s="368">
        <v>444000000</v>
      </c>
      <c r="X361" s="357"/>
      <c r="Y361" s="357"/>
      <c r="Z361" s="400"/>
      <c r="AA361" s="369"/>
      <c r="AB361" s="370"/>
      <c r="AC361" s="404"/>
      <c r="AD361" s="270"/>
      <c r="AE361" s="156"/>
      <c r="AF361" s="156"/>
      <c r="AG361" s="357"/>
      <c r="AH361" s="357"/>
      <c r="AI361" s="357"/>
      <c r="AJ361" s="156"/>
      <c r="AK361" s="156"/>
      <c r="AL361" s="375"/>
      <c r="AM361" s="405"/>
      <c r="AN361" s="273"/>
      <c r="AO361" s="405"/>
      <c r="AP361" s="273"/>
      <c r="AQ361" s="273"/>
      <c r="AR361" s="273"/>
      <c r="AS361" s="273"/>
      <c r="AT361" s="273"/>
      <c r="AU361" s="273"/>
      <c r="AV361" s="322">
        <f t="shared" si="17"/>
        <v>0</v>
      </c>
      <c r="AW361" s="402" t="s">
        <v>3387</v>
      </c>
      <c r="AX361" s="376">
        <v>45765</v>
      </c>
      <c r="AY361" s="373" t="s">
        <v>3388</v>
      </c>
      <c r="AZ361" s="375"/>
      <c r="BA361" s="375">
        <v>455000000</v>
      </c>
      <c r="BB361" s="375"/>
      <c r="BC361" s="375"/>
      <c r="BD361" s="353">
        <f t="shared" si="18"/>
        <v>455000000</v>
      </c>
      <c r="BE361" s="432" t="s">
        <v>355</v>
      </c>
      <c r="BF361" s="407" t="s">
        <v>422</v>
      </c>
      <c r="BG361" s="168"/>
      <c r="BH361" s="274"/>
      <c r="BI361" s="168"/>
      <c r="BJ361" s="274"/>
      <c r="BK361" s="168"/>
      <c r="BL361" s="275"/>
      <c r="BM361" s="276"/>
      <c r="BN361" s="275"/>
      <c r="BO361" s="276"/>
      <c r="BP361" s="277"/>
      <c r="BQ361" s="156"/>
      <c r="BR361" s="274"/>
      <c r="BS361" s="270"/>
      <c r="BT361" s="270"/>
      <c r="BU361" s="274"/>
      <c r="BV361" s="274"/>
      <c r="BW361" s="278"/>
      <c r="BX361" s="278"/>
      <c r="BY361" s="278"/>
      <c r="BZ361" s="351"/>
    </row>
    <row r="362" spans="1:78" s="90" customFormat="1" ht="19.5" hidden="1" customHeight="1">
      <c r="A362" s="137"/>
      <c r="B362" s="197">
        <f t="shared" si="16"/>
        <v>352</v>
      </c>
      <c r="C362" s="30" t="s">
        <v>202</v>
      </c>
      <c r="D362" s="30" t="s">
        <v>225</v>
      </c>
      <c r="E362" s="234" t="s">
        <v>950</v>
      </c>
      <c r="F362" s="235" t="s">
        <v>1271</v>
      </c>
      <c r="G362" s="284" t="str">
        <f>IFERROR(VLOOKUP(E362,Assign!$C$2:$J$142,8,FALSE),)</f>
        <v>문선영</v>
      </c>
      <c r="H362" s="361" t="s">
        <v>4122</v>
      </c>
      <c r="I362" s="363">
        <v>1</v>
      </c>
      <c r="J362" s="364" t="s">
        <v>217</v>
      </c>
      <c r="K362" s="364" t="s">
        <v>545</v>
      </c>
      <c r="L362" s="365" t="s">
        <v>1696</v>
      </c>
      <c r="M362" s="362" t="s">
        <v>3101</v>
      </c>
      <c r="N362" s="421" t="s">
        <v>285</v>
      </c>
      <c r="O362" s="269">
        <v>2636</v>
      </c>
      <c r="P362" s="269">
        <v>697.8</v>
      </c>
      <c r="Q362" s="426">
        <v>2</v>
      </c>
      <c r="R362" s="418" t="s">
        <v>3424</v>
      </c>
      <c r="S362" s="427" t="s">
        <v>613</v>
      </c>
      <c r="T362" s="357">
        <v>1</v>
      </c>
      <c r="U362" s="357" t="s">
        <v>204</v>
      </c>
      <c r="V362" s="367">
        <v>1080000000</v>
      </c>
      <c r="W362" s="368">
        <v>1080000000</v>
      </c>
      <c r="X362" s="357"/>
      <c r="Y362" s="357"/>
      <c r="Z362" s="400"/>
      <c r="AA362" s="369"/>
      <c r="AB362" s="370"/>
      <c r="AC362" s="404"/>
      <c r="AD362" s="270"/>
      <c r="AE362" s="156"/>
      <c r="AF362" s="156"/>
      <c r="AG362" s="357"/>
      <c r="AH362" s="357"/>
      <c r="AI362" s="357"/>
      <c r="AJ362" s="156"/>
      <c r="AK362" s="156"/>
      <c r="AL362" s="375"/>
      <c r="AM362" s="405"/>
      <c r="AN362" s="273"/>
      <c r="AO362" s="405"/>
      <c r="AP362" s="273"/>
      <c r="AQ362" s="273"/>
      <c r="AR362" s="273"/>
      <c r="AS362" s="273"/>
      <c r="AT362" s="273"/>
      <c r="AU362" s="273"/>
      <c r="AV362" s="322">
        <f t="shared" si="17"/>
        <v>0</v>
      </c>
      <c r="AW362" s="402"/>
      <c r="AX362" s="376"/>
      <c r="AY362" s="373"/>
      <c r="AZ362" s="375"/>
      <c r="BA362" s="375"/>
      <c r="BB362" s="375"/>
      <c r="BC362" s="375"/>
      <c r="BD362" s="353">
        <f t="shared" si="18"/>
        <v>0</v>
      </c>
      <c r="BE362" s="432" t="s">
        <v>355</v>
      </c>
      <c r="BF362" s="407" t="s">
        <v>508</v>
      </c>
      <c r="BG362" s="168"/>
      <c r="BH362" s="274"/>
      <c r="BI362" s="168"/>
      <c r="BJ362" s="274"/>
      <c r="BK362" s="168"/>
      <c r="BL362" s="275"/>
      <c r="BM362" s="276"/>
      <c r="BN362" s="275"/>
      <c r="BO362" s="276"/>
      <c r="BP362" s="277"/>
      <c r="BQ362" s="156"/>
      <c r="BR362" s="274"/>
      <c r="BS362" s="270"/>
      <c r="BT362" s="270"/>
      <c r="BU362" s="274"/>
      <c r="BV362" s="274"/>
      <c r="BW362" s="278"/>
      <c r="BX362" s="278"/>
      <c r="BY362" s="278"/>
      <c r="BZ362" s="351"/>
    </row>
    <row r="363" spans="1:78" s="90" customFormat="1" ht="19.5" hidden="1" customHeight="1">
      <c r="A363" s="137"/>
      <c r="B363" s="197">
        <f t="shared" si="16"/>
        <v>353</v>
      </c>
      <c r="C363" s="30" t="s">
        <v>202</v>
      </c>
      <c r="D363" s="30" t="s">
        <v>225</v>
      </c>
      <c r="E363" s="234" t="s">
        <v>950</v>
      </c>
      <c r="F363" s="235" t="s">
        <v>1271</v>
      </c>
      <c r="G363" s="284" t="str">
        <f>IFERROR(VLOOKUP(E363,Assign!$C$2:$J$142,8,FALSE),)</f>
        <v>문선영</v>
      </c>
      <c r="H363" s="361" t="s">
        <v>4125</v>
      </c>
      <c r="I363" s="363">
        <v>2</v>
      </c>
      <c r="J363" s="364" t="s">
        <v>217</v>
      </c>
      <c r="K363" s="364" t="s">
        <v>344</v>
      </c>
      <c r="L363" s="365" t="s">
        <v>1699</v>
      </c>
      <c r="M363" s="362" t="s">
        <v>1700</v>
      </c>
      <c r="N363" s="421" t="s">
        <v>207</v>
      </c>
      <c r="O363" s="269">
        <v>45.484900000000003</v>
      </c>
      <c r="P363" s="269">
        <v>84.977699999999999</v>
      </c>
      <c r="Q363" s="426"/>
      <c r="R363" s="418" t="s">
        <v>3424</v>
      </c>
      <c r="S363" s="427" t="s">
        <v>613</v>
      </c>
      <c r="T363" s="357" t="s">
        <v>292</v>
      </c>
      <c r="U363" s="357" t="s">
        <v>204</v>
      </c>
      <c r="V363" s="367">
        <v>300000000</v>
      </c>
      <c r="W363" s="367">
        <v>300000000</v>
      </c>
      <c r="X363" s="357"/>
      <c r="Y363" s="357"/>
      <c r="Z363" s="400"/>
      <c r="AA363" s="369"/>
      <c r="AB363" s="370"/>
      <c r="AC363" s="404">
        <v>1</v>
      </c>
      <c r="AD363" s="270" t="s">
        <v>204</v>
      </c>
      <c r="AE363" s="156">
        <v>163000000</v>
      </c>
      <c r="AF363" s="156">
        <v>163000000</v>
      </c>
      <c r="AG363" s="357"/>
      <c r="AH363" s="357"/>
      <c r="AI363" s="357"/>
      <c r="AJ363" s="156"/>
      <c r="AK363" s="156"/>
      <c r="AL363" s="375"/>
      <c r="AM363" s="405"/>
      <c r="AN363" s="273"/>
      <c r="AO363" s="405"/>
      <c r="AP363" s="273"/>
      <c r="AQ363" s="273"/>
      <c r="AR363" s="273"/>
      <c r="AS363" s="273"/>
      <c r="AT363" s="273"/>
      <c r="AU363" s="273"/>
      <c r="AV363" s="322">
        <f t="shared" si="17"/>
        <v>0</v>
      </c>
      <c r="AW363" s="402" t="s">
        <v>3387</v>
      </c>
      <c r="AX363" s="376">
        <v>45765</v>
      </c>
      <c r="AY363" s="373" t="s">
        <v>3388</v>
      </c>
      <c r="AZ363" s="375"/>
      <c r="BA363" s="375">
        <v>345000000</v>
      </c>
      <c r="BB363" s="375"/>
      <c r="BC363" s="375"/>
      <c r="BD363" s="353">
        <f t="shared" si="18"/>
        <v>345000000</v>
      </c>
      <c r="BE363" s="432" t="s">
        <v>355</v>
      </c>
      <c r="BF363" s="407" t="s">
        <v>515</v>
      </c>
      <c r="BG363" s="168"/>
      <c r="BH363" s="274"/>
      <c r="BI363" s="168"/>
      <c r="BJ363" s="274"/>
      <c r="BK363" s="168"/>
      <c r="BL363" s="275"/>
      <c r="BM363" s="276"/>
      <c r="BN363" s="275"/>
      <c r="BO363" s="276"/>
      <c r="BP363" s="277"/>
      <c r="BQ363" s="156"/>
      <c r="BR363" s="274"/>
      <c r="BS363" s="270"/>
      <c r="BT363" s="270"/>
      <c r="BU363" s="274"/>
      <c r="BV363" s="274"/>
      <c r="BW363" s="278"/>
      <c r="BX363" s="278"/>
      <c r="BY363" s="278"/>
      <c r="BZ363" s="351"/>
    </row>
    <row r="364" spans="1:78" s="90" customFormat="1" ht="19.5" hidden="1" customHeight="1">
      <c r="A364" s="137"/>
      <c r="B364" s="197">
        <f t="shared" si="16"/>
        <v>354</v>
      </c>
      <c r="C364" s="30" t="s">
        <v>202</v>
      </c>
      <c r="D364" s="30" t="s">
        <v>225</v>
      </c>
      <c r="E364" s="234" t="s">
        <v>951</v>
      </c>
      <c r="F364" s="235" t="s">
        <v>1217</v>
      </c>
      <c r="G364" s="284">
        <f>IFERROR(VLOOKUP(E364,Assign!$C$2:$J$142,8,FALSE),)</f>
        <v>0</v>
      </c>
      <c r="H364" s="361" t="s">
        <v>4970</v>
      </c>
      <c r="I364" s="363">
        <v>1</v>
      </c>
      <c r="J364" s="364" t="s">
        <v>224</v>
      </c>
      <c r="K364" s="364" t="s">
        <v>428</v>
      </c>
      <c r="L364" s="365" t="s">
        <v>2489</v>
      </c>
      <c r="M364" s="362" t="s">
        <v>3142</v>
      </c>
      <c r="N364" s="421" t="s">
        <v>606</v>
      </c>
      <c r="O364" s="269">
        <v>573.18880000000001</v>
      </c>
      <c r="P364" s="269">
        <v>305.00990000000002</v>
      </c>
      <c r="Q364" s="426"/>
      <c r="R364" s="418" t="s">
        <v>3201</v>
      </c>
      <c r="S364" s="427" t="s">
        <v>617</v>
      </c>
      <c r="T364" s="357">
        <v>1</v>
      </c>
      <c r="U364" s="357" t="s">
        <v>204</v>
      </c>
      <c r="V364" s="367">
        <v>1680000000</v>
      </c>
      <c r="W364" s="368">
        <v>1680000000</v>
      </c>
      <c r="X364" s="357"/>
      <c r="Y364" s="357"/>
      <c r="Z364" s="400"/>
      <c r="AA364" s="369"/>
      <c r="AB364" s="370"/>
      <c r="AC364" s="404"/>
      <c r="AD364" s="270"/>
      <c r="AE364" s="156"/>
      <c r="AF364" s="156"/>
      <c r="AG364" s="357"/>
      <c r="AH364" s="357"/>
      <c r="AI364" s="357"/>
      <c r="AJ364" s="156"/>
      <c r="AK364" s="156"/>
      <c r="AL364" s="375"/>
      <c r="AM364" s="405"/>
      <c r="AN364" s="273"/>
      <c r="AO364" s="405"/>
      <c r="AP364" s="273"/>
      <c r="AQ364" s="273"/>
      <c r="AR364" s="273"/>
      <c r="AS364" s="273"/>
      <c r="AT364" s="273"/>
      <c r="AU364" s="273"/>
      <c r="AV364" s="322">
        <f t="shared" si="17"/>
        <v>0</v>
      </c>
      <c r="AW364" s="402"/>
      <c r="AX364" s="376"/>
      <c r="AY364" s="373"/>
      <c r="AZ364" s="375"/>
      <c r="BA364" s="375"/>
      <c r="BB364" s="375"/>
      <c r="BC364" s="375"/>
      <c r="BD364" s="353">
        <f t="shared" si="18"/>
        <v>0</v>
      </c>
      <c r="BE364" s="432" t="s">
        <v>355</v>
      </c>
      <c r="BF364" s="407" t="s">
        <v>512</v>
      </c>
      <c r="BG364" s="168"/>
      <c r="BH364" s="274"/>
      <c r="BI364" s="168"/>
      <c r="BJ364" s="274"/>
      <c r="BK364" s="168"/>
      <c r="BL364" s="275"/>
      <c r="BM364" s="276"/>
      <c r="BN364" s="275"/>
      <c r="BO364" s="276"/>
      <c r="BP364" s="277"/>
      <c r="BQ364" s="156"/>
      <c r="BR364" s="274"/>
      <c r="BS364" s="270"/>
      <c r="BT364" s="270"/>
      <c r="BU364" s="274"/>
      <c r="BV364" s="274"/>
      <c r="BW364" s="278"/>
      <c r="BX364" s="278"/>
      <c r="BY364" s="278"/>
      <c r="BZ364" s="351"/>
    </row>
    <row r="365" spans="1:78" s="90" customFormat="1" ht="19.5" hidden="1" customHeight="1">
      <c r="A365" s="137"/>
      <c r="B365" s="197">
        <f t="shared" si="16"/>
        <v>355</v>
      </c>
      <c r="C365" s="30" t="s">
        <v>202</v>
      </c>
      <c r="D365" s="30" t="s">
        <v>225</v>
      </c>
      <c r="E365" s="234" t="s">
        <v>952</v>
      </c>
      <c r="F365" s="235" t="s">
        <v>1231</v>
      </c>
      <c r="G365" s="284">
        <f>IFERROR(VLOOKUP(E365,Assign!$C$2:$J$142,8,FALSE),)</f>
        <v>0</v>
      </c>
      <c r="H365" s="361" t="s">
        <v>4330</v>
      </c>
      <c r="I365" s="363">
        <v>1</v>
      </c>
      <c r="J365" s="364" t="s">
        <v>209</v>
      </c>
      <c r="K365" s="364" t="s">
        <v>248</v>
      </c>
      <c r="L365" s="365" t="s">
        <v>1892</v>
      </c>
      <c r="M365" s="362" t="s">
        <v>1893</v>
      </c>
      <c r="N365" s="421" t="s">
        <v>207</v>
      </c>
      <c r="O365" s="269">
        <v>26.98</v>
      </c>
      <c r="P365" s="269">
        <v>176.03399999999999</v>
      </c>
      <c r="Q365" s="426"/>
      <c r="R365" s="418" t="s">
        <v>952</v>
      </c>
      <c r="S365" s="427" t="s">
        <v>613</v>
      </c>
      <c r="T365" s="357" t="s">
        <v>268</v>
      </c>
      <c r="U365" s="357" t="s">
        <v>204</v>
      </c>
      <c r="V365" s="367">
        <v>1251600000</v>
      </c>
      <c r="W365" s="368">
        <v>1251600000</v>
      </c>
      <c r="X365" s="357"/>
      <c r="Y365" s="357"/>
      <c r="Z365" s="400"/>
      <c r="AA365" s="369"/>
      <c r="AB365" s="370"/>
      <c r="AC365" s="404"/>
      <c r="AD365" s="270"/>
      <c r="AE365" s="156"/>
      <c r="AF365" s="156"/>
      <c r="AG365" s="357"/>
      <c r="AH365" s="357"/>
      <c r="AI365" s="357"/>
      <c r="AJ365" s="156"/>
      <c r="AK365" s="156"/>
      <c r="AL365" s="375"/>
      <c r="AM365" s="405"/>
      <c r="AN365" s="273"/>
      <c r="AO365" s="405"/>
      <c r="AP365" s="273"/>
      <c r="AQ365" s="273"/>
      <c r="AR365" s="273"/>
      <c r="AS365" s="273"/>
      <c r="AT365" s="273"/>
      <c r="AU365" s="273"/>
      <c r="AV365" s="322">
        <f t="shared" si="17"/>
        <v>0</v>
      </c>
      <c r="AW365" s="402" t="s">
        <v>3387</v>
      </c>
      <c r="AX365" s="376">
        <v>45765</v>
      </c>
      <c r="AY365" s="373" t="s">
        <v>3388</v>
      </c>
      <c r="AZ365" s="375"/>
      <c r="BA365" s="375">
        <v>3375000000</v>
      </c>
      <c r="BB365" s="375"/>
      <c r="BC365" s="375"/>
      <c r="BD365" s="353">
        <f t="shared" si="18"/>
        <v>3375000000</v>
      </c>
      <c r="BE365" s="432" t="s">
        <v>335</v>
      </c>
      <c r="BF365" s="407" t="s">
        <v>511</v>
      </c>
      <c r="BG365" s="168" t="s">
        <v>3290</v>
      </c>
      <c r="BH365" s="274">
        <v>45432</v>
      </c>
      <c r="BI365" s="168" t="s">
        <v>3291</v>
      </c>
      <c r="BJ365" s="274">
        <v>45510</v>
      </c>
      <c r="BK365" s="168">
        <v>1020325766</v>
      </c>
      <c r="BL365" s="275"/>
      <c r="BM365" s="276"/>
      <c r="BN365" s="275"/>
      <c r="BO365" s="276"/>
      <c r="BP365" s="277"/>
      <c r="BQ365" s="156"/>
      <c r="BR365" s="274"/>
      <c r="BS365" s="270"/>
      <c r="BT365" s="270"/>
      <c r="BU365" s="274"/>
      <c r="BV365" s="274"/>
      <c r="BW365" s="278"/>
      <c r="BX365" s="278"/>
      <c r="BY365" s="278"/>
      <c r="BZ365" s="351"/>
    </row>
    <row r="366" spans="1:78" s="90" customFormat="1" ht="19.5" hidden="1" customHeight="1">
      <c r="A366" s="137"/>
      <c r="B366" s="197">
        <f t="shared" si="16"/>
        <v>356</v>
      </c>
      <c r="C366" s="30" t="s">
        <v>202</v>
      </c>
      <c r="D366" s="30" t="s">
        <v>225</v>
      </c>
      <c r="E366" s="234" t="s">
        <v>954</v>
      </c>
      <c r="F366" s="235" t="s">
        <v>1346</v>
      </c>
      <c r="G366" s="284" t="str">
        <f>IFERROR(VLOOKUP(E366,Assign!$C$2:$J$142,8,FALSE),)</f>
        <v>문선영</v>
      </c>
      <c r="H366" s="361" t="s">
        <v>5022</v>
      </c>
      <c r="I366" s="363">
        <v>1</v>
      </c>
      <c r="J366" s="364" t="s">
        <v>208</v>
      </c>
      <c r="K366" s="364" t="s">
        <v>242</v>
      </c>
      <c r="L366" s="365" t="s">
        <v>2542</v>
      </c>
      <c r="M366" s="362" t="s">
        <v>2543</v>
      </c>
      <c r="N366" s="421" t="s">
        <v>207</v>
      </c>
      <c r="O366" s="269">
        <v>52.978999999999999</v>
      </c>
      <c r="P366" s="269">
        <v>84.93</v>
      </c>
      <c r="Q366" s="426"/>
      <c r="R366" s="418" t="s">
        <v>3365</v>
      </c>
      <c r="S366" s="427" t="s">
        <v>613</v>
      </c>
      <c r="T366" s="357">
        <v>3</v>
      </c>
      <c r="U366" s="357" t="s">
        <v>1</v>
      </c>
      <c r="V366" s="367">
        <v>84000</v>
      </c>
      <c r="W366" s="368">
        <v>119834399.99999999</v>
      </c>
      <c r="X366" s="357">
        <v>2</v>
      </c>
      <c r="Y366" s="357">
        <v>3</v>
      </c>
      <c r="Z366" s="400" t="s">
        <v>3205</v>
      </c>
      <c r="AA366" s="369">
        <v>84000</v>
      </c>
      <c r="AB366" s="370">
        <v>119834399.99999999</v>
      </c>
      <c r="AC366" s="404" t="s">
        <v>229</v>
      </c>
      <c r="AD366" s="270" t="s">
        <v>3070</v>
      </c>
      <c r="AE366" s="168" t="s">
        <v>3382</v>
      </c>
      <c r="AF366" s="156">
        <v>1302384000</v>
      </c>
      <c r="AG366" s="357">
        <v>2</v>
      </c>
      <c r="AH366" s="357" t="s">
        <v>229</v>
      </c>
      <c r="AI366" s="357" t="s">
        <v>3385</v>
      </c>
      <c r="AJ366" s="168" t="s">
        <v>3382</v>
      </c>
      <c r="AK366" s="156">
        <v>1302384000</v>
      </c>
      <c r="AL366" s="375"/>
      <c r="AM366" s="405"/>
      <c r="AN366" s="273"/>
      <c r="AO366" s="405"/>
      <c r="AP366" s="273"/>
      <c r="AQ366" s="273"/>
      <c r="AR366" s="273"/>
      <c r="AS366" s="273"/>
      <c r="AT366" s="273"/>
      <c r="AU366" s="273"/>
      <c r="AV366" s="322">
        <f t="shared" si="17"/>
        <v>0</v>
      </c>
      <c r="AW366" s="402" t="s">
        <v>3387</v>
      </c>
      <c r="AX366" s="376">
        <v>45765</v>
      </c>
      <c r="AY366" s="373" t="s">
        <v>3388</v>
      </c>
      <c r="AZ366" s="375"/>
      <c r="BA366" s="375">
        <v>655000000</v>
      </c>
      <c r="BB366" s="375"/>
      <c r="BC366" s="375"/>
      <c r="BD366" s="353">
        <f t="shared" si="18"/>
        <v>655000000</v>
      </c>
      <c r="BE366" s="432" t="s">
        <v>355</v>
      </c>
      <c r="BF366" s="407" t="s">
        <v>502</v>
      </c>
      <c r="BG366" s="168"/>
      <c r="BH366" s="274"/>
      <c r="BI366" s="168"/>
      <c r="BJ366" s="274"/>
      <c r="BK366" s="168"/>
      <c r="BL366" s="275"/>
      <c r="BM366" s="276"/>
      <c r="BN366" s="275"/>
      <c r="BO366" s="276"/>
      <c r="BP366" s="277"/>
      <c r="BQ366" s="156"/>
      <c r="BR366" s="274"/>
      <c r="BS366" s="270"/>
      <c r="BT366" s="270"/>
      <c r="BU366" s="274"/>
      <c r="BV366" s="274"/>
      <c r="BW366" s="278"/>
      <c r="BX366" s="278"/>
      <c r="BY366" s="278"/>
      <c r="BZ366" s="351"/>
    </row>
    <row r="367" spans="1:78" s="90" customFormat="1" ht="19.5" hidden="1" customHeight="1">
      <c r="A367" s="137"/>
      <c r="B367" s="197">
        <f t="shared" si="16"/>
        <v>357</v>
      </c>
      <c r="C367" s="30" t="s">
        <v>202</v>
      </c>
      <c r="D367" s="30" t="s">
        <v>225</v>
      </c>
      <c r="E367" s="234" t="s">
        <v>954</v>
      </c>
      <c r="F367" s="235" t="s">
        <v>1346</v>
      </c>
      <c r="G367" s="284" t="str">
        <f>IFERROR(VLOOKUP(E367,Assign!$C$2:$J$142,8,FALSE),)</f>
        <v>문선영</v>
      </c>
      <c r="H367" s="361" t="s">
        <v>5024</v>
      </c>
      <c r="I367" s="363">
        <v>2</v>
      </c>
      <c r="J367" s="364" t="s">
        <v>208</v>
      </c>
      <c r="K367" s="364" t="s">
        <v>242</v>
      </c>
      <c r="L367" s="365" t="s">
        <v>351</v>
      </c>
      <c r="M367" s="362" t="s">
        <v>2544</v>
      </c>
      <c r="N367" s="421" t="s">
        <v>3386</v>
      </c>
      <c r="O367" s="269">
        <v>44.73</v>
      </c>
      <c r="P367" s="269">
        <v>185.66</v>
      </c>
      <c r="Q367" s="426"/>
      <c r="R367" s="418" t="s">
        <v>3365</v>
      </c>
      <c r="S367" s="427" t="s">
        <v>613</v>
      </c>
      <c r="T367" s="357">
        <v>3</v>
      </c>
      <c r="U367" s="357" t="s">
        <v>1</v>
      </c>
      <c r="V367" s="367">
        <v>84000</v>
      </c>
      <c r="W367" s="368">
        <v>119834399.99999999</v>
      </c>
      <c r="X367" s="357">
        <v>1</v>
      </c>
      <c r="Y367" s="357">
        <v>3</v>
      </c>
      <c r="Z367" s="400" t="s">
        <v>3205</v>
      </c>
      <c r="AA367" s="369">
        <v>84000</v>
      </c>
      <c r="AB367" s="370">
        <v>119834399.99999999</v>
      </c>
      <c r="AC367" s="404" t="s">
        <v>229</v>
      </c>
      <c r="AD367" s="270" t="s">
        <v>3070</v>
      </c>
      <c r="AE367" s="168" t="s">
        <v>3382</v>
      </c>
      <c r="AF367" s="156">
        <v>1302384000</v>
      </c>
      <c r="AG367" s="357">
        <v>1</v>
      </c>
      <c r="AH367" s="357" t="s">
        <v>229</v>
      </c>
      <c r="AI367" s="357" t="s">
        <v>3385</v>
      </c>
      <c r="AJ367" s="168" t="s">
        <v>3382</v>
      </c>
      <c r="AK367" s="156">
        <v>1302384000</v>
      </c>
      <c r="AL367" s="375"/>
      <c r="AM367" s="405"/>
      <c r="AN367" s="273"/>
      <c r="AO367" s="405"/>
      <c r="AP367" s="273"/>
      <c r="AQ367" s="273"/>
      <c r="AR367" s="273"/>
      <c r="AS367" s="273"/>
      <c r="AT367" s="273"/>
      <c r="AU367" s="273"/>
      <c r="AV367" s="322">
        <f t="shared" si="17"/>
        <v>0</v>
      </c>
      <c r="AW367" s="402"/>
      <c r="AX367" s="376"/>
      <c r="AY367" s="373"/>
      <c r="AZ367" s="375"/>
      <c r="BA367" s="375"/>
      <c r="BB367" s="375"/>
      <c r="BC367" s="375"/>
      <c r="BD367" s="353">
        <f t="shared" si="18"/>
        <v>0</v>
      </c>
      <c r="BE367" s="432" t="s">
        <v>355</v>
      </c>
      <c r="BF367" s="407" t="s">
        <v>502</v>
      </c>
      <c r="BG367" s="168"/>
      <c r="BH367" s="274"/>
      <c r="BI367" s="168"/>
      <c r="BJ367" s="274"/>
      <c r="BK367" s="168"/>
      <c r="BL367" s="275"/>
      <c r="BM367" s="276"/>
      <c r="BN367" s="275"/>
      <c r="BO367" s="276"/>
      <c r="BP367" s="277"/>
      <c r="BQ367" s="156"/>
      <c r="BR367" s="274"/>
      <c r="BS367" s="270"/>
      <c r="BT367" s="270"/>
      <c r="BU367" s="274"/>
      <c r="BV367" s="274"/>
      <c r="BW367" s="278"/>
      <c r="BX367" s="278"/>
      <c r="BY367" s="278"/>
      <c r="BZ367" s="351"/>
    </row>
    <row r="368" spans="1:78" s="90" customFormat="1" ht="19.5" hidden="1" customHeight="1">
      <c r="A368" s="137"/>
      <c r="B368" s="197">
        <f t="shared" si="16"/>
        <v>358</v>
      </c>
      <c r="C368" s="30" t="s">
        <v>202</v>
      </c>
      <c r="D368" s="30" t="s">
        <v>225</v>
      </c>
      <c r="E368" s="234" t="s">
        <v>955</v>
      </c>
      <c r="F368" s="235" t="s">
        <v>1347</v>
      </c>
      <c r="G368" s="284" t="str">
        <f>IFERROR(VLOOKUP(E368,Assign!$C$2:$J$142,8,FALSE),)</f>
        <v>문선영</v>
      </c>
      <c r="H368" s="361" t="s">
        <v>5562</v>
      </c>
      <c r="I368" s="363">
        <v>1</v>
      </c>
      <c r="J368" s="364" t="s">
        <v>208</v>
      </c>
      <c r="K368" s="364" t="s">
        <v>250</v>
      </c>
      <c r="L368" s="365" t="s">
        <v>3030</v>
      </c>
      <c r="M368" s="362" t="s">
        <v>3084</v>
      </c>
      <c r="N368" s="421" t="s">
        <v>3076</v>
      </c>
      <c r="O368" s="269">
        <v>219</v>
      </c>
      <c r="P368" s="269">
        <v>201.37</v>
      </c>
      <c r="Q368" s="426"/>
      <c r="R368" s="418" t="s">
        <v>575</v>
      </c>
      <c r="S368" s="427" t="s">
        <v>617</v>
      </c>
      <c r="T368" s="357">
        <v>2</v>
      </c>
      <c r="U368" s="357" t="s">
        <v>204</v>
      </c>
      <c r="V368" s="367">
        <v>1248000000</v>
      </c>
      <c r="W368" s="368">
        <v>1248000000</v>
      </c>
      <c r="X368" s="357">
        <v>2</v>
      </c>
      <c r="Y368" s="357">
        <v>2</v>
      </c>
      <c r="Z368" s="400" t="s">
        <v>3206</v>
      </c>
      <c r="AA368" s="369">
        <v>1248000000</v>
      </c>
      <c r="AB368" s="370">
        <v>1248000000</v>
      </c>
      <c r="AC368" s="404">
        <v>1</v>
      </c>
      <c r="AD368" s="270" t="s">
        <v>204</v>
      </c>
      <c r="AE368" s="156">
        <v>48000000</v>
      </c>
      <c r="AF368" s="156">
        <v>48000000</v>
      </c>
      <c r="AG368" s="357">
        <v>2</v>
      </c>
      <c r="AH368" s="357">
        <v>1</v>
      </c>
      <c r="AI368" s="357" t="s">
        <v>3206</v>
      </c>
      <c r="AJ368" s="156">
        <v>48000000</v>
      </c>
      <c r="AK368" s="156">
        <v>48000000</v>
      </c>
      <c r="AL368" s="375"/>
      <c r="AM368" s="405"/>
      <c r="AN368" s="273"/>
      <c r="AO368" s="405"/>
      <c r="AP368" s="273"/>
      <c r="AQ368" s="273"/>
      <c r="AR368" s="273"/>
      <c r="AS368" s="273"/>
      <c r="AT368" s="273"/>
      <c r="AU368" s="273"/>
      <c r="AV368" s="322">
        <f t="shared" si="17"/>
        <v>0</v>
      </c>
      <c r="AW368" s="402"/>
      <c r="AX368" s="376"/>
      <c r="AY368" s="373"/>
      <c r="AZ368" s="375"/>
      <c r="BA368" s="375"/>
      <c r="BB368" s="375"/>
      <c r="BC368" s="375"/>
      <c r="BD368" s="353">
        <f t="shared" si="18"/>
        <v>0</v>
      </c>
      <c r="BE368" s="432" t="s">
        <v>355</v>
      </c>
      <c r="BF368" s="407" t="s">
        <v>493</v>
      </c>
      <c r="BG368" s="168"/>
      <c r="BH368" s="274"/>
      <c r="BI368" s="168"/>
      <c r="BJ368" s="274"/>
      <c r="BK368" s="168"/>
      <c r="BL368" s="275"/>
      <c r="BM368" s="276"/>
      <c r="BN368" s="275"/>
      <c r="BO368" s="276"/>
      <c r="BP368" s="277"/>
      <c r="BQ368" s="156"/>
      <c r="BR368" s="274"/>
      <c r="BS368" s="270"/>
      <c r="BT368" s="270"/>
      <c r="BU368" s="274"/>
      <c r="BV368" s="274"/>
      <c r="BW368" s="278"/>
      <c r="BX368" s="278"/>
      <c r="BY368" s="278"/>
      <c r="BZ368" s="351" t="s">
        <v>5589</v>
      </c>
    </row>
    <row r="369" spans="1:78" s="90" customFormat="1" ht="19.5" hidden="1" customHeight="1">
      <c r="A369" s="137"/>
      <c r="B369" s="197">
        <f t="shared" si="16"/>
        <v>359</v>
      </c>
      <c r="C369" s="30" t="s">
        <v>202</v>
      </c>
      <c r="D369" s="30" t="s">
        <v>225</v>
      </c>
      <c r="E369" s="234" t="s">
        <v>955</v>
      </c>
      <c r="F369" s="235" t="s">
        <v>1347</v>
      </c>
      <c r="G369" s="284" t="str">
        <f>IFERROR(VLOOKUP(E369,Assign!$C$2:$J$142,8,FALSE),)</f>
        <v>문선영</v>
      </c>
      <c r="H369" s="361" t="s">
        <v>5571</v>
      </c>
      <c r="I369" s="363">
        <v>2</v>
      </c>
      <c r="J369" s="364" t="s">
        <v>208</v>
      </c>
      <c r="K369" s="364" t="s">
        <v>250</v>
      </c>
      <c r="L369" s="365" t="s">
        <v>3030</v>
      </c>
      <c r="M369" s="362" t="s">
        <v>3085</v>
      </c>
      <c r="N369" s="421" t="s">
        <v>396</v>
      </c>
      <c r="O369" s="269">
        <v>185</v>
      </c>
      <c r="P369" s="269">
        <v>259.12</v>
      </c>
      <c r="Q369" s="426"/>
      <c r="R369" s="418" t="s">
        <v>575</v>
      </c>
      <c r="S369" s="427" t="s">
        <v>617</v>
      </c>
      <c r="T369" s="357">
        <v>2</v>
      </c>
      <c r="U369" s="357" t="s">
        <v>204</v>
      </c>
      <c r="V369" s="367">
        <v>1248000000</v>
      </c>
      <c r="W369" s="368">
        <v>1248000000</v>
      </c>
      <c r="X369" s="357">
        <v>1</v>
      </c>
      <c r="Y369" s="357">
        <v>2</v>
      </c>
      <c r="Z369" s="400" t="s">
        <v>3206</v>
      </c>
      <c r="AA369" s="369">
        <v>1248000000</v>
      </c>
      <c r="AB369" s="370">
        <v>1248000000</v>
      </c>
      <c r="AC369" s="404">
        <v>1</v>
      </c>
      <c r="AD369" s="270" t="s">
        <v>204</v>
      </c>
      <c r="AE369" s="156">
        <v>48000000</v>
      </c>
      <c r="AF369" s="156">
        <v>48000000</v>
      </c>
      <c r="AG369" s="357">
        <v>1</v>
      </c>
      <c r="AH369" s="357">
        <v>1</v>
      </c>
      <c r="AI369" s="357" t="s">
        <v>3206</v>
      </c>
      <c r="AJ369" s="156">
        <v>48000000</v>
      </c>
      <c r="AK369" s="156">
        <v>48000000</v>
      </c>
      <c r="AL369" s="375"/>
      <c r="AM369" s="405"/>
      <c r="AN369" s="273"/>
      <c r="AO369" s="405"/>
      <c r="AP369" s="273"/>
      <c r="AQ369" s="273"/>
      <c r="AR369" s="273"/>
      <c r="AS369" s="273"/>
      <c r="AT369" s="273"/>
      <c r="AU369" s="273"/>
      <c r="AV369" s="322">
        <f t="shared" si="17"/>
        <v>0</v>
      </c>
      <c r="AW369" s="402"/>
      <c r="AX369" s="376"/>
      <c r="AY369" s="373"/>
      <c r="AZ369" s="375"/>
      <c r="BA369" s="375"/>
      <c r="BB369" s="375"/>
      <c r="BC369" s="375"/>
      <c r="BD369" s="353">
        <f t="shared" si="18"/>
        <v>0</v>
      </c>
      <c r="BE369" s="432" t="s">
        <v>355</v>
      </c>
      <c r="BF369" s="407" t="s">
        <v>493</v>
      </c>
      <c r="BG369" s="168"/>
      <c r="BH369" s="274"/>
      <c r="BI369" s="168"/>
      <c r="BJ369" s="274"/>
      <c r="BK369" s="168"/>
      <c r="BL369" s="275"/>
      <c r="BM369" s="276"/>
      <c r="BN369" s="275"/>
      <c r="BO369" s="276"/>
      <c r="BP369" s="277"/>
      <c r="BQ369" s="156"/>
      <c r="BR369" s="274"/>
      <c r="BS369" s="270"/>
      <c r="BT369" s="270"/>
      <c r="BU369" s="274"/>
      <c r="BV369" s="274"/>
      <c r="BW369" s="278"/>
      <c r="BX369" s="278"/>
      <c r="BY369" s="278"/>
      <c r="BZ369" s="351" t="s">
        <v>5589</v>
      </c>
    </row>
    <row r="370" spans="1:78" s="90" customFormat="1" ht="19.5" hidden="1" customHeight="1">
      <c r="A370" s="137"/>
      <c r="B370" s="197">
        <f t="shared" si="16"/>
        <v>360</v>
      </c>
      <c r="C370" s="30" t="s">
        <v>202</v>
      </c>
      <c r="D370" s="30" t="s">
        <v>225</v>
      </c>
      <c r="E370" s="234" t="s">
        <v>956</v>
      </c>
      <c r="F370" s="235" t="s">
        <v>1348</v>
      </c>
      <c r="G370" s="284">
        <f>IFERROR(VLOOKUP(E370,Assign!$C$2:$J$142,8,FALSE),)</f>
        <v>0</v>
      </c>
      <c r="H370" s="361" t="s">
        <v>5355</v>
      </c>
      <c r="I370" s="363">
        <v>1</v>
      </c>
      <c r="J370" s="364" t="s">
        <v>209</v>
      </c>
      <c r="K370" s="364" t="s">
        <v>226</v>
      </c>
      <c r="L370" s="365" t="s">
        <v>227</v>
      </c>
      <c r="M370" s="362" t="s">
        <v>3180</v>
      </c>
      <c r="N370" s="421" t="s">
        <v>546</v>
      </c>
      <c r="O370" s="269">
        <v>59.14</v>
      </c>
      <c r="P370" s="269">
        <v>232.9</v>
      </c>
      <c r="Q370" s="426"/>
      <c r="R370" s="418" t="s">
        <v>956</v>
      </c>
      <c r="S370" s="427" t="s">
        <v>613</v>
      </c>
      <c r="T370" s="357">
        <v>1</v>
      </c>
      <c r="U370" s="357" t="s">
        <v>204</v>
      </c>
      <c r="V370" s="367">
        <v>1080000000</v>
      </c>
      <c r="W370" s="368">
        <v>1080000000</v>
      </c>
      <c r="X370" s="357"/>
      <c r="Y370" s="357"/>
      <c r="Z370" s="400"/>
      <c r="AA370" s="369"/>
      <c r="AB370" s="370"/>
      <c r="AC370" s="404"/>
      <c r="AD370" s="270"/>
      <c r="AE370" s="156"/>
      <c r="AF370" s="156"/>
      <c r="AG370" s="357"/>
      <c r="AH370" s="357"/>
      <c r="AI370" s="357"/>
      <c r="AJ370" s="156"/>
      <c r="AK370" s="156"/>
      <c r="AL370" s="375"/>
      <c r="AM370" s="405"/>
      <c r="AN370" s="273"/>
      <c r="AO370" s="405"/>
      <c r="AP370" s="273"/>
      <c r="AQ370" s="273"/>
      <c r="AR370" s="273"/>
      <c r="AS370" s="273"/>
      <c r="AT370" s="273"/>
      <c r="AU370" s="273"/>
      <c r="AV370" s="322">
        <f t="shared" si="17"/>
        <v>0</v>
      </c>
      <c r="AW370" s="402"/>
      <c r="AX370" s="376"/>
      <c r="AY370" s="373"/>
      <c r="AZ370" s="375"/>
      <c r="BA370" s="375"/>
      <c r="BB370" s="375"/>
      <c r="BC370" s="375"/>
      <c r="BD370" s="353">
        <f t="shared" si="18"/>
        <v>0</v>
      </c>
      <c r="BE370" s="432" t="s">
        <v>335</v>
      </c>
      <c r="BF370" s="407" t="s">
        <v>495</v>
      </c>
      <c r="BG370" s="168" t="s">
        <v>1373</v>
      </c>
      <c r="BH370" s="274">
        <v>45754</v>
      </c>
      <c r="BI370" s="168" t="s">
        <v>3344</v>
      </c>
      <c r="BJ370" s="274">
        <v>45846</v>
      </c>
      <c r="BK370" s="168">
        <v>921417838</v>
      </c>
      <c r="BL370" s="275"/>
      <c r="BM370" s="276"/>
      <c r="BN370" s="275"/>
      <c r="BO370" s="276"/>
      <c r="BP370" s="277"/>
      <c r="BQ370" s="156"/>
      <c r="BR370" s="274"/>
      <c r="BS370" s="270"/>
      <c r="BT370" s="270"/>
      <c r="BU370" s="274"/>
      <c r="BV370" s="274"/>
      <c r="BW370" s="278"/>
      <c r="BX370" s="278"/>
      <c r="BY370" s="278"/>
      <c r="BZ370" s="351"/>
    </row>
    <row r="371" spans="1:78" s="90" customFormat="1" ht="19.5" hidden="1" customHeight="1">
      <c r="A371" s="137"/>
      <c r="B371" s="197">
        <f t="shared" si="16"/>
        <v>361</v>
      </c>
      <c r="C371" s="30" t="s">
        <v>202</v>
      </c>
      <c r="D371" s="30" t="s">
        <v>225</v>
      </c>
      <c r="E371" s="234" t="s">
        <v>957</v>
      </c>
      <c r="F371" s="235" t="s">
        <v>1220</v>
      </c>
      <c r="G371" s="284">
        <f>IFERROR(VLOOKUP(E371,Assign!$C$2:$J$142,8,FALSE),)</f>
        <v>0</v>
      </c>
      <c r="H371" s="361" t="s">
        <v>4177</v>
      </c>
      <c r="I371" s="363">
        <v>1</v>
      </c>
      <c r="J371" s="364" t="s">
        <v>208</v>
      </c>
      <c r="K371" s="364" t="s">
        <v>234</v>
      </c>
      <c r="L371" s="365" t="s">
        <v>1608</v>
      </c>
      <c r="M371" s="362" t="s">
        <v>3104</v>
      </c>
      <c r="N371" s="421" t="s">
        <v>350</v>
      </c>
      <c r="O371" s="269">
        <v>576</v>
      </c>
      <c r="P371" s="269"/>
      <c r="Q371" s="426"/>
      <c r="R371" s="418" t="s">
        <v>957</v>
      </c>
      <c r="S371" s="427" t="s">
        <v>613</v>
      </c>
      <c r="T371" s="357">
        <v>1</v>
      </c>
      <c r="U371" s="357" t="s">
        <v>204</v>
      </c>
      <c r="V371" s="367">
        <v>1056000000</v>
      </c>
      <c r="W371" s="368">
        <v>1056000000</v>
      </c>
      <c r="X371" s="357"/>
      <c r="Y371" s="357"/>
      <c r="Z371" s="400"/>
      <c r="AA371" s="369"/>
      <c r="AB371" s="370"/>
      <c r="AC371" s="404"/>
      <c r="AD371" s="270"/>
      <c r="AE371" s="156"/>
      <c r="AF371" s="156"/>
      <c r="AG371" s="357"/>
      <c r="AH371" s="357"/>
      <c r="AI371" s="357"/>
      <c r="AJ371" s="156"/>
      <c r="AK371" s="156"/>
      <c r="AL371" s="375"/>
      <c r="AM371" s="405"/>
      <c r="AN371" s="273"/>
      <c r="AO371" s="405"/>
      <c r="AP371" s="273"/>
      <c r="AQ371" s="273"/>
      <c r="AR371" s="273"/>
      <c r="AS371" s="273"/>
      <c r="AT371" s="273"/>
      <c r="AU371" s="273"/>
      <c r="AV371" s="322">
        <f t="shared" si="17"/>
        <v>0</v>
      </c>
      <c r="AW371" s="402"/>
      <c r="AX371" s="376"/>
      <c r="AY371" s="373"/>
      <c r="AZ371" s="375"/>
      <c r="BA371" s="375"/>
      <c r="BB371" s="375"/>
      <c r="BC371" s="375"/>
      <c r="BD371" s="353">
        <f t="shared" si="18"/>
        <v>0</v>
      </c>
      <c r="BE371" s="432" t="s">
        <v>355</v>
      </c>
      <c r="BF371" s="407" t="s">
        <v>504</v>
      </c>
      <c r="BG371" s="168"/>
      <c r="BH371" s="274"/>
      <c r="BI371" s="168"/>
      <c r="BJ371" s="274"/>
      <c r="BK371" s="168"/>
      <c r="BL371" s="275"/>
      <c r="BM371" s="276"/>
      <c r="BN371" s="275"/>
      <c r="BO371" s="276"/>
      <c r="BP371" s="277"/>
      <c r="BQ371" s="156"/>
      <c r="BR371" s="274"/>
      <c r="BS371" s="270"/>
      <c r="BT371" s="270"/>
      <c r="BU371" s="274"/>
      <c r="BV371" s="274"/>
      <c r="BW371" s="278"/>
      <c r="BX371" s="278"/>
      <c r="BY371" s="278"/>
      <c r="BZ371" s="351"/>
    </row>
    <row r="372" spans="1:78" s="90" customFormat="1" ht="19.5" hidden="1" customHeight="1">
      <c r="A372" s="137"/>
      <c r="B372" s="197">
        <f t="shared" si="16"/>
        <v>362</v>
      </c>
      <c r="C372" s="30" t="s">
        <v>202</v>
      </c>
      <c r="D372" s="30" t="s">
        <v>225</v>
      </c>
      <c r="E372" s="234" t="s">
        <v>958</v>
      </c>
      <c r="F372" s="235" t="s">
        <v>1274</v>
      </c>
      <c r="G372" s="284" t="str">
        <f>IFERROR(VLOOKUP(E372,Assign!$C$2:$J$142,8,FALSE),)</f>
        <v>문선영</v>
      </c>
      <c r="H372" s="361" t="s">
        <v>5245</v>
      </c>
      <c r="I372" s="363">
        <v>1</v>
      </c>
      <c r="J372" s="364" t="s">
        <v>220</v>
      </c>
      <c r="K372" s="364" t="s">
        <v>2090</v>
      </c>
      <c r="L372" s="365" t="s">
        <v>2737</v>
      </c>
      <c r="M372" s="362" t="s">
        <v>3167</v>
      </c>
      <c r="N372" s="421" t="s">
        <v>285</v>
      </c>
      <c r="O372" s="269">
        <v>6035.8961102904968</v>
      </c>
      <c r="P372" s="269">
        <v>886.8</v>
      </c>
      <c r="Q372" s="426"/>
      <c r="R372" s="418" t="s">
        <v>958</v>
      </c>
      <c r="S372" s="427" t="s">
        <v>613</v>
      </c>
      <c r="T372" s="357" t="s">
        <v>229</v>
      </c>
      <c r="U372" s="357" t="s">
        <v>204</v>
      </c>
      <c r="V372" s="367">
        <v>984000000</v>
      </c>
      <c r="W372" s="368">
        <v>984000000</v>
      </c>
      <c r="X372" s="357"/>
      <c r="Y372" s="357"/>
      <c r="Z372" s="400"/>
      <c r="AA372" s="369"/>
      <c r="AB372" s="370"/>
      <c r="AC372" s="404"/>
      <c r="AD372" s="270"/>
      <c r="AE372" s="156"/>
      <c r="AF372" s="156"/>
      <c r="AG372" s="357"/>
      <c r="AH372" s="357"/>
      <c r="AI372" s="357"/>
      <c r="AJ372" s="156"/>
      <c r="AK372" s="156"/>
      <c r="AL372" s="375"/>
      <c r="AM372" s="405"/>
      <c r="AN372" s="273"/>
      <c r="AO372" s="405"/>
      <c r="AP372" s="273"/>
      <c r="AQ372" s="273"/>
      <c r="AR372" s="273"/>
      <c r="AS372" s="273"/>
      <c r="AT372" s="273"/>
      <c r="AU372" s="273"/>
      <c r="AV372" s="322">
        <f t="shared" si="17"/>
        <v>0</v>
      </c>
      <c r="AW372" s="402"/>
      <c r="AX372" s="376"/>
      <c r="AY372" s="373"/>
      <c r="AZ372" s="375"/>
      <c r="BA372" s="375"/>
      <c r="BB372" s="375"/>
      <c r="BC372" s="375"/>
      <c r="BD372" s="353">
        <f t="shared" si="18"/>
        <v>0</v>
      </c>
      <c r="BE372" s="432" t="s">
        <v>355</v>
      </c>
      <c r="BF372" s="407" t="s">
        <v>523</v>
      </c>
      <c r="BG372" s="168"/>
      <c r="BH372" s="274"/>
      <c r="BI372" s="168"/>
      <c r="BJ372" s="274"/>
      <c r="BK372" s="168"/>
      <c r="BL372" s="275"/>
      <c r="BM372" s="276"/>
      <c r="BN372" s="275"/>
      <c r="BO372" s="276"/>
      <c r="BP372" s="277"/>
      <c r="BQ372" s="156"/>
      <c r="BR372" s="274"/>
      <c r="BS372" s="270"/>
      <c r="BT372" s="270"/>
      <c r="BU372" s="274"/>
      <c r="BV372" s="274"/>
      <c r="BW372" s="278"/>
      <c r="BX372" s="278"/>
      <c r="BY372" s="278"/>
      <c r="BZ372" s="351"/>
    </row>
    <row r="373" spans="1:78" s="90" customFormat="1" ht="19.5" hidden="1" customHeight="1">
      <c r="A373" s="137"/>
      <c r="B373" s="197">
        <f t="shared" si="16"/>
        <v>363</v>
      </c>
      <c r="C373" s="30" t="s">
        <v>202</v>
      </c>
      <c r="D373" s="30" t="s">
        <v>225</v>
      </c>
      <c r="E373" s="234" t="s">
        <v>959</v>
      </c>
      <c r="F373" s="235" t="s">
        <v>1221</v>
      </c>
      <c r="G373" s="284" t="str">
        <f>IFERROR(VLOOKUP(E373,Assign!$C$2:$J$142,8,FALSE),)</f>
        <v>문선영</v>
      </c>
      <c r="H373" s="361" t="s">
        <v>4191</v>
      </c>
      <c r="I373" s="363">
        <v>1</v>
      </c>
      <c r="J373" s="364" t="s">
        <v>213</v>
      </c>
      <c r="K373" s="364" t="s">
        <v>320</v>
      </c>
      <c r="L373" s="365" t="s">
        <v>1765</v>
      </c>
      <c r="M373" s="362" t="s">
        <v>1766</v>
      </c>
      <c r="N373" s="421" t="s">
        <v>3386</v>
      </c>
      <c r="O373" s="269">
        <v>9.8096999999999994</v>
      </c>
      <c r="P373" s="269">
        <v>41.551699999999997</v>
      </c>
      <c r="Q373" s="426"/>
      <c r="R373" s="418" t="s">
        <v>959</v>
      </c>
      <c r="S373" s="427" t="s">
        <v>613</v>
      </c>
      <c r="T373" s="357">
        <v>1</v>
      </c>
      <c r="U373" s="357" t="s">
        <v>204</v>
      </c>
      <c r="V373" s="367">
        <v>960000000</v>
      </c>
      <c r="W373" s="368">
        <v>960000000</v>
      </c>
      <c r="X373" s="357"/>
      <c r="Y373" s="357"/>
      <c r="Z373" s="400"/>
      <c r="AA373" s="369"/>
      <c r="AB373" s="370"/>
      <c r="AC373" s="404"/>
      <c r="AD373" s="270"/>
      <c r="AE373" s="156"/>
      <c r="AF373" s="156"/>
      <c r="AG373" s="357"/>
      <c r="AH373" s="357"/>
      <c r="AI373" s="357"/>
      <c r="AJ373" s="156"/>
      <c r="AK373" s="156"/>
      <c r="AL373" s="375"/>
      <c r="AM373" s="405"/>
      <c r="AN373" s="273"/>
      <c r="AO373" s="405"/>
      <c r="AP373" s="273"/>
      <c r="AQ373" s="273"/>
      <c r="AR373" s="273"/>
      <c r="AS373" s="273"/>
      <c r="AT373" s="273"/>
      <c r="AU373" s="273"/>
      <c r="AV373" s="322">
        <f t="shared" si="17"/>
        <v>0</v>
      </c>
      <c r="AW373" s="402"/>
      <c r="AX373" s="376"/>
      <c r="AY373" s="373"/>
      <c r="AZ373" s="375"/>
      <c r="BA373" s="375"/>
      <c r="BB373" s="375"/>
      <c r="BC373" s="375"/>
      <c r="BD373" s="353">
        <f t="shared" si="18"/>
        <v>0</v>
      </c>
      <c r="BE373" s="432" t="s">
        <v>355</v>
      </c>
      <c r="BF373" s="407" t="s">
        <v>524</v>
      </c>
      <c r="BG373" s="168"/>
      <c r="BH373" s="274"/>
      <c r="BI373" s="168"/>
      <c r="BJ373" s="274"/>
      <c r="BK373" s="168"/>
      <c r="BL373" s="275"/>
      <c r="BM373" s="276"/>
      <c r="BN373" s="275"/>
      <c r="BO373" s="276"/>
      <c r="BP373" s="277"/>
      <c r="BQ373" s="156"/>
      <c r="BR373" s="274"/>
      <c r="BS373" s="270"/>
      <c r="BT373" s="270"/>
      <c r="BU373" s="274"/>
      <c r="BV373" s="274"/>
      <c r="BW373" s="278"/>
      <c r="BX373" s="278"/>
      <c r="BY373" s="278"/>
      <c r="BZ373" s="351"/>
    </row>
    <row r="374" spans="1:78" s="90" customFormat="1" ht="19.5" hidden="1" customHeight="1">
      <c r="A374" s="137"/>
      <c r="B374" s="197">
        <f t="shared" si="16"/>
        <v>364</v>
      </c>
      <c r="C374" s="30" t="s">
        <v>202</v>
      </c>
      <c r="D374" s="30" t="s">
        <v>225</v>
      </c>
      <c r="E374" s="234" t="s">
        <v>960</v>
      </c>
      <c r="F374" s="235" t="s">
        <v>1349</v>
      </c>
      <c r="G374" s="284" t="str">
        <f>IFERROR(VLOOKUP(E374,Assign!$C$2:$J$142,8,FALSE),)</f>
        <v>문선영</v>
      </c>
      <c r="H374" s="361" t="s">
        <v>5400</v>
      </c>
      <c r="I374" s="363">
        <v>1</v>
      </c>
      <c r="J374" s="364" t="s">
        <v>211</v>
      </c>
      <c r="K374" s="364" t="s">
        <v>299</v>
      </c>
      <c r="L374" s="365" t="s">
        <v>552</v>
      </c>
      <c r="M374" s="362" t="s">
        <v>3183</v>
      </c>
      <c r="N374" s="421" t="s">
        <v>3184</v>
      </c>
      <c r="O374" s="269">
        <v>432</v>
      </c>
      <c r="P374" s="269">
        <v>495.97</v>
      </c>
      <c r="Q374" s="426"/>
      <c r="R374" s="418" t="s">
        <v>960</v>
      </c>
      <c r="S374" s="427" t="s">
        <v>613</v>
      </c>
      <c r="T374" s="357">
        <v>1</v>
      </c>
      <c r="U374" s="357" t="s">
        <v>204</v>
      </c>
      <c r="V374" s="367">
        <v>900000000</v>
      </c>
      <c r="W374" s="368">
        <v>900000000</v>
      </c>
      <c r="X374" s="357"/>
      <c r="Y374" s="357"/>
      <c r="Z374" s="400"/>
      <c r="AA374" s="369"/>
      <c r="AB374" s="370"/>
      <c r="AC374" s="404"/>
      <c r="AD374" s="270"/>
      <c r="AE374" s="156"/>
      <c r="AF374" s="156"/>
      <c r="AG374" s="357"/>
      <c r="AH374" s="357"/>
      <c r="AI374" s="357"/>
      <c r="AJ374" s="156"/>
      <c r="AK374" s="156"/>
      <c r="AL374" s="375"/>
      <c r="AM374" s="405"/>
      <c r="AN374" s="273"/>
      <c r="AO374" s="405"/>
      <c r="AP374" s="273"/>
      <c r="AQ374" s="273"/>
      <c r="AR374" s="273"/>
      <c r="AS374" s="273"/>
      <c r="AT374" s="273"/>
      <c r="AU374" s="273"/>
      <c r="AV374" s="322">
        <f t="shared" si="17"/>
        <v>0</v>
      </c>
      <c r="AW374" s="402"/>
      <c r="AX374" s="376"/>
      <c r="AY374" s="373"/>
      <c r="AZ374" s="375"/>
      <c r="BA374" s="375"/>
      <c r="BB374" s="375"/>
      <c r="BC374" s="375"/>
      <c r="BD374" s="353">
        <f t="shared" si="18"/>
        <v>0</v>
      </c>
      <c r="BE374" s="432" t="s">
        <v>355</v>
      </c>
      <c r="BF374" s="407" t="s">
        <v>527</v>
      </c>
      <c r="BG374" s="168"/>
      <c r="BH374" s="274"/>
      <c r="BI374" s="168"/>
      <c r="BJ374" s="274"/>
      <c r="BK374" s="168"/>
      <c r="BL374" s="275"/>
      <c r="BM374" s="276"/>
      <c r="BN374" s="275"/>
      <c r="BO374" s="276"/>
      <c r="BP374" s="277"/>
      <c r="BQ374" s="156"/>
      <c r="BR374" s="274"/>
      <c r="BS374" s="270"/>
      <c r="BT374" s="270"/>
      <c r="BU374" s="274"/>
      <c r="BV374" s="274"/>
      <c r="BW374" s="278"/>
      <c r="BX374" s="278"/>
      <c r="BY374" s="278"/>
      <c r="BZ374" s="351"/>
    </row>
    <row r="375" spans="1:78" s="90" customFormat="1" ht="19.5" hidden="1" customHeight="1">
      <c r="A375" s="137"/>
      <c r="B375" s="197">
        <f t="shared" si="16"/>
        <v>365</v>
      </c>
      <c r="C375" s="30" t="s">
        <v>202</v>
      </c>
      <c r="D375" s="30" t="s">
        <v>225</v>
      </c>
      <c r="E375" s="234" t="s">
        <v>961</v>
      </c>
      <c r="F375" s="235" t="s">
        <v>1275</v>
      </c>
      <c r="G375" s="284">
        <f>IFERROR(VLOOKUP(E375,Assign!$C$2:$J$142,8,FALSE),)</f>
        <v>0</v>
      </c>
      <c r="H375" s="361" t="s">
        <v>5233</v>
      </c>
      <c r="I375" s="363">
        <v>1</v>
      </c>
      <c r="J375" s="364" t="s">
        <v>208</v>
      </c>
      <c r="K375" s="364" t="s">
        <v>250</v>
      </c>
      <c r="L375" s="365" t="s">
        <v>2725</v>
      </c>
      <c r="M375" s="362" t="s">
        <v>2726</v>
      </c>
      <c r="N375" s="421" t="s">
        <v>546</v>
      </c>
      <c r="O375" s="269">
        <v>31.2285</v>
      </c>
      <c r="P375" s="269">
        <v>99.697500000000005</v>
      </c>
      <c r="Q375" s="426"/>
      <c r="R375" s="418" t="s">
        <v>961</v>
      </c>
      <c r="S375" s="427" t="s">
        <v>613</v>
      </c>
      <c r="T375" s="357" t="s">
        <v>229</v>
      </c>
      <c r="U375" s="357" t="s">
        <v>204</v>
      </c>
      <c r="V375" s="367">
        <v>648000000</v>
      </c>
      <c r="W375" s="368">
        <v>648000000</v>
      </c>
      <c r="X375" s="357">
        <v>2</v>
      </c>
      <c r="Y375" s="357">
        <v>2</v>
      </c>
      <c r="Z375" s="400" t="s">
        <v>3206</v>
      </c>
      <c r="AA375" s="369">
        <v>360000000</v>
      </c>
      <c r="AB375" s="370">
        <v>360000000</v>
      </c>
      <c r="AC375" s="404"/>
      <c r="AD375" s="270"/>
      <c r="AE375" s="156"/>
      <c r="AF375" s="156"/>
      <c r="AG375" s="357"/>
      <c r="AH375" s="357"/>
      <c r="AI375" s="357"/>
      <c r="AJ375" s="156"/>
      <c r="AK375" s="156"/>
      <c r="AL375" s="375"/>
      <c r="AM375" s="405"/>
      <c r="AN375" s="273"/>
      <c r="AO375" s="405"/>
      <c r="AP375" s="273"/>
      <c r="AQ375" s="273"/>
      <c r="AR375" s="273"/>
      <c r="AS375" s="273"/>
      <c r="AT375" s="273"/>
      <c r="AU375" s="273"/>
      <c r="AV375" s="322">
        <f t="shared" si="17"/>
        <v>0</v>
      </c>
      <c r="AW375" s="402"/>
      <c r="AX375" s="376"/>
      <c r="AY375" s="373"/>
      <c r="AZ375" s="375"/>
      <c r="BA375" s="375"/>
      <c r="BB375" s="375"/>
      <c r="BC375" s="375"/>
      <c r="BD375" s="353">
        <f t="shared" si="18"/>
        <v>0</v>
      </c>
      <c r="BE375" s="432" t="s">
        <v>355</v>
      </c>
      <c r="BF375" s="407" t="s">
        <v>493</v>
      </c>
      <c r="BG375" s="168"/>
      <c r="BH375" s="274"/>
      <c r="BI375" s="168"/>
      <c r="BJ375" s="274"/>
      <c r="BK375" s="168"/>
      <c r="BL375" s="275"/>
      <c r="BM375" s="276"/>
      <c r="BN375" s="275"/>
      <c r="BO375" s="276"/>
      <c r="BP375" s="277"/>
      <c r="BQ375" s="156"/>
      <c r="BR375" s="274"/>
      <c r="BS375" s="270"/>
      <c r="BT375" s="270"/>
      <c r="BU375" s="274"/>
      <c r="BV375" s="274"/>
      <c r="BW375" s="278"/>
      <c r="BX375" s="278"/>
      <c r="BY375" s="278"/>
      <c r="BZ375" s="351"/>
    </row>
    <row r="376" spans="1:78" s="90" customFormat="1" ht="19.5" hidden="1" customHeight="1">
      <c r="A376" s="137"/>
      <c r="B376" s="197">
        <f t="shared" si="16"/>
        <v>366</v>
      </c>
      <c r="C376" s="30" t="s">
        <v>202</v>
      </c>
      <c r="D376" s="30" t="s">
        <v>225</v>
      </c>
      <c r="E376" s="234" t="s">
        <v>961</v>
      </c>
      <c r="F376" s="235" t="s">
        <v>1275</v>
      </c>
      <c r="G376" s="284">
        <f>IFERROR(VLOOKUP(E376,Assign!$C$2:$J$142,8,FALSE),)</f>
        <v>0</v>
      </c>
      <c r="H376" s="361" t="s">
        <v>5235</v>
      </c>
      <c r="I376" s="363">
        <v>2</v>
      </c>
      <c r="J376" s="364" t="s">
        <v>208</v>
      </c>
      <c r="K376" s="364" t="s">
        <v>250</v>
      </c>
      <c r="L376" s="365" t="s">
        <v>2725</v>
      </c>
      <c r="M376" s="362" t="s">
        <v>2728</v>
      </c>
      <c r="N376" s="421" t="s">
        <v>546</v>
      </c>
      <c r="O376" s="269">
        <v>31.2285</v>
      </c>
      <c r="P376" s="269">
        <v>99.697500000000005</v>
      </c>
      <c r="Q376" s="426"/>
      <c r="R376" s="418" t="s">
        <v>961</v>
      </c>
      <c r="S376" s="427" t="s">
        <v>613</v>
      </c>
      <c r="T376" s="357" t="s">
        <v>229</v>
      </c>
      <c r="U376" s="357" t="s">
        <v>204</v>
      </c>
      <c r="V376" s="367">
        <v>626400000</v>
      </c>
      <c r="W376" s="368">
        <v>626400000</v>
      </c>
      <c r="X376" s="357">
        <v>1</v>
      </c>
      <c r="Y376" s="357">
        <v>2</v>
      </c>
      <c r="Z376" s="400" t="s">
        <v>3206</v>
      </c>
      <c r="AA376" s="369">
        <v>360000000</v>
      </c>
      <c r="AB376" s="370">
        <v>360000000</v>
      </c>
      <c r="AC376" s="404"/>
      <c r="AD376" s="270"/>
      <c r="AE376" s="156"/>
      <c r="AF376" s="156"/>
      <c r="AG376" s="357"/>
      <c r="AH376" s="357"/>
      <c r="AI376" s="357"/>
      <c r="AJ376" s="156"/>
      <c r="AK376" s="156"/>
      <c r="AL376" s="375"/>
      <c r="AM376" s="405"/>
      <c r="AN376" s="273"/>
      <c r="AO376" s="405"/>
      <c r="AP376" s="273"/>
      <c r="AQ376" s="273"/>
      <c r="AR376" s="273"/>
      <c r="AS376" s="273"/>
      <c r="AT376" s="273"/>
      <c r="AU376" s="273"/>
      <c r="AV376" s="322">
        <f t="shared" si="17"/>
        <v>0</v>
      </c>
      <c r="AW376" s="402"/>
      <c r="AX376" s="376"/>
      <c r="AY376" s="373"/>
      <c r="AZ376" s="375"/>
      <c r="BA376" s="375"/>
      <c r="BB376" s="375"/>
      <c r="BC376" s="375"/>
      <c r="BD376" s="353">
        <f t="shared" si="18"/>
        <v>0</v>
      </c>
      <c r="BE376" s="432" t="s">
        <v>355</v>
      </c>
      <c r="BF376" s="407" t="s">
        <v>493</v>
      </c>
      <c r="BG376" s="168"/>
      <c r="BH376" s="274"/>
      <c r="BI376" s="168"/>
      <c r="BJ376" s="274"/>
      <c r="BK376" s="168"/>
      <c r="BL376" s="275"/>
      <c r="BM376" s="276"/>
      <c r="BN376" s="275"/>
      <c r="BO376" s="276"/>
      <c r="BP376" s="277"/>
      <c r="BQ376" s="156"/>
      <c r="BR376" s="274"/>
      <c r="BS376" s="270"/>
      <c r="BT376" s="270"/>
      <c r="BU376" s="274"/>
      <c r="BV376" s="274"/>
      <c r="BW376" s="278"/>
      <c r="BX376" s="278"/>
      <c r="BY376" s="278"/>
      <c r="BZ376" s="351"/>
    </row>
    <row r="377" spans="1:78" s="90" customFormat="1" ht="19.5" hidden="1" customHeight="1">
      <c r="A377" s="137"/>
      <c r="B377" s="197">
        <f t="shared" si="16"/>
        <v>367</v>
      </c>
      <c r="C377" s="30" t="s">
        <v>202</v>
      </c>
      <c r="D377" s="30" t="s">
        <v>225</v>
      </c>
      <c r="E377" s="234" t="s">
        <v>961</v>
      </c>
      <c r="F377" s="235" t="s">
        <v>1275</v>
      </c>
      <c r="G377" s="284">
        <f>IFERROR(VLOOKUP(E377,Assign!$C$2:$J$142,8,FALSE),)</f>
        <v>0</v>
      </c>
      <c r="H377" s="361" t="s">
        <v>5590</v>
      </c>
      <c r="I377" s="363">
        <v>3</v>
      </c>
      <c r="J377" s="364"/>
      <c r="K377" s="364"/>
      <c r="L377" s="365"/>
      <c r="M377" s="362" t="s">
        <v>3842</v>
      </c>
      <c r="N377" s="421" t="s">
        <v>3843</v>
      </c>
      <c r="O377" s="269"/>
      <c r="P377" s="269"/>
      <c r="Q377" s="426"/>
      <c r="R377" s="418" t="s">
        <v>961</v>
      </c>
      <c r="S377" s="427" t="s">
        <v>5595</v>
      </c>
      <c r="T377" s="357">
        <v>1</v>
      </c>
      <c r="U377" s="357" t="s">
        <v>204</v>
      </c>
      <c r="V377" s="367">
        <v>300000000</v>
      </c>
      <c r="W377" s="368">
        <v>300000000</v>
      </c>
      <c r="X377" s="357"/>
      <c r="Y377" s="357"/>
      <c r="Z377" s="400"/>
      <c r="AA377" s="369"/>
      <c r="AB377" s="370"/>
      <c r="AC377" s="404"/>
      <c r="AD377" s="270"/>
      <c r="AE377" s="156"/>
      <c r="AF377" s="156"/>
      <c r="AG377" s="357"/>
      <c r="AH377" s="357"/>
      <c r="AI377" s="357"/>
      <c r="AJ377" s="156"/>
      <c r="AK377" s="156"/>
      <c r="AL377" s="375"/>
      <c r="AM377" s="405"/>
      <c r="AN377" s="273"/>
      <c r="AO377" s="405"/>
      <c r="AP377" s="273"/>
      <c r="AQ377" s="273"/>
      <c r="AR377" s="273"/>
      <c r="AS377" s="273"/>
      <c r="AT377" s="273"/>
      <c r="AU377" s="273"/>
      <c r="AV377" s="322">
        <f t="shared" si="17"/>
        <v>0</v>
      </c>
      <c r="AW377" s="402"/>
      <c r="AX377" s="376"/>
      <c r="AY377" s="373"/>
      <c r="AZ377" s="375"/>
      <c r="BA377" s="375"/>
      <c r="BB377" s="375"/>
      <c r="BC377" s="375"/>
      <c r="BD377" s="353">
        <f t="shared" si="18"/>
        <v>0</v>
      </c>
      <c r="BE377" s="432" t="s">
        <v>355</v>
      </c>
      <c r="BF377" s="407"/>
      <c r="BG377" s="168"/>
      <c r="BH377" s="274"/>
      <c r="BI377" s="168"/>
      <c r="BJ377" s="274"/>
      <c r="BK377" s="168"/>
      <c r="BL377" s="275"/>
      <c r="BM377" s="276"/>
      <c r="BN377" s="275"/>
      <c r="BO377" s="276"/>
      <c r="BP377" s="277"/>
      <c r="BQ377" s="156"/>
      <c r="BR377" s="274"/>
      <c r="BS377" s="270"/>
      <c r="BT377" s="270"/>
      <c r="BU377" s="274"/>
      <c r="BV377" s="274"/>
      <c r="BW377" s="278"/>
      <c r="BX377" s="278"/>
      <c r="BY377" s="278"/>
      <c r="BZ377" s="351"/>
    </row>
    <row r="378" spans="1:78" s="90" customFormat="1" ht="19.5" hidden="1" customHeight="1">
      <c r="A378" s="137"/>
      <c r="B378" s="197">
        <f t="shared" si="16"/>
        <v>368</v>
      </c>
      <c r="C378" s="30" t="s">
        <v>202</v>
      </c>
      <c r="D378" s="30" t="s">
        <v>225</v>
      </c>
      <c r="E378" s="234" t="s">
        <v>962</v>
      </c>
      <c r="F378" s="235" t="s">
        <v>1229</v>
      </c>
      <c r="G378" s="284">
        <f>IFERROR(VLOOKUP(E378,Assign!$C$2:$J$142,8,FALSE),)</f>
        <v>0</v>
      </c>
      <c r="H378" s="361" t="s">
        <v>5421</v>
      </c>
      <c r="I378" s="363">
        <v>1</v>
      </c>
      <c r="J378" s="364" t="s">
        <v>208</v>
      </c>
      <c r="K378" s="364" t="s">
        <v>385</v>
      </c>
      <c r="L378" s="365" t="s">
        <v>542</v>
      </c>
      <c r="M378" s="362" t="s">
        <v>2895</v>
      </c>
      <c r="N378" s="421" t="s">
        <v>3386</v>
      </c>
      <c r="O378" s="269">
        <v>9.57</v>
      </c>
      <c r="P378" s="269">
        <v>50.17</v>
      </c>
      <c r="Q378" s="426"/>
      <c r="R378" s="418" t="s">
        <v>962</v>
      </c>
      <c r="S378" s="427" t="s">
        <v>613</v>
      </c>
      <c r="T378" s="357">
        <v>1</v>
      </c>
      <c r="U378" s="357" t="s">
        <v>204</v>
      </c>
      <c r="V378" s="367">
        <v>840000000</v>
      </c>
      <c r="W378" s="368">
        <v>840000000</v>
      </c>
      <c r="X378" s="357"/>
      <c r="Y378" s="357"/>
      <c r="Z378" s="400"/>
      <c r="AA378" s="369"/>
      <c r="AB378" s="370"/>
      <c r="AC378" s="404"/>
      <c r="AD378" s="270"/>
      <c r="AE378" s="156"/>
      <c r="AF378" s="156"/>
      <c r="AG378" s="357"/>
      <c r="AH378" s="357"/>
      <c r="AI378" s="357"/>
      <c r="AJ378" s="156"/>
      <c r="AK378" s="156"/>
      <c r="AL378" s="375"/>
      <c r="AM378" s="405"/>
      <c r="AN378" s="273"/>
      <c r="AO378" s="405"/>
      <c r="AP378" s="273"/>
      <c r="AQ378" s="273"/>
      <c r="AR378" s="273"/>
      <c r="AS378" s="273"/>
      <c r="AT378" s="273"/>
      <c r="AU378" s="273"/>
      <c r="AV378" s="322">
        <f t="shared" si="17"/>
        <v>0</v>
      </c>
      <c r="AW378" s="402"/>
      <c r="AX378" s="376"/>
      <c r="AY378" s="373"/>
      <c r="AZ378" s="375"/>
      <c r="BA378" s="375"/>
      <c r="BB378" s="375"/>
      <c r="BC378" s="375"/>
      <c r="BD378" s="353">
        <f t="shared" si="18"/>
        <v>0</v>
      </c>
      <c r="BE378" s="432" t="s">
        <v>355</v>
      </c>
      <c r="BF378" s="407" t="s">
        <v>424</v>
      </c>
      <c r="BG378" s="168"/>
      <c r="BH378" s="274"/>
      <c r="BI378" s="168"/>
      <c r="BJ378" s="274"/>
      <c r="BK378" s="168"/>
      <c r="BL378" s="275"/>
      <c r="BM378" s="276"/>
      <c r="BN378" s="275"/>
      <c r="BO378" s="276"/>
      <c r="BP378" s="277"/>
      <c r="BQ378" s="156"/>
      <c r="BR378" s="274"/>
      <c r="BS378" s="270"/>
      <c r="BT378" s="270"/>
      <c r="BU378" s="274"/>
      <c r="BV378" s="274"/>
      <c r="BW378" s="278"/>
      <c r="BX378" s="278"/>
      <c r="BY378" s="278"/>
      <c r="BZ378" s="351"/>
    </row>
    <row r="379" spans="1:78" s="90" customFormat="1" ht="19.5" hidden="1" customHeight="1">
      <c r="A379" s="137"/>
      <c r="B379" s="197">
        <f t="shared" si="16"/>
        <v>369</v>
      </c>
      <c r="C379" s="30" t="s">
        <v>202</v>
      </c>
      <c r="D379" s="30" t="s">
        <v>225</v>
      </c>
      <c r="E379" s="234" t="s">
        <v>963</v>
      </c>
      <c r="F379" s="235" t="s">
        <v>1276</v>
      </c>
      <c r="G379" s="284" t="str">
        <f>IFERROR(VLOOKUP(E379,Assign!$C$2:$J$142,8,FALSE),)</f>
        <v>문선영</v>
      </c>
      <c r="H379" s="361" t="s">
        <v>4320</v>
      </c>
      <c r="I379" s="363">
        <v>1</v>
      </c>
      <c r="J379" s="364" t="s">
        <v>209</v>
      </c>
      <c r="K379" s="364" t="s">
        <v>319</v>
      </c>
      <c r="L379" s="365" t="s">
        <v>1885</v>
      </c>
      <c r="M379" s="362" t="s">
        <v>1886</v>
      </c>
      <c r="N379" s="421" t="s">
        <v>207</v>
      </c>
      <c r="O379" s="269">
        <v>51.561999999999998</v>
      </c>
      <c r="P379" s="269">
        <v>123.72</v>
      </c>
      <c r="Q379" s="426"/>
      <c r="R379" s="418" t="s">
        <v>3447</v>
      </c>
      <c r="S379" s="427" t="s">
        <v>613</v>
      </c>
      <c r="T379" s="357" t="s">
        <v>292</v>
      </c>
      <c r="U379" s="357" t="s">
        <v>3070</v>
      </c>
      <c r="V379" s="413" t="s">
        <v>3380</v>
      </c>
      <c r="W379" s="368">
        <v>845592000</v>
      </c>
      <c r="X379" s="357"/>
      <c r="Y379" s="357"/>
      <c r="Z379" s="400"/>
      <c r="AA379" s="369"/>
      <c r="AB379" s="370"/>
      <c r="AC379" s="404">
        <v>1</v>
      </c>
      <c r="AD379" s="270" t="s">
        <v>204</v>
      </c>
      <c r="AE379" s="156">
        <v>118800000</v>
      </c>
      <c r="AF379" s="156">
        <v>118800000</v>
      </c>
      <c r="AG379" s="357"/>
      <c r="AH379" s="357"/>
      <c r="AI379" s="357"/>
      <c r="AJ379" s="156"/>
      <c r="AK379" s="156"/>
      <c r="AL379" s="375"/>
      <c r="AM379" s="405"/>
      <c r="AN379" s="273"/>
      <c r="AO379" s="405"/>
      <c r="AP379" s="273"/>
      <c r="AQ379" s="273"/>
      <c r="AR379" s="273"/>
      <c r="AS379" s="273"/>
      <c r="AT379" s="273"/>
      <c r="AU379" s="273"/>
      <c r="AV379" s="322">
        <f t="shared" si="17"/>
        <v>0</v>
      </c>
      <c r="AW379" s="402" t="s">
        <v>3387</v>
      </c>
      <c r="AX379" s="376">
        <v>45765</v>
      </c>
      <c r="AY379" s="373" t="s">
        <v>3388</v>
      </c>
      <c r="AZ379" s="375"/>
      <c r="BA379" s="375">
        <v>1250000000</v>
      </c>
      <c r="BB379" s="375"/>
      <c r="BC379" s="375"/>
      <c r="BD379" s="353">
        <f t="shared" si="18"/>
        <v>1250000000</v>
      </c>
      <c r="BE379" s="432" t="s">
        <v>355</v>
      </c>
      <c r="BF379" s="407" t="s">
        <v>495</v>
      </c>
      <c r="BG379" s="168"/>
      <c r="BH379" s="274"/>
      <c r="BI379" s="168"/>
      <c r="BJ379" s="274"/>
      <c r="BK379" s="168"/>
      <c r="BL379" s="275"/>
      <c r="BM379" s="276"/>
      <c r="BN379" s="275"/>
      <c r="BO379" s="276"/>
      <c r="BP379" s="277"/>
      <c r="BQ379" s="156"/>
      <c r="BR379" s="274"/>
      <c r="BS379" s="270"/>
      <c r="BT379" s="270"/>
      <c r="BU379" s="274"/>
      <c r="BV379" s="274"/>
      <c r="BW379" s="278"/>
      <c r="BX379" s="278"/>
      <c r="BY379" s="278"/>
      <c r="BZ379" s="351"/>
    </row>
    <row r="380" spans="1:78" s="90" customFormat="1" ht="19.5" hidden="1" customHeight="1">
      <c r="A380" s="137"/>
      <c r="B380" s="197">
        <f t="shared" si="16"/>
        <v>370</v>
      </c>
      <c r="C380" s="30" t="s">
        <v>202</v>
      </c>
      <c r="D380" s="30" t="s">
        <v>225</v>
      </c>
      <c r="E380" s="234" t="s">
        <v>964</v>
      </c>
      <c r="F380" s="235" t="s">
        <v>1225</v>
      </c>
      <c r="G380" s="284" t="str">
        <f>IFERROR(VLOOKUP(E380,Assign!$C$2:$J$142,8,FALSE),)</f>
        <v>문선영</v>
      </c>
      <c r="H380" s="361" t="s">
        <v>5145</v>
      </c>
      <c r="I380" s="363">
        <v>1</v>
      </c>
      <c r="J380" s="364" t="s">
        <v>213</v>
      </c>
      <c r="K380" s="364" t="s">
        <v>298</v>
      </c>
      <c r="L380" s="365" t="s">
        <v>425</v>
      </c>
      <c r="M380" s="362" t="s">
        <v>3159</v>
      </c>
      <c r="N380" s="421" t="s">
        <v>606</v>
      </c>
      <c r="O380" s="269">
        <v>248</v>
      </c>
      <c r="P380" s="269">
        <v>368.86</v>
      </c>
      <c r="Q380" s="426"/>
      <c r="R380" s="418" t="s">
        <v>964</v>
      </c>
      <c r="S380" s="427" t="s">
        <v>613</v>
      </c>
      <c r="T380" s="357">
        <v>1</v>
      </c>
      <c r="U380" s="357" t="s">
        <v>204</v>
      </c>
      <c r="V380" s="367">
        <v>697200000</v>
      </c>
      <c r="W380" s="368">
        <v>697200000</v>
      </c>
      <c r="X380" s="357"/>
      <c r="Y380" s="357"/>
      <c r="Z380" s="400"/>
      <c r="AA380" s="369"/>
      <c r="AB380" s="370"/>
      <c r="AC380" s="404"/>
      <c r="AD380" s="270"/>
      <c r="AE380" s="156"/>
      <c r="AF380" s="156"/>
      <c r="AG380" s="357"/>
      <c r="AH380" s="357"/>
      <c r="AI380" s="357"/>
      <c r="AJ380" s="156"/>
      <c r="AK380" s="156"/>
      <c r="AL380" s="375"/>
      <c r="AM380" s="405"/>
      <c r="AN380" s="273"/>
      <c r="AO380" s="405"/>
      <c r="AP380" s="273"/>
      <c r="AQ380" s="273"/>
      <c r="AR380" s="273"/>
      <c r="AS380" s="273"/>
      <c r="AT380" s="273"/>
      <c r="AU380" s="273"/>
      <c r="AV380" s="322">
        <f t="shared" si="17"/>
        <v>0</v>
      </c>
      <c r="AW380" s="402"/>
      <c r="AX380" s="376"/>
      <c r="AY380" s="373"/>
      <c r="AZ380" s="375"/>
      <c r="BA380" s="375"/>
      <c r="BB380" s="375"/>
      <c r="BC380" s="375"/>
      <c r="BD380" s="353">
        <f t="shared" si="18"/>
        <v>0</v>
      </c>
      <c r="BE380" s="432" t="s">
        <v>355</v>
      </c>
      <c r="BF380" s="407" t="s">
        <v>505</v>
      </c>
      <c r="BG380" s="168"/>
      <c r="BH380" s="274"/>
      <c r="BI380" s="168"/>
      <c r="BJ380" s="274"/>
      <c r="BK380" s="168"/>
      <c r="BL380" s="275"/>
      <c r="BM380" s="276"/>
      <c r="BN380" s="275"/>
      <c r="BO380" s="276"/>
      <c r="BP380" s="277"/>
      <c r="BQ380" s="156"/>
      <c r="BR380" s="274"/>
      <c r="BS380" s="270"/>
      <c r="BT380" s="270"/>
      <c r="BU380" s="274"/>
      <c r="BV380" s="274"/>
      <c r="BW380" s="278"/>
      <c r="BX380" s="278"/>
      <c r="BY380" s="278"/>
      <c r="BZ380" s="351"/>
    </row>
    <row r="381" spans="1:78" s="90" customFormat="1" ht="19.5" hidden="1" customHeight="1">
      <c r="A381" s="137"/>
      <c r="B381" s="197">
        <f t="shared" si="16"/>
        <v>371</v>
      </c>
      <c r="C381" s="30" t="s">
        <v>202</v>
      </c>
      <c r="D381" s="30" t="s">
        <v>225</v>
      </c>
      <c r="E381" s="234" t="s">
        <v>965</v>
      </c>
      <c r="F381" s="235" t="s">
        <v>1224</v>
      </c>
      <c r="G381" s="284" t="str">
        <f>IFERROR(VLOOKUP(E381,Assign!$C$2:$J$142,8,FALSE),)</f>
        <v>문선영</v>
      </c>
      <c r="H381" s="361" t="s">
        <v>4576</v>
      </c>
      <c r="I381" s="363">
        <v>1</v>
      </c>
      <c r="J381" s="364" t="s">
        <v>217</v>
      </c>
      <c r="K381" s="364" t="s">
        <v>336</v>
      </c>
      <c r="L381" s="365" t="s">
        <v>2113</v>
      </c>
      <c r="M381" s="362" t="s">
        <v>3122</v>
      </c>
      <c r="N381" s="421" t="s">
        <v>620</v>
      </c>
      <c r="O381" s="269">
        <v>452.8</v>
      </c>
      <c r="P381" s="269">
        <v>1557.9749999999999</v>
      </c>
      <c r="Q381" s="426">
        <v>1</v>
      </c>
      <c r="R381" s="418" t="s">
        <v>965</v>
      </c>
      <c r="S381" s="427" t="s">
        <v>613</v>
      </c>
      <c r="T381" s="357">
        <v>1</v>
      </c>
      <c r="U381" s="357" t="s">
        <v>204</v>
      </c>
      <c r="V381" s="367">
        <v>826800000</v>
      </c>
      <c r="W381" s="368">
        <v>826800000</v>
      </c>
      <c r="X381" s="357"/>
      <c r="Y381" s="357"/>
      <c r="Z381" s="400"/>
      <c r="AA381" s="369"/>
      <c r="AB381" s="370"/>
      <c r="AC381" s="404"/>
      <c r="AD381" s="270"/>
      <c r="AE381" s="156"/>
      <c r="AF381" s="156"/>
      <c r="AG381" s="357"/>
      <c r="AH381" s="357"/>
      <c r="AI381" s="357"/>
      <c r="AJ381" s="156"/>
      <c r="AK381" s="156"/>
      <c r="AL381" s="375"/>
      <c r="AM381" s="405"/>
      <c r="AN381" s="273"/>
      <c r="AO381" s="405"/>
      <c r="AP381" s="273"/>
      <c r="AQ381" s="273"/>
      <c r="AR381" s="273"/>
      <c r="AS381" s="273"/>
      <c r="AT381" s="273"/>
      <c r="AU381" s="273"/>
      <c r="AV381" s="322">
        <f t="shared" si="17"/>
        <v>0</v>
      </c>
      <c r="AW381" s="402"/>
      <c r="AX381" s="376"/>
      <c r="AY381" s="373"/>
      <c r="AZ381" s="375"/>
      <c r="BA381" s="375"/>
      <c r="BB381" s="375"/>
      <c r="BC381" s="375"/>
      <c r="BD381" s="353">
        <f t="shared" si="18"/>
        <v>0</v>
      </c>
      <c r="BE381" s="432" t="s">
        <v>355</v>
      </c>
      <c r="BF381" s="407" t="s">
        <v>518</v>
      </c>
      <c r="BG381" s="168"/>
      <c r="BH381" s="274"/>
      <c r="BI381" s="168"/>
      <c r="BJ381" s="274"/>
      <c r="BK381" s="168"/>
      <c r="BL381" s="275"/>
      <c r="BM381" s="276"/>
      <c r="BN381" s="275"/>
      <c r="BO381" s="276"/>
      <c r="BP381" s="277"/>
      <c r="BQ381" s="156"/>
      <c r="BR381" s="274"/>
      <c r="BS381" s="270"/>
      <c r="BT381" s="270"/>
      <c r="BU381" s="274"/>
      <c r="BV381" s="274"/>
      <c r="BW381" s="278"/>
      <c r="BX381" s="278"/>
      <c r="BY381" s="278"/>
      <c r="BZ381" s="351"/>
    </row>
    <row r="382" spans="1:78" s="90" customFormat="1" ht="19.5" hidden="1" customHeight="1">
      <c r="A382" s="137"/>
      <c r="B382" s="197">
        <f t="shared" si="16"/>
        <v>372</v>
      </c>
      <c r="C382" s="30" t="s">
        <v>202</v>
      </c>
      <c r="D382" s="30" t="s">
        <v>225</v>
      </c>
      <c r="E382" s="234" t="s">
        <v>966</v>
      </c>
      <c r="F382" s="235" t="s">
        <v>1247</v>
      </c>
      <c r="G382" s="284">
        <f>IFERROR(VLOOKUP(E382,Assign!$C$2:$J$142,8,FALSE),)</f>
        <v>0</v>
      </c>
      <c r="H382" s="361" t="s">
        <v>4215</v>
      </c>
      <c r="I382" s="363">
        <v>1</v>
      </c>
      <c r="J382" s="364" t="s">
        <v>208</v>
      </c>
      <c r="K382" s="364" t="s">
        <v>234</v>
      </c>
      <c r="L382" s="365" t="s">
        <v>235</v>
      </c>
      <c r="M382" s="362" t="s">
        <v>1793</v>
      </c>
      <c r="N382" s="421" t="s">
        <v>3386</v>
      </c>
      <c r="O382" s="269">
        <v>11.7805</v>
      </c>
      <c r="P382" s="269">
        <v>49.2</v>
      </c>
      <c r="Q382" s="426"/>
      <c r="R382" s="418" t="s">
        <v>966</v>
      </c>
      <c r="S382" s="427" t="s">
        <v>613</v>
      </c>
      <c r="T382" s="357">
        <v>1</v>
      </c>
      <c r="U382" s="357" t="s">
        <v>204</v>
      </c>
      <c r="V382" s="367">
        <v>768000000</v>
      </c>
      <c r="W382" s="368">
        <v>768000000</v>
      </c>
      <c r="X382" s="357"/>
      <c r="Y382" s="357"/>
      <c r="Z382" s="400"/>
      <c r="AA382" s="369"/>
      <c r="AB382" s="370"/>
      <c r="AC382" s="404"/>
      <c r="AD382" s="270"/>
      <c r="AE382" s="156"/>
      <c r="AF382" s="156"/>
      <c r="AG382" s="357"/>
      <c r="AH382" s="357"/>
      <c r="AI382" s="357"/>
      <c r="AJ382" s="156"/>
      <c r="AK382" s="156"/>
      <c r="AL382" s="375"/>
      <c r="AM382" s="405"/>
      <c r="AN382" s="273"/>
      <c r="AO382" s="405"/>
      <c r="AP382" s="273"/>
      <c r="AQ382" s="273"/>
      <c r="AR382" s="273"/>
      <c r="AS382" s="273"/>
      <c r="AT382" s="273"/>
      <c r="AU382" s="273"/>
      <c r="AV382" s="322">
        <f t="shared" si="17"/>
        <v>0</v>
      </c>
      <c r="AW382" s="402"/>
      <c r="AX382" s="376"/>
      <c r="AY382" s="373"/>
      <c r="AZ382" s="375"/>
      <c r="BA382" s="375"/>
      <c r="BB382" s="375"/>
      <c r="BC382" s="375"/>
      <c r="BD382" s="353">
        <f t="shared" si="18"/>
        <v>0</v>
      </c>
      <c r="BE382" s="432" t="s">
        <v>355</v>
      </c>
      <c r="BF382" s="407" t="s">
        <v>504</v>
      </c>
      <c r="BG382" s="168"/>
      <c r="BH382" s="274"/>
      <c r="BI382" s="168"/>
      <c r="BJ382" s="274"/>
      <c r="BK382" s="168"/>
      <c r="BL382" s="275"/>
      <c r="BM382" s="276"/>
      <c r="BN382" s="275"/>
      <c r="BO382" s="276"/>
      <c r="BP382" s="277"/>
      <c r="BQ382" s="156"/>
      <c r="BR382" s="274"/>
      <c r="BS382" s="270"/>
      <c r="BT382" s="270"/>
      <c r="BU382" s="274"/>
      <c r="BV382" s="274"/>
      <c r="BW382" s="278"/>
      <c r="BX382" s="278"/>
      <c r="BY382" s="278"/>
      <c r="BZ382" s="351"/>
    </row>
    <row r="383" spans="1:78" s="90" customFormat="1" ht="19.5" hidden="1" customHeight="1">
      <c r="A383" s="137"/>
      <c r="B383" s="197">
        <f t="shared" si="16"/>
        <v>373</v>
      </c>
      <c r="C383" s="30" t="s">
        <v>202</v>
      </c>
      <c r="D383" s="30" t="s">
        <v>225</v>
      </c>
      <c r="E383" s="234" t="s">
        <v>967</v>
      </c>
      <c r="F383" s="235" t="s">
        <v>1225</v>
      </c>
      <c r="G383" s="284">
        <f>IFERROR(VLOOKUP(E383,Assign!$C$2:$J$142,8,FALSE),)</f>
        <v>0</v>
      </c>
      <c r="H383" s="361" t="s">
        <v>4417</v>
      </c>
      <c r="I383" s="363">
        <v>1</v>
      </c>
      <c r="J383" s="364" t="s">
        <v>209</v>
      </c>
      <c r="K383" s="364" t="s">
        <v>248</v>
      </c>
      <c r="L383" s="365" t="s">
        <v>360</v>
      </c>
      <c r="M383" s="362" t="s">
        <v>1973</v>
      </c>
      <c r="N383" s="421" t="s">
        <v>546</v>
      </c>
      <c r="O383" s="269">
        <v>17.850000000000001</v>
      </c>
      <c r="P383" s="269">
        <v>89.1</v>
      </c>
      <c r="Q383" s="426"/>
      <c r="R383" s="418" t="s">
        <v>967</v>
      </c>
      <c r="S383" s="427" t="s">
        <v>613</v>
      </c>
      <c r="T383" s="357" t="s">
        <v>229</v>
      </c>
      <c r="U383" s="357" t="s">
        <v>204</v>
      </c>
      <c r="V383" s="367">
        <v>612000000</v>
      </c>
      <c r="W383" s="368">
        <v>612000000</v>
      </c>
      <c r="X383" s="357"/>
      <c r="Y383" s="357"/>
      <c r="Z383" s="400"/>
      <c r="AA383" s="369"/>
      <c r="AB383" s="370"/>
      <c r="AC383" s="404"/>
      <c r="AD383" s="270"/>
      <c r="AE383" s="156"/>
      <c r="AF383" s="156"/>
      <c r="AG383" s="357"/>
      <c r="AH383" s="357"/>
      <c r="AI383" s="357"/>
      <c r="AJ383" s="156"/>
      <c r="AK383" s="156"/>
      <c r="AL383" s="375"/>
      <c r="AM383" s="405"/>
      <c r="AN383" s="273"/>
      <c r="AO383" s="405"/>
      <c r="AP383" s="273"/>
      <c r="AQ383" s="273"/>
      <c r="AR383" s="273"/>
      <c r="AS383" s="273"/>
      <c r="AT383" s="273"/>
      <c r="AU383" s="273"/>
      <c r="AV383" s="322">
        <f t="shared" si="17"/>
        <v>0</v>
      </c>
      <c r="AW383" s="402"/>
      <c r="AX383" s="376"/>
      <c r="AY383" s="373"/>
      <c r="AZ383" s="375"/>
      <c r="BA383" s="375"/>
      <c r="BB383" s="375"/>
      <c r="BC383" s="375"/>
      <c r="BD383" s="353">
        <f t="shared" si="18"/>
        <v>0</v>
      </c>
      <c r="BE383" s="432" t="s">
        <v>335</v>
      </c>
      <c r="BF383" s="407" t="s">
        <v>511</v>
      </c>
      <c r="BG383" s="168" t="s">
        <v>3398</v>
      </c>
      <c r="BH383" s="274">
        <v>45680</v>
      </c>
      <c r="BI383" s="168" t="s">
        <v>3217</v>
      </c>
      <c r="BJ383" s="274">
        <v>45768</v>
      </c>
      <c r="BK383" s="168">
        <v>90000000</v>
      </c>
      <c r="BL383" s="275"/>
      <c r="BM383" s="276"/>
      <c r="BN383" s="275"/>
      <c r="BO383" s="276"/>
      <c r="BP383" s="277"/>
      <c r="BQ383" s="156"/>
      <c r="BR383" s="274"/>
      <c r="BS383" s="270"/>
      <c r="BT383" s="270"/>
      <c r="BU383" s="274"/>
      <c r="BV383" s="274"/>
      <c r="BW383" s="278"/>
      <c r="BX383" s="278"/>
      <c r="BY383" s="278"/>
      <c r="BZ383" s="351"/>
    </row>
    <row r="384" spans="1:78" s="90" customFormat="1" ht="19.5" hidden="1" customHeight="1">
      <c r="A384" s="137"/>
      <c r="B384" s="197">
        <f t="shared" si="16"/>
        <v>374</v>
      </c>
      <c r="C384" s="30" t="s">
        <v>202</v>
      </c>
      <c r="D384" s="30" t="s">
        <v>225</v>
      </c>
      <c r="E384" s="234" t="s">
        <v>968</v>
      </c>
      <c r="F384" s="235" t="s">
        <v>1252</v>
      </c>
      <c r="G384" s="284">
        <f>IFERROR(VLOOKUP(E384,Assign!$C$2:$J$142,8,FALSE),)</f>
        <v>0</v>
      </c>
      <c r="H384" s="361" t="s">
        <v>4292</v>
      </c>
      <c r="I384" s="363">
        <v>1</v>
      </c>
      <c r="J384" s="364" t="s">
        <v>209</v>
      </c>
      <c r="K384" s="364" t="s">
        <v>291</v>
      </c>
      <c r="L384" s="365" t="s">
        <v>293</v>
      </c>
      <c r="M384" s="362" t="s">
        <v>1860</v>
      </c>
      <c r="N384" s="421" t="s">
        <v>207</v>
      </c>
      <c r="O384" s="269">
        <v>24.46</v>
      </c>
      <c r="P384" s="269">
        <v>59.94</v>
      </c>
      <c r="Q384" s="426"/>
      <c r="R384" s="418" t="s">
        <v>3424</v>
      </c>
      <c r="S384" s="427" t="s">
        <v>613</v>
      </c>
      <c r="T384" s="357" t="s">
        <v>229</v>
      </c>
      <c r="U384" s="357" t="s">
        <v>204</v>
      </c>
      <c r="V384" s="367">
        <v>480000000</v>
      </c>
      <c r="W384" s="368">
        <v>480000000</v>
      </c>
      <c r="X384" s="357"/>
      <c r="Y384" s="357"/>
      <c r="Z384" s="400"/>
      <c r="AA384" s="369"/>
      <c r="AB384" s="370"/>
      <c r="AC384" s="404"/>
      <c r="AD384" s="270"/>
      <c r="AE384" s="156"/>
      <c r="AF384" s="156"/>
      <c r="AG384" s="357"/>
      <c r="AH384" s="357"/>
      <c r="AI384" s="357"/>
      <c r="AJ384" s="156"/>
      <c r="AK384" s="156"/>
      <c r="AL384" s="375"/>
      <c r="AM384" s="405"/>
      <c r="AN384" s="273"/>
      <c r="AO384" s="405"/>
      <c r="AP384" s="273"/>
      <c r="AQ384" s="273"/>
      <c r="AR384" s="273"/>
      <c r="AS384" s="273"/>
      <c r="AT384" s="273"/>
      <c r="AU384" s="273"/>
      <c r="AV384" s="322">
        <f t="shared" si="17"/>
        <v>0</v>
      </c>
      <c r="AW384" s="402" t="s">
        <v>3387</v>
      </c>
      <c r="AX384" s="376">
        <v>45765</v>
      </c>
      <c r="AY384" s="373" t="s">
        <v>3388</v>
      </c>
      <c r="AZ384" s="375"/>
      <c r="BA384" s="375">
        <v>445000000</v>
      </c>
      <c r="BB384" s="375"/>
      <c r="BC384" s="375"/>
      <c r="BD384" s="353">
        <f t="shared" si="18"/>
        <v>445000000</v>
      </c>
      <c r="BE384" s="432" t="s">
        <v>355</v>
      </c>
      <c r="BF384" s="407" t="s">
        <v>495</v>
      </c>
      <c r="BG384" s="168"/>
      <c r="BH384" s="274"/>
      <c r="BI384" s="168"/>
      <c r="BJ384" s="274"/>
      <c r="BK384" s="168"/>
      <c r="BL384" s="275"/>
      <c r="BM384" s="276"/>
      <c r="BN384" s="275"/>
      <c r="BO384" s="276"/>
      <c r="BP384" s="277"/>
      <c r="BQ384" s="156"/>
      <c r="BR384" s="274"/>
      <c r="BS384" s="270"/>
      <c r="BT384" s="270"/>
      <c r="BU384" s="274"/>
      <c r="BV384" s="274"/>
      <c r="BW384" s="278"/>
      <c r="BX384" s="278"/>
      <c r="BY384" s="278"/>
      <c r="BZ384" s="351"/>
    </row>
    <row r="385" spans="1:78" s="90" customFormat="1" ht="19.5" hidden="1" customHeight="1">
      <c r="A385" s="137"/>
      <c r="B385" s="197">
        <f t="shared" si="16"/>
        <v>375</v>
      </c>
      <c r="C385" s="30" t="s">
        <v>202</v>
      </c>
      <c r="D385" s="30" t="s">
        <v>225</v>
      </c>
      <c r="E385" s="234" t="s">
        <v>968</v>
      </c>
      <c r="F385" s="235" t="s">
        <v>1252</v>
      </c>
      <c r="G385" s="284">
        <f>IFERROR(VLOOKUP(E385,Assign!$C$2:$J$142,8,FALSE),)</f>
        <v>0</v>
      </c>
      <c r="H385" s="361" t="s">
        <v>4294</v>
      </c>
      <c r="I385" s="363">
        <v>2</v>
      </c>
      <c r="J385" s="364" t="s">
        <v>209</v>
      </c>
      <c r="K385" s="364" t="s">
        <v>282</v>
      </c>
      <c r="L385" s="365" t="s">
        <v>283</v>
      </c>
      <c r="M385" s="362" t="s">
        <v>1861</v>
      </c>
      <c r="N385" s="421" t="s">
        <v>207</v>
      </c>
      <c r="O385" s="269">
        <v>13.91</v>
      </c>
      <c r="P385" s="269">
        <v>105.29</v>
      </c>
      <c r="Q385" s="426"/>
      <c r="R385" s="418" t="s">
        <v>3446</v>
      </c>
      <c r="S385" s="427" t="s">
        <v>613</v>
      </c>
      <c r="T385" s="357">
        <v>2</v>
      </c>
      <c r="U385" s="357" t="s">
        <v>204</v>
      </c>
      <c r="V385" s="367">
        <v>228000000</v>
      </c>
      <c r="W385" s="368">
        <v>228000000</v>
      </c>
      <c r="X385" s="357"/>
      <c r="Y385" s="357"/>
      <c r="Z385" s="400"/>
      <c r="AA385" s="369"/>
      <c r="AB385" s="370"/>
      <c r="AC385" s="404">
        <v>1</v>
      </c>
      <c r="AD385" s="270" t="s">
        <v>204</v>
      </c>
      <c r="AE385" s="156">
        <v>276000000</v>
      </c>
      <c r="AF385" s="156">
        <v>276000000</v>
      </c>
      <c r="AG385" s="357"/>
      <c r="AH385" s="357"/>
      <c r="AI385" s="357"/>
      <c r="AJ385" s="156"/>
      <c r="AK385" s="156"/>
      <c r="AL385" s="375"/>
      <c r="AM385" s="405"/>
      <c r="AN385" s="273"/>
      <c r="AO385" s="405"/>
      <c r="AP385" s="273"/>
      <c r="AQ385" s="273"/>
      <c r="AR385" s="273"/>
      <c r="AS385" s="273"/>
      <c r="AT385" s="273"/>
      <c r="AU385" s="273"/>
      <c r="AV385" s="322">
        <f t="shared" si="17"/>
        <v>0</v>
      </c>
      <c r="AW385" s="402"/>
      <c r="AX385" s="376"/>
      <c r="AY385" s="373"/>
      <c r="AZ385" s="375"/>
      <c r="BA385" s="375"/>
      <c r="BB385" s="375"/>
      <c r="BC385" s="375"/>
      <c r="BD385" s="353">
        <f t="shared" si="18"/>
        <v>0</v>
      </c>
      <c r="BE385" s="432" t="s">
        <v>355</v>
      </c>
      <c r="BF385" s="407" t="s">
        <v>510</v>
      </c>
      <c r="BG385" s="168"/>
      <c r="BH385" s="274"/>
      <c r="BI385" s="168"/>
      <c r="BJ385" s="274"/>
      <c r="BK385" s="168"/>
      <c r="BL385" s="275"/>
      <c r="BM385" s="276"/>
      <c r="BN385" s="275"/>
      <c r="BO385" s="276"/>
      <c r="BP385" s="277"/>
      <c r="BQ385" s="156"/>
      <c r="BR385" s="274"/>
      <c r="BS385" s="270"/>
      <c r="BT385" s="270"/>
      <c r="BU385" s="274"/>
      <c r="BV385" s="274"/>
      <c r="BW385" s="278"/>
      <c r="BX385" s="278"/>
      <c r="BY385" s="278"/>
      <c r="BZ385" s="351"/>
    </row>
    <row r="386" spans="1:78" s="90" customFormat="1" ht="19.5" hidden="1" customHeight="1">
      <c r="A386" s="137"/>
      <c r="B386" s="197">
        <f t="shared" si="16"/>
        <v>376</v>
      </c>
      <c r="C386" s="30" t="s">
        <v>202</v>
      </c>
      <c r="D386" s="30" t="s">
        <v>225</v>
      </c>
      <c r="E386" s="234" t="s">
        <v>969</v>
      </c>
      <c r="F386" s="235" t="s">
        <v>1229</v>
      </c>
      <c r="G386" s="284">
        <f>IFERROR(VLOOKUP(E386,Assign!$C$2:$J$142,8,FALSE),)</f>
        <v>0</v>
      </c>
      <c r="H386" s="361" t="s">
        <v>4248</v>
      </c>
      <c r="I386" s="363">
        <v>1</v>
      </c>
      <c r="J386" s="364" t="s">
        <v>208</v>
      </c>
      <c r="K386" s="364" t="s">
        <v>239</v>
      </c>
      <c r="L386" s="365" t="s">
        <v>240</v>
      </c>
      <c r="M386" s="362" t="s">
        <v>1818</v>
      </c>
      <c r="N386" s="421" t="s">
        <v>207</v>
      </c>
      <c r="O386" s="269">
        <v>59.38</v>
      </c>
      <c r="P386" s="269">
        <v>84.81</v>
      </c>
      <c r="Q386" s="426"/>
      <c r="R386" s="418" t="s">
        <v>969</v>
      </c>
      <c r="S386" s="427" t="s">
        <v>613</v>
      </c>
      <c r="T386" s="357">
        <v>1</v>
      </c>
      <c r="U386" s="357" t="s">
        <v>204</v>
      </c>
      <c r="V386" s="367">
        <v>714000000</v>
      </c>
      <c r="W386" s="368">
        <v>714000000</v>
      </c>
      <c r="X386" s="357"/>
      <c r="Y386" s="357"/>
      <c r="Z386" s="400"/>
      <c r="AA386" s="369"/>
      <c r="AB386" s="370"/>
      <c r="AC386" s="404"/>
      <c r="AD386" s="270"/>
      <c r="AE386" s="156"/>
      <c r="AF386" s="156"/>
      <c r="AG386" s="357"/>
      <c r="AH386" s="357"/>
      <c r="AI386" s="357"/>
      <c r="AJ386" s="156"/>
      <c r="AK386" s="156"/>
      <c r="AL386" s="375"/>
      <c r="AM386" s="405"/>
      <c r="AN386" s="273"/>
      <c r="AO386" s="405"/>
      <c r="AP386" s="273"/>
      <c r="AQ386" s="273"/>
      <c r="AR386" s="273"/>
      <c r="AS386" s="273"/>
      <c r="AT386" s="273"/>
      <c r="AU386" s="273"/>
      <c r="AV386" s="322">
        <f t="shared" si="17"/>
        <v>0</v>
      </c>
      <c r="AW386" s="402" t="s">
        <v>3387</v>
      </c>
      <c r="AX386" s="376">
        <v>45765</v>
      </c>
      <c r="AY386" s="373" t="s">
        <v>3388</v>
      </c>
      <c r="AZ386" s="375"/>
      <c r="BA386" s="375">
        <v>815000000</v>
      </c>
      <c r="BB386" s="375"/>
      <c r="BC386" s="375"/>
      <c r="BD386" s="353">
        <f t="shared" si="18"/>
        <v>815000000</v>
      </c>
      <c r="BE386" s="432" t="s">
        <v>355</v>
      </c>
      <c r="BF386" s="407" t="s">
        <v>424</v>
      </c>
      <c r="BG386" s="168"/>
      <c r="BH386" s="274"/>
      <c r="BI386" s="168"/>
      <c r="BJ386" s="274"/>
      <c r="BK386" s="168"/>
      <c r="BL386" s="275"/>
      <c r="BM386" s="276"/>
      <c r="BN386" s="275"/>
      <c r="BO386" s="276"/>
      <c r="BP386" s="277"/>
      <c r="BQ386" s="156"/>
      <c r="BR386" s="274"/>
      <c r="BS386" s="270"/>
      <c r="BT386" s="270"/>
      <c r="BU386" s="274"/>
      <c r="BV386" s="274"/>
      <c r="BW386" s="278"/>
      <c r="BX386" s="278"/>
      <c r="BY386" s="278"/>
      <c r="BZ386" s="351"/>
    </row>
    <row r="387" spans="1:78" s="90" customFormat="1" ht="19.5" hidden="1" customHeight="1">
      <c r="A387" s="137"/>
      <c r="B387" s="197">
        <f t="shared" si="16"/>
        <v>377</v>
      </c>
      <c r="C387" s="30" t="s">
        <v>202</v>
      </c>
      <c r="D387" s="30" t="s">
        <v>225</v>
      </c>
      <c r="E387" s="234" t="s">
        <v>970</v>
      </c>
      <c r="F387" s="235" t="s">
        <v>1350</v>
      </c>
      <c r="G387" s="284">
        <f>IFERROR(VLOOKUP(E387,Assign!$C$2:$J$142,8,FALSE),)</f>
        <v>0</v>
      </c>
      <c r="H387" s="361" t="s">
        <v>5265</v>
      </c>
      <c r="I387" s="363">
        <v>1</v>
      </c>
      <c r="J387" s="364" t="s">
        <v>209</v>
      </c>
      <c r="K387" s="364" t="s">
        <v>226</v>
      </c>
      <c r="L387" s="365" t="s">
        <v>227</v>
      </c>
      <c r="M387" s="362" t="s">
        <v>3168</v>
      </c>
      <c r="N387" s="421" t="s">
        <v>3504</v>
      </c>
      <c r="O387" s="269">
        <v>18.100000000000001</v>
      </c>
      <c r="P387" s="269">
        <v>71.28</v>
      </c>
      <c r="Q387" s="426"/>
      <c r="R387" s="418" t="s">
        <v>3201</v>
      </c>
      <c r="S387" s="427" t="s">
        <v>617</v>
      </c>
      <c r="T387" s="357">
        <v>1</v>
      </c>
      <c r="U387" s="357" t="s">
        <v>204</v>
      </c>
      <c r="V387" s="367">
        <v>642000000</v>
      </c>
      <c r="W387" s="368">
        <v>642000000</v>
      </c>
      <c r="X387" s="357"/>
      <c r="Y387" s="357"/>
      <c r="Z387" s="400"/>
      <c r="AA387" s="369"/>
      <c r="AB387" s="370"/>
      <c r="AC387" s="404"/>
      <c r="AD387" s="270"/>
      <c r="AE387" s="156"/>
      <c r="AF387" s="156"/>
      <c r="AG387" s="357"/>
      <c r="AH387" s="357"/>
      <c r="AI387" s="357"/>
      <c r="AJ387" s="156"/>
      <c r="AK387" s="156"/>
      <c r="AL387" s="375"/>
      <c r="AM387" s="405"/>
      <c r="AN387" s="273"/>
      <c r="AO387" s="405"/>
      <c r="AP387" s="273"/>
      <c r="AQ387" s="273"/>
      <c r="AR387" s="273"/>
      <c r="AS387" s="273"/>
      <c r="AT387" s="273"/>
      <c r="AU387" s="273"/>
      <c r="AV387" s="322">
        <f t="shared" si="17"/>
        <v>0</v>
      </c>
      <c r="AW387" s="402"/>
      <c r="AX387" s="376"/>
      <c r="AY387" s="373"/>
      <c r="AZ387" s="375"/>
      <c r="BA387" s="375"/>
      <c r="BB387" s="375"/>
      <c r="BC387" s="375"/>
      <c r="BD387" s="353">
        <f t="shared" si="18"/>
        <v>0</v>
      </c>
      <c r="BE387" s="432" t="s">
        <v>355</v>
      </c>
      <c r="BF387" s="407" t="s">
        <v>495</v>
      </c>
      <c r="BG387" s="168"/>
      <c r="BH387" s="274"/>
      <c r="BI387" s="168"/>
      <c r="BJ387" s="274"/>
      <c r="BK387" s="168"/>
      <c r="BL387" s="275"/>
      <c r="BM387" s="276"/>
      <c r="BN387" s="275"/>
      <c r="BO387" s="276"/>
      <c r="BP387" s="277"/>
      <c r="BQ387" s="156"/>
      <c r="BR387" s="274"/>
      <c r="BS387" s="270"/>
      <c r="BT387" s="270"/>
      <c r="BU387" s="274"/>
      <c r="BV387" s="274"/>
      <c r="BW387" s="278"/>
      <c r="BX387" s="278"/>
      <c r="BY387" s="278"/>
      <c r="BZ387" s="351"/>
    </row>
    <row r="388" spans="1:78" s="90" customFormat="1" ht="19.5" hidden="1" customHeight="1">
      <c r="A388" s="137"/>
      <c r="B388" s="197">
        <f t="shared" si="16"/>
        <v>378</v>
      </c>
      <c r="C388" s="30" t="s">
        <v>202</v>
      </c>
      <c r="D388" s="30" t="s">
        <v>225</v>
      </c>
      <c r="E388" s="234" t="s">
        <v>971</v>
      </c>
      <c r="F388" s="235" t="s">
        <v>1352</v>
      </c>
      <c r="G388" s="284">
        <f>IFERROR(VLOOKUP(E388,Assign!$C$2:$J$142,8,FALSE),)</f>
        <v>0</v>
      </c>
      <c r="H388" s="361" t="s">
        <v>5140</v>
      </c>
      <c r="I388" s="363">
        <v>1</v>
      </c>
      <c r="J388" s="364" t="s">
        <v>212</v>
      </c>
      <c r="K388" s="364" t="s">
        <v>232</v>
      </c>
      <c r="L388" s="365" t="s">
        <v>293</v>
      </c>
      <c r="M388" s="362" t="s">
        <v>3158</v>
      </c>
      <c r="N388" s="421" t="s">
        <v>546</v>
      </c>
      <c r="O388" s="269">
        <v>86.97</v>
      </c>
      <c r="P388" s="269">
        <v>279.65999999999997</v>
      </c>
      <c r="Q388" s="426"/>
      <c r="R388" s="418" t="s">
        <v>971</v>
      </c>
      <c r="S388" s="427" t="s">
        <v>613</v>
      </c>
      <c r="T388" s="357">
        <v>1</v>
      </c>
      <c r="U388" s="357" t="s">
        <v>204</v>
      </c>
      <c r="V388" s="367">
        <v>708000000</v>
      </c>
      <c r="W388" s="368">
        <v>708000000</v>
      </c>
      <c r="X388" s="357"/>
      <c r="Y388" s="357"/>
      <c r="Z388" s="400"/>
      <c r="AA388" s="369"/>
      <c r="AB388" s="370"/>
      <c r="AC388" s="404"/>
      <c r="AD388" s="270"/>
      <c r="AE388" s="156"/>
      <c r="AF388" s="156"/>
      <c r="AG388" s="357"/>
      <c r="AH388" s="357"/>
      <c r="AI388" s="357"/>
      <c r="AJ388" s="156"/>
      <c r="AK388" s="156"/>
      <c r="AL388" s="375"/>
      <c r="AM388" s="405"/>
      <c r="AN388" s="273"/>
      <c r="AO388" s="405"/>
      <c r="AP388" s="273"/>
      <c r="AQ388" s="273"/>
      <c r="AR388" s="273"/>
      <c r="AS388" s="273"/>
      <c r="AT388" s="273"/>
      <c r="AU388" s="273"/>
      <c r="AV388" s="322">
        <f t="shared" si="17"/>
        <v>0</v>
      </c>
      <c r="AW388" s="402"/>
      <c r="AX388" s="376"/>
      <c r="AY388" s="373"/>
      <c r="AZ388" s="375"/>
      <c r="BA388" s="375"/>
      <c r="BB388" s="375"/>
      <c r="BC388" s="375"/>
      <c r="BD388" s="353">
        <f t="shared" si="18"/>
        <v>0</v>
      </c>
      <c r="BE388" s="432" t="s">
        <v>355</v>
      </c>
      <c r="BF388" s="407" t="s">
        <v>496</v>
      </c>
      <c r="BG388" s="168"/>
      <c r="BH388" s="274"/>
      <c r="BI388" s="168"/>
      <c r="BJ388" s="274"/>
      <c r="BK388" s="168"/>
      <c r="BL388" s="275"/>
      <c r="BM388" s="276"/>
      <c r="BN388" s="275"/>
      <c r="BO388" s="276"/>
      <c r="BP388" s="277"/>
      <c r="BQ388" s="156"/>
      <c r="BR388" s="274"/>
      <c r="BS388" s="270"/>
      <c r="BT388" s="270"/>
      <c r="BU388" s="274"/>
      <c r="BV388" s="274"/>
      <c r="BW388" s="278"/>
      <c r="BX388" s="278"/>
      <c r="BY388" s="278"/>
      <c r="BZ388" s="351"/>
    </row>
    <row r="389" spans="1:78" s="90" customFormat="1" ht="19.5" hidden="1" customHeight="1">
      <c r="A389" s="137"/>
      <c r="B389" s="197">
        <f t="shared" si="16"/>
        <v>379</v>
      </c>
      <c r="C389" s="30" t="s">
        <v>202</v>
      </c>
      <c r="D389" s="30" t="s">
        <v>225</v>
      </c>
      <c r="E389" s="234" t="s">
        <v>972</v>
      </c>
      <c r="F389" s="235" t="s">
        <v>1225</v>
      </c>
      <c r="G389" s="284">
        <f>IFERROR(VLOOKUP(E389,Assign!$C$2:$J$142,8,FALSE),)</f>
        <v>0</v>
      </c>
      <c r="H389" s="361" t="s">
        <v>4541</v>
      </c>
      <c r="I389" s="363">
        <v>1</v>
      </c>
      <c r="J389" s="364" t="s">
        <v>212</v>
      </c>
      <c r="K389" s="364" t="s">
        <v>309</v>
      </c>
      <c r="L389" s="365" t="s">
        <v>2081</v>
      </c>
      <c r="M389" s="362" t="s">
        <v>3119</v>
      </c>
      <c r="N389" s="421" t="s">
        <v>362</v>
      </c>
      <c r="O389" s="366" t="s">
        <v>265</v>
      </c>
      <c r="P389" s="269">
        <v>148.80000000000001</v>
      </c>
      <c r="Q389" s="426"/>
      <c r="R389" s="418" t="s">
        <v>972</v>
      </c>
      <c r="S389" s="427" t="s">
        <v>613</v>
      </c>
      <c r="T389" s="357">
        <v>1</v>
      </c>
      <c r="U389" s="357" t="s">
        <v>204</v>
      </c>
      <c r="V389" s="367">
        <v>612000000</v>
      </c>
      <c r="W389" s="368">
        <v>612000000</v>
      </c>
      <c r="X389" s="357"/>
      <c r="Y389" s="357"/>
      <c r="Z389" s="400"/>
      <c r="AA389" s="369"/>
      <c r="AB389" s="370"/>
      <c r="AC389" s="404"/>
      <c r="AD389" s="270"/>
      <c r="AE389" s="156"/>
      <c r="AF389" s="156"/>
      <c r="AG389" s="357"/>
      <c r="AH389" s="357"/>
      <c r="AI389" s="357"/>
      <c r="AJ389" s="156"/>
      <c r="AK389" s="156"/>
      <c r="AL389" s="375"/>
      <c r="AM389" s="405"/>
      <c r="AN389" s="273"/>
      <c r="AO389" s="405"/>
      <c r="AP389" s="273"/>
      <c r="AQ389" s="273"/>
      <c r="AR389" s="273"/>
      <c r="AS389" s="273"/>
      <c r="AT389" s="273"/>
      <c r="AU389" s="273"/>
      <c r="AV389" s="322">
        <f t="shared" si="17"/>
        <v>0</v>
      </c>
      <c r="AW389" s="402"/>
      <c r="AX389" s="376"/>
      <c r="AY389" s="373"/>
      <c r="AZ389" s="375"/>
      <c r="BA389" s="375"/>
      <c r="BB389" s="375"/>
      <c r="BC389" s="375"/>
      <c r="BD389" s="353">
        <f t="shared" si="18"/>
        <v>0</v>
      </c>
      <c r="BE389" s="432" t="s">
        <v>355</v>
      </c>
      <c r="BF389" s="407" t="s">
        <v>496</v>
      </c>
      <c r="BG389" s="168"/>
      <c r="BH389" s="274"/>
      <c r="BI389" s="168"/>
      <c r="BJ389" s="274"/>
      <c r="BK389" s="168"/>
      <c r="BL389" s="275"/>
      <c r="BM389" s="276"/>
      <c r="BN389" s="275"/>
      <c r="BO389" s="276"/>
      <c r="BP389" s="277"/>
      <c r="BQ389" s="156"/>
      <c r="BR389" s="274"/>
      <c r="BS389" s="270"/>
      <c r="BT389" s="270"/>
      <c r="BU389" s="274"/>
      <c r="BV389" s="274"/>
      <c r="BW389" s="278"/>
      <c r="BX389" s="278"/>
      <c r="BY389" s="278"/>
      <c r="BZ389" s="351"/>
    </row>
    <row r="390" spans="1:78" s="90" customFormat="1" ht="19.5" hidden="1" customHeight="1">
      <c r="A390" s="137"/>
      <c r="B390" s="197">
        <f t="shared" si="16"/>
        <v>380</v>
      </c>
      <c r="C390" s="30" t="s">
        <v>202</v>
      </c>
      <c r="D390" s="30" t="s">
        <v>225</v>
      </c>
      <c r="E390" s="234" t="s">
        <v>973</v>
      </c>
      <c r="F390" s="235" t="s">
        <v>1277</v>
      </c>
      <c r="G390" s="284">
        <f>IFERROR(VLOOKUP(E390,Assign!$C$2:$J$142,8,FALSE),)</f>
        <v>0</v>
      </c>
      <c r="H390" s="361" t="s">
        <v>5455</v>
      </c>
      <c r="I390" s="363">
        <v>1</v>
      </c>
      <c r="J390" s="364" t="s">
        <v>212</v>
      </c>
      <c r="K390" s="364" t="s">
        <v>232</v>
      </c>
      <c r="L390" s="365" t="s">
        <v>367</v>
      </c>
      <c r="M390" s="362" t="s">
        <v>2931</v>
      </c>
      <c r="N390" s="421" t="s">
        <v>362</v>
      </c>
      <c r="O390" s="366" t="s">
        <v>265</v>
      </c>
      <c r="P390" s="269">
        <v>36.67</v>
      </c>
      <c r="Q390" s="426"/>
      <c r="R390" s="418" t="s">
        <v>973</v>
      </c>
      <c r="S390" s="427" t="s">
        <v>613</v>
      </c>
      <c r="T390" s="357">
        <v>1</v>
      </c>
      <c r="U390" s="357" t="s">
        <v>204</v>
      </c>
      <c r="V390" s="367">
        <v>600000000</v>
      </c>
      <c r="W390" s="368">
        <v>600000000</v>
      </c>
      <c r="X390" s="357"/>
      <c r="Y390" s="357"/>
      <c r="Z390" s="400"/>
      <c r="AA390" s="369"/>
      <c r="AB390" s="370"/>
      <c r="AC390" s="404"/>
      <c r="AD390" s="270"/>
      <c r="AE390" s="156"/>
      <c r="AF390" s="156"/>
      <c r="AG390" s="357"/>
      <c r="AH390" s="357"/>
      <c r="AI390" s="357"/>
      <c r="AJ390" s="156"/>
      <c r="AK390" s="156"/>
      <c r="AL390" s="375"/>
      <c r="AM390" s="405"/>
      <c r="AN390" s="273"/>
      <c r="AO390" s="405"/>
      <c r="AP390" s="273"/>
      <c r="AQ390" s="273"/>
      <c r="AR390" s="273"/>
      <c r="AS390" s="273"/>
      <c r="AT390" s="273"/>
      <c r="AU390" s="273"/>
      <c r="AV390" s="322">
        <f t="shared" si="17"/>
        <v>0</v>
      </c>
      <c r="AW390" s="402"/>
      <c r="AX390" s="376"/>
      <c r="AY390" s="373"/>
      <c r="AZ390" s="375"/>
      <c r="BA390" s="375"/>
      <c r="BB390" s="375"/>
      <c r="BC390" s="375"/>
      <c r="BD390" s="353">
        <f t="shared" si="18"/>
        <v>0</v>
      </c>
      <c r="BE390" s="432" t="s">
        <v>355</v>
      </c>
      <c r="BF390" s="407" t="s">
        <v>496</v>
      </c>
      <c r="BG390" s="168"/>
      <c r="BH390" s="274"/>
      <c r="BI390" s="168"/>
      <c r="BJ390" s="274"/>
      <c r="BK390" s="168"/>
      <c r="BL390" s="275"/>
      <c r="BM390" s="276"/>
      <c r="BN390" s="275"/>
      <c r="BO390" s="276"/>
      <c r="BP390" s="277"/>
      <c r="BQ390" s="156"/>
      <c r="BR390" s="274"/>
      <c r="BS390" s="270"/>
      <c r="BT390" s="270"/>
      <c r="BU390" s="274"/>
      <c r="BV390" s="274"/>
      <c r="BW390" s="278"/>
      <c r="BX390" s="278"/>
      <c r="BY390" s="278"/>
      <c r="BZ390" s="351"/>
    </row>
    <row r="391" spans="1:78" s="90" customFormat="1" ht="19.5" hidden="1" customHeight="1">
      <c r="A391" s="137"/>
      <c r="B391" s="197">
        <f t="shared" si="16"/>
        <v>381</v>
      </c>
      <c r="C391" s="30" t="s">
        <v>202</v>
      </c>
      <c r="D391" s="30" t="s">
        <v>225</v>
      </c>
      <c r="E391" s="234" t="s">
        <v>974</v>
      </c>
      <c r="F391" s="235" t="s">
        <v>1353</v>
      </c>
      <c r="G391" s="284">
        <f>IFERROR(VLOOKUP(E391,Assign!$C$2:$J$142,8,FALSE),)</f>
        <v>0</v>
      </c>
      <c r="H391" s="361" t="s">
        <v>5268</v>
      </c>
      <c r="I391" s="363">
        <v>1</v>
      </c>
      <c r="J391" s="364" t="s">
        <v>208</v>
      </c>
      <c r="K391" s="364" t="s">
        <v>228</v>
      </c>
      <c r="L391" s="365" t="s">
        <v>2755</v>
      </c>
      <c r="M391" s="362" t="s">
        <v>3169</v>
      </c>
      <c r="N391" s="421" t="s">
        <v>285</v>
      </c>
      <c r="O391" s="269">
        <v>2330</v>
      </c>
      <c r="P391" s="269">
        <v>1365.56</v>
      </c>
      <c r="Q391" s="426">
        <v>3</v>
      </c>
      <c r="R391" s="418" t="s">
        <v>3463</v>
      </c>
      <c r="S391" s="427" t="s">
        <v>613</v>
      </c>
      <c r="T391" s="357">
        <v>3</v>
      </c>
      <c r="U391" s="357" t="s">
        <v>204</v>
      </c>
      <c r="V391" s="367">
        <v>1200000000</v>
      </c>
      <c r="W391" s="368">
        <v>1200000000</v>
      </c>
      <c r="X391" s="357"/>
      <c r="Y391" s="357"/>
      <c r="Z391" s="400"/>
      <c r="AA391" s="369"/>
      <c r="AB391" s="370"/>
      <c r="AC391" s="404" t="s">
        <v>229</v>
      </c>
      <c r="AD391" s="270" t="s">
        <v>204</v>
      </c>
      <c r="AE391" s="156">
        <v>2268000000</v>
      </c>
      <c r="AF391" s="156">
        <v>2268000000</v>
      </c>
      <c r="AG391" s="357"/>
      <c r="AH391" s="357"/>
      <c r="AI391" s="357"/>
      <c r="AJ391" s="156"/>
      <c r="AK391" s="156"/>
      <c r="AL391" s="412">
        <v>3</v>
      </c>
      <c r="AM391" s="405" t="s">
        <v>204</v>
      </c>
      <c r="AN391" s="273">
        <v>507761095</v>
      </c>
      <c r="AO391" s="405" t="s">
        <v>536</v>
      </c>
      <c r="AP391" s="273"/>
      <c r="AQ391" s="273"/>
      <c r="AR391" s="273"/>
      <c r="AS391" s="273"/>
      <c r="AT391" s="273"/>
      <c r="AU391" s="273"/>
      <c r="AV391" s="322">
        <f t="shared" si="17"/>
        <v>0</v>
      </c>
      <c r="AW391" s="402"/>
      <c r="AX391" s="376"/>
      <c r="AY391" s="373"/>
      <c r="AZ391" s="375"/>
      <c r="BA391" s="375"/>
      <c r="BB391" s="375"/>
      <c r="BC391" s="375"/>
      <c r="BD391" s="353">
        <f t="shared" si="18"/>
        <v>0</v>
      </c>
      <c r="BE391" s="432" t="s">
        <v>335</v>
      </c>
      <c r="BF391" s="407" t="s">
        <v>424</v>
      </c>
      <c r="BG391" s="168" t="s">
        <v>3336</v>
      </c>
      <c r="BH391" s="274">
        <v>45694</v>
      </c>
      <c r="BI391" s="168" t="s">
        <v>3337</v>
      </c>
      <c r="BJ391" s="274">
        <v>45770</v>
      </c>
      <c r="BK391" s="168">
        <v>2046550692</v>
      </c>
      <c r="BL391" s="275"/>
      <c r="BM391" s="276"/>
      <c r="BN391" s="275"/>
      <c r="BO391" s="276"/>
      <c r="BP391" s="277"/>
      <c r="BQ391" s="156"/>
      <c r="BR391" s="274"/>
      <c r="BS391" s="270"/>
      <c r="BT391" s="270"/>
      <c r="BU391" s="274"/>
      <c r="BV391" s="274"/>
      <c r="BW391" s="278"/>
      <c r="BX391" s="278"/>
      <c r="BY391" s="278"/>
      <c r="BZ391" s="351"/>
    </row>
    <row r="392" spans="1:78" s="90" customFormat="1" ht="19.5" hidden="1" customHeight="1">
      <c r="A392" s="137"/>
      <c r="B392" s="197">
        <f t="shared" si="16"/>
        <v>382</v>
      </c>
      <c r="C392" s="30" t="s">
        <v>202</v>
      </c>
      <c r="D392" s="30" t="s">
        <v>225</v>
      </c>
      <c r="E392" s="234" t="s">
        <v>975</v>
      </c>
      <c r="F392" s="235" t="s">
        <v>1225</v>
      </c>
      <c r="G392" s="284">
        <f>IFERROR(VLOOKUP(E392,Assign!$C$2:$J$142,8,FALSE),)</f>
        <v>0</v>
      </c>
      <c r="H392" s="361" t="s">
        <v>3908</v>
      </c>
      <c r="I392" s="363">
        <v>1</v>
      </c>
      <c r="J392" s="364" t="s">
        <v>208</v>
      </c>
      <c r="K392" s="364" t="s">
        <v>301</v>
      </c>
      <c r="L392" s="365" t="s">
        <v>302</v>
      </c>
      <c r="M392" s="362" t="s">
        <v>1478</v>
      </c>
      <c r="N392" s="421" t="s">
        <v>3386</v>
      </c>
      <c r="O392" s="269">
        <v>17.600000000000001</v>
      </c>
      <c r="P392" s="269">
        <v>40.28</v>
      </c>
      <c r="Q392" s="426"/>
      <c r="R392" s="418" t="s">
        <v>975</v>
      </c>
      <c r="S392" s="427" t="s">
        <v>613</v>
      </c>
      <c r="T392" s="357">
        <v>1</v>
      </c>
      <c r="U392" s="357" t="s">
        <v>204</v>
      </c>
      <c r="V392" s="367">
        <v>588000000</v>
      </c>
      <c r="W392" s="368">
        <v>588000000</v>
      </c>
      <c r="X392" s="357"/>
      <c r="Y392" s="357"/>
      <c r="Z392" s="400"/>
      <c r="AA392" s="369"/>
      <c r="AB392" s="370"/>
      <c r="AC392" s="404"/>
      <c r="AD392" s="270"/>
      <c r="AE392" s="156"/>
      <c r="AF392" s="156"/>
      <c r="AG392" s="357"/>
      <c r="AH392" s="357"/>
      <c r="AI392" s="357"/>
      <c r="AJ392" s="156"/>
      <c r="AK392" s="156"/>
      <c r="AL392" s="375"/>
      <c r="AM392" s="405"/>
      <c r="AN392" s="273"/>
      <c r="AO392" s="405"/>
      <c r="AP392" s="273"/>
      <c r="AQ392" s="273"/>
      <c r="AR392" s="273"/>
      <c r="AS392" s="273"/>
      <c r="AT392" s="273"/>
      <c r="AU392" s="273"/>
      <c r="AV392" s="322">
        <f t="shared" si="17"/>
        <v>0</v>
      </c>
      <c r="AW392" s="402"/>
      <c r="AX392" s="376"/>
      <c r="AY392" s="373"/>
      <c r="AZ392" s="375"/>
      <c r="BA392" s="375"/>
      <c r="BB392" s="375"/>
      <c r="BC392" s="375"/>
      <c r="BD392" s="353">
        <f t="shared" si="18"/>
        <v>0</v>
      </c>
      <c r="BE392" s="432" t="s">
        <v>355</v>
      </c>
      <c r="BF392" s="407" t="s">
        <v>502</v>
      </c>
      <c r="BG392" s="168"/>
      <c r="BH392" s="274"/>
      <c r="BI392" s="168"/>
      <c r="BJ392" s="274"/>
      <c r="BK392" s="168"/>
      <c r="BL392" s="275"/>
      <c r="BM392" s="276"/>
      <c r="BN392" s="275"/>
      <c r="BO392" s="276"/>
      <c r="BP392" s="277"/>
      <c r="BQ392" s="156"/>
      <c r="BR392" s="274"/>
      <c r="BS392" s="270"/>
      <c r="BT392" s="270"/>
      <c r="BU392" s="274"/>
      <c r="BV392" s="274"/>
      <c r="BW392" s="278"/>
      <c r="BX392" s="278"/>
      <c r="BY392" s="278"/>
      <c r="BZ392" s="351"/>
    </row>
    <row r="393" spans="1:78" s="90" customFormat="1" ht="19.5" hidden="1" customHeight="1">
      <c r="A393" s="137"/>
      <c r="B393" s="197">
        <f t="shared" si="16"/>
        <v>383</v>
      </c>
      <c r="C393" s="30" t="s">
        <v>202</v>
      </c>
      <c r="D393" s="30" t="s">
        <v>225</v>
      </c>
      <c r="E393" s="234" t="s">
        <v>976</v>
      </c>
      <c r="F393" s="235" t="s">
        <v>1354</v>
      </c>
      <c r="G393" s="284" t="str">
        <f>IFERROR(VLOOKUP(E393,Assign!$C$2:$J$142,8,FALSE),)</f>
        <v>문선영</v>
      </c>
      <c r="H393" s="361" t="s">
        <v>5306</v>
      </c>
      <c r="I393" s="363">
        <v>1</v>
      </c>
      <c r="J393" s="364" t="s">
        <v>208</v>
      </c>
      <c r="K393" s="364" t="s">
        <v>325</v>
      </c>
      <c r="L393" s="365" t="s">
        <v>358</v>
      </c>
      <c r="M393" s="362" t="s">
        <v>2788</v>
      </c>
      <c r="N393" s="421" t="s">
        <v>207</v>
      </c>
      <c r="O393" s="269">
        <v>80.806799999999996</v>
      </c>
      <c r="P393" s="269">
        <v>134.3218</v>
      </c>
      <c r="Q393" s="426"/>
      <c r="R393" s="418" t="s">
        <v>3456</v>
      </c>
      <c r="S393" s="427" t="s">
        <v>613</v>
      </c>
      <c r="T393" s="357">
        <v>2</v>
      </c>
      <c r="U393" s="357" t="s">
        <v>204</v>
      </c>
      <c r="V393" s="367">
        <v>566400000</v>
      </c>
      <c r="W393" s="368">
        <v>566400000</v>
      </c>
      <c r="X393" s="357"/>
      <c r="Y393" s="357"/>
      <c r="Z393" s="400"/>
      <c r="AA393" s="369"/>
      <c r="AB393" s="370"/>
      <c r="AC393" s="404">
        <v>1</v>
      </c>
      <c r="AD393" s="270" t="s">
        <v>204</v>
      </c>
      <c r="AE393" s="156">
        <v>97400000</v>
      </c>
      <c r="AF393" s="156">
        <v>97400000</v>
      </c>
      <c r="AG393" s="357"/>
      <c r="AH393" s="357"/>
      <c r="AI393" s="357"/>
      <c r="AJ393" s="156"/>
      <c r="AK393" s="156"/>
      <c r="AL393" s="375"/>
      <c r="AM393" s="405"/>
      <c r="AN393" s="273"/>
      <c r="AO393" s="405"/>
      <c r="AP393" s="273"/>
      <c r="AQ393" s="273"/>
      <c r="AR393" s="273"/>
      <c r="AS393" s="273"/>
      <c r="AT393" s="273"/>
      <c r="AU393" s="273"/>
      <c r="AV393" s="322">
        <f t="shared" si="17"/>
        <v>0</v>
      </c>
      <c r="AW393" s="402" t="s">
        <v>3387</v>
      </c>
      <c r="AX393" s="376">
        <v>45765</v>
      </c>
      <c r="AY393" s="373" t="s">
        <v>3388</v>
      </c>
      <c r="AZ393" s="375"/>
      <c r="BA393" s="375">
        <v>1070000000</v>
      </c>
      <c r="BB393" s="375"/>
      <c r="BC393" s="375"/>
      <c r="BD393" s="353">
        <f t="shared" si="18"/>
        <v>1070000000</v>
      </c>
      <c r="BE393" s="432" t="s">
        <v>355</v>
      </c>
      <c r="BF393" s="407" t="s">
        <v>424</v>
      </c>
      <c r="BG393" s="168"/>
      <c r="BH393" s="274"/>
      <c r="BI393" s="168"/>
      <c r="BJ393" s="274"/>
      <c r="BK393" s="168"/>
      <c r="BL393" s="275"/>
      <c r="BM393" s="276"/>
      <c r="BN393" s="275"/>
      <c r="BO393" s="276"/>
      <c r="BP393" s="277"/>
      <c r="BQ393" s="156"/>
      <c r="BR393" s="274"/>
      <c r="BS393" s="270"/>
      <c r="BT393" s="270"/>
      <c r="BU393" s="274"/>
      <c r="BV393" s="274"/>
      <c r="BW393" s="278"/>
      <c r="BX393" s="278"/>
      <c r="BY393" s="278"/>
      <c r="BZ393" s="351"/>
    </row>
    <row r="394" spans="1:78" s="90" customFormat="1" ht="19.5" hidden="1" customHeight="1">
      <c r="A394" s="137"/>
      <c r="B394" s="197">
        <f t="shared" si="16"/>
        <v>384</v>
      </c>
      <c r="C394" s="30" t="s">
        <v>202</v>
      </c>
      <c r="D394" s="30" t="s">
        <v>225</v>
      </c>
      <c r="E394" s="234" t="s">
        <v>977</v>
      </c>
      <c r="F394" s="235" t="s">
        <v>1226</v>
      </c>
      <c r="G394" s="284">
        <f>IFERROR(VLOOKUP(E394,Assign!$C$2:$J$142,8,FALSE),)</f>
        <v>0</v>
      </c>
      <c r="H394" s="361" t="s">
        <v>4581</v>
      </c>
      <c r="I394" s="363">
        <v>1</v>
      </c>
      <c r="J394" s="364" t="s">
        <v>208</v>
      </c>
      <c r="K394" s="364" t="s">
        <v>242</v>
      </c>
      <c r="L394" s="365" t="s">
        <v>243</v>
      </c>
      <c r="M394" s="362" t="s">
        <v>2118</v>
      </c>
      <c r="N394" s="421" t="s">
        <v>207</v>
      </c>
      <c r="O394" s="366" t="s">
        <v>265</v>
      </c>
      <c r="P394" s="269">
        <v>84.038700000000006</v>
      </c>
      <c r="Q394" s="426"/>
      <c r="R394" s="418" t="s">
        <v>977</v>
      </c>
      <c r="S394" s="427" t="s">
        <v>613</v>
      </c>
      <c r="T394" s="357">
        <v>1</v>
      </c>
      <c r="U394" s="357" t="s">
        <v>204</v>
      </c>
      <c r="V394" s="367">
        <v>519100000</v>
      </c>
      <c r="W394" s="368">
        <v>519100000</v>
      </c>
      <c r="X394" s="357"/>
      <c r="Y394" s="357"/>
      <c r="Z394" s="400"/>
      <c r="AA394" s="369"/>
      <c r="AB394" s="370"/>
      <c r="AC394" s="404"/>
      <c r="AD394" s="270"/>
      <c r="AE394" s="156"/>
      <c r="AF394" s="156"/>
      <c r="AG394" s="357"/>
      <c r="AH394" s="357"/>
      <c r="AI394" s="357"/>
      <c r="AJ394" s="156"/>
      <c r="AK394" s="156"/>
      <c r="AL394" s="375"/>
      <c r="AM394" s="405"/>
      <c r="AN394" s="273"/>
      <c r="AO394" s="405"/>
      <c r="AP394" s="273"/>
      <c r="AQ394" s="273"/>
      <c r="AR394" s="273"/>
      <c r="AS394" s="273"/>
      <c r="AT394" s="273"/>
      <c r="AU394" s="273"/>
      <c r="AV394" s="322">
        <f t="shared" si="17"/>
        <v>0</v>
      </c>
      <c r="AW394" s="402"/>
      <c r="AX394" s="376"/>
      <c r="AY394" s="373"/>
      <c r="AZ394" s="375"/>
      <c r="BA394" s="375"/>
      <c r="BB394" s="375"/>
      <c r="BC394" s="375"/>
      <c r="BD394" s="353">
        <f t="shared" si="18"/>
        <v>0</v>
      </c>
      <c r="BE394" s="432" t="s">
        <v>355</v>
      </c>
      <c r="BF394" s="407" t="s">
        <v>502</v>
      </c>
      <c r="BG394" s="168"/>
      <c r="BH394" s="274"/>
      <c r="BI394" s="168"/>
      <c r="BJ394" s="274"/>
      <c r="BK394" s="168"/>
      <c r="BL394" s="275"/>
      <c r="BM394" s="276"/>
      <c r="BN394" s="275"/>
      <c r="BO394" s="276"/>
      <c r="BP394" s="277"/>
      <c r="BQ394" s="156"/>
      <c r="BR394" s="274"/>
      <c r="BS394" s="270"/>
      <c r="BT394" s="270"/>
      <c r="BU394" s="274"/>
      <c r="BV394" s="274"/>
      <c r="BW394" s="278"/>
      <c r="BX394" s="278"/>
      <c r="BY394" s="278"/>
      <c r="BZ394" s="351"/>
    </row>
    <row r="395" spans="1:78" s="90" customFormat="1" ht="19.5" hidden="1" customHeight="1">
      <c r="A395" s="137"/>
      <c r="B395" s="197">
        <f t="shared" ref="B395:B458" si="19">ROW()-10</f>
        <v>385</v>
      </c>
      <c r="C395" s="30" t="s">
        <v>202</v>
      </c>
      <c r="D395" s="30" t="s">
        <v>225</v>
      </c>
      <c r="E395" s="234" t="s">
        <v>978</v>
      </c>
      <c r="F395" s="235" t="s">
        <v>1234</v>
      </c>
      <c r="G395" s="284">
        <f>IFERROR(VLOOKUP(E395,Assign!$C$2:$J$142,8,FALSE),)</f>
        <v>0</v>
      </c>
      <c r="H395" s="361" t="s">
        <v>4100</v>
      </c>
      <c r="I395" s="363">
        <v>1</v>
      </c>
      <c r="J395" s="364" t="s">
        <v>208</v>
      </c>
      <c r="K395" s="364" t="s">
        <v>244</v>
      </c>
      <c r="L395" s="365" t="s">
        <v>278</v>
      </c>
      <c r="M395" s="362" t="s">
        <v>1676</v>
      </c>
      <c r="N395" s="421" t="s">
        <v>3386</v>
      </c>
      <c r="O395" s="269">
        <v>10.099299999999999</v>
      </c>
      <c r="P395" s="269">
        <v>56.064500000000002</v>
      </c>
      <c r="Q395" s="426"/>
      <c r="R395" s="418" t="s">
        <v>978</v>
      </c>
      <c r="S395" s="427" t="s">
        <v>613</v>
      </c>
      <c r="T395" s="357">
        <v>1</v>
      </c>
      <c r="U395" s="357" t="s">
        <v>204</v>
      </c>
      <c r="V395" s="367">
        <v>576000000</v>
      </c>
      <c r="W395" s="368">
        <v>576000000</v>
      </c>
      <c r="X395" s="357"/>
      <c r="Y395" s="357"/>
      <c r="Z395" s="400"/>
      <c r="AA395" s="369"/>
      <c r="AB395" s="370"/>
      <c r="AC395" s="404"/>
      <c r="AD395" s="270"/>
      <c r="AE395" s="156"/>
      <c r="AF395" s="156"/>
      <c r="AG395" s="357"/>
      <c r="AH395" s="357"/>
      <c r="AI395" s="357"/>
      <c r="AJ395" s="156"/>
      <c r="AK395" s="156"/>
      <c r="AL395" s="375"/>
      <c r="AM395" s="405"/>
      <c r="AN395" s="273"/>
      <c r="AO395" s="405"/>
      <c r="AP395" s="273"/>
      <c r="AQ395" s="273"/>
      <c r="AR395" s="273"/>
      <c r="AS395" s="273"/>
      <c r="AT395" s="273"/>
      <c r="AU395" s="273"/>
      <c r="AV395" s="322">
        <f t="shared" ref="AV395:AV458" si="20">SUM(AP395:AU395)</f>
        <v>0</v>
      </c>
      <c r="AW395" s="402"/>
      <c r="AX395" s="376"/>
      <c r="AY395" s="373"/>
      <c r="AZ395" s="375"/>
      <c r="BA395" s="375"/>
      <c r="BB395" s="375"/>
      <c r="BC395" s="375"/>
      <c r="BD395" s="353">
        <f t="shared" ref="BD395:BD458" si="21">SUM(AZ395:BC395)</f>
        <v>0</v>
      </c>
      <c r="BE395" s="432" t="s">
        <v>355</v>
      </c>
      <c r="BF395" s="407" t="s">
        <v>501</v>
      </c>
      <c r="BG395" s="168"/>
      <c r="BH395" s="274"/>
      <c r="BI395" s="168"/>
      <c r="BJ395" s="274"/>
      <c r="BK395" s="168"/>
      <c r="BL395" s="275"/>
      <c r="BM395" s="276"/>
      <c r="BN395" s="275"/>
      <c r="BO395" s="276"/>
      <c r="BP395" s="277"/>
      <c r="BQ395" s="156"/>
      <c r="BR395" s="274"/>
      <c r="BS395" s="270"/>
      <c r="BT395" s="270"/>
      <c r="BU395" s="274"/>
      <c r="BV395" s="274"/>
      <c r="BW395" s="278"/>
      <c r="BX395" s="278"/>
      <c r="BY395" s="278"/>
      <c r="BZ395" s="351"/>
    </row>
    <row r="396" spans="1:78" s="90" customFormat="1" ht="19.5" hidden="1" customHeight="1">
      <c r="A396" s="137"/>
      <c r="B396" s="197">
        <f t="shared" si="19"/>
        <v>386</v>
      </c>
      <c r="C396" s="30" t="s">
        <v>202</v>
      </c>
      <c r="D396" s="30" t="s">
        <v>225</v>
      </c>
      <c r="E396" s="234" t="s">
        <v>979</v>
      </c>
      <c r="F396" s="235" t="s">
        <v>1225</v>
      </c>
      <c r="G396" s="284">
        <f>IFERROR(VLOOKUP(E396,Assign!$C$2:$J$142,8,FALSE),)</f>
        <v>0</v>
      </c>
      <c r="H396" s="361" t="s">
        <v>4640</v>
      </c>
      <c r="I396" s="363">
        <v>1</v>
      </c>
      <c r="J396" s="364" t="s">
        <v>208</v>
      </c>
      <c r="K396" s="364" t="s">
        <v>228</v>
      </c>
      <c r="L396" s="365" t="s">
        <v>2174</v>
      </c>
      <c r="M396" s="362" t="s">
        <v>3053</v>
      </c>
      <c r="N396" s="421" t="s">
        <v>207</v>
      </c>
      <c r="O396" s="366" t="s">
        <v>265</v>
      </c>
      <c r="P396" s="269">
        <v>84.979500000000002</v>
      </c>
      <c r="Q396" s="426"/>
      <c r="R396" s="418" t="s">
        <v>979</v>
      </c>
      <c r="S396" s="427" t="s">
        <v>613</v>
      </c>
      <c r="T396" s="357">
        <v>1</v>
      </c>
      <c r="U396" s="357" t="s">
        <v>204</v>
      </c>
      <c r="V396" s="367">
        <v>454300000</v>
      </c>
      <c r="W396" s="368">
        <v>454300000</v>
      </c>
      <c r="X396" s="357"/>
      <c r="Y396" s="357"/>
      <c r="Z396" s="400"/>
      <c r="AA396" s="369"/>
      <c r="AB396" s="370"/>
      <c r="AC396" s="404"/>
      <c r="AD396" s="270"/>
      <c r="AE396" s="156"/>
      <c r="AF396" s="156"/>
      <c r="AG396" s="357"/>
      <c r="AH396" s="357"/>
      <c r="AI396" s="357"/>
      <c r="AJ396" s="156"/>
      <c r="AK396" s="156"/>
      <c r="AL396" s="375"/>
      <c r="AM396" s="405"/>
      <c r="AN396" s="273"/>
      <c r="AO396" s="405"/>
      <c r="AP396" s="273"/>
      <c r="AQ396" s="273"/>
      <c r="AR396" s="273"/>
      <c r="AS396" s="273"/>
      <c r="AT396" s="273"/>
      <c r="AU396" s="273"/>
      <c r="AV396" s="322">
        <f t="shared" si="20"/>
        <v>0</v>
      </c>
      <c r="AW396" s="402"/>
      <c r="AX396" s="376"/>
      <c r="AY396" s="373"/>
      <c r="AZ396" s="375"/>
      <c r="BA396" s="375"/>
      <c r="BB396" s="375"/>
      <c r="BC396" s="375"/>
      <c r="BD396" s="353">
        <f t="shared" si="21"/>
        <v>0</v>
      </c>
      <c r="BE396" s="432" t="s">
        <v>355</v>
      </c>
      <c r="BF396" s="407" t="s">
        <v>424</v>
      </c>
      <c r="BG396" s="168"/>
      <c r="BH396" s="274"/>
      <c r="BI396" s="168"/>
      <c r="BJ396" s="274"/>
      <c r="BK396" s="168"/>
      <c r="BL396" s="275"/>
      <c r="BM396" s="276"/>
      <c r="BN396" s="275"/>
      <c r="BO396" s="276"/>
      <c r="BP396" s="277"/>
      <c r="BQ396" s="156"/>
      <c r="BR396" s="274"/>
      <c r="BS396" s="270"/>
      <c r="BT396" s="270"/>
      <c r="BU396" s="274"/>
      <c r="BV396" s="274"/>
      <c r="BW396" s="278"/>
      <c r="BX396" s="278"/>
      <c r="BY396" s="278"/>
      <c r="BZ396" s="351"/>
    </row>
    <row r="397" spans="1:78" s="90" customFormat="1" ht="19.5" hidden="1" customHeight="1">
      <c r="A397" s="137"/>
      <c r="B397" s="197">
        <f t="shared" si="19"/>
        <v>387</v>
      </c>
      <c r="C397" s="30" t="s">
        <v>202</v>
      </c>
      <c r="D397" s="30" t="s">
        <v>225</v>
      </c>
      <c r="E397" s="234" t="s">
        <v>980</v>
      </c>
      <c r="F397" s="235" t="s">
        <v>1248</v>
      </c>
      <c r="G397" s="284">
        <f>IFERROR(VLOOKUP(E397,Assign!$C$2:$J$142,8,FALSE),)</f>
        <v>0</v>
      </c>
      <c r="H397" s="361" t="s">
        <v>5071</v>
      </c>
      <c r="I397" s="363">
        <v>1</v>
      </c>
      <c r="J397" s="364" t="s">
        <v>220</v>
      </c>
      <c r="K397" s="364" t="s">
        <v>2584</v>
      </c>
      <c r="L397" s="365" t="s">
        <v>2585</v>
      </c>
      <c r="M397" s="362" t="s">
        <v>2586</v>
      </c>
      <c r="N397" s="421" t="s">
        <v>207</v>
      </c>
      <c r="O397" s="269">
        <v>40.949199999999998</v>
      </c>
      <c r="P397" s="269">
        <v>59.625999999999998</v>
      </c>
      <c r="Q397" s="426"/>
      <c r="R397" s="418" t="s">
        <v>980</v>
      </c>
      <c r="S397" s="427" t="s">
        <v>613</v>
      </c>
      <c r="T397" s="357" t="s">
        <v>229</v>
      </c>
      <c r="U397" s="357" t="s">
        <v>204</v>
      </c>
      <c r="V397" s="367">
        <v>233600000</v>
      </c>
      <c r="W397" s="368">
        <v>233600000</v>
      </c>
      <c r="X397" s="357"/>
      <c r="Y397" s="357"/>
      <c r="Z397" s="400"/>
      <c r="AA397" s="369"/>
      <c r="AB397" s="370"/>
      <c r="AC397" s="404"/>
      <c r="AD397" s="270"/>
      <c r="AE397" s="156"/>
      <c r="AF397" s="156"/>
      <c r="AG397" s="357"/>
      <c r="AH397" s="357"/>
      <c r="AI397" s="357"/>
      <c r="AJ397" s="156"/>
      <c r="AK397" s="156"/>
      <c r="AL397" s="375"/>
      <c r="AM397" s="405"/>
      <c r="AN397" s="273"/>
      <c r="AO397" s="405"/>
      <c r="AP397" s="273"/>
      <c r="AQ397" s="273"/>
      <c r="AR397" s="273"/>
      <c r="AS397" s="273"/>
      <c r="AT397" s="273"/>
      <c r="AU397" s="273"/>
      <c r="AV397" s="322">
        <f t="shared" si="20"/>
        <v>0</v>
      </c>
      <c r="AW397" s="402" t="s">
        <v>3387</v>
      </c>
      <c r="AX397" s="376">
        <v>45765</v>
      </c>
      <c r="AY397" s="373" t="s">
        <v>3388</v>
      </c>
      <c r="AZ397" s="375"/>
      <c r="BA397" s="375">
        <v>220000000</v>
      </c>
      <c r="BB397" s="375"/>
      <c r="BC397" s="375"/>
      <c r="BD397" s="353">
        <f t="shared" si="21"/>
        <v>220000000</v>
      </c>
      <c r="BE397" s="432" t="s">
        <v>355</v>
      </c>
      <c r="BF397" s="407" t="s">
        <v>523</v>
      </c>
      <c r="BG397" s="168"/>
      <c r="BH397" s="274"/>
      <c r="BI397" s="168"/>
      <c r="BJ397" s="274"/>
      <c r="BK397" s="168"/>
      <c r="BL397" s="275"/>
      <c r="BM397" s="276"/>
      <c r="BN397" s="275"/>
      <c r="BO397" s="276"/>
      <c r="BP397" s="277"/>
      <c r="BQ397" s="156"/>
      <c r="BR397" s="274"/>
      <c r="BS397" s="270"/>
      <c r="BT397" s="270"/>
      <c r="BU397" s="274"/>
      <c r="BV397" s="274"/>
      <c r="BW397" s="278"/>
      <c r="BX397" s="278"/>
      <c r="BY397" s="278"/>
      <c r="BZ397" s="351"/>
    </row>
    <row r="398" spans="1:78" s="90" customFormat="1" ht="19.5" hidden="1" customHeight="1">
      <c r="A398" s="137"/>
      <c r="B398" s="197">
        <f t="shared" si="19"/>
        <v>388</v>
      </c>
      <c r="C398" s="30" t="s">
        <v>202</v>
      </c>
      <c r="D398" s="30" t="s">
        <v>225</v>
      </c>
      <c r="E398" s="234" t="s">
        <v>980</v>
      </c>
      <c r="F398" s="235" t="s">
        <v>1248</v>
      </c>
      <c r="G398" s="284">
        <f>IFERROR(VLOOKUP(E398,Assign!$C$2:$J$142,8,FALSE),)</f>
        <v>0</v>
      </c>
      <c r="H398" s="361" t="s">
        <v>5073</v>
      </c>
      <c r="I398" s="363">
        <v>2</v>
      </c>
      <c r="J398" s="364" t="s">
        <v>217</v>
      </c>
      <c r="K398" s="364" t="s">
        <v>545</v>
      </c>
      <c r="L398" s="365" t="s">
        <v>3726</v>
      </c>
      <c r="M398" s="362" t="s">
        <v>3727</v>
      </c>
      <c r="N398" s="421" t="s">
        <v>3363</v>
      </c>
      <c r="O398" s="269"/>
      <c r="P398" s="269"/>
      <c r="Q398" s="426">
        <v>10</v>
      </c>
      <c r="R398" s="418" t="s">
        <v>980</v>
      </c>
      <c r="S398" s="427" t="s">
        <v>3069</v>
      </c>
      <c r="T398" s="357">
        <v>1</v>
      </c>
      <c r="U398" s="357" t="s">
        <v>204</v>
      </c>
      <c r="V398" s="367">
        <v>330000000</v>
      </c>
      <c r="W398" s="368">
        <v>330000000</v>
      </c>
      <c r="X398" s="357"/>
      <c r="Y398" s="357"/>
      <c r="Z398" s="400"/>
      <c r="AA398" s="369"/>
      <c r="AB398" s="370"/>
      <c r="AC398" s="404"/>
      <c r="AD398" s="270"/>
      <c r="AE398" s="156"/>
      <c r="AF398" s="156"/>
      <c r="AG398" s="357"/>
      <c r="AH398" s="357"/>
      <c r="AI398" s="357"/>
      <c r="AJ398" s="156"/>
      <c r="AK398" s="156"/>
      <c r="AL398" s="375"/>
      <c r="AM398" s="405"/>
      <c r="AN398" s="273"/>
      <c r="AO398" s="405"/>
      <c r="AP398" s="273"/>
      <c r="AQ398" s="273"/>
      <c r="AR398" s="273"/>
      <c r="AS398" s="273"/>
      <c r="AT398" s="273"/>
      <c r="AU398" s="273"/>
      <c r="AV398" s="322">
        <f t="shared" si="20"/>
        <v>0</v>
      </c>
      <c r="AW398" s="402"/>
      <c r="AX398" s="376"/>
      <c r="AY398" s="373"/>
      <c r="AZ398" s="375"/>
      <c r="BA398" s="375"/>
      <c r="BB398" s="375"/>
      <c r="BC398" s="375"/>
      <c r="BD398" s="353">
        <f t="shared" si="21"/>
        <v>0</v>
      </c>
      <c r="BE398" s="432" t="s">
        <v>3711</v>
      </c>
      <c r="BF398" s="407" t="s">
        <v>508</v>
      </c>
      <c r="BG398" s="168"/>
      <c r="BH398" s="274"/>
      <c r="BI398" s="168"/>
      <c r="BJ398" s="274"/>
      <c r="BK398" s="168"/>
      <c r="BL398" s="275"/>
      <c r="BM398" s="276"/>
      <c r="BN398" s="275"/>
      <c r="BO398" s="276"/>
      <c r="BP398" s="277"/>
      <c r="BQ398" s="156"/>
      <c r="BR398" s="274"/>
      <c r="BS398" s="270"/>
      <c r="BT398" s="270"/>
      <c r="BU398" s="274"/>
      <c r="BV398" s="274"/>
      <c r="BW398" s="278"/>
      <c r="BX398" s="278"/>
      <c r="BY398" s="278"/>
      <c r="BZ398" s="351"/>
    </row>
    <row r="399" spans="1:78" s="90" customFormat="1" ht="19.5" hidden="1" customHeight="1">
      <c r="A399" s="137"/>
      <c r="B399" s="197">
        <f t="shared" si="19"/>
        <v>389</v>
      </c>
      <c r="C399" s="30" t="s">
        <v>202</v>
      </c>
      <c r="D399" s="30" t="s">
        <v>225</v>
      </c>
      <c r="E399" s="234" t="s">
        <v>981</v>
      </c>
      <c r="F399" s="235" t="s">
        <v>1356</v>
      </c>
      <c r="G399" s="284">
        <f>IFERROR(VLOOKUP(E399,Assign!$C$2:$J$142,8,FALSE),)</f>
        <v>0</v>
      </c>
      <c r="H399" s="361" t="s">
        <v>5302</v>
      </c>
      <c r="I399" s="363">
        <v>1</v>
      </c>
      <c r="J399" s="364" t="s">
        <v>208</v>
      </c>
      <c r="K399" s="364" t="s">
        <v>369</v>
      </c>
      <c r="L399" s="365" t="s">
        <v>1931</v>
      </c>
      <c r="M399" s="362" t="s">
        <v>2785</v>
      </c>
      <c r="N399" s="421" t="s">
        <v>207</v>
      </c>
      <c r="O399" s="366" t="s">
        <v>273</v>
      </c>
      <c r="P399" s="269">
        <v>84.986400000000003</v>
      </c>
      <c r="Q399" s="426"/>
      <c r="R399" s="418" t="s">
        <v>3397</v>
      </c>
      <c r="S399" s="427" t="s">
        <v>613</v>
      </c>
      <c r="T399" s="357">
        <v>1</v>
      </c>
      <c r="U399" s="357" t="s">
        <v>204</v>
      </c>
      <c r="V399" s="367">
        <v>480000000</v>
      </c>
      <c r="W399" s="368">
        <v>480000000</v>
      </c>
      <c r="X399" s="357"/>
      <c r="Y399" s="357"/>
      <c r="Z399" s="400"/>
      <c r="AA399" s="369"/>
      <c r="AB399" s="370"/>
      <c r="AC399" s="404"/>
      <c r="AD399" s="270"/>
      <c r="AE399" s="156"/>
      <c r="AF399" s="156"/>
      <c r="AG399" s="357"/>
      <c r="AH399" s="357"/>
      <c r="AI399" s="357"/>
      <c r="AJ399" s="156"/>
      <c r="AK399" s="156"/>
      <c r="AL399" s="375"/>
      <c r="AM399" s="405"/>
      <c r="AN399" s="273"/>
      <c r="AO399" s="405"/>
      <c r="AP399" s="273"/>
      <c r="AQ399" s="273"/>
      <c r="AR399" s="273"/>
      <c r="AS399" s="273"/>
      <c r="AT399" s="273"/>
      <c r="AU399" s="273"/>
      <c r="AV399" s="322">
        <f t="shared" si="20"/>
        <v>0</v>
      </c>
      <c r="AW399" s="402" t="s">
        <v>3387</v>
      </c>
      <c r="AX399" s="376">
        <v>45765</v>
      </c>
      <c r="AY399" s="373" t="s">
        <v>3388</v>
      </c>
      <c r="AZ399" s="375"/>
      <c r="BA399" s="375">
        <v>1140000000</v>
      </c>
      <c r="BB399" s="375"/>
      <c r="BC399" s="375"/>
      <c r="BD399" s="353">
        <f t="shared" si="21"/>
        <v>1140000000</v>
      </c>
      <c r="BE399" s="432" t="s">
        <v>335</v>
      </c>
      <c r="BF399" s="407" t="s">
        <v>501</v>
      </c>
      <c r="BG399" s="168" t="s">
        <v>3365</v>
      </c>
      <c r="BH399" s="274">
        <v>45670</v>
      </c>
      <c r="BI399" s="168" t="s">
        <v>3340</v>
      </c>
      <c r="BJ399" s="274">
        <v>45761</v>
      </c>
      <c r="BK399" s="168">
        <v>740000000</v>
      </c>
      <c r="BL399" s="275"/>
      <c r="BM399" s="276"/>
      <c r="BN399" s="275"/>
      <c r="BO399" s="276"/>
      <c r="BP399" s="277"/>
      <c r="BQ399" s="156"/>
      <c r="BR399" s="274"/>
      <c r="BS399" s="270"/>
      <c r="BT399" s="270"/>
      <c r="BU399" s="274"/>
      <c r="BV399" s="274"/>
      <c r="BW399" s="278"/>
      <c r="BX399" s="278"/>
      <c r="BY399" s="278"/>
      <c r="BZ399" s="351"/>
    </row>
    <row r="400" spans="1:78" s="90" customFormat="1" ht="19.5" hidden="1" customHeight="1">
      <c r="A400" s="137"/>
      <c r="B400" s="197">
        <f t="shared" si="19"/>
        <v>390</v>
      </c>
      <c r="C400" s="30" t="s">
        <v>202</v>
      </c>
      <c r="D400" s="30" t="s">
        <v>225</v>
      </c>
      <c r="E400" s="234" t="s">
        <v>982</v>
      </c>
      <c r="F400" s="235" t="s">
        <v>1235</v>
      </c>
      <c r="G400" s="284">
        <f>IFERROR(VLOOKUP(E400,Assign!$C$2:$J$142,8,FALSE),)</f>
        <v>0</v>
      </c>
      <c r="H400" s="361" t="s">
        <v>4229</v>
      </c>
      <c r="I400" s="363">
        <v>1</v>
      </c>
      <c r="J400" s="364" t="s">
        <v>208</v>
      </c>
      <c r="K400" s="364" t="s">
        <v>237</v>
      </c>
      <c r="L400" s="365" t="s">
        <v>1804</v>
      </c>
      <c r="M400" s="362" t="s">
        <v>3106</v>
      </c>
      <c r="N400" s="421" t="s">
        <v>396</v>
      </c>
      <c r="O400" s="269">
        <v>250.7</v>
      </c>
      <c r="P400" s="269">
        <v>220.89</v>
      </c>
      <c r="Q400" s="426"/>
      <c r="R400" s="418" t="s">
        <v>982</v>
      </c>
      <c r="S400" s="427" t="s">
        <v>613</v>
      </c>
      <c r="T400" s="357" t="s">
        <v>233</v>
      </c>
      <c r="U400" s="357" t="s">
        <v>204</v>
      </c>
      <c r="V400" s="367">
        <v>571200000</v>
      </c>
      <c r="W400" s="368">
        <v>571200000</v>
      </c>
      <c r="X400" s="357"/>
      <c r="Y400" s="357"/>
      <c r="Z400" s="400"/>
      <c r="AA400" s="369"/>
      <c r="AB400" s="370"/>
      <c r="AC400" s="404"/>
      <c r="AD400" s="270"/>
      <c r="AE400" s="156"/>
      <c r="AF400" s="156"/>
      <c r="AG400" s="357"/>
      <c r="AH400" s="357"/>
      <c r="AI400" s="357"/>
      <c r="AJ400" s="156"/>
      <c r="AK400" s="156"/>
      <c r="AL400" s="375"/>
      <c r="AM400" s="405"/>
      <c r="AN400" s="273"/>
      <c r="AO400" s="405"/>
      <c r="AP400" s="273"/>
      <c r="AQ400" s="273"/>
      <c r="AR400" s="273"/>
      <c r="AS400" s="273"/>
      <c r="AT400" s="273"/>
      <c r="AU400" s="273"/>
      <c r="AV400" s="322">
        <f t="shared" si="20"/>
        <v>0</v>
      </c>
      <c r="AW400" s="402"/>
      <c r="AX400" s="376"/>
      <c r="AY400" s="373"/>
      <c r="AZ400" s="375"/>
      <c r="BA400" s="375"/>
      <c r="BB400" s="375"/>
      <c r="BC400" s="375"/>
      <c r="BD400" s="353">
        <f t="shared" si="21"/>
        <v>0</v>
      </c>
      <c r="BE400" s="432" t="s">
        <v>355</v>
      </c>
      <c r="BF400" s="407" t="s">
        <v>502</v>
      </c>
      <c r="BG400" s="168"/>
      <c r="BH400" s="274"/>
      <c r="BI400" s="168"/>
      <c r="BJ400" s="274"/>
      <c r="BK400" s="168"/>
      <c r="BL400" s="275"/>
      <c r="BM400" s="276"/>
      <c r="BN400" s="275"/>
      <c r="BO400" s="276"/>
      <c r="BP400" s="277"/>
      <c r="BQ400" s="156"/>
      <c r="BR400" s="274"/>
      <c r="BS400" s="270"/>
      <c r="BT400" s="270"/>
      <c r="BU400" s="274"/>
      <c r="BV400" s="274"/>
      <c r="BW400" s="278"/>
      <c r="BX400" s="278"/>
      <c r="BY400" s="278"/>
      <c r="BZ400" s="351"/>
    </row>
    <row r="401" spans="1:78" s="90" customFormat="1" ht="19.5" hidden="1" customHeight="1">
      <c r="A401" s="137"/>
      <c r="B401" s="197">
        <f t="shared" si="19"/>
        <v>391</v>
      </c>
      <c r="C401" s="30" t="s">
        <v>202</v>
      </c>
      <c r="D401" s="30" t="s">
        <v>225</v>
      </c>
      <c r="E401" s="234" t="s">
        <v>983</v>
      </c>
      <c r="F401" s="235" t="s">
        <v>1252</v>
      </c>
      <c r="G401" s="284">
        <f>IFERROR(VLOOKUP(E401,Assign!$C$2:$J$142,8,FALSE),)</f>
        <v>0</v>
      </c>
      <c r="H401" s="361" t="s">
        <v>4737</v>
      </c>
      <c r="I401" s="363">
        <v>1</v>
      </c>
      <c r="J401" s="364" t="s">
        <v>212</v>
      </c>
      <c r="K401" s="364" t="s">
        <v>232</v>
      </c>
      <c r="L401" s="365" t="s">
        <v>367</v>
      </c>
      <c r="M401" s="362" t="s">
        <v>2274</v>
      </c>
      <c r="N401" s="421" t="s">
        <v>531</v>
      </c>
      <c r="O401" s="269">
        <v>8.5213000000000001</v>
      </c>
      <c r="P401" s="269">
        <v>23.130700000000001</v>
      </c>
      <c r="Q401" s="426"/>
      <c r="R401" s="418" t="s">
        <v>983</v>
      </c>
      <c r="S401" s="427" t="s">
        <v>613</v>
      </c>
      <c r="T401" s="357">
        <v>1</v>
      </c>
      <c r="U401" s="357" t="s">
        <v>204</v>
      </c>
      <c r="V401" s="367">
        <v>98400000</v>
      </c>
      <c r="W401" s="368">
        <v>98400000</v>
      </c>
      <c r="X401" s="357"/>
      <c r="Y401" s="357"/>
      <c r="Z401" s="400"/>
      <c r="AA401" s="369"/>
      <c r="AB401" s="370"/>
      <c r="AC401" s="404"/>
      <c r="AD401" s="270"/>
      <c r="AE401" s="156"/>
      <c r="AF401" s="156"/>
      <c r="AG401" s="357"/>
      <c r="AH401" s="357"/>
      <c r="AI401" s="357"/>
      <c r="AJ401" s="156"/>
      <c r="AK401" s="156"/>
      <c r="AL401" s="375"/>
      <c r="AM401" s="405"/>
      <c r="AN401" s="273"/>
      <c r="AO401" s="405"/>
      <c r="AP401" s="273"/>
      <c r="AQ401" s="273"/>
      <c r="AR401" s="273"/>
      <c r="AS401" s="273"/>
      <c r="AT401" s="273"/>
      <c r="AU401" s="273"/>
      <c r="AV401" s="322">
        <f t="shared" si="20"/>
        <v>0</v>
      </c>
      <c r="AW401" s="402"/>
      <c r="AX401" s="376"/>
      <c r="AY401" s="373"/>
      <c r="AZ401" s="375"/>
      <c r="BA401" s="375"/>
      <c r="BB401" s="375"/>
      <c r="BC401" s="375"/>
      <c r="BD401" s="353">
        <f t="shared" si="21"/>
        <v>0</v>
      </c>
      <c r="BE401" s="432" t="s">
        <v>355</v>
      </c>
      <c r="BF401" s="407" t="s">
        <v>496</v>
      </c>
      <c r="BG401" s="168"/>
      <c r="BH401" s="274"/>
      <c r="BI401" s="168"/>
      <c r="BJ401" s="274"/>
      <c r="BK401" s="168"/>
      <c r="BL401" s="275"/>
      <c r="BM401" s="276"/>
      <c r="BN401" s="275"/>
      <c r="BO401" s="276"/>
      <c r="BP401" s="277"/>
      <c r="BQ401" s="156"/>
      <c r="BR401" s="274"/>
      <c r="BS401" s="270"/>
      <c r="BT401" s="270"/>
      <c r="BU401" s="274"/>
      <c r="BV401" s="274"/>
      <c r="BW401" s="278"/>
      <c r="BX401" s="278"/>
      <c r="BY401" s="278"/>
      <c r="BZ401" s="351"/>
    </row>
    <row r="402" spans="1:78" s="90" customFormat="1" ht="19.5" hidden="1" customHeight="1">
      <c r="A402" s="137"/>
      <c r="B402" s="197">
        <f t="shared" si="19"/>
        <v>392</v>
      </c>
      <c r="C402" s="30" t="s">
        <v>202</v>
      </c>
      <c r="D402" s="30" t="s">
        <v>225</v>
      </c>
      <c r="E402" s="234" t="s">
        <v>983</v>
      </c>
      <c r="F402" s="235" t="s">
        <v>1252</v>
      </c>
      <c r="G402" s="284">
        <f>IFERROR(VLOOKUP(E402,Assign!$C$2:$J$142,8,FALSE),)</f>
        <v>0</v>
      </c>
      <c r="H402" s="361" t="s">
        <v>4739</v>
      </c>
      <c r="I402" s="363">
        <v>2</v>
      </c>
      <c r="J402" s="364" t="s">
        <v>212</v>
      </c>
      <c r="K402" s="364" t="s">
        <v>232</v>
      </c>
      <c r="L402" s="365" t="s">
        <v>367</v>
      </c>
      <c r="M402" s="362" t="s">
        <v>2276</v>
      </c>
      <c r="N402" s="421" t="s">
        <v>531</v>
      </c>
      <c r="O402" s="269">
        <v>8.0131999999999994</v>
      </c>
      <c r="P402" s="269">
        <v>21.7517</v>
      </c>
      <c r="Q402" s="426"/>
      <c r="R402" s="418" t="s">
        <v>983</v>
      </c>
      <c r="S402" s="427" t="s">
        <v>613</v>
      </c>
      <c r="T402" s="357">
        <v>1</v>
      </c>
      <c r="U402" s="357" t="s">
        <v>204</v>
      </c>
      <c r="V402" s="367">
        <v>97200000</v>
      </c>
      <c r="W402" s="368">
        <v>97200000</v>
      </c>
      <c r="X402" s="357"/>
      <c r="Y402" s="357"/>
      <c r="Z402" s="400"/>
      <c r="AA402" s="369"/>
      <c r="AB402" s="370"/>
      <c r="AC402" s="404"/>
      <c r="AD402" s="270"/>
      <c r="AE402" s="156"/>
      <c r="AF402" s="156"/>
      <c r="AG402" s="357"/>
      <c r="AH402" s="357"/>
      <c r="AI402" s="357"/>
      <c r="AJ402" s="156"/>
      <c r="AK402" s="156"/>
      <c r="AL402" s="375"/>
      <c r="AM402" s="405"/>
      <c r="AN402" s="273"/>
      <c r="AO402" s="405"/>
      <c r="AP402" s="273"/>
      <c r="AQ402" s="273"/>
      <c r="AR402" s="273"/>
      <c r="AS402" s="273"/>
      <c r="AT402" s="273"/>
      <c r="AU402" s="273"/>
      <c r="AV402" s="322">
        <f t="shared" si="20"/>
        <v>0</v>
      </c>
      <c r="AW402" s="402"/>
      <c r="AX402" s="376"/>
      <c r="AY402" s="373"/>
      <c r="AZ402" s="375"/>
      <c r="BA402" s="375"/>
      <c r="BB402" s="375"/>
      <c r="BC402" s="375"/>
      <c r="BD402" s="353">
        <f t="shared" si="21"/>
        <v>0</v>
      </c>
      <c r="BE402" s="432" t="s">
        <v>355</v>
      </c>
      <c r="BF402" s="407" t="s">
        <v>496</v>
      </c>
      <c r="BG402" s="168"/>
      <c r="BH402" s="274"/>
      <c r="BI402" s="168"/>
      <c r="BJ402" s="274"/>
      <c r="BK402" s="168"/>
      <c r="BL402" s="275"/>
      <c r="BM402" s="276"/>
      <c r="BN402" s="275"/>
      <c r="BO402" s="276"/>
      <c r="BP402" s="277"/>
      <c r="BQ402" s="156"/>
      <c r="BR402" s="274"/>
      <c r="BS402" s="270"/>
      <c r="BT402" s="270"/>
      <c r="BU402" s="274"/>
      <c r="BV402" s="274"/>
      <c r="BW402" s="278"/>
      <c r="BX402" s="278"/>
      <c r="BY402" s="278"/>
      <c r="BZ402" s="351"/>
    </row>
    <row r="403" spans="1:78" s="90" customFormat="1" ht="19.5" hidden="1" customHeight="1">
      <c r="A403" s="137"/>
      <c r="B403" s="197">
        <f t="shared" si="19"/>
        <v>393</v>
      </c>
      <c r="C403" s="30" t="s">
        <v>202</v>
      </c>
      <c r="D403" s="30" t="s">
        <v>225</v>
      </c>
      <c r="E403" s="234" t="s">
        <v>983</v>
      </c>
      <c r="F403" s="235" t="s">
        <v>1252</v>
      </c>
      <c r="G403" s="284">
        <f>IFERROR(VLOOKUP(E403,Assign!$C$2:$J$142,8,FALSE),)</f>
        <v>0</v>
      </c>
      <c r="H403" s="361" t="s">
        <v>4741</v>
      </c>
      <c r="I403" s="363">
        <v>3</v>
      </c>
      <c r="J403" s="364" t="s">
        <v>212</v>
      </c>
      <c r="K403" s="364" t="s">
        <v>232</v>
      </c>
      <c r="L403" s="365" t="s">
        <v>367</v>
      </c>
      <c r="M403" s="362" t="s">
        <v>2277</v>
      </c>
      <c r="N403" s="421" t="s">
        <v>531</v>
      </c>
      <c r="O403" s="269">
        <v>8.0131999999999994</v>
      </c>
      <c r="P403" s="269">
        <v>21.7517</v>
      </c>
      <c r="Q403" s="426"/>
      <c r="R403" s="418" t="s">
        <v>983</v>
      </c>
      <c r="S403" s="427" t="s">
        <v>613</v>
      </c>
      <c r="T403" s="357">
        <v>1</v>
      </c>
      <c r="U403" s="357" t="s">
        <v>204</v>
      </c>
      <c r="V403" s="367">
        <v>97200000</v>
      </c>
      <c r="W403" s="368">
        <v>97200000</v>
      </c>
      <c r="X403" s="357"/>
      <c r="Y403" s="357"/>
      <c r="Z403" s="400"/>
      <c r="AA403" s="369"/>
      <c r="AB403" s="370"/>
      <c r="AC403" s="404"/>
      <c r="AD403" s="270"/>
      <c r="AE403" s="156"/>
      <c r="AF403" s="156"/>
      <c r="AG403" s="357"/>
      <c r="AH403" s="357"/>
      <c r="AI403" s="357"/>
      <c r="AJ403" s="156"/>
      <c r="AK403" s="156"/>
      <c r="AL403" s="375"/>
      <c r="AM403" s="405"/>
      <c r="AN403" s="273"/>
      <c r="AO403" s="405"/>
      <c r="AP403" s="273"/>
      <c r="AQ403" s="273"/>
      <c r="AR403" s="273"/>
      <c r="AS403" s="273"/>
      <c r="AT403" s="273"/>
      <c r="AU403" s="273"/>
      <c r="AV403" s="322">
        <f t="shared" si="20"/>
        <v>0</v>
      </c>
      <c r="AW403" s="402"/>
      <c r="AX403" s="376"/>
      <c r="AY403" s="373"/>
      <c r="AZ403" s="375"/>
      <c r="BA403" s="375"/>
      <c r="BB403" s="375"/>
      <c r="BC403" s="375"/>
      <c r="BD403" s="353">
        <f t="shared" si="21"/>
        <v>0</v>
      </c>
      <c r="BE403" s="432" t="s">
        <v>355</v>
      </c>
      <c r="BF403" s="407" t="s">
        <v>496</v>
      </c>
      <c r="BG403" s="168"/>
      <c r="BH403" s="274"/>
      <c r="BI403" s="168"/>
      <c r="BJ403" s="274"/>
      <c r="BK403" s="168"/>
      <c r="BL403" s="275"/>
      <c r="BM403" s="276"/>
      <c r="BN403" s="275"/>
      <c r="BO403" s="276"/>
      <c r="BP403" s="277"/>
      <c r="BQ403" s="156"/>
      <c r="BR403" s="274"/>
      <c r="BS403" s="270"/>
      <c r="BT403" s="270"/>
      <c r="BU403" s="274"/>
      <c r="BV403" s="274"/>
      <c r="BW403" s="278"/>
      <c r="BX403" s="278"/>
      <c r="BY403" s="278"/>
      <c r="BZ403" s="351"/>
    </row>
    <row r="404" spans="1:78" s="90" customFormat="1" ht="19.5" hidden="1" customHeight="1">
      <c r="A404" s="137"/>
      <c r="B404" s="197">
        <f t="shared" si="19"/>
        <v>394</v>
      </c>
      <c r="C404" s="30" t="s">
        <v>202</v>
      </c>
      <c r="D404" s="30" t="s">
        <v>225</v>
      </c>
      <c r="E404" s="234" t="s">
        <v>983</v>
      </c>
      <c r="F404" s="235" t="s">
        <v>1252</v>
      </c>
      <c r="G404" s="284">
        <f>IFERROR(VLOOKUP(E404,Assign!$C$2:$J$142,8,FALSE),)</f>
        <v>0</v>
      </c>
      <c r="H404" s="361" t="s">
        <v>4743</v>
      </c>
      <c r="I404" s="363">
        <v>4</v>
      </c>
      <c r="J404" s="364" t="s">
        <v>212</v>
      </c>
      <c r="K404" s="364" t="s">
        <v>232</v>
      </c>
      <c r="L404" s="365" t="s">
        <v>367</v>
      </c>
      <c r="M404" s="362" t="s">
        <v>2278</v>
      </c>
      <c r="N404" s="421" t="s">
        <v>531</v>
      </c>
      <c r="O404" s="269">
        <v>7.7632000000000003</v>
      </c>
      <c r="P404" s="269">
        <v>21.7517</v>
      </c>
      <c r="Q404" s="426"/>
      <c r="R404" s="418" t="s">
        <v>983</v>
      </c>
      <c r="S404" s="427" t="s">
        <v>613</v>
      </c>
      <c r="T404" s="357">
        <v>1</v>
      </c>
      <c r="U404" s="357" t="s">
        <v>204</v>
      </c>
      <c r="V404" s="367">
        <v>86400000</v>
      </c>
      <c r="W404" s="368">
        <v>86400000</v>
      </c>
      <c r="X404" s="357"/>
      <c r="Y404" s="357"/>
      <c r="Z404" s="400"/>
      <c r="AA404" s="369"/>
      <c r="AB404" s="370"/>
      <c r="AC404" s="404"/>
      <c r="AD404" s="270"/>
      <c r="AE404" s="156"/>
      <c r="AF404" s="156"/>
      <c r="AG404" s="357"/>
      <c r="AH404" s="357"/>
      <c r="AI404" s="357"/>
      <c r="AJ404" s="156"/>
      <c r="AK404" s="156"/>
      <c r="AL404" s="375"/>
      <c r="AM404" s="405"/>
      <c r="AN404" s="273"/>
      <c r="AO404" s="405"/>
      <c r="AP404" s="273"/>
      <c r="AQ404" s="273"/>
      <c r="AR404" s="273"/>
      <c r="AS404" s="273"/>
      <c r="AT404" s="273"/>
      <c r="AU404" s="273"/>
      <c r="AV404" s="322">
        <f t="shared" si="20"/>
        <v>0</v>
      </c>
      <c r="AW404" s="402"/>
      <c r="AX404" s="376"/>
      <c r="AY404" s="373"/>
      <c r="AZ404" s="375"/>
      <c r="BA404" s="375"/>
      <c r="BB404" s="375"/>
      <c r="BC404" s="375"/>
      <c r="BD404" s="353">
        <f t="shared" si="21"/>
        <v>0</v>
      </c>
      <c r="BE404" s="432" t="s">
        <v>355</v>
      </c>
      <c r="BF404" s="407" t="s">
        <v>496</v>
      </c>
      <c r="BG404" s="168"/>
      <c r="BH404" s="274"/>
      <c r="BI404" s="168"/>
      <c r="BJ404" s="274"/>
      <c r="BK404" s="168"/>
      <c r="BL404" s="275"/>
      <c r="BM404" s="276"/>
      <c r="BN404" s="275"/>
      <c r="BO404" s="276"/>
      <c r="BP404" s="277"/>
      <c r="BQ404" s="156"/>
      <c r="BR404" s="274"/>
      <c r="BS404" s="270"/>
      <c r="BT404" s="270"/>
      <c r="BU404" s="274"/>
      <c r="BV404" s="274"/>
      <c r="BW404" s="278"/>
      <c r="BX404" s="278"/>
      <c r="BY404" s="278"/>
      <c r="BZ404" s="351"/>
    </row>
    <row r="405" spans="1:78" s="90" customFormat="1" ht="19.5" hidden="1" customHeight="1">
      <c r="A405" s="137"/>
      <c r="B405" s="197">
        <f t="shared" si="19"/>
        <v>395</v>
      </c>
      <c r="C405" s="30" t="s">
        <v>202</v>
      </c>
      <c r="D405" s="30" t="s">
        <v>225</v>
      </c>
      <c r="E405" s="234" t="s">
        <v>983</v>
      </c>
      <c r="F405" s="235" t="s">
        <v>1252</v>
      </c>
      <c r="G405" s="284">
        <f>IFERROR(VLOOKUP(E405,Assign!$C$2:$J$142,8,FALSE),)</f>
        <v>0</v>
      </c>
      <c r="H405" s="361" t="s">
        <v>4745</v>
      </c>
      <c r="I405" s="363">
        <v>5</v>
      </c>
      <c r="J405" s="364" t="s">
        <v>212</v>
      </c>
      <c r="K405" s="364" t="s">
        <v>232</v>
      </c>
      <c r="L405" s="365" t="s">
        <v>367</v>
      </c>
      <c r="M405" s="362" t="s">
        <v>2279</v>
      </c>
      <c r="N405" s="421" t="s">
        <v>531</v>
      </c>
      <c r="O405" s="269">
        <v>7.7377000000000002</v>
      </c>
      <c r="P405" s="269">
        <v>21.680199999999999</v>
      </c>
      <c r="Q405" s="426"/>
      <c r="R405" s="418" t="s">
        <v>983</v>
      </c>
      <c r="S405" s="427" t="s">
        <v>613</v>
      </c>
      <c r="T405" s="357">
        <v>1</v>
      </c>
      <c r="U405" s="357" t="s">
        <v>204</v>
      </c>
      <c r="V405" s="367">
        <v>86400000</v>
      </c>
      <c r="W405" s="368">
        <v>86400000</v>
      </c>
      <c r="X405" s="357"/>
      <c r="Y405" s="357"/>
      <c r="Z405" s="400"/>
      <c r="AA405" s="369"/>
      <c r="AB405" s="370"/>
      <c r="AC405" s="404"/>
      <c r="AD405" s="270"/>
      <c r="AE405" s="156"/>
      <c r="AF405" s="156"/>
      <c r="AG405" s="357"/>
      <c r="AH405" s="357"/>
      <c r="AI405" s="357"/>
      <c r="AJ405" s="156"/>
      <c r="AK405" s="156"/>
      <c r="AL405" s="375"/>
      <c r="AM405" s="405"/>
      <c r="AN405" s="273"/>
      <c r="AO405" s="405"/>
      <c r="AP405" s="273"/>
      <c r="AQ405" s="273"/>
      <c r="AR405" s="273"/>
      <c r="AS405" s="273"/>
      <c r="AT405" s="273"/>
      <c r="AU405" s="273"/>
      <c r="AV405" s="322">
        <f t="shared" si="20"/>
        <v>0</v>
      </c>
      <c r="AW405" s="402"/>
      <c r="AX405" s="376"/>
      <c r="AY405" s="373"/>
      <c r="AZ405" s="375"/>
      <c r="BA405" s="375"/>
      <c r="BB405" s="375"/>
      <c r="BC405" s="375"/>
      <c r="BD405" s="353">
        <f t="shared" si="21"/>
        <v>0</v>
      </c>
      <c r="BE405" s="432" t="s">
        <v>355</v>
      </c>
      <c r="BF405" s="407" t="s">
        <v>496</v>
      </c>
      <c r="BG405" s="168"/>
      <c r="BH405" s="274"/>
      <c r="BI405" s="168"/>
      <c r="BJ405" s="274"/>
      <c r="BK405" s="168"/>
      <c r="BL405" s="275"/>
      <c r="BM405" s="276"/>
      <c r="BN405" s="275"/>
      <c r="BO405" s="276"/>
      <c r="BP405" s="277"/>
      <c r="BQ405" s="156"/>
      <c r="BR405" s="274"/>
      <c r="BS405" s="270"/>
      <c r="BT405" s="270"/>
      <c r="BU405" s="274"/>
      <c r="BV405" s="274"/>
      <c r="BW405" s="278"/>
      <c r="BX405" s="278"/>
      <c r="BY405" s="278"/>
      <c r="BZ405" s="351"/>
    </row>
    <row r="406" spans="1:78" s="90" customFormat="1" ht="19.5" hidden="1" customHeight="1">
      <c r="A406" s="137"/>
      <c r="B406" s="197">
        <f t="shared" si="19"/>
        <v>396</v>
      </c>
      <c r="C406" s="30" t="s">
        <v>202</v>
      </c>
      <c r="D406" s="30" t="s">
        <v>225</v>
      </c>
      <c r="E406" s="234" t="s">
        <v>984</v>
      </c>
      <c r="F406" s="235" t="s">
        <v>1357</v>
      </c>
      <c r="G406" s="284">
        <f>IFERROR(VLOOKUP(E406,Assign!$C$2:$J$142,8,FALSE),)</f>
        <v>0</v>
      </c>
      <c r="H406" s="361" t="s">
        <v>5123</v>
      </c>
      <c r="I406" s="363">
        <v>1</v>
      </c>
      <c r="J406" s="364" t="s">
        <v>212</v>
      </c>
      <c r="K406" s="364" t="s">
        <v>232</v>
      </c>
      <c r="L406" s="365" t="s">
        <v>293</v>
      </c>
      <c r="M406" s="362" t="s">
        <v>3156</v>
      </c>
      <c r="N406" s="421" t="s">
        <v>546</v>
      </c>
      <c r="O406" s="269">
        <v>89.18</v>
      </c>
      <c r="P406" s="269">
        <v>286.74</v>
      </c>
      <c r="Q406" s="426"/>
      <c r="R406" s="418" t="s">
        <v>984</v>
      </c>
      <c r="S406" s="427" t="s">
        <v>613</v>
      </c>
      <c r="T406" s="357">
        <v>1</v>
      </c>
      <c r="U406" s="357" t="s">
        <v>204</v>
      </c>
      <c r="V406" s="367">
        <v>715200000</v>
      </c>
      <c r="W406" s="368">
        <v>715200000</v>
      </c>
      <c r="X406" s="357"/>
      <c r="Y406" s="357"/>
      <c r="Z406" s="400"/>
      <c r="AA406" s="369"/>
      <c r="AB406" s="370"/>
      <c r="AC406" s="404"/>
      <c r="AD406" s="270"/>
      <c r="AE406" s="156"/>
      <c r="AF406" s="156"/>
      <c r="AG406" s="357"/>
      <c r="AH406" s="357"/>
      <c r="AI406" s="357"/>
      <c r="AJ406" s="156"/>
      <c r="AK406" s="156"/>
      <c r="AL406" s="375"/>
      <c r="AM406" s="405"/>
      <c r="AN406" s="273"/>
      <c r="AO406" s="405"/>
      <c r="AP406" s="273"/>
      <c r="AQ406" s="273"/>
      <c r="AR406" s="273"/>
      <c r="AS406" s="273"/>
      <c r="AT406" s="273"/>
      <c r="AU406" s="273"/>
      <c r="AV406" s="322">
        <f t="shared" si="20"/>
        <v>0</v>
      </c>
      <c r="AW406" s="402"/>
      <c r="AX406" s="376"/>
      <c r="AY406" s="373"/>
      <c r="AZ406" s="375"/>
      <c r="BA406" s="375"/>
      <c r="BB406" s="375"/>
      <c r="BC406" s="375"/>
      <c r="BD406" s="353">
        <f t="shared" si="21"/>
        <v>0</v>
      </c>
      <c r="BE406" s="432" t="s">
        <v>355</v>
      </c>
      <c r="BF406" s="407" t="s">
        <v>496</v>
      </c>
      <c r="BG406" s="168"/>
      <c r="BH406" s="274"/>
      <c r="BI406" s="168"/>
      <c r="BJ406" s="274"/>
      <c r="BK406" s="168"/>
      <c r="BL406" s="275"/>
      <c r="BM406" s="276"/>
      <c r="BN406" s="275"/>
      <c r="BO406" s="276"/>
      <c r="BP406" s="277"/>
      <c r="BQ406" s="156"/>
      <c r="BR406" s="274"/>
      <c r="BS406" s="270"/>
      <c r="BT406" s="270"/>
      <c r="BU406" s="274"/>
      <c r="BV406" s="274"/>
      <c r="BW406" s="278"/>
      <c r="BX406" s="278"/>
      <c r="BY406" s="278"/>
      <c r="BZ406" s="351"/>
    </row>
    <row r="407" spans="1:78" s="90" customFormat="1" ht="19.5" hidden="1" customHeight="1">
      <c r="A407" s="137"/>
      <c r="B407" s="197">
        <f t="shared" si="19"/>
        <v>397</v>
      </c>
      <c r="C407" s="30" t="s">
        <v>202</v>
      </c>
      <c r="D407" s="30" t="s">
        <v>225</v>
      </c>
      <c r="E407" s="234" t="s">
        <v>985</v>
      </c>
      <c r="F407" s="235" t="s">
        <v>1229</v>
      </c>
      <c r="G407" s="284">
        <f>IFERROR(VLOOKUP(E407,Assign!$C$2:$J$142,8,FALSE),)</f>
        <v>0</v>
      </c>
      <c r="H407" s="361" t="s">
        <v>4779</v>
      </c>
      <c r="I407" s="363">
        <v>1</v>
      </c>
      <c r="J407" s="364" t="s">
        <v>208</v>
      </c>
      <c r="K407" s="364" t="s">
        <v>259</v>
      </c>
      <c r="L407" s="365" t="s">
        <v>2309</v>
      </c>
      <c r="M407" s="362" t="s">
        <v>2310</v>
      </c>
      <c r="N407" s="421" t="s">
        <v>207</v>
      </c>
      <c r="O407" s="269">
        <v>48.81</v>
      </c>
      <c r="P407" s="269">
        <v>84.95</v>
      </c>
      <c r="Q407" s="426"/>
      <c r="R407" s="418" t="s">
        <v>985</v>
      </c>
      <c r="S407" s="427" t="s">
        <v>613</v>
      </c>
      <c r="T407" s="357">
        <v>1</v>
      </c>
      <c r="U407" s="357" t="s">
        <v>204</v>
      </c>
      <c r="V407" s="367">
        <v>424270000</v>
      </c>
      <c r="W407" s="368">
        <v>424270000</v>
      </c>
      <c r="X407" s="357"/>
      <c r="Y407" s="357"/>
      <c r="Z407" s="400"/>
      <c r="AA407" s="369"/>
      <c r="AB407" s="370"/>
      <c r="AC407" s="404"/>
      <c r="AD407" s="270"/>
      <c r="AE407" s="156"/>
      <c r="AF407" s="156"/>
      <c r="AG407" s="357"/>
      <c r="AH407" s="357"/>
      <c r="AI407" s="357"/>
      <c r="AJ407" s="156"/>
      <c r="AK407" s="156"/>
      <c r="AL407" s="375"/>
      <c r="AM407" s="405"/>
      <c r="AN407" s="273"/>
      <c r="AO407" s="405"/>
      <c r="AP407" s="273"/>
      <c r="AQ407" s="273"/>
      <c r="AR407" s="273"/>
      <c r="AS407" s="273"/>
      <c r="AT407" s="273"/>
      <c r="AU407" s="273"/>
      <c r="AV407" s="322">
        <f t="shared" si="20"/>
        <v>0</v>
      </c>
      <c r="AW407" s="402"/>
      <c r="AX407" s="376"/>
      <c r="AY407" s="373"/>
      <c r="AZ407" s="375"/>
      <c r="BA407" s="375"/>
      <c r="BB407" s="375"/>
      <c r="BC407" s="375"/>
      <c r="BD407" s="353">
        <f t="shared" si="21"/>
        <v>0</v>
      </c>
      <c r="BE407" s="432" t="s">
        <v>355</v>
      </c>
      <c r="BF407" s="407" t="s">
        <v>499</v>
      </c>
      <c r="BG407" s="168"/>
      <c r="BH407" s="274"/>
      <c r="BI407" s="168"/>
      <c r="BJ407" s="274"/>
      <c r="BK407" s="168"/>
      <c r="BL407" s="275"/>
      <c r="BM407" s="276"/>
      <c r="BN407" s="275"/>
      <c r="BO407" s="276"/>
      <c r="BP407" s="277"/>
      <c r="BQ407" s="156"/>
      <c r="BR407" s="274"/>
      <c r="BS407" s="270"/>
      <c r="BT407" s="270"/>
      <c r="BU407" s="274"/>
      <c r="BV407" s="274"/>
      <c r="BW407" s="278"/>
      <c r="BX407" s="278"/>
      <c r="BY407" s="278"/>
      <c r="BZ407" s="351"/>
    </row>
    <row r="408" spans="1:78" s="90" customFormat="1" ht="19.5" hidden="1" customHeight="1">
      <c r="A408" s="137"/>
      <c r="B408" s="197">
        <f t="shared" si="19"/>
        <v>398</v>
      </c>
      <c r="C408" s="30" t="s">
        <v>202</v>
      </c>
      <c r="D408" s="30" t="s">
        <v>225</v>
      </c>
      <c r="E408" s="234" t="s">
        <v>986</v>
      </c>
      <c r="F408" s="235" t="s">
        <v>1229</v>
      </c>
      <c r="G408" s="284">
        <f>IFERROR(VLOOKUP(E408,Assign!$C$2:$J$142,8,FALSE),)</f>
        <v>0</v>
      </c>
      <c r="H408" s="361" t="s">
        <v>4116</v>
      </c>
      <c r="I408" s="363">
        <v>1</v>
      </c>
      <c r="J408" s="364" t="s">
        <v>220</v>
      </c>
      <c r="K408" s="364" t="s">
        <v>384</v>
      </c>
      <c r="L408" s="365" t="s">
        <v>1525</v>
      </c>
      <c r="M408" s="362" t="s">
        <v>1691</v>
      </c>
      <c r="N408" s="421" t="s">
        <v>207</v>
      </c>
      <c r="O408" s="269">
        <v>55.035400000000003</v>
      </c>
      <c r="P408" s="269">
        <v>84.945499999999996</v>
      </c>
      <c r="Q408" s="426"/>
      <c r="R408" s="418" t="s">
        <v>986</v>
      </c>
      <c r="S408" s="427" t="s">
        <v>613</v>
      </c>
      <c r="T408" s="357" t="s">
        <v>229</v>
      </c>
      <c r="U408" s="357" t="s">
        <v>204</v>
      </c>
      <c r="V408" s="367">
        <v>470400000</v>
      </c>
      <c r="W408" s="368">
        <v>470400000</v>
      </c>
      <c r="X408" s="357"/>
      <c r="Y408" s="357"/>
      <c r="Z408" s="400"/>
      <c r="AA408" s="369"/>
      <c r="AB408" s="370"/>
      <c r="AC408" s="404"/>
      <c r="AD408" s="270"/>
      <c r="AE408" s="156"/>
      <c r="AF408" s="156"/>
      <c r="AG408" s="357"/>
      <c r="AH408" s="357"/>
      <c r="AI408" s="357"/>
      <c r="AJ408" s="156"/>
      <c r="AK408" s="156"/>
      <c r="AL408" s="375"/>
      <c r="AM408" s="405"/>
      <c r="AN408" s="273"/>
      <c r="AO408" s="405"/>
      <c r="AP408" s="273"/>
      <c r="AQ408" s="273"/>
      <c r="AR408" s="273"/>
      <c r="AS408" s="273"/>
      <c r="AT408" s="273"/>
      <c r="AU408" s="273"/>
      <c r="AV408" s="322">
        <f t="shared" si="20"/>
        <v>0</v>
      </c>
      <c r="AW408" s="402" t="s">
        <v>3387</v>
      </c>
      <c r="AX408" s="376">
        <v>45765</v>
      </c>
      <c r="AY408" s="373" t="s">
        <v>3388</v>
      </c>
      <c r="AZ408" s="375"/>
      <c r="BA408" s="375">
        <v>425000000</v>
      </c>
      <c r="BB408" s="375"/>
      <c r="BC408" s="375"/>
      <c r="BD408" s="353">
        <f t="shared" si="21"/>
        <v>425000000</v>
      </c>
      <c r="BE408" s="432" t="s">
        <v>355</v>
      </c>
      <c r="BF408" s="407" t="s">
        <v>523</v>
      </c>
      <c r="BG408" s="168"/>
      <c r="BH408" s="274"/>
      <c r="BI408" s="168"/>
      <c r="BJ408" s="274"/>
      <c r="BK408" s="168"/>
      <c r="BL408" s="275"/>
      <c r="BM408" s="276"/>
      <c r="BN408" s="275"/>
      <c r="BO408" s="276"/>
      <c r="BP408" s="277"/>
      <c r="BQ408" s="156"/>
      <c r="BR408" s="274"/>
      <c r="BS408" s="270"/>
      <c r="BT408" s="270"/>
      <c r="BU408" s="274"/>
      <c r="BV408" s="274"/>
      <c r="BW408" s="278"/>
      <c r="BX408" s="278"/>
      <c r="BY408" s="278"/>
      <c r="BZ408" s="351"/>
    </row>
    <row r="409" spans="1:78" s="90" customFormat="1" ht="19.5" hidden="1" customHeight="1">
      <c r="A409" s="137"/>
      <c r="B409" s="197">
        <f t="shared" si="19"/>
        <v>399</v>
      </c>
      <c r="C409" s="30" t="s">
        <v>202</v>
      </c>
      <c r="D409" s="30" t="s">
        <v>225</v>
      </c>
      <c r="E409" s="234" t="s">
        <v>987</v>
      </c>
      <c r="F409" s="235" t="s">
        <v>1255</v>
      </c>
      <c r="G409" s="284">
        <f>IFERROR(VLOOKUP(E409,Assign!$C$2:$J$142,8,FALSE),)</f>
        <v>0</v>
      </c>
      <c r="H409" s="361" t="s">
        <v>4023</v>
      </c>
      <c r="I409" s="363">
        <v>1</v>
      </c>
      <c r="J409" s="364" t="s">
        <v>209</v>
      </c>
      <c r="K409" s="364" t="s">
        <v>380</v>
      </c>
      <c r="L409" s="365" t="s">
        <v>1597</v>
      </c>
      <c r="M409" s="362" t="s">
        <v>3649</v>
      </c>
      <c r="N409" s="421" t="s">
        <v>620</v>
      </c>
      <c r="O409" s="269">
        <v>56.5</v>
      </c>
      <c r="P409" s="269">
        <v>40.5</v>
      </c>
      <c r="Q409" s="426"/>
      <c r="R409" s="418" t="s">
        <v>987</v>
      </c>
      <c r="S409" s="427" t="s">
        <v>613</v>
      </c>
      <c r="T409" s="357">
        <v>1</v>
      </c>
      <c r="U409" s="357" t="s">
        <v>204</v>
      </c>
      <c r="V409" s="367">
        <v>383620840</v>
      </c>
      <c r="W409" s="368">
        <v>383620840</v>
      </c>
      <c r="X409" s="357"/>
      <c r="Y409" s="357"/>
      <c r="Z409" s="400"/>
      <c r="AA409" s="369"/>
      <c r="AB409" s="370"/>
      <c r="AC409" s="404"/>
      <c r="AD409" s="270"/>
      <c r="AE409" s="156"/>
      <c r="AF409" s="156"/>
      <c r="AG409" s="357"/>
      <c r="AH409" s="357"/>
      <c r="AI409" s="357"/>
      <c r="AJ409" s="156"/>
      <c r="AK409" s="156"/>
      <c r="AL409" s="375"/>
      <c r="AM409" s="405"/>
      <c r="AN409" s="273"/>
      <c r="AO409" s="405"/>
      <c r="AP409" s="273"/>
      <c r="AQ409" s="273"/>
      <c r="AR409" s="273"/>
      <c r="AS409" s="273"/>
      <c r="AT409" s="273"/>
      <c r="AU409" s="273"/>
      <c r="AV409" s="322">
        <f t="shared" si="20"/>
        <v>0</v>
      </c>
      <c r="AW409" s="402"/>
      <c r="AX409" s="376"/>
      <c r="AY409" s="373"/>
      <c r="AZ409" s="375"/>
      <c r="BA409" s="375"/>
      <c r="BB409" s="375"/>
      <c r="BC409" s="375"/>
      <c r="BD409" s="353">
        <f t="shared" si="21"/>
        <v>0</v>
      </c>
      <c r="BE409" s="432" t="s">
        <v>355</v>
      </c>
      <c r="BF409" s="407" t="s">
        <v>510</v>
      </c>
      <c r="BG409" s="168"/>
      <c r="BH409" s="274"/>
      <c r="BI409" s="168"/>
      <c r="BJ409" s="274"/>
      <c r="BK409" s="168"/>
      <c r="BL409" s="275"/>
      <c r="BM409" s="276"/>
      <c r="BN409" s="275"/>
      <c r="BO409" s="276"/>
      <c r="BP409" s="277"/>
      <c r="BQ409" s="156"/>
      <c r="BR409" s="274"/>
      <c r="BS409" s="270"/>
      <c r="BT409" s="270"/>
      <c r="BU409" s="274"/>
      <c r="BV409" s="274"/>
      <c r="BW409" s="278"/>
      <c r="BX409" s="278"/>
      <c r="BY409" s="278"/>
      <c r="BZ409" s="351"/>
    </row>
    <row r="410" spans="1:78" s="90" customFormat="1" ht="19.5" hidden="1" customHeight="1">
      <c r="A410" s="137"/>
      <c r="B410" s="197">
        <f t="shared" si="19"/>
        <v>400</v>
      </c>
      <c r="C410" s="30" t="s">
        <v>202</v>
      </c>
      <c r="D410" s="30" t="s">
        <v>225</v>
      </c>
      <c r="E410" s="234" t="s">
        <v>987</v>
      </c>
      <c r="F410" s="235" t="s">
        <v>1255</v>
      </c>
      <c r="G410" s="284">
        <f>IFERROR(VLOOKUP(E410,Assign!$C$2:$J$142,8,FALSE),)</f>
        <v>0</v>
      </c>
      <c r="H410" s="361" t="s">
        <v>4026</v>
      </c>
      <c r="I410" s="363">
        <v>2</v>
      </c>
      <c r="J410" s="364" t="s">
        <v>209</v>
      </c>
      <c r="K410" s="364" t="s">
        <v>1546</v>
      </c>
      <c r="L410" s="365" t="s">
        <v>1600</v>
      </c>
      <c r="M410" s="362" t="s">
        <v>1601</v>
      </c>
      <c r="N410" s="421" t="s">
        <v>207</v>
      </c>
      <c r="O410" s="269">
        <v>34.69</v>
      </c>
      <c r="P410" s="269">
        <v>84.91</v>
      </c>
      <c r="Q410" s="426"/>
      <c r="R410" s="418" t="s">
        <v>3422</v>
      </c>
      <c r="S410" s="427" t="s">
        <v>613</v>
      </c>
      <c r="T410" s="357">
        <v>2</v>
      </c>
      <c r="U410" s="357" t="s">
        <v>204</v>
      </c>
      <c r="V410" s="367">
        <v>120379160</v>
      </c>
      <c r="W410" s="368">
        <v>120379160</v>
      </c>
      <c r="X410" s="357"/>
      <c r="Y410" s="357"/>
      <c r="Z410" s="400"/>
      <c r="AA410" s="369"/>
      <c r="AB410" s="370"/>
      <c r="AC410" s="404">
        <v>1</v>
      </c>
      <c r="AD410" s="270" t="s">
        <v>204</v>
      </c>
      <c r="AE410" s="156">
        <v>295900000</v>
      </c>
      <c r="AF410" s="156">
        <v>295900000</v>
      </c>
      <c r="AG410" s="357"/>
      <c r="AH410" s="357"/>
      <c r="AI410" s="357"/>
      <c r="AJ410" s="156"/>
      <c r="AK410" s="156"/>
      <c r="AL410" s="375"/>
      <c r="AM410" s="405"/>
      <c r="AN410" s="273"/>
      <c r="AO410" s="405"/>
      <c r="AP410" s="273"/>
      <c r="AQ410" s="273"/>
      <c r="AR410" s="273"/>
      <c r="AS410" s="273"/>
      <c r="AT410" s="273"/>
      <c r="AU410" s="273"/>
      <c r="AV410" s="322">
        <f t="shared" si="20"/>
        <v>0</v>
      </c>
      <c r="AW410" s="402" t="s">
        <v>3387</v>
      </c>
      <c r="AX410" s="376">
        <v>45765</v>
      </c>
      <c r="AY410" s="373" t="s">
        <v>3388</v>
      </c>
      <c r="AZ410" s="375"/>
      <c r="BA410" s="375">
        <v>1255000000</v>
      </c>
      <c r="BB410" s="375"/>
      <c r="BC410" s="375"/>
      <c r="BD410" s="353">
        <f t="shared" si="21"/>
        <v>1255000000</v>
      </c>
      <c r="BE410" s="432" t="s">
        <v>355</v>
      </c>
      <c r="BF410" s="407" t="s">
        <v>511</v>
      </c>
      <c r="BG410" s="168"/>
      <c r="BH410" s="274"/>
      <c r="BI410" s="168"/>
      <c r="BJ410" s="274"/>
      <c r="BK410" s="168"/>
      <c r="BL410" s="275"/>
      <c r="BM410" s="276"/>
      <c r="BN410" s="275"/>
      <c r="BO410" s="276"/>
      <c r="BP410" s="277"/>
      <c r="BQ410" s="156"/>
      <c r="BR410" s="274"/>
      <c r="BS410" s="270"/>
      <c r="BT410" s="270"/>
      <c r="BU410" s="274"/>
      <c r="BV410" s="274"/>
      <c r="BW410" s="278"/>
      <c r="BX410" s="278"/>
      <c r="BY410" s="278"/>
      <c r="BZ410" s="351"/>
    </row>
    <row r="411" spans="1:78" s="90" customFormat="1" ht="19.5" hidden="1" customHeight="1">
      <c r="A411" s="137"/>
      <c r="B411" s="197">
        <f t="shared" si="19"/>
        <v>401</v>
      </c>
      <c r="C411" s="30" t="s">
        <v>202</v>
      </c>
      <c r="D411" s="30" t="s">
        <v>225</v>
      </c>
      <c r="E411" s="234" t="s">
        <v>988</v>
      </c>
      <c r="F411" s="235" t="s">
        <v>1252</v>
      </c>
      <c r="G411" s="284" t="str">
        <f>IFERROR(VLOOKUP(E411,Assign!$C$2:$J$142,8,FALSE),)</f>
        <v>문선영</v>
      </c>
      <c r="H411" s="361" t="s">
        <v>4819</v>
      </c>
      <c r="I411" s="363">
        <v>1</v>
      </c>
      <c r="J411" s="364" t="s">
        <v>209</v>
      </c>
      <c r="K411" s="364" t="s">
        <v>341</v>
      </c>
      <c r="L411" s="365" t="s">
        <v>2349</v>
      </c>
      <c r="M411" s="362" t="s">
        <v>2350</v>
      </c>
      <c r="N411" s="421" t="s">
        <v>207</v>
      </c>
      <c r="O411" s="269">
        <v>117.5569</v>
      </c>
      <c r="P411" s="269">
        <v>114.9</v>
      </c>
      <c r="Q411" s="426"/>
      <c r="R411" s="418" t="s">
        <v>3487</v>
      </c>
      <c r="S411" s="427" t="s">
        <v>613</v>
      </c>
      <c r="T411" s="357">
        <v>1</v>
      </c>
      <c r="U411" s="357" t="s">
        <v>204</v>
      </c>
      <c r="V411" s="367">
        <v>657600000</v>
      </c>
      <c r="W411" s="368">
        <v>657600000</v>
      </c>
      <c r="X411" s="357"/>
      <c r="Y411" s="357"/>
      <c r="Z411" s="400"/>
      <c r="AA411" s="369"/>
      <c r="AB411" s="370"/>
      <c r="AC411" s="404"/>
      <c r="AD411" s="270"/>
      <c r="AE411" s="156"/>
      <c r="AF411" s="156"/>
      <c r="AG411" s="357"/>
      <c r="AH411" s="357"/>
      <c r="AI411" s="357"/>
      <c r="AJ411" s="156"/>
      <c r="AK411" s="156"/>
      <c r="AL411" s="375"/>
      <c r="AM411" s="405"/>
      <c r="AN411" s="273"/>
      <c r="AO411" s="405"/>
      <c r="AP411" s="273"/>
      <c r="AQ411" s="273"/>
      <c r="AR411" s="273"/>
      <c r="AS411" s="273"/>
      <c r="AT411" s="273"/>
      <c r="AU411" s="273"/>
      <c r="AV411" s="322">
        <f t="shared" si="20"/>
        <v>0</v>
      </c>
      <c r="AW411" s="402" t="s">
        <v>3387</v>
      </c>
      <c r="AX411" s="376">
        <v>45765</v>
      </c>
      <c r="AY411" s="373" t="s">
        <v>3388</v>
      </c>
      <c r="AZ411" s="375"/>
      <c r="BA411" s="375">
        <v>2100000000</v>
      </c>
      <c r="BB411" s="375"/>
      <c r="BC411" s="375"/>
      <c r="BD411" s="353">
        <f t="shared" si="21"/>
        <v>2100000000</v>
      </c>
      <c r="BE411" s="432" t="s">
        <v>355</v>
      </c>
      <c r="BF411" s="407" t="s">
        <v>519</v>
      </c>
      <c r="BG411" s="168"/>
      <c r="BH411" s="274"/>
      <c r="BI411" s="168"/>
      <c r="BJ411" s="274"/>
      <c r="BK411" s="168"/>
      <c r="BL411" s="275"/>
      <c r="BM411" s="276"/>
      <c r="BN411" s="275"/>
      <c r="BO411" s="276"/>
      <c r="BP411" s="277"/>
      <c r="BQ411" s="156"/>
      <c r="BR411" s="274"/>
      <c r="BS411" s="270"/>
      <c r="BT411" s="270"/>
      <c r="BU411" s="274"/>
      <c r="BV411" s="274"/>
      <c r="BW411" s="278"/>
      <c r="BX411" s="278"/>
      <c r="BY411" s="278"/>
      <c r="BZ411" s="351"/>
    </row>
    <row r="412" spans="1:78" s="90" customFormat="1" ht="19.5" hidden="1" customHeight="1">
      <c r="A412" s="137"/>
      <c r="B412" s="197">
        <f t="shared" si="19"/>
        <v>402</v>
      </c>
      <c r="C412" s="30" t="s">
        <v>202</v>
      </c>
      <c r="D412" s="30" t="s">
        <v>225</v>
      </c>
      <c r="E412" s="234" t="s">
        <v>989</v>
      </c>
      <c r="F412" s="235" t="s">
        <v>611</v>
      </c>
      <c r="G412" s="284">
        <f>IFERROR(VLOOKUP(E412,Assign!$C$2:$J$142,8,FALSE),)</f>
        <v>0</v>
      </c>
      <c r="H412" s="361" t="s">
        <v>4159</v>
      </c>
      <c r="I412" s="363">
        <v>1</v>
      </c>
      <c r="J412" s="364" t="s">
        <v>209</v>
      </c>
      <c r="K412" s="364" t="s">
        <v>341</v>
      </c>
      <c r="L412" s="365" t="s">
        <v>342</v>
      </c>
      <c r="M412" s="362" t="s">
        <v>1734</v>
      </c>
      <c r="N412" s="421" t="s">
        <v>606</v>
      </c>
      <c r="O412" s="269">
        <v>26.04</v>
      </c>
      <c r="P412" s="269">
        <v>38.22</v>
      </c>
      <c r="Q412" s="426"/>
      <c r="R412" s="418" t="s">
        <v>3365</v>
      </c>
      <c r="S412" s="427" t="s">
        <v>613</v>
      </c>
      <c r="T412" s="357">
        <v>2</v>
      </c>
      <c r="U412" s="357" t="s">
        <v>204</v>
      </c>
      <c r="V412" s="367">
        <v>420000000</v>
      </c>
      <c r="W412" s="368">
        <v>420000000</v>
      </c>
      <c r="X412" s="357"/>
      <c r="Y412" s="357"/>
      <c r="Z412" s="400"/>
      <c r="AA412" s="369"/>
      <c r="AB412" s="370"/>
      <c r="AC412" s="404">
        <v>1</v>
      </c>
      <c r="AD412" s="270" t="s">
        <v>204</v>
      </c>
      <c r="AE412" s="156">
        <v>153000000</v>
      </c>
      <c r="AF412" s="156">
        <v>153000000</v>
      </c>
      <c r="AG412" s="357"/>
      <c r="AH412" s="357"/>
      <c r="AI412" s="357"/>
      <c r="AJ412" s="156"/>
      <c r="AK412" s="156"/>
      <c r="AL412" s="375"/>
      <c r="AM412" s="405"/>
      <c r="AN412" s="273"/>
      <c r="AO412" s="405"/>
      <c r="AP412" s="273"/>
      <c r="AQ412" s="273"/>
      <c r="AR412" s="273"/>
      <c r="AS412" s="273"/>
      <c r="AT412" s="273"/>
      <c r="AU412" s="273"/>
      <c r="AV412" s="322">
        <f t="shared" si="20"/>
        <v>0</v>
      </c>
      <c r="AW412" s="402"/>
      <c r="AX412" s="376"/>
      <c r="AY412" s="373"/>
      <c r="AZ412" s="375"/>
      <c r="BA412" s="375"/>
      <c r="BB412" s="375"/>
      <c r="BC412" s="375"/>
      <c r="BD412" s="353">
        <f t="shared" si="21"/>
        <v>0</v>
      </c>
      <c r="BE412" s="432" t="s">
        <v>355</v>
      </c>
      <c r="BF412" s="407" t="s">
        <v>519</v>
      </c>
      <c r="BG412" s="168"/>
      <c r="BH412" s="274"/>
      <c r="BI412" s="168"/>
      <c r="BJ412" s="274"/>
      <c r="BK412" s="168"/>
      <c r="BL412" s="275"/>
      <c r="BM412" s="276"/>
      <c r="BN412" s="275"/>
      <c r="BO412" s="276"/>
      <c r="BP412" s="277"/>
      <c r="BQ412" s="156"/>
      <c r="BR412" s="274"/>
      <c r="BS412" s="270"/>
      <c r="BT412" s="270"/>
      <c r="BU412" s="274"/>
      <c r="BV412" s="274"/>
      <c r="BW412" s="278"/>
      <c r="BX412" s="278"/>
      <c r="BY412" s="278"/>
      <c r="BZ412" s="351"/>
    </row>
    <row r="413" spans="1:78" s="90" customFormat="1" ht="19.5" hidden="1" customHeight="1">
      <c r="A413" s="137"/>
      <c r="B413" s="197">
        <f t="shared" si="19"/>
        <v>403</v>
      </c>
      <c r="C413" s="30" t="s">
        <v>202</v>
      </c>
      <c r="D413" s="30" t="s">
        <v>225</v>
      </c>
      <c r="E413" s="234" t="s">
        <v>990</v>
      </c>
      <c r="F413" s="235" t="s">
        <v>1229</v>
      </c>
      <c r="G413" s="284">
        <f>IFERROR(VLOOKUP(E413,Assign!$C$2:$J$142,8,FALSE),)</f>
        <v>0</v>
      </c>
      <c r="H413" s="361" t="s">
        <v>4348</v>
      </c>
      <c r="I413" s="363">
        <v>1</v>
      </c>
      <c r="J413" s="364" t="s">
        <v>209</v>
      </c>
      <c r="K413" s="364" t="s">
        <v>287</v>
      </c>
      <c r="L413" s="365" t="s">
        <v>288</v>
      </c>
      <c r="M413" s="362" t="s">
        <v>1909</v>
      </c>
      <c r="N413" s="421" t="s">
        <v>207</v>
      </c>
      <c r="O413" s="269">
        <v>51.239600000000003</v>
      </c>
      <c r="P413" s="269">
        <v>84.885000000000005</v>
      </c>
      <c r="Q413" s="426"/>
      <c r="R413" s="418" t="s">
        <v>990</v>
      </c>
      <c r="S413" s="427" t="s">
        <v>613</v>
      </c>
      <c r="T413" s="357">
        <v>1</v>
      </c>
      <c r="U413" s="357" t="s">
        <v>204</v>
      </c>
      <c r="V413" s="367">
        <v>408100000</v>
      </c>
      <c r="W413" s="368">
        <v>408100000</v>
      </c>
      <c r="X413" s="357"/>
      <c r="Y413" s="357"/>
      <c r="Z413" s="400"/>
      <c r="AA413" s="369"/>
      <c r="AB413" s="370"/>
      <c r="AC413" s="404"/>
      <c r="AD413" s="270"/>
      <c r="AE413" s="156"/>
      <c r="AF413" s="156"/>
      <c r="AG413" s="357"/>
      <c r="AH413" s="357"/>
      <c r="AI413" s="357"/>
      <c r="AJ413" s="156"/>
      <c r="AK413" s="156"/>
      <c r="AL413" s="375"/>
      <c r="AM413" s="405"/>
      <c r="AN413" s="273"/>
      <c r="AO413" s="405"/>
      <c r="AP413" s="273"/>
      <c r="AQ413" s="273"/>
      <c r="AR413" s="273"/>
      <c r="AS413" s="273"/>
      <c r="AT413" s="273"/>
      <c r="AU413" s="273"/>
      <c r="AV413" s="322">
        <f t="shared" si="20"/>
        <v>0</v>
      </c>
      <c r="AW413" s="402" t="s">
        <v>3387</v>
      </c>
      <c r="AX413" s="376">
        <v>45765</v>
      </c>
      <c r="AY413" s="373" t="s">
        <v>3388</v>
      </c>
      <c r="AZ413" s="375"/>
      <c r="BA413" s="375">
        <v>855000000</v>
      </c>
      <c r="BB413" s="375"/>
      <c r="BC413" s="375"/>
      <c r="BD413" s="353">
        <f t="shared" si="21"/>
        <v>855000000</v>
      </c>
      <c r="BE413" s="432" t="s">
        <v>335</v>
      </c>
      <c r="BF413" s="407" t="s">
        <v>519</v>
      </c>
      <c r="BG413" s="168" t="s">
        <v>3292</v>
      </c>
      <c r="BH413" s="274">
        <v>45713</v>
      </c>
      <c r="BI413" s="168" t="s">
        <v>3293</v>
      </c>
      <c r="BJ413" s="274">
        <v>45790</v>
      </c>
      <c r="BK413" s="168">
        <v>243902145</v>
      </c>
      <c r="BL413" s="275"/>
      <c r="BM413" s="276"/>
      <c r="BN413" s="275"/>
      <c r="BO413" s="276"/>
      <c r="BP413" s="277"/>
      <c r="BQ413" s="156"/>
      <c r="BR413" s="274"/>
      <c r="BS413" s="270"/>
      <c r="BT413" s="270"/>
      <c r="BU413" s="274"/>
      <c r="BV413" s="274"/>
      <c r="BW413" s="278"/>
      <c r="BX413" s="278"/>
      <c r="BY413" s="278"/>
      <c r="BZ413" s="351"/>
    </row>
    <row r="414" spans="1:78" s="90" customFormat="1" ht="19.5" hidden="1" customHeight="1">
      <c r="A414" s="137"/>
      <c r="B414" s="197">
        <f t="shared" si="19"/>
        <v>404</v>
      </c>
      <c r="C414" s="30" t="s">
        <v>202</v>
      </c>
      <c r="D414" s="30" t="s">
        <v>225</v>
      </c>
      <c r="E414" s="234" t="s">
        <v>991</v>
      </c>
      <c r="F414" s="235" t="s">
        <v>1358</v>
      </c>
      <c r="G414" s="284" t="str">
        <f>IFERROR(VLOOKUP(E414,Assign!$C$2:$J$142,8,FALSE),)</f>
        <v>문선영</v>
      </c>
      <c r="H414" s="361" t="s">
        <v>5325</v>
      </c>
      <c r="I414" s="363">
        <v>1</v>
      </c>
      <c r="J414" s="364" t="s">
        <v>208</v>
      </c>
      <c r="K414" s="364" t="s">
        <v>266</v>
      </c>
      <c r="L414" s="365" t="s">
        <v>2805</v>
      </c>
      <c r="M414" s="362" t="s">
        <v>3176</v>
      </c>
      <c r="N414" s="421" t="s">
        <v>546</v>
      </c>
      <c r="O414" s="269">
        <v>81.787700000000001</v>
      </c>
      <c r="P414" s="269">
        <v>267.3</v>
      </c>
      <c r="Q414" s="426"/>
      <c r="R414" s="418" t="s">
        <v>991</v>
      </c>
      <c r="S414" s="427" t="s">
        <v>613</v>
      </c>
      <c r="T414" s="357">
        <v>1</v>
      </c>
      <c r="U414" s="357" t="s">
        <v>204</v>
      </c>
      <c r="V414" s="367">
        <v>420000000</v>
      </c>
      <c r="W414" s="368">
        <v>420000000</v>
      </c>
      <c r="X414" s="357"/>
      <c r="Y414" s="357"/>
      <c r="Z414" s="400"/>
      <c r="AA414" s="369"/>
      <c r="AB414" s="370"/>
      <c r="AC414" s="404"/>
      <c r="AD414" s="270"/>
      <c r="AE414" s="156"/>
      <c r="AF414" s="156"/>
      <c r="AG414" s="357"/>
      <c r="AH414" s="357"/>
      <c r="AI414" s="357"/>
      <c r="AJ414" s="156"/>
      <c r="AK414" s="156"/>
      <c r="AL414" s="375"/>
      <c r="AM414" s="405"/>
      <c r="AN414" s="273"/>
      <c r="AO414" s="405"/>
      <c r="AP414" s="273"/>
      <c r="AQ414" s="273"/>
      <c r="AR414" s="273"/>
      <c r="AS414" s="273"/>
      <c r="AT414" s="273"/>
      <c r="AU414" s="273"/>
      <c r="AV414" s="322">
        <f t="shared" si="20"/>
        <v>0</v>
      </c>
      <c r="AW414" s="402"/>
      <c r="AX414" s="376"/>
      <c r="AY414" s="373"/>
      <c r="AZ414" s="375"/>
      <c r="BA414" s="375"/>
      <c r="BB414" s="375"/>
      <c r="BC414" s="375"/>
      <c r="BD414" s="353">
        <f t="shared" si="21"/>
        <v>0</v>
      </c>
      <c r="BE414" s="432" t="s">
        <v>355</v>
      </c>
      <c r="BF414" s="407" t="s">
        <v>501</v>
      </c>
      <c r="BG414" s="168"/>
      <c r="BH414" s="274"/>
      <c r="BI414" s="168"/>
      <c r="BJ414" s="274"/>
      <c r="BK414" s="168"/>
      <c r="BL414" s="275"/>
      <c r="BM414" s="276"/>
      <c r="BN414" s="275"/>
      <c r="BO414" s="276"/>
      <c r="BP414" s="277"/>
      <c r="BQ414" s="156"/>
      <c r="BR414" s="274"/>
      <c r="BS414" s="270"/>
      <c r="BT414" s="270"/>
      <c r="BU414" s="274"/>
      <c r="BV414" s="274"/>
      <c r="BW414" s="278"/>
      <c r="BX414" s="278"/>
      <c r="BY414" s="278"/>
      <c r="BZ414" s="351"/>
    </row>
    <row r="415" spans="1:78" s="90" customFormat="1" ht="19.5" hidden="1" customHeight="1">
      <c r="A415" s="137"/>
      <c r="B415" s="197">
        <f t="shared" si="19"/>
        <v>405</v>
      </c>
      <c r="C415" s="30" t="s">
        <v>202</v>
      </c>
      <c r="D415" s="30" t="s">
        <v>225</v>
      </c>
      <c r="E415" s="234" t="s">
        <v>992</v>
      </c>
      <c r="F415" s="235" t="s">
        <v>611</v>
      </c>
      <c r="G415" s="284">
        <f>IFERROR(VLOOKUP(E415,Assign!$C$2:$J$142,8,FALSE),)</f>
        <v>0</v>
      </c>
      <c r="H415" s="361" t="s">
        <v>4658</v>
      </c>
      <c r="I415" s="363">
        <v>1</v>
      </c>
      <c r="J415" s="364" t="s">
        <v>224</v>
      </c>
      <c r="K415" s="364" t="s">
        <v>1458</v>
      </c>
      <c r="L415" s="365" t="s">
        <v>2194</v>
      </c>
      <c r="M415" s="362" t="s">
        <v>3124</v>
      </c>
      <c r="N415" s="421" t="s">
        <v>2196</v>
      </c>
      <c r="O415" s="269">
        <v>4942</v>
      </c>
      <c r="P415" s="269"/>
      <c r="Q415" s="426"/>
      <c r="R415" s="418" t="s">
        <v>3493</v>
      </c>
      <c r="S415" s="427" t="s">
        <v>613</v>
      </c>
      <c r="T415" s="357" t="s">
        <v>233</v>
      </c>
      <c r="U415" s="357" t="s">
        <v>204</v>
      </c>
      <c r="V415" s="367">
        <v>400800000</v>
      </c>
      <c r="W415" s="368">
        <v>400800000</v>
      </c>
      <c r="X415" s="357"/>
      <c r="Y415" s="357"/>
      <c r="Z415" s="400"/>
      <c r="AA415" s="369"/>
      <c r="AB415" s="370"/>
      <c r="AC415" s="404"/>
      <c r="AD415" s="270"/>
      <c r="AE415" s="156"/>
      <c r="AF415" s="156"/>
      <c r="AG415" s="357"/>
      <c r="AH415" s="357"/>
      <c r="AI415" s="357"/>
      <c r="AJ415" s="156"/>
      <c r="AK415" s="156"/>
      <c r="AL415" s="375"/>
      <c r="AM415" s="405"/>
      <c r="AN415" s="273"/>
      <c r="AO415" s="405"/>
      <c r="AP415" s="273"/>
      <c r="AQ415" s="273"/>
      <c r="AR415" s="273"/>
      <c r="AS415" s="273"/>
      <c r="AT415" s="273"/>
      <c r="AU415" s="273"/>
      <c r="AV415" s="322">
        <f t="shared" si="20"/>
        <v>0</v>
      </c>
      <c r="AW415" s="402"/>
      <c r="AX415" s="376"/>
      <c r="AY415" s="373"/>
      <c r="AZ415" s="375"/>
      <c r="BA415" s="375"/>
      <c r="BB415" s="375"/>
      <c r="BC415" s="375"/>
      <c r="BD415" s="353">
        <f t="shared" si="21"/>
        <v>0</v>
      </c>
      <c r="BE415" s="432" t="s">
        <v>355</v>
      </c>
      <c r="BF415" s="407" t="s">
        <v>512</v>
      </c>
      <c r="BG415" s="168"/>
      <c r="BH415" s="274"/>
      <c r="BI415" s="168"/>
      <c r="BJ415" s="274"/>
      <c r="BK415" s="168"/>
      <c r="BL415" s="275"/>
      <c r="BM415" s="276"/>
      <c r="BN415" s="275"/>
      <c r="BO415" s="276"/>
      <c r="BP415" s="277"/>
      <c r="BQ415" s="156"/>
      <c r="BR415" s="274"/>
      <c r="BS415" s="270"/>
      <c r="BT415" s="270"/>
      <c r="BU415" s="274"/>
      <c r="BV415" s="274"/>
      <c r="BW415" s="278"/>
      <c r="BX415" s="278"/>
      <c r="BY415" s="278"/>
      <c r="BZ415" s="351"/>
    </row>
    <row r="416" spans="1:78" s="90" customFormat="1" ht="19.5" hidden="1" customHeight="1">
      <c r="A416" s="137"/>
      <c r="B416" s="197">
        <f t="shared" si="19"/>
        <v>406</v>
      </c>
      <c r="C416" s="30" t="s">
        <v>202</v>
      </c>
      <c r="D416" s="30" t="s">
        <v>225</v>
      </c>
      <c r="E416" s="234" t="s">
        <v>993</v>
      </c>
      <c r="F416" s="235" t="s">
        <v>1217</v>
      </c>
      <c r="G416" s="284">
        <f>IFERROR(VLOOKUP(E416,Assign!$C$2:$J$142,8,FALSE),)</f>
        <v>0</v>
      </c>
      <c r="H416" s="361" t="s">
        <v>4112</v>
      </c>
      <c r="I416" s="363">
        <v>1</v>
      </c>
      <c r="J416" s="364" t="s">
        <v>208</v>
      </c>
      <c r="K416" s="364" t="s">
        <v>258</v>
      </c>
      <c r="L416" s="365" t="s">
        <v>327</v>
      </c>
      <c r="M416" s="362" t="s">
        <v>1688</v>
      </c>
      <c r="N416" s="421" t="s">
        <v>207</v>
      </c>
      <c r="O416" s="269">
        <v>33.939700000000002</v>
      </c>
      <c r="P416" s="269">
        <v>84.926400000000001</v>
      </c>
      <c r="Q416" s="426"/>
      <c r="R416" s="418" t="s">
        <v>993</v>
      </c>
      <c r="S416" s="427" t="s">
        <v>613</v>
      </c>
      <c r="T416" s="357" t="s">
        <v>381</v>
      </c>
      <c r="U416" s="357" t="s">
        <v>204</v>
      </c>
      <c r="V416" s="367">
        <v>420000000</v>
      </c>
      <c r="W416" s="368">
        <v>420000000</v>
      </c>
      <c r="X416" s="357"/>
      <c r="Y416" s="357"/>
      <c r="Z416" s="400"/>
      <c r="AA416" s="369"/>
      <c r="AB416" s="370"/>
      <c r="AC416" s="404">
        <v>2</v>
      </c>
      <c r="AD416" s="270" t="s">
        <v>204</v>
      </c>
      <c r="AE416" s="156">
        <v>120000000</v>
      </c>
      <c r="AF416" s="156">
        <v>120000000</v>
      </c>
      <c r="AG416" s="357"/>
      <c r="AH416" s="357"/>
      <c r="AI416" s="357"/>
      <c r="AJ416" s="156"/>
      <c r="AK416" s="156"/>
      <c r="AL416" s="375"/>
      <c r="AM416" s="405"/>
      <c r="AN416" s="273"/>
      <c r="AO416" s="405"/>
      <c r="AP416" s="273"/>
      <c r="AQ416" s="273"/>
      <c r="AR416" s="273"/>
      <c r="AS416" s="273"/>
      <c r="AT416" s="273"/>
      <c r="AU416" s="273"/>
      <c r="AV416" s="322">
        <f t="shared" si="20"/>
        <v>0</v>
      </c>
      <c r="AW416" s="402" t="s">
        <v>3387</v>
      </c>
      <c r="AX416" s="376">
        <v>45765</v>
      </c>
      <c r="AY416" s="373" t="s">
        <v>3388</v>
      </c>
      <c r="AZ416" s="375"/>
      <c r="BA416" s="375">
        <v>570000000</v>
      </c>
      <c r="BB416" s="375"/>
      <c r="BC416" s="375"/>
      <c r="BD416" s="353">
        <f t="shared" si="21"/>
        <v>570000000</v>
      </c>
      <c r="BE416" s="432" t="s">
        <v>355</v>
      </c>
      <c r="BF416" s="407" t="s">
        <v>498</v>
      </c>
      <c r="BG416" s="168"/>
      <c r="BH416" s="274"/>
      <c r="BI416" s="168"/>
      <c r="BJ416" s="274"/>
      <c r="BK416" s="168"/>
      <c r="BL416" s="275"/>
      <c r="BM416" s="276"/>
      <c r="BN416" s="275"/>
      <c r="BO416" s="276"/>
      <c r="BP416" s="277"/>
      <c r="BQ416" s="156"/>
      <c r="BR416" s="274"/>
      <c r="BS416" s="270"/>
      <c r="BT416" s="270"/>
      <c r="BU416" s="274"/>
      <c r="BV416" s="274"/>
      <c r="BW416" s="278"/>
      <c r="BX416" s="278"/>
      <c r="BY416" s="278"/>
      <c r="BZ416" s="351"/>
    </row>
    <row r="417" spans="1:78" s="90" customFormat="1" ht="19.5" hidden="1" customHeight="1">
      <c r="A417" s="137"/>
      <c r="B417" s="197">
        <f t="shared" si="19"/>
        <v>407</v>
      </c>
      <c r="C417" s="30" t="s">
        <v>202</v>
      </c>
      <c r="D417" s="30" t="s">
        <v>225</v>
      </c>
      <c r="E417" s="234" t="s">
        <v>994</v>
      </c>
      <c r="F417" s="235" t="s">
        <v>1217</v>
      </c>
      <c r="G417" s="284" t="str">
        <f>IFERROR(VLOOKUP(E417,Assign!$C$2:$J$142,8,FALSE),)</f>
        <v>문선영</v>
      </c>
      <c r="H417" s="361" t="s">
        <v>5014</v>
      </c>
      <c r="I417" s="363">
        <v>1</v>
      </c>
      <c r="J417" s="364" t="s">
        <v>222</v>
      </c>
      <c r="K417" s="364" t="s">
        <v>277</v>
      </c>
      <c r="L417" s="365" t="s">
        <v>2535</v>
      </c>
      <c r="M417" s="362" t="s">
        <v>2536</v>
      </c>
      <c r="N417" s="421" t="s">
        <v>207</v>
      </c>
      <c r="O417" s="269">
        <v>20.7866</v>
      </c>
      <c r="P417" s="269">
        <v>84.2102</v>
      </c>
      <c r="Q417" s="426"/>
      <c r="R417" s="418" t="s">
        <v>994</v>
      </c>
      <c r="S417" s="427" t="s">
        <v>613</v>
      </c>
      <c r="T417" s="357">
        <v>1</v>
      </c>
      <c r="U417" s="357" t="s">
        <v>204</v>
      </c>
      <c r="V417" s="367">
        <v>357940000</v>
      </c>
      <c r="W417" s="368">
        <v>357940000</v>
      </c>
      <c r="X417" s="357"/>
      <c r="Y417" s="357"/>
      <c r="Z417" s="400"/>
      <c r="AA417" s="369"/>
      <c r="AB417" s="370"/>
      <c r="AC417" s="404"/>
      <c r="AD417" s="270"/>
      <c r="AE417" s="156"/>
      <c r="AF417" s="156"/>
      <c r="AG417" s="357"/>
      <c r="AH417" s="357"/>
      <c r="AI417" s="357"/>
      <c r="AJ417" s="156"/>
      <c r="AK417" s="156"/>
      <c r="AL417" s="375"/>
      <c r="AM417" s="405"/>
      <c r="AN417" s="273"/>
      <c r="AO417" s="405"/>
      <c r="AP417" s="273"/>
      <c r="AQ417" s="273"/>
      <c r="AR417" s="273"/>
      <c r="AS417" s="273"/>
      <c r="AT417" s="273"/>
      <c r="AU417" s="273"/>
      <c r="AV417" s="322">
        <f t="shared" si="20"/>
        <v>0</v>
      </c>
      <c r="AW417" s="402"/>
      <c r="AX417" s="376"/>
      <c r="AY417" s="373"/>
      <c r="AZ417" s="375"/>
      <c r="BA417" s="375"/>
      <c r="BB417" s="375"/>
      <c r="BC417" s="375"/>
      <c r="BD417" s="353">
        <f t="shared" si="21"/>
        <v>0</v>
      </c>
      <c r="BE417" s="432" t="s">
        <v>355</v>
      </c>
      <c r="BF417" s="407" t="s">
        <v>494</v>
      </c>
      <c r="BG417" s="168"/>
      <c r="BH417" s="274"/>
      <c r="BI417" s="168"/>
      <c r="BJ417" s="274"/>
      <c r="BK417" s="168"/>
      <c r="BL417" s="275"/>
      <c r="BM417" s="276"/>
      <c r="BN417" s="275"/>
      <c r="BO417" s="276"/>
      <c r="BP417" s="277"/>
      <c r="BQ417" s="156"/>
      <c r="BR417" s="274"/>
      <c r="BS417" s="270"/>
      <c r="BT417" s="270"/>
      <c r="BU417" s="274"/>
      <c r="BV417" s="274"/>
      <c r="BW417" s="278"/>
      <c r="BX417" s="278"/>
      <c r="BY417" s="278"/>
      <c r="BZ417" s="351"/>
    </row>
    <row r="418" spans="1:78" s="90" customFormat="1" ht="19.5" hidden="1" customHeight="1">
      <c r="A418" s="137"/>
      <c r="B418" s="197">
        <f t="shared" si="19"/>
        <v>408</v>
      </c>
      <c r="C418" s="30" t="s">
        <v>202</v>
      </c>
      <c r="D418" s="30" t="s">
        <v>225</v>
      </c>
      <c r="E418" s="234" t="s">
        <v>995</v>
      </c>
      <c r="F418" s="235" t="s">
        <v>1229</v>
      </c>
      <c r="G418" s="284">
        <f>IFERROR(VLOOKUP(E418,Assign!$C$2:$J$142,8,FALSE),)</f>
        <v>0</v>
      </c>
      <c r="H418" s="361" t="s">
        <v>5033</v>
      </c>
      <c r="I418" s="363">
        <v>1</v>
      </c>
      <c r="J418" s="364" t="s">
        <v>208</v>
      </c>
      <c r="K418" s="364" t="s">
        <v>383</v>
      </c>
      <c r="L418" s="365" t="s">
        <v>2551</v>
      </c>
      <c r="M418" s="362" t="s">
        <v>3150</v>
      </c>
      <c r="N418" s="421" t="s">
        <v>396</v>
      </c>
      <c r="O418" s="269">
        <v>912</v>
      </c>
      <c r="P418" s="269">
        <v>199.17</v>
      </c>
      <c r="Q418" s="426"/>
      <c r="R418" s="418" t="s">
        <v>3459</v>
      </c>
      <c r="S418" s="427" t="s">
        <v>613</v>
      </c>
      <c r="T418" s="357">
        <v>1</v>
      </c>
      <c r="U418" s="357" t="s">
        <v>204</v>
      </c>
      <c r="V418" s="367">
        <v>540000000</v>
      </c>
      <c r="W418" s="368">
        <v>540000000</v>
      </c>
      <c r="X418" s="357"/>
      <c r="Y418" s="357"/>
      <c r="Z418" s="400"/>
      <c r="AA418" s="369"/>
      <c r="AB418" s="370"/>
      <c r="AC418" s="404"/>
      <c r="AD418" s="270"/>
      <c r="AE418" s="156"/>
      <c r="AF418" s="156"/>
      <c r="AG418" s="357"/>
      <c r="AH418" s="357"/>
      <c r="AI418" s="357"/>
      <c r="AJ418" s="156"/>
      <c r="AK418" s="156"/>
      <c r="AL418" s="375"/>
      <c r="AM418" s="405"/>
      <c r="AN418" s="273"/>
      <c r="AO418" s="405"/>
      <c r="AP418" s="273"/>
      <c r="AQ418" s="273"/>
      <c r="AR418" s="273"/>
      <c r="AS418" s="273"/>
      <c r="AT418" s="273"/>
      <c r="AU418" s="273"/>
      <c r="AV418" s="322">
        <f t="shared" si="20"/>
        <v>0</v>
      </c>
      <c r="AW418" s="402"/>
      <c r="AX418" s="376"/>
      <c r="AY418" s="373"/>
      <c r="AZ418" s="375"/>
      <c r="BA418" s="375"/>
      <c r="BB418" s="375"/>
      <c r="BC418" s="375"/>
      <c r="BD418" s="353">
        <f t="shared" si="21"/>
        <v>0</v>
      </c>
      <c r="BE418" s="432" t="s">
        <v>355</v>
      </c>
      <c r="BF418" s="407" t="s">
        <v>525</v>
      </c>
      <c r="BG418" s="168"/>
      <c r="BH418" s="274"/>
      <c r="BI418" s="168"/>
      <c r="BJ418" s="274"/>
      <c r="BK418" s="168"/>
      <c r="BL418" s="275"/>
      <c r="BM418" s="276"/>
      <c r="BN418" s="275"/>
      <c r="BO418" s="276"/>
      <c r="BP418" s="277"/>
      <c r="BQ418" s="156"/>
      <c r="BR418" s="274"/>
      <c r="BS418" s="270"/>
      <c r="BT418" s="270"/>
      <c r="BU418" s="274"/>
      <c r="BV418" s="274"/>
      <c r="BW418" s="278"/>
      <c r="BX418" s="278"/>
      <c r="BY418" s="278"/>
      <c r="BZ418" s="351"/>
    </row>
    <row r="419" spans="1:78" s="90" customFormat="1" ht="19.5" customHeight="1">
      <c r="A419" s="137"/>
      <c r="B419" s="197">
        <f t="shared" si="19"/>
        <v>409</v>
      </c>
      <c r="C419" s="30" t="s">
        <v>202</v>
      </c>
      <c r="D419" s="30" t="s">
        <v>225</v>
      </c>
      <c r="E419" s="234" t="s">
        <v>996</v>
      </c>
      <c r="F419" s="235" t="s">
        <v>1359</v>
      </c>
      <c r="G419" s="284" t="str">
        <f>IFERROR(VLOOKUP(E419,Assign!$C$2:$J$142,8,FALSE),)</f>
        <v>문선영</v>
      </c>
      <c r="H419" s="361" t="s">
        <v>5308</v>
      </c>
      <c r="I419" s="363">
        <v>1</v>
      </c>
      <c r="J419" s="364" t="s">
        <v>208</v>
      </c>
      <c r="K419" s="364" t="s">
        <v>377</v>
      </c>
      <c r="L419" s="365" t="s">
        <v>378</v>
      </c>
      <c r="M419" s="362" t="s">
        <v>2789</v>
      </c>
      <c r="N419" s="421" t="s">
        <v>3141</v>
      </c>
      <c r="O419" s="269">
        <v>142.73689999999999</v>
      </c>
      <c r="P419" s="269">
        <v>84.998199999999997</v>
      </c>
      <c r="Q419" s="426"/>
      <c r="R419" s="418" t="s">
        <v>3455</v>
      </c>
      <c r="S419" s="427" t="s">
        <v>613</v>
      </c>
      <c r="T419" s="357">
        <v>1</v>
      </c>
      <c r="U419" s="357" t="s">
        <v>204</v>
      </c>
      <c r="V419" s="367">
        <v>438000000</v>
      </c>
      <c r="W419" s="368">
        <v>438000000</v>
      </c>
      <c r="X419" s="357"/>
      <c r="Y419" s="357"/>
      <c r="Z419" s="400"/>
      <c r="AA419" s="369"/>
      <c r="AB419" s="370"/>
      <c r="AC419" s="404"/>
      <c r="AD419" s="270"/>
      <c r="AE419" s="156"/>
      <c r="AF419" s="156"/>
      <c r="AG419" s="357"/>
      <c r="AH419" s="357"/>
      <c r="AI419" s="357"/>
      <c r="AJ419" s="156"/>
      <c r="AK419" s="156"/>
      <c r="AL419" s="375"/>
      <c r="AM419" s="405"/>
      <c r="AN419" s="273"/>
      <c r="AO419" s="405"/>
      <c r="AP419" s="273"/>
      <c r="AQ419" s="273"/>
      <c r="AR419" s="273"/>
      <c r="AS419" s="273"/>
      <c r="AT419" s="273"/>
      <c r="AU419" s="273"/>
      <c r="AV419" s="322">
        <f t="shared" si="20"/>
        <v>0</v>
      </c>
      <c r="AW419" s="402"/>
      <c r="AX419" s="376"/>
      <c r="AY419" s="373"/>
      <c r="AZ419" s="375"/>
      <c r="BA419" s="375"/>
      <c r="BB419" s="375"/>
      <c r="BC419" s="375"/>
      <c r="BD419" s="353">
        <f t="shared" si="21"/>
        <v>0</v>
      </c>
      <c r="BE419" s="432" t="s">
        <v>335</v>
      </c>
      <c r="BF419" s="407" t="s">
        <v>498</v>
      </c>
      <c r="BG419" s="168" t="s">
        <v>3369</v>
      </c>
      <c r="BH419" s="274">
        <v>45593</v>
      </c>
      <c r="BI419" s="168" t="s">
        <v>3342</v>
      </c>
      <c r="BJ419" s="274">
        <v>45670</v>
      </c>
      <c r="BK419" s="168">
        <v>500000000</v>
      </c>
      <c r="BL419" s="275" t="s">
        <v>1373</v>
      </c>
      <c r="BM419" s="276">
        <v>45761</v>
      </c>
      <c r="BN419" s="275" t="s">
        <v>3362</v>
      </c>
      <c r="BO419" s="276"/>
      <c r="BP419" s="277" t="s">
        <v>633</v>
      </c>
      <c r="BQ419" s="156"/>
      <c r="BR419" s="274"/>
      <c r="BS419" s="270"/>
      <c r="BT419" s="270"/>
      <c r="BU419" s="274"/>
      <c r="BV419" s="274"/>
      <c r="BW419" s="278"/>
      <c r="BX419" s="278"/>
      <c r="BY419" s="278"/>
      <c r="BZ419" s="351"/>
    </row>
    <row r="420" spans="1:78" s="90" customFormat="1" ht="19.5" hidden="1" customHeight="1">
      <c r="A420" s="137"/>
      <c r="B420" s="197">
        <f t="shared" si="19"/>
        <v>410</v>
      </c>
      <c r="C420" s="30" t="s">
        <v>202</v>
      </c>
      <c r="D420" s="30" t="s">
        <v>225</v>
      </c>
      <c r="E420" s="234" t="s">
        <v>997</v>
      </c>
      <c r="F420" s="235" t="s">
        <v>1229</v>
      </c>
      <c r="G420" s="284">
        <f>IFERROR(VLOOKUP(E420,Assign!$C$2:$J$142,8,FALSE),)</f>
        <v>0</v>
      </c>
      <c r="H420" s="361" t="s">
        <v>4597</v>
      </c>
      <c r="I420" s="363">
        <v>1</v>
      </c>
      <c r="J420" s="364" t="s">
        <v>224</v>
      </c>
      <c r="K420" s="364" t="s">
        <v>428</v>
      </c>
      <c r="L420" s="365" t="s">
        <v>2135</v>
      </c>
      <c r="M420" s="362" t="s">
        <v>2136</v>
      </c>
      <c r="N420" s="421" t="s">
        <v>606</v>
      </c>
      <c r="O420" s="269">
        <v>144.64580000000001</v>
      </c>
      <c r="P420" s="269">
        <v>68.277299999999997</v>
      </c>
      <c r="Q420" s="426"/>
      <c r="R420" s="418" t="s">
        <v>997</v>
      </c>
      <c r="S420" s="427" t="s">
        <v>613</v>
      </c>
      <c r="T420" s="357">
        <v>1</v>
      </c>
      <c r="U420" s="357" t="s">
        <v>204</v>
      </c>
      <c r="V420" s="367">
        <v>350900000</v>
      </c>
      <c r="W420" s="368">
        <v>350900000</v>
      </c>
      <c r="X420" s="357"/>
      <c r="Y420" s="357"/>
      <c r="Z420" s="400"/>
      <c r="AA420" s="369"/>
      <c r="AB420" s="370"/>
      <c r="AC420" s="404"/>
      <c r="AD420" s="270"/>
      <c r="AE420" s="156"/>
      <c r="AF420" s="156"/>
      <c r="AG420" s="357"/>
      <c r="AH420" s="357"/>
      <c r="AI420" s="357"/>
      <c r="AJ420" s="156"/>
      <c r="AK420" s="156"/>
      <c r="AL420" s="375"/>
      <c r="AM420" s="405"/>
      <c r="AN420" s="273"/>
      <c r="AO420" s="405"/>
      <c r="AP420" s="273"/>
      <c r="AQ420" s="273"/>
      <c r="AR420" s="273"/>
      <c r="AS420" s="273"/>
      <c r="AT420" s="273"/>
      <c r="AU420" s="273"/>
      <c r="AV420" s="322">
        <f t="shared" si="20"/>
        <v>0</v>
      </c>
      <c r="AW420" s="402"/>
      <c r="AX420" s="376"/>
      <c r="AY420" s="373"/>
      <c r="AZ420" s="375"/>
      <c r="BA420" s="375"/>
      <c r="BB420" s="375"/>
      <c r="BC420" s="375"/>
      <c r="BD420" s="353">
        <f t="shared" si="21"/>
        <v>0</v>
      </c>
      <c r="BE420" s="432" t="s">
        <v>355</v>
      </c>
      <c r="BF420" s="407" t="s">
        <v>512</v>
      </c>
      <c r="BG420" s="168"/>
      <c r="BH420" s="274"/>
      <c r="BI420" s="168"/>
      <c r="BJ420" s="274"/>
      <c r="BK420" s="168"/>
      <c r="BL420" s="275"/>
      <c r="BM420" s="276"/>
      <c r="BN420" s="275"/>
      <c r="BO420" s="276"/>
      <c r="BP420" s="277"/>
      <c r="BQ420" s="156"/>
      <c r="BR420" s="274"/>
      <c r="BS420" s="270"/>
      <c r="BT420" s="270"/>
      <c r="BU420" s="274"/>
      <c r="BV420" s="274"/>
      <c r="BW420" s="278"/>
      <c r="BX420" s="278"/>
      <c r="BY420" s="278"/>
      <c r="BZ420" s="351"/>
    </row>
    <row r="421" spans="1:78" s="90" customFormat="1" ht="19.5" hidden="1" customHeight="1">
      <c r="A421" s="137"/>
      <c r="B421" s="197">
        <f t="shared" si="19"/>
        <v>411</v>
      </c>
      <c r="C421" s="30" t="s">
        <v>202</v>
      </c>
      <c r="D421" s="30" t="s">
        <v>225</v>
      </c>
      <c r="E421" s="234" t="s">
        <v>998</v>
      </c>
      <c r="F421" s="235" t="s">
        <v>1221</v>
      </c>
      <c r="G421" s="284">
        <f>IFERROR(VLOOKUP(E421,Assign!$C$2:$J$142,8,FALSE),)</f>
        <v>0</v>
      </c>
      <c r="H421" s="361" t="s">
        <v>4878</v>
      </c>
      <c r="I421" s="363">
        <v>1</v>
      </c>
      <c r="J421" s="364" t="s">
        <v>208</v>
      </c>
      <c r="K421" s="364" t="s">
        <v>318</v>
      </c>
      <c r="L421" s="365" t="s">
        <v>404</v>
      </c>
      <c r="M421" s="362" t="s">
        <v>2402</v>
      </c>
      <c r="N421" s="421" t="s">
        <v>207</v>
      </c>
      <c r="O421" s="269">
        <v>11.806900000000001</v>
      </c>
      <c r="P421" s="269">
        <v>105.53</v>
      </c>
      <c r="Q421" s="426"/>
      <c r="R421" s="418" t="s">
        <v>998</v>
      </c>
      <c r="S421" s="427" t="s">
        <v>613</v>
      </c>
      <c r="T421" s="357">
        <v>1</v>
      </c>
      <c r="U421" s="357" t="s">
        <v>204</v>
      </c>
      <c r="V421" s="367">
        <v>357500000</v>
      </c>
      <c r="W421" s="368">
        <v>357500000</v>
      </c>
      <c r="X421" s="357"/>
      <c r="Y421" s="357"/>
      <c r="Z421" s="400"/>
      <c r="AA421" s="369"/>
      <c r="AB421" s="370"/>
      <c r="AC421" s="404"/>
      <c r="AD421" s="270"/>
      <c r="AE421" s="156"/>
      <c r="AF421" s="156"/>
      <c r="AG421" s="357"/>
      <c r="AH421" s="357"/>
      <c r="AI421" s="357"/>
      <c r="AJ421" s="156"/>
      <c r="AK421" s="156"/>
      <c r="AL421" s="375"/>
      <c r="AM421" s="405"/>
      <c r="AN421" s="273"/>
      <c r="AO421" s="405"/>
      <c r="AP421" s="273"/>
      <c r="AQ421" s="273"/>
      <c r="AR421" s="273"/>
      <c r="AS421" s="273"/>
      <c r="AT421" s="273"/>
      <c r="AU421" s="273"/>
      <c r="AV421" s="322">
        <f t="shared" si="20"/>
        <v>0</v>
      </c>
      <c r="AW421" s="402" t="s">
        <v>3387</v>
      </c>
      <c r="AX421" s="376">
        <v>45765</v>
      </c>
      <c r="AY421" s="373" t="s">
        <v>3388</v>
      </c>
      <c r="AZ421" s="375"/>
      <c r="BA421" s="375">
        <v>660000000</v>
      </c>
      <c r="BB421" s="375"/>
      <c r="BC421" s="375"/>
      <c r="BD421" s="353">
        <f t="shared" si="21"/>
        <v>660000000</v>
      </c>
      <c r="BE421" s="432" t="s">
        <v>335</v>
      </c>
      <c r="BF421" s="407" t="s">
        <v>422</v>
      </c>
      <c r="BG421" s="168" t="s">
        <v>3391</v>
      </c>
      <c r="BH421" s="274">
        <v>45610</v>
      </c>
      <c r="BI421" s="168" t="s">
        <v>3256</v>
      </c>
      <c r="BJ421" s="274">
        <v>45694</v>
      </c>
      <c r="BK421" s="168">
        <v>78801400</v>
      </c>
      <c r="BL421" s="275"/>
      <c r="BM421" s="276"/>
      <c r="BN421" s="275"/>
      <c r="BO421" s="276"/>
      <c r="BP421" s="277"/>
      <c r="BQ421" s="156"/>
      <c r="BR421" s="274"/>
      <c r="BS421" s="270"/>
      <c r="BT421" s="270"/>
      <c r="BU421" s="274"/>
      <c r="BV421" s="274"/>
      <c r="BW421" s="278"/>
      <c r="BX421" s="278"/>
      <c r="BY421" s="278"/>
      <c r="BZ421" s="351"/>
    </row>
    <row r="422" spans="1:78" s="90" customFormat="1" ht="19.5" hidden="1" customHeight="1">
      <c r="A422" s="137"/>
      <c r="B422" s="197">
        <f t="shared" si="19"/>
        <v>412</v>
      </c>
      <c r="C422" s="30" t="s">
        <v>202</v>
      </c>
      <c r="D422" s="30" t="s">
        <v>225</v>
      </c>
      <c r="E422" s="234" t="s">
        <v>999</v>
      </c>
      <c r="F422" s="235" t="s">
        <v>1232</v>
      </c>
      <c r="G422" s="284">
        <f>IFERROR(VLOOKUP(E422,Assign!$C$2:$J$142,8,FALSE),)</f>
        <v>0</v>
      </c>
      <c r="H422" s="361" t="s">
        <v>4344</v>
      </c>
      <c r="I422" s="363">
        <v>1</v>
      </c>
      <c r="J422" s="364" t="s">
        <v>209</v>
      </c>
      <c r="K422" s="364" t="s">
        <v>341</v>
      </c>
      <c r="L422" s="365" t="s">
        <v>1905</v>
      </c>
      <c r="M422" s="362" t="s">
        <v>1906</v>
      </c>
      <c r="N422" s="421" t="s">
        <v>207</v>
      </c>
      <c r="O422" s="269">
        <v>43.32</v>
      </c>
      <c r="P422" s="269">
        <v>107.84</v>
      </c>
      <c r="Q422" s="426"/>
      <c r="R422" s="418" t="s">
        <v>999</v>
      </c>
      <c r="S422" s="427" t="s">
        <v>613</v>
      </c>
      <c r="T422" s="357" t="s">
        <v>233</v>
      </c>
      <c r="U422" s="357" t="s">
        <v>204</v>
      </c>
      <c r="V422" s="367">
        <v>478600000</v>
      </c>
      <c r="W422" s="368">
        <v>478600000</v>
      </c>
      <c r="X422" s="357"/>
      <c r="Y422" s="357"/>
      <c r="Z422" s="400"/>
      <c r="AA422" s="369"/>
      <c r="AB422" s="370"/>
      <c r="AC422" s="404"/>
      <c r="AD422" s="270"/>
      <c r="AE422" s="156"/>
      <c r="AF422" s="156"/>
      <c r="AG422" s="357"/>
      <c r="AH422" s="357"/>
      <c r="AI422" s="357"/>
      <c r="AJ422" s="156"/>
      <c r="AK422" s="156"/>
      <c r="AL422" s="375"/>
      <c r="AM422" s="405"/>
      <c r="AN422" s="273"/>
      <c r="AO422" s="405"/>
      <c r="AP422" s="273"/>
      <c r="AQ422" s="273"/>
      <c r="AR422" s="273"/>
      <c r="AS422" s="273"/>
      <c r="AT422" s="273"/>
      <c r="AU422" s="273"/>
      <c r="AV422" s="322">
        <f t="shared" si="20"/>
        <v>0</v>
      </c>
      <c r="AW422" s="402"/>
      <c r="AX422" s="376"/>
      <c r="AY422" s="373"/>
      <c r="AZ422" s="375"/>
      <c r="BA422" s="375"/>
      <c r="BB422" s="375"/>
      <c r="BC422" s="375"/>
      <c r="BD422" s="353">
        <f t="shared" si="21"/>
        <v>0</v>
      </c>
      <c r="BE422" s="432" t="s">
        <v>355</v>
      </c>
      <c r="BF422" s="407" t="s">
        <v>519</v>
      </c>
      <c r="BG422" s="168"/>
      <c r="BH422" s="274"/>
      <c r="BI422" s="168"/>
      <c r="BJ422" s="274"/>
      <c r="BK422" s="168"/>
      <c r="BL422" s="275"/>
      <c r="BM422" s="276"/>
      <c r="BN422" s="275"/>
      <c r="BO422" s="276"/>
      <c r="BP422" s="277"/>
      <c r="BQ422" s="156"/>
      <c r="BR422" s="274"/>
      <c r="BS422" s="270"/>
      <c r="BT422" s="270"/>
      <c r="BU422" s="274"/>
      <c r="BV422" s="274"/>
      <c r="BW422" s="278"/>
      <c r="BX422" s="278"/>
      <c r="BY422" s="278"/>
      <c r="BZ422" s="351"/>
    </row>
    <row r="423" spans="1:78" s="90" customFormat="1" ht="19.5" hidden="1" customHeight="1">
      <c r="A423" s="137"/>
      <c r="B423" s="197">
        <f t="shared" si="19"/>
        <v>413</v>
      </c>
      <c r="C423" s="30" t="s">
        <v>202</v>
      </c>
      <c r="D423" s="30" t="s">
        <v>225</v>
      </c>
      <c r="E423" s="234" t="s">
        <v>1000</v>
      </c>
      <c r="F423" s="235" t="s">
        <v>1256</v>
      </c>
      <c r="G423" s="284" t="str">
        <f>IFERROR(VLOOKUP(E423,Assign!$C$2:$J$142,8,FALSE),)</f>
        <v>문선영</v>
      </c>
      <c r="H423" s="361" t="s">
        <v>3874</v>
      </c>
      <c r="I423" s="363">
        <v>1</v>
      </c>
      <c r="J423" s="364" t="s">
        <v>215</v>
      </c>
      <c r="K423" s="364" t="s">
        <v>307</v>
      </c>
      <c r="L423" s="365" t="s">
        <v>1440</v>
      </c>
      <c r="M423" s="362" t="s">
        <v>1441</v>
      </c>
      <c r="N423" s="421" t="s">
        <v>3386</v>
      </c>
      <c r="O423" s="269">
        <v>27.46</v>
      </c>
      <c r="P423" s="269">
        <v>45.36</v>
      </c>
      <c r="Q423" s="426"/>
      <c r="R423" s="418" t="s">
        <v>1000</v>
      </c>
      <c r="S423" s="427" t="s">
        <v>613</v>
      </c>
      <c r="T423" s="357">
        <v>1</v>
      </c>
      <c r="U423" s="357" t="s">
        <v>204</v>
      </c>
      <c r="V423" s="367">
        <v>372000000</v>
      </c>
      <c r="W423" s="368">
        <v>372000000</v>
      </c>
      <c r="X423" s="357"/>
      <c r="Y423" s="357"/>
      <c r="Z423" s="400"/>
      <c r="AA423" s="369"/>
      <c r="AB423" s="370"/>
      <c r="AC423" s="404"/>
      <c r="AD423" s="270"/>
      <c r="AE423" s="156"/>
      <c r="AF423" s="156"/>
      <c r="AG423" s="357"/>
      <c r="AH423" s="357"/>
      <c r="AI423" s="357"/>
      <c r="AJ423" s="156"/>
      <c r="AK423" s="156"/>
      <c r="AL423" s="375"/>
      <c r="AM423" s="405"/>
      <c r="AN423" s="273"/>
      <c r="AO423" s="405"/>
      <c r="AP423" s="273"/>
      <c r="AQ423" s="273"/>
      <c r="AR423" s="273"/>
      <c r="AS423" s="273"/>
      <c r="AT423" s="273"/>
      <c r="AU423" s="273"/>
      <c r="AV423" s="322">
        <f t="shared" si="20"/>
        <v>0</v>
      </c>
      <c r="AW423" s="402"/>
      <c r="AX423" s="376"/>
      <c r="AY423" s="373"/>
      <c r="AZ423" s="375"/>
      <c r="BA423" s="375"/>
      <c r="BB423" s="375"/>
      <c r="BC423" s="375"/>
      <c r="BD423" s="353">
        <f t="shared" si="21"/>
        <v>0</v>
      </c>
      <c r="BE423" s="432" t="s">
        <v>355</v>
      </c>
      <c r="BF423" s="407" t="s">
        <v>508</v>
      </c>
      <c r="BG423" s="168"/>
      <c r="BH423" s="274"/>
      <c r="BI423" s="168"/>
      <c r="BJ423" s="274"/>
      <c r="BK423" s="168"/>
      <c r="BL423" s="275"/>
      <c r="BM423" s="276"/>
      <c r="BN423" s="275"/>
      <c r="BO423" s="276"/>
      <c r="BP423" s="277"/>
      <c r="BQ423" s="156"/>
      <c r="BR423" s="274"/>
      <c r="BS423" s="270"/>
      <c r="BT423" s="270"/>
      <c r="BU423" s="274"/>
      <c r="BV423" s="274"/>
      <c r="BW423" s="278"/>
      <c r="BX423" s="278"/>
      <c r="BY423" s="278"/>
      <c r="BZ423" s="351"/>
    </row>
    <row r="424" spans="1:78" s="90" customFormat="1" ht="19.5" hidden="1" customHeight="1">
      <c r="A424" s="137"/>
      <c r="B424" s="197">
        <f t="shared" si="19"/>
        <v>414</v>
      </c>
      <c r="C424" s="30" t="s">
        <v>202</v>
      </c>
      <c r="D424" s="30" t="s">
        <v>225</v>
      </c>
      <c r="E424" s="234" t="s">
        <v>1001</v>
      </c>
      <c r="F424" s="235" t="s">
        <v>1217</v>
      </c>
      <c r="G424" s="284">
        <f>IFERROR(VLOOKUP(E424,Assign!$C$2:$J$142,8,FALSE),)</f>
        <v>0</v>
      </c>
      <c r="H424" s="361" t="s">
        <v>4299</v>
      </c>
      <c r="I424" s="363">
        <v>1</v>
      </c>
      <c r="J424" s="364" t="s">
        <v>208</v>
      </c>
      <c r="K424" s="364" t="s">
        <v>372</v>
      </c>
      <c r="L424" s="365" t="s">
        <v>1866</v>
      </c>
      <c r="M424" s="362" t="s">
        <v>3109</v>
      </c>
      <c r="N424" s="421" t="s">
        <v>620</v>
      </c>
      <c r="O424" s="269">
        <v>360</v>
      </c>
      <c r="P424" s="269">
        <v>297.64999999999998</v>
      </c>
      <c r="Q424" s="426"/>
      <c r="R424" s="418" t="s">
        <v>1001</v>
      </c>
      <c r="S424" s="427" t="s">
        <v>613</v>
      </c>
      <c r="T424" s="357">
        <v>1</v>
      </c>
      <c r="U424" s="357" t="s">
        <v>204</v>
      </c>
      <c r="V424" s="367">
        <v>480000000</v>
      </c>
      <c r="W424" s="368">
        <v>480000000</v>
      </c>
      <c r="X424" s="357"/>
      <c r="Y424" s="357"/>
      <c r="Z424" s="400"/>
      <c r="AA424" s="369"/>
      <c r="AB424" s="370"/>
      <c r="AC424" s="404"/>
      <c r="AD424" s="270"/>
      <c r="AE424" s="156"/>
      <c r="AF424" s="156"/>
      <c r="AG424" s="357"/>
      <c r="AH424" s="357"/>
      <c r="AI424" s="357"/>
      <c r="AJ424" s="156"/>
      <c r="AK424" s="156"/>
      <c r="AL424" s="375"/>
      <c r="AM424" s="405"/>
      <c r="AN424" s="273"/>
      <c r="AO424" s="405"/>
      <c r="AP424" s="273"/>
      <c r="AQ424" s="273"/>
      <c r="AR424" s="273"/>
      <c r="AS424" s="273"/>
      <c r="AT424" s="273"/>
      <c r="AU424" s="273"/>
      <c r="AV424" s="322">
        <f t="shared" si="20"/>
        <v>0</v>
      </c>
      <c r="AW424" s="402"/>
      <c r="AX424" s="376"/>
      <c r="AY424" s="373"/>
      <c r="AZ424" s="375"/>
      <c r="BA424" s="375"/>
      <c r="BB424" s="375"/>
      <c r="BC424" s="375"/>
      <c r="BD424" s="353">
        <f t="shared" si="21"/>
        <v>0</v>
      </c>
      <c r="BE424" s="432" t="s">
        <v>355</v>
      </c>
      <c r="BF424" s="407" t="s">
        <v>498</v>
      </c>
      <c r="BG424" s="168"/>
      <c r="BH424" s="274"/>
      <c r="BI424" s="168"/>
      <c r="BJ424" s="274"/>
      <c r="BK424" s="168"/>
      <c r="BL424" s="275"/>
      <c r="BM424" s="276"/>
      <c r="BN424" s="275"/>
      <c r="BO424" s="276"/>
      <c r="BP424" s="277"/>
      <c r="BQ424" s="156"/>
      <c r="BR424" s="274"/>
      <c r="BS424" s="270"/>
      <c r="BT424" s="270"/>
      <c r="BU424" s="274"/>
      <c r="BV424" s="274"/>
      <c r="BW424" s="278"/>
      <c r="BX424" s="278"/>
      <c r="BY424" s="278"/>
      <c r="BZ424" s="351"/>
    </row>
    <row r="425" spans="1:78" s="90" customFormat="1" ht="19.5" hidden="1" customHeight="1">
      <c r="A425" s="137"/>
      <c r="B425" s="197">
        <f t="shared" si="19"/>
        <v>415</v>
      </c>
      <c r="C425" s="30" t="s">
        <v>202</v>
      </c>
      <c r="D425" s="30" t="s">
        <v>225</v>
      </c>
      <c r="E425" s="234" t="s">
        <v>1002</v>
      </c>
      <c r="F425" s="235" t="s">
        <v>1360</v>
      </c>
      <c r="G425" s="284">
        <f>IFERROR(VLOOKUP(E425,Assign!$C$2:$J$142,8,FALSE),)</f>
        <v>0</v>
      </c>
      <c r="H425" s="361" t="s">
        <v>5026</v>
      </c>
      <c r="I425" s="363">
        <v>1</v>
      </c>
      <c r="J425" s="364" t="s">
        <v>208</v>
      </c>
      <c r="K425" s="364" t="s">
        <v>316</v>
      </c>
      <c r="L425" s="365" t="s">
        <v>1686</v>
      </c>
      <c r="M425" s="362" t="s">
        <v>3149</v>
      </c>
      <c r="N425" s="421" t="s">
        <v>396</v>
      </c>
      <c r="O425" s="269">
        <v>298</v>
      </c>
      <c r="P425" s="269">
        <v>191.8</v>
      </c>
      <c r="Q425" s="426"/>
      <c r="R425" s="418" t="s">
        <v>1002</v>
      </c>
      <c r="S425" s="427" t="s">
        <v>613</v>
      </c>
      <c r="T425" s="357">
        <v>2</v>
      </c>
      <c r="U425" s="357" t="s">
        <v>204</v>
      </c>
      <c r="V425" s="367">
        <v>360000000</v>
      </c>
      <c r="W425" s="368">
        <v>360000000</v>
      </c>
      <c r="X425" s="357"/>
      <c r="Y425" s="357"/>
      <c r="Z425" s="400"/>
      <c r="AA425" s="369"/>
      <c r="AB425" s="370"/>
      <c r="AC425" s="404">
        <v>1</v>
      </c>
      <c r="AD425" s="270" t="s">
        <v>204</v>
      </c>
      <c r="AE425" s="156">
        <v>360000000</v>
      </c>
      <c r="AF425" s="156">
        <v>360000000</v>
      </c>
      <c r="AG425" s="357"/>
      <c r="AH425" s="357"/>
      <c r="AI425" s="357"/>
      <c r="AJ425" s="156"/>
      <c r="AK425" s="156"/>
      <c r="AL425" s="375"/>
      <c r="AM425" s="405"/>
      <c r="AN425" s="273"/>
      <c r="AO425" s="405"/>
      <c r="AP425" s="273"/>
      <c r="AQ425" s="273"/>
      <c r="AR425" s="273"/>
      <c r="AS425" s="273"/>
      <c r="AT425" s="273"/>
      <c r="AU425" s="273"/>
      <c r="AV425" s="322">
        <f t="shared" si="20"/>
        <v>0</v>
      </c>
      <c r="AW425" s="402"/>
      <c r="AX425" s="376"/>
      <c r="AY425" s="373"/>
      <c r="AZ425" s="375"/>
      <c r="BA425" s="375"/>
      <c r="BB425" s="375"/>
      <c r="BC425" s="375"/>
      <c r="BD425" s="353">
        <f t="shared" si="21"/>
        <v>0</v>
      </c>
      <c r="BE425" s="432" t="s">
        <v>335</v>
      </c>
      <c r="BF425" s="407" t="s">
        <v>501</v>
      </c>
      <c r="BG425" s="168" t="s">
        <v>1373</v>
      </c>
      <c r="BH425" s="274">
        <v>45742</v>
      </c>
      <c r="BI425" s="168" t="s">
        <v>3327</v>
      </c>
      <c r="BJ425" s="274">
        <v>45811</v>
      </c>
      <c r="BK425" s="168">
        <v>305316323</v>
      </c>
      <c r="BL425" s="275"/>
      <c r="BM425" s="276"/>
      <c r="BN425" s="275"/>
      <c r="BO425" s="276"/>
      <c r="BP425" s="277"/>
      <c r="BQ425" s="156"/>
      <c r="BR425" s="274"/>
      <c r="BS425" s="270"/>
      <c r="BT425" s="270"/>
      <c r="BU425" s="274"/>
      <c r="BV425" s="274"/>
      <c r="BW425" s="278"/>
      <c r="BX425" s="278"/>
      <c r="BY425" s="278"/>
      <c r="BZ425" s="351"/>
    </row>
    <row r="426" spans="1:78" s="90" customFormat="1" ht="19.5" hidden="1" customHeight="1">
      <c r="A426" s="137"/>
      <c r="B426" s="197">
        <f t="shared" si="19"/>
        <v>416</v>
      </c>
      <c r="C426" s="30" t="s">
        <v>202</v>
      </c>
      <c r="D426" s="30" t="s">
        <v>225</v>
      </c>
      <c r="E426" s="234" t="s">
        <v>1003</v>
      </c>
      <c r="F426" s="235" t="s">
        <v>1231</v>
      </c>
      <c r="G426" s="284">
        <f>IFERROR(VLOOKUP(E426,Assign!$C$2:$J$142,8,FALSE),)</f>
        <v>0</v>
      </c>
      <c r="H426" s="361" t="s">
        <v>4421</v>
      </c>
      <c r="I426" s="363">
        <v>1</v>
      </c>
      <c r="J426" s="364" t="s">
        <v>208</v>
      </c>
      <c r="K426" s="364" t="s">
        <v>316</v>
      </c>
      <c r="L426" s="365" t="s">
        <v>1976</v>
      </c>
      <c r="M426" s="362" t="s">
        <v>1977</v>
      </c>
      <c r="N426" s="421" t="s">
        <v>606</v>
      </c>
      <c r="O426" s="269">
        <v>49.2</v>
      </c>
      <c r="P426" s="269">
        <v>74.86</v>
      </c>
      <c r="Q426" s="426"/>
      <c r="R426" s="418" t="s">
        <v>1003</v>
      </c>
      <c r="S426" s="427" t="s">
        <v>613</v>
      </c>
      <c r="T426" s="357">
        <v>1</v>
      </c>
      <c r="U426" s="357" t="s">
        <v>204</v>
      </c>
      <c r="V426" s="367">
        <v>333300000</v>
      </c>
      <c r="W426" s="368">
        <v>333300000</v>
      </c>
      <c r="X426" s="357"/>
      <c r="Y426" s="357"/>
      <c r="Z426" s="400"/>
      <c r="AA426" s="369"/>
      <c r="AB426" s="370"/>
      <c r="AC426" s="404"/>
      <c r="AD426" s="270"/>
      <c r="AE426" s="156"/>
      <c r="AF426" s="156"/>
      <c r="AG426" s="357"/>
      <c r="AH426" s="357"/>
      <c r="AI426" s="357"/>
      <c r="AJ426" s="156"/>
      <c r="AK426" s="156"/>
      <c r="AL426" s="375"/>
      <c r="AM426" s="405"/>
      <c r="AN426" s="273"/>
      <c r="AO426" s="405"/>
      <c r="AP426" s="273"/>
      <c r="AQ426" s="273"/>
      <c r="AR426" s="273"/>
      <c r="AS426" s="273"/>
      <c r="AT426" s="273"/>
      <c r="AU426" s="273"/>
      <c r="AV426" s="322">
        <f t="shared" si="20"/>
        <v>0</v>
      </c>
      <c r="AW426" s="402"/>
      <c r="AX426" s="376"/>
      <c r="AY426" s="373"/>
      <c r="AZ426" s="375"/>
      <c r="BA426" s="375"/>
      <c r="BB426" s="375"/>
      <c r="BC426" s="375"/>
      <c r="BD426" s="353">
        <f t="shared" si="21"/>
        <v>0</v>
      </c>
      <c r="BE426" s="432" t="s">
        <v>355</v>
      </c>
      <c r="BF426" s="407" t="s">
        <v>501</v>
      </c>
      <c r="BG426" s="168"/>
      <c r="BH426" s="274"/>
      <c r="BI426" s="168"/>
      <c r="BJ426" s="274"/>
      <c r="BK426" s="168"/>
      <c r="BL426" s="275"/>
      <c r="BM426" s="276"/>
      <c r="BN426" s="275"/>
      <c r="BO426" s="276"/>
      <c r="BP426" s="277"/>
      <c r="BQ426" s="156"/>
      <c r="BR426" s="274"/>
      <c r="BS426" s="270"/>
      <c r="BT426" s="270"/>
      <c r="BU426" s="274"/>
      <c r="BV426" s="274"/>
      <c r="BW426" s="278"/>
      <c r="BX426" s="278"/>
      <c r="BY426" s="278"/>
      <c r="BZ426" s="351"/>
    </row>
    <row r="427" spans="1:78" s="90" customFormat="1" ht="19.5" hidden="1" customHeight="1">
      <c r="A427" s="137"/>
      <c r="B427" s="197">
        <f t="shared" si="19"/>
        <v>417</v>
      </c>
      <c r="C427" s="30" t="s">
        <v>202</v>
      </c>
      <c r="D427" s="30" t="s">
        <v>225</v>
      </c>
      <c r="E427" s="234" t="s">
        <v>1004</v>
      </c>
      <c r="F427" s="235" t="s">
        <v>1361</v>
      </c>
      <c r="G427" s="284" t="str">
        <f>IFERROR(VLOOKUP(E427,Assign!$C$2:$J$142,8,FALSE),)</f>
        <v>문선영</v>
      </c>
      <c r="H427" s="361" t="s">
        <v>5016</v>
      </c>
      <c r="I427" s="363">
        <v>1</v>
      </c>
      <c r="J427" s="364" t="s">
        <v>208</v>
      </c>
      <c r="K427" s="364" t="s">
        <v>301</v>
      </c>
      <c r="L427" s="365" t="s">
        <v>1798</v>
      </c>
      <c r="M427" s="362" t="s">
        <v>2537</v>
      </c>
      <c r="N427" s="421" t="s">
        <v>3386</v>
      </c>
      <c r="O427" s="269">
        <v>175.67330000000001</v>
      </c>
      <c r="P427" s="269">
        <v>347.84</v>
      </c>
      <c r="Q427" s="426"/>
      <c r="R427" s="418" t="s">
        <v>1004</v>
      </c>
      <c r="S427" s="427" t="s">
        <v>613</v>
      </c>
      <c r="T427" s="357">
        <v>1</v>
      </c>
      <c r="U427" s="357" t="s">
        <v>204</v>
      </c>
      <c r="V427" s="367">
        <v>1200000000</v>
      </c>
      <c r="W427" s="368">
        <v>1200000000</v>
      </c>
      <c r="X427" s="357"/>
      <c r="Y427" s="357"/>
      <c r="Z427" s="400"/>
      <c r="AA427" s="369"/>
      <c r="AB427" s="370"/>
      <c r="AC427" s="404"/>
      <c r="AD427" s="270"/>
      <c r="AE427" s="156"/>
      <c r="AF427" s="156"/>
      <c r="AG427" s="357"/>
      <c r="AH427" s="357"/>
      <c r="AI427" s="357"/>
      <c r="AJ427" s="156"/>
      <c r="AK427" s="156"/>
      <c r="AL427" s="375"/>
      <c r="AM427" s="405"/>
      <c r="AN427" s="273"/>
      <c r="AO427" s="405"/>
      <c r="AP427" s="273"/>
      <c r="AQ427" s="273"/>
      <c r="AR427" s="273"/>
      <c r="AS427" s="273"/>
      <c r="AT427" s="273"/>
      <c r="AU427" s="273"/>
      <c r="AV427" s="322">
        <f t="shared" si="20"/>
        <v>0</v>
      </c>
      <c r="AW427" s="402"/>
      <c r="AX427" s="376"/>
      <c r="AY427" s="373"/>
      <c r="AZ427" s="375"/>
      <c r="BA427" s="375"/>
      <c r="BB427" s="375"/>
      <c r="BC427" s="375"/>
      <c r="BD427" s="353">
        <f t="shared" si="21"/>
        <v>0</v>
      </c>
      <c r="BE427" s="432" t="s">
        <v>355</v>
      </c>
      <c r="BF427" s="407" t="s">
        <v>502</v>
      </c>
      <c r="BG427" s="168"/>
      <c r="BH427" s="274"/>
      <c r="BI427" s="168"/>
      <c r="BJ427" s="274"/>
      <c r="BK427" s="168"/>
      <c r="BL427" s="275"/>
      <c r="BM427" s="276"/>
      <c r="BN427" s="275"/>
      <c r="BO427" s="276"/>
      <c r="BP427" s="277"/>
      <c r="BQ427" s="156"/>
      <c r="BR427" s="274"/>
      <c r="BS427" s="270"/>
      <c r="BT427" s="270"/>
      <c r="BU427" s="274"/>
      <c r="BV427" s="274"/>
      <c r="BW427" s="278"/>
      <c r="BX427" s="278"/>
      <c r="BY427" s="278"/>
      <c r="BZ427" s="351"/>
    </row>
    <row r="428" spans="1:78" s="90" customFormat="1" ht="19.5" hidden="1" customHeight="1">
      <c r="A428" s="137"/>
      <c r="B428" s="197">
        <f t="shared" si="19"/>
        <v>418</v>
      </c>
      <c r="C428" s="30" t="s">
        <v>202</v>
      </c>
      <c r="D428" s="30" t="s">
        <v>225</v>
      </c>
      <c r="E428" s="234" t="s">
        <v>1005</v>
      </c>
      <c r="F428" s="235" t="s">
        <v>1226</v>
      </c>
      <c r="G428" s="284" t="str">
        <f>IFERROR(VLOOKUP(E428,Assign!$C$2:$J$142,8,FALSE),)</f>
        <v>문선영</v>
      </c>
      <c r="H428" s="361" t="s">
        <v>3914</v>
      </c>
      <c r="I428" s="363">
        <v>1</v>
      </c>
      <c r="J428" s="364" t="s">
        <v>208</v>
      </c>
      <c r="K428" s="364" t="s">
        <v>258</v>
      </c>
      <c r="L428" s="365" t="s">
        <v>321</v>
      </c>
      <c r="M428" s="362" t="s">
        <v>1485</v>
      </c>
      <c r="N428" s="421" t="s">
        <v>207</v>
      </c>
      <c r="O428" s="269">
        <v>40.667200000000001</v>
      </c>
      <c r="P428" s="269">
        <v>59.792499999999997</v>
      </c>
      <c r="Q428" s="426"/>
      <c r="R428" s="418" t="s">
        <v>1005</v>
      </c>
      <c r="S428" s="427" t="s">
        <v>613</v>
      </c>
      <c r="T428" s="357">
        <v>1</v>
      </c>
      <c r="U428" s="357" t="s">
        <v>204</v>
      </c>
      <c r="V428" s="367">
        <v>319000000</v>
      </c>
      <c r="W428" s="368">
        <v>319000000</v>
      </c>
      <c r="X428" s="357"/>
      <c r="Y428" s="357"/>
      <c r="Z428" s="400"/>
      <c r="AA428" s="369"/>
      <c r="AB428" s="370"/>
      <c r="AC428" s="404"/>
      <c r="AD428" s="270"/>
      <c r="AE428" s="156"/>
      <c r="AF428" s="156"/>
      <c r="AG428" s="357"/>
      <c r="AH428" s="357"/>
      <c r="AI428" s="357"/>
      <c r="AJ428" s="156"/>
      <c r="AK428" s="156"/>
      <c r="AL428" s="375"/>
      <c r="AM428" s="405"/>
      <c r="AN428" s="273"/>
      <c r="AO428" s="405"/>
      <c r="AP428" s="273"/>
      <c r="AQ428" s="273"/>
      <c r="AR428" s="273"/>
      <c r="AS428" s="273"/>
      <c r="AT428" s="273"/>
      <c r="AU428" s="273"/>
      <c r="AV428" s="322">
        <f t="shared" si="20"/>
        <v>0</v>
      </c>
      <c r="AW428" s="402" t="s">
        <v>3387</v>
      </c>
      <c r="AX428" s="376">
        <v>45765</v>
      </c>
      <c r="AY428" s="373" t="s">
        <v>3388</v>
      </c>
      <c r="AZ428" s="375"/>
      <c r="BA428" s="375">
        <v>372500000</v>
      </c>
      <c r="BB428" s="375"/>
      <c r="BC428" s="375"/>
      <c r="BD428" s="353">
        <f t="shared" si="21"/>
        <v>372500000</v>
      </c>
      <c r="BE428" s="432" t="s">
        <v>355</v>
      </c>
      <c r="BF428" s="407" t="s">
        <v>498</v>
      </c>
      <c r="BG428" s="168"/>
      <c r="BH428" s="274"/>
      <c r="BI428" s="168"/>
      <c r="BJ428" s="274"/>
      <c r="BK428" s="168"/>
      <c r="BL428" s="275"/>
      <c r="BM428" s="276"/>
      <c r="BN428" s="275"/>
      <c r="BO428" s="276"/>
      <c r="BP428" s="277"/>
      <c r="BQ428" s="156"/>
      <c r="BR428" s="274"/>
      <c r="BS428" s="270"/>
      <c r="BT428" s="270"/>
      <c r="BU428" s="274"/>
      <c r="BV428" s="274"/>
      <c r="BW428" s="278"/>
      <c r="BX428" s="278"/>
      <c r="BY428" s="278"/>
      <c r="BZ428" s="351"/>
    </row>
    <row r="429" spans="1:78" s="90" customFormat="1" ht="19.5" customHeight="1">
      <c r="A429" s="137"/>
      <c r="B429" s="197">
        <f t="shared" si="19"/>
        <v>419</v>
      </c>
      <c r="C429" s="30" t="s">
        <v>202</v>
      </c>
      <c r="D429" s="30" t="s">
        <v>225</v>
      </c>
      <c r="E429" s="234" t="s">
        <v>1006</v>
      </c>
      <c r="F429" s="235" t="s">
        <v>1231</v>
      </c>
      <c r="G429" s="284" t="str">
        <f>IFERROR(VLOOKUP(E429,Assign!$C$2:$J$142,8,FALSE),)</f>
        <v>문선영</v>
      </c>
      <c r="H429" s="361" t="s">
        <v>5463</v>
      </c>
      <c r="I429" s="363">
        <v>1</v>
      </c>
      <c r="J429" s="364" t="s">
        <v>216</v>
      </c>
      <c r="K429" s="364" t="s">
        <v>289</v>
      </c>
      <c r="L429" s="365" t="s">
        <v>2936</v>
      </c>
      <c r="M429" s="362" t="s">
        <v>2937</v>
      </c>
      <c r="N429" s="421" t="s">
        <v>207</v>
      </c>
      <c r="O429" s="269">
        <v>104.0402</v>
      </c>
      <c r="P429" s="269">
        <v>149.9478</v>
      </c>
      <c r="Q429" s="426"/>
      <c r="R429" s="418" t="s">
        <v>3451</v>
      </c>
      <c r="S429" s="427" t="s">
        <v>613</v>
      </c>
      <c r="T429" s="357">
        <v>1</v>
      </c>
      <c r="U429" s="357" t="s">
        <v>204</v>
      </c>
      <c r="V429" s="367">
        <v>432000000</v>
      </c>
      <c r="W429" s="368">
        <v>432000000</v>
      </c>
      <c r="X429" s="357"/>
      <c r="Y429" s="357"/>
      <c r="Z429" s="400"/>
      <c r="AA429" s="369"/>
      <c r="AB429" s="370"/>
      <c r="AC429" s="404"/>
      <c r="AD429" s="270"/>
      <c r="AE429" s="156"/>
      <c r="AF429" s="156"/>
      <c r="AG429" s="357"/>
      <c r="AH429" s="357"/>
      <c r="AI429" s="357"/>
      <c r="AJ429" s="156"/>
      <c r="AK429" s="156"/>
      <c r="AL429" s="375"/>
      <c r="AM429" s="405"/>
      <c r="AN429" s="273"/>
      <c r="AO429" s="405"/>
      <c r="AP429" s="273"/>
      <c r="AQ429" s="273"/>
      <c r="AR429" s="273"/>
      <c r="AS429" s="273"/>
      <c r="AT429" s="273"/>
      <c r="AU429" s="273"/>
      <c r="AV429" s="322">
        <f t="shared" si="20"/>
        <v>0</v>
      </c>
      <c r="AW429" s="402"/>
      <c r="AX429" s="376"/>
      <c r="AY429" s="373"/>
      <c r="AZ429" s="375"/>
      <c r="BA429" s="375"/>
      <c r="BB429" s="375"/>
      <c r="BC429" s="375"/>
      <c r="BD429" s="353">
        <f t="shared" si="21"/>
        <v>0</v>
      </c>
      <c r="BE429" s="432" t="s">
        <v>335</v>
      </c>
      <c r="BF429" s="407" t="s">
        <v>509</v>
      </c>
      <c r="BG429" s="168" t="s">
        <v>486</v>
      </c>
      <c r="BH429" s="274">
        <v>45632</v>
      </c>
      <c r="BI429" s="168" t="s">
        <v>3350</v>
      </c>
      <c r="BJ429" s="274">
        <v>45716</v>
      </c>
      <c r="BK429" s="168">
        <v>360000000</v>
      </c>
      <c r="BL429" s="275"/>
      <c r="BM429" s="276"/>
      <c r="BN429" s="275"/>
      <c r="BO429" s="276"/>
      <c r="BP429" s="277"/>
      <c r="BQ429" s="156"/>
      <c r="BR429" s="274"/>
      <c r="BS429" s="270"/>
      <c r="BT429" s="270"/>
      <c r="BU429" s="274"/>
      <c r="BV429" s="274"/>
      <c r="BW429" s="278"/>
      <c r="BX429" s="278"/>
      <c r="BY429" s="278"/>
      <c r="BZ429" s="351"/>
    </row>
    <row r="430" spans="1:78" s="90" customFormat="1" ht="19.5" hidden="1" customHeight="1">
      <c r="A430" s="137"/>
      <c r="B430" s="197">
        <f t="shared" si="19"/>
        <v>420</v>
      </c>
      <c r="C430" s="30" t="s">
        <v>202</v>
      </c>
      <c r="D430" s="30" t="s">
        <v>225</v>
      </c>
      <c r="E430" s="234" t="s">
        <v>1007</v>
      </c>
      <c r="F430" s="235" t="s">
        <v>1229</v>
      </c>
      <c r="G430" s="284">
        <f>IFERROR(VLOOKUP(E430,Assign!$C$2:$J$142,8,FALSE),)</f>
        <v>0</v>
      </c>
      <c r="H430" s="361" t="s">
        <v>4849</v>
      </c>
      <c r="I430" s="363">
        <v>1</v>
      </c>
      <c r="J430" s="364" t="s">
        <v>208</v>
      </c>
      <c r="K430" s="364" t="s">
        <v>259</v>
      </c>
      <c r="L430" s="365" t="s">
        <v>1678</v>
      </c>
      <c r="M430" s="362" t="s">
        <v>2375</v>
      </c>
      <c r="N430" s="421" t="s">
        <v>207</v>
      </c>
      <c r="O430" s="269">
        <v>42.639699999999998</v>
      </c>
      <c r="P430" s="269">
        <v>55.96</v>
      </c>
      <c r="Q430" s="426"/>
      <c r="R430" s="418" t="s">
        <v>1007</v>
      </c>
      <c r="S430" s="427" t="s">
        <v>613</v>
      </c>
      <c r="T430" s="357">
        <v>1</v>
      </c>
      <c r="U430" s="357" t="s">
        <v>204</v>
      </c>
      <c r="V430" s="367">
        <v>321200000</v>
      </c>
      <c r="W430" s="368">
        <v>321200000</v>
      </c>
      <c r="X430" s="357"/>
      <c r="Y430" s="357"/>
      <c r="Z430" s="400"/>
      <c r="AA430" s="369"/>
      <c r="AB430" s="370"/>
      <c r="AC430" s="404"/>
      <c r="AD430" s="270"/>
      <c r="AE430" s="156"/>
      <c r="AF430" s="156"/>
      <c r="AG430" s="357"/>
      <c r="AH430" s="357"/>
      <c r="AI430" s="357"/>
      <c r="AJ430" s="156"/>
      <c r="AK430" s="156"/>
      <c r="AL430" s="375"/>
      <c r="AM430" s="405"/>
      <c r="AN430" s="273"/>
      <c r="AO430" s="405"/>
      <c r="AP430" s="273"/>
      <c r="AQ430" s="273"/>
      <c r="AR430" s="273"/>
      <c r="AS430" s="273"/>
      <c r="AT430" s="273"/>
      <c r="AU430" s="273"/>
      <c r="AV430" s="322">
        <f t="shared" si="20"/>
        <v>0</v>
      </c>
      <c r="AW430" s="402"/>
      <c r="AX430" s="376"/>
      <c r="AY430" s="373"/>
      <c r="AZ430" s="375"/>
      <c r="BA430" s="375"/>
      <c r="BB430" s="375"/>
      <c r="BC430" s="375"/>
      <c r="BD430" s="353">
        <f t="shared" si="21"/>
        <v>0</v>
      </c>
      <c r="BE430" s="432" t="s">
        <v>355</v>
      </c>
      <c r="BF430" s="407" t="s">
        <v>499</v>
      </c>
      <c r="BG430" s="168"/>
      <c r="BH430" s="274"/>
      <c r="BI430" s="168"/>
      <c r="BJ430" s="274"/>
      <c r="BK430" s="168"/>
      <c r="BL430" s="275"/>
      <c r="BM430" s="276"/>
      <c r="BN430" s="275"/>
      <c r="BO430" s="276"/>
      <c r="BP430" s="277"/>
      <c r="BQ430" s="156"/>
      <c r="BR430" s="274"/>
      <c r="BS430" s="270"/>
      <c r="BT430" s="270"/>
      <c r="BU430" s="274"/>
      <c r="BV430" s="274"/>
      <c r="BW430" s="278"/>
      <c r="BX430" s="278"/>
      <c r="BY430" s="278"/>
      <c r="BZ430" s="351"/>
    </row>
    <row r="431" spans="1:78" s="90" customFormat="1" ht="19.5" hidden="1" customHeight="1">
      <c r="A431" s="137"/>
      <c r="B431" s="197">
        <f t="shared" si="19"/>
        <v>421</v>
      </c>
      <c r="C431" s="30" t="s">
        <v>202</v>
      </c>
      <c r="D431" s="30" t="s">
        <v>225</v>
      </c>
      <c r="E431" s="234" t="s">
        <v>1008</v>
      </c>
      <c r="F431" s="235" t="s">
        <v>1229</v>
      </c>
      <c r="G431" s="284">
        <f>IFERROR(VLOOKUP(E431,Assign!$C$2:$J$142,8,FALSE),)</f>
        <v>0</v>
      </c>
      <c r="H431" s="361" t="s">
        <v>4677</v>
      </c>
      <c r="I431" s="363">
        <v>1</v>
      </c>
      <c r="J431" s="364" t="s">
        <v>208</v>
      </c>
      <c r="K431" s="364" t="s">
        <v>301</v>
      </c>
      <c r="L431" s="365" t="s">
        <v>2214</v>
      </c>
      <c r="M431" s="362" t="s">
        <v>2215</v>
      </c>
      <c r="N431" s="421" t="s">
        <v>207</v>
      </c>
      <c r="O431" s="269">
        <v>71.402000000000001</v>
      </c>
      <c r="P431" s="269">
        <v>120.5004</v>
      </c>
      <c r="Q431" s="426"/>
      <c r="R431" s="418" t="s">
        <v>1008</v>
      </c>
      <c r="S431" s="427" t="s">
        <v>613</v>
      </c>
      <c r="T431" s="357">
        <v>1</v>
      </c>
      <c r="U431" s="357" t="s">
        <v>204</v>
      </c>
      <c r="V431" s="367">
        <v>306600000</v>
      </c>
      <c r="W431" s="368">
        <v>306600000</v>
      </c>
      <c r="X431" s="357"/>
      <c r="Y431" s="357"/>
      <c r="Z431" s="400"/>
      <c r="AA431" s="369"/>
      <c r="AB431" s="370"/>
      <c r="AC431" s="404"/>
      <c r="AD431" s="270"/>
      <c r="AE431" s="156"/>
      <c r="AF431" s="156"/>
      <c r="AG431" s="357"/>
      <c r="AH431" s="357"/>
      <c r="AI431" s="357"/>
      <c r="AJ431" s="156"/>
      <c r="AK431" s="156"/>
      <c r="AL431" s="375"/>
      <c r="AM431" s="405"/>
      <c r="AN431" s="273"/>
      <c r="AO431" s="405"/>
      <c r="AP431" s="273"/>
      <c r="AQ431" s="273"/>
      <c r="AR431" s="273"/>
      <c r="AS431" s="273"/>
      <c r="AT431" s="273"/>
      <c r="AU431" s="273"/>
      <c r="AV431" s="322">
        <f t="shared" si="20"/>
        <v>0</v>
      </c>
      <c r="AW431" s="402" t="s">
        <v>3387</v>
      </c>
      <c r="AX431" s="376">
        <v>45765</v>
      </c>
      <c r="AY431" s="373" t="s">
        <v>3388</v>
      </c>
      <c r="AZ431" s="375"/>
      <c r="BA431" s="375">
        <v>485000000</v>
      </c>
      <c r="BB431" s="375"/>
      <c r="BC431" s="375"/>
      <c r="BD431" s="353">
        <f t="shared" si="21"/>
        <v>485000000</v>
      </c>
      <c r="BE431" s="432" t="s">
        <v>355</v>
      </c>
      <c r="BF431" s="407" t="s">
        <v>502</v>
      </c>
      <c r="BG431" s="168"/>
      <c r="BH431" s="274"/>
      <c r="BI431" s="168"/>
      <c r="BJ431" s="274"/>
      <c r="BK431" s="168"/>
      <c r="BL431" s="275"/>
      <c r="BM431" s="276"/>
      <c r="BN431" s="275"/>
      <c r="BO431" s="276"/>
      <c r="BP431" s="277"/>
      <c r="BQ431" s="156"/>
      <c r="BR431" s="274"/>
      <c r="BS431" s="270"/>
      <c r="BT431" s="270"/>
      <c r="BU431" s="274"/>
      <c r="BV431" s="274"/>
      <c r="BW431" s="278"/>
      <c r="BX431" s="278"/>
      <c r="BY431" s="278"/>
      <c r="BZ431" s="351"/>
    </row>
    <row r="432" spans="1:78" s="90" customFormat="1" ht="19.5" hidden="1" customHeight="1">
      <c r="A432" s="137"/>
      <c r="B432" s="197">
        <f t="shared" si="19"/>
        <v>422</v>
      </c>
      <c r="C432" s="30" t="s">
        <v>202</v>
      </c>
      <c r="D432" s="30" t="s">
        <v>225</v>
      </c>
      <c r="E432" s="234" t="s">
        <v>1009</v>
      </c>
      <c r="F432" s="235" t="s">
        <v>1221</v>
      </c>
      <c r="G432" s="284" t="str">
        <f>IFERROR(VLOOKUP(E432,Assign!$C$2:$J$142,8,FALSE),)</f>
        <v>문선영</v>
      </c>
      <c r="H432" s="361" t="s">
        <v>4656</v>
      </c>
      <c r="I432" s="363">
        <v>1</v>
      </c>
      <c r="J432" s="364" t="s">
        <v>213</v>
      </c>
      <c r="K432" s="364" t="s">
        <v>289</v>
      </c>
      <c r="L432" s="365" t="s">
        <v>2192</v>
      </c>
      <c r="M432" s="362" t="s">
        <v>2193</v>
      </c>
      <c r="N432" s="421" t="s">
        <v>207</v>
      </c>
      <c r="O432" s="269">
        <v>41.02</v>
      </c>
      <c r="P432" s="269">
        <v>134.78</v>
      </c>
      <c r="Q432" s="426"/>
      <c r="R432" s="418" t="s">
        <v>1009</v>
      </c>
      <c r="S432" s="427" t="s">
        <v>613</v>
      </c>
      <c r="T432" s="357" t="s">
        <v>229</v>
      </c>
      <c r="U432" s="357" t="s">
        <v>204</v>
      </c>
      <c r="V432" s="367">
        <v>339600000</v>
      </c>
      <c r="W432" s="368">
        <v>339600000</v>
      </c>
      <c r="X432" s="357"/>
      <c r="Y432" s="357"/>
      <c r="Z432" s="400"/>
      <c r="AA432" s="369"/>
      <c r="AB432" s="370"/>
      <c r="AC432" s="404"/>
      <c r="AD432" s="270"/>
      <c r="AE432" s="156"/>
      <c r="AF432" s="156"/>
      <c r="AG432" s="357"/>
      <c r="AH432" s="357"/>
      <c r="AI432" s="357"/>
      <c r="AJ432" s="156"/>
      <c r="AK432" s="156"/>
      <c r="AL432" s="375"/>
      <c r="AM432" s="405"/>
      <c r="AN432" s="273"/>
      <c r="AO432" s="405"/>
      <c r="AP432" s="273"/>
      <c r="AQ432" s="273"/>
      <c r="AR432" s="273"/>
      <c r="AS432" s="273"/>
      <c r="AT432" s="273"/>
      <c r="AU432" s="273"/>
      <c r="AV432" s="322">
        <f t="shared" si="20"/>
        <v>0</v>
      </c>
      <c r="AW432" s="402" t="s">
        <v>3387</v>
      </c>
      <c r="AX432" s="376">
        <v>45765</v>
      </c>
      <c r="AY432" s="373" t="s">
        <v>3388</v>
      </c>
      <c r="AZ432" s="375"/>
      <c r="BA432" s="375">
        <v>340000000</v>
      </c>
      <c r="BB432" s="375"/>
      <c r="BC432" s="375"/>
      <c r="BD432" s="353">
        <f t="shared" si="21"/>
        <v>340000000</v>
      </c>
      <c r="BE432" s="432" t="s">
        <v>355</v>
      </c>
      <c r="BF432" s="407" t="s">
        <v>423</v>
      </c>
      <c r="BG432" s="168"/>
      <c r="BH432" s="274"/>
      <c r="BI432" s="168"/>
      <c r="BJ432" s="274"/>
      <c r="BK432" s="168"/>
      <c r="BL432" s="275"/>
      <c r="BM432" s="276"/>
      <c r="BN432" s="275"/>
      <c r="BO432" s="276"/>
      <c r="BP432" s="277"/>
      <c r="BQ432" s="156"/>
      <c r="BR432" s="274"/>
      <c r="BS432" s="270"/>
      <c r="BT432" s="270"/>
      <c r="BU432" s="274"/>
      <c r="BV432" s="274"/>
      <c r="BW432" s="278"/>
      <c r="BX432" s="278"/>
      <c r="BY432" s="278"/>
      <c r="BZ432" s="351"/>
    </row>
    <row r="433" spans="1:78" s="90" customFormat="1" ht="19.5" hidden="1" customHeight="1">
      <c r="A433" s="137"/>
      <c r="B433" s="197">
        <f t="shared" si="19"/>
        <v>423</v>
      </c>
      <c r="C433" s="30" t="s">
        <v>202</v>
      </c>
      <c r="D433" s="30" t="s">
        <v>225</v>
      </c>
      <c r="E433" s="234" t="s">
        <v>1010</v>
      </c>
      <c r="F433" s="235" t="s">
        <v>1217</v>
      </c>
      <c r="G433" s="284">
        <f>IFERROR(VLOOKUP(E433,Assign!$C$2:$J$142,8,FALSE),)</f>
        <v>0</v>
      </c>
      <c r="H433" s="361" t="s">
        <v>4399</v>
      </c>
      <c r="I433" s="363">
        <v>1</v>
      </c>
      <c r="J433" s="364" t="s">
        <v>208</v>
      </c>
      <c r="K433" s="364" t="s">
        <v>258</v>
      </c>
      <c r="L433" s="365" t="s">
        <v>1761</v>
      </c>
      <c r="M433" s="362" t="s">
        <v>1955</v>
      </c>
      <c r="N433" s="421" t="s">
        <v>207</v>
      </c>
      <c r="O433" s="269">
        <v>50.719499999999996</v>
      </c>
      <c r="P433" s="269">
        <v>84.963800000000006</v>
      </c>
      <c r="Q433" s="426"/>
      <c r="R433" s="418" t="s">
        <v>1010</v>
      </c>
      <c r="S433" s="427" t="s">
        <v>613</v>
      </c>
      <c r="T433" s="357">
        <v>1</v>
      </c>
      <c r="U433" s="357" t="s">
        <v>204</v>
      </c>
      <c r="V433" s="367">
        <v>293700000</v>
      </c>
      <c r="W433" s="368">
        <v>293700000</v>
      </c>
      <c r="X433" s="357"/>
      <c r="Y433" s="357"/>
      <c r="Z433" s="400"/>
      <c r="AA433" s="369"/>
      <c r="AB433" s="370"/>
      <c r="AC433" s="404"/>
      <c r="AD433" s="270"/>
      <c r="AE433" s="156"/>
      <c r="AF433" s="156"/>
      <c r="AG433" s="357"/>
      <c r="AH433" s="357"/>
      <c r="AI433" s="357"/>
      <c r="AJ433" s="156"/>
      <c r="AK433" s="156"/>
      <c r="AL433" s="375"/>
      <c r="AM433" s="405"/>
      <c r="AN433" s="273"/>
      <c r="AO433" s="405"/>
      <c r="AP433" s="273"/>
      <c r="AQ433" s="273"/>
      <c r="AR433" s="273"/>
      <c r="AS433" s="273"/>
      <c r="AT433" s="273"/>
      <c r="AU433" s="273"/>
      <c r="AV433" s="322">
        <f t="shared" si="20"/>
        <v>0</v>
      </c>
      <c r="AW433" s="402"/>
      <c r="AX433" s="376"/>
      <c r="AY433" s="373"/>
      <c r="AZ433" s="375"/>
      <c r="BA433" s="375"/>
      <c r="BB433" s="375"/>
      <c r="BC433" s="375"/>
      <c r="BD433" s="353">
        <f t="shared" si="21"/>
        <v>0</v>
      </c>
      <c r="BE433" s="432" t="s">
        <v>355</v>
      </c>
      <c r="BF433" s="407" t="s">
        <v>498</v>
      </c>
      <c r="BG433" s="168"/>
      <c r="BH433" s="274"/>
      <c r="BI433" s="168"/>
      <c r="BJ433" s="274"/>
      <c r="BK433" s="168"/>
      <c r="BL433" s="275"/>
      <c r="BM433" s="276"/>
      <c r="BN433" s="275"/>
      <c r="BO433" s="276"/>
      <c r="BP433" s="277"/>
      <c r="BQ433" s="156"/>
      <c r="BR433" s="274"/>
      <c r="BS433" s="270"/>
      <c r="BT433" s="270"/>
      <c r="BU433" s="274"/>
      <c r="BV433" s="274"/>
      <c r="BW433" s="278"/>
      <c r="BX433" s="278"/>
      <c r="BY433" s="278"/>
      <c r="BZ433" s="351"/>
    </row>
    <row r="434" spans="1:78" s="90" customFormat="1" ht="19.5" hidden="1" customHeight="1">
      <c r="A434" s="137"/>
      <c r="B434" s="197">
        <f t="shared" si="19"/>
        <v>424</v>
      </c>
      <c r="C434" s="30" t="s">
        <v>202</v>
      </c>
      <c r="D434" s="30" t="s">
        <v>225</v>
      </c>
      <c r="E434" s="234" t="s">
        <v>1011</v>
      </c>
      <c r="F434" s="235" t="s">
        <v>1220</v>
      </c>
      <c r="G434" s="284">
        <f>IFERROR(VLOOKUP(E434,Assign!$C$2:$J$142,8,FALSE),)</f>
        <v>0</v>
      </c>
      <c r="H434" s="361" t="s">
        <v>4260</v>
      </c>
      <c r="I434" s="363">
        <v>1</v>
      </c>
      <c r="J434" s="364" t="s">
        <v>208</v>
      </c>
      <c r="K434" s="364" t="s">
        <v>316</v>
      </c>
      <c r="L434" s="365" t="s">
        <v>1828</v>
      </c>
      <c r="M434" s="362" t="s">
        <v>1829</v>
      </c>
      <c r="N434" s="421" t="s">
        <v>207</v>
      </c>
      <c r="O434" s="269">
        <v>40.376800000000003</v>
      </c>
      <c r="P434" s="269">
        <v>62.954900000000002</v>
      </c>
      <c r="Q434" s="426"/>
      <c r="R434" s="418" t="s">
        <v>1011</v>
      </c>
      <c r="S434" s="427" t="s">
        <v>613</v>
      </c>
      <c r="T434" s="357">
        <v>1</v>
      </c>
      <c r="U434" s="357" t="s">
        <v>204</v>
      </c>
      <c r="V434" s="367">
        <v>284900000</v>
      </c>
      <c r="W434" s="368">
        <v>284900000</v>
      </c>
      <c r="X434" s="357"/>
      <c r="Y434" s="357"/>
      <c r="Z434" s="400"/>
      <c r="AA434" s="369"/>
      <c r="AB434" s="370"/>
      <c r="AC434" s="404"/>
      <c r="AD434" s="270"/>
      <c r="AE434" s="156"/>
      <c r="AF434" s="156"/>
      <c r="AG434" s="357"/>
      <c r="AH434" s="357"/>
      <c r="AI434" s="357"/>
      <c r="AJ434" s="156"/>
      <c r="AK434" s="156"/>
      <c r="AL434" s="375"/>
      <c r="AM434" s="405"/>
      <c r="AN434" s="273"/>
      <c r="AO434" s="405"/>
      <c r="AP434" s="273"/>
      <c r="AQ434" s="273"/>
      <c r="AR434" s="273"/>
      <c r="AS434" s="273"/>
      <c r="AT434" s="273"/>
      <c r="AU434" s="273"/>
      <c r="AV434" s="322">
        <f t="shared" si="20"/>
        <v>0</v>
      </c>
      <c r="AW434" s="402"/>
      <c r="AX434" s="376"/>
      <c r="AY434" s="373"/>
      <c r="AZ434" s="375"/>
      <c r="BA434" s="375"/>
      <c r="BB434" s="375"/>
      <c r="BC434" s="375"/>
      <c r="BD434" s="353">
        <f t="shared" si="21"/>
        <v>0</v>
      </c>
      <c r="BE434" s="432" t="s">
        <v>355</v>
      </c>
      <c r="BF434" s="407" t="s">
        <v>501</v>
      </c>
      <c r="BG434" s="168"/>
      <c r="BH434" s="274"/>
      <c r="BI434" s="168"/>
      <c r="BJ434" s="274"/>
      <c r="BK434" s="168"/>
      <c r="BL434" s="275"/>
      <c r="BM434" s="276"/>
      <c r="BN434" s="275"/>
      <c r="BO434" s="276"/>
      <c r="BP434" s="277"/>
      <c r="BQ434" s="156"/>
      <c r="BR434" s="274"/>
      <c r="BS434" s="270"/>
      <c r="BT434" s="270"/>
      <c r="BU434" s="274"/>
      <c r="BV434" s="274"/>
      <c r="BW434" s="278"/>
      <c r="BX434" s="278"/>
      <c r="BY434" s="278"/>
      <c r="BZ434" s="351"/>
    </row>
    <row r="435" spans="1:78" s="90" customFormat="1" ht="19.5" hidden="1" customHeight="1">
      <c r="A435" s="137"/>
      <c r="B435" s="197">
        <f t="shared" si="19"/>
        <v>425</v>
      </c>
      <c r="C435" s="30" t="s">
        <v>202</v>
      </c>
      <c r="D435" s="30" t="s">
        <v>225</v>
      </c>
      <c r="E435" s="234" t="s">
        <v>1012</v>
      </c>
      <c r="F435" s="235" t="s">
        <v>1218</v>
      </c>
      <c r="G435" s="284">
        <f>IFERROR(VLOOKUP(E435,Assign!$C$2:$J$142,8,FALSE),)</f>
        <v>0</v>
      </c>
      <c r="H435" s="361" t="s">
        <v>5392</v>
      </c>
      <c r="I435" s="363">
        <v>1</v>
      </c>
      <c r="J435" s="364" t="s">
        <v>208</v>
      </c>
      <c r="K435" s="364" t="s">
        <v>228</v>
      </c>
      <c r="L435" s="365" t="s">
        <v>2174</v>
      </c>
      <c r="M435" s="362" t="s">
        <v>2869</v>
      </c>
      <c r="N435" s="421" t="s">
        <v>207</v>
      </c>
      <c r="O435" s="366" t="s">
        <v>265</v>
      </c>
      <c r="P435" s="269">
        <v>84.984700000000004</v>
      </c>
      <c r="Q435" s="426"/>
      <c r="R435" s="418" t="s">
        <v>1012</v>
      </c>
      <c r="S435" s="427" t="s">
        <v>613</v>
      </c>
      <c r="T435" s="357">
        <v>1</v>
      </c>
      <c r="U435" s="357" t="s">
        <v>204</v>
      </c>
      <c r="V435" s="367">
        <v>275000000</v>
      </c>
      <c r="W435" s="368">
        <v>275000000</v>
      </c>
      <c r="X435" s="357"/>
      <c r="Y435" s="357"/>
      <c r="Z435" s="400"/>
      <c r="AA435" s="369"/>
      <c r="AB435" s="370"/>
      <c r="AC435" s="404"/>
      <c r="AD435" s="270"/>
      <c r="AE435" s="156"/>
      <c r="AF435" s="156"/>
      <c r="AG435" s="357"/>
      <c r="AH435" s="357"/>
      <c r="AI435" s="357"/>
      <c r="AJ435" s="156"/>
      <c r="AK435" s="156"/>
      <c r="AL435" s="375"/>
      <c r="AM435" s="405"/>
      <c r="AN435" s="273"/>
      <c r="AO435" s="405"/>
      <c r="AP435" s="273"/>
      <c r="AQ435" s="273"/>
      <c r="AR435" s="273"/>
      <c r="AS435" s="273"/>
      <c r="AT435" s="273"/>
      <c r="AU435" s="273"/>
      <c r="AV435" s="322">
        <f t="shared" si="20"/>
        <v>0</v>
      </c>
      <c r="AW435" s="402"/>
      <c r="AX435" s="376"/>
      <c r="AY435" s="373"/>
      <c r="AZ435" s="375"/>
      <c r="BA435" s="375"/>
      <c r="BB435" s="375"/>
      <c r="BC435" s="375"/>
      <c r="BD435" s="353">
        <f t="shared" si="21"/>
        <v>0</v>
      </c>
      <c r="BE435" s="432" t="s">
        <v>335</v>
      </c>
      <c r="BF435" s="407" t="s">
        <v>424</v>
      </c>
      <c r="BG435" s="168" t="s">
        <v>3346</v>
      </c>
      <c r="BH435" s="274">
        <v>45667</v>
      </c>
      <c r="BI435" s="168" t="s">
        <v>3347</v>
      </c>
      <c r="BJ435" s="274">
        <v>45733</v>
      </c>
      <c r="BK435" s="168">
        <v>100000000</v>
      </c>
      <c r="BL435" s="275"/>
      <c r="BM435" s="276"/>
      <c r="BN435" s="275"/>
      <c r="BO435" s="276"/>
      <c r="BP435" s="277"/>
      <c r="BQ435" s="156"/>
      <c r="BR435" s="274"/>
      <c r="BS435" s="270"/>
      <c r="BT435" s="270"/>
      <c r="BU435" s="274"/>
      <c r="BV435" s="274"/>
      <c r="BW435" s="278"/>
      <c r="BX435" s="278"/>
      <c r="BY435" s="278"/>
      <c r="BZ435" s="351"/>
    </row>
    <row r="436" spans="1:78" s="90" customFormat="1" ht="19.5" customHeight="1">
      <c r="A436" s="137"/>
      <c r="B436" s="197">
        <f t="shared" si="19"/>
        <v>426</v>
      </c>
      <c r="C436" s="30" t="s">
        <v>202</v>
      </c>
      <c r="D436" s="30" t="s">
        <v>225</v>
      </c>
      <c r="E436" s="234" t="s">
        <v>1013</v>
      </c>
      <c r="F436" s="235" t="s">
        <v>1278</v>
      </c>
      <c r="G436" s="284" t="str">
        <f>IFERROR(VLOOKUP(E436,Assign!$C$2:$J$142,8,FALSE),)</f>
        <v>문선영</v>
      </c>
      <c r="H436" s="361" t="s">
        <v>4189</v>
      </c>
      <c r="I436" s="363">
        <v>1</v>
      </c>
      <c r="J436" s="364" t="s">
        <v>209</v>
      </c>
      <c r="K436" s="364" t="s">
        <v>247</v>
      </c>
      <c r="L436" s="365" t="s">
        <v>1763</v>
      </c>
      <c r="M436" s="362" t="s">
        <v>1764</v>
      </c>
      <c r="N436" s="421" t="s">
        <v>207</v>
      </c>
      <c r="O436" s="269">
        <v>43.38</v>
      </c>
      <c r="P436" s="269">
        <v>50.54</v>
      </c>
      <c r="Q436" s="426"/>
      <c r="R436" s="418" t="s">
        <v>1013</v>
      </c>
      <c r="S436" s="427" t="s">
        <v>613</v>
      </c>
      <c r="T436" s="357">
        <v>1</v>
      </c>
      <c r="U436" s="357" t="s">
        <v>204</v>
      </c>
      <c r="V436" s="367">
        <v>333600000</v>
      </c>
      <c r="W436" s="368">
        <v>333600000</v>
      </c>
      <c r="X436" s="357"/>
      <c r="Y436" s="357"/>
      <c r="Z436" s="400"/>
      <c r="AA436" s="369"/>
      <c r="AB436" s="370"/>
      <c r="AC436" s="404"/>
      <c r="AD436" s="270"/>
      <c r="AE436" s="156"/>
      <c r="AF436" s="156"/>
      <c r="AG436" s="357"/>
      <c r="AH436" s="357"/>
      <c r="AI436" s="357"/>
      <c r="AJ436" s="156"/>
      <c r="AK436" s="156"/>
      <c r="AL436" s="375"/>
      <c r="AM436" s="405"/>
      <c r="AN436" s="273"/>
      <c r="AO436" s="405"/>
      <c r="AP436" s="273"/>
      <c r="AQ436" s="273"/>
      <c r="AR436" s="273"/>
      <c r="AS436" s="273"/>
      <c r="AT436" s="273"/>
      <c r="AU436" s="273"/>
      <c r="AV436" s="322">
        <f t="shared" si="20"/>
        <v>0</v>
      </c>
      <c r="AW436" s="402" t="s">
        <v>3387</v>
      </c>
      <c r="AX436" s="376">
        <v>45765</v>
      </c>
      <c r="AY436" s="373" t="s">
        <v>3388</v>
      </c>
      <c r="AZ436" s="375"/>
      <c r="BA436" s="375">
        <v>990000000</v>
      </c>
      <c r="BB436" s="375"/>
      <c r="BC436" s="375"/>
      <c r="BD436" s="353">
        <f t="shared" si="21"/>
        <v>990000000</v>
      </c>
      <c r="BE436" s="432" t="s">
        <v>335</v>
      </c>
      <c r="BF436" s="407" t="s">
        <v>497</v>
      </c>
      <c r="BG436" s="168" t="s">
        <v>3406</v>
      </c>
      <c r="BH436" s="274">
        <v>45716</v>
      </c>
      <c r="BI436" s="168" t="s">
        <v>3276</v>
      </c>
      <c r="BJ436" s="274">
        <v>45792</v>
      </c>
      <c r="BK436" s="168">
        <v>379388602</v>
      </c>
      <c r="BL436" s="275"/>
      <c r="BM436" s="276"/>
      <c r="BN436" s="275"/>
      <c r="BO436" s="276"/>
      <c r="BP436" s="277"/>
      <c r="BQ436" s="156"/>
      <c r="BR436" s="274"/>
      <c r="BS436" s="270"/>
      <c r="BT436" s="270"/>
      <c r="BU436" s="274"/>
      <c r="BV436" s="274"/>
      <c r="BW436" s="278"/>
      <c r="BX436" s="278"/>
      <c r="BY436" s="278"/>
      <c r="BZ436" s="351"/>
    </row>
    <row r="437" spans="1:78" s="90" customFormat="1" ht="19.5" hidden="1" customHeight="1">
      <c r="A437" s="137"/>
      <c r="B437" s="197">
        <f t="shared" si="19"/>
        <v>427</v>
      </c>
      <c r="C437" s="30" t="s">
        <v>202</v>
      </c>
      <c r="D437" s="30" t="s">
        <v>225</v>
      </c>
      <c r="E437" s="234" t="s">
        <v>1014</v>
      </c>
      <c r="F437" s="235" t="s">
        <v>1221</v>
      </c>
      <c r="G437" s="284" t="str">
        <f>IFERROR(VLOOKUP(E437,Assign!$C$2:$J$142,8,FALSE),)</f>
        <v>문선영</v>
      </c>
      <c r="H437" s="361" t="s">
        <v>4358</v>
      </c>
      <c r="I437" s="363">
        <v>1</v>
      </c>
      <c r="J437" s="364" t="s">
        <v>213</v>
      </c>
      <c r="K437" s="364" t="s">
        <v>320</v>
      </c>
      <c r="L437" s="365" t="s">
        <v>1916</v>
      </c>
      <c r="M437" s="362" t="s">
        <v>1917</v>
      </c>
      <c r="N437" s="421" t="s">
        <v>207</v>
      </c>
      <c r="O437" s="269">
        <v>54.703099999999999</v>
      </c>
      <c r="P437" s="269">
        <v>84.861000000000004</v>
      </c>
      <c r="Q437" s="426"/>
      <c r="R437" s="418" t="s">
        <v>1014</v>
      </c>
      <c r="S437" s="427" t="s">
        <v>613</v>
      </c>
      <c r="T437" s="357">
        <v>1</v>
      </c>
      <c r="U437" s="357" t="s">
        <v>204</v>
      </c>
      <c r="V437" s="367">
        <v>331200000</v>
      </c>
      <c r="W437" s="368">
        <v>331200000</v>
      </c>
      <c r="X437" s="357"/>
      <c r="Y437" s="357"/>
      <c r="Z437" s="400"/>
      <c r="AA437" s="369"/>
      <c r="AB437" s="370"/>
      <c r="AC437" s="404"/>
      <c r="AD437" s="270"/>
      <c r="AE437" s="156"/>
      <c r="AF437" s="156"/>
      <c r="AG437" s="357"/>
      <c r="AH437" s="357"/>
      <c r="AI437" s="357"/>
      <c r="AJ437" s="156"/>
      <c r="AK437" s="156"/>
      <c r="AL437" s="375"/>
      <c r="AM437" s="405"/>
      <c r="AN437" s="273"/>
      <c r="AO437" s="405"/>
      <c r="AP437" s="273"/>
      <c r="AQ437" s="273"/>
      <c r="AR437" s="273"/>
      <c r="AS437" s="273"/>
      <c r="AT437" s="273"/>
      <c r="AU437" s="273"/>
      <c r="AV437" s="322">
        <f t="shared" si="20"/>
        <v>0</v>
      </c>
      <c r="AW437" s="402" t="s">
        <v>3387</v>
      </c>
      <c r="AX437" s="376">
        <v>45765</v>
      </c>
      <c r="AY437" s="373" t="s">
        <v>3388</v>
      </c>
      <c r="AZ437" s="375"/>
      <c r="BA437" s="375">
        <v>450000000</v>
      </c>
      <c r="BB437" s="375"/>
      <c r="BC437" s="375"/>
      <c r="BD437" s="353">
        <f t="shared" si="21"/>
        <v>450000000</v>
      </c>
      <c r="BE437" s="432" t="s">
        <v>355</v>
      </c>
      <c r="BF437" s="407" t="s">
        <v>524</v>
      </c>
      <c r="BG437" s="168"/>
      <c r="BH437" s="274"/>
      <c r="BI437" s="168"/>
      <c r="BJ437" s="274"/>
      <c r="BK437" s="168"/>
      <c r="BL437" s="275"/>
      <c r="BM437" s="276"/>
      <c r="BN437" s="275"/>
      <c r="BO437" s="276"/>
      <c r="BP437" s="277"/>
      <c r="BQ437" s="156"/>
      <c r="BR437" s="274"/>
      <c r="BS437" s="270"/>
      <c r="BT437" s="270"/>
      <c r="BU437" s="274"/>
      <c r="BV437" s="274"/>
      <c r="BW437" s="278"/>
      <c r="BX437" s="278"/>
      <c r="BY437" s="278"/>
      <c r="BZ437" s="351"/>
    </row>
    <row r="438" spans="1:78" s="90" customFormat="1" ht="19.5" hidden="1" customHeight="1">
      <c r="A438" s="137"/>
      <c r="B438" s="197">
        <f t="shared" si="19"/>
        <v>428</v>
      </c>
      <c r="C438" s="30" t="s">
        <v>202</v>
      </c>
      <c r="D438" s="30" t="s">
        <v>225</v>
      </c>
      <c r="E438" s="234" t="s">
        <v>1015</v>
      </c>
      <c r="F438" s="235" t="s">
        <v>1217</v>
      </c>
      <c r="G438" s="284">
        <f>IFERROR(VLOOKUP(E438,Assign!$C$2:$J$142,8,FALSE),)</f>
        <v>0</v>
      </c>
      <c r="H438" s="361" t="s">
        <v>4390</v>
      </c>
      <c r="I438" s="363">
        <v>1</v>
      </c>
      <c r="J438" s="364" t="s">
        <v>209</v>
      </c>
      <c r="K438" s="364" t="s">
        <v>294</v>
      </c>
      <c r="L438" s="365" t="s">
        <v>1947</v>
      </c>
      <c r="M438" s="362" t="s">
        <v>3111</v>
      </c>
      <c r="N438" s="421" t="s">
        <v>620</v>
      </c>
      <c r="O438" s="269">
        <v>11.705599999999999</v>
      </c>
      <c r="P438" s="269">
        <v>11.7</v>
      </c>
      <c r="Q438" s="426"/>
      <c r="R438" s="418" t="s">
        <v>1015</v>
      </c>
      <c r="S438" s="427" t="s">
        <v>613</v>
      </c>
      <c r="T438" s="357">
        <v>1</v>
      </c>
      <c r="U438" s="357" t="s">
        <v>204</v>
      </c>
      <c r="V438" s="367">
        <v>360000000</v>
      </c>
      <c r="W438" s="368">
        <v>360000000</v>
      </c>
      <c r="X438" s="357"/>
      <c r="Y438" s="357"/>
      <c r="Z438" s="400"/>
      <c r="AA438" s="369"/>
      <c r="AB438" s="370"/>
      <c r="AC438" s="404"/>
      <c r="AD438" s="270"/>
      <c r="AE438" s="156"/>
      <c r="AF438" s="156"/>
      <c r="AG438" s="357"/>
      <c r="AH438" s="357"/>
      <c r="AI438" s="357"/>
      <c r="AJ438" s="156"/>
      <c r="AK438" s="156"/>
      <c r="AL438" s="375"/>
      <c r="AM438" s="405"/>
      <c r="AN438" s="273"/>
      <c r="AO438" s="405"/>
      <c r="AP438" s="273"/>
      <c r="AQ438" s="273"/>
      <c r="AR438" s="273"/>
      <c r="AS438" s="273"/>
      <c r="AT438" s="273"/>
      <c r="AU438" s="273"/>
      <c r="AV438" s="322">
        <f t="shared" si="20"/>
        <v>0</v>
      </c>
      <c r="AW438" s="402"/>
      <c r="AX438" s="376"/>
      <c r="AY438" s="373"/>
      <c r="AZ438" s="375"/>
      <c r="BA438" s="375"/>
      <c r="BB438" s="375"/>
      <c r="BC438" s="375"/>
      <c r="BD438" s="353">
        <f t="shared" si="21"/>
        <v>0</v>
      </c>
      <c r="BE438" s="432" t="s">
        <v>355</v>
      </c>
      <c r="BF438" s="407" t="s">
        <v>519</v>
      </c>
      <c r="BG438" s="168"/>
      <c r="BH438" s="274"/>
      <c r="BI438" s="168"/>
      <c r="BJ438" s="274"/>
      <c r="BK438" s="168"/>
      <c r="BL438" s="275"/>
      <c r="BM438" s="276"/>
      <c r="BN438" s="275"/>
      <c r="BO438" s="276"/>
      <c r="BP438" s="277"/>
      <c r="BQ438" s="156"/>
      <c r="BR438" s="274"/>
      <c r="BS438" s="270"/>
      <c r="BT438" s="270"/>
      <c r="BU438" s="274"/>
      <c r="BV438" s="274"/>
      <c r="BW438" s="278"/>
      <c r="BX438" s="278"/>
      <c r="BY438" s="278"/>
      <c r="BZ438" s="351"/>
    </row>
    <row r="439" spans="1:78" s="90" customFormat="1" ht="19.5" hidden="1" customHeight="1">
      <c r="A439" s="137"/>
      <c r="B439" s="197">
        <f t="shared" si="19"/>
        <v>429</v>
      </c>
      <c r="C439" s="30" t="s">
        <v>202</v>
      </c>
      <c r="D439" s="30" t="s">
        <v>225</v>
      </c>
      <c r="E439" s="234" t="s">
        <v>1016</v>
      </c>
      <c r="F439" s="235" t="s">
        <v>1221</v>
      </c>
      <c r="G439" s="284">
        <f>IFERROR(VLOOKUP(E439,Assign!$C$2:$J$142,8,FALSE),)</f>
        <v>0</v>
      </c>
      <c r="H439" s="361" t="s">
        <v>5398</v>
      </c>
      <c r="I439" s="363">
        <v>1</v>
      </c>
      <c r="J439" s="364" t="s">
        <v>212</v>
      </c>
      <c r="K439" s="364" t="s">
        <v>294</v>
      </c>
      <c r="L439" s="365" t="s">
        <v>569</v>
      </c>
      <c r="M439" s="362" t="s">
        <v>2874</v>
      </c>
      <c r="N439" s="421" t="s">
        <v>3386</v>
      </c>
      <c r="O439" s="269">
        <v>13.28</v>
      </c>
      <c r="P439" s="269">
        <v>47.04</v>
      </c>
      <c r="Q439" s="426"/>
      <c r="R439" s="418" t="s">
        <v>1016</v>
      </c>
      <c r="S439" s="427" t="s">
        <v>613</v>
      </c>
      <c r="T439" s="357">
        <v>1</v>
      </c>
      <c r="U439" s="357" t="s">
        <v>204</v>
      </c>
      <c r="V439" s="367">
        <v>300000000</v>
      </c>
      <c r="W439" s="368">
        <v>300000000</v>
      </c>
      <c r="X439" s="357"/>
      <c r="Y439" s="357"/>
      <c r="Z439" s="400"/>
      <c r="AA439" s="369"/>
      <c r="AB439" s="370"/>
      <c r="AC439" s="404"/>
      <c r="AD439" s="270"/>
      <c r="AE439" s="156"/>
      <c r="AF439" s="156"/>
      <c r="AG439" s="357"/>
      <c r="AH439" s="357"/>
      <c r="AI439" s="357"/>
      <c r="AJ439" s="156"/>
      <c r="AK439" s="156"/>
      <c r="AL439" s="375"/>
      <c r="AM439" s="405"/>
      <c r="AN439" s="273"/>
      <c r="AO439" s="405"/>
      <c r="AP439" s="273"/>
      <c r="AQ439" s="273"/>
      <c r="AR439" s="273"/>
      <c r="AS439" s="273"/>
      <c r="AT439" s="273"/>
      <c r="AU439" s="273"/>
      <c r="AV439" s="322">
        <f t="shared" si="20"/>
        <v>0</v>
      </c>
      <c r="AW439" s="402"/>
      <c r="AX439" s="376"/>
      <c r="AY439" s="373"/>
      <c r="AZ439" s="375"/>
      <c r="BA439" s="375"/>
      <c r="BB439" s="375"/>
      <c r="BC439" s="375"/>
      <c r="BD439" s="353">
        <f t="shared" si="21"/>
        <v>0</v>
      </c>
      <c r="BE439" s="432" t="s">
        <v>355</v>
      </c>
      <c r="BF439" s="407" t="s">
        <v>496</v>
      </c>
      <c r="BG439" s="168"/>
      <c r="BH439" s="274"/>
      <c r="BI439" s="168"/>
      <c r="BJ439" s="274"/>
      <c r="BK439" s="168"/>
      <c r="BL439" s="275"/>
      <c r="BM439" s="276"/>
      <c r="BN439" s="275"/>
      <c r="BO439" s="276"/>
      <c r="BP439" s="277"/>
      <c r="BQ439" s="156"/>
      <c r="BR439" s="274"/>
      <c r="BS439" s="270"/>
      <c r="BT439" s="270"/>
      <c r="BU439" s="274"/>
      <c r="BV439" s="274"/>
      <c r="BW439" s="278"/>
      <c r="BX439" s="278"/>
      <c r="BY439" s="278"/>
      <c r="BZ439" s="351"/>
    </row>
    <row r="440" spans="1:78" s="90" customFormat="1" ht="19.5" hidden="1" customHeight="1">
      <c r="A440" s="137"/>
      <c r="B440" s="197">
        <f t="shared" si="19"/>
        <v>430</v>
      </c>
      <c r="C440" s="30" t="s">
        <v>202</v>
      </c>
      <c r="D440" s="30" t="s">
        <v>225</v>
      </c>
      <c r="E440" s="234" t="s">
        <v>1017</v>
      </c>
      <c r="F440" s="235" t="s">
        <v>1229</v>
      </c>
      <c r="G440" s="284" t="str">
        <f>IFERROR(VLOOKUP(E440,Assign!$C$2:$J$142,8,FALSE),)</f>
        <v>문선영</v>
      </c>
      <c r="H440" s="361" t="s">
        <v>4561</v>
      </c>
      <c r="I440" s="363">
        <v>1</v>
      </c>
      <c r="J440" s="364" t="s">
        <v>209</v>
      </c>
      <c r="K440" s="364" t="s">
        <v>294</v>
      </c>
      <c r="L440" s="365" t="s">
        <v>1947</v>
      </c>
      <c r="M440" s="362" t="s">
        <v>3724</v>
      </c>
      <c r="N440" s="421" t="s">
        <v>531</v>
      </c>
      <c r="O440" s="269">
        <v>7.42</v>
      </c>
      <c r="P440" s="269">
        <v>34.64</v>
      </c>
      <c r="Q440" s="426"/>
      <c r="R440" s="418" t="s">
        <v>1017</v>
      </c>
      <c r="S440" s="427" t="s">
        <v>613</v>
      </c>
      <c r="T440" s="357">
        <v>1</v>
      </c>
      <c r="U440" s="357" t="s">
        <v>204</v>
      </c>
      <c r="V440" s="367">
        <v>276000000</v>
      </c>
      <c r="W440" s="368">
        <v>276000000</v>
      </c>
      <c r="X440" s="357"/>
      <c r="Y440" s="357"/>
      <c r="Z440" s="400"/>
      <c r="AA440" s="369"/>
      <c r="AB440" s="370"/>
      <c r="AC440" s="404"/>
      <c r="AD440" s="270"/>
      <c r="AE440" s="156"/>
      <c r="AF440" s="156"/>
      <c r="AG440" s="357"/>
      <c r="AH440" s="357"/>
      <c r="AI440" s="357"/>
      <c r="AJ440" s="156"/>
      <c r="AK440" s="156"/>
      <c r="AL440" s="375"/>
      <c r="AM440" s="405"/>
      <c r="AN440" s="273"/>
      <c r="AO440" s="405"/>
      <c r="AP440" s="273"/>
      <c r="AQ440" s="273"/>
      <c r="AR440" s="273"/>
      <c r="AS440" s="273"/>
      <c r="AT440" s="273"/>
      <c r="AU440" s="273"/>
      <c r="AV440" s="322">
        <f t="shared" si="20"/>
        <v>0</v>
      </c>
      <c r="AW440" s="402"/>
      <c r="AX440" s="376"/>
      <c r="AY440" s="373"/>
      <c r="AZ440" s="375"/>
      <c r="BA440" s="375"/>
      <c r="BB440" s="375"/>
      <c r="BC440" s="375"/>
      <c r="BD440" s="353">
        <f t="shared" si="21"/>
        <v>0</v>
      </c>
      <c r="BE440" s="432" t="s">
        <v>355</v>
      </c>
      <c r="BF440" s="407" t="s">
        <v>519</v>
      </c>
      <c r="BG440" s="168"/>
      <c r="BH440" s="274"/>
      <c r="BI440" s="168"/>
      <c r="BJ440" s="274"/>
      <c r="BK440" s="168"/>
      <c r="BL440" s="275"/>
      <c r="BM440" s="276"/>
      <c r="BN440" s="275"/>
      <c r="BO440" s="276"/>
      <c r="BP440" s="277"/>
      <c r="BQ440" s="156"/>
      <c r="BR440" s="274"/>
      <c r="BS440" s="270"/>
      <c r="BT440" s="270"/>
      <c r="BU440" s="274"/>
      <c r="BV440" s="274"/>
      <c r="BW440" s="278"/>
      <c r="BX440" s="278"/>
      <c r="BY440" s="278"/>
      <c r="BZ440" s="351"/>
    </row>
    <row r="441" spans="1:78" s="90" customFormat="1" ht="19.5" hidden="1" customHeight="1">
      <c r="A441" s="137"/>
      <c r="B441" s="197">
        <f t="shared" si="19"/>
        <v>431</v>
      </c>
      <c r="C441" s="30" t="s">
        <v>202</v>
      </c>
      <c r="D441" s="30" t="s">
        <v>225</v>
      </c>
      <c r="E441" s="234" t="s">
        <v>1018</v>
      </c>
      <c r="F441" s="235" t="s">
        <v>1229</v>
      </c>
      <c r="G441" s="284">
        <f>IFERROR(VLOOKUP(E441,Assign!$C$2:$J$142,8,FALSE),)</f>
        <v>0</v>
      </c>
      <c r="H441" s="361" t="s">
        <v>3890</v>
      </c>
      <c r="I441" s="363">
        <v>1</v>
      </c>
      <c r="J441" s="364" t="s">
        <v>208</v>
      </c>
      <c r="K441" s="364" t="s">
        <v>258</v>
      </c>
      <c r="L441" s="365" t="s">
        <v>345</v>
      </c>
      <c r="M441" s="362" t="s">
        <v>1457</v>
      </c>
      <c r="N441" s="421" t="s">
        <v>207</v>
      </c>
      <c r="O441" s="269">
        <v>52.642200000000003</v>
      </c>
      <c r="P441" s="269">
        <v>84.24</v>
      </c>
      <c r="Q441" s="426"/>
      <c r="R441" s="418" t="s">
        <v>3432</v>
      </c>
      <c r="S441" s="427" t="s">
        <v>613</v>
      </c>
      <c r="T441" s="357">
        <v>1</v>
      </c>
      <c r="U441" s="357" t="s">
        <v>204</v>
      </c>
      <c r="V441" s="367">
        <v>312000000</v>
      </c>
      <c r="W441" s="368">
        <v>312000000</v>
      </c>
      <c r="X441" s="357"/>
      <c r="Y441" s="357"/>
      <c r="Z441" s="400"/>
      <c r="AA441" s="369"/>
      <c r="AB441" s="370"/>
      <c r="AC441" s="404"/>
      <c r="AD441" s="270"/>
      <c r="AE441" s="156"/>
      <c r="AF441" s="156"/>
      <c r="AG441" s="357"/>
      <c r="AH441" s="357"/>
      <c r="AI441" s="357"/>
      <c r="AJ441" s="156"/>
      <c r="AK441" s="156"/>
      <c r="AL441" s="375"/>
      <c r="AM441" s="405"/>
      <c r="AN441" s="273"/>
      <c r="AO441" s="405"/>
      <c r="AP441" s="273"/>
      <c r="AQ441" s="273"/>
      <c r="AR441" s="273"/>
      <c r="AS441" s="273"/>
      <c r="AT441" s="273"/>
      <c r="AU441" s="273"/>
      <c r="AV441" s="322">
        <f t="shared" si="20"/>
        <v>0</v>
      </c>
      <c r="AW441" s="402" t="s">
        <v>3387</v>
      </c>
      <c r="AX441" s="376">
        <v>45765</v>
      </c>
      <c r="AY441" s="373" t="s">
        <v>3388</v>
      </c>
      <c r="AZ441" s="375"/>
      <c r="BA441" s="375">
        <v>575000000</v>
      </c>
      <c r="BB441" s="375"/>
      <c r="BC441" s="375"/>
      <c r="BD441" s="353">
        <f t="shared" si="21"/>
        <v>575000000</v>
      </c>
      <c r="BE441" s="432" t="s">
        <v>355</v>
      </c>
      <c r="BF441" s="407" t="s">
        <v>498</v>
      </c>
      <c r="BG441" s="168"/>
      <c r="BH441" s="274"/>
      <c r="BI441" s="168"/>
      <c r="BJ441" s="274"/>
      <c r="BK441" s="168"/>
      <c r="BL441" s="275"/>
      <c r="BM441" s="276"/>
      <c r="BN441" s="275"/>
      <c r="BO441" s="276"/>
      <c r="BP441" s="277"/>
      <c r="BQ441" s="156"/>
      <c r="BR441" s="274"/>
      <c r="BS441" s="270"/>
      <c r="BT441" s="270"/>
      <c r="BU441" s="274"/>
      <c r="BV441" s="274"/>
      <c r="BW441" s="278"/>
      <c r="BX441" s="278"/>
      <c r="BY441" s="278"/>
      <c r="BZ441" s="351"/>
    </row>
    <row r="442" spans="1:78" s="90" customFormat="1" ht="19.5" hidden="1" customHeight="1">
      <c r="A442" s="137"/>
      <c r="B442" s="197">
        <f t="shared" si="19"/>
        <v>432</v>
      </c>
      <c r="C442" s="30" t="s">
        <v>202</v>
      </c>
      <c r="D442" s="30" t="s">
        <v>225</v>
      </c>
      <c r="E442" s="234" t="s">
        <v>1019</v>
      </c>
      <c r="F442" s="235" t="s">
        <v>1219</v>
      </c>
      <c r="G442" s="284" t="str">
        <f>IFERROR(VLOOKUP(E442,Assign!$C$2:$J$142,8,FALSE),)</f>
        <v>문선영</v>
      </c>
      <c r="H442" s="361" t="s">
        <v>4199</v>
      </c>
      <c r="I442" s="363">
        <v>1</v>
      </c>
      <c r="J442" s="364" t="s">
        <v>220</v>
      </c>
      <c r="K442" s="364" t="s">
        <v>384</v>
      </c>
      <c r="L442" s="365" t="s">
        <v>1775</v>
      </c>
      <c r="M442" s="362" t="s">
        <v>1776</v>
      </c>
      <c r="N442" s="421" t="s">
        <v>207</v>
      </c>
      <c r="O442" s="269">
        <v>57.994999999999997</v>
      </c>
      <c r="P442" s="269">
        <v>101.96</v>
      </c>
      <c r="Q442" s="426"/>
      <c r="R442" s="418" t="s">
        <v>3443</v>
      </c>
      <c r="S442" s="427" t="s">
        <v>613</v>
      </c>
      <c r="T442" s="357">
        <v>1</v>
      </c>
      <c r="U442" s="357" t="s">
        <v>204</v>
      </c>
      <c r="V442" s="367">
        <v>320400000</v>
      </c>
      <c r="W442" s="368">
        <v>320400000</v>
      </c>
      <c r="X442" s="357"/>
      <c r="Y442" s="357"/>
      <c r="Z442" s="400"/>
      <c r="AA442" s="369"/>
      <c r="AB442" s="370"/>
      <c r="AC442" s="404"/>
      <c r="AD442" s="270"/>
      <c r="AE442" s="156"/>
      <c r="AF442" s="156"/>
      <c r="AG442" s="357"/>
      <c r="AH442" s="357"/>
      <c r="AI442" s="357"/>
      <c r="AJ442" s="156"/>
      <c r="AK442" s="156"/>
      <c r="AL442" s="375"/>
      <c r="AM442" s="405"/>
      <c r="AN442" s="273"/>
      <c r="AO442" s="405"/>
      <c r="AP442" s="273"/>
      <c r="AQ442" s="273"/>
      <c r="AR442" s="273"/>
      <c r="AS442" s="273"/>
      <c r="AT442" s="273"/>
      <c r="AU442" s="273"/>
      <c r="AV442" s="322">
        <f t="shared" si="20"/>
        <v>0</v>
      </c>
      <c r="AW442" s="402" t="s">
        <v>3387</v>
      </c>
      <c r="AX442" s="376">
        <v>45765</v>
      </c>
      <c r="AY442" s="373" t="s">
        <v>3388</v>
      </c>
      <c r="AZ442" s="375"/>
      <c r="BA442" s="375">
        <v>410000000</v>
      </c>
      <c r="BB442" s="375"/>
      <c r="BC442" s="375"/>
      <c r="BD442" s="353">
        <f t="shared" si="21"/>
        <v>410000000</v>
      </c>
      <c r="BE442" s="432" t="s">
        <v>355</v>
      </c>
      <c r="BF442" s="407" t="s">
        <v>523</v>
      </c>
      <c r="BG442" s="168"/>
      <c r="BH442" s="274"/>
      <c r="BI442" s="168"/>
      <c r="BJ442" s="274"/>
      <c r="BK442" s="168"/>
      <c r="BL442" s="275"/>
      <c r="BM442" s="276"/>
      <c r="BN442" s="275"/>
      <c r="BO442" s="276"/>
      <c r="BP442" s="277"/>
      <c r="BQ442" s="156"/>
      <c r="BR442" s="274"/>
      <c r="BS442" s="270"/>
      <c r="BT442" s="270"/>
      <c r="BU442" s="274"/>
      <c r="BV442" s="274"/>
      <c r="BW442" s="278"/>
      <c r="BX442" s="278"/>
      <c r="BY442" s="278"/>
      <c r="BZ442" s="351"/>
    </row>
    <row r="443" spans="1:78" s="90" customFormat="1" ht="19.5" hidden="1" customHeight="1">
      <c r="A443" s="137"/>
      <c r="B443" s="197">
        <f t="shared" si="19"/>
        <v>433</v>
      </c>
      <c r="C443" s="30" t="s">
        <v>202</v>
      </c>
      <c r="D443" s="30" t="s">
        <v>225</v>
      </c>
      <c r="E443" s="234" t="s">
        <v>1020</v>
      </c>
      <c r="F443" s="235" t="s">
        <v>1247</v>
      </c>
      <c r="G443" s="284">
        <f>IFERROR(VLOOKUP(E443,Assign!$C$2:$J$142,8,FALSE),)</f>
        <v>0</v>
      </c>
      <c r="H443" s="361" t="s">
        <v>4302</v>
      </c>
      <c r="I443" s="363">
        <v>1</v>
      </c>
      <c r="J443" s="364" t="s">
        <v>224</v>
      </c>
      <c r="K443" s="364" t="s">
        <v>1458</v>
      </c>
      <c r="L443" s="365" t="s">
        <v>1868</v>
      </c>
      <c r="M443" s="362" t="s">
        <v>1869</v>
      </c>
      <c r="N443" s="421" t="s">
        <v>606</v>
      </c>
      <c r="O443" s="269">
        <v>196.40899999999999</v>
      </c>
      <c r="P443" s="269">
        <v>138.41300000000001</v>
      </c>
      <c r="Q443" s="426"/>
      <c r="R443" s="418" t="s">
        <v>1020</v>
      </c>
      <c r="S443" s="427" t="s">
        <v>613</v>
      </c>
      <c r="T443" s="357">
        <v>1</v>
      </c>
      <c r="U443" s="357" t="s">
        <v>204</v>
      </c>
      <c r="V443" s="367">
        <v>247200000</v>
      </c>
      <c r="W443" s="368">
        <v>247200000</v>
      </c>
      <c r="X443" s="357"/>
      <c r="Y443" s="357"/>
      <c r="Z443" s="400"/>
      <c r="AA443" s="369"/>
      <c r="AB443" s="370"/>
      <c r="AC443" s="404"/>
      <c r="AD443" s="270"/>
      <c r="AE443" s="156"/>
      <c r="AF443" s="156"/>
      <c r="AG443" s="357"/>
      <c r="AH443" s="357"/>
      <c r="AI443" s="357"/>
      <c r="AJ443" s="156"/>
      <c r="AK443" s="156"/>
      <c r="AL443" s="375"/>
      <c r="AM443" s="405"/>
      <c r="AN443" s="273"/>
      <c r="AO443" s="405"/>
      <c r="AP443" s="273"/>
      <c r="AQ443" s="273"/>
      <c r="AR443" s="273"/>
      <c r="AS443" s="273"/>
      <c r="AT443" s="273"/>
      <c r="AU443" s="273"/>
      <c r="AV443" s="322">
        <f t="shared" si="20"/>
        <v>0</v>
      </c>
      <c r="AW443" s="402"/>
      <c r="AX443" s="376"/>
      <c r="AY443" s="373"/>
      <c r="AZ443" s="375"/>
      <c r="BA443" s="375"/>
      <c r="BB443" s="375"/>
      <c r="BC443" s="375"/>
      <c r="BD443" s="353">
        <f t="shared" si="21"/>
        <v>0</v>
      </c>
      <c r="BE443" s="432" t="s">
        <v>355</v>
      </c>
      <c r="BF443" s="407" t="s">
        <v>512</v>
      </c>
      <c r="BG443" s="168"/>
      <c r="BH443" s="274"/>
      <c r="BI443" s="168"/>
      <c r="BJ443" s="274"/>
      <c r="BK443" s="168"/>
      <c r="BL443" s="275"/>
      <c r="BM443" s="276"/>
      <c r="BN443" s="275"/>
      <c r="BO443" s="276"/>
      <c r="BP443" s="277"/>
      <c r="BQ443" s="156"/>
      <c r="BR443" s="274"/>
      <c r="BS443" s="270"/>
      <c r="BT443" s="270"/>
      <c r="BU443" s="274"/>
      <c r="BV443" s="274"/>
      <c r="BW443" s="278"/>
      <c r="BX443" s="278"/>
      <c r="BY443" s="278"/>
      <c r="BZ443" s="351"/>
    </row>
    <row r="444" spans="1:78" s="90" customFormat="1" ht="19.5" hidden="1" customHeight="1">
      <c r="A444" s="137"/>
      <c r="B444" s="197">
        <f t="shared" si="19"/>
        <v>434</v>
      </c>
      <c r="C444" s="30" t="s">
        <v>202</v>
      </c>
      <c r="D444" s="30" t="s">
        <v>225</v>
      </c>
      <c r="E444" s="234" t="s">
        <v>1021</v>
      </c>
      <c r="F444" s="235" t="s">
        <v>1229</v>
      </c>
      <c r="G444" s="284">
        <f>IFERROR(VLOOKUP(E444,Assign!$C$2:$J$142,8,FALSE),)</f>
        <v>0</v>
      </c>
      <c r="H444" s="361" t="s">
        <v>4366</v>
      </c>
      <c r="I444" s="363">
        <v>1</v>
      </c>
      <c r="J444" s="364" t="s">
        <v>208</v>
      </c>
      <c r="K444" s="364" t="s">
        <v>234</v>
      </c>
      <c r="L444" s="365" t="s">
        <v>1670</v>
      </c>
      <c r="M444" s="362" t="s">
        <v>1923</v>
      </c>
      <c r="N444" s="421" t="s">
        <v>606</v>
      </c>
      <c r="O444" s="269">
        <v>150.16560000000001</v>
      </c>
      <c r="P444" s="269">
        <v>84.56</v>
      </c>
      <c r="Q444" s="426"/>
      <c r="R444" s="418" t="s">
        <v>1021</v>
      </c>
      <c r="S444" s="427" t="s">
        <v>613</v>
      </c>
      <c r="T444" s="357">
        <v>1</v>
      </c>
      <c r="U444" s="357" t="s">
        <v>204</v>
      </c>
      <c r="V444" s="435">
        <v>245400000</v>
      </c>
      <c r="W444" s="435">
        <v>245400000</v>
      </c>
      <c r="X444" s="357"/>
      <c r="Y444" s="357"/>
      <c r="Z444" s="400"/>
      <c r="AA444" s="369"/>
      <c r="AB444" s="370"/>
      <c r="AC444" s="404"/>
      <c r="AD444" s="270"/>
      <c r="AE444" s="156"/>
      <c r="AF444" s="156"/>
      <c r="AG444" s="357"/>
      <c r="AH444" s="357"/>
      <c r="AI444" s="357"/>
      <c r="AJ444" s="156"/>
      <c r="AK444" s="156"/>
      <c r="AL444" s="375"/>
      <c r="AM444" s="405"/>
      <c r="AN444" s="273"/>
      <c r="AO444" s="405"/>
      <c r="AP444" s="273"/>
      <c r="AQ444" s="273"/>
      <c r="AR444" s="273"/>
      <c r="AS444" s="273"/>
      <c r="AT444" s="273"/>
      <c r="AU444" s="273"/>
      <c r="AV444" s="322">
        <f t="shared" si="20"/>
        <v>0</v>
      </c>
      <c r="AW444" s="402"/>
      <c r="AX444" s="376"/>
      <c r="AY444" s="373"/>
      <c r="AZ444" s="375"/>
      <c r="BA444" s="375"/>
      <c r="BB444" s="375"/>
      <c r="BC444" s="375"/>
      <c r="BD444" s="353">
        <f t="shared" si="21"/>
        <v>0</v>
      </c>
      <c r="BE444" s="432" t="s">
        <v>355</v>
      </c>
      <c r="BF444" s="407" t="s">
        <v>504</v>
      </c>
      <c r="BG444" s="168"/>
      <c r="BH444" s="274"/>
      <c r="BI444" s="168"/>
      <c r="BJ444" s="274"/>
      <c r="BK444" s="168"/>
      <c r="BL444" s="275"/>
      <c r="BM444" s="276"/>
      <c r="BN444" s="275"/>
      <c r="BO444" s="276"/>
      <c r="BP444" s="277"/>
      <c r="BQ444" s="156"/>
      <c r="BR444" s="274"/>
      <c r="BS444" s="270"/>
      <c r="BT444" s="270"/>
      <c r="BU444" s="274"/>
      <c r="BV444" s="274"/>
      <c r="BW444" s="278"/>
      <c r="BX444" s="278"/>
      <c r="BY444" s="278"/>
      <c r="BZ444" s="351"/>
    </row>
    <row r="445" spans="1:78" s="90" customFormat="1" ht="19.5" hidden="1" customHeight="1">
      <c r="A445" s="137"/>
      <c r="B445" s="197">
        <f t="shared" si="19"/>
        <v>435</v>
      </c>
      <c r="C445" s="30" t="s">
        <v>202</v>
      </c>
      <c r="D445" s="30" t="s">
        <v>225</v>
      </c>
      <c r="E445" s="234" t="s">
        <v>1022</v>
      </c>
      <c r="F445" s="235" t="s">
        <v>1225</v>
      </c>
      <c r="G445" s="284">
        <f>IFERROR(VLOOKUP(E445,Assign!$C$2:$J$142,8,FALSE),)</f>
        <v>0</v>
      </c>
      <c r="H445" s="361" t="s">
        <v>4862</v>
      </c>
      <c r="I445" s="363">
        <v>1</v>
      </c>
      <c r="J445" s="364" t="s">
        <v>208</v>
      </c>
      <c r="K445" s="364" t="s">
        <v>234</v>
      </c>
      <c r="L445" s="365" t="s">
        <v>2387</v>
      </c>
      <c r="M445" s="362" t="s">
        <v>2388</v>
      </c>
      <c r="N445" s="421" t="s">
        <v>207</v>
      </c>
      <c r="O445" s="269">
        <v>44.669499999999999</v>
      </c>
      <c r="P445" s="269">
        <v>74.8613</v>
      </c>
      <c r="Q445" s="426"/>
      <c r="R445" s="418" t="s">
        <v>1022</v>
      </c>
      <c r="S445" s="427" t="s">
        <v>613</v>
      </c>
      <c r="T445" s="357">
        <v>1</v>
      </c>
      <c r="U445" s="357" t="s">
        <v>204</v>
      </c>
      <c r="V445" s="367">
        <v>285600000</v>
      </c>
      <c r="W445" s="368">
        <v>285600000</v>
      </c>
      <c r="X445" s="357"/>
      <c r="Y445" s="357"/>
      <c r="Z445" s="400"/>
      <c r="AA445" s="369"/>
      <c r="AB445" s="370"/>
      <c r="AC445" s="404"/>
      <c r="AD445" s="270"/>
      <c r="AE445" s="156"/>
      <c r="AF445" s="156"/>
      <c r="AG445" s="357"/>
      <c r="AH445" s="357"/>
      <c r="AI445" s="357"/>
      <c r="AJ445" s="156"/>
      <c r="AK445" s="156"/>
      <c r="AL445" s="375"/>
      <c r="AM445" s="405"/>
      <c r="AN445" s="273"/>
      <c r="AO445" s="405"/>
      <c r="AP445" s="273"/>
      <c r="AQ445" s="273"/>
      <c r="AR445" s="273"/>
      <c r="AS445" s="273"/>
      <c r="AT445" s="273"/>
      <c r="AU445" s="273"/>
      <c r="AV445" s="322">
        <f t="shared" si="20"/>
        <v>0</v>
      </c>
      <c r="AW445" s="402" t="s">
        <v>3387</v>
      </c>
      <c r="AX445" s="376">
        <v>45765</v>
      </c>
      <c r="AY445" s="373" t="s">
        <v>3388</v>
      </c>
      <c r="AZ445" s="375"/>
      <c r="BA445" s="375">
        <v>395000000</v>
      </c>
      <c r="BB445" s="375"/>
      <c r="BC445" s="375"/>
      <c r="BD445" s="353">
        <f t="shared" si="21"/>
        <v>395000000</v>
      </c>
      <c r="BE445" s="432" t="s">
        <v>335</v>
      </c>
      <c r="BF445" s="407" t="s">
        <v>504</v>
      </c>
      <c r="BG445" s="168" t="s">
        <v>3319</v>
      </c>
      <c r="BH445" s="274">
        <v>45471</v>
      </c>
      <c r="BI445" s="168" t="s">
        <v>3255</v>
      </c>
      <c r="BJ445" s="274">
        <v>45555</v>
      </c>
      <c r="BK445" s="168">
        <v>92252620</v>
      </c>
      <c r="BL445" s="275"/>
      <c r="BM445" s="276"/>
      <c r="BN445" s="275"/>
      <c r="BO445" s="276"/>
      <c r="BP445" s="277"/>
      <c r="BQ445" s="156"/>
      <c r="BR445" s="274"/>
      <c r="BS445" s="270"/>
      <c r="BT445" s="270"/>
      <c r="BU445" s="274"/>
      <c r="BV445" s="274"/>
      <c r="BW445" s="278"/>
      <c r="BX445" s="278"/>
      <c r="BY445" s="278"/>
      <c r="BZ445" s="351"/>
    </row>
    <row r="446" spans="1:78" s="90" customFormat="1" ht="19.5" hidden="1" customHeight="1">
      <c r="A446" s="137"/>
      <c r="B446" s="197">
        <f t="shared" si="19"/>
        <v>436</v>
      </c>
      <c r="C446" s="30" t="s">
        <v>202</v>
      </c>
      <c r="D446" s="30" t="s">
        <v>225</v>
      </c>
      <c r="E446" s="234" t="s">
        <v>1023</v>
      </c>
      <c r="F446" s="235" t="s">
        <v>1279</v>
      </c>
      <c r="G446" s="284">
        <f>IFERROR(VLOOKUP(E446,Assign!$C$2:$J$142,8,FALSE),)</f>
        <v>0</v>
      </c>
      <c r="H446" s="361" t="s">
        <v>4211</v>
      </c>
      <c r="I446" s="363">
        <v>1</v>
      </c>
      <c r="J446" s="364" t="s">
        <v>209</v>
      </c>
      <c r="K446" s="364" t="s">
        <v>246</v>
      </c>
      <c r="L446" s="365" t="s">
        <v>1789</v>
      </c>
      <c r="M446" s="362" t="s">
        <v>1790</v>
      </c>
      <c r="N446" s="421" t="s">
        <v>207</v>
      </c>
      <c r="O446" s="269">
        <v>29.38</v>
      </c>
      <c r="P446" s="269">
        <v>84.88</v>
      </c>
      <c r="Q446" s="426"/>
      <c r="R446" s="418" t="s">
        <v>3397</v>
      </c>
      <c r="S446" s="427" t="s">
        <v>613</v>
      </c>
      <c r="T446" s="357">
        <v>1</v>
      </c>
      <c r="U446" s="357" t="s">
        <v>204</v>
      </c>
      <c r="V446" s="367">
        <v>237754000</v>
      </c>
      <c r="W446" s="368">
        <v>237754000</v>
      </c>
      <c r="X446" s="357"/>
      <c r="Y446" s="357"/>
      <c r="Z446" s="400"/>
      <c r="AA446" s="369"/>
      <c r="AB446" s="370"/>
      <c r="AC446" s="404"/>
      <c r="AD446" s="270"/>
      <c r="AE446" s="156"/>
      <c r="AF446" s="156"/>
      <c r="AG446" s="357"/>
      <c r="AH446" s="357"/>
      <c r="AI446" s="357"/>
      <c r="AJ446" s="156"/>
      <c r="AK446" s="156"/>
      <c r="AL446" s="375"/>
      <c r="AM446" s="405"/>
      <c r="AN446" s="273"/>
      <c r="AO446" s="405"/>
      <c r="AP446" s="273"/>
      <c r="AQ446" s="273"/>
      <c r="AR446" s="273"/>
      <c r="AS446" s="273"/>
      <c r="AT446" s="273"/>
      <c r="AU446" s="273"/>
      <c r="AV446" s="322">
        <f t="shared" si="20"/>
        <v>0</v>
      </c>
      <c r="AW446" s="402" t="s">
        <v>3387</v>
      </c>
      <c r="AX446" s="376">
        <v>45765</v>
      </c>
      <c r="AY446" s="373" t="s">
        <v>3388</v>
      </c>
      <c r="AZ446" s="375"/>
      <c r="BA446" s="375">
        <v>915000000</v>
      </c>
      <c r="BB446" s="375"/>
      <c r="BC446" s="375"/>
      <c r="BD446" s="353">
        <f t="shared" si="21"/>
        <v>915000000</v>
      </c>
      <c r="BE446" s="432" t="s">
        <v>355</v>
      </c>
      <c r="BF446" s="407" t="s">
        <v>510</v>
      </c>
      <c r="BG446" s="168"/>
      <c r="BH446" s="274"/>
      <c r="BI446" s="168"/>
      <c r="BJ446" s="274"/>
      <c r="BK446" s="168"/>
      <c r="BL446" s="275"/>
      <c r="BM446" s="276"/>
      <c r="BN446" s="275"/>
      <c r="BO446" s="276"/>
      <c r="BP446" s="277"/>
      <c r="BQ446" s="156"/>
      <c r="BR446" s="274"/>
      <c r="BS446" s="270"/>
      <c r="BT446" s="270"/>
      <c r="BU446" s="274"/>
      <c r="BV446" s="274"/>
      <c r="BW446" s="278"/>
      <c r="BX446" s="278"/>
      <c r="BY446" s="278"/>
      <c r="BZ446" s="351"/>
    </row>
    <row r="447" spans="1:78" s="90" customFormat="1" ht="19.5" hidden="1" customHeight="1">
      <c r="A447" s="137"/>
      <c r="B447" s="197">
        <f t="shared" si="19"/>
        <v>437</v>
      </c>
      <c r="C447" s="30" t="s">
        <v>202</v>
      </c>
      <c r="D447" s="30" t="s">
        <v>225</v>
      </c>
      <c r="E447" s="234" t="s">
        <v>1024</v>
      </c>
      <c r="F447" s="235" t="s">
        <v>1226</v>
      </c>
      <c r="G447" s="284">
        <f>IFERROR(VLOOKUP(E447,Assign!$C$2:$J$142,8,FALSE),)</f>
        <v>0</v>
      </c>
      <c r="H447" s="361" t="s">
        <v>4252</v>
      </c>
      <c r="I447" s="363">
        <v>1</v>
      </c>
      <c r="J447" s="364" t="s">
        <v>208</v>
      </c>
      <c r="K447" s="364" t="s">
        <v>372</v>
      </c>
      <c r="L447" s="365" t="s">
        <v>1820</v>
      </c>
      <c r="M447" s="362" t="s">
        <v>1821</v>
      </c>
      <c r="N447" s="421" t="s">
        <v>207</v>
      </c>
      <c r="O447" s="269">
        <v>42.45</v>
      </c>
      <c r="P447" s="269">
        <v>84.96</v>
      </c>
      <c r="Q447" s="426"/>
      <c r="R447" s="418" t="s">
        <v>1024</v>
      </c>
      <c r="S447" s="427" t="s">
        <v>613</v>
      </c>
      <c r="T447" s="357">
        <v>1</v>
      </c>
      <c r="U447" s="357" t="s">
        <v>204</v>
      </c>
      <c r="V447" s="367">
        <v>271200000</v>
      </c>
      <c r="W447" s="368">
        <v>271200000</v>
      </c>
      <c r="X447" s="357"/>
      <c r="Y447" s="357"/>
      <c r="Z447" s="400"/>
      <c r="AA447" s="369"/>
      <c r="AB447" s="370"/>
      <c r="AC447" s="404"/>
      <c r="AD447" s="270"/>
      <c r="AE447" s="156"/>
      <c r="AF447" s="156"/>
      <c r="AG447" s="357"/>
      <c r="AH447" s="357"/>
      <c r="AI447" s="357"/>
      <c r="AJ447" s="156"/>
      <c r="AK447" s="156"/>
      <c r="AL447" s="375"/>
      <c r="AM447" s="405"/>
      <c r="AN447" s="273"/>
      <c r="AO447" s="405"/>
      <c r="AP447" s="273"/>
      <c r="AQ447" s="273"/>
      <c r="AR447" s="273"/>
      <c r="AS447" s="273"/>
      <c r="AT447" s="273"/>
      <c r="AU447" s="273"/>
      <c r="AV447" s="322">
        <f t="shared" si="20"/>
        <v>0</v>
      </c>
      <c r="AW447" s="402" t="s">
        <v>3387</v>
      </c>
      <c r="AX447" s="376">
        <v>45765</v>
      </c>
      <c r="AY447" s="373" t="s">
        <v>3388</v>
      </c>
      <c r="AZ447" s="375"/>
      <c r="BA447" s="375">
        <v>445000000</v>
      </c>
      <c r="BB447" s="375"/>
      <c r="BC447" s="375"/>
      <c r="BD447" s="353">
        <f t="shared" si="21"/>
        <v>445000000</v>
      </c>
      <c r="BE447" s="432" t="s">
        <v>355</v>
      </c>
      <c r="BF447" s="407" t="s">
        <v>498</v>
      </c>
      <c r="BG447" s="168"/>
      <c r="BH447" s="274"/>
      <c r="BI447" s="168"/>
      <c r="BJ447" s="274"/>
      <c r="BK447" s="168"/>
      <c r="BL447" s="275"/>
      <c r="BM447" s="276"/>
      <c r="BN447" s="275"/>
      <c r="BO447" s="276"/>
      <c r="BP447" s="277"/>
      <c r="BQ447" s="156"/>
      <c r="BR447" s="274"/>
      <c r="BS447" s="270"/>
      <c r="BT447" s="270"/>
      <c r="BU447" s="274"/>
      <c r="BV447" s="274"/>
      <c r="BW447" s="278"/>
      <c r="BX447" s="278"/>
      <c r="BY447" s="278"/>
      <c r="BZ447" s="351"/>
    </row>
    <row r="448" spans="1:78" s="90" customFormat="1" ht="19.5" hidden="1" customHeight="1">
      <c r="A448" s="137"/>
      <c r="B448" s="197">
        <f t="shared" si="19"/>
        <v>438</v>
      </c>
      <c r="C448" s="30" t="s">
        <v>202</v>
      </c>
      <c r="D448" s="30" t="s">
        <v>225</v>
      </c>
      <c r="E448" s="234" t="s">
        <v>1025</v>
      </c>
      <c r="F448" s="235" t="s">
        <v>1232</v>
      </c>
      <c r="G448" s="284">
        <f>IFERROR(VLOOKUP(E448,Assign!$C$2:$J$142,8,FALSE),)</f>
        <v>0</v>
      </c>
      <c r="H448" s="361" t="s">
        <v>4726</v>
      </c>
      <c r="I448" s="363">
        <v>1</v>
      </c>
      <c r="J448" s="364" t="s">
        <v>224</v>
      </c>
      <c r="K448" s="364" t="s">
        <v>428</v>
      </c>
      <c r="L448" s="365" t="s">
        <v>2116</v>
      </c>
      <c r="M448" s="362" t="s">
        <v>2260</v>
      </c>
      <c r="N448" s="421" t="s">
        <v>207</v>
      </c>
      <c r="O448" s="269">
        <v>21.7</v>
      </c>
      <c r="P448" s="269">
        <v>72.180499999999995</v>
      </c>
      <c r="Q448" s="426"/>
      <c r="R448" s="418" t="s">
        <v>3491</v>
      </c>
      <c r="S448" s="427" t="s">
        <v>613</v>
      </c>
      <c r="T448" s="357">
        <v>1</v>
      </c>
      <c r="U448" s="357" t="s">
        <v>204</v>
      </c>
      <c r="V448" s="367">
        <v>235400000</v>
      </c>
      <c r="W448" s="368">
        <v>235400000</v>
      </c>
      <c r="X448" s="357"/>
      <c r="Y448" s="357"/>
      <c r="Z448" s="400"/>
      <c r="AA448" s="369"/>
      <c r="AB448" s="370"/>
      <c r="AC448" s="404"/>
      <c r="AD448" s="270"/>
      <c r="AE448" s="156"/>
      <c r="AF448" s="156"/>
      <c r="AG448" s="357"/>
      <c r="AH448" s="357"/>
      <c r="AI448" s="357"/>
      <c r="AJ448" s="156"/>
      <c r="AK448" s="156"/>
      <c r="AL448" s="375"/>
      <c r="AM448" s="405"/>
      <c r="AN448" s="273"/>
      <c r="AO448" s="405"/>
      <c r="AP448" s="273"/>
      <c r="AQ448" s="273"/>
      <c r="AR448" s="273"/>
      <c r="AS448" s="273"/>
      <c r="AT448" s="273"/>
      <c r="AU448" s="273"/>
      <c r="AV448" s="322">
        <f t="shared" si="20"/>
        <v>0</v>
      </c>
      <c r="AW448" s="402"/>
      <c r="AX448" s="376"/>
      <c r="AY448" s="373"/>
      <c r="AZ448" s="375"/>
      <c r="BA448" s="375"/>
      <c r="BB448" s="375"/>
      <c r="BC448" s="375"/>
      <c r="BD448" s="353">
        <f t="shared" si="21"/>
        <v>0</v>
      </c>
      <c r="BE448" s="432" t="s">
        <v>355</v>
      </c>
      <c r="BF448" s="407" t="s">
        <v>512</v>
      </c>
      <c r="BG448" s="168"/>
      <c r="BH448" s="274"/>
      <c r="BI448" s="168"/>
      <c r="BJ448" s="274"/>
      <c r="BK448" s="168"/>
      <c r="BL448" s="275"/>
      <c r="BM448" s="276"/>
      <c r="BN448" s="275"/>
      <c r="BO448" s="276"/>
      <c r="BP448" s="277"/>
      <c r="BQ448" s="156"/>
      <c r="BR448" s="274"/>
      <c r="BS448" s="270"/>
      <c r="BT448" s="270"/>
      <c r="BU448" s="274"/>
      <c r="BV448" s="274"/>
      <c r="BW448" s="278"/>
      <c r="BX448" s="278"/>
      <c r="BY448" s="278"/>
      <c r="BZ448" s="351"/>
    </row>
    <row r="449" spans="1:78" s="90" customFormat="1" ht="19.5" hidden="1" customHeight="1">
      <c r="A449" s="137"/>
      <c r="B449" s="197">
        <f t="shared" si="19"/>
        <v>439</v>
      </c>
      <c r="C449" s="30" t="s">
        <v>202</v>
      </c>
      <c r="D449" s="30" t="s">
        <v>225</v>
      </c>
      <c r="E449" s="234" t="s">
        <v>1026</v>
      </c>
      <c r="F449" s="235" t="s">
        <v>1232</v>
      </c>
      <c r="G449" s="284">
        <f>IFERROR(VLOOKUP(E449,Assign!$C$2:$J$142,8,FALSE),)</f>
        <v>0</v>
      </c>
      <c r="H449" s="361" t="s">
        <v>4352</v>
      </c>
      <c r="I449" s="363">
        <v>1</v>
      </c>
      <c r="J449" s="364" t="s">
        <v>208</v>
      </c>
      <c r="K449" s="364" t="s">
        <v>258</v>
      </c>
      <c r="L449" s="365" t="s">
        <v>321</v>
      </c>
      <c r="M449" s="362" t="s">
        <v>3700</v>
      </c>
      <c r="N449" s="421" t="s">
        <v>3364</v>
      </c>
      <c r="O449" s="269"/>
      <c r="P449" s="269"/>
      <c r="Q449" s="426">
        <v>1</v>
      </c>
      <c r="R449" s="418" t="s">
        <v>1026</v>
      </c>
      <c r="S449" s="427" t="s">
        <v>3069</v>
      </c>
      <c r="T449" s="357">
        <v>1</v>
      </c>
      <c r="U449" s="357" t="s">
        <v>204</v>
      </c>
      <c r="V449" s="367">
        <v>360000000</v>
      </c>
      <c r="W449" s="368">
        <v>360000000</v>
      </c>
      <c r="X449" s="357"/>
      <c r="Y449" s="357"/>
      <c r="Z449" s="400"/>
      <c r="AA449" s="369"/>
      <c r="AB449" s="370"/>
      <c r="AC449" s="404"/>
      <c r="AD449" s="270"/>
      <c r="AE449" s="156"/>
      <c r="AF449" s="156"/>
      <c r="AG449" s="357"/>
      <c r="AH449" s="357"/>
      <c r="AI449" s="357"/>
      <c r="AJ449" s="156"/>
      <c r="AK449" s="156"/>
      <c r="AL449" s="375"/>
      <c r="AM449" s="405"/>
      <c r="AN449" s="273"/>
      <c r="AO449" s="405"/>
      <c r="AP449" s="273"/>
      <c r="AQ449" s="273"/>
      <c r="AR449" s="273"/>
      <c r="AS449" s="273"/>
      <c r="AT449" s="273"/>
      <c r="AU449" s="273"/>
      <c r="AV449" s="322">
        <f t="shared" si="20"/>
        <v>0</v>
      </c>
      <c r="AW449" s="402"/>
      <c r="AX449" s="376"/>
      <c r="AY449" s="373"/>
      <c r="AZ449" s="375"/>
      <c r="BA449" s="375"/>
      <c r="BB449" s="375"/>
      <c r="BC449" s="375"/>
      <c r="BD449" s="353">
        <f t="shared" si="21"/>
        <v>0</v>
      </c>
      <c r="BE449" s="432" t="s">
        <v>355</v>
      </c>
      <c r="BF449" s="407" t="s">
        <v>203</v>
      </c>
      <c r="BG449" s="168"/>
      <c r="BH449" s="274"/>
      <c r="BI449" s="168"/>
      <c r="BJ449" s="274"/>
      <c r="BK449" s="168"/>
      <c r="BL449" s="275"/>
      <c r="BM449" s="276"/>
      <c r="BN449" s="275"/>
      <c r="BO449" s="276"/>
      <c r="BP449" s="277"/>
      <c r="BQ449" s="156"/>
      <c r="BR449" s="274"/>
      <c r="BS449" s="270"/>
      <c r="BT449" s="270"/>
      <c r="BU449" s="274"/>
      <c r="BV449" s="274"/>
      <c r="BW449" s="278"/>
      <c r="BX449" s="278"/>
      <c r="BY449" s="278"/>
      <c r="BZ449" s="351"/>
    </row>
    <row r="450" spans="1:78" s="90" customFormat="1" ht="19.5" hidden="1" customHeight="1">
      <c r="A450" s="137"/>
      <c r="B450" s="197">
        <f t="shared" si="19"/>
        <v>440</v>
      </c>
      <c r="C450" s="30" t="s">
        <v>202</v>
      </c>
      <c r="D450" s="30" t="s">
        <v>225</v>
      </c>
      <c r="E450" s="234" t="s">
        <v>1027</v>
      </c>
      <c r="F450" s="235" t="s">
        <v>1271</v>
      </c>
      <c r="G450" s="284">
        <f>IFERROR(VLOOKUP(E450,Assign!$C$2:$J$142,8,FALSE),)</f>
        <v>0</v>
      </c>
      <c r="H450" s="361" t="s">
        <v>3971</v>
      </c>
      <c r="I450" s="363">
        <v>1</v>
      </c>
      <c r="J450" s="364" t="s">
        <v>209</v>
      </c>
      <c r="K450" s="364" t="s">
        <v>295</v>
      </c>
      <c r="L450" s="365" t="s">
        <v>548</v>
      </c>
      <c r="M450" s="362" t="s">
        <v>3097</v>
      </c>
      <c r="N450" s="421" t="s">
        <v>396</v>
      </c>
      <c r="O450" s="269">
        <v>272.39999999999998</v>
      </c>
      <c r="P450" s="269">
        <v>202.64</v>
      </c>
      <c r="Q450" s="426"/>
      <c r="R450" s="418" t="s">
        <v>1027</v>
      </c>
      <c r="S450" s="427" t="s">
        <v>613</v>
      </c>
      <c r="T450" s="357">
        <v>1</v>
      </c>
      <c r="U450" s="357" t="s">
        <v>204</v>
      </c>
      <c r="V450" s="367">
        <v>360000000</v>
      </c>
      <c r="W450" s="368">
        <v>360000000</v>
      </c>
      <c r="X450" s="357"/>
      <c r="Y450" s="357"/>
      <c r="Z450" s="400"/>
      <c r="AA450" s="369"/>
      <c r="AB450" s="370"/>
      <c r="AC450" s="404"/>
      <c r="AD450" s="270"/>
      <c r="AE450" s="156"/>
      <c r="AF450" s="156"/>
      <c r="AG450" s="357"/>
      <c r="AH450" s="357"/>
      <c r="AI450" s="357"/>
      <c r="AJ450" s="156"/>
      <c r="AK450" s="156"/>
      <c r="AL450" s="375"/>
      <c r="AM450" s="405"/>
      <c r="AN450" s="273"/>
      <c r="AO450" s="405"/>
      <c r="AP450" s="273"/>
      <c r="AQ450" s="273"/>
      <c r="AR450" s="273"/>
      <c r="AS450" s="273"/>
      <c r="AT450" s="273"/>
      <c r="AU450" s="273"/>
      <c r="AV450" s="322">
        <f t="shared" si="20"/>
        <v>0</v>
      </c>
      <c r="AW450" s="402"/>
      <c r="AX450" s="376"/>
      <c r="AY450" s="373"/>
      <c r="AZ450" s="375"/>
      <c r="BA450" s="375"/>
      <c r="BB450" s="375"/>
      <c r="BC450" s="375"/>
      <c r="BD450" s="353">
        <f t="shared" si="21"/>
        <v>0</v>
      </c>
      <c r="BE450" s="432" t="s">
        <v>355</v>
      </c>
      <c r="BF450" s="407" t="s">
        <v>497</v>
      </c>
      <c r="BG450" s="168"/>
      <c r="BH450" s="274"/>
      <c r="BI450" s="168"/>
      <c r="BJ450" s="274"/>
      <c r="BK450" s="168"/>
      <c r="BL450" s="275"/>
      <c r="BM450" s="276"/>
      <c r="BN450" s="275"/>
      <c r="BO450" s="276"/>
      <c r="BP450" s="277"/>
      <c r="BQ450" s="156"/>
      <c r="BR450" s="274"/>
      <c r="BS450" s="270"/>
      <c r="BT450" s="270"/>
      <c r="BU450" s="274"/>
      <c r="BV450" s="274"/>
      <c r="BW450" s="278"/>
      <c r="BX450" s="278"/>
      <c r="BY450" s="278"/>
      <c r="BZ450" s="351"/>
    </row>
    <row r="451" spans="1:78" s="90" customFormat="1" ht="19.5" hidden="1" customHeight="1">
      <c r="A451" s="137"/>
      <c r="B451" s="197">
        <f t="shared" si="19"/>
        <v>441</v>
      </c>
      <c r="C451" s="30" t="s">
        <v>202</v>
      </c>
      <c r="D451" s="30" t="s">
        <v>225</v>
      </c>
      <c r="E451" s="234" t="s">
        <v>1028</v>
      </c>
      <c r="F451" s="235" t="s">
        <v>1218</v>
      </c>
      <c r="G451" s="284" t="str">
        <f>IFERROR(VLOOKUP(E451,Assign!$C$2:$J$142,8,FALSE),)</f>
        <v>문선영</v>
      </c>
      <c r="H451" s="361" t="s">
        <v>3936</v>
      </c>
      <c r="I451" s="363">
        <v>1</v>
      </c>
      <c r="J451" s="364" t="s">
        <v>208</v>
      </c>
      <c r="K451" s="364" t="s">
        <v>250</v>
      </c>
      <c r="L451" s="365" t="s">
        <v>417</v>
      </c>
      <c r="M451" s="362" t="s">
        <v>1509</v>
      </c>
      <c r="N451" s="421" t="s">
        <v>606</v>
      </c>
      <c r="O451" s="269">
        <v>83.67</v>
      </c>
      <c r="P451" s="269">
        <v>96.96</v>
      </c>
      <c r="Q451" s="426"/>
      <c r="R451" s="418" t="s">
        <v>1028</v>
      </c>
      <c r="S451" s="427" t="s">
        <v>613</v>
      </c>
      <c r="T451" s="357">
        <v>1</v>
      </c>
      <c r="U451" s="357" t="s">
        <v>204</v>
      </c>
      <c r="V451" s="367">
        <v>220000000</v>
      </c>
      <c r="W451" s="368">
        <v>220000000</v>
      </c>
      <c r="X451" s="357"/>
      <c r="Y451" s="357"/>
      <c r="Z451" s="400"/>
      <c r="AA451" s="369"/>
      <c r="AB451" s="370"/>
      <c r="AC451" s="404"/>
      <c r="AD451" s="270"/>
      <c r="AE451" s="156"/>
      <c r="AF451" s="156"/>
      <c r="AG451" s="357"/>
      <c r="AH451" s="357"/>
      <c r="AI451" s="357"/>
      <c r="AJ451" s="156"/>
      <c r="AK451" s="156"/>
      <c r="AL451" s="375"/>
      <c r="AM451" s="405"/>
      <c r="AN451" s="273"/>
      <c r="AO451" s="405"/>
      <c r="AP451" s="273"/>
      <c r="AQ451" s="273"/>
      <c r="AR451" s="273"/>
      <c r="AS451" s="273"/>
      <c r="AT451" s="273"/>
      <c r="AU451" s="273"/>
      <c r="AV451" s="322">
        <f t="shared" si="20"/>
        <v>0</v>
      </c>
      <c r="AW451" s="402"/>
      <c r="AX451" s="376"/>
      <c r="AY451" s="373"/>
      <c r="AZ451" s="375"/>
      <c r="BA451" s="375"/>
      <c r="BB451" s="375"/>
      <c r="BC451" s="375"/>
      <c r="BD451" s="353">
        <f t="shared" si="21"/>
        <v>0</v>
      </c>
      <c r="BE451" s="432" t="s">
        <v>355</v>
      </c>
      <c r="BF451" s="407" t="s">
        <v>493</v>
      </c>
      <c r="BG451" s="168"/>
      <c r="BH451" s="274"/>
      <c r="BI451" s="168"/>
      <c r="BJ451" s="274"/>
      <c r="BK451" s="168"/>
      <c r="BL451" s="275"/>
      <c r="BM451" s="276"/>
      <c r="BN451" s="275"/>
      <c r="BO451" s="276"/>
      <c r="BP451" s="277"/>
      <c r="BQ451" s="156"/>
      <c r="BR451" s="274"/>
      <c r="BS451" s="270"/>
      <c r="BT451" s="270"/>
      <c r="BU451" s="274"/>
      <c r="BV451" s="274"/>
      <c r="BW451" s="278"/>
      <c r="BX451" s="278"/>
      <c r="BY451" s="278"/>
      <c r="BZ451" s="351"/>
    </row>
    <row r="452" spans="1:78" s="90" customFormat="1" ht="19.5" hidden="1" customHeight="1">
      <c r="A452" s="137"/>
      <c r="B452" s="197">
        <f t="shared" si="19"/>
        <v>442</v>
      </c>
      <c r="C452" s="30" t="s">
        <v>202</v>
      </c>
      <c r="D452" s="30" t="s">
        <v>225</v>
      </c>
      <c r="E452" s="234" t="s">
        <v>1029</v>
      </c>
      <c r="F452" s="235" t="s">
        <v>1280</v>
      </c>
      <c r="G452" s="284">
        <f>IFERROR(VLOOKUP(E452,Assign!$C$2:$J$142,8,FALSE),)</f>
        <v>0</v>
      </c>
      <c r="H452" s="361" t="s">
        <v>5374</v>
      </c>
      <c r="I452" s="363">
        <v>1</v>
      </c>
      <c r="J452" s="364" t="s">
        <v>212</v>
      </c>
      <c r="K452" s="364" t="s">
        <v>232</v>
      </c>
      <c r="L452" s="365" t="s">
        <v>367</v>
      </c>
      <c r="M452" s="362" t="s">
        <v>2849</v>
      </c>
      <c r="N452" s="421" t="s">
        <v>3505</v>
      </c>
      <c r="O452" s="269">
        <v>5.9813000000000001</v>
      </c>
      <c r="P452" s="269">
        <v>33.582000000000001</v>
      </c>
      <c r="Q452" s="426"/>
      <c r="R452" s="418" t="s">
        <v>1029</v>
      </c>
      <c r="S452" s="427" t="s">
        <v>613</v>
      </c>
      <c r="T452" s="357">
        <v>1</v>
      </c>
      <c r="U452" s="357" t="s">
        <v>204</v>
      </c>
      <c r="V452" s="367">
        <v>120000000</v>
      </c>
      <c r="W452" s="368">
        <v>120000000</v>
      </c>
      <c r="X452" s="357"/>
      <c r="Y452" s="357"/>
      <c r="Z452" s="400"/>
      <c r="AA452" s="369"/>
      <c r="AB452" s="370"/>
      <c r="AC452" s="404"/>
      <c r="AD452" s="270"/>
      <c r="AE452" s="156"/>
      <c r="AF452" s="156"/>
      <c r="AG452" s="357"/>
      <c r="AH452" s="357"/>
      <c r="AI452" s="357"/>
      <c r="AJ452" s="156"/>
      <c r="AK452" s="156"/>
      <c r="AL452" s="375"/>
      <c r="AM452" s="405"/>
      <c r="AN452" s="273"/>
      <c r="AO452" s="405"/>
      <c r="AP452" s="273"/>
      <c r="AQ452" s="273"/>
      <c r="AR452" s="273"/>
      <c r="AS452" s="273"/>
      <c r="AT452" s="273"/>
      <c r="AU452" s="273"/>
      <c r="AV452" s="322">
        <f t="shared" si="20"/>
        <v>0</v>
      </c>
      <c r="AW452" s="402"/>
      <c r="AX452" s="376"/>
      <c r="AY452" s="373"/>
      <c r="AZ452" s="375"/>
      <c r="BA452" s="375"/>
      <c r="BB452" s="375"/>
      <c r="BC452" s="375"/>
      <c r="BD452" s="353">
        <f t="shared" si="21"/>
        <v>0</v>
      </c>
      <c r="BE452" s="432" t="s">
        <v>355</v>
      </c>
      <c r="BF452" s="407" t="s">
        <v>496</v>
      </c>
      <c r="BG452" s="168"/>
      <c r="BH452" s="274"/>
      <c r="BI452" s="168"/>
      <c r="BJ452" s="274"/>
      <c r="BK452" s="168"/>
      <c r="BL452" s="275"/>
      <c r="BM452" s="276"/>
      <c r="BN452" s="275"/>
      <c r="BO452" s="276"/>
      <c r="BP452" s="277"/>
      <c r="BQ452" s="156"/>
      <c r="BR452" s="274"/>
      <c r="BS452" s="270"/>
      <c r="BT452" s="270"/>
      <c r="BU452" s="274"/>
      <c r="BV452" s="274"/>
      <c r="BW452" s="278"/>
      <c r="BX452" s="278"/>
      <c r="BY452" s="278"/>
      <c r="BZ452" s="351"/>
    </row>
    <row r="453" spans="1:78" s="90" customFormat="1" ht="19.5" hidden="1" customHeight="1">
      <c r="A453" s="137"/>
      <c r="B453" s="197">
        <f t="shared" si="19"/>
        <v>443</v>
      </c>
      <c r="C453" s="30" t="s">
        <v>202</v>
      </c>
      <c r="D453" s="30" t="s">
        <v>225</v>
      </c>
      <c r="E453" s="234" t="s">
        <v>1029</v>
      </c>
      <c r="F453" s="235" t="s">
        <v>1280</v>
      </c>
      <c r="G453" s="284">
        <f>IFERROR(VLOOKUP(E453,Assign!$C$2:$J$142,8,FALSE),)</f>
        <v>0</v>
      </c>
      <c r="H453" s="361" t="s">
        <v>5376</v>
      </c>
      <c r="I453" s="363">
        <v>2</v>
      </c>
      <c r="J453" s="364" t="s">
        <v>212</v>
      </c>
      <c r="K453" s="364" t="s">
        <v>232</v>
      </c>
      <c r="L453" s="365" t="s">
        <v>367</v>
      </c>
      <c r="M453" s="362" t="s">
        <v>2851</v>
      </c>
      <c r="N453" s="421" t="s">
        <v>3505</v>
      </c>
      <c r="O453" s="269">
        <v>5.9813000000000001</v>
      </c>
      <c r="P453" s="269">
        <v>33.582000000000001</v>
      </c>
      <c r="Q453" s="426"/>
      <c r="R453" s="418" t="s">
        <v>1029</v>
      </c>
      <c r="S453" s="427" t="s">
        <v>613</v>
      </c>
      <c r="T453" s="357">
        <v>1</v>
      </c>
      <c r="U453" s="357" t="s">
        <v>204</v>
      </c>
      <c r="V453" s="367">
        <v>120000000</v>
      </c>
      <c r="W453" s="368">
        <v>120000000</v>
      </c>
      <c r="X453" s="357"/>
      <c r="Y453" s="357"/>
      <c r="Z453" s="400"/>
      <c r="AA453" s="369"/>
      <c r="AB453" s="370"/>
      <c r="AC453" s="404"/>
      <c r="AD453" s="270"/>
      <c r="AE453" s="156"/>
      <c r="AF453" s="156"/>
      <c r="AG453" s="357"/>
      <c r="AH453" s="357"/>
      <c r="AI453" s="357"/>
      <c r="AJ453" s="156"/>
      <c r="AK453" s="156"/>
      <c r="AL453" s="375"/>
      <c r="AM453" s="405"/>
      <c r="AN453" s="273"/>
      <c r="AO453" s="405"/>
      <c r="AP453" s="273"/>
      <c r="AQ453" s="273"/>
      <c r="AR453" s="273"/>
      <c r="AS453" s="273"/>
      <c r="AT453" s="273"/>
      <c r="AU453" s="273"/>
      <c r="AV453" s="322">
        <f t="shared" si="20"/>
        <v>0</v>
      </c>
      <c r="AW453" s="402"/>
      <c r="AX453" s="376"/>
      <c r="AY453" s="373"/>
      <c r="AZ453" s="375"/>
      <c r="BA453" s="375"/>
      <c r="BB453" s="375"/>
      <c r="BC453" s="375"/>
      <c r="BD453" s="353">
        <f t="shared" si="21"/>
        <v>0</v>
      </c>
      <c r="BE453" s="432" t="s">
        <v>355</v>
      </c>
      <c r="BF453" s="407" t="s">
        <v>496</v>
      </c>
      <c r="BG453" s="168"/>
      <c r="BH453" s="274"/>
      <c r="BI453" s="168"/>
      <c r="BJ453" s="274"/>
      <c r="BK453" s="168"/>
      <c r="BL453" s="275"/>
      <c r="BM453" s="276"/>
      <c r="BN453" s="275"/>
      <c r="BO453" s="276"/>
      <c r="BP453" s="277"/>
      <c r="BQ453" s="156"/>
      <c r="BR453" s="274"/>
      <c r="BS453" s="270"/>
      <c r="BT453" s="270"/>
      <c r="BU453" s="274"/>
      <c r="BV453" s="274"/>
      <c r="BW453" s="278"/>
      <c r="BX453" s="278"/>
      <c r="BY453" s="278"/>
      <c r="BZ453" s="351"/>
    </row>
    <row r="454" spans="1:78" s="90" customFormat="1" ht="19.5" hidden="1" customHeight="1">
      <c r="A454" s="137"/>
      <c r="B454" s="197">
        <f t="shared" si="19"/>
        <v>444</v>
      </c>
      <c r="C454" s="30" t="s">
        <v>202</v>
      </c>
      <c r="D454" s="30" t="s">
        <v>225</v>
      </c>
      <c r="E454" s="234" t="s">
        <v>1030</v>
      </c>
      <c r="F454" s="235" t="s">
        <v>1231</v>
      </c>
      <c r="G454" s="284">
        <f>IFERROR(VLOOKUP(E454,Assign!$C$2:$J$142,8,FALSE),)</f>
        <v>0</v>
      </c>
      <c r="H454" s="361" t="s">
        <v>4102</v>
      </c>
      <c r="I454" s="363">
        <v>1</v>
      </c>
      <c r="J454" s="364" t="s">
        <v>208</v>
      </c>
      <c r="K454" s="364" t="s">
        <v>259</v>
      </c>
      <c r="L454" s="365" t="s">
        <v>1678</v>
      </c>
      <c r="M454" s="362" t="s">
        <v>1679</v>
      </c>
      <c r="N454" s="421" t="s">
        <v>207</v>
      </c>
      <c r="O454" s="269">
        <v>42.563499999999998</v>
      </c>
      <c r="P454" s="269">
        <v>55.86</v>
      </c>
      <c r="Q454" s="426"/>
      <c r="R454" s="418" t="s">
        <v>1030</v>
      </c>
      <c r="S454" s="427" t="s">
        <v>613</v>
      </c>
      <c r="T454" s="357">
        <v>1</v>
      </c>
      <c r="U454" s="357" t="s">
        <v>204</v>
      </c>
      <c r="V454" s="367">
        <v>220000000</v>
      </c>
      <c r="W454" s="368">
        <v>220000000</v>
      </c>
      <c r="X454" s="357"/>
      <c r="Y454" s="357"/>
      <c r="Z454" s="400"/>
      <c r="AA454" s="369"/>
      <c r="AB454" s="370"/>
      <c r="AC454" s="404"/>
      <c r="AD454" s="270"/>
      <c r="AE454" s="156"/>
      <c r="AF454" s="156"/>
      <c r="AG454" s="357"/>
      <c r="AH454" s="357"/>
      <c r="AI454" s="357"/>
      <c r="AJ454" s="156"/>
      <c r="AK454" s="156"/>
      <c r="AL454" s="375"/>
      <c r="AM454" s="405"/>
      <c r="AN454" s="273"/>
      <c r="AO454" s="405"/>
      <c r="AP454" s="273"/>
      <c r="AQ454" s="273"/>
      <c r="AR454" s="273"/>
      <c r="AS454" s="273"/>
      <c r="AT454" s="273"/>
      <c r="AU454" s="273"/>
      <c r="AV454" s="322">
        <f t="shared" si="20"/>
        <v>0</v>
      </c>
      <c r="AW454" s="402"/>
      <c r="AX454" s="376"/>
      <c r="AY454" s="373"/>
      <c r="AZ454" s="375"/>
      <c r="BA454" s="375"/>
      <c r="BB454" s="375"/>
      <c r="BC454" s="375"/>
      <c r="BD454" s="353">
        <f t="shared" si="21"/>
        <v>0</v>
      </c>
      <c r="BE454" s="432" t="s">
        <v>355</v>
      </c>
      <c r="BF454" s="407" t="s">
        <v>499</v>
      </c>
      <c r="BG454" s="168"/>
      <c r="BH454" s="274"/>
      <c r="BI454" s="168"/>
      <c r="BJ454" s="274"/>
      <c r="BK454" s="168"/>
      <c r="BL454" s="275"/>
      <c r="BM454" s="276"/>
      <c r="BN454" s="275"/>
      <c r="BO454" s="276"/>
      <c r="BP454" s="277"/>
      <c r="BQ454" s="156"/>
      <c r="BR454" s="274"/>
      <c r="BS454" s="270"/>
      <c r="BT454" s="270"/>
      <c r="BU454" s="274"/>
      <c r="BV454" s="274"/>
      <c r="BW454" s="278"/>
      <c r="BX454" s="278"/>
      <c r="BY454" s="278"/>
      <c r="BZ454" s="351"/>
    </row>
    <row r="455" spans="1:78" s="90" customFormat="1" ht="19.5" hidden="1" customHeight="1">
      <c r="A455" s="137"/>
      <c r="B455" s="197">
        <f t="shared" si="19"/>
        <v>445</v>
      </c>
      <c r="C455" s="30" t="s">
        <v>202</v>
      </c>
      <c r="D455" s="30" t="s">
        <v>225</v>
      </c>
      <c r="E455" s="234" t="s">
        <v>1031</v>
      </c>
      <c r="F455" s="235" t="s">
        <v>1238</v>
      </c>
      <c r="G455" s="284" t="str">
        <f>IFERROR(VLOOKUP(E455,Assign!$C$2:$J$142,8,FALSE),)</f>
        <v>문선영</v>
      </c>
      <c r="H455" s="361" t="s">
        <v>5257</v>
      </c>
      <c r="I455" s="363">
        <v>1</v>
      </c>
      <c r="J455" s="364" t="s">
        <v>208</v>
      </c>
      <c r="K455" s="364" t="s">
        <v>242</v>
      </c>
      <c r="L455" s="365" t="s">
        <v>1680</v>
      </c>
      <c r="M455" s="362" t="s">
        <v>2748</v>
      </c>
      <c r="N455" s="421" t="s">
        <v>3386</v>
      </c>
      <c r="O455" s="269">
        <v>82.537000000000006</v>
      </c>
      <c r="P455" s="269">
        <v>158.22</v>
      </c>
      <c r="Q455" s="426"/>
      <c r="R455" s="418" t="s">
        <v>1031</v>
      </c>
      <c r="S455" s="427" t="s">
        <v>613</v>
      </c>
      <c r="T455" s="357">
        <v>1</v>
      </c>
      <c r="U455" s="357" t="s">
        <v>204</v>
      </c>
      <c r="V455" s="367">
        <v>240000000</v>
      </c>
      <c r="W455" s="368">
        <v>240000000</v>
      </c>
      <c r="X455" s="357"/>
      <c r="Y455" s="357"/>
      <c r="Z455" s="400"/>
      <c r="AA455" s="369"/>
      <c r="AB455" s="370"/>
      <c r="AC455" s="404"/>
      <c r="AD455" s="270"/>
      <c r="AE455" s="156"/>
      <c r="AF455" s="156"/>
      <c r="AG455" s="357"/>
      <c r="AH455" s="357"/>
      <c r="AI455" s="357"/>
      <c r="AJ455" s="156"/>
      <c r="AK455" s="156"/>
      <c r="AL455" s="375"/>
      <c r="AM455" s="405"/>
      <c r="AN455" s="273"/>
      <c r="AO455" s="405"/>
      <c r="AP455" s="273"/>
      <c r="AQ455" s="273"/>
      <c r="AR455" s="273"/>
      <c r="AS455" s="273"/>
      <c r="AT455" s="273"/>
      <c r="AU455" s="273"/>
      <c r="AV455" s="322">
        <f t="shared" si="20"/>
        <v>0</v>
      </c>
      <c r="AW455" s="402"/>
      <c r="AX455" s="376"/>
      <c r="AY455" s="373"/>
      <c r="AZ455" s="375"/>
      <c r="BA455" s="375"/>
      <c r="BB455" s="375"/>
      <c r="BC455" s="375"/>
      <c r="BD455" s="353">
        <f t="shared" si="21"/>
        <v>0</v>
      </c>
      <c r="BE455" s="432" t="s">
        <v>355</v>
      </c>
      <c r="BF455" s="407" t="s">
        <v>502</v>
      </c>
      <c r="BG455" s="168"/>
      <c r="BH455" s="274"/>
      <c r="BI455" s="168"/>
      <c r="BJ455" s="274"/>
      <c r="BK455" s="168"/>
      <c r="BL455" s="275"/>
      <c r="BM455" s="276"/>
      <c r="BN455" s="275"/>
      <c r="BO455" s="276"/>
      <c r="BP455" s="277"/>
      <c r="BQ455" s="156"/>
      <c r="BR455" s="274"/>
      <c r="BS455" s="270"/>
      <c r="BT455" s="270"/>
      <c r="BU455" s="274"/>
      <c r="BV455" s="274"/>
      <c r="BW455" s="278"/>
      <c r="BX455" s="278"/>
      <c r="BY455" s="278"/>
      <c r="BZ455" s="351"/>
    </row>
    <row r="456" spans="1:78" s="90" customFormat="1" ht="19.5" hidden="1" customHeight="1">
      <c r="A456" s="137"/>
      <c r="B456" s="197">
        <f t="shared" si="19"/>
        <v>446</v>
      </c>
      <c r="C456" s="30" t="s">
        <v>202</v>
      </c>
      <c r="D456" s="30" t="s">
        <v>225</v>
      </c>
      <c r="E456" s="234" t="s">
        <v>1031</v>
      </c>
      <c r="F456" s="235" t="s">
        <v>1238</v>
      </c>
      <c r="G456" s="284" t="str">
        <f>IFERROR(VLOOKUP(E456,Assign!$C$2:$J$142,8,FALSE),)</f>
        <v>문선영</v>
      </c>
      <c r="H456" s="361" t="s">
        <v>5259</v>
      </c>
      <c r="I456" s="363">
        <v>2</v>
      </c>
      <c r="J456" s="364" t="s">
        <v>208</v>
      </c>
      <c r="K456" s="364" t="s">
        <v>301</v>
      </c>
      <c r="L456" s="365" t="s">
        <v>1743</v>
      </c>
      <c r="M456" s="362" t="s">
        <v>2750</v>
      </c>
      <c r="N456" s="421" t="s">
        <v>606</v>
      </c>
      <c r="O456" s="269">
        <v>62.48</v>
      </c>
      <c r="P456" s="269">
        <v>55.789499999999997</v>
      </c>
      <c r="Q456" s="426"/>
      <c r="R456" s="418" t="s">
        <v>1031</v>
      </c>
      <c r="S456" s="427" t="s">
        <v>613</v>
      </c>
      <c r="T456" s="357">
        <v>1</v>
      </c>
      <c r="U456" s="357" t="s">
        <v>204</v>
      </c>
      <c r="V456" s="367">
        <v>162800000</v>
      </c>
      <c r="W456" s="368">
        <v>162800000</v>
      </c>
      <c r="X456" s="357"/>
      <c r="Y456" s="357"/>
      <c r="Z456" s="400"/>
      <c r="AA456" s="369"/>
      <c r="AB456" s="370"/>
      <c r="AC456" s="404"/>
      <c r="AD456" s="270"/>
      <c r="AE456" s="156"/>
      <c r="AF456" s="156"/>
      <c r="AG456" s="357"/>
      <c r="AH456" s="357"/>
      <c r="AI456" s="357"/>
      <c r="AJ456" s="156"/>
      <c r="AK456" s="156"/>
      <c r="AL456" s="375"/>
      <c r="AM456" s="405"/>
      <c r="AN456" s="273"/>
      <c r="AO456" s="405"/>
      <c r="AP456" s="273"/>
      <c r="AQ456" s="273"/>
      <c r="AR456" s="273"/>
      <c r="AS456" s="273"/>
      <c r="AT456" s="273"/>
      <c r="AU456" s="273"/>
      <c r="AV456" s="322">
        <f t="shared" si="20"/>
        <v>0</v>
      </c>
      <c r="AW456" s="402"/>
      <c r="AX456" s="376"/>
      <c r="AY456" s="373"/>
      <c r="AZ456" s="375"/>
      <c r="BA456" s="375"/>
      <c r="BB456" s="375"/>
      <c r="BC456" s="375"/>
      <c r="BD456" s="353">
        <f t="shared" si="21"/>
        <v>0</v>
      </c>
      <c r="BE456" s="432" t="s">
        <v>355</v>
      </c>
      <c r="BF456" s="407" t="s">
        <v>502</v>
      </c>
      <c r="BG456" s="168"/>
      <c r="BH456" s="274"/>
      <c r="BI456" s="168"/>
      <c r="BJ456" s="274"/>
      <c r="BK456" s="168"/>
      <c r="BL456" s="275"/>
      <c r="BM456" s="276"/>
      <c r="BN456" s="275"/>
      <c r="BO456" s="276"/>
      <c r="BP456" s="277"/>
      <c r="BQ456" s="156"/>
      <c r="BR456" s="274"/>
      <c r="BS456" s="270"/>
      <c r="BT456" s="270"/>
      <c r="BU456" s="274"/>
      <c r="BV456" s="274"/>
      <c r="BW456" s="278"/>
      <c r="BX456" s="278"/>
      <c r="BY456" s="278"/>
      <c r="BZ456" s="351"/>
    </row>
    <row r="457" spans="1:78" s="90" customFormat="1" ht="19.5" hidden="1" customHeight="1">
      <c r="A457" s="137"/>
      <c r="B457" s="197">
        <f t="shared" si="19"/>
        <v>447</v>
      </c>
      <c r="C457" s="30" t="s">
        <v>202</v>
      </c>
      <c r="D457" s="30" t="s">
        <v>225</v>
      </c>
      <c r="E457" s="234" t="s">
        <v>1032</v>
      </c>
      <c r="F457" s="235" t="s">
        <v>1231</v>
      </c>
      <c r="G457" s="284" t="str">
        <f>IFERROR(VLOOKUP(E457,Assign!$C$2:$J$142,8,FALSE),)</f>
        <v>문선영</v>
      </c>
      <c r="H457" s="361" t="s">
        <v>4517</v>
      </c>
      <c r="I457" s="363">
        <v>1</v>
      </c>
      <c r="J457" s="364" t="s">
        <v>214</v>
      </c>
      <c r="K457" s="364" t="s">
        <v>303</v>
      </c>
      <c r="L457" s="365" t="s">
        <v>1579</v>
      </c>
      <c r="M457" s="362" t="s">
        <v>2058</v>
      </c>
      <c r="N457" s="421" t="s">
        <v>618</v>
      </c>
      <c r="O457" s="269">
        <v>53.474600000000002</v>
      </c>
      <c r="P457" s="269">
        <v>39.981999999999999</v>
      </c>
      <c r="Q457" s="426"/>
      <c r="R457" s="418" t="s">
        <v>1032</v>
      </c>
      <c r="S457" s="427" t="s">
        <v>613</v>
      </c>
      <c r="T457" s="357">
        <v>1</v>
      </c>
      <c r="U457" s="357" t="s">
        <v>204</v>
      </c>
      <c r="V457" s="367">
        <v>115200000</v>
      </c>
      <c r="W457" s="368">
        <v>115200000</v>
      </c>
      <c r="X457" s="357"/>
      <c r="Y457" s="357"/>
      <c r="Z457" s="400"/>
      <c r="AA457" s="369"/>
      <c r="AB457" s="370"/>
      <c r="AC457" s="404"/>
      <c r="AD457" s="270"/>
      <c r="AE457" s="156"/>
      <c r="AF457" s="156"/>
      <c r="AG457" s="357"/>
      <c r="AH457" s="357"/>
      <c r="AI457" s="357"/>
      <c r="AJ457" s="156"/>
      <c r="AK457" s="156"/>
      <c r="AL457" s="375"/>
      <c r="AM457" s="405"/>
      <c r="AN457" s="273"/>
      <c r="AO457" s="405"/>
      <c r="AP457" s="273"/>
      <c r="AQ457" s="273"/>
      <c r="AR457" s="273"/>
      <c r="AS457" s="273"/>
      <c r="AT457" s="273"/>
      <c r="AU457" s="273"/>
      <c r="AV457" s="322">
        <f t="shared" si="20"/>
        <v>0</v>
      </c>
      <c r="AW457" s="402"/>
      <c r="AX457" s="376"/>
      <c r="AY457" s="373"/>
      <c r="AZ457" s="375"/>
      <c r="BA457" s="375"/>
      <c r="BB457" s="375"/>
      <c r="BC457" s="375"/>
      <c r="BD457" s="353">
        <f t="shared" si="21"/>
        <v>0</v>
      </c>
      <c r="BE457" s="432" t="s">
        <v>355</v>
      </c>
      <c r="BF457" s="407" t="s">
        <v>500</v>
      </c>
      <c r="BG457" s="168"/>
      <c r="BH457" s="274"/>
      <c r="BI457" s="168"/>
      <c r="BJ457" s="274"/>
      <c r="BK457" s="168"/>
      <c r="BL457" s="275"/>
      <c r="BM457" s="276"/>
      <c r="BN457" s="275"/>
      <c r="BO457" s="276"/>
      <c r="BP457" s="277"/>
      <c r="BQ457" s="156"/>
      <c r="BR457" s="274"/>
      <c r="BS457" s="270"/>
      <c r="BT457" s="270"/>
      <c r="BU457" s="274"/>
      <c r="BV457" s="274"/>
      <c r="BW457" s="278"/>
      <c r="BX457" s="278"/>
      <c r="BY457" s="278"/>
      <c r="BZ457" s="351"/>
    </row>
    <row r="458" spans="1:78" s="90" customFormat="1" ht="19.5" hidden="1" customHeight="1">
      <c r="A458" s="137"/>
      <c r="B458" s="197">
        <f t="shared" si="19"/>
        <v>448</v>
      </c>
      <c r="C458" s="30" t="s">
        <v>202</v>
      </c>
      <c r="D458" s="30" t="s">
        <v>225</v>
      </c>
      <c r="E458" s="234" t="s">
        <v>1032</v>
      </c>
      <c r="F458" s="235" t="s">
        <v>1231</v>
      </c>
      <c r="G458" s="284" t="str">
        <f>IFERROR(VLOOKUP(E458,Assign!$C$2:$J$142,8,FALSE),)</f>
        <v>문선영</v>
      </c>
      <c r="H458" s="361" t="s">
        <v>4519</v>
      </c>
      <c r="I458" s="363">
        <v>2</v>
      </c>
      <c r="J458" s="364" t="s">
        <v>214</v>
      </c>
      <c r="K458" s="364" t="s">
        <v>303</v>
      </c>
      <c r="L458" s="365" t="s">
        <v>1579</v>
      </c>
      <c r="M458" s="362" t="s">
        <v>2059</v>
      </c>
      <c r="N458" s="421" t="s">
        <v>618</v>
      </c>
      <c r="O458" s="269">
        <v>53.584699999999998</v>
      </c>
      <c r="P458" s="269">
        <v>39.981999999999999</v>
      </c>
      <c r="Q458" s="426"/>
      <c r="R458" s="418" t="s">
        <v>1032</v>
      </c>
      <c r="S458" s="427" t="s">
        <v>613</v>
      </c>
      <c r="T458" s="357">
        <v>1</v>
      </c>
      <c r="U458" s="357" t="s">
        <v>204</v>
      </c>
      <c r="V458" s="367">
        <v>115200000</v>
      </c>
      <c r="W458" s="368">
        <v>115200000</v>
      </c>
      <c r="X458" s="357"/>
      <c r="Y458" s="357"/>
      <c r="Z458" s="400"/>
      <c r="AA458" s="369"/>
      <c r="AB458" s="370"/>
      <c r="AC458" s="404"/>
      <c r="AD458" s="270"/>
      <c r="AE458" s="156"/>
      <c r="AF458" s="156"/>
      <c r="AG458" s="357"/>
      <c r="AH458" s="357"/>
      <c r="AI458" s="357"/>
      <c r="AJ458" s="156"/>
      <c r="AK458" s="156"/>
      <c r="AL458" s="375"/>
      <c r="AM458" s="405"/>
      <c r="AN458" s="273"/>
      <c r="AO458" s="405"/>
      <c r="AP458" s="273"/>
      <c r="AQ458" s="273"/>
      <c r="AR458" s="273"/>
      <c r="AS458" s="273"/>
      <c r="AT458" s="273"/>
      <c r="AU458" s="273"/>
      <c r="AV458" s="322">
        <f t="shared" si="20"/>
        <v>0</v>
      </c>
      <c r="AW458" s="402"/>
      <c r="AX458" s="376"/>
      <c r="AY458" s="373"/>
      <c r="AZ458" s="375"/>
      <c r="BA458" s="375"/>
      <c r="BB458" s="375"/>
      <c r="BC458" s="375"/>
      <c r="BD458" s="353">
        <f t="shared" si="21"/>
        <v>0</v>
      </c>
      <c r="BE458" s="432" t="s">
        <v>355</v>
      </c>
      <c r="BF458" s="407" t="s">
        <v>500</v>
      </c>
      <c r="BG458" s="168"/>
      <c r="BH458" s="274"/>
      <c r="BI458" s="168"/>
      <c r="BJ458" s="274"/>
      <c r="BK458" s="168"/>
      <c r="BL458" s="275"/>
      <c r="BM458" s="276"/>
      <c r="BN458" s="275"/>
      <c r="BO458" s="276"/>
      <c r="BP458" s="277"/>
      <c r="BQ458" s="156"/>
      <c r="BR458" s="274"/>
      <c r="BS458" s="270"/>
      <c r="BT458" s="270"/>
      <c r="BU458" s="274"/>
      <c r="BV458" s="274"/>
      <c r="BW458" s="278"/>
      <c r="BX458" s="278"/>
      <c r="BY458" s="278"/>
      <c r="BZ458" s="351"/>
    </row>
    <row r="459" spans="1:78" s="90" customFormat="1" ht="19.5" hidden="1" customHeight="1">
      <c r="A459" s="137"/>
      <c r="B459" s="197">
        <f t="shared" ref="B459:B522" si="22">ROW()-10</f>
        <v>449</v>
      </c>
      <c r="C459" s="30" t="s">
        <v>202</v>
      </c>
      <c r="D459" s="30" t="s">
        <v>225</v>
      </c>
      <c r="E459" s="234" t="s">
        <v>1033</v>
      </c>
      <c r="F459" s="235" t="s">
        <v>1229</v>
      </c>
      <c r="G459" s="284" t="str">
        <f>IFERROR(VLOOKUP(E459,Assign!$C$2:$J$142,8,FALSE),)</f>
        <v>문선영</v>
      </c>
      <c r="H459" s="361" t="s">
        <v>4951</v>
      </c>
      <c r="I459" s="363">
        <v>1</v>
      </c>
      <c r="J459" s="364" t="s">
        <v>214</v>
      </c>
      <c r="K459" s="364" t="s">
        <v>303</v>
      </c>
      <c r="L459" s="365" t="s">
        <v>1579</v>
      </c>
      <c r="M459" s="362" t="s">
        <v>2472</v>
      </c>
      <c r="N459" s="421" t="s">
        <v>618</v>
      </c>
      <c r="O459" s="269">
        <v>53.584699999999998</v>
      </c>
      <c r="P459" s="269">
        <v>39.981999999999999</v>
      </c>
      <c r="Q459" s="426"/>
      <c r="R459" s="418" t="s">
        <v>1033</v>
      </c>
      <c r="S459" s="427" t="s">
        <v>613</v>
      </c>
      <c r="T459" s="357">
        <v>1</v>
      </c>
      <c r="U459" s="357" t="s">
        <v>204</v>
      </c>
      <c r="V459" s="367">
        <v>115200000</v>
      </c>
      <c r="W459" s="368">
        <v>115200000</v>
      </c>
      <c r="X459" s="357"/>
      <c r="Y459" s="357"/>
      <c r="Z459" s="400"/>
      <c r="AA459" s="369"/>
      <c r="AB459" s="370"/>
      <c r="AC459" s="404"/>
      <c r="AD459" s="270"/>
      <c r="AE459" s="156"/>
      <c r="AF459" s="156"/>
      <c r="AG459" s="357"/>
      <c r="AH459" s="357"/>
      <c r="AI459" s="357"/>
      <c r="AJ459" s="156"/>
      <c r="AK459" s="156"/>
      <c r="AL459" s="375"/>
      <c r="AM459" s="405"/>
      <c r="AN459" s="273"/>
      <c r="AO459" s="405"/>
      <c r="AP459" s="273"/>
      <c r="AQ459" s="273"/>
      <c r="AR459" s="273"/>
      <c r="AS459" s="273"/>
      <c r="AT459" s="273"/>
      <c r="AU459" s="273"/>
      <c r="AV459" s="322">
        <f t="shared" ref="AV459:AV522" si="23">SUM(AP459:AU459)</f>
        <v>0</v>
      </c>
      <c r="AW459" s="402"/>
      <c r="AX459" s="376"/>
      <c r="AY459" s="373"/>
      <c r="AZ459" s="375"/>
      <c r="BA459" s="375"/>
      <c r="BB459" s="375"/>
      <c r="BC459" s="375"/>
      <c r="BD459" s="353">
        <f t="shared" ref="BD459:BD522" si="24">SUM(AZ459:BC459)</f>
        <v>0</v>
      </c>
      <c r="BE459" s="432" t="s">
        <v>355</v>
      </c>
      <c r="BF459" s="407" t="s">
        <v>500</v>
      </c>
      <c r="BG459" s="168"/>
      <c r="BH459" s="274"/>
      <c r="BI459" s="168"/>
      <c r="BJ459" s="274"/>
      <c r="BK459" s="168"/>
      <c r="BL459" s="275"/>
      <c r="BM459" s="276"/>
      <c r="BN459" s="275"/>
      <c r="BO459" s="276"/>
      <c r="BP459" s="277"/>
      <c r="BQ459" s="156"/>
      <c r="BR459" s="274"/>
      <c r="BS459" s="270"/>
      <c r="BT459" s="270"/>
      <c r="BU459" s="274"/>
      <c r="BV459" s="274"/>
      <c r="BW459" s="278"/>
      <c r="BX459" s="278"/>
      <c r="BY459" s="278"/>
      <c r="BZ459" s="351"/>
    </row>
    <row r="460" spans="1:78" s="90" customFormat="1" ht="19.5" hidden="1" customHeight="1">
      <c r="A460" s="137"/>
      <c r="B460" s="197">
        <f t="shared" si="22"/>
        <v>450</v>
      </c>
      <c r="C460" s="30" t="s">
        <v>202</v>
      </c>
      <c r="D460" s="30" t="s">
        <v>225</v>
      </c>
      <c r="E460" s="234" t="s">
        <v>1033</v>
      </c>
      <c r="F460" s="235" t="s">
        <v>1229</v>
      </c>
      <c r="G460" s="284" t="str">
        <f>IFERROR(VLOOKUP(E460,Assign!$C$2:$J$142,8,FALSE),)</f>
        <v>문선영</v>
      </c>
      <c r="H460" s="361" t="s">
        <v>4953</v>
      </c>
      <c r="I460" s="363">
        <v>2</v>
      </c>
      <c r="J460" s="364" t="s">
        <v>214</v>
      </c>
      <c r="K460" s="364" t="s">
        <v>303</v>
      </c>
      <c r="L460" s="365" t="s">
        <v>1579</v>
      </c>
      <c r="M460" s="362" t="s">
        <v>2473</v>
      </c>
      <c r="N460" s="421" t="s">
        <v>618</v>
      </c>
      <c r="O460" s="269">
        <v>53.584699999999998</v>
      </c>
      <c r="P460" s="269">
        <v>39.981999999999999</v>
      </c>
      <c r="Q460" s="426"/>
      <c r="R460" s="418" t="s">
        <v>1033</v>
      </c>
      <c r="S460" s="427" t="s">
        <v>613</v>
      </c>
      <c r="T460" s="357">
        <v>1</v>
      </c>
      <c r="U460" s="357" t="s">
        <v>204</v>
      </c>
      <c r="V460" s="367">
        <v>115200000</v>
      </c>
      <c r="W460" s="368">
        <v>115200000</v>
      </c>
      <c r="X460" s="357"/>
      <c r="Y460" s="357"/>
      <c r="Z460" s="400"/>
      <c r="AA460" s="369"/>
      <c r="AB460" s="370"/>
      <c r="AC460" s="404"/>
      <c r="AD460" s="270"/>
      <c r="AE460" s="156"/>
      <c r="AF460" s="156"/>
      <c r="AG460" s="357"/>
      <c r="AH460" s="357"/>
      <c r="AI460" s="357"/>
      <c r="AJ460" s="156"/>
      <c r="AK460" s="156"/>
      <c r="AL460" s="375"/>
      <c r="AM460" s="405"/>
      <c r="AN460" s="273"/>
      <c r="AO460" s="405"/>
      <c r="AP460" s="273"/>
      <c r="AQ460" s="273"/>
      <c r="AR460" s="273"/>
      <c r="AS460" s="273"/>
      <c r="AT460" s="273"/>
      <c r="AU460" s="273"/>
      <c r="AV460" s="322">
        <f t="shared" si="23"/>
        <v>0</v>
      </c>
      <c r="AW460" s="402"/>
      <c r="AX460" s="376"/>
      <c r="AY460" s="373"/>
      <c r="AZ460" s="375"/>
      <c r="BA460" s="375"/>
      <c r="BB460" s="375"/>
      <c r="BC460" s="375"/>
      <c r="BD460" s="353">
        <f t="shared" si="24"/>
        <v>0</v>
      </c>
      <c r="BE460" s="432" t="s">
        <v>355</v>
      </c>
      <c r="BF460" s="407" t="s">
        <v>500</v>
      </c>
      <c r="BG460" s="168"/>
      <c r="BH460" s="274"/>
      <c r="BI460" s="168"/>
      <c r="BJ460" s="274"/>
      <c r="BK460" s="168"/>
      <c r="BL460" s="275"/>
      <c r="BM460" s="276"/>
      <c r="BN460" s="275"/>
      <c r="BO460" s="276"/>
      <c r="BP460" s="277"/>
      <c r="BQ460" s="156"/>
      <c r="BR460" s="274"/>
      <c r="BS460" s="270"/>
      <c r="BT460" s="270"/>
      <c r="BU460" s="274"/>
      <c r="BV460" s="274"/>
      <c r="BW460" s="278"/>
      <c r="BX460" s="278"/>
      <c r="BY460" s="278"/>
      <c r="BZ460" s="351"/>
    </row>
    <row r="461" spans="1:78" s="90" customFormat="1" ht="19.5" hidden="1" customHeight="1">
      <c r="A461" s="137"/>
      <c r="B461" s="197">
        <f t="shared" si="22"/>
        <v>451</v>
      </c>
      <c r="C461" s="30" t="s">
        <v>202</v>
      </c>
      <c r="D461" s="30" t="s">
        <v>225</v>
      </c>
      <c r="E461" s="234" t="s">
        <v>1034</v>
      </c>
      <c r="F461" s="235" t="s">
        <v>1226</v>
      </c>
      <c r="G461" s="284">
        <f>IFERROR(VLOOKUP(E461,Assign!$C$2:$J$142,8,FALSE),)</f>
        <v>0</v>
      </c>
      <c r="H461" s="361" t="s">
        <v>4521</v>
      </c>
      <c r="I461" s="363">
        <v>1</v>
      </c>
      <c r="J461" s="364" t="s">
        <v>209</v>
      </c>
      <c r="K461" s="364" t="s">
        <v>231</v>
      </c>
      <c r="L461" s="365" t="s">
        <v>1602</v>
      </c>
      <c r="M461" s="362" t="s">
        <v>2060</v>
      </c>
      <c r="N461" s="421" t="s">
        <v>3076</v>
      </c>
      <c r="O461" s="269">
        <v>34.049999999999997</v>
      </c>
      <c r="P461" s="269">
        <v>59.14</v>
      </c>
      <c r="Q461" s="426"/>
      <c r="R461" s="418" t="s">
        <v>1034</v>
      </c>
      <c r="S461" s="427" t="s">
        <v>613</v>
      </c>
      <c r="T461" s="357">
        <v>1</v>
      </c>
      <c r="U461" s="357" t="s">
        <v>204</v>
      </c>
      <c r="V461" s="367">
        <v>217800000</v>
      </c>
      <c r="W461" s="368">
        <v>217800000</v>
      </c>
      <c r="X461" s="357"/>
      <c r="Y461" s="357"/>
      <c r="Z461" s="400"/>
      <c r="AA461" s="369"/>
      <c r="AB461" s="370"/>
      <c r="AC461" s="404"/>
      <c r="AD461" s="270"/>
      <c r="AE461" s="156"/>
      <c r="AF461" s="156"/>
      <c r="AG461" s="357"/>
      <c r="AH461" s="357"/>
      <c r="AI461" s="357"/>
      <c r="AJ461" s="156"/>
      <c r="AK461" s="156"/>
      <c r="AL461" s="375"/>
      <c r="AM461" s="405"/>
      <c r="AN461" s="273"/>
      <c r="AO461" s="405"/>
      <c r="AP461" s="273"/>
      <c r="AQ461" s="273"/>
      <c r="AR461" s="273"/>
      <c r="AS461" s="273"/>
      <c r="AT461" s="273"/>
      <c r="AU461" s="273"/>
      <c r="AV461" s="322">
        <f t="shared" si="23"/>
        <v>0</v>
      </c>
      <c r="AW461" s="402"/>
      <c r="AX461" s="376"/>
      <c r="AY461" s="373"/>
      <c r="AZ461" s="375"/>
      <c r="BA461" s="375"/>
      <c r="BB461" s="375"/>
      <c r="BC461" s="375"/>
      <c r="BD461" s="353">
        <f t="shared" si="24"/>
        <v>0</v>
      </c>
      <c r="BE461" s="432" t="s">
        <v>335</v>
      </c>
      <c r="BF461" s="407" t="s">
        <v>511</v>
      </c>
      <c r="BG461" s="168" t="s">
        <v>3307</v>
      </c>
      <c r="BH461" s="274">
        <v>45468</v>
      </c>
      <c r="BI461" s="168" t="s">
        <v>3227</v>
      </c>
      <c r="BJ461" s="274">
        <v>45546</v>
      </c>
      <c r="BK461" s="168">
        <v>59325111</v>
      </c>
      <c r="BL461" s="275" t="s">
        <v>3308</v>
      </c>
      <c r="BM461" s="276">
        <v>45601</v>
      </c>
      <c r="BN461" s="275" t="s">
        <v>3352</v>
      </c>
      <c r="BO461" s="276"/>
      <c r="BP461" s="277">
        <v>120000000</v>
      </c>
      <c r="BQ461" s="156"/>
      <c r="BR461" s="274"/>
      <c r="BS461" s="270"/>
      <c r="BT461" s="270"/>
      <c r="BU461" s="274"/>
      <c r="BV461" s="274"/>
      <c r="BW461" s="278"/>
      <c r="BX461" s="278"/>
      <c r="BY461" s="278"/>
      <c r="BZ461" s="351"/>
    </row>
    <row r="462" spans="1:78" s="90" customFormat="1" ht="19.5" hidden="1" customHeight="1">
      <c r="A462" s="137"/>
      <c r="B462" s="197">
        <f t="shared" si="22"/>
        <v>452</v>
      </c>
      <c r="C462" s="30" t="s">
        <v>202</v>
      </c>
      <c r="D462" s="30" t="s">
        <v>225</v>
      </c>
      <c r="E462" s="234" t="s">
        <v>1035</v>
      </c>
      <c r="F462" s="235" t="s">
        <v>1232</v>
      </c>
      <c r="G462" s="284" t="str">
        <f>IFERROR(VLOOKUP(E462,Assign!$C$2:$J$142,8,FALSE),)</f>
        <v>문선영</v>
      </c>
      <c r="H462" s="361" t="s">
        <v>5168</v>
      </c>
      <c r="I462" s="363">
        <v>1</v>
      </c>
      <c r="J462" s="364" t="s">
        <v>214</v>
      </c>
      <c r="K462" s="364" t="s">
        <v>303</v>
      </c>
      <c r="L462" s="365" t="s">
        <v>1579</v>
      </c>
      <c r="M462" s="362" t="s">
        <v>2679</v>
      </c>
      <c r="N462" s="421" t="s">
        <v>618</v>
      </c>
      <c r="O462" s="269">
        <v>53.584699999999998</v>
      </c>
      <c r="P462" s="269">
        <v>39.981999999999999</v>
      </c>
      <c r="Q462" s="426"/>
      <c r="R462" s="418" t="s">
        <v>1035</v>
      </c>
      <c r="S462" s="427" t="s">
        <v>613</v>
      </c>
      <c r="T462" s="357">
        <v>1</v>
      </c>
      <c r="U462" s="357" t="s">
        <v>204</v>
      </c>
      <c r="V462" s="367">
        <v>115200000</v>
      </c>
      <c r="W462" s="368">
        <v>115200000</v>
      </c>
      <c r="X462" s="357"/>
      <c r="Y462" s="357"/>
      <c r="Z462" s="400"/>
      <c r="AA462" s="369"/>
      <c r="AB462" s="370"/>
      <c r="AC462" s="404"/>
      <c r="AD462" s="270"/>
      <c r="AE462" s="156"/>
      <c r="AF462" s="156"/>
      <c r="AG462" s="357"/>
      <c r="AH462" s="357"/>
      <c r="AI462" s="357"/>
      <c r="AJ462" s="156"/>
      <c r="AK462" s="156"/>
      <c r="AL462" s="375"/>
      <c r="AM462" s="405"/>
      <c r="AN462" s="273"/>
      <c r="AO462" s="405"/>
      <c r="AP462" s="273"/>
      <c r="AQ462" s="273"/>
      <c r="AR462" s="273"/>
      <c r="AS462" s="273"/>
      <c r="AT462" s="273"/>
      <c r="AU462" s="273"/>
      <c r="AV462" s="322">
        <f t="shared" si="23"/>
        <v>0</v>
      </c>
      <c r="AW462" s="402"/>
      <c r="AX462" s="376"/>
      <c r="AY462" s="373"/>
      <c r="AZ462" s="375"/>
      <c r="BA462" s="375"/>
      <c r="BB462" s="375"/>
      <c r="BC462" s="375"/>
      <c r="BD462" s="353">
        <f t="shared" si="24"/>
        <v>0</v>
      </c>
      <c r="BE462" s="432" t="s">
        <v>355</v>
      </c>
      <c r="BF462" s="407" t="s">
        <v>500</v>
      </c>
      <c r="BG462" s="168"/>
      <c r="BH462" s="274"/>
      <c r="BI462" s="168"/>
      <c r="BJ462" s="274"/>
      <c r="BK462" s="168"/>
      <c r="BL462" s="275"/>
      <c r="BM462" s="276"/>
      <c r="BN462" s="275"/>
      <c r="BO462" s="276"/>
      <c r="BP462" s="277"/>
      <c r="BQ462" s="156"/>
      <c r="BR462" s="274"/>
      <c r="BS462" s="270"/>
      <c r="BT462" s="270"/>
      <c r="BU462" s="274"/>
      <c r="BV462" s="274"/>
      <c r="BW462" s="278"/>
      <c r="BX462" s="278"/>
      <c r="BY462" s="278"/>
      <c r="BZ462" s="351"/>
    </row>
    <row r="463" spans="1:78" s="90" customFormat="1" ht="19.5" hidden="1" customHeight="1">
      <c r="A463" s="137"/>
      <c r="B463" s="197">
        <f t="shared" si="22"/>
        <v>453</v>
      </c>
      <c r="C463" s="30" t="s">
        <v>202</v>
      </c>
      <c r="D463" s="30" t="s">
        <v>225</v>
      </c>
      <c r="E463" s="234" t="s">
        <v>1035</v>
      </c>
      <c r="F463" s="235" t="s">
        <v>1232</v>
      </c>
      <c r="G463" s="284" t="str">
        <f>IFERROR(VLOOKUP(E463,Assign!$C$2:$J$142,8,FALSE),)</f>
        <v>문선영</v>
      </c>
      <c r="H463" s="361" t="s">
        <v>5170</v>
      </c>
      <c r="I463" s="363">
        <v>2</v>
      </c>
      <c r="J463" s="364" t="s">
        <v>214</v>
      </c>
      <c r="K463" s="364" t="s">
        <v>303</v>
      </c>
      <c r="L463" s="365" t="s">
        <v>1579</v>
      </c>
      <c r="M463" s="362" t="s">
        <v>2680</v>
      </c>
      <c r="N463" s="421" t="s">
        <v>618</v>
      </c>
      <c r="O463" s="269">
        <v>53.474600000000002</v>
      </c>
      <c r="P463" s="269">
        <v>39.981999999999999</v>
      </c>
      <c r="Q463" s="426"/>
      <c r="R463" s="418" t="s">
        <v>1035</v>
      </c>
      <c r="S463" s="427" t="s">
        <v>613</v>
      </c>
      <c r="T463" s="357">
        <v>1</v>
      </c>
      <c r="U463" s="357" t="s">
        <v>204</v>
      </c>
      <c r="V463" s="367">
        <v>115200000</v>
      </c>
      <c r="W463" s="368">
        <v>115200000</v>
      </c>
      <c r="X463" s="357"/>
      <c r="Y463" s="357"/>
      <c r="Z463" s="400"/>
      <c r="AA463" s="369"/>
      <c r="AB463" s="370"/>
      <c r="AC463" s="404"/>
      <c r="AD463" s="270"/>
      <c r="AE463" s="156"/>
      <c r="AF463" s="156"/>
      <c r="AG463" s="357"/>
      <c r="AH463" s="357"/>
      <c r="AI463" s="357"/>
      <c r="AJ463" s="156"/>
      <c r="AK463" s="156"/>
      <c r="AL463" s="375"/>
      <c r="AM463" s="405"/>
      <c r="AN463" s="273"/>
      <c r="AO463" s="405"/>
      <c r="AP463" s="273"/>
      <c r="AQ463" s="273"/>
      <c r="AR463" s="273"/>
      <c r="AS463" s="273"/>
      <c r="AT463" s="273"/>
      <c r="AU463" s="273"/>
      <c r="AV463" s="322">
        <f t="shared" si="23"/>
        <v>0</v>
      </c>
      <c r="AW463" s="402"/>
      <c r="AX463" s="376"/>
      <c r="AY463" s="373"/>
      <c r="AZ463" s="375"/>
      <c r="BA463" s="375"/>
      <c r="BB463" s="375"/>
      <c r="BC463" s="375"/>
      <c r="BD463" s="353">
        <f t="shared" si="24"/>
        <v>0</v>
      </c>
      <c r="BE463" s="432" t="s">
        <v>355</v>
      </c>
      <c r="BF463" s="407" t="s">
        <v>500</v>
      </c>
      <c r="BG463" s="168"/>
      <c r="BH463" s="274"/>
      <c r="BI463" s="168"/>
      <c r="BJ463" s="274"/>
      <c r="BK463" s="168"/>
      <c r="BL463" s="275"/>
      <c r="BM463" s="276"/>
      <c r="BN463" s="275"/>
      <c r="BO463" s="276"/>
      <c r="BP463" s="277"/>
      <c r="BQ463" s="156"/>
      <c r="BR463" s="274"/>
      <c r="BS463" s="270"/>
      <c r="BT463" s="270"/>
      <c r="BU463" s="274"/>
      <c r="BV463" s="274"/>
      <c r="BW463" s="278"/>
      <c r="BX463" s="278"/>
      <c r="BY463" s="278"/>
      <c r="BZ463" s="351"/>
    </row>
    <row r="464" spans="1:78" s="90" customFormat="1" ht="19.5" hidden="1" customHeight="1">
      <c r="A464" s="137"/>
      <c r="B464" s="197">
        <f t="shared" si="22"/>
        <v>454</v>
      </c>
      <c r="C464" s="30" t="s">
        <v>202</v>
      </c>
      <c r="D464" s="30" t="s">
        <v>225</v>
      </c>
      <c r="E464" s="234" t="s">
        <v>1036</v>
      </c>
      <c r="F464" s="235" t="s">
        <v>1244</v>
      </c>
      <c r="G464" s="284" t="str">
        <f>IFERROR(VLOOKUP(E464,Assign!$C$2:$J$142,8,FALSE),)</f>
        <v>문선영</v>
      </c>
      <c r="H464" s="361" t="s">
        <v>4005</v>
      </c>
      <c r="I464" s="363">
        <v>1</v>
      </c>
      <c r="J464" s="364" t="s">
        <v>214</v>
      </c>
      <c r="K464" s="364" t="s">
        <v>303</v>
      </c>
      <c r="L464" s="365" t="s">
        <v>1579</v>
      </c>
      <c r="M464" s="362" t="s">
        <v>1580</v>
      </c>
      <c r="N464" s="421" t="s">
        <v>618</v>
      </c>
      <c r="O464" s="269">
        <v>53.584699999999998</v>
      </c>
      <c r="P464" s="269">
        <v>39.981999999999999</v>
      </c>
      <c r="Q464" s="426"/>
      <c r="R464" s="418" t="s">
        <v>1036</v>
      </c>
      <c r="S464" s="427" t="s">
        <v>613</v>
      </c>
      <c r="T464" s="357">
        <v>1</v>
      </c>
      <c r="U464" s="357" t="s">
        <v>204</v>
      </c>
      <c r="V464" s="367">
        <v>115200000</v>
      </c>
      <c r="W464" s="368">
        <v>115200000</v>
      </c>
      <c r="X464" s="357"/>
      <c r="Y464" s="357"/>
      <c r="Z464" s="400"/>
      <c r="AA464" s="369"/>
      <c r="AB464" s="370"/>
      <c r="AC464" s="404"/>
      <c r="AD464" s="270"/>
      <c r="AE464" s="156"/>
      <c r="AF464" s="156"/>
      <c r="AG464" s="357"/>
      <c r="AH464" s="357"/>
      <c r="AI464" s="357"/>
      <c r="AJ464" s="156"/>
      <c r="AK464" s="156"/>
      <c r="AL464" s="375"/>
      <c r="AM464" s="405"/>
      <c r="AN464" s="273"/>
      <c r="AO464" s="405"/>
      <c r="AP464" s="273"/>
      <c r="AQ464" s="273"/>
      <c r="AR464" s="273"/>
      <c r="AS464" s="273"/>
      <c r="AT464" s="273"/>
      <c r="AU464" s="273"/>
      <c r="AV464" s="322">
        <f t="shared" si="23"/>
        <v>0</v>
      </c>
      <c r="AW464" s="402"/>
      <c r="AX464" s="376"/>
      <c r="AY464" s="373"/>
      <c r="AZ464" s="375"/>
      <c r="BA464" s="375"/>
      <c r="BB464" s="375"/>
      <c r="BC464" s="375"/>
      <c r="BD464" s="353">
        <f t="shared" si="24"/>
        <v>0</v>
      </c>
      <c r="BE464" s="432" t="s">
        <v>355</v>
      </c>
      <c r="BF464" s="407" t="s">
        <v>500</v>
      </c>
      <c r="BG464" s="168"/>
      <c r="BH464" s="274"/>
      <c r="BI464" s="168"/>
      <c r="BJ464" s="274"/>
      <c r="BK464" s="168"/>
      <c r="BL464" s="275"/>
      <c r="BM464" s="276"/>
      <c r="BN464" s="275"/>
      <c r="BO464" s="276"/>
      <c r="BP464" s="277"/>
      <c r="BQ464" s="156"/>
      <c r="BR464" s="274"/>
      <c r="BS464" s="270"/>
      <c r="BT464" s="270"/>
      <c r="BU464" s="274"/>
      <c r="BV464" s="274"/>
      <c r="BW464" s="278"/>
      <c r="BX464" s="278"/>
      <c r="BY464" s="278"/>
      <c r="BZ464" s="351"/>
    </row>
    <row r="465" spans="1:78" s="90" customFormat="1" ht="19.5" hidden="1" customHeight="1">
      <c r="A465" s="137"/>
      <c r="B465" s="197">
        <f t="shared" si="22"/>
        <v>455</v>
      </c>
      <c r="C465" s="30" t="s">
        <v>202</v>
      </c>
      <c r="D465" s="30" t="s">
        <v>225</v>
      </c>
      <c r="E465" s="234" t="s">
        <v>1036</v>
      </c>
      <c r="F465" s="235" t="s">
        <v>1244</v>
      </c>
      <c r="G465" s="284" t="str">
        <f>IFERROR(VLOOKUP(E465,Assign!$C$2:$J$142,8,FALSE),)</f>
        <v>문선영</v>
      </c>
      <c r="H465" s="361" t="s">
        <v>4007</v>
      </c>
      <c r="I465" s="363">
        <v>2</v>
      </c>
      <c r="J465" s="364" t="s">
        <v>214</v>
      </c>
      <c r="K465" s="364" t="s">
        <v>303</v>
      </c>
      <c r="L465" s="365" t="s">
        <v>1579</v>
      </c>
      <c r="M465" s="362" t="s">
        <v>1581</v>
      </c>
      <c r="N465" s="421" t="s">
        <v>618</v>
      </c>
      <c r="O465" s="269">
        <v>53.474600000000002</v>
      </c>
      <c r="P465" s="269">
        <v>39.981999999999999</v>
      </c>
      <c r="Q465" s="426"/>
      <c r="R465" s="418" t="s">
        <v>1036</v>
      </c>
      <c r="S465" s="427" t="s">
        <v>613</v>
      </c>
      <c r="T465" s="357">
        <v>1</v>
      </c>
      <c r="U465" s="357" t="s">
        <v>204</v>
      </c>
      <c r="V465" s="367">
        <v>115200000</v>
      </c>
      <c r="W465" s="368">
        <v>115200000</v>
      </c>
      <c r="X465" s="357"/>
      <c r="Y465" s="357"/>
      <c r="Z465" s="400"/>
      <c r="AA465" s="369"/>
      <c r="AB465" s="370"/>
      <c r="AC465" s="404"/>
      <c r="AD465" s="270"/>
      <c r="AE465" s="156"/>
      <c r="AF465" s="156"/>
      <c r="AG465" s="357"/>
      <c r="AH465" s="357"/>
      <c r="AI465" s="357"/>
      <c r="AJ465" s="156"/>
      <c r="AK465" s="156"/>
      <c r="AL465" s="375"/>
      <c r="AM465" s="405"/>
      <c r="AN465" s="273"/>
      <c r="AO465" s="405"/>
      <c r="AP465" s="273"/>
      <c r="AQ465" s="273"/>
      <c r="AR465" s="273"/>
      <c r="AS465" s="273"/>
      <c r="AT465" s="273"/>
      <c r="AU465" s="273"/>
      <c r="AV465" s="322">
        <f t="shared" si="23"/>
        <v>0</v>
      </c>
      <c r="AW465" s="402"/>
      <c r="AX465" s="376"/>
      <c r="AY465" s="373"/>
      <c r="AZ465" s="375"/>
      <c r="BA465" s="375"/>
      <c r="BB465" s="375"/>
      <c r="BC465" s="375"/>
      <c r="BD465" s="353">
        <f t="shared" si="24"/>
        <v>0</v>
      </c>
      <c r="BE465" s="432" t="s">
        <v>355</v>
      </c>
      <c r="BF465" s="407" t="s">
        <v>500</v>
      </c>
      <c r="BG465" s="168"/>
      <c r="BH465" s="274"/>
      <c r="BI465" s="168"/>
      <c r="BJ465" s="274"/>
      <c r="BK465" s="168"/>
      <c r="BL465" s="275"/>
      <c r="BM465" s="276"/>
      <c r="BN465" s="275"/>
      <c r="BO465" s="276"/>
      <c r="BP465" s="277"/>
      <c r="BQ465" s="156"/>
      <c r="BR465" s="274"/>
      <c r="BS465" s="270"/>
      <c r="BT465" s="270"/>
      <c r="BU465" s="274"/>
      <c r="BV465" s="274"/>
      <c r="BW465" s="278"/>
      <c r="BX465" s="278"/>
      <c r="BY465" s="278"/>
      <c r="BZ465" s="351"/>
    </row>
    <row r="466" spans="1:78" s="90" customFormat="1" ht="19.5" hidden="1" customHeight="1">
      <c r="A466" s="137"/>
      <c r="B466" s="197">
        <f t="shared" si="22"/>
        <v>456</v>
      </c>
      <c r="C466" s="30" t="s">
        <v>202</v>
      </c>
      <c r="D466" s="30" t="s">
        <v>225</v>
      </c>
      <c r="E466" s="234" t="s">
        <v>1037</v>
      </c>
      <c r="F466" s="235" t="s">
        <v>1229</v>
      </c>
      <c r="G466" s="284">
        <f>IFERROR(VLOOKUP(E466,Assign!$C$2:$J$142,8,FALSE),)</f>
        <v>0</v>
      </c>
      <c r="H466" s="361" t="s">
        <v>4086</v>
      </c>
      <c r="I466" s="363">
        <v>1</v>
      </c>
      <c r="J466" s="364" t="s">
        <v>208</v>
      </c>
      <c r="K466" s="364" t="s">
        <v>259</v>
      </c>
      <c r="L466" s="365" t="s">
        <v>566</v>
      </c>
      <c r="M466" s="362" t="s">
        <v>1662</v>
      </c>
      <c r="N466" s="421" t="s">
        <v>207</v>
      </c>
      <c r="O466" s="269">
        <v>49.478099999999998</v>
      </c>
      <c r="P466" s="269">
        <v>84.68</v>
      </c>
      <c r="Q466" s="426"/>
      <c r="R466" s="418" t="s">
        <v>1037</v>
      </c>
      <c r="S466" s="427" t="s">
        <v>613</v>
      </c>
      <c r="T466" s="357">
        <v>1</v>
      </c>
      <c r="U466" s="357" t="s">
        <v>204</v>
      </c>
      <c r="V466" s="367">
        <v>252000000</v>
      </c>
      <c r="W466" s="368">
        <v>252000000</v>
      </c>
      <c r="X466" s="357"/>
      <c r="Y466" s="357"/>
      <c r="Z466" s="400"/>
      <c r="AA466" s="369"/>
      <c r="AB466" s="370"/>
      <c r="AC466" s="404"/>
      <c r="AD466" s="270"/>
      <c r="AE466" s="156"/>
      <c r="AF466" s="156"/>
      <c r="AG466" s="357"/>
      <c r="AH466" s="357"/>
      <c r="AI466" s="357"/>
      <c r="AJ466" s="156"/>
      <c r="AK466" s="156"/>
      <c r="AL466" s="375"/>
      <c r="AM466" s="405"/>
      <c r="AN466" s="273"/>
      <c r="AO466" s="405"/>
      <c r="AP466" s="273"/>
      <c r="AQ466" s="273"/>
      <c r="AR466" s="273"/>
      <c r="AS466" s="273"/>
      <c r="AT466" s="273"/>
      <c r="AU466" s="273"/>
      <c r="AV466" s="322">
        <f t="shared" si="23"/>
        <v>0</v>
      </c>
      <c r="AW466" s="402" t="s">
        <v>3387</v>
      </c>
      <c r="AX466" s="376">
        <v>45765</v>
      </c>
      <c r="AY466" s="373" t="s">
        <v>3388</v>
      </c>
      <c r="AZ466" s="375"/>
      <c r="BA466" s="375">
        <v>395000000</v>
      </c>
      <c r="BB466" s="375"/>
      <c r="BC466" s="375"/>
      <c r="BD466" s="353">
        <f t="shared" si="24"/>
        <v>395000000</v>
      </c>
      <c r="BE466" s="432" t="s">
        <v>355</v>
      </c>
      <c r="BF466" s="407" t="s">
        <v>499</v>
      </c>
      <c r="BG466" s="168"/>
      <c r="BH466" s="274"/>
      <c r="BI466" s="168"/>
      <c r="BJ466" s="274"/>
      <c r="BK466" s="168"/>
      <c r="BL466" s="275"/>
      <c r="BM466" s="276"/>
      <c r="BN466" s="275"/>
      <c r="BO466" s="276"/>
      <c r="BP466" s="277"/>
      <c r="BQ466" s="156"/>
      <c r="BR466" s="274"/>
      <c r="BS466" s="270"/>
      <c r="BT466" s="270"/>
      <c r="BU466" s="274"/>
      <c r="BV466" s="274"/>
      <c r="BW466" s="278"/>
      <c r="BX466" s="278"/>
      <c r="BY466" s="278"/>
      <c r="BZ466" s="351"/>
    </row>
    <row r="467" spans="1:78" s="90" customFormat="1" ht="19.5" hidden="1" customHeight="1">
      <c r="A467" s="137"/>
      <c r="B467" s="197">
        <f t="shared" si="22"/>
        <v>457</v>
      </c>
      <c r="C467" s="30" t="s">
        <v>202</v>
      </c>
      <c r="D467" s="30" t="s">
        <v>225</v>
      </c>
      <c r="E467" s="234" t="s">
        <v>1038</v>
      </c>
      <c r="F467" s="235" t="s">
        <v>1225</v>
      </c>
      <c r="G467" s="284">
        <f>IFERROR(VLOOKUP(E467,Assign!$C$2:$J$142,8,FALSE),)</f>
        <v>0</v>
      </c>
      <c r="H467" s="361" t="s">
        <v>3898</v>
      </c>
      <c r="I467" s="363">
        <v>1</v>
      </c>
      <c r="J467" s="364" t="s">
        <v>224</v>
      </c>
      <c r="K467" s="364" t="s">
        <v>1458</v>
      </c>
      <c r="L467" s="365" t="s">
        <v>1465</v>
      </c>
      <c r="M467" s="362" t="s">
        <v>1466</v>
      </c>
      <c r="N467" s="421" t="s">
        <v>606</v>
      </c>
      <c r="O467" s="269">
        <v>48.69</v>
      </c>
      <c r="P467" s="269">
        <v>83.915000000000006</v>
      </c>
      <c r="Q467" s="426"/>
      <c r="R467" s="418" t="s">
        <v>1038</v>
      </c>
      <c r="S467" s="427" t="s">
        <v>613</v>
      </c>
      <c r="T467" s="357">
        <v>1</v>
      </c>
      <c r="U467" s="357" t="s">
        <v>204</v>
      </c>
      <c r="V467" s="367">
        <v>209000000</v>
      </c>
      <c r="W467" s="368">
        <v>209000000</v>
      </c>
      <c r="X467" s="357"/>
      <c r="Y467" s="357"/>
      <c r="Z467" s="400"/>
      <c r="AA467" s="369"/>
      <c r="AB467" s="370"/>
      <c r="AC467" s="404"/>
      <c r="AD467" s="270"/>
      <c r="AE467" s="156"/>
      <c r="AF467" s="156"/>
      <c r="AG467" s="357"/>
      <c r="AH467" s="357"/>
      <c r="AI467" s="357"/>
      <c r="AJ467" s="156"/>
      <c r="AK467" s="156"/>
      <c r="AL467" s="375"/>
      <c r="AM467" s="405"/>
      <c r="AN467" s="273"/>
      <c r="AO467" s="405"/>
      <c r="AP467" s="273"/>
      <c r="AQ467" s="273"/>
      <c r="AR467" s="273"/>
      <c r="AS467" s="273"/>
      <c r="AT467" s="273"/>
      <c r="AU467" s="273"/>
      <c r="AV467" s="322">
        <f t="shared" si="23"/>
        <v>0</v>
      </c>
      <c r="AW467" s="402"/>
      <c r="AX467" s="376"/>
      <c r="AY467" s="373"/>
      <c r="AZ467" s="375"/>
      <c r="BA467" s="375"/>
      <c r="BB467" s="375"/>
      <c r="BC467" s="375"/>
      <c r="BD467" s="353">
        <f t="shared" si="24"/>
        <v>0</v>
      </c>
      <c r="BE467" s="432" t="s">
        <v>355</v>
      </c>
      <c r="BF467" s="407" t="s">
        <v>512</v>
      </c>
      <c r="BG467" s="168"/>
      <c r="BH467" s="274"/>
      <c r="BI467" s="168"/>
      <c r="BJ467" s="274"/>
      <c r="BK467" s="168"/>
      <c r="BL467" s="275"/>
      <c r="BM467" s="276"/>
      <c r="BN467" s="275"/>
      <c r="BO467" s="276"/>
      <c r="BP467" s="277"/>
      <c r="BQ467" s="156"/>
      <c r="BR467" s="274"/>
      <c r="BS467" s="270"/>
      <c r="BT467" s="270"/>
      <c r="BU467" s="274"/>
      <c r="BV467" s="274"/>
      <c r="BW467" s="278"/>
      <c r="BX467" s="278"/>
      <c r="BY467" s="278"/>
      <c r="BZ467" s="351"/>
    </row>
    <row r="468" spans="1:78" s="90" customFormat="1" ht="19.5" hidden="1" customHeight="1">
      <c r="A468" s="137"/>
      <c r="B468" s="197">
        <f t="shared" si="22"/>
        <v>458</v>
      </c>
      <c r="C468" s="30" t="s">
        <v>202</v>
      </c>
      <c r="D468" s="30" t="s">
        <v>225</v>
      </c>
      <c r="E468" s="234" t="s">
        <v>1039</v>
      </c>
      <c r="F468" s="235" t="s">
        <v>1281</v>
      </c>
      <c r="G468" s="284">
        <f>IFERROR(VLOOKUP(E468,Assign!$C$2:$J$142,8,FALSE),)</f>
        <v>0</v>
      </c>
      <c r="H468" s="361" t="s">
        <v>3978</v>
      </c>
      <c r="I468" s="363">
        <v>1</v>
      </c>
      <c r="J468" s="364" t="s">
        <v>208</v>
      </c>
      <c r="K468" s="364" t="s">
        <v>261</v>
      </c>
      <c r="L468" s="365" t="s">
        <v>1555</v>
      </c>
      <c r="M468" s="362" t="s">
        <v>1556</v>
      </c>
      <c r="N468" s="421" t="s">
        <v>207</v>
      </c>
      <c r="O468" s="269">
        <v>58.691499999999998</v>
      </c>
      <c r="P468" s="269">
        <v>84.935400000000001</v>
      </c>
      <c r="Q468" s="426"/>
      <c r="R468" s="418" t="s">
        <v>1039</v>
      </c>
      <c r="S468" s="427" t="s">
        <v>613</v>
      </c>
      <c r="T468" s="357">
        <v>1</v>
      </c>
      <c r="U468" s="357" t="s">
        <v>204</v>
      </c>
      <c r="V468" s="368">
        <v>209000000</v>
      </c>
      <c r="W468" s="368">
        <v>209000000</v>
      </c>
      <c r="X468" s="357"/>
      <c r="Y468" s="357"/>
      <c r="Z468" s="400"/>
      <c r="AA468" s="369"/>
      <c r="AB468" s="370"/>
      <c r="AC468" s="404"/>
      <c r="AD468" s="270"/>
      <c r="AE468" s="156"/>
      <c r="AF468" s="156"/>
      <c r="AG468" s="357"/>
      <c r="AH468" s="357"/>
      <c r="AI468" s="357"/>
      <c r="AJ468" s="156"/>
      <c r="AK468" s="156"/>
      <c r="AL468" s="375"/>
      <c r="AM468" s="405"/>
      <c r="AN468" s="273"/>
      <c r="AO468" s="405"/>
      <c r="AP468" s="273"/>
      <c r="AQ468" s="273"/>
      <c r="AR468" s="273"/>
      <c r="AS468" s="273"/>
      <c r="AT468" s="273"/>
      <c r="AU468" s="273"/>
      <c r="AV468" s="322">
        <f t="shared" si="23"/>
        <v>0</v>
      </c>
      <c r="AW468" s="402" t="s">
        <v>3387</v>
      </c>
      <c r="AX468" s="376">
        <v>45765</v>
      </c>
      <c r="AY468" s="373" t="s">
        <v>3388</v>
      </c>
      <c r="AZ468" s="375"/>
      <c r="BA468" s="375">
        <v>345000000</v>
      </c>
      <c r="BB468" s="375"/>
      <c r="BC468" s="375"/>
      <c r="BD468" s="353">
        <f t="shared" si="24"/>
        <v>345000000</v>
      </c>
      <c r="BE468" s="432" t="s">
        <v>355</v>
      </c>
      <c r="BF468" s="407" t="s">
        <v>499</v>
      </c>
      <c r="BG468" s="168"/>
      <c r="BH468" s="274"/>
      <c r="BI468" s="168"/>
      <c r="BJ468" s="274"/>
      <c r="BK468" s="168"/>
      <c r="BL468" s="275"/>
      <c r="BM468" s="276"/>
      <c r="BN468" s="275"/>
      <c r="BO468" s="276"/>
      <c r="BP468" s="277"/>
      <c r="BQ468" s="156"/>
      <c r="BR468" s="274"/>
      <c r="BS468" s="270"/>
      <c r="BT468" s="270"/>
      <c r="BU468" s="274"/>
      <c r="BV468" s="274"/>
      <c r="BW468" s="278"/>
      <c r="BX468" s="278"/>
      <c r="BY468" s="278"/>
      <c r="BZ468" s="351"/>
    </row>
    <row r="469" spans="1:78" s="90" customFormat="1" ht="19.5" customHeight="1">
      <c r="A469" s="137"/>
      <c r="B469" s="197">
        <f t="shared" si="22"/>
        <v>459</v>
      </c>
      <c r="C469" s="30" t="s">
        <v>202</v>
      </c>
      <c r="D469" s="30" t="s">
        <v>225</v>
      </c>
      <c r="E469" s="234" t="s">
        <v>1040</v>
      </c>
      <c r="F469" s="235" t="s">
        <v>1362</v>
      </c>
      <c r="G469" s="284" t="str">
        <f>IFERROR(VLOOKUP(E469,Assign!$C$2:$J$142,8,FALSE),)</f>
        <v>문선영</v>
      </c>
      <c r="H469" s="361" t="s">
        <v>5012</v>
      </c>
      <c r="I469" s="363">
        <v>1</v>
      </c>
      <c r="J469" s="364" t="s">
        <v>208</v>
      </c>
      <c r="K469" s="364" t="s">
        <v>301</v>
      </c>
      <c r="L469" s="365" t="s">
        <v>302</v>
      </c>
      <c r="M469" s="362" t="s">
        <v>2534</v>
      </c>
      <c r="N469" s="421" t="s">
        <v>207</v>
      </c>
      <c r="O469" s="269">
        <v>52.325899999999997</v>
      </c>
      <c r="P469" s="269">
        <v>84.948999999999998</v>
      </c>
      <c r="Q469" s="426"/>
      <c r="R469" s="418" t="s">
        <v>1040</v>
      </c>
      <c r="S469" s="427" t="s">
        <v>613</v>
      </c>
      <c r="T469" s="357">
        <v>1</v>
      </c>
      <c r="U469" s="357" t="s">
        <v>204</v>
      </c>
      <c r="V469" s="367">
        <v>240000000</v>
      </c>
      <c r="W469" s="368">
        <v>240000000</v>
      </c>
      <c r="X469" s="357"/>
      <c r="Y469" s="357"/>
      <c r="Z469" s="400"/>
      <c r="AA469" s="369"/>
      <c r="AB469" s="370"/>
      <c r="AC469" s="404"/>
      <c r="AD469" s="270"/>
      <c r="AE469" s="156"/>
      <c r="AF469" s="156"/>
      <c r="AG469" s="357"/>
      <c r="AH469" s="357"/>
      <c r="AI469" s="357"/>
      <c r="AJ469" s="156"/>
      <c r="AK469" s="156"/>
      <c r="AL469" s="375"/>
      <c r="AM469" s="405"/>
      <c r="AN469" s="273"/>
      <c r="AO469" s="405"/>
      <c r="AP469" s="273"/>
      <c r="AQ469" s="273"/>
      <c r="AR469" s="273"/>
      <c r="AS469" s="273"/>
      <c r="AT469" s="273"/>
      <c r="AU469" s="273"/>
      <c r="AV469" s="322">
        <f t="shared" si="23"/>
        <v>0</v>
      </c>
      <c r="AW469" s="402" t="s">
        <v>3387</v>
      </c>
      <c r="AX469" s="376">
        <v>45765</v>
      </c>
      <c r="AY469" s="373" t="s">
        <v>3388</v>
      </c>
      <c r="AZ469" s="375"/>
      <c r="BA469" s="375">
        <v>400000000</v>
      </c>
      <c r="BB469" s="375"/>
      <c r="BC469" s="375"/>
      <c r="BD469" s="353">
        <f t="shared" si="24"/>
        <v>400000000</v>
      </c>
      <c r="BE469" s="432" t="s">
        <v>335</v>
      </c>
      <c r="BF469" s="407" t="s">
        <v>502</v>
      </c>
      <c r="BG469" s="168" t="s">
        <v>3324</v>
      </c>
      <c r="BH469" s="274">
        <v>45400</v>
      </c>
      <c r="BI469" s="168" t="s">
        <v>3325</v>
      </c>
      <c r="BJ469" s="274">
        <v>45502</v>
      </c>
      <c r="BK469" s="168">
        <v>110000000</v>
      </c>
      <c r="BL469" s="275"/>
      <c r="BM469" s="276"/>
      <c r="BN469" s="275"/>
      <c r="BO469" s="276"/>
      <c r="BP469" s="277"/>
      <c r="BQ469" s="156"/>
      <c r="BR469" s="274"/>
      <c r="BS469" s="270"/>
      <c r="BT469" s="270"/>
      <c r="BU469" s="274"/>
      <c r="BV469" s="274"/>
      <c r="BW469" s="278"/>
      <c r="BX469" s="278"/>
      <c r="BY469" s="278"/>
      <c r="BZ469" s="351" t="s">
        <v>3415</v>
      </c>
    </row>
    <row r="470" spans="1:78" s="90" customFormat="1" ht="19.5" hidden="1" customHeight="1">
      <c r="A470" s="137"/>
      <c r="B470" s="197">
        <f t="shared" si="22"/>
        <v>460</v>
      </c>
      <c r="C470" s="30" t="s">
        <v>202</v>
      </c>
      <c r="D470" s="30" t="s">
        <v>225</v>
      </c>
      <c r="E470" s="234" t="s">
        <v>1041</v>
      </c>
      <c r="F470" s="235" t="s">
        <v>1231</v>
      </c>
      <c r="G470" s="284">
        <f>IFERROR(VLOOKUP(E470,Assign!$C$2:$J$142,8,FALSE),)</f>
        <v>0</v>
      </c>
      <c r="H470" s="361" t="s">
        <v>3993</v>
      </c>
      <c r="I470" s="363">
        <v>1</v>
      </c>
      <c r="J470" s="364" t="s">
        <v>208</v>
      </c>
      <c r="K470" s="364" t="s">
        <v>234</v>
      </c>
      <c r="L470" s="365" t="s">
        <v>1568</v>
      </c>
      <c r="M470" s="362" t="s">
        <v>1569</v>
      </c>
      <c r="N470" s="421" t="s">
        <v>207</v>
      </c>
      <c r="O470" s="269">
        <v>64.680400000000006</v>
      </c>
      <c r="P470" s="269">
        <v>84.991</v>
      </c>
      <c r="Q470" s="426"/>
      <c r="R470" s="418" t="s">
        <v>1041</v>
      </c>
      <c r="S470" s="427" t="s">
        <v>613</v>
      </c>
      <c r="T470" s="357" t="s">
        <v>229</v>
      </c>
      <c r="U470" s="357" t="s">
        <v>204</v>
      </c>
      <c r="V470" s="367">
        <v>238800000</v>
      </c>
      <c r="W470" s="368">
        <v>238800000</v>
      </c>
      <c r="X470" s="357"/>
      <c r="Y470" s="357"/>
      <c r="Z470" s="400"/>
      <c r="AA470" s="369"/>
      <c r="AB470" s="370"/>
      <c r="AC470" s="404"/>
      <c r="AD470" s="270"/>
      <c r="AE470" s="156"/>
      <c r="AF470" s="156"/>
      <c r="AG470" s="357"/>
      <c r="AH470" s="357"/>
      <c r="AI470" s="357"/>
      <c r="AJ470" s="156"/>
      <c r="AK470" s="156"/>
      <c r="AL470" s="375"/>
      <c r="AM470" s="405"/>
      <c r="AN470" s="273"/>
      <c r="AO470" s="405"/>
      <c r="AP470" s="273"/>
      <c r="AQ470" s="273"/>
      <c r="AR470" s="273"/>
      <c r="AS470" s="273"/>
      <c r="AT470" s="273"/>
      <c r="AU470" s="273"/>
      <c r="AV470" s="322">
        <f t="shared" si="23"/>
        <v>0</v>
      </c>
      <c r="AW470" s="402" t="s">
        <v>3387</v>
      </c>
      <c r="AX470" s="376">
        <v>45765</v>
      </c>
      <c r="AY470" s="373" t="s">
        <v>3388</v>
      </c>
      <c r="AZ470" s="375"/>
      <c r="BA470" s="375">
        <v>345000000</v>
      </c>
      <c r="BB470" s="375"/>
      <c r="BC470" s="375"/>
      <c r="BD470" s="353">
        <f t="shared" si="24"/>
        <v>345000000</v>
      </c>
      <c r="BE470" s="432" t="s">
        <v>355</v>
      </c>
      <c r="BF470" s="407" t="s">
        <v>504</v>
      </c>
      <c r="BG470" s="168"/>
      <c r="BH470" s="274"/>
      <c r="BI470" s="168"/>
      <c r="BJ470" s="274"/>
      <c r="BK470" s="168"/>
      <c r="BL470" s="275"/>
      <c r="BM470" s="276"/>
      <c r="BN470" s="275"/>
      <c r="BO470" s="276"/>
      <c r="BP470" s="277"/>
      <c r="BQ470" s="156"/>
      <c r="BR470" s="274"/>
      <c r="BS470" s="270"/>
      <c r="BT470" s="270"/>
      <c r="BU470" s="274"/>
      <c r="BV470" s="274"/>
      <c r="BW470" s="278"/>
      <c r="BX470" s="278"/>
      <c r="BY470" s="278"/>
      <c r="BZ470" s="351"/>
    </row>
    <row r="471" spans="1:78" s="90" customFormat="1" ht="19.5" hidden="1" customHeight="1">
      <c r="A471" s="137"/>
      <c r="B471" s="197">
        <f t="shared" si="22"/>
        <v>461</v>
      </c>
      <c r="C471" s="30" t="s">
        <v>202</v>
      </c>
      <c r="D471" s="30" t="s">
        <v>225</v>
      </c>
      <c r="E471" s="234" t="s">
        <v>1042</v>
      </c>
      <c r="F471" s="235" t="s">
        <v>1229</v>
      </c>
      <c r="G471" s="284">
        <f>IFERROR(VLOOKUP(E471,Assign!$C$2:$J$142,8,FALSE),)</f>
        <v>0</v>
      </c>
      <c r="H471" s="361" t="s">
        <v>5057</v>
      </c>
      <c r="I471" s="363">
        <v>1</v>
      </c>
      <c r="J471" s="364" t="s">
        <v>209</v>
      </c>
      <c r="K471" s="364" t="s">
        <v>287</v>
      </c>
      <c r="L471" s="365" t="s">
        <v>388</v>
      </c>
      <c r="M471" s="362" t="s">
        <v>2572</v>
      </c>
      <c r="N471" s="421" t="s">
        <v>3505</v>
      </c>
      <c r="O471" s="269">
        <v>5.72</v>
      </c>
      <c r="P471" s="269">
        <v>24.18</v>
      </c>
      <c r="Q471" s="426"/>
      <c r="R471" s="418" t="s">
        <v>1042</v>
      </c>
      <c r="S471" s="427" t="s">
        <v>613</v>
      </c>
      <c r="T471" s="357">
        <v>1</v>
      </c>
      <c r="U471" s="357" t="s">
        <v>204</v>
      </c>
      <c r="V471" s="367">
        <v>228000000</v>
      </c>
      <c r="W471" s="368">
        <v>228000000</v>
      </c>
      <c r="X471" s="357"/>
      <c r="Y471" s="357"/>
      <c r="Z471" s="400"/>
      <c r="AA471" s="369"/>
      <c r="AB471" s="370"/>
      <c r="AC471" s="404"/>
      <c r="AD471" s="270"/>
      <c r="AE471" s="156"/>
      <c r="AF471" s="156"/>
      <c r="AG471" s="357"/>
      <c r="AH471" s="357"/>
      <c r="AI471" s="357"/>
      <c r="AJ471" s="156"/>
      <c r="AK471" s="156"/>
      <c r="AL471" s="375"/>
      <c r="AM471" s="405"/>
      <c r="AN471" s="273"/>
      <c r="AO471" s="405"/>
      <c r="AP471" s="273"/>
      <c r="AQ471" s="273"/>
      <c r="AR471" s="273"/>
      <c r="AS471" s="273"/>
      <c r="AT471" s="273"/>
      <c r="AU471" s="273"/>
      <c r="AV471" s="322">
        <f t="shared" si="23"/>
        <v>0</v>
      </c>
      <c r="AW471" s="402"/>
      <c r="AX471" s="376"/>
      <c r="AY471" s="373"/>
      <c r="AZ471" s="375"/>
      <c r="BA471" s="375"/>
      <c r="BB471" s="375"/>
      <c r="BC471" s="375"/>
      <c r="BD471" s="353">
        <f t="shared" si="24"/>
        <v>0</v>
      </c>
      <c r="BE471" s="432" t="s">
        <v>355</v>
      </c>
      <c r="BF471" s="407" t="s">
        <v>519</v>
      </c>
      <c r="BG471" s="168"/>
      <c r="BH471" s="274"/>
      <c r="BI471" s="168"/>
      <c r="BJ471" s="274"/>
      <c r="BK471" s="168"/>
      <c r="BL471" s="275"/>
      <c r="BM471" s="276"/>
      <c r="BN471" s="275"/>
      <c r="BO471" s="276"/>
      <c r="BP471" s="277"/>
      <c r="BQ471" s="156"/>
      <c r="BR471" s="274"/>
      <c r="BS471" s="270"/>
      <c r="BT471" s="270"/>
      <c r="BU471" s="274"/>
      <c r="BV471" s="274"/>
      <c r="BW471" s="278"/>
      <c r="BX471" s="278"/>
      <c r="BY471" s="278"/>
      <c r="BZ471" s="351"/>
    </row>
    <row r="472" spans="1:78" s="90" customFormat="1" ht="19.5" hidden="1" customHeight="1">
      <c r="A472" s="137"/>
      <c r="B472" s="197">
        <f t="shared" si="22"/>
        <v>462</v>
      </c>
      <c r="C472" s="30" t="s">
        <v>202</v>
      </c>
      <c r="D472" s="30" t="s">
        <v>225</v>
      </c>
      <c r="E472" s="234" t="s">
        <v>1043</v>
      </c>
      <c r="F472" s="235" t="s">
        <v>1280</v>
      </c>
      <c r="G472" s="284">
        <f>IFERROR(VLOOKUP(E472,Assign!$C$2:$J$142,8,FALSE),)</f>
        <v>0</v>
      </c>
      <c r="H472" s="361" t="s">
        <v>5134</v>
      </c>
      <c r="I472" s="363">
        <v>1</v>
      </c>
      <c r="J472" s="364" t="s">
        <v>224</v>
      </c>
      <c r="K472" s="364" t="s">
        <v>1458</v>
      </c>
      <c r="L472" s="365" t="s">
        <v>2646</v>
      </c>
      <c r="M472" s="362" t="s">
        <v>2647</v>
      </c>
      <c r="N472" s="421" t="s">
        <v>606</v>
      </c>
      <c r="O472" s="269">
        <v>65.434899999999999</v>
      </c>
      <c r="P472" s="269">
        <v>64.09</v>
      </c>
      <c r="Q472" s="426"/>
      <c r="R472" s="418" t="s">
        <v>1043</v>
      </c>
      <c r="S472" s="427" t="s">
        <v>613</v>
      </c>
      <c r="T472" s="357">
        <v>1</v>
      </c>
      <c r="U472" s="357" t="s">
        <v>204</v>
      </c>
      <c r="V472" s="367">
        <v>240000000</v>
      </c>
      <c r="W472" s="368">
        <v>240000000</v>
      </c>
      <c r="X472" s="357"/>
      <c r="Y472" s="357"/>
      <c r="Z472" s="400"/>
      <c r="AA472" s="369"/>
      <c r="AB472" s="370"/>
      <c r="AC472" s="404"/>
      <c r="AD472" s="270"/>
      <c r="AE472" s="156"/>
      <c r="AF472" s="156"/>
      <c r="AG472" s="357"/>
      <c r="AH472" s="357"/>
      <c r="AI472" s="357"/>
      <c r="AJ472" s="156"/>
      <c r="AK472" s="156"/>
      <c r="AL472" s="375"/>
      <c r="AM472" s="405"/>
      <c r="AN472" s="273"/>
      <c r="AO472" s="405"/>
      <c r="AP472" s="273"/>
      <c r="AQ472" s="273"/>
      <c r="AR472" s="273"/>
      <c r="AS472" s="273"/>
      <c r="AT472" s="273"/>
      <c r="AU472" s="273"/>
      <c r="AV472" s="322">
        <f t="shared" si="23"/>
        <v>0</v>
      </c>
      <c r="AW472" s="402"/>
      <c r="AX472" s="376"/>
      <c r="AY472" s="373"/>
      <c r="AZ472" s="375"/>
      <c r="BA472" s="375"/>
      <c r="BB472" s="375"/>
      <c r="BC472" s="375"/>
      <c r="BD472" s="353">
        <f t="shared" si="24"/>
        <v>0</v>
      </c>
      <c r="BE472" s="432" t="s">
        <v>355</v>
      </c>
      <c r="BF472" s="407" t="s">
        <v>512</v>
      </c>
      <c r="BG472" s="168"/>
      <c r="BH472" s="274"/>
      <c r="BI472" s="168"/>
      <c r="BJ472" s="274"/>
      <c r="BK472" s="168"/>
      <c r="BL472" s="275"/>
      <c r="BM472" s="276"/>
      <c r="BN472" s="275"/>
      <c r="BO472" s="276"/>
      <c r="BP472" s="277"/>
      <c r="BQ472" s="156"/>
      <c r="BR472" s="274"/>
      <c r="BS472" s="270"/>
      <c r="BT472" s="270"/>
      <c r="BU472" s="274"/>
      <c r="BV472" s="274"/>
      <c r="BW472" s="278"/>
      <c r="BX472" s="278"/>
      <c r="BY472" s="278"/>
      <c r="BZ472" s="351"/>
    </row>
    <row r="473" spans="1:78" s="90" customFormat="1" ht="19.5" hidden="1" customHeight="1">
      <c r="A473" s="137"/>
      <c r="B473" s="197">
        <f t="shared" si="22"/>
        <v>463</v>
      </c>
      <c r="C473" s="30" t="s">
        <v>202</v>
      </c>
      <c r="D473" s="30" t="s">
        <v>225</v>
      </c>
      <c r="E473" s="234" t="s">
        <v>1044</v>
      </c>
      <c r="F473" s="235" t="s">
        <v>1217</v>
      </c>
      <c r="G473" s="284">
        <f>IFERROR(VLOOKUP(E473,Assign!$C$2:$J$142,8,FALSE),)</f>
        <v>0</v>
      </c>
      <c r="H473" s="361" t="s">
        <v>4547</v>
      </c>
      <c r="I473" s="363">
        <v>1</v>
      </c>
      <c r="J473" s="364" t="s">
        <v>208</v>
      </c>
      <c r="K473" s="364" t="s">
        <v>316</v>
      </c>
      <c r="L473" s="365" t="s">
        <v>2088</v>
      </c>
      <c r="M473" s="362" t="s">
        <v>2089</v>
      </c>
      <c r="N473" s="421" t="s">
        <v>207</v>
      </c>
      <c r="O473" s="269">
        <v>47.16</v>
      </c>
      <c r="P473" s="269">
        <v>101.88</v>
      </c>
      <c r="Q473" s="426"/>
      <c r="R473" s="418" t="s">
        <v>1044</v>
      </c>
      <c r="S473" s="427" t="s">
        <v>613</v>
      </c>
      <c r="T473" s="357">
        <v>1</v>
      </c>
      <c r="U473" s="357" t="s">
        <v>204</v>
      </c>
      <c r="V473" s="367">
        <v>198000000</v>
      </c>
      <c r="W473" s="368">
        <v>198000000</v>
      </c>
      <c r="X473" s="357"/>
      <c r="Y473" s="357"/>
      <c r="Z473" s="400"/>
      <c r="AA473" s="369"/>
      <c r="AB473" s="370"/>
      <c r="AC473" s="404"/>
      <c r="AD473" s="270"/>
      <c r="AE473" s="156"/>
      <c r="AF473" s="156"/>
      <c r="AG473" s="357"/>
      <c r="AH473" s="357"/>
      <c r="AI473" s="357"/>
      <c r="AJ473" s="156"/>
      <c r="AK473" s="156"/>
      <c r="AL473" s="375"/>
      <c r="AM473" s="405"/>
      <c r="AN473" s="273"/>
      <c r="AO473" s="405"/>
      <c r="AP473" s="273"/>
      <c r="AQ473" s="273"/>
      <c r="AR473" s="273"/>
      <c r="AS473" s="273"/>
      <c r="AT473" s="273"/>
      <c r="AU473" s="273"/>
      <c r="AV473" s="322">
        <f t="shared" si="23"/>
        <v>0</v>
      </c>
      <c r="AW473" s="402" t="s">
        <v>3387</v>
      </c>
      <c r="AX473" s="376">
        <v>45765</v>
      </c>
      <c r="AY473" s="373" t="s">
        <v>3388</v>
      </c>
      <c r="AZ473" s="375"/>
      <c r="BA473" s="375">
        <v>425000000</v>
      </c>
      <c r="BB473" s="375"/>
      <c r="BC473" s="375"/>
      <c r="BD473" s="353">
        <f t="shared" si="24"/>
        <v>425000000</v>
      </c>
      <c r="BE473" s="432" t="s">
        <v>335</v>
      </c>
      <c r="BF473" s="407" t="s">
        <v>501</v>
      </c>
      <c r="BG473" s="168" t="s">
        <v>3309</v>
      </c>
      <c r="BH473" s="274">
        <v>45307</v>
      </c>
      <c r="BI473" s="168" t="s">
        <v>3230</v>
      </c>
      <c r="BJ473" s="274">
        <v>45373</v>
      </c>
      <c r="BK473" s="168">
        <v>172726838</v>
      </c>
      <c r="BL473" s="275" t="s">
        <v>3309</v>
      </c>
      <c r="BM473" s="276">
        <v>45482</v>
      </c>
      <c r="BN473" s="275" t="s">
        <v>3353</v>
      </c>
      <c r="BO473" s="276"/>
      <c r="BP473" s="277">
        <v>30174662</v>
      </c>
      <c r="BQ473" s="156"/>
      <c r="BR473" s="274"/>
      <c r="BS473" s="270"/>
      <c r="BT473" s="270"/>
      <c r="BU473" s="274"/>
      <c r="BV473" s="274"/>
      <c r="BW473" s="278"/>
      <c r="BX473" s="278"/>
      <c r="BY473" s="278"/>
      <c r="BZ473" s="351"/>
    </row>
    <row r="474" spans="1:78" s="90" customFormat="1" ht="19.5" hidden="1" customHeight="1">
      <c r="A474" s="137"/>
      <c r="B474" s="197">
        <f t="shared" si="22"/>
        <v>464</v>
      </c>
      <c r="C474" s="30" t="s">
        <v>202</v>
      </c>
      <c r="D474" s="30" t="s">
        <v>225</v>
      </c>
      <c r="E474" s="234" t="s">
        <v>1045</v>
      </c>
      <c r="F474" s="235" t="s">
        <v>1229</v>
      </c>
      <c r="G474" s="284" t="str">
        <f>IFERROR(VLOOKUP(E474,Assign!$C$2:$J$142,8,FALSE),)</f>
        <v>문선영</v>
      </c>
      <c r="H474" s="361" t="s">
        <v>4036</v>
      </c>
      <c r="I474" s="363">
        <v>1</v>
      </c>
      <c r="J474" s="364" t="s">
        <v>208</v>
      </c>
      <c r="K474" s="364" t="s">
        <v>259</v>
      </c>
      <c r="L474" s="365" t="s">
        <v>387</v>
      </c>
      <c r="M474" s="362" t="s">
        <v>1611</v>
      </c>
      <c r="N474" s="421" t="s">
        <v>207</v>
      </c>
      <c r="O474" s="269">
        <v>34.371000000000002</v>
      </c>
      <c r="P474" s="269">
        <v>84.86</v>
      </c>
      <c r="Q474" s="426"/>
      <c r="R474" s="418" t="s">
        <v>3440</v>
      </c>
      <c r="S474" s="427" t="s">
        <v>613</v>
      </c>
      <c r="T474" s="357" t="s">
        <v>229</v>
      </c>
      <c r="U474" s="357" t="s">
        <v>204</v>
      </c>
      <c r="V474" s="367">
        <v>182400000</v>
      </c>
      <c r="W474" s="368">
        <v>182400000</v>
      </c>
      <c r="X474" s="357"/>
      <c r="Y474" s="357"/>
      <c r="Z474" s="400"/>
      <c r="AA474" s="369"/>
      <c r="AB474" s="370"/>
      <c r="AC474" s="404"/>
      <c r="AD474" s="270"/>
      <c r="AE474" s="156"/>
      <c r="AF474" s="156"/>
      <c r="AG474" s="357"/>
      <c r="AH474" s="357"/>
      <c r="AI474" s="357"/>
      <c r="AJ474" s="156"/>
      <c r="AK474" s="156"/>
      <c r="AL474" s="375"/>
      <c r="AM474" s="405"/>
      <c r="AN474" s="273"/>
      <c r="AO474" s="405"/>
      <c r="AP474" s="273"/>
      <c r="AQ474" s="273"/>
      <c r="AR474" s="273"/>
      <c r="AS474" s="273"/>
      <c r="AT474" s="273"/>
      <c r="AU474" s="273"/>
      <c r="AV474" s="322">
        <f t="shared" si="23"/>
        <v>0</v>
      </c>
      <c r="AW474" s="402" t="s">
        <v>3387</v>
      </c>
      <c r="AX474" s="376">
        <v>45765</v>
      </c>
      <c r="AY474" s="373" t="s">
        <v>3388</v>
      </c>
      <c r="AZ474" s="375"/>
      <c r="BA474" s="375">
        <v>327500000</v>
      </c>
      <c r="BB474" s="375"/>
      <c r="BC474" s="375"/>
      <c r="BD474" s="353">
        <f t="shared" si="24"/>
        <v>327500000</v>
      </c>
      <c r="BE474" s="432" t="s">
        <v>355</v>
      </c>
      <c r="BF474" s="407" t="s">
        <v>499</v>
      </c>
      <c r="BG474" s="168"/>
      <c r="BH474" s="274"/>
      <c r="BI474" s="168"/>
      <c r="BJ474" s="274"/>
      <c r="BK474" s="168"/>
      <c r="BL474" s="275"/>
      <c r="BM474" s="276"/>
      <c r="BN474" s="275"/>
      <c r="BO474" s="276"/>
      <c r="BP474" s="277"/>
      <c r="BQ474" s="156"/>
      <c r="BR474" s="274"/>
      <c r="BS474" s="270"/>
      <c r="BT474" s="270"/>
      <c r="BU474" s="274"/>
      <c r="BV474" s="274"/>
      <c r="BW474" s="278"/>
      <c r="BX474" s="278"/>
      <c r="BY474" s="278"/>
      <c r="BZ474" s="351"/>
    </row>
    <row r="475" spans="1:78" s="90" customFormat="1" ht="19.5" hidden="1" customHeight="1">
      <c r="A475" s="137"/>
      <c r="B475" s="197">
        <f t="shared" si="22"/>
        <v>465</v>
      </c>
      <c r="C475" s="30" t="s">
        <v>202</v>
      </c>
      <c r="D475" s="30" t="s">
        <v>225</v>
      </c>
      <c r="E475" s="234" t="s">
        <v>1046</v>
      </c>
      <c r="F475" s="235" t="s">
        <v>1220</v>
      </c>
      <c r="G475" s="284">
        <f>IFERROR(VLOOKUP(E475,Assign!$C$2:$J$142,8,FALSE),)</f>
        <v>0</v>
      </c>
      <c r="H475" s="361" t="s">
        <v>4052</v>
      </c>
      <c r="I475" s="363">
        <v>1</v>
      </c>
      <c r="J475" s="364" t="s">
        <v>214</v>
      </c>
      <c r="K475" s="364" t="s">
        <v>338</v>
      </c>
      <c r="L475" s="365" t="s">
        <v>1627</v>
      </c>
      <c r="M475" s="362" t="s">
        <v>1628</v>
      </c>
      <c r="N475" s="421" t="s">
        <v>207</v>
      </c>
      <c r="O475" s="269">
        <v>50.372900000000001</v>
      </c>
      <c r="P475" s="269">
        <v>84.911100000000005</v>
      </c>
      <c r="Q475" s="426"/>
      <c r="R475" s="418" t="s">
        <v>1046</v>
      </c>
      <c r="S475" s="427" t="s">
        <v>613</v>
      </c>
      <c r="T475" s="357">
        <v>1</v>
      </c>
      <c r="U475" s="357" t="s">
        <v>204</v>
      </c>
      <c r="V475" s="367">
        <v>205800000</v>
      </c>
      <c r="W475" s="368">
        <v>205800000</v>
      </c>
      <c r="X475" s="357"/>
      <c r="Y475" s="357"/>
      <c r="Z475" s="400"/>
      <c r="AA475" s="369"/>
      <c r="AB475" s="370"/>
      <c r="AC475" s="404"/>
      <c r="AD475" s="270"/>
      <c r="AE475" s="156"/>
      <c r="AF475" s="156"/>
      <c r="AG475" s="357"/>
      <c r="AH475" s="357"/>
      <c r="AI475" s="357"/>
      <c r="AJ475" s="156"/>
      <c r="AK475" s="156"/>
      <c r="AL475" s="375"/>
      <c r="AM475" s="405"/>
      <c r="AN475" s="273"/>
      <c r="AO475" s="405"/>
      <c r="AP475" s="273"/>
      <c r="AQ475" s="273"/>
      <c r="AR475" s="273"/>
      <c r="AS475" s="273"/>
      <c r="AT475" s="273"/>
      <c r="AU475" s="273"/>
      <c r="AV475" s="322">
        <f t="shared" si="23"/>
        <v>0</v>
      </c>
      <c r="AW475" s="402" t="s">
        <v>3387</v>
      </c>
      <c r="AX475" s="376">
        <v>45765</v>
      </c>
      <c r="AY475" s="373" t="s">
        <v>3388</v>
      </c>
      <c r="AZ475" s="375"/>
      <c r="BA475" s="375">
        <v>270000000</v>
      </c>
      <c r="BB475" s="375"/>
      <c r="BC475" s="375"/>
      <c r="BD475" s="353">
        <f t="shared" si="24"/>
        <v>270000000</v>
      </c>
      <c r="BE475" s="432" t="s">
        <v>355</v>
      </c>
      <c r="BF475" s="407" t="s">
        <v>500</v>
      </c>
      <c r="BG475" s="168"/>
      <c r="BH475" s="274"/>
      <c r="BI475" s="168"/>
      <c r="BJ475" s="274"/>
      <c r="BK475" s="168"/>
      <c r="BL475" s="275"/>
      <c r="BM475" s="276"/>
      <c r="BN475" s="275"/>
      <c r="BO475" s="276"/>
      <c r="BP475" s="277"/>
      <c r="BQ475" s="156"/>
      <c r="BR475" s="274"/>
      <c r="BS475" s="270"/>
      <c r="BT475" s="270"/>
      <c r="BU475" s="274"/>
      <c r="BV475" s="274"/>
      <c r="BW475" s="278"/>
      <c r="BX475" s="278"/>
      <c r="BY475" s="278"/>
      <c r="BZ475" s="351"/>
    </row>
    <row r="476" spans="1:78" s="90" customFormat="1" ht="19.5" hidden="1" customHeight="1">
      <c r="A476" s="137"/>
      <c r="B476" s="197">
        <f t="shared" si="22"/>
        <v>466</v>
      </c>
      <c r="C476" s="30" t="s">
        <v>202</v>
      </c>
      <c r="D476" s="30" t="s">
        <v>225</v>
      </c>
      <c r="E476" s="234" t="s">
        <v>1047</v>
      </c>
      <c r="F476" s="235" t="s">
        <v>1244</v>
      </c>
      <c r="G476" s="284">
        <f>IFERROR(VLOOKUP(E476,Assign!$C$2:$J$142,8,FALSE),)</f>
        <v>0</v>
      </c>
      <c r="H476" s="361" t="s">
        <v>4407</v>
      </c>
      <c r="I476" s="363">
        <v>1</v>
      </c>
      <c r="J476" s="364" t="s">
        <v>220</v>
      </c>
      <c r="K476" s="364" t="s">
        <v>564</v>
      </c>
      <c r="L476" s="365" t="s">
        <v>1961</v>
      </c>
      <c r="M476" s="362" t="s">
        <v>1962</v>
      </c>
      <c r="N476" s="421" t="s">
        <v>207</v>
      </c>
      <c r="O476" s="269">
        <v>53.265099999999997</v>
      </c>
      <c r="P476" s="269">
        <v>84.972499999999997</v>
      </c>
      <c r="Q476" s="426"/>
      <c r="R476" s="418" t="s">
        <v>3476</v>
      </c>
      <c r="S476" s="427" t="s">
        <v>613</v>
      </c>
      <c r="T476" s="357">
        <v>1</v>
      </c>
      <c r="U476" s="357" t="s">
        <v>204</v>
      </c>
      <c r="V476" s="367">
        <v>188400000</v>
      </c>
      <c r="W476" s="368">
        <v>188400000</v>
      </c>
      <c r="X476" s="357"/>
      <c r="Y476" s="357"/>
      <c r="Z476" s="400"/>
      <c r="AA476" s="369"/>
      <c r="AB476" s="370"/>
      <c r="AC476" s="404"/>
      <c r="AD476" s="270"/>
      <c r="AE476" s="156"/>
      <c r="AF476" s="156"/>
      <c r="AG476" s="357"/>
      <c r="AH476" s="357"/>
      <c r="AI476" s="357"/>
      <c r="AJ476" s="156"/>
      <c r="AK476" s="156"/>
      <c r="AL476" s="375"/>
      <c r="AM476" s="405"/>
      <c r="AN476" s="273"/>
      <c r="AO476" s="405"/>
      <c r="AP476" s="273"/>
      <c r="AQ476" s="273"/>
      <c r="AR476" s="273"/>
      <c r="AS476" s="273"/>
      <c r="AT476" s="273"/>
      <c r="AU476" s="273"/>
      <c r="AV476" s="322">
        <f t="shared" si="23"/>
        <v>0</v>
      </c>
      <c r="AW476" s="402" t="s">
        <v>3387</v>
      </c>
      <c r="AX476" s="376">
        <v>45765</v>
      </c>
      <c r="AY476" s="373" t="s">
        <v>3388</v>
      </c>
      <c r="AZ476" s="375"/>
      <c r="BA476" s="375">
        <v>425000000</v>
      </c>
      <c r="BB476" s="375"/>
      <c r="BC476" s="375"/>
      <c r="BD476" s="353">
        <f t="shared" si="24"/>
        <v>425000000</v>
      </c>
      <c r="BE476" s="432" t="s">
        <v>355</v>
      </c>
      <c r="BF476" s="407" t="s">
        <v>523</v>
      </c>
      <c r="BG476" s="168"/>
      <c r="BH476" s="274"/>
      <c r="BI476" s="168"/>
      <c r="BJ476" s="274"/>
      <c r="BK476" s="168"/>
      <c r="BL476" s="275"/>
      <c r="BM476" s="276"/>
      <c r="BN476" s="275"/>
      <c r="BO476" s="276"/>
      <c r="BP476" s="277"/>
      <c r="BQ476" s="156"/>
      <c r="BR476" s="274"/>
      <c r="BS476" s="270"/>
      <c r="BT476" s="270"/>
      <c r="BU476" s="274"/>
      <c r="BV476" s="274"/>
      <c r="BW476" s="278"/>
      <c r="BX476" s="278"/>
      <c r="BY476" s="278"/>
      <c r="BZ476" s="351"/>
    </row>
    <row r="477" spans="1:78" s="90" customFormat="1" ht="19.5" hidden="1" customHeight="1">
      <c r="A477" s="137"/>
      <c r="B477" s="197">
        <f t="shared" si="22"/>
        <v>467</v>
      </c>
      <c r="C477" s="30" t="s">
        <v>202</v>
      </c>
      <c r="D477" s="30" t="s">
        <v>225</v>
      </c>
      <c r="E477" s="234" t="s">
        <v>1048</v>
      </c>
      <c r="F477" s="235" t="s">
        <v>1266</v>
      </c>
      <c r="G477" s="284">
        <f>IFERROR(VLOOKUP(E477,Assign!$C$2:$J$142,8,FALSE),)</f>
        <v>0</v>
      </c>
      <c r="H477" s="361" t="s">
        <v>4197</v>
      </c>
      <c r="I477" s="363">
        <v>1</v>
      </c>
      <c r="J477" s="364" t="s">
        <v>208</v>
      </c>
      <c r="K477" s="364" t="s">
        <v>250</v>
      </c>
      <c r="L477" s="365" t="s">
        <v>264</v>
      </c>
      <c r="M477" s="362" t="s">
        <v>1772</v>
      </c>
      <c r="N477" s="421" t="s">
        <v>3386</v>
      </c>
      <c r="O477" s="269">
        <v>12.51</v>
      </c>
      <c r="P477" s="269">
        <v>47.3</v>
      </c>
      <c r="Q477" s="426"/>
      <c r="R477" s="418" t="s">
        <v>1048</v>
      </c>
      <c r="S477" s="427" t="s">
        <v>613</v>
      </c>
      <c r="T477" s="357">
        <v>1</v>
      </c>
      <c r="U477" s="357" t="s">
        <v>204</v>
      </c>
      <c r="V477" s="367">
        <v>216000000</v>
      </c>
      <c r="W477" s="368">
        <v>216000000</v>
      </c>
      <c r="X477" s="357"/>
      <c r="Y477" s="357"/>
      <c r="Z477" s="400"/>
      <c r="AA477" s="369"/>
      <c r="AB477" s="370"/>
      <c r="AC477" s="404"/>
      <c r="AD477" s="270"/>
      <c r="AE477" s="156"/>
      <c r="AF477" s="156"/>
      <c r="AG477" s="357"/>
      <c r="AH477" s="357"/>
      <c r="AI477" s="357"/>
      <c r="AJ477" s="156"/>
      <c r="AK477" s="156"/>
      <c r="AL477" s="375"/>
      <c r="AM477" s="405"/>
      <c r="AN477" s="273"/>
      <c r="AO477" s="405"/>
      <c r="AP477" s="273"/>
      <c r="AQ477" s="273"/>
      <c r="AR477" s="273"/>
      <c r="AS477" s="273"/>
      <c r="AT477" s="273"/>
      <c r="AU477" s="273"/>
      <c r="AV477" s="322">
        <f t="shared" si="23"/>
        <v>0</v>
      </c>
      <c r="AW477" s="402"/>
      <c r="AX477" s="376"/>
      <c r="AY477" s="373"/>
      <c r="AZ477" s="375"/>
      <c r="BA477" s="375"/>
      <c r="BB477" s="375"/>
      <c r="BC477" s="375"/>
      <c r="BD477" s="353">
        <f t="shared" si="24"/>
        <v>0</v>
      </c>
      <c r="BE477" s="432" t="s">
        <v>355</v>
      </c>
      <c r="BF477" s="407" t="s">
        <v>493</v>
      </c>
      <c r="BG477" s="275"/>
      <c r="BH477" s="276"/>
      <c r="BI477" s="275"/>
      <c r="BJ477" s="276"/>
      <c r="BK477" s="277"/>
      <c r="BL477" s="168"/>
      <c r="BM477" s="274"/>
      <c r="BN477" s="168"/>
      <c r="BO477" s="274"/>
      <c r="BP477" s="168"/>
      <c r="BQ477" s="156"/>
      <c r="BR477" s="274"/>
      <c r="BS477" s="270"/>
      <c r="BT477" s="270"/>
      <c r="BU477" s="274"/>
      <c r="BV477" s="274"/>
      <c r="BW477" s="278"/>
      <c r="BX477" s="278"/>
      <c r="BY477" s="278"/>
      <c r="BZ477" s="351"/>
    </row>
    <row r="478" spans="1:78" s="90" customFormat="1" ht="19.5" hidden="1" customHeight="1">
      <c r="A478" s="137"/>
      <c r="B478" s="197">
        <f t="shared" si="22"/>
        <v>468</v>
      </c>
      <c r="C478" s="30" t="s">
        <v>202</v>
      </c>
      <c r="D478" s="30" t="s">
        <v>225</v>
      </c>
      <c r="E478" s="234" t="s">
        <v>1049</v>
      </c>
      <c r="F478" s="235" t="s">
        <v>1225</v>
      </c>
      <c r="G478" s="284">
        <f>IFERROR(VLOOKUP(E478,Assign!$C$2:$J$142,8,FALSE),)</f>
        <v>0</v>
      </c>
      <c r="H478" s="361" t="s">
        <v>4759</v>
      </c>
      <c r="I478" s="363">
        <v>1</v>
      </c>
      <c r="J478" s="364" t="s">
        <v>208</v>
      </c>
      <c r="K478" s="364" t="s">
        <v>301</v>
      </c>
      <c r="L478" s="365" t="s">
        <v>2291</v>
      </c>
      <c r="M478" s="362" t="s">
        <v>2292</v>
      </c>
      <c r="N478" s="421" t="s">
        <v>207</v>
      </c>
      <c r="O478" s="269">
        <v>38.891800000000003</v>
      </c>
      <c r="P478" s="269">
        <v>59.978200000000001</v>
      </c>
      <c r="Q478" s="426"/>
      <c r="R478" s="418" t="s">
        <v>1049</v>
      </c>
      <c r="S478" s="427" t="s">
        <v>613</v>
      </c>
      <c r="T478" s="357">
        <v>1</v>
      </c>
      <c r="U478" s="357" t="s">
        <v>204</v>
      </c>
      <c r="V478" s="367">
        <v>184800000</v>
      </c>
      <c r="W478" s="368">
        <v>184800000</v>
      </c>
      <c r="X478" s="357"/>
      <c r="Y478" s="357"/>
      <c r="Z478" s="400"/>
      <c r="AA478" s="369"/>
      <c r="AB478" s="370"/>
      <c r="AC478" s="404"/>
      <c r="AD478" s="270"/>
      <c r="AE478" s="156"/>
      <c r="AF478" s="156"/>
      <c r="AG478" s="357"/>
      <c r="AH478" s="357"/>
      <c r="AI478" s="357"/>
      <c r="AJ478" s="156"/>
      <c r="AK478" s="156"/>
      <c r="AL478" s="375"/>
      <c r="AM478" s="405"/>
      <c r="AN478" s="273"/>
      <c r="AO478" s="405"/>
      <c r="AP478" s="273"/>
      <c r="AQ478" s="273"/>
      <c r="AR478" s="273"/>
      <c r="AS478" s="273"/>
      <c r="AT478" s="273"/>
      <c r="AU478" s="273"/>
      <c r="AV478" s="322">
        <f t="shared" si="23"/>
        <v>0</v>
      </c>
      <c r="AW478" s="402" t="s">
        <v>3387</v>
      </c>
      <c r="AX478" s="376">
        <v>45765</v>
      </c>
      <c r="AY478" s="373" t="s">
        <v>3388</v>
      </c>
      <c r="AZ478" s="375"/>
      <c r="BA478" s="375">
        <v>200000000</v>
      </c>
      <c r="BB478" s="375"/>
      <c r="BC478" s="375"/>
      <c r="BD478" s="353">
        <f t="shared" si="24"/>
        <v>200000000</v>
      </c>
      <c r="BE478" s="432" t="s">
        <v>355</v>
      </c>
      <c r="BF478" s="407" t="s">
        <v>502</v>
      </c>
      <c r="BG478" s="168"/>
      <c r="BH478" s="274"/>
      <c r="BI478" s="168"/>
      <c r="BJ478" s="274"/>
      <c r="BK478" s="168"/>
      <c r="BL478" s="275"/>
      <c r="BM478" s="276"/>
      <c r="BN478" s="275"/>
      <c r="BO478" s="276"/>
      <c r="BP478" s="277"/>
      <c r="BQ478" s="156"/>
      <c r="BR478" s="274"/>
      <c r="BS478" s="270"/>
      <c r="BT478" s="270"/>
      <c r="BU478" s="274"/>
      <c r="BV478" s="274"/>
      <c r="BW478" s="278"/>
      <c r="BX478" s="278"/>
      <c r="BY478" s="278"/>
      <c r="BZ478" s="351"/>
    </row>
    <row r="479" spans="1:78" s="90" customFormat="1" ht="19.5" hidden="1" customHeight="1">
      <c r="A479" s="137"/>
      <c r="B479" s="197">
        <f t="shared" si="22"/>
        <v>469</v>
      </c>
      <c r="C479" s="30" t="s">
        <v>202</v>
      </c>
      <c r="D479" s="30" t="s">
        <v>225</v>
      </c>
      <c r="E479" s="234" t="s">
        <v>1050</v>
      </c>
      <c r="F479" s="235" t="s">
        <v>1271</v>
      </c>
      <c r="G479" s="284">
        <f>IFERROR(VLOOKUP(E479,Assign!$C$2:$J$142,8,FALSE),)</f>
        <v>0</v>
      </c>
      <c r="H479" s="361" t="s">
        <v>4163</v>
      </c>
      <c r="I479" s="363">
        <v>1</v>
      </c>
      <c r="J479" s="364" t="s">
        <v>212</v>
      </c>
      <c r="K479" s="364" t="s">
        <v>232</v>
      </c>
      <c r="L479" s="365" t="s">
        <v>1737</v>
      </c>
      <c r="M479" s="362" t="s">
        <v>1738</v>
      </c>
      <c r="N479" s="421" t="s">
        <v>3505</v>
      </c>
      <c r="O479" s="269">
        <v>10</v>
      </c>
      <c r="P479" s="269">
        <v>58.65</v>
      </c>
      <c r="Q479" s="426"/>
      <c r="R479" s="418" t="s">
        <v>1050</v>
      </c>
      <c r="S479" s="427" t="s">
        <v>613</v>
      </c>
      <c r="T479" s="357">
        <v>1</v>
      </c>
      <c r="U479" s="357" t="s">
        <v>204</v>
      </c>
      <c r="V479" s="367">
        <v>198000000</v>
      </c>
      <c r="W479" s="368">
        <v>198000000</v>
      </c>
      <c r="X479" s="357"/>
      <c r="Y479" s="357"/>
      <c r="Z479" s="400"/>
      <c r="AA479" s="369"/>
      <c r="AB479" s="370"/>
      <c r="AC479" s="404"/>
      <c r="AD479" s="270"/>
      <c r="AE479" s="156"/>
      <c r="AF479" s="156"/>
      <c r="AG479" s="357"/>
      <c r="AH479" s="357"/>
      <c r="AI479" s="357"/>
      <c r="AJ479" s="156"/>
      <c r="AK479" s="156"/>
      <c r="AL479" s="375"/>
      <c r="AM479" s="405"/>
      <c r="AN479" s="273"/>
      <c r="AO479" s="405"/>
      <c r="AP479" s="273"/>
      <c r="AQ479" s="273"/>
      <c r="AR479" s="273"/>
      <c r="AS479" s="273"/>
      <c r="AT479" s="273"/>
      <c r="AU479" s="273"/>
      <c r="AV479" s="322">
        <f t="shared" si="23"/>
        <v>0</v>
      </c>
      <c r="AW479" s="402"/>
      <c r="AX479" s="376"/>
      <c r="AY479" s="373"/>
      <c r="AZ479" s="375"/>
      <c r="BA479" s="375"/>
      <c r="BB479" s="375"/>
      <c r="BC479" s="375"/>
      <c r="BD479" s="353">
        <f t="shared" si="24"/>
        <v>0</v>
      </c>
      <c r="BE479" s="432" t="s">
        <v>355</v>
      </c>
      <c r="BF479" s="407" t="s">
        <v>496</v>
      </c>
      <c r="BG479" s="168"/>
      <c r="BH479" s="274"/>
      <c r="BI479" s="168"/>
      <c r="BJ479" s="274"/>
      <c r="BK479" s="168"/>
      <c r="BL479" s="275"/>
      <c r="BM479" s="276"/>
      <c r="BN479" s="275"/>
      <c r="BO479" s="276"/>
      <c r="BP479" s="277"/>
      <c r="BQ479" s="156"/>
      <c r="BR479" s="274"/>
      <c r="BS479" s="270"/>
      <c r="BT479" s="270"/>
      <c r="BU479" s="274"/>
      <c r="BV479" s="274"/>
      <c r="BW479" s="278"/>
      <c r="BX479" s="278"/>
      <c r="BY479" s="278"/>
      <c r="BZ479" s="351"/>
    </row>
    <row r="480" spans="1:78" s="90" customFormat="1" ht="19.5" hidden="1" customHeight="1">
      <c r="A480" s="137"/>
      <c r="B480" s="197">
        <f t="shared" si="22"/>
        <v>470</v>
      </c>
      <c r="C480" s="30" t="s">
        <v>202</v>
      </c>
      <c r="D480" s="30" t="s">
        <v>225</v>
      </c>
      <c r="E480" s="234" t="s">
        <v>1051</v>
      </c>
      <c r="F480" s="235" t="s">
        <v>1224</v>
      </c>
      <c r="G480" s="284">
        <f>IFERROR(VLOOKUP(E480,Assign!$C$2:$J$142,8,FALSE),)</f>
        <v>0</v>
      </c>
      <c r="H480" s="361" t="s">
        <v>4388</v>
      </c>
      <c r="I480" s="363">
        <v>1</v>
      </c>
      <c r="J480" s="364" t="s">
        <v>224</v>
      </c>
      <c r="K480" s="364" t="s">
        <v>1458</v>
      </c>
      <c r="L480" s="365" t="s">
        <v>1945</v>
      </c>
      <c r="M480" s="362" t="s">
        <v>1946</v>
      </c>
      <c r="N480" s="421" t="s">
        <v>606</v>
      </c>
      <c r="O480" s="269">
        <v>60.4</v>
      </c>
      <c r="P480" s="269">
        <v>70.709999999999994</v>
      </c>
      <c r="Q480" s="426"/>
      <c r="R480" s="418" t="s">
        <v>1051</v>
      </c>
      <c r="S480" s="427" t="s">
        <v>613</v>
      </c>
      <c r="T480" s="357">
        <v>1</v>
      </c>
      <c r="U480" s="357" t="s">
        <v>204</v>
      </c>
      <c r="V480" s="367">
        <v>210000000</v>
      </c>
      <c r="W480" s="368">
        <v>210000000</v>
      </c>
      <c r="X480" s="357"/>
      <c r="Y480" s="357"/>
      <c r="Z480" s="400"/>
      <c r="AA480" s="369"/>
      <c r="AB480" s="370"/>
      <c r="AC480" s="404"/>
      <c r="AD480" s="270"/>
      <c r="AE480" s="156"/>
      <c r="AF480" s="156"/>
      <c r="AG480" s="357"/>
      <c r="AH480" s="357"/>
      <c r="AI480" s="357"/>
      <c r="AJ480" s="156"/>
      <c r="AK480" s="156"/>
      <c r="AL480" s="375"/>
      <c r="AM480" s="405"/>
      <c r="AN480" s="273"/>
      <c r="AO480" s="405"/>
      <c r="AP480" s="273"/>
      <c r="AQ480" s="273"/>
      <c r="AR480" s="273"/>
      <c r="AS480" s="273"/>
      <c r="AT480" s="273"/>
      <c r="AU480" s="273"/>
      <c r="AV480" s="322">
        <f t="shared" si="23"/>
        <v>0</v>
      </c>
      <c r="AW480" s="402"/>
      <c r="AX480" s="376"/>
      <c r="AY480" s="373"/>
      <c r="AZ480" s="375"/>
      <c r="BA480" s="375"/>
      <c r="BB480" s="375"/>
      <c r="BC480" s="375"/>
      <c r="BD480" s="353">
        <f t="shared" si="24"/>
        <v>0</v>
      </c>
      <c r="BE480" s="432" t="s">
        <v>355</v>
      </c>
      <c r="BF480" s="407" t="s">
        <v>512</v>
      </c>
      <c r="BG480" s="168"/>
      <c r="BH480" s="274"/>
      <c r="BI480" s="168"/>
      <c r="BJ480" s="274"/>
      <c r="BK480" s="168"/>
      <c r="BL480" s="275"/>
      <c r="BM480" s="276"/>
      <c r="BN480" s="275"/>
      <c r="BO480" s="276"/>
      <c r="BP480" s="277"/>
      <c r="BQ480" s="156"/>
      <c r="BR480" s="274"/>
      <c r="BS480" s="270"/>
      <c r="BT480" s="270"/>
      <c r="BU480" s="274"/>
      <c r="BV480" s="274"/>
      <c r="BW480" s="278"/>
      <c r="BX480" s="278"/>
      <c r="BY480" s="278"/>
      <c r="BZ480" s="351"/>
    </row>
    <row r="481" spans="1:78" s="90" customFormat="1" ht="19.5" hidden="1" customHeight="1">
      <c r="A481" s="137"/>
      <c r="B481" s="197">
        <f t="shared" si="22"/>
        <v>471</v>
      </c>
      <c r="C481" s="30" t="s">
        <v>202</v>
      </c>
      <c r="D481" s="30" t="s">
        <v>225</v>
      </c>
      <c r="E481" s="234" t="s">
        <v>1052</v>
      </c>
      <c r="F481" s="235" t="s">
        <v>1225</v>
      </c>
      <c r="G481" s="284" t="str">
        <f>IFERROR(VLOOKUP(E481,Assign!$C$2:$J$142,8,FALSE),)</f>
        <v>문선영</v>
      </c>
      <c r="H481" s="361" t="s">
        <v>4793</v>
      </c>
      <c r="I481" s="363">
        <v>1</v>
      </c>
      <c r="J481" s="364" t="s">
        <v>217</v>
      </c>
      <c r="K481" s="364" t="s">
        <v>346</v>
      </c>
      <c r="L481" s="365" t="s">
        <v>2323</v>
      </c>
      <c r="M481" s="362" t="s">
        <v>2324</v>
      </c>
      <c r="N481" s="421" t="s">
        <v>207</v>
      </c>
      <c r="O481" s="269">
        <v>45.423999999999999</v>
      </c>
      <c r="P481" s="269">
        <v>84.431700000000006</v>
      </c>
      <c r="Q481" s="426"/>
      <c r="R481" s="418" t="s">
        <v>1052</v>
      </c>
      <c r="S481" s="427" t="s">
        <v>613</v>
      </c>
      <c r="T481" s="357">
        <v>1</v>
      </c>
      <c r="U481" s="357" t="s">
        <v>204</v>
      </c>
      <c r="V481" s="367">
        <v>195600000</v>
      </c>
      <c r="W481" s="368">
        <v>195600000</v>
      </c>
      <c r="X481" s="357"/>
      <c r="Y481" s="357"/>
      <c r="Z481" s="400"/>
      <c r="AA481" s="369"/>
      <c r="AB481" s="370"/>
      <c r="AC481" s="404"/>
      <c r="AD481" s="270"/>
      <c r="AE481" s="156"/>
      <c r="AF481" s="156"/>
      <c r="AG481" s="357"/>
      <c r="AH481" s="357"/>
      <c r="AI481" s="357"/>
      <c r="AJ481" s="156"/>
      <c r="AK481" s="156"/>
      <c r="AL481" s="375"/>
      <c r="AM481" s="405"/>
      <c r="AN481" s="273"/>
      <c r="AO481" s="405"/>
      <c r="AP481" s="273"/>
      <c r="AQ481" s="273"/>
      <c r="AR481" s="273"/>
      <c r="AS481" s="273"/>
      <c r="AT481" s="273"/>
      <c r="AU481" s="273"/>
      <c r="AV481" s="322">
        <f t="shared" si="23"/>
        <v>0</v>
      </c>
      <c r="AW481" s="402" t="s">
        <v>3387</v>
      </c>
      <c r="AX481" s="376">
        <v>45765</v>
      </c>
      <c r="AY481" s="373" t="s">
        <v>3388</v>
      </c>
      <c r="AZ481" s="375"/>
      <c r="BA481" s="375">
        <v>305000000</v>
      </c>
      <c r="BB481" s="375"/>
      <c r="BC481" s="375"/>
      <c r="BD481" s="353">
        <f t="shared" si="24"/>
        <v>305000000</v>
      </c>
      <c r="BE481" s="432" t="s">
        <v>355</v>
      </c>
      <c r="BF481" s="407" t="s">
        <v>515</v>
      </c>
      <c r="BG481" s="168"/>
      <c r="BH481" s="274"/>
      <c r="BI481" s="168"/>
      <c r="BJ481" s="274"/>
      <c r="BK481" s="168"/>
      <c r="BL481" s="275"/>
      <c r="BM481" s="276"/>
      <c r="BN481" s="275"/>
      <c r="BO481" s="276"/>
      <c r="BP481" s="277"/>
      <c r="BQ481" s="156"/>
      <c r="BR481" s="274"/>
      <c r="BS481" s="270"/>
      <c r="BT481" s="270"/>
      <c r="BU481" s="274"/>
      <c r="BV481" s="274"/>
      <c r="BW481" s="278"/>
      <c r="BX481" s="278"/>
      <c r="BY481" s="278"/>
      <c r="BZ481" s="351"/>
    </row>
    <row r="482" spans="1:78" s="90" customFormat="1" ht="19.5" customHeight="1">
      <c r="A482" s="137"/>
      <c r="B482" s="197">
        <f t="shared" si="22"/>
        <v>472</v>
      </c>
      <c r="C482" s="30" t="s">
        <v>202</v>
      </c>
      <c r="D482" s="30" t="s">
        <v>225</v>
      </c>
      <c r="E482" s="234" t="s">
        <v>1053</v>
      </c>
      <c r="F482" s="235" t="s">
        <v>1229</v>
      </c>
      <c r="G482" s="284" t="str">
        <f>IFERROR(VLOOKUP(E482,Assign!$C$2:$J$142,8,FALSE),)</f>
        <v>문선영</v>
      </c>
      <c r="H482" s="361" t="s">
        <v>4274</v>
      </c>
      <c r="I482" s="363">
        <v>1</v>
      </c>
      <c r="J482" s="364" t="s">
        <v>208</v>
      </c>
      <c r="K482" s="364" t="s">
        <v>301</v>
      </c>
      <c r="L482" s="365" t="s">
        <v>1743</v>
      </c>
      <c r="M482" s="362" t="s">
        <v>1844</v>
      </c>
      <c r="N482" s="421" t="s">
        <v>207</v>
      </c>
      <c r="O482" s="269">
        <v>58.363999999999997</v>
      </c>
      <c r="P482" s="269">
        <v>84.992000000000004</v>
      </c>
      <c r="Q482" s="426"/>
      <c r="R482" s="418" t="s">
        <v>1053</v>
      </c>
      <c r="S482" s="427" t="s">
        <v>613</v>
      </c>
      <c r="T482" s="357" t="s">
        <v>229</v>
      </c>
      <c r="U482" s="357" t="s">
        <v>204</v>
      </c>
      <c r="V482" s="367">
        <v>205000000</v>
      </c>
      <c r="W482" s="368">
        <v>205000000</v>
      </c>
      <c r="X482" s="357"/>
      <c r="Y482" s="357"/>
      <c r="Z482" s="400"/>
      <c r="AA482" s="369"/>
      <c r="AB482" s="370"/>
      <c r="AC482" s="404"/>
      <c r="AD482" s="270"/>
      <c r="AE482" s="156"/>
      <c r="AF482" s="156"/>
      <c r="AG482" s="357"/>
      <c r="AH482" s="357"/>
      <c r="AI482" s="357"/>
      <c r="AJ482" s="156"/>
      <c r="AK482" s="156"/>
      <c r="AL482" s="375"/>
      <c r="AM482" s="405"/>
      <c r="AN482" s="273"/>
      <c r="AO482" s="405"/>
      <c r="AP482" s="273"/>
      <c r="AQ482" s="273"/>
      <c r="AR482" s="273"/>
      <c r="AS482" s="273"/>
      <c r="AT482" s="273"/>
      <c r="AU482" s="273"/>
      <c r="AV482" s="322">
        <f t="shared" si="23"/>
        <v>0</v>
      </c>
      <c r="AW482" s="402" t="s">
        <v>3650</v>
      </c>
      <c r="AX482" s="376">
        <v>45547</v>
      </c>
      <c r="AY482" s="373" t="s">
        <v>3653</v>
      </c>
      <c r="AZ482" s="375"/>
      <c r="BA482" s="375">
        <v>379000000</v>
      </c>
      <c r="BB482" s="375"/>
      <c r="BC482" s="375"/>
      <c r="BD482" s="353">
        <f t="shared" si="24"/>
        <v>379000000</v>
      </c>
      <c r="BE482" s="432" t="s">
        <v>335</v>
      </c>
      <c r="BF482" s="407" t="s">
        <v>502</v>
      </c>
      <c r="BG482" s="168" t="s">
        <v>3274</v>
      </c>
      <c r="BH482" s="274">
        <v>45531</v>
      </c>
      <c r="BI482" s="168" t="s">
        <v>3287</v>
      </c>
      <c r="BJ482" s="274">
        <v>45617</v>
      </c>
      <c r="BK482" s="168">
        <v>263229229</v>
      </c>
      <c r="BL482" s="275"/>
      <c r="BM482" s="276"/>
      <c r="BN482" s="275"/>
      <c r="BO482" s="276"/>
      <c r="BP482" s="277"/>
      <c r="BQ482" s="156">
        <v>379000000</v>
      </c>
      <c r="BR482" s="274" t="s">
        <v>7147</v>
      </c>
      <c r="BS482" s="270"/>
      <c r="BT482" s="270"/>
      <c r="BU482" s="274"/>
      <c r="BV482" s="274"/>
      <c r="BW482" s="278"/>
      <c r="BX482" s="278"/>
      <c r="BY482" s="278"/>
      <c r="BZ482" s="351"/>
    </row>
    <row r="483" spans="1:78" s="90" customFormat="1" ht="19.5" hidden="1" customHeight="1">
      <c r="A483" s="137"/>
      <c r="B483" s="197">
        <f t="shared" si="22"/>
        <v>473</v>
      </c>
      <c r="C483" s="30" t="s">
        <v>202</v>
      </c>
      <c r="D483" s="30" t="s">
        <v>225</v>
      </c>
      <c r="E483" s="234" t="s">
        <v>1054</v>
      </c>
      <c r="F483" s="235" t="s">
        <v>1251</v>
      </c>
      <c r="G483" s="284">
        <f>IFERROR(VLOOKUP(E483,Assign!$C$2:$J$142,8,FALSE),)</f>
        <v>0</v>
      </c>
      <c r="H483" s="361" t="s">
        <v>4276</v>
      </c>
      <c r="I483" s="363">
        <v>1</v>
      </c>
      <c r="J483" s="364" t="s">
        <v>208</v>
      </c>
      <c r="K483" s="364" t="s">
        <v>325</v>
      </c>
      <c r="L483" s="365" t="s">
        <v>1845</v>
      </c>
      <c r="M483" s="362" t="s">
        <v>1846</v>
      </c>
      <c r="N483" s="421" t="s">
        <v>207</v>
      </c>
      <c r="O483" s="269">
        <v>79.891999999999996</v>
      </c>
      <c r="P483" s="269">
        <v>134.85900000000001</v>
      </c>
      <c r="Q483" s="426"/>
      <c r="R483" s="418" t="s">
        <v>3475</v>
      </c>
      <c r="S483" s="427" t="s">
        <v>613</v>
      </c>
      <c r="T483" s="357">
        <v>2</v>
      </c>
      <c r="U483" s="357" t="s">
        <v>204</v>
      </c>
      <c r="V483" s="367">
        <v>228000000</v>
      </c>
      <c r="W483" s="368">
        <v>228000000</v>
      </c>
      <c r="X483" s="357"/>
      <c r="Y483" s="357"/>
      <c r="Z483" s="400"/>
      <c r="AA483" s="369"/>
      <c r="AB483" s="370"/>
      <c r="AC483" s="404">
        <v>1</v>
      </c>
      <c r="AD483" s="270" t="s">
        <v>204</v>
      </c>
      <c r="AE483" s="156">
        <v>592800000</v>
      </c>
      <c r="AF483" s="156">
        <v>592800000</v>
      </c>
      <c r="AG483" s="357"/>
      <c r="AH483" s="357"/>
      <c r="AI483" s="357"/>
      <c r="AJ483" s="156"/>
      <c r="AK483" s="156"/>
      <c r="AL483" s="375"/>
      <c r="AM483" s="405"/>
      <c r="AN483" s="273"/>
      <c r="AO483" s="405"/>
      <c r="AP483" s="273"/>
      <c r="AQ483" s="273"/>
      <c r="AR483" s="273"/>
      <c r="AS483" s="273"/>
      <c r="AT483" s="273"/>
      <c r="AU483" s="273"/>
      <c r="AV483" s="322">
        <f t="shared" si="23"/>
        <v>0</v>
      </c>
      <c r="AW483" s="402" t="s">
        <v>3387</v>
      </c>
      <c r="AX483" s="376">
        <v>45765</v>
      </c>
      <c r="AY483" s="373" t="s">
        <v>3388</v>
      </c>
      <c r="AZ483" s="375"/>
      <c r="BA483" s="375">
        <v>905000000</v>
      </c>
      <c r="BB483" s="375"/>
      <c r="BC483" s="375"/>
      <c r="BD483" s="353">
        <f t="shared" si="24"/>
        <v>905000000</v>
      </c>
      <c r="BE483" s="432" t="s">
        <v>335</v>
      </c>
      <c r="BF483" s="407" t="s">
        <v>424</v>
      </c>
      <c r="BG483" s="168" t="s">
        <v>3288</v>
      </c>
      <c r="BH483" s="274">
        <v>45730</v>
      </c>
      <c r="BI483" s="168" t="s">
        <v>3289</v>
      </c>
      <c r="BJ483" s="274">
        <v>45807</v>
      </c>
      <c r="BK483" s="168">
        <v>435900762</v>
      </c>
      <c r="BL483" s="275"/>
      <c r="BM483" s="276"/>
      <c r="BN483" s="275"/>
      <c r="BO483" s="276"/>
      <c r="BP483" s="277"/>
      <c r="BQ483" s="156"/>
      <c r="BR483" s="274"/>
      <c r="BS483" s="270"/>
      <c r="BT483" s="270"/>
      <c r="BU483" s="274"/>
      <c r="BV483" s="274"/>
      <c r="BW483" s="278"/>
      <c r="BX483" s="278"/>
      <c r="BY483" s="278"/>
      <c r="BZ483" s="351"/>
    </row>
    <row r="484" spans="1:78" s="90" customFormat="1" ht="19.5" hidden="1" customHeight="1">
      <c r="A484" s="137"/>
      <c r="B484" s="197">
        <f t="shared" si="22"/>
        <v>474</v>
      </c>
      <c r="C484" s="30" t="s">
        <v>202</v>
      </c>
      <c r="D484" s="30" t="s">
        <v>225</v>
      </c>
      <c r="E484" s="234" t="s">
        <v>1055</v>
      </c>
      <c r="F484" s="235" t="s">
        <v>1225</v>
      </c>
      <c r="G484" s="284">
        <f>IFERROR(VLOOKUP(E484,Assign!$C$2:$J$142,8,FALSE),)</f>
        <v>0</v>
      </c>
      <c r="H484" s="361" t="s">
        <v>4336</v>
      </c>
      <c r="I484" s="363">
        <v>1</v>
      </c>
      <c r="J484" s="364" t="s">
        <v>208</v>
      </c>
      <c r="K484" s="364" t="s">
        <v>234</v>
      </c>
      <c r="L484" s="365" t="s">
        <v>1898</v>
      </c>
      <c r="M484" s="362" t="s">
        <v>1899</v>
      </c>
      <c r="N484" s="421" t="s">
        <v>207</v>
      </c>
      <c r="O484" s="269">
        <v>39.998146700020698</v>
      </c>
      <c r="P484" s="269">
        <v>84.99</v>
      </c>
      <c r="Q484" s="426"/>
      <c r="R484" s="418" t="s">
        <v>1055</v>
      </c>
      <c r="S484" s="427" t="s">
        <v>613</v>
      </c>
      <c r="T484" s="357">
        <v>1</v>
      </c>
      <c r="U484" s="357" t="s">
        <v>204</v>
      </c>
      <c r="V484" s="367">
        <v>174300000</v>
      </c>
      <c r="W484" s="368">
        <v>174300000</v>
      </c>
      <c r="X484" s="357"/>
      <c r="Y484" s="357"/>
      <c r="Z484" s="400"/>
      <c r="AA484" s="369"/>
      <c r="AB484" s="370"/>
      <c r="AC484" s="404"/>
      <c r="AD484" s="270"/>
      <c r="AE484" s="156"/>
      <c r="AF484" s="156"/>
      <c r="AG484" s="357"/>
      <c r="AH484" s="357"/>
      <c r="AI484" s="357"/>
      <c r="AJ484" s="156"/>
      <c r="AK484" s="156"/>
      <c r="AL484" s="375"/>
      <c r="AM484" s="405"/>
      <c r="AN484" s="273"/>
      <c r="AO484" s="405"/>
      <c r="AP484" s="273"/>
      <c r="AQ484" s="273"/>
      <c r="AR484" s="273"/>
      <c r="AS484" s="273"/>
      <c r="AT484" s="273"/>
      <c r="AU484" s="273"/>
      <c r="AV484" s="322">
        <f t="shared" si="23"/>
        <v>0</v>
      </c>
      <c r="AW484" s="402" t="s">
        <v>3387</v>
      </c>
      <c r="AX484" s="376">
        <v>45765</v>
      </c>
      <c r="AY484" s="373" t="s">
        <v>3388</v>
      </c>
      <c r="AZ484" s="375"/>
      <c r="BA484" s="375">
        <v>460000000</v>
      </c>
      <c r="BB484" s="375"/>
      <c r="BC484" s="375"/>
      <c r="BD484" s="353">
        <f t="shared" si="24"/>
        <v>460000000</v>
      </c>
      <c r="BE484" s="432" t="s">
        <v>355</v>
      </c>
      <c r="BF484" s="407" t="s">
        <v>504</v>
      </c>
      <c r="BG484" s="168"/>
      <c r="BH484" s="274"/>
      <c r="BI484" s="168"/>
      <c r="BJ484" s="274"/>
      <c r="BK484" s="168"/>
      <c r="BL484" s="275"/>
      <c r="BM484" s="276"/>
      <c r="BN484" s="275"/>
      <c r="BO484" s="276"/>
      <c r="BP484" s="277"/>
      <c r="BQ484" s="156"/>
      <c r="BR484" s="274"/>
      <c r="BS484" s="270"/>
      <c r="BT484" s="270"/>
      <c r="BU484" s="274"/>
      <c r="BV484" s="274"/>
      <c r="BW484" s="278"/>
      <c r="BX484" s="278"/>
      <c r="BY484" s="278"/>
      <c r="BZ484" s="351"/>
    </row>
    <row r="485" spans="1:78" s="90" customFormat="1" ht="19.5" hidden="1" customHeight="1">
      <c r="A485" s="137"/>
      <c r="B485" s="197">
        <f t="shared" si="22"/>
        <v>475</v>
      </c>
      <c r="C485" s="30" t="s">
        <v>202</v>
      </c>
      <c r="D485" s="30" t="s">
        <v>225</v>
      </c>
      <c r="E485" s="234" t="s">
        <v>1056</v>
      </c>
      <c r="F485" s="235" t="s">
        <v>1229</v>
      </c>
      <c r="G485" s="284">
        <f>IFERROR(VLOOKUP(E485,Assign!$C$2:$J$142,8,FALSE),)</f>
        <v>0</v>
      </c>
      <c r="H485" s="361" t="s">
        <v>4088</v>
      </c>
      <c r="I485" s="363">
        <v>1</v>
      </c>
      <c r="J485" s="364" t="s">
        <v>208</v>
      </c>
      <c r="K485" s="364" t="s">
        <v>280</v>
      </c>
      <c r="L485" s="365" t="s">
        <v>323</v>
      </c>
      <c r="M485" s="362" t="s">
        <v>1663</v>
      </c>
      <c r="N485" s="421" t="s">
        <v>207</v>
      </c>
      <c r="O485" s="269">
        <v>44.576799999999999</v>
      </c>
      <c r="P485" s="269">
        <v>79.996600000000001</v>
      </c>
      <c r="Q485" s="426"/>
      <c r="R485" s="418" t="s">
        <v>1056</v>
      </c>
      <c r="S485" s="427" t="s">
        <v>613</v>
      </c>
      <c r="T485" s="357">
        <v>1</v>
      </c>
      <c r="U485" s="357" t="s">
        <v>204</v>
      </c>
      <c r="V485" s="367">
        <v>176500000</v>
      </c>
      <c r="W485" s="368">
        <v>176500000</v>
      </c>
      <c r="X485" s="357"/>
      <c r="Y485" s="357"/>
      <c r="Z485" s="400"/>
      <c r="AA485" s="369"/>
      <c r="AB485" s="370"/>
      <c r="AC485" s="404"/>
      <c r="AD485" s="270"/>
      <c r="AE485" s="156"/>
      <c r="AF485" s="156"/>
      <c r="AG485" s="357"/>
      <c r="AH485" s="357"/>
      <c r="AI485" s="357"/>
      <c r="AJ485" s="156"/>
      <c r="AK485" s="156"/>
      <c r="AL485" s="375"/>
      <c r="AM485" s="405"/>
      <c r="AN485" s="273"/>
      <c r="AO485" s="405"/>
      <c r="AP485" s="273"/>
      <c r="AQ485" s="273"/>
      <c r="AR485" s="273"/>
      <c r="AS485" s="273"/>
      <c r="AT485" s="273"/>
      <c r="AU485" s="273"/>
      <c r="AV485" s="322">
        <f t="shared" si="23"/>
        <v>0</v>
      </c>
      <c r="AW485" s="402" t="s">
        <v>3387</v>
      </c>
      <c r="AX485" s="376">
        <v>45765</v>
      </c>
      <c r="AY485" s="373" t="s">
        <v>3388</v>
      </c>
      <c r="AZ485" s="375"/>
      <c r="BA485" s="375">
        <v>350000000</v>
      </c>
      <c r="BB485" s="375"/>
      <c r="BC485" s="375"/>
      <c r="BD485" s="353">
        <f t="shared" si="24"/>
        <v>350000000</v>
      </c>
      <c r="BE485" s="432" t="s">
        <v>355</v>
      </c>
      <c r="BF485" s="407" t="s">
        <v>422</v>
      </c>
      <c r="BG485" s="168"/>
      <c r="BH485" s="274"/>
      <c r="BI485" s="168"/>
      <c r="BJ485" s="274"/>
      <c r="BK485" s="168"/>
      <c r="BL485" s="275"/>
      <c r="BM485" s="276"/>
      <c r="BN485" s="275"/>
      <c r="BO485" s="276"/>
      <c r="BP485" s="277"/>
      <c r="BQ485" s="156"/>
      <c r="BR485" s="274"/>
      <c r="BS485" s="270"/>
      <c r="BT485" s="270"/>
      <c r="BU485" s="274"/>
      <c r="BV485" s="274"/>
      <c r="BW485" s="278"/>
      <c r="BX485" s="278"/>
      <c r="BY485" s="278"/>
      <c r="BZ485" s="351"/>
    </row>
    <row r="486" spans="1:78" s="90" customFormat="1" ht="19.5" hidden="1" customHeight="1">
      <c r="A486" s="137"/>
      <c r="B486" s="197">
        <f t="shared" si="22"/>
        <v>476</v>
      </c>
      <c r="C486" s="30" t="s">
        <v>202</v>
      </c>
      <c r="D486" s="30" t="s">
        <v>225</v>
      </c>
      <c r="E486" s="234" t="s">
        <v>1057</v>
      </c>
      <c r="F486" s="235" t="s">
        <v>1282</v>
      </c>
      <c r="G486" s="284">
        <f>IFERROR(VLOOKUP(E486,Assign!$C$2:$J$142,8,FALSE),)</f>
        <v>0</v>
      </c>
      <c r="H486" s="361" t="s">
        <v>4485</v>
      </c>
      <c r="I486" s="363">
        <v>1</v>
      </c>
      <c r="J486" s="364" t="s">
        <v>208</v>
      </c>
      <c r="K486" s="364" t="s">
        <v>324</v>
      </c>
      <c r="L486" s="365" t="s">
        <v>2028</v>
      </c>
      <c r="M486" s="362" t="s">
        <v>3075</v>
      </c>
      <c r="N486" s="421" t="s">
        <v>396</v>
      </c>
      <c r="O486" s="269">
        <v>401</v>
      </c>
      <c r="P486" s="269">
        <v>145.96</v>
      </c>
      <c r="Q486" s="426"/>
      <c r="R486" s="418" t="s">
        <v>3481</v>
      </c>
      <c r="S486" s="427" t="s">
        <v>613</v>
      </c>
      <c r="T486" s="357">
        <v>1</v>
      </c>
      <c r="U486" s="357" t="s">
        <v>204</v>
      </c>
      <c r="V486" s="367">
        <v>192000000</v>
      </c>
      <c r="W486" s="368">
        <v>192000000</v>
      </c>
      <c r="X486" s="357"/>
      <c r="Y486" s="357"/>
      <c r="Z486" s="400"/>
      <c r="AA486" s="369"/>
      <c r="AB486" s="370"/>
      <c r="AC486" s="404"/>
      <c r="AD486" s="270"/>
      <c r="AE486" s="156"/>
      <c r="AF486" s="156"/>
      <c r="AG486" s="357"/>
      <c r="AH486" s="357"/>
      <c r="AI486" s="357"/>
      <c r="AJ486" s="156"/>
      <c r="AK486" s="156"/>
      <c r="AL486" s="375"/>
      <c r="AM486" s="405"/>
      <c r="AN486" s="273"/>
      <c r="AO486" s="405"/>
      <c r="AP486" s="273"/>
      <c r="AQ486" s="273"/>
      <c r="AR486" s="273"/>
      <c r="AS486" s="273"/>
      <c r="AT486" s="273"/>
      <c r="AU486" s="273"/>
      <c r="AV486" s="322">
        <f t="shared" si="23"/>
        <v>0</v>
      </c>
      <c r="AW486" s="402"/>
      <c r="AX486" s="376"/>
      <c r="AY486" s="373"/>
      <c r="AZ486" s="375"/>
      <c r="BA486" s="375"/>
      <c r="BB486" s="375"/>
      <c r="BC486" s="375"/>
      <c r="BD486" s="353">
        <f t="shared" si="24"/>
        <v>0</v>
      </c>
      <c r="BE486" s="432" t="s">
        <v>355</v>
      </c>
      <c r="BF486" s="407" t="s">
        <v>424</v>
      </c>
      <c r="BG486" s="168"/>
      <c r="BH486" s="274"/>
      <c r="BI486" s="168"/>
      <c r="BJ486" s="274"/>
      <c r="BK486" s="168"/>
      <c r="BL486" s="275"/>
      <c r="BM486" s="276"/>
      <c r="BN486" s="275"/>
      <c r="BO486" s="276"/>
      <c r="BP486" s="277"/>
      <c r="BQ486" s="156"/>
      <c r="BR486" s="274"/>
      <c r="BS486" s="270"/>
      <c r="BT486" s="270"/>
      <c r="BU486" s="274"/>
      <c r="BV486" s="274"/>
      <c r="BW486" s="278"/>
      <c r="BX486" s="278"/>
      <c r="BY486" s="278"/>
      <c r="BZ486" s="351"/>
    </row>
    <row r="487" spans="1:78" s="90" customFormat="1" ht="19.5" hidden="1" customHeight="1">
      <c r="A487" s="137"/>
      <c r="B487" s="197">
        <f t="shared" si="22"/>
        <v>477</v>
      </c>
      <c r="C487" s="30" t="s">
        <v>202</v>
      </c>
      <c r="D487" s="30" t="s">
        <v>225</v>
      </c>
      <c r="E487" s="234" t="s">
        <v>1058</v>
      </c>
      <c r="F487" s="235" t="s">
        <v>1229</v>
      </c>
      <c r="G487" s="284" t="str">
        <f>IFERROR(VLOOKUP(E487,Assign!$C$2:$J$142,8,FALSE),)</f>
        <v>문선영</v>
      </c>
      <c r="H487" s="361" t="s">
        <v>4232</v>
      </c>
      <c r="I487" s="363">
        <v>1</v>
      </c>
      <c r="J487" s="364" t="s">
        <v>215</v>
      </c>
      <c r="K487" s="364" t="s">
        <v>307</v>
      </c>
      <c r="L487" s="365" t="s">
        <v>415</v>
      </c>
      <c r="M487" s="362" t="s">
        <v>1806</v>
      </c>
      <c r="N487" s="421" t="s">
        <v>207</v>
      </c>
      <c r="O487" s="269">
        <v>28.917999999999999</v>
      </c>
      <c r="P487" s="269">
        <v>59.95</v>
      </c>
      <c r="Q487" s="426"/>
      <c r="R487" s="418" t="s">
        <v>1058</v>
      </c>
      <c r="S487" s="427" t="s">
        <v>613</v>
      </c>
      <c r="T487" s="357" t="s">
        <v>229</v>
      </c>
      <c r="U487" s="357" t="s">
        <v>204</v>
      </c>
      <c r="V487" s="367">
        <v>288000000</v>
      </c>
      <c r="W487" s="368">
        <v>288000000</v>
      </c>
      <c r="X487" s="357"/>
      <c r="Y487" s="357"/>
      <c r="Z487" s="400"/>
      <c r="AA487" s="369"/>
      <c r="AB487" s="370"/>
      <c r="AC487" s="404"/>
      <c r="AD487" s="270"/>
      <c r="AE487" s="156"/>
      <c r="AF487" s="156"/>
      <c r="AG487" s="357"/>
      <c r="AH487" s="357"/>
      <c r="AI487" s="357"/>
      <c r="AJ487" s="156"/>
      <c r="AK487" s="156"/>
      <c r="AL487" s="412">
        <v>2</v>
      </c>
      <c r="AM487" s="405" t="s">
        <v>204</v>
      </c>
      <c r="AN487" s="273">
        <v>70500000</v>
      </c>
      <c r="AO487" s="405" t="s">
        <v>536</v>
      </c>
      <c r="AP487" s="273"/>
      <c r="AQ487" s="273"/>
      <c r="AR487" s="273"/>
      <c r="AS487" s="273"/>
      <c r="AT487" s="273"/>
      <c r="AU487" s="273"/>
      <c r="AV487" s="322">
        <f t="shared" si="23"/>
        <v>0</v>
      </c>
      <c r="AW487" s="402" t="s">
        <v>3387</v>
      </c>
      <c r="AX487" s="376">
        <v>45765</v>
      </c>
      <c r="AY487" s="373" t="s">
        <v>3388</v>
      </c>
      <c r="AZ487" s="375"/>
      <c r="BA487" s="375">
        <v>150000000</v>
      </c>
      <c r="BB487" s="375"/>
      <c r="BC487" s="375"/>
      <c r="BD487" s="353">
        <f t="shared" si="24"/>
        <v>150000000</v>
      </c>
      <c r="BE487" s="432" t="s">
        <v>355</v>
      </c>
      <c r="BF487" s="407" t="s">
        <v>508</v>
      </c>
      <c r="BG487" s="168"/>
      <c r="BH487" s="274"/>
      <c r="BI487" s="168"/>
      <c r="BJ487" s="274"/>
      <c r="BK487" s="168"/>
      <c r="BL487" s="275"/>
      <c r="BM487" s="276"/>
      <c r="BN487" s="275"/>
      <c r="BO487" s="276"/>
      <c r="BP487" s="277"/>
      <c r="BQ487" s="156"/>
      <c r="BR487" s="274"/>
      <c r="BS487" s="270"/>
      <c r="BT487" s="270"/>
      <c r="BU487" s="274"/>
      <c r="BV487" s="274"/>
      <c r="BW487" s="278"/>
      <c r="BX487" s="278"/>
      <c r="BY487" s="278"/>
      <c r="BZ487" s="351"/>
    </row>
    <row r="488" spans="1:78" s="90" customFormat="1" ht="19.5" hidden="1" customHeight="1">
      <c r="A488" s="137"/>
      <c r="B488" s="197">
        <f t="shared" si="22"/>
        <v>478</v>
      </c>
      <c r="C488" s="30" t="s">
        <v>202</v>
      </c>
      <c r="D488" s="30" t="s">
        <v>225</v>
      </c>
      <c r="E488" s="234" t="s">
        <v>1059</v>
      </c>
      <c r="F488" s="235" t="s">
        <v>1225</v>
      </c>
      <c r="G488" s="284">
        <f>IFERROR(VLOOKUP(E488,Assign!$C$2:$J$142,8,FALSE),)</f>
        <v>0</v>
      </c>
      <c r="H488" s="361" t="s">
        <v>4503</v>
      </c>
      <c r="I488" s="363">
        <v>1</v>
      </c>
      <c r="J488" s="364" t="s">
        <v>208</v>
      </c>
      <c r="K488" s="364" t="s">
        <v>234</v>
      </c>
      <c r="L488" s="365" t="s">
        <v>551</v>
      </c>
      <c r="M488" s="362" t="s">
        <v>2046</v>
      </c>
      <c r="N488" s="421" t="s">
        <v>207</v>
      </c>
      <c r="O488" s="269">
        <v>48.62</v>
      </c>
      <c r="P488" s="269">
        <v>84.48</v>
      </c>
      <c r="Q488" s="426"/>
      <c r="R488" s="418" t="s">
        <v>1059</v>
      </c>
      <c r="S488" s="427" t="s">
        <v>613</v>
      </c>
      <c r="T488" s="357">
        <v>1</v>
      </c>
      <c r="U488" s="357" t="s">
        <v>204</v>
      </c>
      <c r="V488" s="367">
        <v>228000000</v>
      </c>
      <c r="W488" s="368">
        <v>228000000</v>
      </c>
      <c r="X488" s="357"/>
      <c r="Y488" s="357"/>
      <c r="Z488" s="400"/>
      <c r="AA488" s="369"/>
      <c r="AB488" s="370"/>
      <c r="AC488" s="404"/>
      <c r="AD488" s="270"/>
      <c r="AE488" s="156"/>
      <c r="AF488" s="156"/>
      <c r="AG488" s="357"/>
      <c r="AH488" s="357"/>
      <c r="AI488" s="357"/>
      <c r="AJ488" s="156"/>
      <c r="AK488" s="156"/>
      <c r="AL488" s="375"/>
      <c r="AM488" s="405"/>
      <c r="AN488" s="273"/>
      <c r="AO488" s="405"/>
      <c r="AP488" s="273"/>
      <c r="AQ488" s="273"/>
      <c r="AR488" s="273"/>
      <c r="AS488" s="273"/>
      <c r="AT488" s="273"/>
      <c r="AU488" s="273"/>
      <c r="AV488" s="322">
        <f t="shared" si="23"/>
        <v>0</v>
      </c>
      <c r="AW488" s="402" t="s">
        <v>3387</v>
      </c>
      <c r="AX488" s="376">
        <v>45765</v>
      </c>
      <c r="AY488" s="373" t="s">
        <v>3388</v>
      </c>
      <c r="AZ488" s="375"/>
      <c r="BA488" s="375">
        <v>387500000</v>
      </c>
      <c r="BB488" s="375"/>
      <c r="BC488" s="375"/>
      <c r="BD488" s="353">
        <f t="shared" si="24"/>
        <v>387500000</v>
      </c>
      <c r="BE488" s="432" t="s">
        <v>355</v>
      </c>
      <c r="BF488" s="407" t="s">
        <v>504</v>
      </c>
      <c r="BG488" s="168"/>
      <c r="BH488" s="274"/>
      <c r="BI488" s="168"/>
      <c r="BJ488" s="274"/>
      <c r="BK488" s="168"/>
      <c r="BL488" s="275"/>
      <c r="BM488" s="276"/>
      <c r="BN488" s="275"/>
      <c r="BO488" s="276"/>
      <c r="BP488" s="277"/>
      <c r="BQ488" s="156"/>
      <c r="BR488" s="274"/>
      <c r="BS488" s="270"/>
      <c r="BT488" s="270"/>
      <c r="BU488" s="274"/>
      <c r="BV488" s="274"/>
      <c r="BW488" s="278"/>
      <c r="BX488" s="278"/>
      <c r="BY488" s="278"/>
      <c r="BZ488" s="351"/>
    </row>
    <row r="489" spans="1:78" s="90" customFormat="1" ht="19.5" hidden="1" customHeight="1">
      <c r="A489" s="137"/>
      <c r="B489" s="197">
        <f t="shared" si="22"/>
        <v>479</v>
      </c>
      <c r="C489" s="30" t="s">
        <v>202</v>
      </c>
      <c r="D489" s="30" t="s">
        <v>225</v>
      </c>
      <c r="E489" s="234" t="s">
        <v>1060</v>
      </c>
      <c r="F489" s="235" t="s">
        <v>1229</v>
      </c>
      <c r="G489" s="284">
        <f>IFERROR(VLOOKUP(E489,Assign!$C$2:$J$142,8,FALSE),)</f>
        <v>0</v>
      </c>
      <c r="H489" s="361" t="s">
        <v>4171</v>
      </c>
      <c r="I489" s="363">
        <v>1</v>
      </c>
      <c r="J489" s="364" t="s">
        <v>208</v>
      </c>
      <c r="K489" s="364" t="s">
        <v>236</v>
      </c>
      <c r="L489" s="365" t="s">
        <v>1745</v>
      </c>
      <c r="M489" s="362" t="s">
        <v>1746</v>
      </c>
      <c r="N489" s="421" t="s">
        <v>3505</v>
      </c>
      <c r="O489" s="269">
        <v>5.9904999999999999</v>
      </c>
      <c r="P489" s="269">
        <v>40.86</v>
      </c>
      <c r="Q489" s="426"/>
      <c r="R489" s="418" t="s">
        <v>1060</v>
      </c>
      <c r="S489" s="427" t="s">
        <v>613</v>
      </c>
      <c r="T489" s="357">
        <v>1</v>
      </c>
      <c r="U489" s="357" t="s">
        <v>204</v>
      </c>
      <c r="V489" s="367">
        <v>180000000</v>
      </c>
      <c r="W489" s="368">
        <v>180000000</v>
      </c>
      <c r="X489" s="357"/>
      <c r="Y489" s="357"/>
      <c r="Z489" s="400"/>
      <c r="AA489" s="369"/>
      <c r="AB489" s="370"/>
      <c r="AC489" s="404"/>
      <c r="AD489" s="270"/>
      <c r="AE489" s="156"/>
      <c r="AF489" s="156"/>
      <c r="AG489" s="357"/>
      <c r="AH489" s="357"/>
      <c r="AI489" s="357"/>
      <c r="AJ489" s="156"/>
      <c r="AK489" s="156"/>
      <c r="AL489" s="375"/>
      <c r="AM489" s="405"/>
      <c r="AN489" s="273"/>
      <c r="AO489" s="405"/>
      <c r="AP489" s="273"/>
      <c r="AQ489" s="273"/>
      <c r="AR489" s="273"/>
      <c r="AS489" s="273"/>
      <c r="AT489" s="273"/>
      <c r="AU489" s="273"/>
      <c r="AV489" s="322">
        <f t="shared" si="23"/>
        <v>0</v>
      </c>
      <c r="AW489" s="402"/>
      <c r="AX489" s="376"/>
      <c r="AY489" s="373"/>
      <c r="AZ489" s="375"/>
      <c r="BA489" s="375"/>
      <c r="BB489" s="375"/>
      <c r="BC489" s="375"/>
      <c r="BD489" s="353">
        <f t="shared" si="24"/>
        <v>0</v>
      </c>
      <c r="BE489" s="432" t="s">
        <v>355</v>
      </c>
      <c r="BF489" s="407" t="s">
        <v>504</v>
      </c>
      <c r="BG489" s="168"/>
      <c r="BH489" s="274"/>
      <c r="BI489" s="168"/>
      <c r="BJ489" s="274"/>
      <c r="BK489" s="168"/>
      <c r="BL489" s="275"/>
      <c r="BM489" s="276"/>
      <c r="BN489" s="275"/>
      <c r="BO489" s="276"/>
      <c r="BP489" s="277"/>
      <c r="BQ489" s="156"/>
      <c r="BR489" s="274"/>
      <c r="BS489" s="270"/>
      <c r="BT489" s="270"/>
      <c r="BU489" s="274"/>
      <c r="BV489" s="274"/>
      <c r="BW489" s="278"/>
      <c r="BX489" s="278"/>
      <c r="BY489" s="278"/>
      <c r="BZ489" s="351"/>
    </row>
    <row r="490" spans="1:78" s="90" customFormat="1" ht="19.5" hidden="1" customHeight="1">
      <c r="A490" s="137"/>
      <c r="B490" s="197">
        <f t="shared" si="22"/>
        <v>480</v>
      </c>
      <c r="C490" s="30" t="s">
        <v>202</v>
      </c>
      <c r="D490" s="30" t="s">
        <v>225</v>
      </c>
      <c r="E490" s="234" t="s">
        <v>1061</v>
      </c>
      <c r="F490" s="235" t="s">
        <v>1225</v>
      </c>
      <c r="G490" s="284">
        <f>IFERROR(VLOOKUP(E490,Assign!$C$2:$J$142,8,FALSE),)</f>
        <v>0</v>
      </c>
      <c r="H490" s="361" t="s">
        <v>4393</v>
      </c>
      <c r="I490" s="363">
        <v>1</v>
      </c>
      <c r="J490" s="364" t="s">
        <v>210</v>
      </c>
      <c r="K490" s="364" t="s">
        <v>232</v>
      </c>
      <c r="L490" s="365" t="s">
        <v>1951</v>
      </c>
      <c r="M490" s="362" t="s">
        <v>1952</v>
      </c>
      <c r="N490" s="421" t="s">
        <v>207</v>
      </c>
      <c r="O490" s="269">
        <v>56.412999999999997</v>
      </c>
      <c r="P490" s="269">
        <v>134.9</v>
      </c>
      <c r="Q490" s="426"/>
      <c r="R490" s="418" t="s">
        <v>3365</v>
      </c>
      <c r="S490" s="427" t="s">
        <v>613</v>
      </c>
      <c r="T490" s="357" t="s">
        <v>292</v>
      </c>
      <c r="U490" s="357" t="s">
        <v>204</v>
      </c>
      <c r="V490" s="367">
        <v>180000000</v>
      </c>
      <c r="W490" s="368">
        <v>180000000</v>
      </c>
      <c r="X490" s="357"/>
      <c r="Y490" s="357"/>
      <c r="Z490" s="400"/>
      <c r="AA490" s="369"/>
      <c r="AB490" s="370"/>
      <c r="AC490" s="404">
        <v>1</v>
      </c>
      <c r="AD490" s="270" t="s">
        <v>204</v>
      </c>
      <c r="AE490" s="156">
        <v>110000000</v>
      </c>
      <c r="AF490" s="156">
        <v>110000000</v>
      </c>
      <c r="AG490" s="357"/>
      <c r="AH490" s="357"/>
      <c r="AI490" s="357"/>
      <c r="AJ490" s="156"/>
      <c r="AK490" s="156"/>
      <c r="AL490" s="375"/>
      <c r="AM490" s="405"/>
      <c r="AN490" s="273"/>
      <c r="AO490" s="405"/>
      <c r="AP490" s="273"/>
      <c r="AQ490" s="273"/>
      <c r="AR490" s="273"/>
      <c r="AS490" s="273"/>
      <c r="AT490" s="273"/>
      <c r="AU490" s="273"/>
      <c r="AV490" s="322">
        <f t="shared" si="23"/>
        <v>0</v>
      </c>
      <c r="AW490" s="402" t="s">
        <v>3387</v>
      </c>
      <c r="AX490" s="376">
        <v>45765</v>
      </c>
      <c r="AY490" s="373" t="s">
        <v>3388</v>
      </c>
      <c r="AZ490" s="375"/>
      <c r="BA490" s="375">
        <v>475000000</v>
      </c>
      <c r="BB490" s="375"/>
      <c r="BC490" s="375"/>
      <c r="BD490" s="353">
        <f t="shared" si="24"/>
        <v>475000000</v>
      </c>
      <c r="BE490" s="432" t="s">
        <v>355</v>
      </c>
      <c r="BF490" s="407" t="s">
        <v>503</v>
      </c>
      <c r="BG490" s="168"/>
      <c r="BH490" s="274"/>
      <c r="BI490" s="168"/>
      <c r="BJ490" s="274"/>
      <c r="BK490" s="168"/>
      <c r="BL490" s="275"/>
      <c r="BM490" s="276"/>
      <c r="BN490" s="275"/>
      <c r="BO490" s="276"/>
      <c r="BP490" s="277"/>
      <c r="BQ490" s="156"/>
      <c r="BR490" s="274"/>
      <c r="BS490" s="270"/>
      <c r="BT490" s="270"/>
      <c r="BU490" s="274"/>
      <c r="BV490" s="274"/>
      <c r="BW490" s="278"/>
      <c r="BX490" s="278"/>
      <c r="BY490" s="278"/>
      <c r="BZ490" s="351"/>
    </row>
    <row r="491" spans="1:78" s="90" customFormat="1" ht="19.5" hidden="1" customHeight="1">
      <c r="A491" s="137"/>
      <c r="B491" s="197">
        <f t="shared" si="22"/>
        <v>481</v>
      </c>
      <c r="C491" s="30" t="s">
        <v>202</v>
      </c>
      <c r="D491" s="30" t="s">
        <v>225</v>
      </c>
      <c r="E491" s="234" t="s">
        <v>1062</v>
      </c>
      <c r="F491" s="235" t="s">
        <v>1221</v>
      </c>
      <c r="G491" s="284" t="str">
        <f>IFERROR(VLOOKUP(E491,Assign!$C$2:$J$142,8,FALSE),)</f>
        <v>문선영</v>
      </c>
      <c r="H491" s="361" t="s">
        <v>4360</v>
      </c>
      <c r="I491" s="363">
        <v>1</v>
      </c>
      <c r="J491" s="364" t="s">
        <v>216</v>
      </c>
      <c r="K491" s="364" t="s">
        <v>277</v>
      </c>
      <c r="L491" s="365" t="s">
        <v>279</v>
      </c>
      <c r="M491" s="362" t="s">
        <v>1918</v>
      </c>
      <c r="N491" s="421" t="s">
        <v>207</v>
      </c>
      <c r="O491" s="269">
        <v>39.874899999999997</v>
      </c>
      <c r="P491" s="269">
        <v>73.471800000000002</v>
      </c>
      <c r="Q491" s="426"/>
      <c r="R491" s="418" t="s">
        <v>3448</v>
      </c>
      <c r="S491" s="427" t="s">
        <v>613</v>
      </c>
      <c r="T491" s="357" t="s">
        <v>229</v>
      </c>
      <c r="U491" s="357" t="s">
        <v>204</v>
      </c>
      <c r="V491" s="367">
        <v>194000000</v>
      </c>
      <c r="W491" s="368">
        <v>194000000</v>
      </c>
      <c r="X491" s="357"/>
      <c r="Y491" s="357"/>
      <c r="Z491" s="400"/>
      <c r="AA491" s="369"/>
      <c r="AB491" s="370"/>
      <c r="AC491" s="404"/>
      <c r="AD491" s="270"/>
      <c r="AE491" s="156"/>
      <c r="AF491" s="156"/>
      <c r="AG491" s="357"/>
      <c r="AH491" s="357"/>
      <c r="AI491" s="357"/>
      <c r="AJ491" s="156"/>
      <c r="AK491" s="156"/>
      <c r="AL491" s="375"/>
      <c r="AM491" s="405"/>
      <c r="AN491" s="273"/>
      <c r="AO491" s="405"/>
      <c r="AP491" s="273"/>
      <c r="AQ491" s="273"/>
      <c r="AR491" s="273"/>
      <c r="AS491" s="273"/>
      <c r="AT491" s="273"/>
      <c r="AU491" s="273"/>
      <c r="AV491" s="322">
        <f t="shared" si="23"/>
        <v>0</v>
      </c>
      <c r="AW491" s="402" t="s">
        <v>3387</v>
      </c>
      <c r="AX491" s="376">
        <v>45765</v>
      </c>
      <c r="AY491" s="373" t="s">
        <v>3388</v>
      </c>
      <c r="AZ491" s="375"/>
      <c r="BA491" s="375">
        <v>313000000</v>
      </c>
      <c r="BB491" s="375"/>
      <c r="BC491" s="375"/>
      <c r="BD491" s="353">
        <f t="shared" si="24"/>
        <v>313000000</v>
      </c>
      <c r="BE491" s="432" t="s">
        <v>355</v>
      </c>
      <c r="BF491" s="407" t="s">
        <v>509</v>
      </c>
      <c r="BG491" s="168"/>
      <c r="BH491" s="274"/>
      <c r="BI491" s="168"/>
      <c r="BJ491" s="274"/>
      <c r="BK491" s="168"/>
      <c r="BL491" s="275"/>
      <c r="BM491" s="276"/>
      <c r="BN491" s="275"/>
      <c r="BO491" s="276"/>
      <c r="BP491" s="277"/>
      <c r="BQ491" s="156"/>
      <c r="BR491" s="274"/>
      <c r="BS491" s="270"/>
      <c r="BT491" s="270"/>
      <c r="BU491" s="274"/>
      <c r="BV491" s="274"/>
      <c r="BW491" s="278"/>
      <c r="BX491" s="278"/>
      <c r="BY491" s="278"/>
      <c r="BZ491" s="351"/>
    </row>
    <row r="492" spans="1:78" s="90" customFormat="1" ht="19.5" hidden="1" customHeight="1">
      <c r="A492" s="137"/>
      <c r="B492" s="197">
        <f t="shared" si="22"/>
        <v>482</v>
      </c>
      <c r="C492" s="30" t="s">
        <v>202</v>
      </c>
      <c r="D492" s="30" t="s">
        <v>225</v>
      </c>
      <c r="E492" s="234" t="s">
        <v>1063</v>
      </c>
      <c r="F492" s="235" t="s">
        <v>1225</v>
      </c>
      <c r="G492" s="284" t="str">
        <f>IFERROR(VLOOKUP(E492,Assign!$C$2:$J$142,8,FALSE),)</f>
        <v>문선영</v>
      </c>
      <c r="H492" s="361" t="s">
        <v>4670</v>
      </c>
      <c r="I492" s="363">
        <v>1</v>
      </c>
      <c r="J492" s="364" t="s">
        <v>213</v>
      </c>
      <c r="K492" s="364" t="s">
        <v>337</v>
      </c>
      <c r="L492" s="365" t="s">
        <v>2206</v>
      </c>
      <c r="M492" s="362" t="s">
        <v>2207</v>
      </c>
      <c r="N492" s="421" t="s">
        <v>207</v>
      </c>
      <c r="O492" s="269">
        <v>11.404</v>
      </c>
      <c r="P492" s="269">
        <v>84.837999999999994</v>
      </c>
      <c r="Q492" s="426"/>
      <c r="R492" s="418" t="s">
        <v>3484</v>
      </c>
      <c r="S492" s="427" t="s">
        <v>613</v>
      </c>
      <c r="T492" s="357">
        <v>1</v>
      </c>
      <c r="U492" s="357" t="s">
        <v>204</v>
      </c>
      <c r="V492" s="367">
        <v>215400000</v>
      </c>
      <c r="W492" s="368">
        <v>215400000</v>
      </c>
      <c r="X492" s="357"/>
      <c r="Y492" s="357"/>
      <c r="Z492" s="400"/>
      <c r="AA492" s="369"/>
      <c r="AB492" s="370"/>
      <c r="AC492" s="404"/>
      <c r="AD492" s="270"/>
      <c r="AE492" s="156"/>
      <c r="AF492" s="156"/>
      <c r="AG492" s="357"/>
      <c r="AH492" s="357"/>
      <c r="AI492" s="357"/>
      <c r="AJ492" s="156"/>
      <c r="AK492" s="156"/>
      <c r="AL492" s="375"/>
      <c r="AM492" s="405"/>
      <c r="AN492" s="273"/>
      <c r="AO492" s="405"/>
      <c r="AP492" s="273"/>
      <c r="AQ492" s="273"/>
      <c r="AR492" s="273"/>
      <c r="AS492" s="273"/>
      <c r="AT492" s="273"/>
      <c r="AU492" s="273"/>
      <c r="AV492" s="322">
        <f t="shared" si="23"/>
        <v>0</v>
      </c>
      <c r="AW492" s="402" t="s">
        <v>3387</v>
      </c>
      <c r="AX492" s="376">
        <v>45765</v>
      </c>
      <c r="AY492" s="373" t="s">
        <v>3388</v>
      </c>
      <c r="AZ492" s="375"/>
      <c r="BA492" s="375">
        <v>400000000</v>
      </c>
      <c r="BB492" s="375"/>
      <c r="BC492" s="375"/>
      <c r="BD492" s="353">
        <f t="shared" si="24"/>
        <v>400000000</v>
      </c>
      <c r="BE492" s="432" t="s">
        <v>355</v>
      </c>
      <c r="BF492" s="407" t="s">
        <v>524</v>
      </c>
      <c r="BG492" s="168"/>
      <c r="BH492" s="274"/>
      <c r="BI492" s="168"/>
      <c r="BJ492" s="274"/>
      <c r="BK492" s="168"/>
      <c r="BL492" s="275"/>
      <c r="BM492" s="276"/>
      <c r="BN492" s="275"/>
      <c r="BO492" s="276"/>
      <c r="BP492" s="277"/>
      <c r="BQ492" s="156"/>
      <c r="BR492" s="274"/>
      <c r="BS492" s="270"/>
      <c r="BT492" s="270"/>
      <c r="BU492" s="274"/>
      <c r="BV492" s="274"/>
      <c r="BW492" s="278"/>
      <c r="BX492" s="278"/>
      <c r="BY492" s="278"/>
      <c r="BZ492" s="351"/>
    </row>
    <row r="493" spans="1:78" s="90" customFormat="1" ht="19.5" hidden="1" customHeight="1">
      <c r="A493" s="137"/>
      <c r="B493" s="197">
        <f t="shared" si="22"/>
        <v>483</v>
      </c>
      <c r="C493" s="30" t="s">
        <v>202</v>
      </c>
      <c r="D493" s="30" t="s">
        <v>225</v>
      </c>
      <c r="E493" s="234" t="s">
        <v>1064</v>
      </c>
      <c r="F493" s="235" t="s">
        <v>1225</v>
      </c>
      <c r="G493" s="284">
        <f>IFERROR(VLOOKUP(E493,Assign!$C$2:$J$142,8,FALSE),)</f>
        <v>0</v>
      </c>
      <c r="H493" s="361" t="s">
        <v>4244</v>
      </c>
      <c r="I493" s="363">
        <v>1</v>
      </c>
      <c r="J493" s="364" t="s">
        <v>208</v>
      </c>
      <c r="K493" s="364" t="s">
        <v>297</v>
      </c>
      <c r="L493" s="365" t="s">
        <v>1814</v>
      </c>
      <c r="M493" s="362" t="s">
        <v>1815</v>
      </c>
      <c r="N493" s="421" t="s">
        <v>207</v>
      </c>
      <c r="O493" s="269">
        <v>98.125</v>
      </c>
      <c r="P493" s="269">
        <v>161.54900000000001</v>
      </c>
      <c r="Q493" s="426"/>
      <c r="R493" s="418" t="s">
        <v>1064</v>
      </c>
      <c r="S493" s="427" t="s">
        <v>613</v>
      </c>
      <c r="T493" s="357">
        <v>1</v>
      </c>
      <c r="U493" s="357" t="s">
        <v>204</v>
      </c>
      <c r="V493" s="367">
        <v>172700000</v>
      </c>
      <c r="W493" s="368">
        <v>172700000</v>
      </c>
      <c r="X493" s="357"/>
      <c r="Y493" s="357"/>
      <c r="Z493" s="400"/>
      <c r="AA493" s="369"/>
      <c r="AB493" s="370"/>
      <c r="AC493" s="404"/>
      <c r="AD493" s="270"/>
      <c r="AE493" s="156"/>
      <c r="AF493" s="156"/>
      <c r="AG493" s="357"/>
      <c r="AH493" s="357"/>
      <c r="AI493" s="357"/>
      <c r="AJ493" s="156"/>
      <c r="AK493" s="156"/>
      <c r="AL493" s="375"/>
      <c r="AM493" s="405"/>
      <c r="AN493" s="273"/>
      <c r="AO493" s="405"/>
      <c r="AP493" s="273"/>
      <c r="AQ493" s="273"/>
      <c r="AR493" s="273"/>
      <c r="AS493" s="273"/>
      <c r="AT493" s="273"/>
      <c r="AU493" s="273"/>
      <c r="AV493" s="322">
        <f t="shared" si="23"/>
        <v>0</v>
      </c>
      <c r="AW493" s="402" t="s">
        <v>3387</v>
      </c>
      <c r="AX493" s="376">
        <v>45765</v>
      </c>
      <c r="AY493" s="373" t="s">
        <v>3388</v>
      </c>
      <c r="AZ493" s="375"/>
      <c r="BA493" s="375">
        <v>655000000</v>
      </c>
      <c r="BB493" s="375"/>
      <c r="BC493" s="375"/>
      <c r="BD493" s="353">
        <f t="shared" si="24"/>
        <v>655000000</v>
      </c>
      <c r="BE493" s="432" t="s">
        <v>3413</v>
      </c>
      <c r="BF493" s="407" t="s">
        <v>424</v>
      </c>
      <c r="BG493" s="168" t="s">
        <v>3715</v>
      </c>
      <c r="BH493" s="274">
        <v>45716</v>
      </c>
      <c r="BI493" s="168" t="s">
        <v>3716</v>
      </c>
      <c r="BJ493" s="274">
        <v>45790</v>
      </c>
      <c r="BK493" s="168">
        <v>334306039</v>
      </c>
      <c r="BL493" s="275"/>
      <c r="BM493" s="276"/>
      <c r="BN493" s="275"/>
      <c r="BO493" s="276"/>
      <c r="BP493" s="277"/>
      <c r="BQ493" s="156"/>
      <c r="BR493" s="274"/>
      <c r="BS493" s="270"/>
      <c r="BT493" s="270"/>
      <c r="BU493" s="274"/>
      <c r="BV493" s="274"/>
      <c r="BW493" s="278"/>
      <c r="BX493" s="278"/>
      <c r="BY493" s="278"/>
      <c r="BZ493" s="351"/>
    </row>
    <row r="494" spans="1:78" s="90" customFormat="1" ht="19.5" hidden="1" customHeight="1">
      <c r="A494" s="137"/>
      <c r="B494" s="197">
        <f t="shared" si="22"/>
        <v>484</v>
      </c>
      <c r="C494" s="30" t="s">
        <v>202</v>
      </c>
      <c r="D494" s="30" t="s">
        <v>225</v>
      </c>
      <c r="E494" s="234" t="s">
        <v>1065</v>
      </c>
      <c r="F494" s="235" t="s">
        <v>1223</v>
      </c>
      <c r="G494" s="284">
        <f>IFERROR(VLOOKUP(E494,Assign!$C$2:$J$142,8,FALSE),)</f>
        <v>0</v>
      </c>
      <c r="H494" s="361" t="s">
        <v>4661</v>
      </c>
      <c r="I494" s="363">
        <v>1</v>
      </c>
      <c r="J494" s="364" t="s">
        <v>212</v>
      </c>
      <c r="K494" s="364" t="s">
        <v>304</v>
      </c>
      <c r="L494" s="365" t="s">
        <v>356</v>
      </c>
      <c r="M494" s="362" t="s">
        <v>2198</v>
      </c>
      <c r="N494" s="421" t="s">
        <v>207</v>
      </c>
      <c r="O494" s="269">
        <v>33.436300000000003</v>
      </c>
      <c r="P494" s="269">
        <v>59.976900000000001</v>
      </c>
      <c r="Q494" s="426"/>
      <c r="R494" s="418" t="s">
        <v>1065</v>
      </c>
      <c r="S494" s="427" t="s">
        <v>613</v>
      </c>
      <c r="T494" s="357">
        <v>1</v>
      </c>
      <c r="U494" s="357" t="s">
        <v>204</v>
      </c>
      <c r="V494" s="367">
        <v>180000000</v>
      </c>
      <c r="W494" s="368">
        <v>180000000</v>
      </c>
      <c r="X494" s="357"/>
      <c r="Y494" s="357"/>
      <c r="Z494" s="400"/>
      <c r="AA494" s="369"/>
      <c r="AB494" s="370"/>
      <c r="AC494" s="404"/>
      <c r="AD494" s="270"/>
      <c r="AE494" s="156"/>
      <c r="AF494" s="156"/>
      <c r="AG494" s="357"/>
      <c r="AH494" s="357"/>
      <c r="AI494" s="357"/>
      <c r="AJ494" s="156"/>
      <c r="AK494" s="156"/>
      <c r="AL494" s="375"/>
      <c r="AM494" s="405"/>
      <c r="AN494" s="273"/>
      <c r="AO494" s="405"/>
      <c r="AP494" s="273"/>
      <c r="AQ494" s="273"/>
      <c r="AR494" s="273"/>
      <c r="AS494" s="273"/>
      <c r="AT494" s="273"/>
      <c r="AU494" s="273"/>
      <c r="AV494" s="322">
        <f t="shared" si="23"/>
        <v>0</v>
      </c>
      <c r="AW494" s="402" t="s">
        <v>3387</v>
      </c>
      <c r="AX494" s="376">
        <v>45765</v>
      </c>
      <c r="AY494" s="373" t="s">
        <v>3388</v>
      </c>
      <c r="AZ494" s="375"/>
      <c r="BA494" s="375">
        <v>350000000</v>
      </c>
      <c r="BB494" s="375"/>
      <c r="BC494" s="375"/>
      <c r="BD494" s="353">
        <f t="shared" si="24"/>
        <v>350000000</v>
      </c>
      <c r="BE494" s="432" t="s">
        <v>335</v>
      </c>
      <c r="BF494" s="407" t="s">
        <v>496</v>
      </c>
      <c r="BG494" s="168" t="s">
        <v>3313</v>
      </c>
      <c r="BH494" s="274">
        <v>45598</v>
      </c>
      <c r="BI494" s="168" t="s">
        <v>3239</v>
      </c>
      <c r="BJ494" s="274">
        <v>45686</v>
      </c>
      <c r="BK494" s="168">
        <v>193409216</v>
      </c>
      <c r="BL494" s="275"/>
      <c r="BM494" s="276"/>
      <c r="BN494" s="275"/>
      <c r="BO494" s="276"/>
      <c r="BP494" s="277"/>
      <c r="BQ494" s="156"/>
      <c r="BR494" s="274"/>
      <c r="BS494" s="270"/>
      <c r="BT494" s="270"/>
      <c r="BU494" s="274"/>
      <c r="BV494" s="274"/>
      <c r="BW494" s="278"/>
      <c r="BX494" s="278"/>
      <c r="BY494" s="278"/>
      <c r="BZ494" s="351"/>
    </row>
    <row r="495" spans="1:78" s="90" customFormat="1" ht="19.5" customHeight="1">
      <c r="A495" s="137"/>
      <c r="B495" s="197">
        <f t="shared" si="22"/>
        <v>485</v>
      </c>
      <c r="C495" s="30" t="s">
        <v>202</v>
      </c>
      <c r="D495" s="30" t="s">
        <v>225</v>
      </c>
      <c r="E495" s="234" t="s">
        <v>1066</v>
      </c>
      <c r="F495" s="235" t="s">
        <v>1217</v>
      </c>
      <c r="G495" s="284" t="str">
        <f>IFERROR(VLOOKUP(E495,Assign!$C$2:$J$142,8,FALSE),)</f>
        <v>문선영</v>
      </c>
      <c r="H495" s="361" t="s">
        <v>4595</v>
      </c>
      <c r="I495" s="363">
        <v>1</v>
      </c>
      <c r="J495" s="364" t="s">
        <v>208</v>
      </c>
      <c r="K495" s="364" t="s">
        <v>385</v>
      </c>
      <c r="L495" s="365" t="s">
        <v>2133</v>
      </c>
      <c r="M495" s="362" t="s">
        <v>2134</v>
      </c>
      <c r="N495" s="421" t="s">
        <v>606</v>
      </c>
      <c r="O495" s="269">
        <v>40.555999999999997</v>
      </c>
      <c r="P495" s="269">
        <v>67.88</v>
      </c>
      <c r="Q495" s="426"/>
      <c r="R495" s="418" t="s">
        <v>1066</v>
      </c>
      <c r="S495" s="427" t="s">
        <v>613</v>
      </c>
      <c r="T495" s="357">
        <v>1</v>
      </c>
      <c r="U495" s="357" t="s">
        <v>204</v>
      </c>
      <c r="V495" s="367">
        <v>192000000</v>
      </c>
      <c r="W495" s="368">
        <v>192000000</v>
      </c>
      <c r="X495" s="357"/>
      <c r="Y495" s="357"/>
      <c r="Z495" s="400"/>
      <c r="AA495" s="369"/>
      <c r="AB495" s="370"/>
      <c r="AC495" s="404"/>
      <c r="AD495" s="270"/>
      <c r="AE495" s="156"/>
      <c r="AF495" s="156"/>
      <c r="AG495" s="357"/>
      <c r="AH495" s="357"/>
      <c r="AI495" s="357"/>
      <c r="AJ495" s="156"/>
      <c r="AK495" s="156"/>
      <c r="AL495" s="375"/>
      <c r="AM495" s="405"/>
      <c r="AN495" s="273"/>
      <c r="AO495" s="405"/>
      <c r="AP495" s="273"/>
      <c r="AQ495" s="273"/>
      <c r="AR495" s="273"/>
      <c r="AS495" s="273"/>
      <c r="AT495" s="273"/>
      <c r="AU495" s="273"/>
      <c r="AV495" s="322">
        <f t="shared" si="23"/>
        <v>0</v>
      </c>
      <c r="AW495" s="402"/>
      <c r="AX495" s="376"/>
      <c r="AY495" s="373"/>
      <c r="AZ495" s="375"/>
      <c r="BA495" s="375"/>
      <c r="BB495" s="375"/>
      <c r="BC495" s="375"/>
      <c r="BD495" s="353">
        <f t="shared" si="24"/>
        <v>0</v>
      </c>
      <c r="BE495" s="432" t="s">
        <v>335</v>
      </c>
      <c r="BF495" s="407" t="s">
        <v>424</v>
      </c>
      <c r="BG495" s="168" t="s">
        <v>1373</v>
      </c>
      <c r="BH495" s="274">
        <v>45679</v>
      </c>
      <c r="BI495" s="168" t="s">
        <v>3236</v>
      </c>
      <c r="BJ495" s="274">
        <v>45764</v>
      </c>
      <c r="BK495" s="168">
        <v>150473965</v>
      </c>
      <c r="BL495" s="275"/>
      <c r="BM495" s="276"/>
      <c r="BN495" s="275"/>
      <c r="BO495" s="276"/>
      <c r="BP495" s="277"/>
      <c r="BQ495" s="156"/>
      <c r="BR495" s="274"/>
      <c r="BS495" s="270"/>
      <c r="BT495" s="270"/>
      <c r="BU495" s="274"/>
      <c r="BV495" s="274"/>
      <c r="BW495" s="278"/>
      <c r="BX495" s="278"/>
      <c r="BY495" s="278"/>
      <c r="BZ495" s="351"/>
    </row>
    <row r="496" spans="1:78" s="90" customFormat="1" ht="19.5" hidden="1" customHeight="1">
      <c r="A496" s="137"/>
      <c r="B496" s="197">
        <f t="shared" si="22"/>
        <v>486</v>
      </c>
      <c r="C496" s="30" t="s">
        <v>202</v>
      </c>
      <c r="D496" s="30" t="s">
        <v>225</v>
      </c>
      <c r="E496" s="234" t="s">
        <v>1067</v>
      </c>
      <c r="F496" s="235" t="s">
        <v>1225</v>
      </c>
      <c r="G496" s="284">
        <f>IFERROR(VLOOKUP(E496,Assign!$C$2:$J$142,8,FALSE),)</f>
        <v>0</v>
      </c>
      <c r="H496" s="361" t="s">
        <v>4223</v>
      </c>
      <c r="I496" s="363">
        <v>1</v>
      </c>
      <c r="J496" s="364" t="s">
        <v>208</v>
      </c>
      <c r="K496" s="364" t="s">
        <v>316</v>
      </c>
      <c r="L496" s="365" t="s">
        <v>1686</v>
      </c>
      <c r="M496" s="362" t="s">
        <v>1800</v>
      </c>
      <c r="N496" s="421" t="s">
        <v>606</v>
      </c>
      <c r="O496" s="269">
        <v>76.875</v>
      </c>
      <c r="P496" s="269">
        <v>68.010000000000005</v>
      </c>
      <c r="Q496" s="426"/>
      <c r="R496" s="418" t="s">
        <v>1067</v>
      </c>
      <c r="S496" s="427" t="s">
        <v>613</v>
      </c>
      <c r="T496" s="357">
        <v>1</v>
      </c>
      <c r="U496" s="357" t="s">
        <v>204</v>
      </c>
      <c r="V496" s="367">
        <v>192000000</v>
      </c>
      <c r="W496" s="368">
        <v>192000000</v>
      </c>
      <c r="X496" s="357"/>
      <c r="Y496" s="357"/>
      <c r="Z496" s="400"/>
      <c r="AA496" s="369"/>
      <c r="AB496" s="370"/>
      <c r="AC496" s="404"/>
      <c r="AD496" s="270"/>
      <c r="AE496" s="156"/>
      <c r="AF496" s="156"/>
      <c r="AG496" s="357"/>
      <c r="AH496" s="357"/>
      <c r="AI496" s="357"/>
      <c r="AJ496" s="156"/>
      <c r="AK496" s="156"/>
      <c r="AL496" s="375"/>
      <c r="AM496" s="405"/>
      <c r="AN496" s="273"/>
      <c r="AO496" s="405"/>
      <c r="AP496" s="273"/>
      <c r="AQ496" s="273"/>
      <c r="AR496" s="273"/>
      <c r="AS496" s="273"/>
      <c r="AT496" s="273"/>
      <c r="AU496" s="273"/>
      <c r="AV496" s="322">
        <f t="shared" si="23"/>
        <v>0</v>
      </c>
      <c r="AW496" s="402"/>
      <c r="AX496" s="376"/>
      <c r="AY496" s="373"/>
      <c r="AZ496" s="375"/>
      <c r="BA496" s="375"/>
      <c r="BB496" s="375"/>
      <c r="BC496" s="375"/>
      <c r="BD496" s="353">
        <f t="shared" si="24"/>
        <v>0</v>
      </c>
      <c r="BE496" s="432" t="s">
        <v>335</v>
      </c>
      <c r="BF496" s="407" t="s">
        <v>501</v>
      </c>
      <c r="BG496" s="168" t="s">
        <v>1373</v>
      </c>
      <c r="BH496" s="274">
        <v>45497</v>
      </c>
      <c r="BI496" s="168" t="s">
        <v>3279</v>
      </c>
      <c r="BJ496" s="274">
        <v>45560</v>
      </c>
      <c r="BK496" s="168">
        <v>158761816</v>
      </c>
      <c r="BL496" s="275"/>
      <c r="BM496" s="276"/>
      <c r="BN496" s="275"/>
      <c r="BO496" s="276"/>
      <c r="BP496" s="277"/>
      <c r="BQ496" s="156"/>
      <c r="BR496" s="274"/>
      <c r="BS496" s="270"/>
      <c r="BT496" s="270"/>
      <c r="BU496" s="274"/>
      <c r="BV496" s="274"/>
      <c r="BW496" s="278"/>
      <c r="BX496" s="278"/>
      <c r="BY496" s="278"/>
      <c r="BZ496" s="351"/>
    </row>
    <row r="497" spans="1:78" s="90" customFormat="1" ht="19.5" hidden="1" customHeight="1">
      <c r="A497" s="137"/>
      <c r="B497" s="197">
        <f t="shared" si="22"/>
        <v>487</v>
      </c>
      <c r="C497" s="30" t="s">
        <v>202</v>
      </c>
      <c r="D497" s="30" t="s">
        <v>225</v>
      </c>
      <c r="E497" s="234" t="s">
        <v>1068</v>
      </c>
      <c r="F497" s="235" t="s">
        <v>1252</v>
      </c>
      <c r="G497" s="284">
        <f>IFERROR(VLOOKUP(E497,Assign!$C$2:$J$142,8,FALSE),)</f>
        <v>0</v>
      </c>
      <c r="H497" s="361" t="s">
        <v>4106</v>
      </c>
      <c r="I497" s="363">
        <v>1</v>
      </c>
      <c r="J497" s="364" t="s">
        <v>208</v>
      </c>
      <c r="K497" s="364" t="s">
        <v>259</v>
      </c>
      <c r="L497" s="365" t="s">
        <v>566</v>
      </c>
      <c r="M497" s="362" t="s">
        <v>1683</v>
      </c>
      <c r="N497" s="421" t="s">
        <v>207</v>
      </c>
      <c r="O497" s="269">
        <v>49.478099999999998</v>
      </c>
      <c r="P497" s="269">
        <v>84.68</v>
      </c>
      <c r="Q497" s="426"/>
      <c r="R497" s="418" t="s">
        <v>1068</v>
      </c>
      <c r="S497" s="427" t="s">
        <v>613</v>
      </c>
      <c r="T497" s="357" t="s">
        <v>229</v>
      </c>
      <c r="U497" s="357" t="s">
        <v>204</v>
      </c>
      <c r="V497" s="367">
        <v>153230000</v>
      </c>
      <c r="W497" s="368">
        <v>153230000</v>
      </c>
      <c r="X497" s="357"/>
      <c r="Y497" s="357"/>
      <c r="Z497" s="400"/>
      <c r="AA497" s="369"/>
      <c r="AB497" s="370"/>
      <c r="AC497" s="404"/>
      <c r="AD497" s="270"/>
      <c r="AE497" s="156"/>
      <c r="AF497" s="156"/>
      <c r="AG497" s="357"/>
      <c r="AH497" s="357"/>
      <c r="AI497" s="357"/>
      <c r="AJ497" s="156"/>
      <c r="AK497" s="156"/>
      <c r="AL497" s="375"/>
      <c r="AM497" s="405"/>
      <c r="AN497" s="273"/>
      <c r="AO497" s="405"/>
      <c r="AP497" s="273"/>
      <c r="AQ497" s="273"/>
      <c r="AR497" s="273"/>
      <c r="AS497" s="273"/>
      <c r="AT497" s="273"/>
      <c r="AU497" s="273"/>
      <c r="AV497" s="322">
        <f t="shared" si="23"/>
        <v>0</v>
      </c>
      <c r="AW497" s="402" t="s">
        <v>3650</v>
      </c>
      <c r="AX497" s="376">
        <v>45478</v>
      </c>
      <c r="AY497" s="373" t="s">
        <v>3652</v>
      </c>
      <c r="AZ497" s="375"/>
      <c r="BA497" s="375">
        <v>439000000</v>
      </c>
      <c r="BB497" s="375"/>
      <c r="BC497" s="375"/>
      <c r="BD497" s="353">
        <f t="shared" si="24"/>
        <v>439000000</v>
      </c>
      <c r="BE497" s="432" t="s">
        <v>335</v>
      </c>
      <c r="BF497" s="407" t="s">
        <v>499</v>
      </c>
      <c r="BG497" s="168" t="s">
        <v>3409</v>
      </c>
      <c r="BH497" s="274">
        <v>45474</v>
      </c>
      <c r="BI497" s="168" t="s">
        <v>3271</v>
      </c>
      <c r="BJ497" s="274">
        <v>45554</v>
      </c>
      <c r="BK497" s="168">
        <v>200000000</v>
      </c>
      <c r="BL497" s="275"/>
      <c r="BM497" s="276"/>
      <c r="BN497" s="275"/>
      <c r="BO497" s="276"/>
      <c r="BP497" s="277"/>
      <c r="BQ497" s="156">
        <v>439000000</v>
      </c>
      <c r="BR497" s="274">
        <v>45715</v>
      </c>
      <c r="BS497" s="270">
        <v>2</v>
      </c>
      <c r="BT497" s="270" t="s">
        <v>3357</v>
      </c>
      <c r="BU497" s="274">
        <v>45750</v>
      </c>
      <c r="BV497" s="274"/>
      <c r="BW497" s="278">
        <v>371010000</v>
      </c>
      <c r="BX497" s="278">
        <v>307300000</v>
      </c>
      <c r="BY497" s="278"/>
      <c r="BZ497" s="351"/>
    </row>
    <row r="498" spans="1:78" s="90" customFormat="1" ht="19.5" hidden="1" customHeight="1">
      <c r="A498" s="137"/>
      <c r="B498" s="197">
        <f t="shared" si="22"/>
        <v>488</v>
      </c>
      <c r="C498" s="30" t="s">
        <v>202</v>
      </c>
      <c r="D498" s="30" t="s">
        <v>225</v>
      </c>
      <c r="E498" s="234" t="s">
        <v>1069</v>
      </c>
      <c r="F498" s="235" t="s">
        <v>1235</v>
      </c>
      <c r="G498" s="284">
        <f>IFERROR(VLOOKUP(E498,Assign!$C$2:$J$142,8,FALSE),)</f>
        <v>0</v>
      </c>
      <c r="H498" s="361" t="s">
        <v>5132</v>
      </c>
      <c r="I498" s="363">
        <v>1</v>
      </c>
      <c r="J498" s="364" t="s">
        <v>212</v>
      </c>
      <c r="K498" s="364" t="s">
        <v>389</v>
      </c>
      <c r="L498" s="365" t="s">
        <v>1640</v>
      </c>
      <c r="M498" s="362" t="s">
        <v>2645</v>
      </c>
      <c r="N498" s="421" t="s">
        <v>3505</v>
      </c>
      <c r="O498" s="269">
        <v>14.07</v>
      </c>
      <c r="P498" s="269">
        <v>58.38</v>
      </c>
      <c r="Q498" s="426"/>
      <c r="R498" s="418" t="s">
        <v>1069</v>
      </c>
      <c r="S498" s="427" t="s">
        <v>613</v>
      </c>
      <c r="T498" s="357">
        <v>1</v>
      </c>
      <c r="U498" s="357" t="s">
        <v>204</v>
      </c>
      <c r="V498" s="367">
        <v>169200000</v>
      </c>
      <c r="W498" s="368">
        <v>169200000</v>
      </c>
      <c r="X498" s="357"/>
      <c r="Y498" s="357"/>
      <c r="Z498" s="400"/>
      <c r="AA498" s="369"/>
      <c r="AB498" s="370"/>
      <c r="AC498" s="404"/>
      <c r="AD498" s="270"/>
      <c r="AE498" s="156"/>
      <c r="AF498" s="156"/>
      <c r="AG498" s="357"/>
      <c r="AH498" s="357"/>
      <c r="AI498" s="357"/>
      <c r="AJ498" s="156"/>
      <c r="AK498" s="156"/>
      <c r="AL498" s="375"/>
      <c r="AM498" s="405"/>
      <c r="AN498" s="273"/>
      <c r="AO498" s="405"/>
      <c r="AP498" s="273"/>
      <c r="AQ498" s="273"/>
      <c r="AR498" s="273"/>
      <c r="AS498" s="273"/>
      <c r="AT498" s="273"/>
      <c r="AU498" s="273"/>
      <c r="AV498" s="322">
        <f t="shared" si="23"/>
        <v>0</v>
      </c>
      <c r="AW498" s="402"/>
      <c r="AX498" s="376"/>
      <c r="AY498" s="373"/>
      <c r="AZ498" s="375"/>
      <c r="BA498" s="375"/>
      <c r="BB498" s="375"/>
      <c r="BC498" s="375"/>
      <c r="BD498" s="353">
        <f t="shared" si="24"/>
        <v>0</v>
      </c>
      <c r="BE498" s="432" t="s">
        <v>355</v>
      </c>
      <c r="BF498" s="407" t="s">
        <v>496</v>
      </c>
      <c r="BG498" s="168"/>
      <c r="BH498" s="274"/>
      <c r="BI498" s="168"/>
      <c r="BJ498" s="274"/>
      <c r="BK498" s="168"/>
      <c r="BL498" s="275"/>
      <c r="BM498" s="276"/>
      <c r="BN498" s="275"/>
      <c r="BO498" s="276"/>
      <c r="BP498" s="277"/>
      <c r="BQ498" s="156"/>
      <c r="BR498" s="274"/>
      <c r="BS498" s="270"/>
      <c r="BT498" s="270"/>
      <c r="BU498" s="274"/>
      <c r="BV498" s="274"/>
      <c r="BW498" s="278"/>
      <c r="BX498" s="278"/>
      <c r="BY498" s="278"/>
      <c r="BZ498" s="351"/>
    </row>
    <row r="499" spans="1:78" s="90" customFormat="1" ht="19.5" hidden="1" customHeight="1">
      <c r="A499" s="137"/>
      <c r="B499" s="197">
        <f t="shared" si="22"/>
        <v>489</v>
      </c>
      <c r="C499" s="30" t="s">
        <v>202</v>
      </c>
      <c r="D499" s="30" t="s">
        <v>225</v>
      </c>
      <c r="E499" s="234" t="s">
        <v>1070</v>
      </c>
      <c r="F499" s="235" t="s">
        <v>1318</v>
      </c>
      <c r="G499" s="284">
        <f>IFERROR(VLOOKUP(E499,Assign!$C$2:$J$142,8,FALSE),)</f>
        <v>0</v>
      </c>
      <c r="H499" s="361" t="s">
        <v>4909</v>
      </c>
      <c r="I499" s="363">
        <v>1</v>
      </c>
      <c r="J499" s="364" t="s">
        <v>208</v>
      </c>
      <c r="K499" s="364" t="s">
        <v>365</v>
      </c>
      <c r="L499" s="365" t="s">
        <v>1750</v>
      </c>
      <c r="M499" s="362" t="s">
        <v>2428</v>
      </c>
      <c r="N499" s="421" t="s">
        <v>606</v>
      </c>
      <c r="O499" s="269">
        <v>38.181699999999999</v>
      </c>
      <c r="P499" s="269">
        <v>80.915000000000006</v>
      </c>
      <c r="Q499" s="426"/>
      <c r="R499" s="418" t="s">
        <v>3365</v>
      </c>
      <c r="S499" s="427" t="s">
        <v>613</v>
      </c>
      <c r="T499" s="357">
        <v>1</v>
      </c>
      <c r="U499" s="357" t="s">
        <v>204</v>
      </c>
      <c r="V499" s="367">
        <v>187200000</v>
      </c>
      <c r="W499" s="368">
        <v>187200000</v>
      </c>
      <c r="X499" s="357"/>
      <c r="Y499" s="357"/>
      <c r="Z499" s="400"/>
      <c r="AA499" s="369"/>
      <c r="AB499" s="370"/>
      <c r="AC499" s="404"/>
      <c r="AD499" s="270"/>
      <c r="AE499" s="156"/>
      <c r="AF499" s="156"/>
      <c r="AG499" s="357"/>
      <c r="AH499" s="357"/>
      <c r="AI499" s="357"/>
      <c r="AJ499" s="156"/>
      <c r="AK499" s="156"/>
      <c r="AL499" s="375"/>
      <c r="AM499" s="405"/>
      <c r="AN499" s="273"/>
      <c r="AO499" s="405"/>
      <c r="AP499" s="273"/>
      <c r="AQ499" s="273"/>
      <c r="AR499" s="273"/>
      <c r="AS499" s="273"/>
      <c r="AT499" s="273"/>
      <c r="AU499" s="273"/>
      <c r="AV499" s="322">
        <f t="shared" si="23"/>
        <v>0</v>
      </c>
      <c r="AW499" s="402"/>
      <c r="AX499" s="376"/>
      <c r="AY499" s="373"/>
      <c r="AZ499" s="375"/>
      <c r="BA499" s="375"/>
      <c r="BB499" s="375"/>
      <c r="BC499" s="375"/>
      <c r="BD499" s="353">
        <f t="shared" si="24"/>
        <v>0</v>
      </c>
      <c r="BE499" s="432" t="s">
        <v>355</v>
      </c>
      <c r="BF499" s="407" t="s">
        <v>422</v>
      </c>
      <c r="BG499" s="168"/>
      <c r="BH499" s="274"/>
      <c r="BI499" s="168"/>
      <c r="BJ499" s="274"/>
      <c r="BK499" s="168"/>
      <c r="BL499" s="275"/>
      <c r="BM499" s="276"/>
      <c r="BN499" s="275"/>
      <c r="BO499" s="276"/>
      <c r="BP499" s="277"/>
      <c r="BQ499" s="156"/>
      <c r="BR499" s="274"/>
      <c r="BS499" s="270"/>
      <c r="BT499" s="270"/>
      <c r="BU499" s="274"/>
      <c r="BV499" s="274"/>
      <c r="BW499" s="278"/>
      <c r="BX499" s="278"/>
      <c r="BY499" s="278"/>
      <c r="BZ499" s="351"/>
    </row>
    <row r="500" spans="1:78" s="90" customFormat="1" ht="19.5" hidden="1" customHeight="1">
      <c r="A500" s="137"/>
      <c r="B500" s="197">
        <f t="shared" si="22"/>
        <v>490</v>
      </c>
      <c r="C500" s="30" t="s">
        <v>202</v>
      </c>
      <c r="D500" s="30" t="s">
        <v>225</v>
      </c>
      <c r="E500" s="234" t="s">
        <v>1071</v>
      </c>
      <c r="F500" s="235" t="s">
        <v>1244</v>
      </c>
      <c r="G500" s="284">
        <f>IFERROR(VLOOKUP(E500,Assign!$C$2:$J$142,8,FALSE),)</f>
        <v>0</v>
      </c>
      <c r="H500" s="361" t="s">
        <v>4907</v>
      </c>
      <c r="I500" s="363">
        <v>1</v>
      </c>
      <c r="J500" s="364" t="s">
        <v>208</v>
      </c>
      <c r="K500" s="364" t="s">
        <v>280</v>
      </c>
      <c r="L500" s="365" t="s">
        <v>323</v>
      </c>
      <c r="M500" s="362" t="s">
        <v>2426</v>
      </c>
      <c r="N500" s="421" t="s">
        <v>207</v>
      </c>
      <c r="O500" s="269">
        <v>50.41</v>
      </c>
      <c r="P500" s="269">
        <v>79.510800000000003</v>
      </c>
      <c r="Q500" s="426"/>
      <c r="R500" s="418" t="s">
        <v>1071</v>
      </c>
      <c r="S500" s="427" t="s">
        <v>613</v>
      </c>
      <c r="T500" s="357">
        <v>1</v>
      </c>
      <c r="U500" s="357" t="s">
        <v>204</v>
      </c>
      <c r="V500" s="367">
        <v>181500000</v>
      </c>
      <c r="W500" s="368">
        <v>181500000</v>
      </c>
      <c r="X500" s="357"/>
      <c r="Y500" s="357"/>
      <c r="Z500" s="400"/>
      <c r="AA500" s="369"/>
      <c r="AB500" s="370"/>
      <c r="AC500" s="404"/>
      <c r="AD500" s="270"/>
      <c r="AE500" s="156"/>
      <c r="AF500" s="156"/>
      <c r="AG500" s="357"/>
      <c r="AH500" s="357"/>
      <c r="AI500" s="357"/>
      <c r="AJ500" s="156"/>
      <c r="AK500" s="156"/>
      <c r="AL500" s="375"/>
      <c r="AM500" s="405"/>
      <c r="AN500" s="273"/>
      <c r="AO500" s="405"/>
      <c r="AP500" s="273"/>
      <c r="AQ500" s="273"/>
      <c r="AR500" s="273"/>
      <c r="AS500" s="273"/>
      <c r="AT500" s="273"/>
      <c r="AU500" s="273"/>
      <c r="AV500" s="322">
        <f t="shared" si="23"/>
        <v>0</v>
      </c>
      <c r="AW500" s="402" t="s">
        <v>3387</v>
      </c>
      <c r="AX500" s="376">
        <v>45765</v>
      </c>
      <c r="AY500" s="373" t="s">
        <v>3388</v>
      </c>
      <c r="AZ500" s="375"/>
      <c r="BA500" s="375">
        <v>347500000</v>
      </c>
      <c r="BB500" s="375"/>
      <c r="BC500" s="375"/>
      <c r="BD500" s="353">
        <f t="shared" si="24"/>
        <v>347500000</v>
      </c>
      <c r="BE500" s="432" t="s">
        <v>355</v>
      </c>
      <c r="BF500" s="407" t="s">
        <v>422</v>
      </c>
      <c r="BG500" s="168"/>
      <c r="BH500" s="274"/>
      <c r="BI500" s="168"/>
      <c r="BJ500" s="274"/>
      <c r="BK500" s="168"/>
      <c r="BL500" s="275"/>
      <c r="BM500" s="276"/>
      <c r="BN500" s="275"/>
      <c r="BO500" s="276"/>
      <c r="BP500" s="277"/>
      <c r="BQ500" s="156"/>
      <c r="BR500" s="274"/>
      <c r="BS500" s="270"/>
      <c r="BT500" s="270"/>
      <c r="BU500" s="274"/>
      <c r="BV500" s="274"/>
      <c r="BW500" s="278"/>
      <c r="BX500" s="278"/>
      <c r="BY500" s="278"/>
      <c r="BZ500" s="351"/>
    </row>
    <row r="501" spans="1:78" s="90" customFormat="1" ht="19.5" customHeight="1">
      <c r="A501" s="137"/>
      <c r="B501" s="197">
        <f t="shared" si="22"/>
        <v>491</v>
      </c>
      <c r="C501" s="30" t="s">
        <v>202</v>
      </c>
      <c r="D501" s="30" t="s">
        <v>225</v>
      </c>
      <c r="E501" s="234" t="s">
        <v>1072</v>
      </c>
      <c r="F501" s="235" t="s">
        <v>1225</v>
      </c>
      <c r="G501" s="284" t="str">
        <f>IFERROR(VLOOKUP(E501,Assign!$C$2:$J$142,8,FALSE),)</f>
        <v>문선영</v>
      </c>
      <c r="H501" s="361" t="s">
        <v>4749</v>
      </c>
      <c r="I501" s="363">
        <v>1</v>
      </c>
      <c r="J501" s="364" t="s">
        <v>212</v>
      </c>
      <c r="K501" s="364" t="s">
        <v>241</v>
      </c>
      <c r="L501" s="365" t="s">
        <v>1678</v>
      </c>
      <c r="M501" s="362" t="s">
        <v>2282</v>
      </c>
      <c r="N501" s="421" t="s">
        <v>207</v>
      </c>
      <c r="O501" s="269">
        <v>35.31</v>
      </c>
      <c r="P501" s="269">
        <v>84.87</v>
      </c>
      <c r="Q501" s="426"/>
      <c r="R501" s="418" t="s">
        <v>1072</v>
      </c>
      <c r="S501" s="427" t="s">
        <v>613</v>
      </c>
      <c r="T501" s="357" t="s">
        <v>229</v>
      </c>
      <c r="U501" s="357" t="s">
        <v>204</v>
      </c>
      <c r="V501" s="367">
        <v>186900000</v>
      </c>
      <c r="W501" s="368">
        <v>186900000</v>
      </c>
      <c r="X501" s="357"/>
      <c r="Y501" s="357"/>
      <c r="Z501" s="400"/>
      <c r="AA501" s="369"/>
      <c r="AB501" s="370"/>
      <c r="AC501" s="404"/>
      <c r="AD501" s="270"/>
      <c r="AE501" s="156"/>
      <c r="AF501" s="156"/>
      <c r="AG501" s="357"/>
      <c r="AH501" s="357"/>
      <c r="AI501" s="357"/>
      <c r="AJ501" s="156"/>
      <c r="AK501" s="156"/>
      <c r="AL501" s="375"/>
      <c r="AM501" s="405"/>
      <c r="AN501" s="273"/>
      <c r="AO501" s="405"/>
      <c r="AP501" s="273"/>
      <c r="AQ501" s="273"/>
      <c r="AR501" s="273"/>
      <c r="AS501" s="273"/>
      <c r="AT501" s="273"/>
      <c r="AU501" s="273"/>
      <c r="AV501" s="322">
        <f t="shared" si="23"/>
        <v>0</v>
      </c>
      <c r="AW501" s="402" t="s">
        <v>3387</v>
      </c>
      <c r="AX501" s="376">
        <v>45765</v>
      </c>
      <c r="AY501" s="373" t="s">
        <v>3388</v>
      </c>
      <c r="AZ501" s="375"/>
      <c r="BA501" s="375">
        <v>322500000</v>
      </c>
      <c r="BB501" s="375"/>
      <c r="BC501" s="375"/>
      <c r="BD501" s="353">
        <f t="shared" si="24"/>
        <v>322500000</v>
      </c>
      <c r="BE501" s="432" t="s">
        <v>335</v>
      </c>
      <c r="BF501" s="407" t="s">
        <v>496</v>
      </c>
      <c r="BG501" s="168" t="s">
        <v>3302</v>
      </c>
      <c r="BH501" s="274">
        <v>45583</v>
      </c>
      <c r="BI501" s="168" t="s">
        <v>3247</v>
      </c>
      <c r="BJ501" s="274">
        <v>45667</v>
      </c>
      <c r="BK501" s="168">
        <v>20817864</v>
      </c>
      <c r="BL501" s="275"/>
      <c r="BM501" s="276"/>
      <c r="BN501" s="275"/>
      <c r="BO501" s="276"/>
      <c r="BP501" s="277"/>
      <c r="BQ501" s="156"/>
      <c r="BR501" s="274"/>
      <c r="BS501" s="270"/>
      <c r="BT501" s="270"/>
      <c r="BU501" s="274"/>
      <c r="BV501" s="274"/>
      <c r="BW501" s="278"/>
      <c r="BX501" s="278"/>
      <c r="BY501" s="278"/>
      <c r="BZ501" s="351"/>
    </row>
    <row r="502" spans="1:78" s="90" customFormat="1" ht="19.5" hidden="1" customHeight="1">
      <c r="A502" s="137"/>
      <c r="B502" s="197">
        <f t="shared" si="22"/>
        <v>492</v>
      </c>
      <c r="C502" s="30" t="s">
        <v>202</v>
      </c>
      <c r="D502" s="30" t="s">
        <v>225</v>
      </c>
      <c r="E502" s="234" t="s">
        <v>1073</v>
      </c>
      <c r="F502" s="235" t="s">
        <v>1279</v>
      </c>
      <c r="G502" s="284">
        <f>IFERROR(VLOOKUP(E502,Assign!$C$2:$J$142,8,FALSE),)</f>
        <v>0</v>
      </c>
      <c r="H502" s="361" t="s">
        <v>4777</v>
      </c>
      <c r="I502" s="363">
        <v>1</v>
      </c>
      <c r="J502" s="364" t="s">
        <v>208</v>
      </c>
      <c r="K502" s="364" t="s">
        <v>242</v>
      </c>
      <c r="L502" s="365" t="s">
        <v>279</v>
      </c>
      <c r="M502" s="362" t="s">
        <v>2308</v>
      </c>
      <c r="N502" s="421" t="s">
        <v>207</v>
      </c>
      <c r="O502" s="269">
        <v>55.973599999999998</v>
      </c>
      <c r="P502" s="269">
        <v>59.97</v>
      </c>
      <c r="Q502" s="426"/>
      <c r="R502" s="418" t="s">
        <v>1073</v>
      </c>
      <c r="S502" s="427" t="s">
        <v>613</v>
      </c>
      <c r="T502" s="357">
        <v>1</v>
      </c>
      <c r="U502" s="357" t="s">
        <v>204</v>
      </c>
      <c r="V502" s="367">
        <v>153000000</v>
      </c>
      <c r="W502" s="368">
        <v>153000000</v>
      </c>
      <c r="X502" s="357"/>
      <c r="Y502" s="357"/>
      <c r="Z502" s="400"/>
      <c r="AA502" s="369"/>
      <c r="AB502" s="370"/>
      <c r="AC502" s="404"/>
      <c r="AD502" s="270"/>
      <c r="AE502" s="156"/>
      <c r="AF502" s="156"/>
      <c r="AG502" s="357"/>
      <c r="AH502" s="357"/>
      <c r="AI502" s="357"/>
      <c r="AJ502" s="156"/>
      <c r="AK502" s="156"/>
      <c r="AL502" s="375"/>
      <c r="AM502" s="405"/>
      <c r="AN502" s="273"/>
      <c r="AO502" s="405"/>
      <c r="AP502" s="273"/>
      <c r="AQ502" s="273"/>
      <c r="AR502" s="273"/>
      <c r="AS502" s="273"/>
      <c r="AT502" s="273"/>
      <c r="AU502" s="273"/>
      <c r="AV502" s="322">
        <f t="shared" si="23"/>
        <v>0</v>
      </c>
      <c r="AW502" s="402" t="s">
        <v>3387</v>
      </c>
      <c r="AX502" s="376">
        <v>45765</v>
      </c>
      <c r="AY502" s="373" t="s">
        <v>3388</v>
      </c>
      <c r="AZ502" s="375"/>
      <c r="BA502" s="375">
        <v>245000000</v>
      </c>
      <c r="BB502" s="375"/>
      <c r="BC502" s="375"/>
      <c r="BD502" s="353">
        <f t="shared" si="24"/>
        <v>245000000</v>
      </c>
      <c r="BE502" s="432" t="s">
        <v>355</v>
      </c>
      <c r="BF502" s="407" t="s">
        <v>502</v>
      </c>
      <c r="BG502" s="168"/>
      <c r="BH502" s="274"/>
      <c r="BI502" s="168"/>
      <c r="BJ502" s="274"/>
      <c r="BK502" s="168"/>
      <c r="BL502" s="275"/>
      <c r="BM502" s="276"/>
      <c r="BN502" s="275"/>
      <c r="BO502" s="276"/>
      <c r="BP502" s="277"/>
      <c r="BQ502" s="156"/>
      <c r="BR502" s="274"/>
      <c r="BS502" s="270"/>
      <c r="BT502" s="270"/>
      <c r="BU502" s="274"/>
      <c r="BV502" s="274"/>
      <c r="BW502" s="278"/>
      <c r="BX502" s="278"/>
      <c r="BY502" s="278"/>
      <c r="BZ502" s="351"/>
    </row>
    <row r="503" spans="1:78" s="90" customFormat="1" ht="19.5" hidden="1" customHeight="1">
      <c r="A503" s="137"/>
      <c r="B503" s="197">
        <f t="shared" si="22"/>
        <v>493</v>
      </c>
      <c r="C503" s="30" t="s">
        <v>202</v>
      </c>
      <c r="D503" s="30" t="s">
        <v>225</v>
      </c>
      <c r="E503" s="234" t="s">
        <v>1074</v>
      </c>
      <c r="F503" s="235" t="s">
        <v>1227</v>
      </c>
      <c r="G503" s="284">
        <f>IFERROR(VLOOKUP(E503,Assign!$C$2:$J$142,8,FALSE),)</f>
        <v>0</v>
      </c>
      <c r="H503" s="361" t="s">
        <v>4611</v>
      </c>
      <c r="I503" s="363">
        <v>1</v>
      </c>
      <c r="J503" s="364" t="s">
        <v>209</v>
      </c>
      <c r="K503" s="364" t="s">
        <v>305</v>
      </c>
      <c r="L503" s="365" t="s">
        <v>2147</v>
      </c>
      <c r="M503" s="362" t="s">
        <v>2148</v>
      </c>
      <c r="N503" s="421" t="s">
        <v>207</v>
      </c>
      <c r="O503" s="269">
        <v>39.619999999999997</v>
      </c>
      <c r="P503" s="269">
        <v>66.28</v>
      </c>
      <c r="Q503" s="426"/>
      <c r="R503" s="418" t="s">
        <v>1074</v>
      </c>
      <c r="S503" s="427" t="s">
        <v>613</v>
      </c>
      <c r="T503" s="357">
        <v>1</v>
      </c>
      <c r="U503" s="357" t="s">
        <v>204</v>
      </c>
      <c r="V503" s="367">
        <v>182400000</v>
      </c>
      <c r="W503" s="368">
        <v>182400000</v>
      </c>
      <c r="X503" s="357"/>
      <c r="Y503" s="357"/>
      <c r="Z503" s="400"/>
      <c r="AA503" s="369"/>
      <c r="AB503" s="370"/>
      <c r="AC503" s="404"/>
      <c r="AD503" s="270"/>
      <c r="AE503" s="156"/>
      <c r="AF503" s="156"/>
      <c r="AG503" s="357"/>
      <c r="AH503" s="357"/>
      <c r="AI503" s="357"/>
      <c r="AJ503" s="156"/>
      <c r="AK503" s="156"/>
      <c r="AL503" s="375"/>
      <c r="AM503" s="405"/>
      <c r="AN503" s="273"/>
      <c r="AO503" s="405"/>
      <c r="AP503" s="273"/>
      <c r="AQ503" s="273"/>
      <c r="AR503" s="273"/>
      <c r="AS503" s="273"/>
      <c r="AT503" s="273"/>
      <c r="AU503" s="273"/>
      <c r="AV503" s="322">
        <f t="shared" si="23"/>
        <v>0</v>
      </c>
      <c r="AW503" s="402" t="s">
        <v>3650</v>
      </c>
      <c r="AX503" s="376">
        <v>45572</v>
      </c>
      <c r="AY503" s="373" t="s">
        <v>3656</v>
      </c>
      <c r="AZ503" s="375"/>
      <c r="BA503" s="375">
        <v>450000000</v>
      </c>
      <c r="BB503" s="375"/>
      <c r="BC503" s="375"/>
      <c r="BD503" s="353">
        <f t="shared" si="24"/>
        <v>450000000</v>
      </c>
      <c r="BE503" s="432" t="s">
        <v>335</v>
      </c>
      <c r="BF503" s="407" t="s">
        <v>510</v>
      </c>
      <c r="BG503" s="168" t="s">
        <v>3312</v>
      </c>
      <c r="BH503" s="274">
        <v>45542</v>
      </c>
      <c r="BI503" s="168" t="s">
        <v>3238</v>
      </c>
      <c r="BJ503" s="274">
        <v>45637</v>
      </c>
      <c r="BK503" s="168">
        <v>82672550</v>
      </c>
      <c r="BL503" s="275"/>
      <c r="BM503" s="276"/>
      <c r="BN503" s="275"/>
      <c r="BO503" s="276"/>
      <c r="BP503" s="277"/>
      <c r="BQ503" s="156">
        <v>450000000</v>
      </c>
      <c r="BR503" s="274">
        <v>45790</v>
      </c>
      <c r="BS503" s="270"/>
      <c r="BT503" s="270"/>
      <c r="BU503" s="274"/>
      <c r="BV503" s="274"/>
      <c r="BW503" s="278"/>
      <c r="BX503" s="278"/>
      <c r="BY503" s="278"/>
      <c r="BZ503" s="351"/>
    </row>
    <row r="504" spans="1:78" s="90" customFormat="1" ht="19.5" hidden="1" customHeight="1">
      <c r="A504" s="137"/>
      <c r="B504" s="197">
        <f t="shared" si="22"/>
        <v>494</v>
      </c>
      <c r="C504" s="30" t="s">
        <v>202</v>
      </c>
      <c r="D504" s="30" t="s">
        <v>225</v>
      </c>
      <c r="E504" s="234" t="s">
        <v>1075</v>
      </c>
      <c r="F504" s="235" t="s">
        <v>1231</v>
      </c>
      <c r="G504" s="284">
        <f>IFERROR(VLOOKUP(E504,Assign!$C$2:$J$142,8,FALSE),)</f>
        <v>0</v>
      </c>
      <c r="H504" s="361" t="s">
        <v>5281</v>
      </c>
      <c r="I504" s="363">
        <v>1</v>
      </c>
      <c r="J504" s="364" t="s">
        <v>208</v>
      </c>
      <c r="K504" s="364" t="s">
        <v>261</v>
      </c>
      <c r="L504" s="365" t="s">
        <v>262</v>
      </c>
      <c r="M504" s="362" t="s">
        <v>2768</v>
      </c>
      <c r="N504" s="421" t="s">
        <v>546</v>
      </c>
      <c r="O504" s="269">
        <v>13.43</v>
      </c>
      <c r="P504" s="269">
        <v>34.4</v>
      </c>
      <c r="Q504" s="426"/>
      <c r="R504" s="418" t="s">
        <v>1075</v>
      </c>
      <c r="S504" s="427" t="s">
        <v>613</v>
      </c>
      <c r="T504" s="357">
        <v>1</v>
      </c>
      <c r="U504" s="357" t="s">
        <v>204</v>
      </c>
      <c r="V504" s="367">
        <v>156000000</v>
      </c>
      <c r="W504" s="368">
        <v>156000000</v>
      </c>
      <c r="X504" s="357"/>
      <c r="Y504" s="357"/>
      <c r="Z504" s="400"/>
      <c r="AA504" s="369"/>
      <c r="AB504" s="370"/>
      <c r="AC504" s="404"/>
      <c r="AD504" s="270"/>
      <c r="AE504" s="156"/>
      <c r="AF504" s="156"/>
      <c r="AG504" s="357"/>
      <c r="AH504" s="357"/>
      <c r="AI504" s="357"/>
      <c r="AJ504" s="156"/>
      <c r="AK504" s="156"/>
      <c r="AL504" s="375"/>
      <c r="AM504" s="405"/>
      <c r="AN504" s="273"/>
      <c r="AO504" s="405"/>
      <c r="AP504" s="273"/>
      <c r="AQ504" s="273"/>
      <c r="AR504" s="273"/>
      <c r="AS504" s="273"/>
      <c r="AT504" s="273"/>
      <c r="AU504" s="273"/>
      <c r="AV504" s="322">
        <f t="shared" si="23"/>
        <v>0</v>
      </c>
      <c r="AW504" s="402"/>
      <c r="AX504" s="376"/>
      <c r="AY504" s="373"/>
      <c r="AZ504" s="375"/>
      <c r="BA504" s="375"/>
      <c r="BB504" s="375"/>
      <c r="BC504" s="375"/>
      <c r="BD504" s="353">
        <f t="shared" si="24"/>
        <v>0</v>
      </c>
      <c r="BE504" s="432" t="s">
        <v>355</v>
      </c>
      <c r="BF504" s="407" t="s">
        <v>499</v>
      </c>
      <c r="BG504" s="168"/>
      <c r="BH504" s="274"/>
      <c r="BI504" s="168"/>
      <c r="BJ504" s="274"/>
      <c r="BK504" s="168"/>
      <c r="BL504" s="275"/>
      <c r="BM504" s="276"/>
      <c r="BN504" s="275"/>
      <c r="BO504" s="276"/>
      <c r="BP504" s="277"/>
      <c r="BQ504" s="156"/>
      <c r="BR504" s="274"/>
      <c r="BS504" s="270"/>
      <c r="BT504" s="270"/>
      <c r="BU504" s="274"/>
      <c r="BV504" s="274"/>
      <c r="BW504" s="278"/>
      <c r="BX504" s="278"/>
      <c r="BY504" s="278"/>
      <c r="BZ504" s="351"/>
    </row>
    <row r="505" spans="1:78" s="90" customFormat="1" ht="19.5" hidden="1" customHeight="1">
      <c r="A505" s="137"/>
      <c r="B505" s="197">
        <f t="shared" si="22"/>
        <v>495</v>
      </c>
      <c r="C505" s="30" t="s">
        <v>202</v>
      </c>
      <c r="D505" s="30" t="s">
        <v>225</v>
      </c>
      <c r="E505" s="234" t="s">
        <v>1076</v>
      </c>
      <c r="F505" s="235" t="s">
        <v>1229</v>
      </c>
      <c r="G505" s="284" t="str">
        <f>IFERROR(VLOOKUP(E505,Assign!$C$2:$J$142,8,FALSE),)</f>
        <v>문선영</v>
      </c>
      <c r="H505" s="361" t="s">
        <v>4221</v>
      </c>
      <c r="I505" s="363">
        <v>1</v>
      </c>
      <c r="J505" s="364" t="s">
        <v>208</v>
      </c>
      <c r="K505" s="364" t="s">
        <v>301</v>
      </c>
      <c r="L505" s="365" t="s">
        <v>1798</v>
      </c>
      <c r="M505" s="362" t="s">
        <v>1799</v>
      </c>
      <c r="N505" s="421" t="s">
        <v>362</v>
      </c>
      <c r="O505" s="269">
        <v>15.855700000000001</v>
      </c>
      <c r="P505" s="269">
        <v>31.395</v>
      </c>
      <c r="Q505" s="426"/>
      <c r="R505" s="418" t="s">
        <v>3417</v>
      </c>
      <c r="S505" s="427" t="s">
        <v>613</v>
      </c>
      <c r="T505" s="357">
        <v>1</v>
      </c>
      <c r="U505" s="357" t="s">
        <v>204</v>
      </c>
      <c r="V505" s="367">
        <v>168000000</v>
      </c>
      <c r="W505" s="368">
        <v>168000000</v>
      </c>
      <c r="X505" s="357"/>
      <c r="Y505" s="357"/>
      <c r="Z505" s="400"/>
      <c r="AA505" s="369"/>
      <c r="AB505" s="370"/>
      <c r="AC505" s="404"/>
      <c r="AD505" s="270"/>
      <c r="AE505" s="156"/>
      <c r="AF505" s="156"/>
      <c r="AG505" s="357"/>
      <c r="AH505" s="357"/>
      <c r="AI505" s="357"/>
      <c r="AJ505" s="156"/>
      <c r="AK505" s="156"/>
      <c r="AL505" s="375"/>
      <c r="AM505" s="405"/>
      <c r="AN505" s="273"/>
      <c r="AO505" s="405"/>
      <c r="AP505" s="273"/>
      <c r="AQ505" s="273"/>
      <c r="AR505" s="273"/>
      <c r="AS505" s="273"/>
      <c r="AT505" s="273"/>
      <c r="AU505" s="273"/>
      <c r="AV505" s="322">
        <f t="shared" si="23"/>
        <v>0</v>
      </c>
      <c r="AW505" s="402"/>
      <c r="AX505" s="376"/>
      <c r="AY505" s="373"/>
      <c r="AZ505" s="375"/>
      <c r="BA505" s="375"/>
      <c r="BB505" s="375"/>
      <c r="BC505" s="375"/>
      <c r="BD505" s="353">
        <f t="shared" si="24"/>
        <v>0</v>
      </c>
      <c r="BE505" s="432" t="s">
        <v>355</v>
      </c>
      <c r="BF505" s="407" t="s">
        <v>502</v>
      </c>
      <c r="BG505" s="168"/>
      <c r="BH505" s="274"/>
      <c r="BI505" s="168"/>
      <c r="BJ505" s="274"/>
      <c r="BK505" s="168"/>
      <c r="BL505" s="275"/>
      <c r="BM505" s="276"/>
      <c r="BN505" s="275"/>
      <c r="BO505" s="276"/>
      <c r="BP505" s="277"/>
      <c r="BQ505" s="156"/>
      <c r="BR505" s="274"/>
      <c r="BS505" s="270"/>
      <c r="BT505" s="270"/>
      <c r="BU505" s="274"/>
      <c r="BV505" s="274"/>
      <c r="BW505" s="278"/>
      <c r="BX505" s="278"/>
      <c r="BY505" s="278"/>
      <c r="BZ505" s="351"/>
    </row>
    <row r="506" spans="1:78" s="90" customFormat="1" ht="19.5" hidden="1" customHeight="1">
      <c r="A506" s="137"/>
      <c r="B506" s="197">
        <f t="shared" si="22"/>
        <v>496</v>
      </c>
      <c r="C506" s="30" t="s">
        <v>202</v>
      </c>
      <c r="D506" s="30" t="s">
        <v>225</v>
      </c>
      <c r="E506" s="234" t="s">
        <v>1077</v>
      </c>
      <c r="F506" s="235" t="s">
        <v>1231</v>
      </c>
      <c r="G506" s="284">
        <f>IFERROR(VLOOKUP(E506,Assign!$C$2:$J$142,8,FALSE),)</f>
        <v>0</v>
      </c>
      <c r="H506" s="361" t="s">
        <v>4028</v>
      </c>
      <c r="I506" s="363">
        <v>1</v>
      </c>
      <c r="J506" s="364" t="s">
        <v>209</v>
      </c>
      <c r="K506" s="364" t="s">
        <v>231</v>
      </c>
      <c r="L506" s="365" t="s">
        <v>1602</v>
      </c>
      <c r="M506" s="362" t="s">
        <v>1603</v>
      </c>
      <c r="N506" s="421" t="s">
        <v>207</v>
      </c>
      <c r="O506" s="269">
        <v>43.301968658178303</v>
      </c>
      <c r="P506" s="269">
        <v>79.790000000000006</v>
      </c>
      <c r="Q506" s="426"/>
      <c r="R506" s="418" t="s">
        <v>1077</v>
      </c>
      <c r="S506" s="427" t="s">
        <v>613</v>
      </c>
      <c r="T506" s="357">
        <v>1</v>
      </c>
      <c r="U506" s="357" t="s">
        <v>204</v>
      </c>
      <c r="V506" s="367">
        <v>156000000</v>
      </c>
      <c r="W506" s="368">
        <v>156000000</v>
      </c>
      <c r="X506" s="357"/>
      <c r="Y506" s="357"/>
      <c r="Z506" s="400"/>
      <c r="AA506" s="369"/>
      <c r="AB506" s="370"/>
      <c r="AC506" s="404"/>
      <c r="AD506" s="270"/>
      <c r="AE506" s="156"/>
      <c r="AF506" s="156"/>
      <c r="AG506" s="357"/>
      <c r="AH506" s="357"/>
      <c r="AI506" s="357"/>
      <c r="AJ506" s="156"/>
      <c r="AK506" s="156"/>
      <c r="AL506" s="375"/>
      <c r="AM506" s="405"/>
      <c r="AN506" s="273"/>
      <c r="AO506" s="405"/>
      <c r="AP506" s="273"/>
      <c r="AQ506" s="273"/>
      <c r="AR506" s="273"/>
      <c r="AS506" s="273"/>
      <c r="AT506" s="273"/>
      <c r="AU506" s="273"/>
      <c r="AV506" s="322">
        <f t="shared" si="23"/>
        <v>0</v>
      </c>
      <c r="AW506" s="402" t="s">
        <v>3387</v>
      </c>
      <c r="AX506" s="376">
        <v>45765</v>
      </c>
      <c r="AY506" s="373" t="s">
        <v>3388</v>
      </c>
      <c r="AZ506" s="375"/>
      <c r="BA506" s="375">
        <v>920000000</v>
      </c>
      <c r="BB506" s="375"/>
      <c r="BC506" s="375"/>
      <c r="BD506" s="353">
        <f t="shared" si="24"/>
        <v>920000000</v>
      </c>
      <c r="BE506" s="432" t="s">
        <v>355</v>
      </c>
      <c r="BF506" s="407" t="s">
        <v>511</v>
      </c>
      <c r="BG506" s="168"/>
      <c r="BH506" s="274"/>
      <c r="BI506" s="168"/>
      <c r="BJ506" s="274"/>
      <c r="BK506" s="168"/>
      <c r="BL506" s="275"/>
      <c r="BM506" s="276"/>
      <c r="BN506" s="275"/>
      <c r="BO506" s="276"/>
      <c r="BP506" s="277"/>
      <c r="BQ506" s="156"/>
      <c r="BR506" s="274"/>
      <c r="BS506" s="270"/>
      <c r="BT506" s="270"/>
      <c r="BU506" s="274"/>
      <c r="BV506" s="274"/>
      <c r="BW506" s="278"/>
      <c r="BX506" s="278"/>
      <c r="BY506" s="278"/>
      <c r="BZ506" s="351"/>
    </row>
    <row r="507" spans="1:78" s="90" customFormat="1" ht="19.5" hidden="1" customHeight="1">
      <c r="A507" s="137"/>
      <c r="B507" s="197">
        <f t="shared" si="22"/>
        <v>497</v>
      </c>
      <c r="C507" s="30" t="s">
        <v>202</v>
      </c>
      <c r="D507" s="30" t="s">
        <v>225</v>
      </c>
      <c r="E507" s="234" t="s">
        <v>1078</v>
      </c>
      <c r="F507" s="235" t="s">
        <v>1217</v>
      </c>
      <c r="G507" s="284">
        <f>IFERROR(VLOOKUP(E507,Assign!$C$2:$J$142,8,FALSE),)</f>
        <v>0</v>
      </c>
      <c r="H507" s="361" t="s">
        <v>4187</v>
      </c>
      <c r="I507" s="363">
        <v>1</v>
      </c>
      <c r="J507" s="364" t="s">
        <v>208</v>
      </c>
      <c r="K507" s="364" t="s">
        <v>258</v>
      </c>
      <c r="L507" s="365" t="s">
        <v>1761</v>
      </c>
      <c r="M507" s="362" t="s">
        <v>1762</v>
      </c>
      <c r="N507" s="421" t="s">
        <v>207</v>
      </c>
      <c r="O507" s="269">
        <v>32.851999999999997</v>
      </c>
      <c r="P507" s="269">
        <v>59.988999999999997</v>
      </c>
      <c r="Q507" s="426"/>
      <c r="R507" s="418" t="s">
        <v>1078</v>
      </c>
      <c r="S507" s="427" t="s">
        <v>613</v>
      </c>
      <c r="T507" s="357" t="s">
        <v>229</v>
      </c>
      <c r="U507" s="357" t="s">
        <v>204</v>
      </c>
      <c r="V507" s="367">
        <v>174300000</v>
      </c>
      <c r="W507" s="368">
        <v>174300000</v>
      </c>
      <c r="X507" s="357"/>
      <c r="Y507" s="357"/>
      <c r="Z507" s="400"/>
      <c r="AA507" s="369"/>
      <c r="AB507" s="370"/>
      <c r="AC507" s="404"/>
      <c r="AD507" s="270"/>
      <c r="AE507" s="156"/>
      <c r="AF507" s="156"/>
      <c r="AG507" s="357"/>
      <c r="AH507" s="357"/>
      <c r="AI507" s="357"/>
      <c r="AJ507" s="156"/>
      <c r="AK507" s="156"/>
      <c r="AL507" s="375"/>
      <c r="AM507" s="405"/>
      <c r="AN507" s="273"/>
      <c r="AO507" s="405"/>
      <c r="AP507" s="273"/>
      <c r="AQ507" s="273"/>
      <c r="AR507" s="273"/>
      <c r="AS507" s="273"/>
      <c r="AT507" s="273"/>
      <c r="AU507" s="273"/>
      <c r="AV507" s="322">
        <f t="shared" si="23"/>
        <v>0</v>
      </c>
      <c r="AW507" s="402" t="s">
        <v>3387</v>
      </c>
      <c r="AX507" s="376">
        <v>45765</v>
      </c>
      <c r="AY507" s="373" t="s">
        <v>3388</v>
      </c>
      <c r="AZ507" s="375"/>
      <c r="BA507" s="375">
        <v>307500000</v>
      </c>
      <c r="BB507" s="375"/>
      <c r="BC507" s="375"/>
      <c r="BD507" s="353">
        <f t="shared" si="24"/>
        <v>307500000</v>
      </c>
      <c r="BE507" s="432" t="s">
        <v>335</v>
      </c>
      <c r="BF507" s="407" t="s">
        <v>498</v>
      </c>
      <c r="BG507" s="168" t="s">
        <v>3274</v>
      </c>
      <c r="BH507" s="274">
        <v>45349</v>
      </c>
      <c r="BI507" s="168" t="s">
        <v>3275</v>
      </c>
      <c r="BJ507" s="274">
        <v>45433</v>
      </c>
      <c r="BK507" s="168">
        <v>234307677</v>
      </c>
      <c r="BL507" s="275"/>
      <c r="BM507" s="276"/>
      <c r="BN507" s="275"/>
      <c r="BO507" s="276"/>
      <c r="BP507" s="277"/>
      <c r="BQ507" s="156"/>
      <c r="BR507" s="274"/>
      <c r="BS507" s="270"/>
      <c r="BT507" s="270"/>
      <c r="BU507" s="274"/>
      <c r="BV507" s="274"/>
      <c r="BW507" s="278"/>
      <c r="BX507" s="278"/>
      <c r="BY507" s="278"/>
      <c r="BZ507" s="351" t="s">
        <v>3415</v>
      </c>
    </row>
    <row r="508" spans="1:78" s="90" customFormat="1" ht="19.5" hidden="1" customHeight="1">
      <c r="A508" s="137"/>
      <c r="B508" s="197">
        <f t="shared" si="22"/>
        <v>498</v>
      </c>
      <c r="C508" s="30" t="s">
        <v>202</v>
      </c>
      <c r="D508" s="30" t="s">
        <v>225</v>
      </c>
      <c r="E508" s="234" t="s">
        <v>1079</v>
      </c>
      <c r="F508" s="235" t="s">
        <v>1225</v>
      </c>
      <c r="G508" s="284">
        <f>IFERROR(VLOOKUP(E508,Assign!$C$2:$J$142,8,FALSE),)</f>
        <v>0</v>
      </c>
      <c r="H508" s="361" t="s">
        <v>4432</v>
      </c>
      <c r="I508" s="363">
        <v>1</v>
      </c>
      <c r="J508" s="364" t="s">
        <v>221</v>
      </c>
      <c r="K508" s="364" t="s">
        <v>370</v>
      </c>
      <c r="L508" s="365" t="s">
        <v>257</v>
      </c>
      <c r="M508" s="362" t="s">
        <v>1982</v>
      </c>
      <c r="N508" s="421" t="s">
        <v>207</v>
      </c>
      <c r="O508" s="269">
        <v>45.631100000000004</v>
      </c>
      <c r="P508" s="269">
        <v>80.778999999999996</v>
      </c>
      <c r="Q508" s="426"/>
      <c r="R508" s="418" t="s">
        <v>1079</v>
      </c>
      <c r="S508" s="427" t="s">
        <v>613</v>
      </c>
      <c r="T508" s="357">
        <v>1</v>
      </c>
      <c r="U508" s="357" t="s">
        <v>204</v>
      </c>
      <c r="V508" s="367">
        <v>140800000</v>
      </c>
      <c r="W508" s="368">
        <v>140800000</v>
      </c>
      <c r="X508" s="357"/>
      <c r="Y508" s="357"/>
      <c r="Z508" s="400"/>
      <c r="AA508" s="369"/>
      <c r="AB508" s="370"/>
      <c r="AC508" s="404"/>
      <c r="AD508" s="270"/>
      <c r="AE508" s="156"/>
      <c r="AF508" s="156"/>
      <c r="AG508" s="357"/>
      <c r="AH508" s="357"/>
      <c r="AI508" s="357"/>
      <c r="AJ508" s="156"/>
      <c r="AK508" s="156"/>
      <c r="AL508" s="375"/>
      <c r="AM508" s="405"/>
      <c r="AN508" s="273"/>
      <c r="AO508" s="405"/>
      <c r="AP508" s="273"/>
      <c r="AQ508" s="273"/>
      <c r="AR508" s="273"/>
      <c r="AS508" s="273"/>
      <c r="AT508" s="273"/>
      <c r="AU508" s="273"/>
      <c r="AV508" s="322">
        <f t="shared" si="23"/>
        <v>0</v>
      </c>
      <c r="AW508" s="402" t="s">
        <v>3387</v>
      </c>
      <c r="AX508" s="376">
        <v>45765</v>
      </c>
      <c r="AY508" s="373" t="s">
        <v>3388</v>
      </c>
      <c r="AZ508" s="375"/>
      <c r="BA508" s="375">
        <v>168000000</v>
      </c>
      <c r="BB508" s="375"/>
      <c r="BC508" s="375"/>
      <c r="BD508" s="353">
        <f t="shared" si="24"/>
        <v>168000000</v>
      </c>
      <c r="BE508" s="432" t="s">
        <v>355</v>
      </c>
      <c r="BF508" s="407" t="s">
        <v>513</v>
      </c>
      <c r="BG508" s="168"/>
      <c r="BH508" s="274"/>
      <c r="BI508" s="168"/>
      <c r="BJ508" s="274"/>
      <c r="BK508" s="168"/>
      <c r="BL508" s="275"/>
      <c r="BM508" s="276"/>
      <c r="BN508" s="275"/>
      <c r="BO508" s="276"/>
      <c r="BP508" s="277"/>
      <c r="BQ508" s="156"/>
      <c r="BR508" s="274"/>
      <c r="BS508" s="270"/>
      <c r="BT508" s="270"/>
      <c r="BU508" s="274"/>
      <c r="BV508" s="274"/>
      <c r="BW508" s="278"/>
      <c r="BX508" s="278"/>
      <c r="BY508" s="278"/>
      <c r="BZ508" s="351"/>
    </row>
    <row r="509" spans="1:78" s="90" customFormat="1" ht="19.5" hidden="1" customHeight="1">
      <c r="A509" s="137"/>
      <c r="B509" s="197">
        <f t="shared" si="22"/>
        <v>499</v>
      </c>
      <c r="C509" s="30" t="s">
        <v>202</v>
      </c>
      <c r="D509" s="30" t="s">
        <v>225</v>
      </c>
      <c r="E509" s="234" t="s">
        <v>1080</v>
      </c>
      <c r="F509" s="235" t="s">
        <v>1232</v>
      </c>
      <c r="G509" s="284" t="str">
        <f>IFERROR(VLOOKUP(E509,Assign!$C$2:$J$142,8,FALSE),)</f>
        <v>문선영</v>
      </c>
      <c r="H509" s="361" t="s">
        <v>5143</v>
      </c>
      <c r="I509" s="363">
        <v>1</v>
      </c>
      <c r="J509" s="364" t="s">
        <v>224</v>
      </c>
      <c r="K509" s="364" t="s">
        <v>1458</v>
      </c>
      <c r="L509" s="365" t="s">
        <v>2655</v>
      </c>
      <c r="M509" s="362" t="s">
        <v>2656</v>
      </c>
      <c r="N509" s="421" t="s">
        <v>618</v>
      </c>
      <c r="O509" s="269">
        <v>138.74166666666699</v>
      </c>
      <c r="P509" s="269">
        <v>83.738399999999999</v>
      </c>
      <c r="Q509" s="426"/>
      <c r="R509" s="418" t="s">
        <v>1080</v>
      </c>
      <c r="S509" s="427" t="s">
        <v>613</v>
      </c>
      <c r="T509" s="357">
        <v>1</v>
      </c>
      <c r="U509" s="357" t="s">
        <v>204</v>
      </c>
      <c r="V509" s="367">
        <v>170400000</v>
      </c>
      <c r="W509" s="368">
        <v>170400000</v>
      </c>
      <c r="X509" s="357"/>
      <c r="Y509" s="357"/>
      <c r="Z509" s="400"/>
      <c r="AA509" s="369"/>
      <c r="AB509" s="370"/>
      <c r="AC509" s="404"/>
      <c r="AD509" s="270"/>
      <c r="AE509" s="156"/>
      <c r="AF509" s="156"/>
      <c r="AG509" s="357"/>
      <c r="AH509" s="357"/>
      <c r="AI509" s="357"/>
      <c r="AJ509" s="156"/>
      <c r="AK509" s="156"/>
      <c r="AL509" s="375"/>
      <c r="AM509" s="405"/>
      <c r="AN509" s="273"/>
      <c r="AO509" s="405"/>
      <c r="AP509" s="273"/>
      <c r="AQ509" s="273"/>
      <c r="AR509" s="273"/>
      <c r="AS509" s="273"/>
      <c r="AT509" s="273"/>
      <c r="AU509" s="273"/>
      <c r="AV509" s="322">
        <f t="shared" si="23"/>
        <v>0</v>
      </c>
      <c r="AW509" s="402"/>
      <c r="AX509" s="376"/>
      <c r="AY509" s="373"/>
      <c r="AZ509" s="375"/>
      <c r="BA509" s="375"/>
      <c r="BB509" s="375"/>
      <c r="BC509" s="375"/>
      <c r="BD509" s="353">
        <f t="shared" si="24"/>
        <v>0</v>
      </c>
      <c r="BE509" s="432" t="s">
        <v>355</v>
      </c>
      <c r="BF509" s="407" t="s">
        <v>512</v>
      </c>
      <c r="BG509" s="168"/>
      <c r="BH509" s="274"/>
      <c r="BI509" s="168"/>
      <c r="BJ509" s="274"/>
      <c r="BK509" s="168"/>
      <c r="BL509" s="275"/>
      <c r="BM509" s="276"/>
      <c r="BN509" s="275"/>
      <c r="BO509" s="276"/>
      <c r="BP509" s="277"/>
      <c r="BQ509" s="156"/>
      <c r="BR509" s="274"/>
      <c r="BS509" s="270"/>
      <c r="BT509" s="270"/>
      <c r="BU509" s="274"/>
      <c r="BV509" s="274"/>
      <c r="BW509" s="278"/>
      <c r="BX509" s="278"/>
      <c r="BY509" s="278"/>
      <c r="BZ509" s="351"/>
    </row>
    <row r="510" spans="1:78" s="90" customFormat="1" ht="19.5" hidden="1" customHeight="1">
      <c r="A510" s="137"/>
      <c r="B510" s="197">
        <f t="shared" si="22"/>
        <v>500</v>
      </c>
      <c r="C510" s="30" t="s">
        <v>202</v>
      </c>
      <c r="D510" s="30" t="s">
        <v>225</v>
      </c>
      <c r="E510" s="234" t="s">
        <v>1081</v>
      </c>
      <c r="F510" s="235" t="s">
        <v>1229</v>
      </c>
      <c r="G510" s="284">
        <f>IFERROR(VLOOKUP(E510,Assign!$C$2:$J$142,8,FALSE),)</f>
        <v>0</v>
      </c>
      <c r="H510" s="361" t="s">
        <v>4326</v>
      </c>
      <c r="I510" s="363">
        <v>1</v>
      </c>
      <c r="J510" s="364" t="s">
        <v>208</v>
      </c>
      <c r="K510" s="364" t="s">
        <v>228</v>
      </c>
      <c r="L510" s="365" t="s">
        <v>3048</v>
      </c>
      <c r="M510" s="362" t="s">
        <v>3049</v>
      </c>
      <c r="N510" s="421" t="s">
        <v>207</v>
      </c>
      <c r="O510" s="269">
        <v>71.515100000000004</v>
      </c>
      <c r="P510" s="269">
        <v>114.4442</v>
      </c>
      <c r="Q510" s="426"/>
      <c r="R510" s="418" t="s">
        <v>1081</v>
      </c>
      <c r="S510" s="427" t="s">
        <v>613</v>
      </c>
      <c r="T510" s="357">
        <v>1</v>
      </c>
      <c r="U510" s="357" t="s">
        <v>204</v>
      </c>
      <c r="V510" s="367">
        <v>194400000</v>
      </c>
      <c r="W510" s="368">
        <v>194400000</v>
      </c>
      <c r="X510" s="357"/>
      <c r="Y510" s="357"/>
      <c r="Z510" s="400"/>
      <c r="AA510" s="369"/>
      <c r="AB510" s="370"/>
      <c r="AC510" s="404"/>
      <c r="AD510" s="270"/>
      <c r="AE510" s="156"/>
      <c r="AF510" s="156"/>
      <c r="AG510" s="357"/>
      <c r="AH510" s="357"/>
      <c r="AI510" s="357"/>
      <c r="AJ510" s="156"/>
      <c r="AK510" s="156"/>
      <c r="AL510" s="375"/>
      <c r="AM510" s="405"/>
      <c r="AN510" s="273"/>
      <c r="AO510" s="405"/>
      <c r="AP510" s="273"/>
      <c r="AQ510" s="273"/>
      <c r="AR510" s="273"/>
      <c r="AS510" s="273"/>
      <c r="AT510" s="273"/>
      <c r="AU510" s="273"/>
      <c r="AV510" s="322">
        <f t="shared" si="23"/>
        <v>0</v>
      </c>
      <c r="AW510" s="402" t="s">
        <v>3387</v>
      </c>
      <c r="AX510" s="376">
        <v>45765</v>
      </c>
      <c r="AY510" s="373" t="s">
        <v>3388</v>
      </c>
      <c r="AZ510" s="375"/>
      <c r="BA510" s="375">
        <v>410000000</v>
      </c>
      <c r="BB510" s="375"/>
      <c r="BC510" s="375"/>
      <c r="BD510" s="353">
        <f t="shared" si="24"/>
        <v>410000000</v>
      </c>
      <c r="BE510" s="432" t="s">
        <v>355</v>
      </c>
      <c r="BF510" s="407" t="s">
        <v>424</v>
      </c>
      <c r="BG510" s="168"/>
      <c r="BH510" s="274"/>
      <c r="BI510" s="168"/>
      <c r="BJ510" s="274"/>
      <c r="BK510" s="168"/>
      <c r="BL510" s="275"/>
      <c r="BM510" s="276"/>
      <c r="BN510" s="275"/>
      <c r="BO510" s="276"/>
      <c r="BP510" s="277"/>
      <c r="BQ510" s="156"/>
      <c r="BR510" s="274"/>
      <c r="BS510" s="270"/>
      <c r="BT510" s="270"/>
      <c r="BU510" s="274"/>
      <c r="BV510" s="274"/>
      <c r="BW510" s="278"/>
      <c r="BX510" s="278"/>
      <c r="BY510" s="278"/>
      <c r="BZ510" s="351"/>
    </row>
    <row r="511" spans="1:78" s="90" customFormat="1" ht="19.5" hidden="1" customHeight="1">
      <c r="A511" s="137"/>
      <c r="B511" s="197">
        <f t="shared" si="22"/>
        <v>501</v>
      </c>
      <c r="C511" s="30" t="s">
        <v>202</v>
      </c>
      <c r="D511" s="30" t="s">
        <v>225</v>
      </c>
      <c r="E511" s="234" t="s">
        <v>1082</v>
      </c>
      <c r="F511" s="235" t="s">
        <v>1260</v>
      </c>
      <c r="G511" s="284">
        <f>IFERROR(VLOOKUP(E511,Assign!$C$2:$J$142,8,FALSE),)</f>
        <v>0</v>
      </c>
      <c r="H511" s="361" t="s">
        <v>4493</v>
      </c>
      <c r="I511" s="363">
        <v>1</v>
      </c>
      <c r="J511" s="364" t="s">
        <v>214</v>
      </c>
      <c r="K511" s="364" t="s">
        <v>326</v>
      </c>
      <c r="L511" s="365" t="s">
        <v>2036</v>
      </c>
      <c r="M511" s="362" t="s">
        <v>2037</v>
      </c>
      <c r="N511" s="421" t="s">
        <v>207</v>
      </c>
      <c r="O511" s="269">
        <v>35.268099999999997</v>
      </c>
      <c r="P511" s="269">
        <v>59.917999999999999</v>
      </c>
      <c r="Q511" s="426"/>
      <c r="R511" s="418" t="s">
        <v>1082</v>
      </c>
      <c r="S511" s="427" t="s">
        <v>613</v>
      </c>
      <c r="T511" s="357">
        <v>1</v>
      </c>
      <c r="U511" s="357" t="s">
        <v>204</v>
      </c>
      <c r="V511" s="367">
        <v>143000000</v>
      </c>
      <c r="W511" s="368">
        <v>143000000</v>
      </c>
      <c r="X511" s="357"/>
      <c r="Y511" s="357"/>
      <c r="Z511" s="400"/>
      <c r="AA511" s="369"/>
      <c r="AB511" s="370"/>
      <c r="AC511" s="404"/>
      <c r="AD511" s="270"/>
      <c r="AE511" s="156"/>
      <c r="AF511" s="156"/>
      <c r="AG511" s="357"/>
      <c r="AH511" s="357"/>
      <c r="AI511" s="357"/>
      <c r="AJ511" s="156"/>
      <c r="AK511" s="156"/>
      <c r="AL511" s="375"/>
      <c r="AM511" s="405"/>
      <c r="AN511" s="273"/>
      <c r="AO511" s="405"/>
      <c r="AP511" s="273"/>
      <c r="AQ511" s="273"/>
      <c r="AR511" s="273"/>
      <c r="AS511" s="273"/>
      <c r="AT511" s="273"/>
      <c r="AU511" s="273"/>
      <c r="AV511" s="322">
        <f t="shared" si="23"/>
        <v>0</v>
      </c>
      <c r="AW511" s="402"/>
      <c r="AX511" s="376"/>
      <c r="AY511" s="373"/>
      <c r="AZ511" s="375"/>
      <c r="BA511" s="375"/>
      <c r="BB511" s="375"/>
      <c r="BC511" s="375"/>
      <c r="BD511" s="353">
        <f t="shared" si="24"/>
        <v>0</v>
      </c>
      <c r="BE511" s="432" t="s">
        <v>355</v>
      </c>
      <c r="BF511" s="407" t="s">
        <v>507</v>
      </c>
      <c r="BG511" s="168"/>
      <c r="BH511" s="274"/>
      <c r="BI511" s="168"/>
      <c r="BJ511" s="274"/>
      <c r="BK511" s="168"/>
      <c r="BL511" s="275"/>
      <c r="BM511" s="276"/>
      <c r="BN511" s="275"/>
      <c r="BO511" s="276"/>
      <c r="BP511" s="277"/>
      <c r="BQ511" s="156"/>
      <c r="BR511" s="274"/>
      <c r="BS511" s="270"/>
      <c r="BT511" s="270"/>
      <c r="BU511" s="274"/>
      <c r="BV511" s="274"/>
      <c r="BW511" s="278"/>
      <c r="BX511" s="278"/>
      <c r="BY511" s="278"/>
      <c r="BZ511" s="351"/>
    </row>
    <row r="512" spans="1:78" s="90" customFormat="1" ht="19.5" hidden="1" customHeight="1">
      <c r="A512" s="137"/>
      <c r="B512" s="197">
        <f t="shared" si="22"/>
        <v>502</v>
      </c>
      <c r="C512" s="30" t="s">
        <v>202</v>
      </c>
      <c r="D512" s="30" t="s">
        <v>225</v>
      </c>
      <c r="E512" s="234" t="s">
        <v>1083</v>
      </c>
      <c r="F512" s="235" t="s">
        <v>1229</v>
      </c>
      <c r="G512" s="284">
        <f>IFERROR(VLOOKUP(E512,Assign!$C$2:$J$142,8,FALSE),)</f>
        <v>0</v>
      </c>
      <c r="H512" s="361" t="s">
        <v>4803</v>
      </c>
      <c r="I512" s="363">
        <v>1</v>
      </c>
      <c r="J512" s="364" t="s">
        <v>208</v>
      </c>
      <c r="K512" s="364" t="s">
        <v>250</v>
      </c>
      <c r="L512" s="365" t="s">
        <v>2331</v>
      </c>
      <c r="M512" s="362" t="s">
        <v>2332</v>
      </c>
      <c r="N512" s="421" t="s">
        <v>207</v>
      </c>
      <c r="O512" s="269">
        <v>58.206000000000003</v>
      </c>
      <c r="P512" s="269">
        <v>84.361599999999996</v>
      </c>
      <c r="Q512" s="426"/>
      <c r="R512" s="418" t="s">
        <v>1083</v>
      </c>
      <c r="S512" s="427" t="s">
        <v>613</v>
      </c>
      <c r="T512" s="357">
        <v>1</v>
      </c>
      <c r="U512" s="357" t="s">
        <v>204</v>
      </c>
      <c r="V512" s="367">
        <v>168000000</v>
      </c>
      <c r="W512" s="368">
        <v>168000000</v>
      </c>
      <c r="X512" s="357"/>
      <c r="Y512" s="357"/>
      <c r="Z512" s="400"/>
      <c r="AA512" s="369"/>
      <c r="AB512" s="370"/>
      <c r="AC512" s="404"/>
      <c r="AD512" s="270"/>
      <c r="AE512" s="156"/>
      <c r="AF512" s="156"/>
      <c r="AG512" s="357"/>
      <c r="AH512" s="357"/>
      <c r="AI512" s="357"/>
      <c r="AJ512" s="156"/>
      <c r="AK512" s="156"/>
      <c r="AL512" s="375"/>
      <c r="AM512" s="405"/>
      <c r="AN512" s="273"/>
      <c r="AO512" s="405"/>
      <c r="AP512" s="273"/>
      <c r="AQ512" s="273"/>
      <c r="AR512" s="273"/>
      <c r="AS512" s="273"/>
      <c r="AT512" s="273"/>
      <c r="AU512" s="273"/>
      <c r="AV512" s="322">
        <f t="shared" si="23"/>
        <v>0</v>
      </c>
      <c r="AW512" s="402"/>
      <c r="AX512" s="376"/>
      <c r="AY512" s="373"/>
      <c r="AZ512" s="375"/>
      <c r="BA512" s="375"/>
      <c r="BB512" s="375"/>
      <c r="BC512" s="375"/>
      <c r="BD512" s="353">
        <f t="shared" si="24"/>
        <v>0</v>
      </c>
      <c r="BE512" s="432" t="s">
        <v>355</v>
      </c>
      <c r="BF512" s="407" t="s">
        <v>493</v>
      </c>
      <c r="BG512" s="168"/>
      <c r="BH512" s="274"/>
      <c r="BI512" s="168"/>
      <c r="BJ512" s="274"/>
      <c r="BK512" s="168"/>
      <c r="BL512" s="275"/>
      <c r="BM512" s="276"/>
      <c r="BN512" s="275"/>
      <c r="BO512" s="276"/>
      <c r="BP512" s="277"/>
      <c r="BQ512" s="156"/>
      <c r="BR512" s="274"/>
      <c r="BS512" s="270"/>
      <c r="BT512" s="270"/>
      <c r="BU512" s="274"/>
      <c r="BV512" s="274"/>
      <c r="BW512" s="278"/>
      <c r="BX512" s="278"/>
      <c r="BY512" s="278"/>
      <c r="BZ512" s="351"/>
    </row>
    <row r="513" spans="1:78" s="90" customFormat="1" ht="19.5" hidden="1" customHeight="1">
      <c r="A513" s="137"/>
      <c r="B513" s="197">
        <f t="shared" si="22"/>
        <v>503</v>
      </c>
      <c r="C513" s="30" t="s">
        <v>202</v>
      </c>
      <c r="D513" s="30" t="s">
        <v>225</v>
      </c>
      <c r="E513" s="234" t="s">
        <v>1084</v>
      </c>
      <c r="F513" s="235" t="s">
        <v>1217</v>
      </c>
      <c r="G513" s="284">
        <f>IFERROR(VLOOKUP(E513,Assign!$C$2:$J$142,8,FALSE),)</f>
        <v>0</v>
      </c>
      <c r="H513" s="361" t="s">
        <v>3974</v>
      </c>
      <c r="I513" s="363">
        <v>1</v>
      </c>
      <c r="J513" s="364" t="s">
        <v>208</v>
      </c>
      <c r="K513" s="364" t="s">
        <v>365</v>
      </c>
      <c r="L513" s="365" t="s">
        <v>1551</v>
      </c>
      <c r="M513" s="362" t="s">
        <v>1552</v>
      </c>
      <c r="N513" s="421" t="s">
        <v>606</v>
      </c>
      <c r="O513" s="269">
        <v>35.215000000000003</v>
      </c>
      <c r="P513" s="269">
        <v>46.68</v>
      </c>
      <c r="Q513" s="426"/>
      <c r="R513" s="418" t="s">
        <v>1084</v>
      </c>
      <c r="S513" s="427" t="s">
        <v>613</v>
      </c>
      <c r="T513" s="357">
        <v>1</v>
      </c>
      <c r="U513" s="357" t="s">
        <v>204</v>
      </c>
      <c r="V513" s="367">
        <v>171600000</v>
      </c>
      <c r="W513" s="368">
        <v>171600000</v>
      </c>
      <c r="X513" s="357"/>
      <c r="Y513" s="357"/>
      <c r="Z513" s="400"/>
      <c r="AA513" s="369"/>
      <c r="AB513" s="370"/>
      <c r="AC513" s="404"/>
      <c r="AD513" s="270"/>
      <c r="AE513" s="156"/>
      <c r="AF513" s="156"/>
      <c r="AG513" s="357"/>
      <c r="AH513" s="357"/>
      <c r="AI513" s="357"/>
      <c r="AJ513" s="156"/>
      <c r="AK513" s="156"/>
      <c r="AL513" s="375"/>
      <c r="AM513" s="405"/>
      <c r="AN513" s="273"/>
      <c r="AO513" s="405"/>
      <c r="AP513" s="273"/>
      <c r="AQ513" s="273"/>
      <c r="AR513" s="273"/>
      <c r="AS513" s="273"/>
      <c r="AT513" s="273"/>
      <c r="AU513" s="273"/>
      <c r="AV513" s="322">
        <f t="shared" si="23"/>
        <v>0</v>
      </c>
      <c r="AW513" s="402"/>
      <c r="AX513" s="376"/>
      <c r="AY513" s="373"/>
      <c r="AZ513" s="375"/>
      <c r="BA513" s="375"/>
      <c r="BB513" s="375"/>
      <c r="BC513" s="375"/>
      <c r="BD513" s="353">
        <f t="shared" si="24"/>
        <v>0</v>
      </c>
      <c r="BE513" s="432" t="s">
        <v>355</v>
      </c>
      <c r="BF513" s="407" t="s">
        <v>422</v>
      </c>
      <c r="BG513" s="168"/>
      <c r="BH513" s="274"/>
      <c r="BI513" s="168"/>
      <c r="BJ513" s="274"/>
      <c r="BK513" s="168"/>
      <c r="BL513" s="275"/>
      <c r="BM513" s="276"/>
      <c r="BN513" s="275"/>
      <c r="BO513" s="276"/>
      <c r="BP513" s="277"/>
      <c r="BQ513" s="156"/>
      <c r="BR513" s="274"/>
      <c r="BS513" s="270"/>
      <c r="BT513" s="270"/>
      <c r="BU513" s="274"/>
      <c r="BV513" s="274"/>
      <c r="BW513" s="278"/>
      <c r="BX513" s="278"/>
      <c r="BY513" s="278"/>
      <c r="BZ513" s="351"/>
    </row>
    <row r="514" spans="1:78" s="90" customFormat="1" ht="19.5" hidden="1" customHeight="1">
      <c r="A514" s="137"/>
      <c r="B514" s="197">
        <f t="shared" si="22"/>
        <v>504</v>
      </c>
      <c r="C514" s="30" t="s">
        <v>202</v>
      </c>
      <c r="D514" s="30" t="s">
        <v>225</v>
      </c>
      <c r="E514" s="234" t="s">
        <v>1085</v>
      </c>
      <c r="F514" s="235" t="s">
        <v>1218</v>
      </c>
      <c r="G514" s="284">
        <f>IFERROR(VLOOKUP(E514,Assign!$C$2:$J$142,8,FALSE),)</f>
        <v>0</v>
      </c>
      <c r="H514" s="361" t="s">
        <v>4438</v>
      </c>
      <c r="I514" s="363">
        <v>1</v>
      </c>
      <c r="J514" s="364" t="s">
        <v>208</v>
      </c>
      <c r="K514" s="364" t="s">
        <v>1987</v>
      </c>
      <c r="L514" s="365" t="s">
        <v>1648</v>
      </c>
      <c r="M514" s="362" t="s">
        <v>1988</v>
      </c>
      <c r="N514" s="421" t="s">
        <v>606</v>
      </c>
      <c r="O514" s="269">
        <v>110.25</v>
      </c>
      <c r="P514" s="269">
        <v>66.454999999999998</v>
      </c>
      <c r="Q514" s="426"/>
      <c r="R514" s="418" t="s">
        <v>1085</v>
      </c>
      <c r="S514" s="427" t="s">
        <v>613</v>
      </c>
      <c r="T514" s="357">
        <v>1</v>
      </c>
      <c r="U514" s="357" t="s">
        <v>204</v>
      </c>
      <c r="V514" s="367">
        <v>180000000</v>
      </c>
      <c r="W514" s="368">
        <v>180000000</v>
      </c>
      <c r="X514" s="357"/>
      <c r="Y514" s="357"/>
      <c r="Z514" s="400"/>
      <c r="AA514" s="369"/>
      <c r="AB514" s="370"/>
      <c r="AC514" s="404"/>
      <c r="AD514" s="270"/>
      <c r="AE514" s="156"/>
      <c r="AF514" s="156"/>
      <c r="AG514" s="357"/>
      <c r="AH514" s="357"/>
      <c r="AI514" s="357"/>
      <c r="AJ514" s="156"/>
      <c r="AK514" s="156"/>
      <c r="AL514" s="375"/>
      <c r="AM514" s="405"/>
      <c r="AN514" s="273"/>
      <c r="AO514" s="405"/>
      <c r="AP514" s="273"/>
      <c r="AQ514" s="273"/>
      <c r="AR514" s="273"/>
      <c r="AS514" s="273"/>
      <c r="AT514" s="273"/>
      <c r="AU514" s="273"/>
      <c r="AV514" s="322">
        <f t="shared" si="23"/>
        <v>0</v>
      </c>
      <c r="AW514" s="402"/>
      <c r="AX514" s="376"/>
      <c r="AY514" s="373"/>
      <c r="AZ514" s="375"/>
      <c r="BA514" s="375"/>
      <c r="BB514" s="375"/>
      <c r="BC514" s="375"/>
      <c r="BD514" s="353">
        <f t="shared" si="24"/>
        <v>0</v>
      </c>
      <c r="BE514" s="432" t="s">
        <v>355</v>
      </c>
      <c r="BF514" s="407" t="s">
        <v>525</v>
      </c>
      <c r="BG514" s="168"/>
      <c r="BH514" s="274"/>
      <c r="BI514" s="168"/>
      <c r="BJ514" s="274"/>
      <c r="BK514" s="168"/>
      <c r="BL514" s="275"/>
      <c r="BM514" s="276"/>
      <c r="BN514" s="275"/>
      <c r="BO514" s="276"/>
      <c r="BP514" s="277"/>
      <c r="BQ514" s="156"/>
      <c r="BR514" s="274"/>
      <c r="BS514" s="270"/>
      <c r="BT514" s="270"/>
      <c r="BU514" s="274"/>
      <c r="BV514" s="274"/>
      <c r="BW514" s="278"/>
      <c r="BX514" s="278"/>
      <c r="BY514" s="278"/>
      <c r="BZ514" s="351"/>
    </row>
    <row r="515" spans="1:78" s="90" customFormat="1" ht="19.5" hidden="1" customHeight="1">
      <c r="A515" s="137"/>
      <c r="B515" s="197">
        <f t="shared" si="22"/>
        <v>505</v>
      </c>
      <c r="C515" s="30" t="s">
        <v>202</v>
      </c>
      <c r="D515" s="30" t="s">
        <v>225</v>
      </c>
      <c r="E515" s="234" t="s">
        <v>1086</v>
      </c>
      <c r="F515" s="235" t="s">
        <v>1221</v>
      </c>
      <c r="G515" s="284">
        <f>IFERROR(VLOOKUP(E515,Assign!$C$2:$J$142,8,FALSE),)</f>
        <v>0</v>
      </c>
      <c r="H515" s="361" t="s">
        <v>5211</v>
      </c>
      <c r="I515" s="363">
        <v>1</v>
      </c>
      <c r="J515" s="364" t="s">
        <v>208</v>
      </c>
      <c r="K515" s="364" t="s">
        <v>391</v>
      </c>
      <c r="L515" s="365" t="s">
        <v>2703</v>
      </c>
      <c r="M515" s="362" t="s">
        <v>2704</v>
      </c>
      <c r="N515" s="421" t="s">
        <v>207</v>
      </c>
      <c r="O515" s="269">
        <v>48.026400000000002</v>
      </c>
      <c r="P515" s="269">
        <v>84.98</v>
      </c>
      <c r="Q515" s="426"/>
      <c r="R515" s="418" t="s">
        <v>1086</v>
      </c>
      <c r="S515" s="427" t="s">
        <v>613</v>
      </c>
      <c r="T515" s="357">
        <v>1</v>
      </c>
      <c r="U515" s="357" t="s">
        <v>204</v>
      </c>
      <c r="V515" s="367">
        <v>137170000</v>
      </c>
      <c r="W515" s="368">
        <v>137170000</v>
      </c>
      <c r="X515" s="357"/>
      <c r="Y515" s="357"/>
      <c r="Z515" s="400"/>
      <c r="AA515" s="369"/>
      <c r="AB515" s="370"/>
      <c r="AC515" s="404"/>
      <c r="AD515" s="270"/>
      <c r="AE515" s="156"/>
      <c r="AF515" s="156"/>
      <c r="AG515" s="357"/>
      <c r="AH515" s="357"/>
      <c r="AI515" s="357"/>
      <c r="AJ515" s="156"/>
      <c r="AK515" s="156"/>
      <c r="AL515" s="375"/>
      <c r="AM515" s="405"/>
      <c r="AN515" s="273"/>
      <c r="AO515" s="405"/>
      <c r="AP515" s="273"/>
      <c r="AQ515" s="273"/>
      <c r="AR515" s="273"/>
      <c r="AS515" s="273"/>
      <c r="AT515" s="273"/>
      <c r="AU515" s="273"/>
      <c r="AV515" s="322">
        <f t="shared" si="23"/>
        <v>0</v>
      </c>
      <c r="AW515" s="402" t="s">
        <v>3387</v>
      </c>
      <c r="AX515" s="376">
        <v>45765</v>
      </c>
      <c r="AY515" s="373" t="s">
        <v>3388</v>
      </c>
      <c r="AZ515" s="375"/>
      <c r="BA515" s="375">
        <v>247500000</v>
      </c>
      <c r="BB515" s="375"/>
      <c r="BC515" s="375"/>
      <c r="BD515" s="353">
        <f t="shared" si="24"/>
        <v>247500000</v>
      </c>
      <c r="BE515" s="432" t="s">
        <v>355</v>
      </c>
      <c r="BF515" s="407" t="s">
        <v>493</v>
      </c>
      <c r="BG515" s="168"/>
      <c r="BH515" s="274"/>
      <c r="BI515" s="168"/>
      <c r="BJ515" s="274"/>
      <c r="BK515" s="168"/>
      <c r="BL515" s="275"/>
      <c r="BM515" s="276"/>
      <c r="BN515" s="275"/>
      <c r="BO515" s="276"/>
      <c r="BP515" s="277"/>
      <c r="BQ515" s="156"/>
      <c r="BR515" s="274"/>
      <c r="BS515" s="270"/>
      <c r="BT515" s="270"/>
      <c r="BU515" s="274"/>
      <c r="BV515" s="274"/>
      <c r="BW515" s="278"/>
      <c r="BX515" s="278"/>
      <c r="BY515" s="278"/>
      <c r="BZ515" s="351"/>
    </row>
    <row r="516" spans="1:78" s="90" customFormat="1" ht="19.5" hidden="1" customHeight="1">
      <c r="A516" s="137"/>
      <c r="B516" s="197">
        <f t="shared" si="22"/>
        <v>506</v>
      </c>
      <c r="C516" s="30" t="s">
        <v>202</v>
      </c>
      <c r="D516" s="30" t="s">
        <v>225</v>
      </c>
      <c r="E516" s="234" t="s">
        <v>1087</v>
      </c>
      <c r="F516" s="235" t="s">
        <v>1283</v>
      </c>
      <c r="G516" s="284">
        <f>IFERROR(VLOOKUP(E516,Assign!$C$2:$J$142,8,FALSE),)</f>
        <v>0</v>
      </c>
      <c r="H516" s="361" t="s">
        <v>4847</v>
      </c>
      <c r="I516" s="363">
        <v>1</v>
      </c>
      <c r="J516" s="364" t="s">
        <v>214</v>
      </c>
      <c r="K516" s="364" t="s">
        <v>349</v>
      </c>
      <c r="L516" s="365" t="s">
        <v>351</v>
      </c>
      <c r="M516" s="362" t="s">
        <v>2374</v>
      </c>
      <c r="N516" s="421" t="s">
        <v>207</v>
      </c>
      <c r="O516" s="269">
        <v>54.032299999999999</v>
      </c>
      <c r="P516" s="269">
        <v>84.67</v>
      </c>
      <c r="Q516" s="426"/>
      <c r="R516" s="418" t="s">
        <v>1087</v>
      </c>
      <c r="S516" s="427" t="s">
        <v>613</v>
      </c>
      <c r="T516" s="357">
        <v>1</v>
      </c>
      <c r="U516" s="357" t="s">
        <v>204</v>
      </c>
      <c r="V516" s="367">
        <v>134200000</v>
      </c>
      <c r="W516" s="368">
        <v>134200000</v>
      </c>
      <c r="X516" s="357"/>
      <c r="Y516" s="357"/>
      <c r="Z516" s="400"/>
      <c r="AA516" s="369"/>
      <c r="AB516" s="370"/>
      <c r="AC516" s="404"/>
      <c r="AD516" s="270"/>
      <c r="AE516" s="156"/>
      <c r="AF516" s="156"/>
      <c r="AG516" s="357"/>
      <c r="AH516" s="357"/>
      <c r="AI516" s="357"/>
      <c r="AJ516" s="156"/>
      <c r="AK516" s="156"/>
      <c r="AL516" s="375"/>
      <c r="AM516" s="405"/>
      <c r="AN516" s="273"/>
      <c r="AO516" s="405"/>
      <c r="AP516" s="273"/>
      <c r="AQ516" s="273"/>
      <c r="AR516" s="273"/>
      <c r="AS516" s="273"/>
      <c r="AT516" s="273"/>
      <c r="AU516" s="273"/>
      <c r="AV516" s="322">
        <f t="shared" si="23"/>
        <v>0</v>
      </c>
      <c r="AW516" s="402" t="s">
        <v>3387</v>
      </c>
      <c r="AX516" s="376">
        <v>45765</v>
      </c>
      <c r="AY516" s="373" t="s">
        <v>3388</v>
      </c>
      <c r="AZ516" s="375"/>
      <c r="BA516" s="375">
        <v>150000000</v>
      </c>
      <c r="BB516" s="375"/>
      <c r="BC516" s="375"/>
      <c r="BD516" s="353">
        <f t="shared" si="24"/>
        <v>150000000</v>
      </c>
      <c r="BE516" s="432" t="s">
        <v>355</v>
      </c>
      <c r="BF516" s="407" t="s">
        <v>500</v>
      </c>
      <c r="BG516" s="168"/>
      <c r="BH516" s="274"/>
      <c r="BI516" s="168"/>
      <c r="BJ516" s="274"/>
      <c r="BK516" s="168"/>
      <c r="BL516" s="275"/>
      <c r="BM516" s="276"/>
      <c r="BN516" s="275"/>
      <c r="BO516" s="276"/>
      <c r="BP516" s="277"/>
      <c r="BQ516" s="156"/>
      <c r="BR516" s="274"/>
      <c r="BS516" s="270"/>
      <c r="BT516" s="270"/>
      <c r="BU516" s="274"/>
      <c r="BV516" s="274"/>
      <c r="BW516" s="278"/>
      <c r="BX516" s="278"/>
      <c r="BY516" s="278"/>
      <c r="BZ516" s="351"/>
    </row>
    <row r="517" spans="1:78" s="90" customFormat="1" ht="19.5" hidden="1" customHeight="1">
      <c r="A517" s="137"/>
      <c r="B517" s="197">
        <f t="shared" si="22"/>
        <v>507</v>
      </c>
      <c r="C517" s="30" t="s">
        <v>202</v>
      </c>
      <c r="D517" s="30" t="s">
        <v>225</v>
      </c>
      <c r="E517" s="234" t="s">
        <v>1088</v>
      </c>
      <c r="F517" s="235" t="s">
        <v>1266</v>
      </c>
      <c r="G517" s="284">
        <f>IFERROR(VLOOKUP(E517,Assign!$C$2:$J$142,8,FALSE),)</f>
        <v>0</v>
      </c>
      <c r="H517" s="361" t="s">
        <v>3876</v>
      </c>
      <c r="I517" s="363">
        <v>1</v>
      </c>
      <c r="J517" s="364" t="s">
        <v>219</v>
      </c>
      <c r="K517" s="364" t="s">
        <v>313</v>
      </c>
      <c r="L517" s="365" t="s">
        <v>1443</v>
      </c>
      <c r="M517" s="362" t="s">
        <v>1444</v>
      </c>
      <c r="N517" s="434" t="s">
        <v>207</v>
      </c>
      <c r="O517" s="269">
        <v>54.143000000000001</v>
      </c>
      <c r="P517" s="269">
        <v>95.27</v>
      </c>
      <c r="Q517" s="426"/>
      <c r="R517" s="418" t="s">
        <v>1088</v>
      </c>
      <c r="S517" s="427" t="s">
        <v>613</v>
      </c>
      <c r="T517" s="357">
        <v>1</v>
      </c>
      <c r="U517" s="357" t="s">
        <v>204</v>
      </c>
      <c r="V517" s="367">
        <v>134200000</v>
      </c>
      <c r="W517" s="368">
        <v>134200000</v>
      </c>
      <c r="X517" s="357"/>
      <c r="Y517" s="357"/>
      <c r="Z517" s="400"/>
      <c r="AA517" s="369"/>
      <c r="AB517" s="370"/>
      <c r="AC517" s="404"/>
      <c r="AD517" s="270"/>
      <c r="AE517" s="156"/>
      <c r="AF517" s="156"/>
      <c r="AG517" s="357"/>
      <c r="AH517" s="357"/>
      <c r="AI517" s="357"/>
      <c r="AJ517" s="156"/>
      <c r="AK517" s="156"/>
      <c r="AL517" s="375"/>
      <c r="AM517" s="405"/>
      <c r="AN517" s="273"/>
      <c r="AO517" s="405"/>
      <c r="AP517" s="273"/>
      <c r="AQ517" s="273"/>
      <c r="AR517" s="273"/>
      <c r="AS517" s="273"/>
      <c r="AT517" s="273"/>
      <c r="AU517" s="273"/>
      <c r="AV517" s="322">
        <f t="shared" si="23"/>
        <v>0</v>
      </c>
      <c r="AW517" s="402" t="s">
        <v>3387</v>
      </c>
      <c r="AX517" s="376">
        <v>45765</v>
      </c>
      <c r="AY517" s="373" t="s">
        <v>3388</v>
      </c>
      <c r="AZ517" s="375"/>
      <c r="BA517" s="375">
        <v>200000000</v>
      </c>
      <c r="BB517" s="375"/>
      <c r="BC517" s="375"/>
      <c r="BD517" s="353">
        <f t="shared" si="24"/>
        <v>200000000</v>
      </c>
      <c r="BE517" s="432" t="s">
        <v>355</v>
      </c>
      <c r="BF517" s="407" t="s">
        <v>526</v>
      </c>
      <c r="BG517" s="168"/>
      <c r="BH517" s="274"/>
      <c r="BI517" s="168"/>
      <c r="BJ517" s="274"/>
      <c r="BK517" s="168"/>
      <c r="BL517" s="275"/>
      <c r="BM517" s="276"/>
      <c r="BN517" s="275"/>
      <c r="BO517" s="276"/>
      <c r="BP517" s="277"/>
      <c r="BQ517" s="156"/>
      <c r="BR517" s="274"/>
      <c r="BS517" s="270"/>
      <c r="BT517" s="270"/>
      <c r="BU517" s="274"/>
      <c r="BV517" s="274"/>
      <c r="BW517" s="278"/>
      <c r="BX517" s="278"/>
      <c r="BY517" s="278"/>
      <c r="BZ517" s="351"/>
    </row>
    <row r="518" spans="1:78" s="90" customFormat="1" ht="19.5" hidden="1" customHeight="1">
      <c r="A518" s="137"/>
      <c r="B518" s="197">
        <f t="shared" si="22"/>
        <v>508</v>
      </c>
      <c r="C518" s="30" t="s">
        <v>202</v>
      </c>
      <c r="D518" s="30" t="s">
        <v>225</v>
      </c>
      <c r="E518" s="234" t="s">
        <v>1089</v>
      </c>
      <c r="F518" s="235" t="s">
        <v>1248</v>
      </c>
      <c r="G518" s="284">
        <f>IFERROR(VLOOKUP(E518,Assign!$C$2:$J$142,8,FALSE),)</f>
        <v>0</v>
      </c>
      <c r="H518" s="361" t="s">
        <v>3980</v>
      </c>
      <c r="I518" s="363">
        <v>1</v>
      </c>
      <c r="J518" s="364" t="s">
        <v>208</v>
      </c>
      <c r="K518" s="364" t="s">
        <v>269</v>
      </c>
      <c r="L518" s="365" t="s">
        <v>270</v>
      </c>
      <c r="M518" s="362" t="s">
        <v>1557</v>
      </c>
      <c r="N518" s="421" t="s">
        <v>207</v>
      </c>
      <c r="O518" s="269">
        <v>55.922699999999999</v>
      </c>
      <c r="P518" s="269">
        <v>89.081000000000003</v>
      </c>
      <c r="Q518" s="426"/>
      <c r="R518" s="418" t="s">
        <v>1089</v>
      </c>
      <c r="S518" s="427" t="s">
        <v>613</v>
      </c>
      <c r="T518" s="357">
        <v>1</v>
      </c>
      <c r="U518" s="357" t="s">
        <v>204</v>
      </c>
      <c r="V518" s="367">
        <v>143000000</v>
      </c>
      <c r="W518" s="368">
        <v>143000000</v>
      </c>
      <c r="X518" s="357"/>
      <c r="Y518" s="357"/>
      <c r="Z518" s="400"/>
      <c r="AA518" s="369"/>
      <c r="AB518" s="370"/>
      <c r="AC518" s="404"/>
      <c r="AD518" s="270"/>
      <c r="AE518" s="156"/>
      <c r="AF518" s="156"/>
      <c r="AG518" s="357"/>
      <c r="AH518" s="357"/>
      <c r="AI518" s="357"/>
      <c r="AJ518" s="156"/>
      <c r="AK518" s="156"/>
      <c r="AL518" s="375"/>
      <c r="AM518" s="405"/>
      <c r="AN518" s="273"/>
      <c r="AO518" s="405"/>
      <c r="AP518" s="273"/>
      <c r="AQ518" s="273"/>
      <c r="AR518" s="273"/>
      <c r="AS518" s="273"/>
      <c r="AT518" s="273"/>
      <c r="AU518" s="273"/>
      <c r="AV518" s="322">
        <f t="shared" si="23"/>
        <v>0</v>
      </c>
      <c r="AW518" s="402" t="s">
        <v>3387</v>
      </c>
      <c r="AX518" s="376">
        <v>45765</v>
      </c>
      <c r="AY518" s="373" t="s">
        <v>3388</v>
      </c>
      <c r="AZ518" s="375"/>
      <c r="BA518" s="375">
        <v>500000000</v>
      </c>
      <c r="BB518" s="375"/>
      <c r="BC518" s="375"/>
      <c r="BD518" s="353">
        <f t="shared" si="24"/>
        <v>500000000</v>
      </c>
      <c r="BE518" s="432" t="s">
        <v>355</v>
      </c>
      <c r="BF518" s="407" t="s">
        <v>498</v>
      </c>
      <c r="BG518" s="168"/>
      <c r="BH518" s="274"/>
      <c r="BI518" s="168"/>
      <c r="BJ518" s="274"/>
      <c r="BK518" s="168"/>
      <c r="BL518" s="275"/>
      <c r="BM518" s="276"/>
      <c r="BN518" s="275"/>
      <c r="BO518" s="276"/>
      <c r="BP518" s="277"/>
      <c r="BQ518" s="156"/>
      <c r="BR518" s="274"/>
      <c r="BS518" s="270"/>
      <c r="BT518" s="270"/>
      <c r="BU518" s="274"/>
      <c r="BV518" s="274"/>
      <c r="BW518" s="278"/>
      <c r="BX518" s="278"/>
      <c r="BY518" s="278"/>
      <c r="BZ518" s="351"/>
    </row>
    <row r="519" spans="1:78" s="90" customFormat="1" ht="19.5" customHeight="1">
      <c r="A519" s="137"/>
      <c r="B519" s="197">
        <f t="shared" si="22"/>
        <v>509</v>
      </c>
      <c r="C519" s="30" t="s">
        <v>202</v>
      </c>
      <c r="D519" s="30" t="s">
        <v>225</v>
      </c>
      <c r="E519" s="234" t="s">
        <v>1090</v>
      </c>
      <c r="F519" s="235" t="s">
        <v>1229</v>
      </c>
      <c r="G519" s="284" t="str">
        <f>IFERROR(VLOOKUP(E519,Assign!$C$2:$J$142,8,FALSE),)</f>
        <v>문선영</v>
      </c>
      <c r="H519" s="361" t="s">
        <v>5018</v>
      </c>
      <c r="I519" s="363">
        <v>1</v>
      </c>
      <c r="J519" s="364" t="s">
        <v>217</v>
      </c>
      <c r="K519" s="364" t="s">
        <v>406</v>
      </c>
      <c r="L519" s="365" t="s">
        <v>2539</v>
      </c>
      <c r="M519" s="362" t="s">
        <v>2540</v>
      </c>
      <c r="N519" s="421" t="s">
        <v>207</v>
      </c>
      <c r="O519" s="269">
        <v>54.670200000000001</v>
      </c>
      <c r="P519" s="269">
        <v>84.834500000000006</v>
      </c>
      <c r="Q519" s="426"/>
      <c r="R519" s="418" t="s">
        <v>1090</v>
      </c>
      <c r="S519" s="427" t="s">
        <v>613</v>
      </c>
      <c r="T519" s="357">
        <v>1</v>
      </c>
      <c r="U519" s="357" t="s">
        <v>204</v>
      </c>
      <c r="V519" s="367">
        <v>140280000</v>
      </c>
      <c r="W519" s="368">
        <v>140280000</v>
      </c>
      <c r="X519" s="357"/>
      <c r="Y519" s="357"/>
      <c r="Z519" s="400"/>
      <c r="AA519" s="369"/>
      <c r="AB519" s="370"/>
      <c r="AC519" s="404"/>
      <c r="AD519" s="270"/>
      <c r="AE519" s="156"/>
      <c r="AF519" s="156"/>
      <c r="AG519" s="357"/>
      <c r="AH519" s="357"/>
      <c r="AI519" s="357"/>
      <c r="AJ519" s="156"/>
      <c r="AK519" s="156"/>
      <c r="AL519" s="375"/>
      <c r="AM519" s="405"/>
      <c r="AN519" s="273"/>
      <c r="AO519" s="405"/>
      <c r="AP519" s="273"/>
      <c r="AQ519" s="273"/>
      <c r="AR519" s="273"/>
      <c r="AS519" s="273"/>
      <c r="AT519" s="273"/>
      <c r="AU519" s="273"/>
      <c r="AV519" s="322">
        <f t="shared" si="23"/>
        <v>0</v>
      </c>
      <c r="AW519" s="402" t="s">
        <v>3387</v>
      </c>
      <c r="AX519" s="376">
        <v>45765</v>
      </c>
      <c r="AY519" s="373" t="s">
        <v>3388</v>
      </c>
      <c r="AZ519" s="375"/>
      <c r="BA519" s="375">
        <v>125000000</v>
      </c>
      <c r="BB519" s="375"/>
      <c r="BC519" s="375"/>
      <c r="BD519" s="353">
        <f t="shared" si="24"/>
        <v>125000000</v>
      </c>
      <c r="BE519" s="432" t="s">
        <v>335</v>
      </c>
      <c r="BF519" s="407" t="s">
        <v>515</v>
      </c>
      <c r="BG519" s="168" t="s">
        <v>1373</v>
      </c>
      <c r="BH519" s="274">
        <v>45755</v>
      </c>
      <c r="BI519" s="168" t="s">
        <v>3326</v>
      </c>
      <c r="BJ519" s="274">
        <v>45826</v>
      </c>
      <c r="BK519" s="168">
        <v>127324461</v>
      </c>
      <c r="BL519" s="275"/>
      <c r="BM519" s="276"/>
      <c r="BN519" s="275"/>
      <c r="BO519" s="276"/>
      <c r="BP519" s="277"/>
      <c r="BQ519" s="156"/>
      <c r="BR519" s="274"/>
      <c r="BS519" s="270"/>
      <c r="BT519" s="270"/>
      <c r="BU519" s="274"/>
      <c r="BV519" s="274"/>
      <c r="BW519" s="278"/>
      <c r="BX519" s="278"/>
      <c r="BY519" s="278"/>
      <c r="BZ519" s="351"/>
    </row>
    <row r="520" spans="1:78" s="90" customFormat="1" ht="19.5" hidden="1" customHeight="1">
      <c r="A520" s="137"/>
      <c r="B520" s="197">
        <f t="shared" si="22"/>
        <v>510</v>
      </c>
      <c r="C520" s="30" t="s">
        <v>202</v>
      </c>
      <c r="D520" s="30" t="s">
        <v>225</v>
      </c>
      <c r="E520" s="234" t="s">
        <v>1091</v>
      </c>
      <c r="F520" s="235" t="s">
        <v>1226</v>
      </c>
      <c r="G520" s="284">
        <f>IFERROR(VLOOKUP(E520,Assign!$C$2:$J$142,8,FALSE),)</f>
        <v>0</v>
      </c>
      <c r="H520" s="361" t="s">
        <v>4478</v>
      </c>
      <c r="I520" s="363">
        <v>1</v>
      </c>
      <c r="J520" s="364" t="s">
        <v>208</v>
      </c>
      <c r="K520" s="364" t="s">
        <v>271</v>
      </c>
      <c r="L520" s="365" t="s">
        <v>1482</v>
      </c>
      <c r="M520" s="362" t="s">
        <v>2022</v>
      </c>
      <c r="N520" s="421" t="s">
        <v>207</v>
      </c>
      <c r="O520" s="269">
        <v>42.76</v>
      </c>
      <c r="P520" s="269">
        <v>148.85</v>
      </c>
      <c r="Q520" s="426"/>
      <c r="R520" s="418" t="s">
        <v>1091</v>
      </c>
      <c r="S520" s="427" t="s">
        <v>613</v>
      </c>
      <c r="T520" s="357" t="s">
        <v>229</v>
      </c>
      <c r="U520" s="357" t="s">
        <v>204</v>
      </c>
      <c r="V520" s="367">
        <v>130680000</v>
      </c>
      <c r="W520" s="368">
        <v>130680000</v>
      </c>
      <c r="X520" s="357"/>
      <c r="Y520" s="357"/>
      <c r="Z520" s="400"/>
      <c r="AA520" s="369"/>
      <c r="AB520" s="370"/>
      <c r="AC520" s="404"/>
      <c r="AD520" s="270"/>
      <c r="AE520" s="156"/>
      <c r="AF520" s="156"/>
      <c r="AG520" s="357"/>
      <c r="AH520" s="357"/>
      <c r="AI520" s="357"/>
      <c r="AJ520" s="156"/>
      <c r="AK520" s="156"/>
      <c r="AL520" s="375"/>
      <c r="AM520" s="405"/>
      <c r="AN520" s="273"/>
      <c r="AO520" s="405"/>
      <c r="AP520" s="273"/>
      <c r="AQ520" s="273"/>
      <c r="AR520" s="273"/>
      <c r="AS520" s="273"/>
      <c r="AT520" s="273"/>
      <c r="AU520" s="273"/>
      <c r="AV520" s="322">
        <f t="shared" si="23"/>
        <v>0</v>
      </c>
      <c r="AW520" s="402" t="s">
        <v>3387</v>
      </c>
      <c r="AX520" s="376">
        <v>45765</v>
      </c>
      <c r="AY520" s="373" t="s">
        <v>3388</v>
      </c>
      <c r="AZ520" s="375"/>
      <c r="BA520" s="375">
        <v>320000000</v>
      </c>
      <c r="BB520" s="375"/>
      <c r="BC520" s="375"/>
      <c r="BD520" s="353">
        <f t="shared" si="24"/>
        <v>320000000</v>
      </c>
      <c r="BE520" s="432" t="s">
        <v>335</v>
      </c>
      <c r="BF520" s="407" t="s">
        <v>424</v>
      </c>
      <c r="BG520" s="168" t="s">
        <v>3304</v>
      </c>
      <c r="BH520" s="274">
        <v>45615</v>
      </c>
      <c r="BI520" s="168" t="s">
        <v>3223</v>
      </c>
      <c r="BJ520" s="274">
        <v>45691</v>
      </c>
      <c r="BK520" s="168">
        <v>108122578</v>
      </c>
      <c r="BL520" s="275"/>
      <c r="BM520" s="276"/>
      <c r="BN520" s="275"/>
      <c r="BO520" s="276"/>
      <c r="BP520" s="277"/>
      <c r="BQ520" s="156"/>
      <c r="BR520" s="274"/>
      <c r="BS520" s="270"/>
      <c r="BT520" s="270"/>
      <c r="BU520" s="274"/>
      <c r="BV520" s="274"/>
      <c r="BW520" s="278"/>
      <c r="BX520" s="278"/>
      <c r="BY520" s="278"/>
      <c r="BZ520" s="351"/>
    </row>
    <row r="521" spans="1:78" s="90" customFormat="1" ht="19.5" hidden="1" customHeight="1">
      <c r="A521" s="137"/>
      <c r="B521" s="197">
        <f t="shared" si="22"/>
        <v>511</v>
      </c>
      <c r="C521" s="30" t="s">
        <v>202</v>
      </c>
      <c r="D521" s="30" t="s">
        <v>225</v>
      </c>
      <c r="E521" s="234" t="s">
        <v>1092</v>
      </c>
      <c r="F521" s="235" t="s">
        <v>1229</v>
      </c>
      <c r="G521" s="284" t="str">
        <f>IFERROR(VLOOKUP(E521,Assign!$C$2:$J$142,8,FALSE),)</f>
        <v>문선영</v>
      </c>
      <c r="H521" s="361" t="s">
        <v>4587</v>
      </c>
      <c r="I521" s="363">
        <v>1</v>
      </c>
      <c r="J521" s="364" t="s">
        <v>212</v>
      </c>
      <c r="K521" s="364" t="s">
        <v>389</v>
      </c>
      <c r="L521" s="365" t="s">
        <v>1640</v>
      </c>
      <c r="M521" s="362" t="s">
        <v>2125</v>
      </c>
      <c r="N521" s="421" t="s">
        <v>3505</v>
      </c>
      <c r="O521" s="269">
        <v>10.281000000000001</v>
      </c>
      <c r="P521" s="269">
        <v>58.56</v>
      </c>
      <c r="Q521" s="426"/>
      <c r="R521" s="418" t="s">
        <v>1092</v>
      </c>
      <c r="S521" s="427" t="s">
        <v>613</v>
      </c>
      <c r="T521" s="357">
        <v>1</v>
      </c>
      <c r="U521" s="357" t="s">
        <v>204</v>
      </c>
      <c r="V521" s="367">
        <v>168000000</v>
      </c>
      <c r="W521" s="368">
        <v>168000000</v>
      </c>
      <c r="X521" s="357"/>
      <c r="Y521" s="357"/>
      <c r="Z521" s="400"/>
      <c r="AA521" s="369"/>
      <c r="AB521" s="370"/>
      <c r="AC521" s="404"/>
      <c r="AD521" s="270"/>
      <c r="AE521" s="156"/>
      <c r="AF521" s="156"/>
      <c r="AG521" s="357"/>
      <c r="AH521" s="357"/>
      <c r="AI521" s="357"/>
      <c r="AJ521" s="156"/>
      <c r="AK521" s="156"/>
      <c r="AL521" s="375"/>
      <c r="AM521" s="405"/>
      <c r="AN521" s="273"/>
      <c r="AO521" s="405"/>
      <c r="AP521" s="273"/>
      <c r="AQ521" s="273"/>
      <c r="AR521" s="273"/>
      <c r="AS521" s="273"/>
      <c r="AT521" s="273"/>
      <c r="AU521" s="273"/>
      <c r="AV521" s="322">
        <f t="shared" si="23"/>
        <v>0</v>
      </c>
      <c r="AW521" s="402"/>
      <c r="AX521" s="376"/>
      <c r="AY521" s="373"/>
      <c r="AZ521" s="375"/>
      <c r="BA521" s="375"/>
      <c r="BB521" s="375"/>
      <c r="BC521" s="375"/>
      <c r="BD521" s="353">
        <f t="shared" si="24"/>
        <v>0</v>
      </c>
      <c r="BE521" s="432" t="s">
        <v>355</v>
      </c>
      <c r="BF521" s="407" t="s">
        <v>496</v>
      </c>
      <c r="BG521" s="168"/>
      <c r="BH521" s="274"/>
      <c r="BI521" s="168"/>
      <c r="BJ521" s="274"/>
      <c r="BK521" s="168"/>
      <c r="BL521" s="275"/>
      <c r="BM521" s="276"/>
      <c r="BN521" s="275"/>
      <c r="BO521" s="276"/>
      <c r="BP521" s="277"/>
      <c r="BQ521" s="156"/>
      <c r="BR521" s="274"/>
      <c r="BS521" s="270"/>
      <c r="BT521" s="270"/>
      <c r="BU521" s="274"/>
      <c r="BV521" s="274"/>
      <c r="BW521" s="278"/>
      <c r="BX521" s="278"/>
      <c r="BY521" s="278"/>
      <c r="BZ521" s="351"/>
    </row>
    <row r="522" spans="1:78" s="90" customFormat="1" ht="19.5" hidden="1" customHeight="1">
      <c r="A522" s="137"/>
      <c r="B522" s="197">
        <f t="shared" si="22"/>
        <v>512</v>
      </c>
      <c r="C522" s="30" t="s">
        <v>202</v>
      </c>
      <c r="D522" s="30" t="s">
        <v>225</v>
      </c>
      <c r="E522" s="234" t="s">
        <v>1093</v>
      </c>
      <c r="F522" s="235" t="s">
        <v>1219</v>
      </c>
      <c r="G522" s="284">
        <f>IFERROR(VLOOKUP(E522,Assign!$C$2:$J$142,8,FALSE),)</f>
        <v>0</v>
      </c>
      <c r="H522" s="361" t="s">
        <v>4011</v>
      </c>
      <c r="I522" s="363">
        <v>1</v>
      </c>
      <c r="J522" s="364" t="s">
        <v>208</v>
      </c>
      <c r="K522" s="364" t="s">
        <v>316</v>
      </c>
      <c r="L522" s="365" t="s">
        <v>1585</v>
      </c>
      <c r="M522" s="362" t="s">
        <v>1586</v>
      </c>
      <c r="N522" s="421" t="s">
        <v>606</v>
      </c>
      <c r="O522" s="269">
        <v>71.09</v>
      </c>
      <c r="P522" s="269">
        <v>62.52</v>
      </c>
      <c r="Q522" s="426"/>
      <c r="R522" s="418" t="s">
        <v>1093</v>
      </c>
      <c r="S522" s="427" t="s">
        <v>613</v>
      </c>
      <c r="T522" s="357">
        <v>1</v>
      </c>
      <c r="U522" s="357" t="s">
        <v>204</v>
      </c>
      <c r="V522" s="367">
        <v>130900000</v>
      </c>
      <c r="W522" s="368">
        <v>130900000</v>
      </c>
      <c r="X522" s="357"/>
      <c r="Y522" s="357"/>
      <c r="Z522" s="400"/>
      <c r="AA522" s="369"/>
      <c r="AB522" s="370"/>
      <c r="AC522" s="404"/>
      <c r="AD522" s="270"/>
      <c r="AE522" s="156"/>
      <c r="AF522" s="156"/>
      <c r="AG522" s="357"/>
      <c r="AH522" s="357"/>
      <c r="AI522" s="357"/>
      <c r="AJ522" s="156"/>
      <c r="AK522" s="156"/>
      <c r="AL522" s="375"/>
      <c r="AM522" s="405"/>
      <c r="AN522" s="273"/>
      <c r="AO522" s="405"/>
      <c r="AP522" s="273"/>
      <c r="AQ522" s="273"/>
      <c r="AR522" s="273"/>
      <c r="AS522" s="273"/>
      <c r="AT522" s="273"/>
      <c r="AU522" s="273"/>
      <c r="AV522" s="322">
        <f t="shared" si="23"/>
        <v>0</v>
      </c>
      <c r="AW522" s="402"/>
      <c r="AX522" s="376"/>
      <c r="AY522" s="373"/>
      <c r="AZ522" s="375"/>
      <c r="BA522" s="375"/>
      <c r="BB522" s="375"/>
      <c r="BC522" s="375"/>
      <c r="BD522" s="353">
        <f t="shared" si="24"/>
        <v>0</v>
      </c>
      <c r="BE522" s="432" t="s">
        <v>355</v>
      </c>
      <c r="BF522" s="407" t="s">
        <v>501</v>
      </c>
      <c r="BG522" s="168"/>
      <c r="BH522" s="274"/>
      <c r="BI522" s="168"/>
      <c r="BJ522" s="274"/>
      <c r="BK522" s="168"/>
      <c r="BL522" s="275"/>
      <c r="BM522" s="276"/>
      <c r="BN522" s="275"/>
      <c r="BO522" s="276"/>
      <c r="BP522" s="277"/>
      <c r="BQ522" s="156"/>
      <c r="BR522" s="274"/>
      <c r="BS522" s="270"/>
      <c r="BT522" s="270"/>
      <c r="BU522" s="274"/>
      <c r="BV522" s="274"/>
      <c r="BW522" s="278"/>
      <c r="BX522" s="278"/>
      <c r="BY522" s="278"/>
      <c r="BZ522" s="351"/>
    </row>
    <row r="523" spans="1:78" s="90" customFormat="1" ht="19.5" hidden="1" customHeight="1">
      <c r="A523" s="137"/>
      <c r="B523" s="197">
        <f t="shared" ref="B523:B586" si="25">ROW()-10</f>
        <v>513</v>
      </c>
      <c r="C523" s="30" t="s">
        <v>202</v>
      </c>
      <c r="D523" s="30" t="s">
        <v>225</v>
      </c>
      <c r="E523" s="234" t="s">
        <v>1094</v>
      </c>
      <c r="F523" s="235" t="s">
        <v>1219</v>
      </c>
      <c r="G523" s="284">
        <f>IFERROR(VLOOKUP(E523,Assign!$C$2:$J$142,8,FALSE),)</f>
        <v>0</v>
      </c>
      <c r="H523" s="361" t="s">
        <v>4837</v>
      </c>
      <c r="I523" s="363">
        <v>1</v>
      </c>
      <c r="J523" s="364" t="s">
        <v>208</v>
      </c>
      <c r="K523" s="364" t="s">
        <v>318</v>
      </c>
      <c r="L523" s="365" t="s">
        <v>1939</v>
      </c>
      <c r="M523" s="362" t="s">
        <v>2366</v>
      </c>
      <c r="N523" s="421" t="s">
        <v>3076</v>
      </c>
      <c r="O523" s="269">
        <v>31.49</v>
      </c>
      <c r="P523" s="269">
        <v>50.56</v>
      </c>
      <c r="Q523" s="426"/>
      <c r="R523" s="418" t="s">
        <v>1094</v>
      </c>
      <c r="S523" s="427" t="s">
        <v>613</v>
      </c>
      <c r="T523" s="357">
        <v>1</v>
      </c>
      <c r="U523" s="357" t="s">
        <v>204</v>
      </c>
      <c r="V523" s="367">
        <v>158400000</v>
      </c>
      <c r="W523" s="368">
        <v>158400000</v>
      </c>
      <c r="X523" s="357"/>
      <c r="Y523" s="357"/>
      <c r="Z523" s="400"/>
      <c r="AA523" s="369"/>
      <c r="AB523" s="370"/>
      <c r="AC523" s="404"/>
      <c r="AD523" s="270"/>
      <c r="AE523" s="156"/>
      <c r="AF523" s="156"/>
      <c r="AG523" s="357"/>
      <c r="AH523" s="357"/>
      <c r="AI523" s="357"/>
      <c r="AJ523" s="156"/>
      <c r="AK523" s="156"/>
      <c r="AL523" s="375"/>
      <c r="AM523" s="405"/>
      <c r="AN523" s="273"/>
      <c r="AO523" s="405"/>
      <c r="AP523" s="273"/>
      <c r="AQ523" s="273"/>
      <c r="AR523" s="273"/>
      <c r="AS523" s="273"/>
      <c r="AT523" s="273"/>
      <c r="AU523" s="273"/>
      <c r="AV523" s="322">
        <f t="shared" ref="AV523:AV586" si="26">SUM(AP523:AU523)</f>
        <v>0</v>
      </c>
      <c r="AW523" s="402"/>
      <c r="AX523" s="376"/>
      <c r="AY523" s="373"/>
      <c r="AZ523" s="375"/>
      <c r="BA523" s="375"/>
      <c r="BB523" s="375"/>
      <c r="BC523" s="375"/>
      <c r="BD523" s="353">
        <f t="shared" ref="BD523:BD586" si="27">SUM(AZ523:BC523)</f>
        <v>0</v>
      </c>
      <c r="BE523" s="432" t="s">
        <v>355</v>
      </c>
      <c r="BF523" s="407" t="s">
        <v>422</v>
      </c>
      <c r="BG523" s="168"/>
      <c r="BH523" s="274"/>
      <c r="BI523" s="168"/>
      <c r="BJ523" s="274"/>
      <c r="BK523" s="168"/>
      <c r="BL523" s="275"/>
      <c r="BM523" s="276"/>
      <c r="BN523" s="275"/>
      <c r="BO523" s="276"/>
      <c r="BP523" s="277"/>
      <c r="BQ523" s="156"/>
      <c r="BR523" s="274"/>
      <c r="BS523" s="270"/>
      <c r="BT523" s="270"/>
      <c r="BU523" s="274"/>
      <c r="BV523" s="274"/>
      <c r="BW523" s="278"/>
      <c r="BX523" s="278"/>
      <c r="BY523" s="278"/>
      <c r="BZ523" s="351"/>
    </row>
    <row r="524" spans="1:78" s="90" customFormat="1" ht="19.5" hidden="1" customHeight="1">
      <c r="A524" s="137"/>
      <c r="B524" s="197">
        <f t="shared" si="25"/>
        <v>514</v>
      </c>
      <c r="C524" s="30" t="s">
        <v>202</v>
      </c>
      <c r="D524" s="30" t="s">
        <v>225</v>
      </c>
      <c r="E524" s="234" t="s">
        <v>1095</v>
      </c>
      <c r="F524" s="235" t="s">
        <v>1231</v>
      </c>
      <c r="G524" s="284">
        <f>IFERROR(VLOOKUP(E524,Assign!$C$2:$J$142,8,FALSE),)</f>
        <v>0</v>
      </c>
      <c r="H524" s="361" t="s">
        <v>4465</v>
      </c>
      <c r="I524" s="363">
        <v>1</v>
      </c>
      <c r="J524" s="364" t="s">
        <v>208</v>
      </c>
      <c r="K524" s="364" t="s">
        <v>316</v>
      </c>
      <c r="L524" s="365" t="s">
        <v>572</v>
      </c>
      <c r="M524" s="362" t="s">
        <v>2009</v>
      </c>
      <c r="N524" s="421" t="s">
        <v>606</v>
      </c>
      <c r="O524" s="269">
        <v>44.375</v>
      </c>
      <c r="P524" s="269">
        <v>76.48</v>
      </c>
      <c r="Q524" s="426"/>
      <c r="R524" s="418" t="s">
        <v>1095</v>
      </c>
      <c r="S524" s="427" t="s">
        <v>613</v>
      </c>
      <c r="T524" s="357">
        <v>1</v>
      </c>
      <c r="U524" s="357" t="s">
        <v>204</v>
      </c>
      <c r="V524" s="367">
        <v>146400000</v>
      </c>
      <c r="W524" s="368">
        <v>146400000</v>
      </c>
      <c r="X524" s="357"/>
      <c r="Y524" s="357"/>
      <c r="Z524" s="400"/>
      <c r="AA524" s="369"/>
      <c r="AB524" s="370"/>
      <c r="AC524" s="404"/>
      <c r="AD524" s="270"/>
      <c r="AE524" s="156"/>
      <c r="AF524" s="156"/>
      <c r="AG524" s="357"/>
      <c r="AH524" s="357"/>
      <c r="AI524" s="357"/>
      <c r="AJ524" s="156"/>
      <c r="AK524" s="156"/>
      <c r="AL524" s="375"/>
      <c r="AM524" s="405"/>
      <c r="AN524" s="273"/>
      <c r="AO524" s="405"/>
      <c r="AP524" s="273"/>
      <c r="AQ524" s="273"/>
      <c r="AR524" s="273"/>
      <c r="AS524" s="273"/>
      <c r="AT524" s="273"/>
      <c r="AU524" s="273"/>
      <c r="AV524" s="322">
        <f t="shared" si="26"/>
        <v>0</v>
      </c>
      <c r="AW524" s="402"/>
      <c r="AX524" s="376"/>
      <c r="AY524" s="373"/>
      <c r="AZ524" s="375"/>
      <c r="BA524" s="375"/>
      <c r="BB524" s="375"/>
      <c r="BC524" s="375"/>
      <c r="BD524" s="353">
        <f t="shared" si="27"/>
        <v>0</v>
      </c>
      <c r="BE524" s="432" t="s">
        <v>355</v>
      </c>
      <c r="BF524" s="407" t="s">
        <v>501</v>
      </c>
      <c r="BG524" s="168"/>
      <c r="BH524" s="274"/>
      <c r="BI524" s="168"/>
      <c r="BJ524" s="274"/>
      <c r="BK524" s="168"/>
      <c r="BL524" s="275"/>
      <c r="BM524" s="276"/>
      <c r="BN524" s="275"/>
      <c r="BO524" s="276"/>
      <c r="BP524" s="277"/>
      <c r="BQ524" s="156"/>
      <c r="BR524" s="274"/>
      <c r="BS524" s="270"/>
      <c r="BT524" s="270"/>
      <c r="BU524" s="274"/>
      <c r="BV524" s="274"/>
      <c r="BW524" s="278"/>
      <c r="BX524" s="278"/>
      <c r="BY524" s="278"/>
      <c r="BZ524" s="351"/>
    </row>
    <row r="525" spans="1:78" s="90" customFormat="1" ht="19.5" hidden="1" customHeight="1">
      <c r="A525" s="137"/>
      <c r="B525" s="197">
        <f t="shared" si="25"/>
        <v>515</v>
      </c>
      <c r="C525" s="30" t="s">
        <v>202</v>
      </c>
      <c r="D525" s="30" t="s">
        <v>225</v>
      </c>
      <c r="E525" s="234" t="s">
        <v>1096</v>
      </c>
      <c r="F525" s="235" t="s">
        <v>1229</v>
      </c>
      <c r="G525" s="284" t="str">
        <f>IFERROR(VLOOKUP(E525,Assign!$C$2:$J$142,8,FALSE),)</f>
        <v>문선영</v>
      </c>
      <c r="H525" s="361" t="s">
        <v>4040</v>
      </c>
      <c r="I525" s="363">
        <v>1</v>
      </c>
      <c r="J525" s="364" t="s">
        <v>208</v>
      </c>
      <c r="K525" s="364" t="s">
        <v>280</v>
      </c>
      <c r="L525" s="365" t="s">
        <v>1615</v>
      </c>
      <c r="M525" s="362" t="s">
        <v>1616</v>
      </c>
      <c r="N525" s="421" t="s">
        <v>618</v>
      </c>
      <c r="O525" s="269">
        <v>79.3</v>
      </c>
      <c r="P525" s="269">
        <v>67.72</v>
      </c>
      <c r="Q525" s="426"/>
      <c r="R525" s="418" t="s">
        <v>1096</v>
      </c>
      <c r="S525" s="427" t="s">
        <v>613</v>
      </c>
      <c r="T525" s="357">
        <v>1</v>
      </c>
      <c r="U525" s="357" t="s">
        <v>204</v>
      </c>
      <c r="V525" s="367">
        <v>156000000</v>
      </c>
      <c r="W525" s="368">
        <v>156000000</v>
      </c>
      <c r="X525" s="357"/>
      <c r="Y525" s="357"/>
      <c r="Z525" s="400"/>
      <c r="AA525" s="369"/>
      <c r="AB525" s="370"/>
      <c r="AC525" s="404"/>
      <c r="AD525" s="270"/>
      <c r="AE525" s="156"/>
      <c r="AF525" s="156"/>
      <c r="AG525" s="357"/>
      <c r="AH525" s="357"/>
      <c r="AI525" s="357"/>
      <c r="AJ525" s="156"/>
      <c r="AK525" s="156"/>
      <c r="AL525" s="375"/>
      <c r="AM525" s="405"/>
      <c r="AN525" s="273"/>
      <c r="AO525" s="405"/>
      <c r="AP525" s="273"/>
      <c r="AQ525" s="273"/>
      <c r="AR525" s="273"/>
      <c r="AS525" s="273"/>
      <c r="AT525" s="273"/>
      <c r="AU525" s="273"/>
      <c r="AV525" s="322">
        <f t="shared" si="26"/>
        <v>0</v>
      </c>
      <c r="AW525" s="402"/>
      <c r="AX525" s="376"/>
      <c r="AY525" s="373"/>
      <c r="AZ525" s="375"/>
      <c r="BA525" s="375"/>
      <c r="BB525" s="375"/>
      <c r="BC525" s="375"/>
      <c r="BD525" s="353">
        <f t="shared" si="27"/>
        <v>0</v>
      </c>
      <c r="BE525" s="432" t="s">
        <v>355</v>
      </c>
      <c r="BF525" s="407" t="s">
        <v>422</v>
      </c>
      <c r="BG525" s="168"/>
      <c r="BH525" s="274"/>
      <c r="BI525" s="168"/>
      <c r="BJ525" s="274"/>
      <c r="BK525" s="168"/>
      <c r="BL525" s="275"/>
      <c r="BM525" s="276"/>
      <c r="BN525" s="275"/>
      <c r="BO525" s="276"/>
      <c r="BP525" s="277"/>
      <c r="BQ525" s="156"/>
      <c r="BR525" s="274"/>
      <c r="BS525" s="270"/>
      <c r="BT525" s="270"/>
      <c r="BU525" s="274"/>
      <c r="BV525" s="274"/>
      <c r="BW525" s="278"/>
      <c r="BX525" s="278"/>
      <c r="BY525" s="278"/>
      <c r="BZ525" s="351"/>
    </row>
    <row r="526" spans="1:78" s="90" customFormat="1" ht="19.5" hidden="1" customHeight="1">
      <c r="A526" s="137"/>
      <c r="B526" s="197">
        <f t="shared" si="25"/>
        <v>516</v>
      </c>
      <c r="C526" s="30" t="s">
        <v>202</v>
      </c>
      <c r="D526" s="30" t="s">
        <v>225</v>
      </c>
      <c r="E526" s="234" t="s">
        <v>1097</v>
      </c>
      <c r="F526" s="235" t="s">
        <v>1229</v>
      </c>
      <c r="G526" s="284">
        <f>IFERROR(VLOOKUP(E526,Assign!$C$2:$J$142,8,FALSE),)</f>
        <v>0</v>
      </c>
      <c r="H526" s="361" t="s">
        <v>4334</v>
      </c>
      <c r="I526" s="363">
        <v>1</v>
      </c>
      <c r="J526" s="364" t="s">
        <v>208</v>
      </c>
      <c r="K526" s="364" t="s">
        <v>258</v>
      </c>
      <c r="L526" s="365" t="s">
        <v>327</v>
      </c>
      <c r="M526" s="362" t="s">
        <v>1896</v>
      </c>
      <c r="N526" s="421" t="s">
        <v>3505</v>
      </c>
      <c r="O526" s="269">
        <v>6.2826000000000004</v>
      </c>
      <c r="P526" s="269">
        <v>33.795200000000001</v>
      </c>
      <c r="Q526" s="426"/>
      <c r="R526" s="418" t="s">
        <v>1097</v>
      </c>
      <c r="S526" s="427" t="s">
        <v>613</v>
      </c>
      <c r="T526" s="357">
        <v>1</v>
      </c>
      <c r="U526" s="357" t="s">
        <v>204</v>
      </c>
      <c r="V526" s="367">
        <v>156000000</v>
      </c>
      <c r="W526" s="368">
        <v>156000000</v>
      </c>
      <c r="X526" s="357"/>
      <c r="Y526" s="357"/>
      <c r="Z526" s="400"/>
      <c r="AA526" s="369"/>
      <c r="AB526" s="370"/>
      <c r="AC526" s="404"/>
      <c r="AD526" s="270"/>
      <c r="AE526" s="156"/>
      <c r="AF526" s="156"/>
      <c r="AG526" s="357"/>
      <c r="AH526" s="357"/>
      <c r="AI526" s="357"/>
      <c r="AJ526" s="156"/>
      <c r="AK526" s="156"/>
      <c r="AL526" s="375"/>
      <c r="AM526" s="405"/>
      <c r="AN526" s="273"/>
      <c r="AO526" s="405"/>
      <c r="AP526" s="273"/>
      <c r="AQ526" s="273"/>
      <c r="AR526" s="273"/>
      <c r="AS526" s="273"/>
      <c r="AT526" s="273"/>
      <c r="AU526" s="273"/>
      <c r="AV526" s="322">
        <f t="shared" si="26"/>
        <v>0</v>
      </c>
      <c r="AW526" s="402"/>
      <c r="AX526" s="376"/>
      <c r="AY526" s="373"/>
      <c r="AZ526" s="375"/>
      <c r="BA526" s="375"/>
      <c r="BB526" s="375"/>
      <c r="BC526" s="375"/>
      <c r="BD526" s="353">
        <f t="shared" si="27"/>
        <v>0</v>
      </c>
      <c r="BE526" s="432" t="s">
        <v>355</v>
      </c>
      <c r="BF526" s="407" t="s">
        <v>498</v>
      </c>
      <c r="BG526" s="168"/>
      <c r="BH526" s="274"/>
      <c r="BI526" s="168"/>
      <c r="BJ526" s="274"/>
      <c r="BK526" s="168"/>
      <c r="BL526" s="275"/>
      <c r="BM526" s="276"/>
      <c r="BN526" s="275"/>
      <c r="BO526" s="276"/>
      <c r="BP526" s="277"/>
      <c r="BQ526" s="156"/>
      <c r="BR526" s="274"/>
      <c r="BS526" s="270"/>
      <c r="BT526" s="270"/>
      <c r="BU526" s="274"/>
      <c r="BV526" s="274"/>
      <c r="BW526" s="278"/>
      <c r="BX526" s="278"/>
      <c r="BY526" s="278"/>
      <c r="BZ526" s="351"/>
    </row>
    <row r="527" spans="1:78" s="90" customFormat="1" ht="19.5" hidden="1" customHeight="1">
      <c r="A527" s="137"/>
      <c r="B527" s="197">
        <f t="shared" si="25"/>
        <v>517</v>
      </c>
      <c r="C527" s="30" t="s">
        <v>202</v>
      </c>
      <c r="D527" s="30" t="s">
        <v>225</v>
      </c>
      <c r="E527" s="234" t="s">
        <v>1098</v>
      </c>
      <c r="F527" s="235" t="s">
        <v>1271</v>
      </c>
      <c r="G527" s="284">
        <f>IFERROR(VLOOKUP(E527,Assign!$C$2:$J$142,8,FALSE),)</f>
        <v>0</v>
      </c>
      <c r="H527" s="361" t="s">
        <v>3892</v>
      </c>
      <c r="I527" s="363">
        <v>1</v>
      </c>
      <c r="J527" s="364" t="s">
        <v>224</v>
      </c>
      <c r="K527" s="364" t="s">
        <v>1458</v>
      </c>
      <c r="L527" s="365" t="s">
        <v>1459</v>
      </c>
      <c r="M527" s="362" t="s">
        <v>1460</v>
      </c>
      <c r="N527" s="421" t="s">
        <v>606</v>
      </c>
      <c r="O527" s="269">
        <v>44.548400000000001</v>
      </c>
      <c r="P527" s="269">
        <v>55.95</v>
      </c>
      <c r="Q527" s="426"/>
      <c r="R527" s="418" t="s">
        <v>1098</v>
      </c>
      <c r="S527" s="427" t="s">
        <v>613</v>
      </c>
      <c r="T527" s="357">
        <v>1</v>
      </c>
      <c r="U527" s="357" t="s">
        <v>204</v>
      </c>
      <c r="V527" s="367">
        <v>150000000</v>
      </c>
      <c r="W527" s="368">
        <v>150000000</v>
      </c>
      <c r="X527" s="357"/>
      <c r="Y527" s="357"/>
      <c r="Z527" s="400"/>
      <c r="AA527" s="369"/>
      <c r="AB527" s="370"/>
      <c r="AC527" s="404"/>
      <c r="AD527" s="270"/>
      <c r="AE527" s="156"/>
      <c r="AF527" s="156"/>
      <c r="AG527" s="357"/>
      <c r="AH527" s="357"/>
      <c r="AI527" s="357"/>
      <c r="AJ527" s="156"/>
      <c r="AK527" s="156"/>
      <c r="AL527" s="375"/>
      <c r="AM527" s="405"/>
      <c r="AN527" s="273"/>
      <c r="AO527" s="405"/>
      <c r="AP527" s="273"/>
      <c r="AQ527" s="273"/>
      <c r="AR527" s="273"/>
      <c r="AS527" s="273"/>
      <c r="AT527" s="273"/>
      <c r="AU527" s="273"/>
      <c r="AV527" s="322">
        <f t="shared" si="26"/>
        <v>0</v>
      </c>
      <c r="AW527" s="402"/>
      <c r="AX527" s="376"/>
      <c r="AY527" s="373"/>
      <c r="AZ527" s="375"/>
      <c r="BA527" s="375"/>
      <c r="BB527" s="375"/>
      <c r="BC527" s="375"/>
      <c r="BD527" s="353">
        <f t="shared" si="27"/>
        <v>0</v>
      </c>
      <c r="BE527" s="432" t="s">
        <v>355</v>
      </c>
      <c r="BF527" s="407" t="s">
        <v>512</v>
      </c>
      <c r="BG527" s="168"/>
      <c r="BH527" s="274"/>
      <c r="BI527" s="168"/>
      <c r="BJ527" s="274"/>
      <c r="BK527" s="168"/>
      <c r="BL527" s="275"/>
      <c r="BM527" s="276"/>
      <c r="BN527" s="275"/>
      <c r="BO527" s="276"/>
      <c r="BP527" s="277"/>
      <c r="BQ527" s="156"/>
      <c r="BR527" s="274"/>
      <c r="BS527" s="270"/>
      <c r="BT527" s="270"/>
      <c r="BU527" s="274"/>
      <c r="BV527" s="274"/>
      <c r="BW527" s="278"/>
      <c r="BX527" s="278"/>
      <c r="BY527" s="278"/>
      <c r="BZ527" s="351"/>
    </row>
    <row r="528" spans="1:78" s="90" customFormat="1" ht="19.5" hidden="1" customHeight="1">
      <c r="A528" s="137"/>
      <c r="B528" s="197">
        <f t="shared" si="25"/>
        <v>518</v>
      </c>
      <c r="C528" s="30" t="s">
        <v>202</v>
      </c>
      <c r="D528" s="30" t="s">
        <v>225</v>
      </c>
      <c r="E528" s="234" t="s">
        <v>1099</v>
      </c>
      <c r="F528" s="235" t="s">
        <v>1284</v>
      </c>
      <c r="G528" s="284">
        <f>IFERROR(VLOOKUP(E528,Assign!$C$2:$J$142,8,FALSE),)</f>
        <v>0</v>
      </c>
      <c r="H528" s="361" t="s">
        <v>4242</v>
      </c>
      <c r="I528" s="363">
        <v>1</v>
      </c>
      <c r="J528" s="364" t="s">
        <v>212</v>
      </c>
      <c r="K528" s="364" t="s">
        <v>309</v>
      </c>
      <c r="L528" s="365" t="s">
        <v>1812</v>
      </c>
      <c r="M528" s="362" t="s">
        <v>1813</v>
      </c>
      <c r="N528" s="421" t="s">
        <v>207</v>
      </c>
      <c r="O528" s="269">
        <v>32.037999999999997</v>
      </c>
      <c r="P528" s="269">
        <v>59.984999999999999</v>
      </c>
      <c r="Q528" s="426"/>
      <c r="R528" s="418" t="s">
        <v>1099</v>
      </c>
      <c r="S528" s="427" t="s">
        <v>613</v>
      </c>
      <c r="T528" s="357">
        <v>1</v>
      </c>
      <c r="U528" s="357" t="s">
        <v>204</v>
      </c>
      <c r="V528" s="367">
        <v>159600000</v>
      </c>
      <c r="W528" s="368">
        <v>159600000</v>
      </c>
      <c r="X528" s="357"/>
      <c r="Y528" s="357"/>
      <c r="Z528" s="400"/>
      <c r="AA528" s="369"/>
      <c r="AB528" s="370"/>
      <c r="AC528" s="404"/>
      <c r="AD528" s="270"/>
      <c r="AE528" s="156"/>
      <c r="AF528" s="156"/>
      <c r="AG528" s="357"/>
      <c r="AH528" s="357"/>
      <c r="AI528" s="357"/>
      <c r="AJ528" s="156"/>
      <c r="AK528" s="156"/>
      <c r="AL528" s="375"/>
      <c r="AM528" s="405"/>
      <c r="AN528" s="273"/>
      <c r="AO528" s="405"/>
      <c r="AP528" s="273"/>
      <c r="AQ528" s="273"/>
      <c r="AR528" s="273"/>
      <c r="AS528" s="273"/>
      <c r="AT528" s="273"/>
      <c r="AU528" s="273"/>
      <c r="AV528" s="322">
        <f t="shared" si="26"/>
        <v>0</v>
      </c>
      <c r="AW528" s="402" t="s">
        <v>3387</v>
      </c>
      <c r="AX528" s="376">
        <v>45765</v>
      </c>
      <c r="AY528" s="373" t="s">
        <v>3388</v>
      </c>
      <c r="AZ528" s="375"/>
      <c r="BA528" s="375">
        <v>255000000</v>
      </c>
      <c r="BB528" s="375"/>
      <c r="BC528" s="375"/>
      <c r="BD528" s="353">
        <f t="shared" si="27"/>
        <v>255000000</v>
      </c>
      <c r="BE528" s="432" t="s">
        <v>335</v>
      </c>
      <c r="BF528" s="407" t="s">
        <v>496</v>
      </c>
      <c r="BG528" s="168" t="s">
        <v>3302</v>
      </c>
      <c r="BH528" s="274">
        <v>45758</v>
      </c>
      <c r="BI528" s="168" t="s">
        <v>3282</v>
      </c>
      <c r="BJ528" s="274">
        <v>45845</v>
      </c>
      <c r="BK528" s="168">
        <v>174000000</v>
      </c>
      <c r="BL528" s="275"/>
      <c r="BM528" s="276"/>
      <c r="BN528" s="275"/>
      <c r="BO528" s="276"/>
      <c r="BP528" s="277"/>
      <c r="BQ528" s="156"/>
      <c r="BR528" s="274"/>
      <c r="BS528" s="270"/>
      <c r="BT528" s="270"/>
      <c r="BU528" s="274"/>
      <c r="BV528" s="274"/>
      <c r="BW528" s="278"/>
      <c r="BX528" s="278"/>
      <c r="BY528" s="278"/>
      <c r="BZ528" s="351"/>
    </row>
    <row r="529" spans="1:78" s="90" customFormat="1" ht="19.5" hidden="1" customHeight="1">
      <c r="A529" s="137"/>
      <c r="B529" s="197">
        <f t="shared" si="25"/>
        <v>519</v>
      </c>
      <c r="C529" s="30" t="s">
        <v>202</v>
      </c>
      <c r="D529" s="30" t="s">
        <v>225</v>
      </c>
      <c r="E529" s="234" t="s">
        <v>1100</v>
      </c>
      <c r="F529" s="235" t="s">
        <v>1246</v>
      </c>
      <c r="G529" s="284" t="str">
        <f>IFERROR(VLOOKUP(E529,Assign!$C$2:$J$142,8,FALSE),)</f>
        <v>문선영</v>
      </c>
      <c r="H529" s="361" t="s">
        <v>4397</v>
      </c>
      <c r="I529" s="363">
        <v>1</v>
      </c>
      <c r="J529" s="364" t="s">
        <v>213</v>
      </c>
      <c r="K529" s="364" t="s">
        <v>1832</v>
      </c>
      <c r="L529" s="365" t="s">
        <v>260</v>
      </c>
      <c r="M529" s="362" t="s">
        <v>1954</v>
      </c>
      <c r="N529" s="421" t="s">
        <v>3505</v>
      </c>
      <c r="O529" s="269">
        <v>8.1302000000000003</v>
      </c>
      <c r="P529" s="269">
        <v>24.687899999999999</v>
      </c>
      <c r="Q529" s="426"/>
      <c r="R529" s="418" t="s">
        <v>1100</v>
      </c>
      <c r="S529" s="427" t="s">
        <v>613</v>
      </c>
      <c r="T529" s="357">
        <v>1</v>
      </c>
      <c r="U529" s="357" t="s">
        <v>204</v>
      </c>
      <c r="V529" s="367">
        <v>138000000</v>
      </c>
      <c r="W529" s="368">
        <v>138000000</v>
      </c>
      <c r="X529" s="357"/>
      <c r="Y529" s="357"/>
      <c r="Z529" s="400"/>
      <c r="AA529" s="369"/>
      <c r="AB529" s="370"/>
      <c r="AC529" s="404"/>
      <c r="AD529" s="270"/>
      <c r="AE529" s="156"/>
      <c r="AF529" s="156"/>
      <c r="AG529" s="357"/>
      <c r="AH529" s="357"/>
      <c r="AI529" s="357"/>
      <c r="AJ529" s="156"/>
      <c r="AK529" s="156"/>
      <c r="AL529" s="375"/>
      <c r="AM529" s="405"/>
      <c r="AN529" s="273"/>
      <c r="AO529" s="405"/>
      <c r="AP529" s="273"/>
      <c r="AQ529" s="273"/>
      <c r="AR529" s="273"/>
      <c r="AS529" s="273"/>
      <c r="AT529" s="273"/>
      <c r="AU529" s="273"/>
      <c r="AV529" s="322">
        <f t="shared" si="26"/>
        <v>0</v>
      </c>
      <c r="AW529" s="402" t="s">
        <v>3387</v>
      </c>
      <c r="AX529" s="376">
        <v>45765</v>
      </c>
      <c r="AY529" s="373" t="s">
        <v>3388</v>
      </c>
      <c r="AZ529" s="375"/>
      <c r="BA529" s="375">
        <v>207500000</v>
      </c>
      <c r="BB529" s="375"/>
      <c r="BC529" s="375"/>
      <c r="BD529" s="353">
        <f t="shared" si="27"/>
        <v>207500000</v>
      </c>
      <c r="BE529" s="432" t="s">
        <v>355</v>
      </c>
      <c r="BF529" s="407" t="s">
        <v>423</v>
      </c>
      <c r="BG529" s="168"/>
      <c r="BH529" s="274"/>
      <c r="BI529" s="168"/>
      <c r="BJ529" s="274"/>
      <c r="BK529" s="168"/>
      <c r="BL529" s="275"/>
      <c r="BM529" s="276"/>
      <c r="BN529" s="275"/>
      <c r="BO529" s="276"/>
      <c r="BP529" s="277"/>
      <c r="BQ529" s="156"/>
      <c r="BR529" s="274"/>
      <c r="BS529" s="270"/>
      <c r="BT529" s="270"/>
      <c r="BU529" s="274"/>
      <c r="BV529" s="274"/>
      <c r="BW529" s="278"/>
      <c r="BX529" s="278"/>
      <c r="BY529" s="278"/>
      <c r="BZ529" s="351"/>
    </row>
    <row r="530" spans="1:78" s="90" customFormat="1" ht="19.5" customHeight="1">
      <c r="A530" s="137"/>
      <c r="B530" s="197">
        <f t="shared" si="25"/>
        <v>520</v>
      </c>
      <c r="C530" s="30" t="s">
        <v>202</v>
      </c>
      <c r="D530" s="30" t="s">
        <v>225</v>
      </c>
      <c r="E530" s="234" t="s">
        <v>1101</v>
      </c>
      <c r="F530" s="235" t="s">
        <v>1225</v>
      </c>
      <c r="G530" s="284" t="str">
        <f>IFERROR(VLOOKUP(E530,Assign!$C$2:$J$142,8,FALSE),)</f>
        <v>문선영</v>
      </c>
      <c r="H530" s="361" t="s">
        <v>4821</v>
      </c>
      <c r="I530" s="363">
        <v>1</v>
      </c>
      <c r="J530" s="364" t="s">
        <v>213</v>
      </c>
      <c r="K530" s="364" t="s">
        <v>256</v>
      </c>
      <c r="L530" s="365" t="s">
        <v>2351</v>
      </c>
      <c r="M530" s="362" t="s">
        <v>2352</v>
      </c>
      <c r="N530" s="421" t="s">
        <v>3505</v>
      </c>
      <c r="O530" s="269">
        <v>25.604800000000001</v>
      </c>
      <c r="P530" s="269">
        <v>84.916700000000006</v>
      </c>
      <c r="Q530" s="426"/>
      <c r="R530" s="418" t="s">
        <v>1101</v>
      </c>
      <c r="S530" s="427" t="s">
        <v>613</v>
      </c>
      <c r="T530" s="357">
        <v>1</v>
      </c>
      <c r="U530" s="357" t="s">
        <v>204</v>
      </c>
      <c r="V530" s="367">
        <v>132000000</v>
      </c>
      <c r="W530" s="368">
        <v>132000000</v>
      </c>
      <c r="X530" s="357"/>
      <c r="Y530" s="357"/>
      <c r="Z530" s="400"/>
      <c r="AA530" s="369"/>
      <c r="AB530" s="370"/>
      <c r="AC530" s="404"/>
      <c r="AD530" s="270"/>
      <c r="AE530" s="156"/>
      <c r="AF530" s="156"/>
      <c r="AG530" s="357"/>
      <c r="AH530" s="357"/>
      <c r="AI530" s="357"/>
      <c r="AJ530" s="156"/>
      <c r="AK530" s="156"/>
      <c r="AL530" s="375"/>
      <c r="AM530" s="405"/>
      <c r="AN530" s="273"/>
      <c r="AO530" s="405"/>
      <c r="AP530" s="273"/>
      <c r="AQ530" s="273"/>
      <c r="AR530" s="273"/>
      <c r="AS530" s="273"/>
      <c r="AT530" s="273"/>
      <c r="AU530" s="273"/>
      <c r="AV530" s="322">
        <f t="shared" si="26"/>
        <v>0</v>
      </c>
      <c r="AW530" s="402" t="s">
        <v>3387</v>
      </c>
      <c r="AX530" s="376">
        <v>45765</v>
      </c>
      <c r="AY530" s="373" t="s">
        <v>3388</v>
      </c>
      <c r="AZ530" s="375"/>
      <c r="BA530" s="375">
        <v>340000000</v>
      </c>
      <c r="BB530" s="375"/>
      <c r="BC530" s="375"/>
      <c r="BD530" s="353">
        <f t="shared" si="27"/>
        <v>340000000</v>
      </c>
      <c r="BE530" s="432" t="s">
        <v>335</v>
      </c>
      <c r="BF530" s="407" t="s">
        <v>423</v>
      </c>
      <c r="BG530" s="168" t="s">
        <v>3318</v>
      </c>
      <c r="BH530" s="274">
        <v>45650</v>
      </c>
      <c r="BI530" s="168" t="s">
        <v>3253</v>
      </c>
      <c r="BJ530" s="274">
        <v>45722</v>
      </c>
      <c r="BK530" s="168">
        <v>37500000</v>
      </c>
      <c r="BL530" s="275"/>
      <c r="BM530" s="276"/>
      <c r="BN530" s="275"/>
      <c r="BO530" s="276"/>
      <c r="BP530" s="277"/>
      <c r="BQ530" s="156"/>
      <c r="BR530" s="274"/>
      <c r="BS530" s="270"/>
      <c r="BT530" s="270"/>
      <c r="BU530" s="274"/>
      <c r="BV530" s="274"/>
      <c r="BW530" s="278"/>
      <c r="BX530" s="278"/>
      <c r="BY530" s="278"/>
      <c r="BZ530" s="351"/>
    </row>
    <row r="531" spans="1:78" s="90" customFormat="1" ht="19.5" hidden="1" customHeight="1">
      <c r="A531" s="137"/>
      <c r="B531" s="197">
        <f t="shared" si="25"/>
        <v>521</v>
      </c>
      <c r="C531" s="30" t="s">
        <v>202</v>
      </c>
      <c r="D531" s="30" t="s">
        <v>225</v>
      </c>
      <c r="E531" s="234" t="s">
        <v>1102</v>
      </c>
      <c r="F531" s="235" t="s">
        <v>1229</v>
      </c>
      <c r="G531" s="284">
        <f>IFERROR(VLOOKUP(E531,Assign!$C$2:$J$142,8,FALSE),)</f>
        <v>0</v>
      </c>
      <c r="H531" s="361" t="s">
        <v>4217</v>
      </c>
      <c r="I531" s="363">
        <v>1</v>
      </c>
      <c r="J531" s="364" t="s">
        <v>208</v>
      </c>
      <c r="K531" s="364" t="s">
        <v>318</v>
      </c>
      <c r="L531" s="365" t="s">
        <v>257</v>
      </c>
      <c r="M531" s="362" t="s">
        <v>1795</v>
      </c>
      <c r="N531" s="421" t="s">
        <v>3386</v>
      </c>
      <c r="O531" s="269">
        <v>13.51</v>
      </c>
      <c r="P531" s="269">
        <v>115.2</v>
      </c>
      <c r="Q531" s="426"/>
      <c r="R531" s="418" t="s">
        <v>3445</v>
      </c>
      <c r="S531" s="427" t="s">
        <v>613</v>
      </c>
      <c r="T531" s="357">
        <v>1</v>
      </c>
      <c r="U531" s="357" t="s">
        <v>204</v>
      </c>
      <c r="V531" s="367">
        <v>294000000</v>
      </c>
      <c r="W531" s="368">
        <v>294000000</v>
      </c>
      <c r="X531" s="357"/>
      <c r="Y531" s="357"/>
      <c r="Z531" s="400"/>
      <c r="AA531" s="369"/>
      <c r="AB531" s="370"/>
      <c r="AC531" s="404"/>
      <c r="AD531" s="270"/>
      <c r="AE531" s="156"/>
      <c r="AF531" s="156"/>
      <c r="AG531" s="357"/>
      <c r="AH531" s="357"/>
      <c r="AI531" s="357"/>
      <c r="AJ531" s="156"/>
      <c r="AK531" s="156"/>
      <c r="AL531" s="375"/>
      <c r="AM531" s="405"/>
      <c r="AN531" s="273"/>
      <c r="AO531" s="405"/>
      <c r="AP531" s="273"/>
      <c r="AQ531" s="273"/>
      <c r="AR531" s="273"/>
      <c r="AS531" s="273"/>
      <c r="AT531" s="273"/>
      <c r="AU531" s="273"/>
      <c r="AV531" s="322">
        <f t="shared" si="26"/>
        <v>0</v>
      </c>
      <c r="AW531" s="402"/>
      <c r="AX531" s="376"/>
      <c r="AY531" s="373"/>
      <c r="AZ531" s="375"/>
      <c r="BA531" s="375"/>
      <c r="BB531" s="375"/>
      <c r="BC531" s="375"/>
      <c r="BD531" s="353">
        <f t="shared" si="27"/>
        <v>0</v>
      </c>
      <c r="BE531" s="432" t="s">
        <v>335</v>
      </c>
      <c r="BF531" s="407" t="s">
        <v>422</v>
      </c>
      <c r="BG531" s="168" t="s">
        <v>1373</v>
      </c>
      <c r="BH531" s="274">
        <v>45630</v>
      </c>
      <c r="BI531" s="168" t="s">
        <v>3278</v>
      </c>
      <c r="BJ531" s="274">
        <v>45702</v>
      </c>
      <c r="BK531" s="168">
        <v>108817043</v>
      </c>
      <c r="BL531" s="275"/>
      <c r="BM531" s="276"/>
      <c r="BN531" s="275"/>
      <c r="BO531" s="276"/>
      <c r="BP531" s="277"/>
      <c r="BQ531" s="156"/>
      <c r="BR531" s="274"/>
      <c r="BS531" s="270"/>
      <c r="BT531" s="270"/>
      <c r="BU531" s="274"/>
      <c r="BV531" s="274"/>
      <c r="BW531" s="278"/>
      <c r="BX531" s="278"/>
      <c r="BY531" s="278"/>
      <c r="BZ531" s="351"/>
    </row>
    <row r="532" spans="1:78" s="90" customFormat="1" ht="19.5" hidden="1" customHeight="1">
      <c r="A532" s="137"/>
      <c r="B532" s="197">
        <f t="shared" si="25"/>
        <v>522</v>
      </c>
      <c r="C532" s="30" t="s">
        <v>202</v>
      </c>
      <c r="D532" s="30" t="s">
        <v>225</v>
      </c>
      <c r="E532" s="234" t="s">
        <v>1103</v>
      </c>
      <c r="F532" s="235" t="s">
        <v>1232</v>
      </c>
      <c r="G532" s="284" t="str">
        <f>IFERROR(VLOOKUP(E532,Assign!$C$2:$J$142,8,FALSE),)</f>
        <v>문선영</v>
      </c>
      <c r="H532" s="361" t="s">
        <v>4264</v>
      </c>
      <c r="I532" s="363">
        <v>1</v>
      </c>
      <c r="J532" s="364" t="s">
        <v>213</v>
      </c>
      <c r="K532" s="364" t="s">
        <v>1832</v>
      </c>
      <c r="L532" s="365" t="s">
        <v>260</v>
      </c>
      <c r="M532" s="362" t="s">
        <v>1833</v>
      </c>
      <c r="N532" s="421" t="s">
        <v>3505</v>
      </c>
      <c r="O532" s="269">
        <v>7.0652999999999997</v>
      </c>
      <c r="P532" s="269">
        <v>21.454000000000001</v>
      </c>
      <c r="Q532" s="426"/>
      <c r="R532" s="418" t="s">
        <v>1103</v>
      </c>
      <c r="S532" s="427" t="s">
        <v>613</v>
      </c>
      <c r="T532" s="357">
        <v>1</v>
      </c>
      <c r="U532" s="357" t="s">
        <v>204</v>
      </c>
      <c r="V532" s="367">
        <v>132000000</v>
      </c>
      <c r="W532" s="368">
        <v>132000000</v>
      </c>
      <c r="X532" s="357"/>
      <c r="Y532" s="357"/>
      <c r="Z532" s="400"/>
      <c r="AA532" s="369"/>
      <c r="AB532" s="370"/>
      <c r="AC532" s="404"/>
      <c r="AD532" s="270"/>
      <c r="AE532" s="156"/>
      <c r="AF532" s="156"/>
      <c r="AG532" s="357"/>
      <c r="AH532" s="357"/>
      <c r="AI532" s="357"/>
      <c r="AJ532" s="156"/>
      <c r="AK532" s="156"/>
      <c r="AL532" s="375"/>
      <c r="AM532" s="405"/>
      <c r="AN532" s="273"/>
      <c r="AO532" s="405"/>
      <c r="AP532" s="273"/>
      <c r="AQ532" s="273"/>
      <c r="AR532" s="273"/>
      <c r="AS532" s="273"/>
      <c r="AT532" s="273"/>
      <c r="AU532" s="273"/>
      <c r="AV532" s="322">
        <f t="shared" si="26"/>
        <v>0</v>
      </c>
      <c r="AW532" s="402"/>
      <c r="AX532" s="376"/>
      <c r="AY532" s="373"/>
      <c r="AZ532" s="375"/>
      <c r="BA532" s="375"/>
      <c r="BB532" s="375"/>
      <c r="BC532" s="375"/>
      <c r="BD532" s="353">
        <f t="shared" si="27"/>
        <v>0</v>
      </c>
      <c r="BE532" s="432" t="s">
        <v>355</v>
      </c>
      <c r="BF532" s="407" t="s">
        <v>423</v>
      </c>
      <c r="BG532" s="168"/>
      <c r="BH532" s="274"/>
      <c r="BI532" s="168"/>
      <c r="BJ532" s="274"/>
      <c r="BK532" s="168"/>
      <c r="BL532" s="275"/>
      <c r="BM532" s="276"/>
      <c r="BN532" s="275"/>
      <c r="BO532" s="276"/>
      <c r="BP532" s="277"/>
      <c r="BQ532" s="156"/>
      <c r="BR532" s="274"/>
      <c r="BS532" s="270"/>
      <c r="BT532" s="270"/>
      <c r="BU532" s="274"/>
      <c r="BV532" s="274"/>
      <c r="BW532" s="278"/>
      <c r="BX532" s="278"/>
      <c r="BY532" s="278"/>
      <c r="BZ532" s="351"/>
    </row>
    <row r="533" spans="1:78" s="90" customFormat="1" ht="19.5" hidden="1" customHeight="1">
      <c r="A533" s="137"/>
      <c r="B533" s="197">
        <f t="shared" si="25"/>
        <v>523</v>
      </c>
      <c r="C533" s="30" t="s">
        <v>202</v>
      </c>
      <c r="D533" s="30" t="s">
        <v>225</v>
      </c>
      <c r="E533" s="234" t="s">
        <v>1104</v>
      </c>
      <c r="F533" s="235" t="s">
        <v>1285</v>
      </c>
      <c r="G533" s="284">
        <f>IFERROR(VLOOKUP(E533,Assign!$C$2:$J$142,8,FALSE),)</f>
        <v>0</v>
      </c>
      <c r="H533" s="361" t="s">
        <v>4262</v>
      </c>
      <c r="I533" s="363">
        <v>1</v>
      </c>
      <c r="J533" s="364" t="s">
        <v>208</v>
      </c>
      <c r="K533" s="364" t="s">
        <v>316</v>
      </c>
      <c r="L533" s="365" t="s">
        <v>1830</v>
      </c>
      <c r="M533" s="362" t="s">
        <v>1831</v>
      </c>
      <c r="N533" s="421" t="s">
        <v>606</v>
      </c>
      <c r="O533" s="269">
        <v>59.953499999999998</v>
      </c>
      <c r="P533" s="269">
        <v>50.77</v>
      </c>
      <c r="Q533" s="426"/>
      <c r="R533" s="418" t="s">
        <v>1104</v>
      </c>
      <c r="S533" s="427" t="s">
        <v>613</v>
      </c>
      <c r="T533" s="357">
        <v>1</v>
      </c>
      <c r="U533" s="357" t="s">
        <v>204</v>
      </c>
      <c r="V533" s="367">
        <v>136800000</v>
      </c>
      <c r="W533" s="368">
        <v>136800000</v>
      </c>
      <c r="X533" s="357"/>
      <c r="Y533" s="357"/>
      <c r="Z533" s="400"/>
      <c r="AA533" s="369"/>
      <c r="AB533" s="370"/>
      <c r="AC533" s="404"/>
      <c r="AD533" s="270"/>
      <c r="AE533" s="156"/>
      <c r="AF533" s="156"/>
      <c r="AG533" s="357"/>
      <c r="AH533" s="357"/>
      <c r="AI533" s="357"/>
      <c r="AJ533" s="156"/>
      <c r="AK533" s="156"/>
      <c r="AL533" s="375"/>
      <c r="AM533" s="405"/>
      <c r="AN533" s="273"/>
      <c r="AO533" s="405"/>
      <c r="AP533" s="273"/>
      <c r="AQ533" s="273"/>
      <c r="AR533" s="273"/>
      <c r="AS533" s="273"/>
      <c r="AT533" s="273"/>
      <c r="AU533" s="273"/>
      <c r="AV533" s="322">
        <f t="shared" si="26"/>
        <v>0</v>
      </c>
      <c r="AW533" s="402"/>
      <c r="AX533" s="376"/>
      <c r="AY533" s="373"/>
      <c r="AZ533" s="375"/>
      <c r="BA533" s="375"/>
      <c r="BB533" s="375"/>
      <c r="BC533" s="375"/>
      <c r="BD533" s="353">
        <f t="shared" si="27"/>
        <v>0</v>
      </c>
      <c r="BE533" s="432" t="s">
        <v>355</v>
      </c>
      <c r="BF533" s="407" t="s">
        <v>501</v>
      </c>
      <c r="BG533" s="168"/>
      <c r="BH533" s="274"/>
      <c r="BI533" s="168"/>
      <c r="BJ533" s="274"/>
      <c r="BK533" s="168"/>
      <c r="BL533" s="275"/>
      <c r="BM533" s="276"/>
      <c r="BN533" s="275"/>
      <c r="BO533" s="276"/>
      <c r="BP533" s="277"/>
      <c r="BQ533" s="156"/>
      <c r="BR533" s="274"/>
      <c r="BS533" s="270"/>
      <c r="BT533" s="270"/>
      <c r="BU533" s="274"/>
      <c r="BV533" s="274"/>
      <c r="BW533" s="278"/>
      <c r="BX533" s="278"/>
      <c r="BY533" s="278"/>
      <c r="BZ533" s="351"/>
    </row>
    <row r="534" spans="1:78" s="90" customFormat="1" ht="19.5" hidden="1" customHeight="1">
      <c r="A534" s="137"/>
      <c r="B534" s="197">
        <f t="shared" si="25"/>
        <v>524</v>
      </c>
      <c r="C534" s="30" t="s">
        <v>202</v>
      </c>
      <c r="D534" s="30" t="s">
        <v>225</v>
      </c>
      <c r="E534" s="234" t="s">
        <v>1105</v>
      </c>
      <c r="F534" s="235" t="s">
        <v>1219</v>
      </c>
      <c r="G534" s="284">
        <f>IFERROR(VLOOKUP(E534,Assign!$C$2:$J$142,8,FALSE),)</f>
        <v>0</v>
      </c>
      <c r="H534" s="361" t="s">
        <v>4403</v>
      </c>
      <c r="I534" s="363">
        <v>1</v>
      </c>
      <c r="J534" s="364" t="s">
        <v>209</v>
      </c>
      <c r="K534" s="364" t="s">
        <v>319</v>
      </c>
      <c r="L534" s="365" t="s">
        <v>1885</v>
      </c>
      <c r="M534" s="362" t="s">
        <v>1957</v>
      </c>
      <c r="N534" s="421" t="s">
        <v>606</v>
      </c>
      <c r="O534" s="269">
        <v>39.799999999999997</v>
      </c>
      <c r="P534" s="269">
        <v>65.78</v>
      </c>
      <c r="Q534" s="426"/>
      <c r="R534" s="418" t="s">
        <v>1105</v>
      </c>
      <c r="S534" s="427" t="s">
        <v>613</v>
      </c>
      <c r="T534" s="357" t="s">
        <v>229</v>
      </c>
      <c r="U534" s="357" t="s">
        <v>204</v>
      </c>
      <c r="V534" s="367">
        <v>147600000</v>
      </c>
      <c r="W534" s="368">
        <v>147600000</v>
      </c>
      <c r="X534" s="357"/>
      <c r="Y534" s="357"/>
      <c r="Z534" s="400"/>
      <c r="AA534" s="369"/>
      <c r="AB534" s="370"/>
      <c r="AC534" s="404"/>
      <c r="AD534" s="270"/>
      <c r="AE534" s="156"/>
      <c r="AF534" s="156"/>
      <c r="AG534" s="357"/>
      <c r="AH534" s="357"/>
      <c r="AI534" s="357"/>
      <c r="AJ534" s="156"/>
      <c r="AK534" s="156"/>
      <c r="AL534" s="375"/>
      <c r="AM534" s="405"/>
      <c r="AN534" s="273"/>
      <c r="AO534" s="405"/>
      <c r="AP534" s="273"/>
      <c r="AQ534" s="273"/>
      <c r="AR534" s="273"/>
      <c r="AS534" s="273"/>
      <c r="AT534" s="273"/>
      <c r="AU534" s="273"/>
      <c r="AV534" s="322">
        <f t="shared" si="26"/>
        <v>0</v>
      </c>
      <c r="AW534" s="402"/>
      <c r="AX534" s="376"/>
      <c r="AY534" s="373"/>
      <c r="AZ534" s="375"/>
      <c r="BA534" s="375"/>
      <c r="BB534" s="375"/>
      <c r="BC534" s="375"/>
      <c r="BD534" s="353">
        <f t="shared" si="27"/>
        <v>0</v>
      </c>
      <c r="BE534" s="432" t="s">
        <v>355</v>
      </c>
      <c r="BF534" s="407" t="s">
        <v>495</v>
      </c>
      <c r="BG534" s="168"/>
      <c r="BH534" s="274"/>
      <c r="BI534" s="168"/>
      <c r="BJ534" s="274"/>
      <c r="BK534" s="168"/>
      <c r="BL534" s="275"/>
      <c r="BM534" s="276"/>
      <c r="BN534" s="275"/>
      <c r="BO534" s="276"/>
      <c r="BP534" s="277"/>
      <c r="BQ534" s="156"/>
      <c r="BR534" s="274"/>
      <c r="BS534" s="270"/>
      <c r="BT534" s="270"/>
      <c r="BU534" s="274"/>
      <c r="BV534" s="274"/>
      <c r="BW534" s="278"/>
      <c r="BX534" s="278"/>
      <c r="BY534" s="278"/>
      <c r="BZ534" s="351"/>
    </row>
    <row r="535" spans="1:78" s="90" customFormat="1" ht="19.5" hidden="1" customHeight="1">
      <c r="A535" s="137"/>
      <c r="B535" s="197">
        <f t="shared" si="25"/>
        <v>525</v>
      </c>
      <c r="C535" s="30" t="s">
        <v>202</v>
      </c>
      <c r="D535" s="30" t="s">
        <v>225</v>
      </c>
      <c r="E535" s="234" t="s">
        <v>1106</v>
      </c>
      <c r="F535" s="235" t="s">
        <v>1226</v>
      </c>
      <c r="G535" s="284" t="str">
        <f>IFERROR(VLOOKUP(E535,Assign!$C$2:$J$142,8,FALSE),)</f>
        <v>문선영</v>
      </c>
      <c r="H535" s="361" t="s">
        <v>5086</v>
      </c>
      <c r="I535" s="363">
        <v>1</v>
      </c>
      <c r="J535" s="364" t="s">
        <v>208</v>
      </c>
      <c r="K535" s="364" t="s">
        <v>250</v>
      </c>
      <c r="L535" s="365" t="s">
        <v>417</v>
      </c>
      <c r="M535" s="362" t="s">
        <v>2600</v>
      </c>
      <c r="N535" s="421" t="s">
        <v>606</v>
      </c>
      <c r="O535" s="269">
        <v>43.256</v>
      </c>
      <c r="P535" s="269">
        <v>51.93</v>
      </c>
      <c r="Q535" s="426"/>
      <c r="R535" s="418" t="s">
        <v>1106</v>
      </c>
      <c r="S535" s="427" t="s">
        <v>613</v>
      </c>
      <c r="T535" s="357">
        <v>1</v>
      </c>
      <c r="U535" s="357" t="s">
        <v>204</v>
      </c>
      <c r="V535" s="367">
        <v>144000000</v>
      </c>
      <c r="W535" s="368">
        <v>144000000</v>
      </c>
      <c r="X535" s="357"/>
      <c r="Y535" s="357"/>
      <c r="Z535" s="400"/>
      <c r="AA535" s="369"/>
      <c r="AB535" s="370"/>
      <c r="AC535" s="404"/>
      <c r="AD535" s="270"/>
      <c r="AE535" s="156"/>
      <c r="AF535" s="156"/>
      <c r="AG535" s="357"/>
      <c r="AH535" s="357"/>
      <c r="AI535" s="357"/>
      <c r="AJ535" s="156"/>
      <c r="AK535" s="156"/>
      <c r="AL535" s="375"/>
      <c r="AM535" s="405"/>
      <c r="AN535" s="273"/>
      <c r="AO535" s="405"/>
      <c r="AP535" s="273"/>
      <c r="AQ535" s="273"/>
      <c r="AR535" s="273"/>
      <c r="AS535" s="273"/>
      <c r="AT535" s="273"/>
      <c r="AU535" s="273"/>
      <c r="AV535" s="322">
        <f t="shared" si="26"/>
        <v>0</v>
      </c>
      <c r="AW535" s="402"/>
      <c r="AX535" s="376"/>
      <c r="AY535" s="373"/>
      <c r="AZ535" s="375"/>
      <c r="BA535" s="375"/>
      <c r="BB535" s="375"/>
      <c r="BC535" s="375"/>
      <c r="BD535" s="353">
        <f t="shared" si="27"/>
        <v>0</v>
      </c>
      <c r="BE535" s="432" t="s">
        <v>355</v>
      </c>
      <c r="BF535" s="407" t="s">
        <v>493</v>
      </c>
      <c r="BG535" s="168"/>
      <c r="BH535" s="274"/>
      <c r="BI535" s="168"/>
      <c r="BJ535" s="274"/>
      <c r="BK535" s="168"/>
      <c r="BL535" s="275"/>
      <c r="BM535" s="276"/>
      <c r="BN535" s="275"/>
      <c r="BO535" s="276"/>
      <c r="BP535" s="277"/>
      <c r="BQ535" s="156"/>
      <c r="BR535" s="274"/>
      <c r="BS535" s="270"/>
      <c r="BT535" s="270"/>
      <c r="BU535" s="274"/>
      <c r="BV535" s="274"/>
      <c r="BW535" s="278"/>
      <c r="BX535" s="278"/>
      <c r="BY535" s="278"/>
      <c r="BZ535" s="351"/>
    </row>
    <row r="536" spans="1:78" s="90" customFormat="1" ht="19.5" hidden="1" customHeight="1">
      <c r="A536" s="137"/>
      <c r="B536" s="197">
        <f t="shared" si="25"/>
        <v>526</v>
      </c>
      <c r="C536" s="30" t="s">
        <v>202</v>
      </c>
      <c r="D536" s="30" t="s">
        <v>225</v>
      </c>
      <c r="E536" s="234" t="s">
        <v>1107</v>
      </c>
      <c r="F536" s="235" t="s">
        <v>1225</v>
      </c>
      <c r="G536" s="284">
        <f>IFERROR(VLOOKUP(E536,Assign!$C$2:$J$142,8,FALSE),)</f>
        <v>0</v>
      </c>
      <c r="H536" s="361" t="s">
        <v>4747</v>
      </c>
      <c r="I536" s="363">
        <v>1</v>
      </c>
      <c r="J536" s="364" t="s">
        <v>212</v>
      </c>
      <c r="K536" s="364" t="s">
        <v>389</v>
      </c>
      <c r="L536" s="365" t="s">
        <v>2055</v>
      </c>
      <c r="M536" s="362" t="s">
        <v>2280</v>
      </c>
      <c r="N536" s="421" t="s">
        <v>3115</v>
      </c>
      <c r="O536" s="269">
        <v>3.27</v>
      </c>
      <c r="P536" s="269">
        <v>18.2</v>
      </c>
      <c r="Q536" s="426"/>
      <c r="R536" s="418" t="s">
        <v>1107</v>
      </c>
      <c r="S536" s="427" t="s">
        <v>613</v>
      </c>
      <c r="T536" s="357">
        <v>1</v>
      </c>
      <c r="U536" s="357" t="s">
        <v>204</v>
      </c>
      <c r="V536" s="367">
        <v>120000000</v>
      </c>
      <c r="W536" s="368">
        <v>120000000</v>
      </c>
      <c r="X536" s="357"/>
      <c r="Y536" s="357"/>
      <c r="Z536" s="400"/>
      <c r="AA536" s="369"/>
      <c r="AB536" s="370"/>
      <c r="AC536" s="404"/>
      <c r="AD536" s="270"/>
      <c r="AE536" s="156"/>
      <c r="AF536" s="156"/>
      <c r="AG536" s="357"/>
      <c r="AH536" s="357"/>
      <c r="AI536" s="357"/>
      <c r="AJ536" s="156"/>
      <c r="AK536" s="156"/>
      <c r="AL536" s="375"/>
      <c r="AM536" s="405"/>
      <c r="AN536" s="273"/>
      <c r="AO536" s="405"/>
      <c r="AP536" s="273"/>
      <c r="AQ536" s="273"/>
      <c r="AR536" s="273"/>
      <c r="AS536" s="273"/>
      <c r="AT536" s="273"/>
      <c r="AU536" s="273"/>
      <c r="AV536" s="322">
        <f t="shared" si="26"/>
        <v>0</v>
      </c>
      <c r="AW536" s="402"/>
      <c r="AX536" s="376"/>
      <c r="AY536" s="373"/>
      <c r="AZ536" s="375"/>
      <c r="BA536" s="375"/>
      <c r="BB536" s="375"/>
      <c r="BC536" s="375"/>
      <c r="BD536" s="353">
        <f t="shared" si="27"/>
        <v>0</v>
      </c>
      <c r="BE536" s="432" t="s">
        <v>355</v>
      </c>
      <c r="BF536" s="407" t="s">
        <v>496</v>
      </c>
      <c r="BG536" s="168"/>
      <c r="BH536" s="274"/>
      <c r="BI536" s="168"/>
      <c r="BJ536" s="274"/>
      <c r="BK536" s="168"/>
      <c r="BL536" s="275"/>
      <c r="BM536" s="276"/>
      <c r="BN536" s="275"/>
      <c r="BO536" s="276"/>
      <c r="BP536" s="277"/>
      <c r="BQ536" s="156"/>
      <c r="BR536" s="274"/>
      <c r="BS536" s="270"/>
      <c r="BT536" s="270"/>
      <c r="BU536" s="274"/>
      <c r="BV536" s="274"/>
      <c r="BW536" s="278"/>
      <c r="BX536" s="278"/>
      <c r="BY536" s="278"/>
      <c r="BZ536" s="351"/>
    </row>
    <row r="537" spans="1:78" s="90" customFormat="1" ht="19.5" hidden="1" customHeight="1">
      <c r="A537" s="137"/>
      <c r="B537" s="197">
        <f t="shared" si="25"/>
        <v>527</v>
      </c>
      <c r="C537" s="30" t="s">
        <v>202</v>
      </c>
      <c r="D537" s="30" t="s">
        <v>225</v>
      </c>
      <c r="E537" s="234" t="s">
        <v>1108</v>
      </c>
      <c r="F537" s="235" t="s">
        <v>1263</v>
      </c>
      <c r="G537" s="284">
        <f>IFERROR(VLOOKUP(E537,Assign!$C$2:$J$142,8,FALSE),)</f>
        <v>0</v>
      </c>
      <c r="H537" s="361" t="s">
        <v>3995</v>
      </c>
      <c r="I537" s="363">
        <v>1</v>
      </c>
      <c r="J537" s="364" t="s">
        <v>208</v>
      </c>
      <c r="K537" s="364" t="s">
        <v>244</v>
      </c>
      <c r="L537" s="365" t="s">
        <v>249</v>
      </c>
      <c r="M537" s="362" t="s">
        <v>1571</v>
      </c>
      <c r="N537" s="421" t="s">
        <v>3505</v>
      </c>
      <c r="O537" s="269">
        <v>14.42</v>
      </c>
      <c r="P537" s="269">
        <v>67.94</v>
      </c>
      <c r="Q537" s="426"/>
      <c r="R537" s="418" t="s">
        <v>1108</v>
      </c>
      <c r="S537" s="427" t="s">
        <v>613</v>
      </c>
      <c r="T537" s="357">
        <v>1</v>
      </c>
      <c r="U537" s="357" t="s">
        <v>204</v>
      </c>
      <c r="V537" s="367">
        <v>120000000</v>
      </c>
      <c r="W537" s="368">
        <v>120000000</v>
      </c>
      <c r="X537" s="357"/>
      <c r="Y537" s="357"/>
      <c r="Z537" s="400"/>
      <c r="AA537" s="369"/>
      <c r="AB537" s="370"/>
      <c r="AC537" s="404"/>
      <c r="AD537" s="270"/>
      <c r="AE537" s="156"/>
      <c r="AF537" s="156"/>
      <c r="AG537" s="357"/>
      <c r="AH537" s="357"/>
      <c r="AI537" s="357"/>
      <c r="AJ537" s="156"/>
      <c r="AK537" s="156"/>
      <c r="AL537" s="375"/>
      <c r="AM537" s="405"/>
      <c r="AN537" s="273"/>
      <c r="AO537" s="405"/>
      <c r="AP537" s="273"/>
      <c r="AQ537" s="273"/>
      <c r="AR537" s="273"/>
      <c r="AS537" s="273"/>
      <c r="AT537" s="273"/>
      <c r="AU537" s="273"/>
      <c r="AV537" s="322">
        <f t="shared" si="26"/>
        <v>0</v>
      </c>
      <c r="AW537" s="402"/>
      <c r="AX537" s="376"/>
      <c r="AY537" s="373"/>
      <c r="AZ537" s="375"/>
      <c r="BA537" s="375"/>
      <c r="BB537" s="375"/>
      <c r="BC537" s="375"/>
      <c r="BD537" s="353">
        <f t="shared" si="27"/>
        <v>0</v>
      </c>
      <c r="BE537" s="432" t="s">
        <v>355</v>
      </c>
      <c r="BF537" s="407" t="s">
        <v>501</v>
      </c>
      <c r="BG537" s="168"/>
      <c r="BH537" s="274"/>
      <c r="BI537" s="168"/>
      <c r="BJ537" s="274"/>
      <c r="BK537" s="168"/>
      <c r="BL537" s="275"/>
      <c r="BM537" s="276"/>
      <c r="BN537" s="275"/>
      <c r="BO537" s="276"/>
      <c r="BP537" s="277"/>
      <c r="BQ537" s="156"/>
      <c r="BR537" s="274"/>
      <c r="BS537" s="270"/>
      <c r="BT537" s="270"/>
      <c r="BU537" s="274"/>
      <c r="BV537" s="274"/>
      <c r="BW537" s="278"/>
      <c r="BX537" s="278"/>
      <c r="BY537" s="278"/>
      <c r="BZ537" s="351"/>
    </row>
    <row r="538" spans="1:78" s="90" customFormat="1" ht="19.5" hidden="1" customHeight="1">
      <c r="A538" s="137"/>
      <c r="B538" s="197">
        <f t="shared" si="25"/>
        <v>528</v>
      </c>
      <c r="C538" s="30" t="s">
        <v>202</v>
      </c>
      <c r="D538" s="30" t="s">
        <v>225</v>
      </c>
      <c r="E538" s="234" t="s">
        <v>1109</v>
      </c>
      <c r="F538" s="235" t="s">
        <v>1249</v>
      </c>
      <c r="G538" s="284">
        <f>IFERROR(VLOOKUP(E538,Assign!$C$2:$J$142,8,FALSE),)</f>
        <v>0</v>
      </c>
      <c r="H538" s="361" t="s">
        <v>4384</v>
      </c>
      <c r="I538" s="363">
        <v>1</v>
      </c>
      <c r="J538" s="364" t="s">
        <v>212</v>
      </c>
      <c r="K538" s="364" t="s">
        <v>232</v>
      </c>
      <c r="L538" s="365" t="s">
        <v>1939</v>
      </c>
      <c r="M538" s="362" t="s">
        <v>1940</v>
      </c>
      <c r="N538" s="421" t="s">
        <v>207</v>
      </c>
      <c r="O538" s="269">
        <v>34.728000000000002</v>
      </c>
      <c r="P538" s="269">
        <v>84.78</v>
      </c>
      <c r="Q538" s="426"/>
      <c r="R538" s="418" t="s">
        <v>3417</v>
      </c>
      <c r="S538" s="427" t="s">
        <v>613</v>
      </c>
      <c r="T538" s="357">
        <v>1</v>
      </c>
      <c r="U538" s="357" t="s">
        <v>204</v>
      </c>
      <c r="V538" s="367">
        <v>120000000</v>
      </c>
      <c r="W538" s="368">
        <v>120000000</v>
      </c>
      <c r="X538" s="357"/>
      <c r="Y538" s="357"/>
      <c r="Z538" s="400"/>
      <c r="AA538" s="369"/>
      <c r="AB538" s="370"/>
      <c r="AC538" s="404"/>
      <c r="AD538" s="270"/>
      <c r="AE538" s="156"/>
      <c r="AF538" s="156"/>
      <c r="AG538" s="357"/>
      <c r="AH538" s="357"/>
      <c r="AI538" s="357"/>
      <c r="AJ538" s="156"/>
      <c r="AK538" s="156"/>
      <c r="AL538" s="375"/>
      <c r="AM538" s="405"/>
      <c r="AN538" s="273"/>
      <c r="AO538" s="405"/>
      <c r="AP538" s="273"/>
      <c r="AQ538" s="273"/>
      <c r="AR538" s="273"/>
      <c r="AS538" s="273"/>
      <c r="AT538" s="273"/>
      <c r="AU538" s="273"/>
      <c r="AV538" s="322">
        <f t="shared" si="26"/>
        <v>0</v>
      </c>
      <c r="AW538" s="402" t="s">
        <v>3387</v>
      </c>
      <c r="AX538" s="376">
        <v>45765</v>
      </c>
      <c r="AY538" s="373" t="s">
        <v>3388</v>
      </c>
      <c r="AZ538" s="375"/>
      <c r="BA538" s="375">
        <v>320000000</v>
      </c>
      <c r="BB538" s="375"/>
      <c r="BC538" s="375"/>
      <c r="BD538" s="353">
        <f t="shared" si="27"/>
        <v>320000000</v>
      </c>
      <c r="BE538" s="432" t="s">
        <v>355</v>
      </c>
      <c r="BF538" s="407" t="s">
        <v>496</v>
      </c>
      <c r="BG538" s="168"/>
      <c r="BH538" s="274"/>
      <c r="BI538" s="168"/>
      <c r="BJ538" s="274"/>
      <c r="BK538" s="168"/>
      <c r="BL538" s="275"/>
      <c r="BM538" s="276"/>
      <c r="BN538" s="275"/>
      <c r="BO538" s="276"/>
      <c r="BP538" s="277"/>
      <c r="BQ538" s="156"/>
      <c r="BR538" s="274"/>
      <c r="BS538" s="270"/>
      <c r="BT538" s="270"/>
      <c r="BU538" s="274"/>
      <c r="BV538" s="274"/>
      <c r="BW538" s="278"/>
      <c r="BX538" s="278"/>
      <c r="BY538" s="278"/>
      <c r="BZ538" s="351"/>
    </row>
    <row r="539" spans="1:78" s="90" customFormat="1" ht="19.5" hidden="1" customHeight="1">
      <c r="A539" s="137"/>
      <c r="B539" s="197">
        <f t="shared" si="25"/>
        <v>529</v>
      </c>
      <c r="C539" s="30" t="s">
        <v>202</v>
      </c>
      <c r="D539" s="30" t="s">
        <v>225</v>
      </c>
      <c r="E539" s="234" t="s">
        <v>1110</v>
      </c>
      <c r="F539" s="235" t="s">
        <v>1249</v>
      </c>
      <c r="G539" s="284" t="str">
        <f>IFERROR(VLOOKUP(E539,Assign!$C$2:$J$142,8,FALSE),)</f>
        <v>문선영</v>
      </c>
      <c r="H539" s="361" t="s">
        <v>4454</v>
      </c>
      <c r="I539" s="363">
        <v>1</v>
      </c>
      <c r="J539" s="364" t="s">
        <v>213</v>
      </c>
      <c r="K539" s="364" t="s">
        <v>256</v>
      </c>
      <c r="L539" s="365" t="s">
        <v>1648</v>
      </c>
      <c r="M539" s="362" t="s">
        <v>2000</v>
      </c>
      <c r="N539" s="421" t="s">
        <v>3074</v>
      </c>
      <c r="O539" s="269">
        <v>17.257200000000001</v>
      </c>
      <c r="P539" s="269">
        <v>62.238700000000001</v>
      </c>
      <c r="Q539" s="426"/>
      <c r="R539" s="418" t="s">
        <v>1110</v>
      </c>
      <c r="S539" s="427" t="s">
        <v>613</v>
      </c>
      <c r="T539" s="357">
        <v>1</v>
      </c>
      <c r="U539" s="357" t="s">
        <v>204</v>
      </c>
      <c r="V539" s="367">
        <v>120000000</v>
      </c>
      <c r="W539" s="368">
        <v>120000000</v>
      </c>
      <c r="X539" s="357"/>
      <c r="Y539" s="357"/>
      <c r="Z539" s="400"/>
      <c r="AA539" s="369"/>
      <c r="AB539" s="370"/>
      <c r="AC539" s="404"/>
      <c r="AD539" s="270"/>
      <c r="AE539" s="156"/>
      <c r="AF539" s="156"/>
      <c r="AG539" s="357"/>
      <c r="AH539" s="357"/>
      <c r="AI539" s="357"/>
      <c r="AJ539" s="156"/>
      <c r="AK539" s="156"/>
      <c r="AL539" s="375"/>
      <c r="AM539" s="405"/>
      <c r="AN539" s="273"/>
      <c r="AO539" s="405"/>
      <c r="AP539" s="273"/>
      <c r="AQ539" s="273"/>
      <c r="AR539" s="273"/>
      <c r="AS539" s="273"/>
      <c r="AT539" s="273"/>
      <c r="AU539" s="273"/>
      <c r="AV539" s="322">
        <f t="shared" si="26"/>
        <v>0</v>
      </c>
      <c r="AW539" s="402"/>
      <c r="AX539" s="376"/>
      <c r="AY539" s="373"/>
      <c r="AZ539" s="375"/>
      <c r="BA539" s="375"/>
      <c r="BB539" s="375"/>
      <c r="BC539" s="375"/>
      <c r="BD539" s="353">
        <f t="shared" si="27"/>
        <v>0</v>
      </c>
      <c r="BE539" s="432" t="s">
        <v>355</v>
      </c>
      <c r="BF539" s="407" t="s">
        <v>423</v>
      </c>
      <c r="BG539" s="168"/>
      <c r="BH539" s="274"/>
      <c r="BI539" s="168"/>
      <c r="BJ539" s="274"/>
      <c r="BK539" s="168"/>
      <c r="BL539" s="275"/>
      <c r="BM539" s="276"/>
      <c r="BN539" s="275"/>
      <c r="BO539" s="276"/>
      <c r="BP539" s="277"/>
      <c r="BQ539" s="156"/>
      <c r="BR539" s="274"/>
      <c r="BS539" s="270"/>
      <c r="BT539" s="270"/>
      <c r="BU539" s="274"/>
      <c r="BV539" s="274"/>
      <c r="BW539" s="278"/>
      <c r="BX539" s="278"/>
      <c r="BY539" s="278"/>
      <c r="BZ539" s="351"/>
    </row>
    <row r="540" spans="1:78" s="90" customFormat="1" ht="19.5" hidden="1" customHeight="1">
      <c r="A540" s="137"/>
      <c r="B540" s="197">
        <f t="shared" si="25"/>
        <v>530</v>
      </c>
      <c r="C540" s="30" t="s">
        <v>202</v>
      </c>
      <c r="D540" s="30" t="s">
        <v>225</v>
      </c>
      <c r="E540" s="234" t="s">
        <v>1111</v>
      </c>
      <c r="F540" s="235" t="s">
        <v>1235</v>
      </c>
      <c r="G540" s="284">
        <f>IFERROR(VLOOKUP(E540,Assign!$C$2:$J$142,8,FALSE),)</f>
        <v>0</v>
      </c>
      <c r="H540" s="361" t="s">
        <v>4872</v>
      </c>
      <c r="I540" s="363">
        <v>1</v>
      </c>
      <c r="J540" s="364" t="s">
        <v>208</v>
      </c>
      <c r="K540" s="364" t="s">
        <v>301</v>
      </c>
      <c r="L540" s="365" t="s">
        <v>2214</v>
      </c>
      <c r="M540" s="362" t="s">
        <v>2396</v>
      </c>
      <c r="N540" s="421" t="s">
        <v>207</v>
      </c>
      <c r="O540" s="269">
        <v>71.402000000000001</v>
      </c>
      <c r="P540" s="269">
        <v>120.5004</v>
      </c>
      <c r="Q540" s="426"/>
      <c r="R540" s="418" t="s">
        <v>1111</v>
      </c>
      <c r="S540" s="427" t="s">
        <v>613</v>
      </c>
      <c r="T540" s="357">
        <v>2</v>
      </c>
      <c r="U540" s="357" t="s">
        <v>204</v>
      </c>
      <c r="V540" s="367">
        <v>120000000</v>
      </c>
      <c r="W540" s="368">
        <v>120000000</v>
      </c>
      <c r="X540" s="357"/>
      <c r="Y540" s="357"/>
      <c r="Z540" s="400"/>
      <c r="AA540" s="369"/>
      <c r="AB540" s="370"/>
      <c r="AC540" s="404">
        <v>1</v>
      </c>
      <c r="AD540" s="270" t="s">
        <v>3855</v>
      </c>
      <c r="AE540" s="156">
        <v>288200000</v>
      </c>
      <c r="AF540" s="156">
        <v>288200000</v>
      </c>
      <c r="AG540" s="357"/>
      <c r="AH540" s="357"/>
      <c r="AI540" s="357"/>
      <c r="AJ540" s="156"/>
      <c r="AK540" s="156"/>
      <c r="AL540" s="375"/>
      <c r="AM540" s="405"/>
      <c r="AN540" s="273"/>
      <c r="AO540" s="405"/>
      <c r="AP540" s="273"/>
      <c r="AQ540" s="273"/>
      <c r="AR540" s="273"/>
      <c r="AS540" s="273"/>
      <c r="AT540" s="273"/>
      <c r="AU540" s="273"/>
      <c r="AV540" s="322">
        <f t="shared" si="26"/>
        <v>0</v>
      </c>
      <c r="AW540" s="402" t="s">
        <v>3387</v>
      </c>
      <c r="AX540" s="376">
        <v>45765</v>
      </c>
      <c r="AY540" s="373" t="s">
        <v>3388</v>
      </c>
      <c r="AZ540" s="375"/>
      <c r="BA540" s="375">
        <v>485000000</v>
      </c>
      <c r="BB540" s="375"/>
      <c r="BC540" s="375"/>
      <c r="BD540" s="353">
        <f t="shared" si="27"/>
        <v>485000000</v>
      </c>
      <c r="BE540" s="432" t="s">
        <v>355</v>
      </c>
      <c r="BF540" s="407" t="s">
        <v>502</v>
      </c>
      <c r="BG540" s="168"/>
      <c r="BH540" s="274"/>
      <c r="BI540" s="168"/>
      <c r="BJ540" s="274"/>
      <c r="BK540" s="168"/>
      <c r="BL540" s="275"/>
      <c r="BM540" s="276"/>
      <c r="BN540" s="275"/>
      <c r="BO540" s="276"/>
      <c r="BP540" s="277"/>
      <c r="BQ540" s="156"/>
      <c r="BR540" s="274"/>
      <c r="BS540" s="270"/>
      <c r="BT540" s="270"/>
      <c r="BU540" s="274"/>
      <c r="BV540" s="274"/>
      <c r="BW540" s="278"/>
      <c r="BX540" s="278"/>
      <c r="BY540" s="278"/>
      <c r="BZ540" s="351"/>
    </row>
    <row r="541" spans="1:78" s="90" customFormat="1" ht="19.5" hidden="1" customHeight="1">
      <c r="A541" s="137"/>
      <c r="B541" s="197">
        <f t="shared" si="25"/>
        <v>531</v>
      </c>
      <c r="C541" s="30" t="s">
        <v>202</v>
      </c>
      <c r="D541" s="30" t="s">
        <v>225</v>
      </c>
      <c r="E541" s="234" t="s">
        <v>1112</v>
      </c>
      <c r="F541" s="235" t="s">
        <v>1266</v>
      </c>
      <c r="G541" s="284">
        <f>IFERROR(VLOOKUP(E541,Assign!$C$2:$J$142,8,FALSE),)</f>
        <v>0</v>
      </c>
      <c r="H541" s="361" t="s">
        <v>4880</v>
      </c>
      <c r="I541" s="363">
        <v>1</v>
      </c>
      <c r="J541" s="364" t="s">
        <v>208</v>
      </c>
      <c r="K541" s="364" t="s">
        <v>280</v>
      </c>
      <c r="L541" s="365" t="s">
        <v>281</v>
      </c>
      <c r="M541" s="362" t="s">
        <v>2404</v>
      </c>
      <c r="N541" s="421" t="s">
        <v>207</v>
      </c>
      <c r="O541" s="269">
        <v>54.765300000000003</v>
      </c>
      <c r="P541" s="269">
        <v>84.650700000000001</v>
      </c>
      <c r="Q541" s="426"/>
      <c r="R541" s="418" t="s">
        <v>3499</v>
      </c>
      <c r="S541" s="427" t="s">
        <v>613</v>
      </c>
      <c r="T541" s="357" t="s">
        <v>3857</v>
      </c>
      <c r="U541" s="357" t="s">
        <v>204</v>
      </c>
      <c r="V541" s="272">
        <v>123600000</v>
      </c>
      <c r="W541" s="436">
        <v>123600000</v>
      </c>
      <c r="X541" s="357"/>
      <c r="Y541" s="357"/>
      <c r="Z541" s="400"/>
      <c r="AA541" s="369"/>
      <c r="AB541" s="370"/>
      <c r="AC541" s="404">
        <v>1</v>
      </c>
      <c r="AD541" s="270" t="s">
        <v>3855</v>
      </c>
      <c r="AE541" s="156">
        <v>176000000</v>
      </c>
      <c r="AF541" s="156">
        <v>176000000</v>
      </c>
      <c r="AG541" s="357"/>
      <c r="AH541" s="357"/>
      <c r="AI541" s="357"/>
      <c r="AJ541" s="156"/>
      <c r="AK541" s="156"/>
      <c r="AL541" s="375"/>
      <c r="AM541" s="405"/>
      <c r="AN541" s="273"/>
      <c r="AO541" s="405"/>
      <c r="AP541" s="273"/>
      <c r="AQ541" s="273"/>
      <c r="AR541" s="273"/>
      <c r="AS541" s="273"/>
      <c r="AT541" s="273"/>
      <c r="AU541" s="273"/>
      <c r="AV541" s="322">
        <f t="shared" si="26"/>
        <v>0</v>
      </c>
      <c r="AW541" s="402" t="s">
        <v>3387</v>
      </c>
      <c r="AX541" s="376">
        <v>45765</v>
      </c>
      <c r="AY541" s="373" t="s">
        <v>3388</v>
      </c>
      <c r="AZ541" s="375"/>
      <c r="BA541" s="375">
        <v>405000000</v>
      </c>
      <c r="BB541" s="375"/>
      <c r="BC541" s="375"/>
      <c r="BD541" s="353">
        <f t="shared" si="27"/>
        <v>405000000</v>
      </c>
      <c r="BE541" s="432" t="s">
        <v>355</v>
      </c>
      <c r="BF541" s="407" t="s">
        <v>422</v>
      </c>
      <c r="BG541" s="168"/>
      <c r="BH541" s="274"/>
      <c r="BI541" s="168"/>
      <c r="BJ541" s="274"/>
      <c r="BK541" s="168"/>
      <c r="BL541" s="275"/>
      <c r="BM541" s="276"/>
      <c r="BN541" s="275"/>
      <c r="BO541" s="276"/>
      <c r="BP541" s="277"/>
      <c r="BQ541" s="156"/>
      <c r="BR541" s="274"/>
      <c r="BS541" s="270"/>
      <c r="BT541" s="270"/>
      <c r="BU541" s="274"/>
      <c r="BV541" s="274"/>
      <c r="BW541" s="278"/>
      <c r="BX541" s="278"/>
      <c r="BY541" s="278"/>
      <c r="BZ541" s="351"/>
    </row>
    <row r="542" spans="1:78" s="90" customFormat="1" ht="19.5" hidden="1" customHeight="1">
      <c r="A542" s="137"/>
      <c r="B542" s="197">
        <f t="shared" si="25"/>
        <v>532</v>
      </c>
      <c r="C542" s="30" t="s">
        <v>202</v>
      </c>
      <c r="D542" s="30" t="s">
        <v>225</v>
      </c>
      <c r="E542" s="234" t="s">
        <v>1113</v>
      </c>
      <c r="F542" s="235" t="s">
        <v>1286</v>
      </c>
      <c r="G542" s="284">
        <f>IFERROR(VLOOKUP(E542,Assign!$C$2:$J$142,8,FALSE),)</f>
        <v>0</v>
      </c>
      <c r="H542" s="361" t="s">
        <v>5031</v>
      </c>
      <c r="I542" s="363">
        <v>1</v>
      </c>
      <c r="J542" s="364" t="s">
        <v>208</v>
      </c>
      <c r="K542" s="364" t="s">
        <v>250</v>
      </c>
      <c r="L542" s="365" t="s">
        <v>544</v>
      </c>
      <c r="M542" s="362" t="s">
        <v>2549</v>
      </c>
      <c r="N542" s="421" t="s">
        <v>606</v>
      </c>
      <c r="O542" s="269">
        <v>60.25</v>
      </c>
      <c r="P542" s="269">
        <v>72.930000000000007</v>
      </c>
      <c r="Q542" s="426"/>
      <c r="R542" s="418" t="s">
        <v>1113</v>
      </c>
      <c r="S542" s="427" t="s">
        <v>613</v>
      </c>
      <c r="T542" s="357">
        <v>1</v>
      </c>
      <c r="U542" s="357" t="s">
        <v>204</v>
      </c>
      <c r="V542" s="367">
        <v>151200000</v>
      </c>
      <c r="W542" s="368">
        <v>151200000</v>
      </c>
      <c r="X542" s="357"/>
      <c r="Y542" s="357"/>
      <c r="Z542" s="400"/>
      <c r="AA542" s="369"/>
      <c r="AB542" s="370"/>
      <c r="AC542" s="404"/>
      <c r="AD542" s="270"/>
      <c r="AE542" s="156"/>
      <c r="AF542" s="156"/>
      <c r="AG542" s="357"/>
      <c r="AH542" s="357"/>
      <c r="AI542" s="357"/>
      <c r="AJ542" s="156"/>
      <c r="AK542" s="156"/>
      <c r="AL542" s="375"/>
      <c r="AM542" s="405"/>
      <c r="AN542" s="273"/>
      <c r="AO542" s="405"/>
      <c r="AP542" s="273"/>
      <c r="AQ542" s="273"/>
      <c r="AR542" s="273"/>
      <c r="AS542" s="273"/>
      <c r="AT542" s="273"/>
      <c r="AU542" s="273"/>
      <c r="AV542" s="322">
        <f t="shared" si="26"/>
        <v>0</v>
      </c>
      <c r="AW542" s="402"/>
      <c r="AX542" s="376"/>
      <c r="AY542" s="373"/>
      <c r="AZ542" s="375"/>
      <c r="BA542" s="375"/>
      <c r="BB542" s="375"/>
      <c r="BC542" s="375"/>
      <c r="BD542" s="353">
        <f t="shared" si="27"/>
        <v>0</v>
      </c>
      <c r="BE542" s="432" t="s">
        <v>355</v>
      </c>
      <c r="BF542" s="407" t="s">
        <v>493</v>
      </c>
      <c r="BG542" s="168"/>
      <c r="BH542" s="274"/>
      <c r="BI542" s="168"/>
      <c r="BJ542" s="274"/>
      <c r="BK542" s="168"/>
      <c r="BL542" s="275"/>
      <c r="BM542" s="276"/>
      <c r="BN542" s="275"/>
      <c r="BO542" s="276"/>
      <c r="BP542" s="277"/>
      <c r="BQ542" s="156"/>
      <c r="BR542" s="274"/>
      <c r="BS542" s="270"/>
      <c r="BT542" s="270"/>
      <c r="BU542" s="274"/>
      <c r="BV542" s="274"/>
      <c r="BW542" s="278"/>
      <c r="BX542" s="278"/>
      <c r="BY542" s="278"/>
      <c r="BZ542" s="351"/>
    </row>
    <row r="543" spans="1:78" s="90" customFormat="1" ht="19.5" hidden="1" customHeight="1">
      <c r="A543" s="137"/>
      <c r="B543" s="197">
        <f t="shared" si="25"/>
        <v>533</v>
      </c>
      <c r="C543" s="30" t="s">
        <v>202</v>
      </c>
      <c r="D543" s="30" t="s">
        <v>225</v>
      </c>
      <c r="E543" s="234" t="s">
        <v>1114</v>
      </c>
      <c r="F543" s="235" t="s">
        <v>1221</v>
      </c>
      <c r="G543" s="284">
        <f>IFERROR(VLOOKUP(E543,Assign!$C$2:$J$142,8,FALSE),)</f>
        <v>0</v>
      </c>
      <c r="H543" s="361" t="s">
        <v>5055</v>
      </c>
      <c r="I543" s="363">
        <v>1</v>
      </c>
      <c r="J543" s="364" t="s">
        <v>208</v>
      </c>
      <c r="K543" s="364" t="s">
        <v>234</v>
      </c>
      <c r="L543" s="365" t="s">
        <v>414</v>
      </c>
      <c r="M543" s="362" t="s">
        <v>2571</v>
      </c>
      <c r="N543" s="421" t="s">
        <v>207</v>
      </c>
      <c r="O543" s="269">
        <v>21.36</v>
      </c>
      <c r="P543" s="269">
        <v>59.96</v>
      </c>
      <c r="Q543" s="426"/>
      <c r="R543" s="418" t="s">
        <v>1114</v>
      </c>
      <c r="S543" s="427" t="s">
        <v>613</v>
      </c>
      <c r="T543" s="357">
        <v>1</v>
      </c>
      <c r="U543" s="357" t="s">
        <v>204</v>
      </c>
      <c r="V543" s="367">
        <v>131000000</v>
      </c>
      <c r="W543" s="368">
        <v>131000000</v>
      </c>
      <c r="X543" s="357"/>
      <c r="Y543" s="357"/>
      <c r="Z543" s="400"/>
      <c r="AA543" s="369"/>
      <c r="AB543" s="370"/>
      <c r="AC543" s="404"/>
      <c r="AD543" s="270"/>
      <c r="AE543" s="156"/>
      <c r="AF543" s="156"/>
      <c r="AG543" s="357"/>
      <c r="AH543" s="357"/>
      <c r="AI543" s="357"/>
      <c r="AJ543" s="156"/>
      <c r="AK543" s="156"/>
      <c r="AL543" s="375"/>
      <c r="AM543" s="405"/>
      <c r="AN543" s="273"/>
      <c r="AO543" s="405"/>
      <c r="AP543" s="273"/>
      <c r="AQ543" s="273"/>
      <c r="AR543" s="273"/>
      <c r="AS543" s="273"/>
      <c r="AT543" s="273"/>
      <c r="AU543" s="273"/>
      <c r="AV543" s="322">
        <f t="shared" si="26"/>
        <v>0</v>
      </c>
      <c r="AW543" s="402" t="s">
        <v>3387</v>
      </c>
      <c r="AX543" s="376">
        <v>45765</v>
      </c>
      <c r="AY543" s="373" t="s">
        <v>3388</v>
      </c>
      <c r="AZ543" s="375"/>
      <c r="BA543" s="375">
        <v>250000000</v>
      </c>
      <c r="BB543" s="375"/>
      <c r="BC543" s="375"/>
      <c r="BD543" s="353">
        <f t="shared" si="27"/>
        <v>250000000</v>
      </c>
      <c r="BE543" s="432" t="s">
        <v>355</v>
      </c>
      <c r="BF543" s="407" t="s">
        <v>504</v>
      </c>
      <c r="BG543" s="168"/>
      <c r="BH543" s="274"/>
      <c r="BI543" s="168"/>
      <c r="BJ543" s="274"/>
      <c r="BK543" s="168"/>
      <c r="BL543" s="275"/>
      <c r="BM543" s="276"/>
      <c r="BN543" s="275"/>
      <c r="BO543" s="276"/>
      <c r="BP543" s="277"/>
      <c r="BQ543" s="156"/>
      <c r="BR543" s="274"/>
      <c r="BS543" s="270"/>
      <c r="BT543" s="270"/>
      <c r="BU543" s="274"/>
      <c r="BV543" s="274"/>
      <c r="BW543" s="278"/>
      <c r="BX543" s="278"/>
      <c r="BY543" s="278"/>
      <c r="BZ543" s="351"/>
    </row>
    <row r="544" spans="1:78" s="90" customFormat="1" ht="19.5" hidden="1" customHeight="1">
      <c r="A544" s="137"/>
      <c r="B544" s="197">
        <f t="shared" si="25"/>
        <v>534</v>
      </c>
      <c r="C544" s="30" t="s">
        <v>202</v>
      </c>
      <c r="D544" s="30" t="s">
        <v>225</v>
      </c>
      <c r="E544" s="234" t="s">
        <v>1115</v>
      </c>
      <c r="F544" s="235" t="s">
        <v>1279</v>
      </c>
      <c r="G544" s="284">
        <f>IFERROR(VLOOKUP(E544,Assign!$C$2:$J$142,8,FALSE),)</f>
        <v>0</v>
      </c>
      <c r="H544" s="361" t="s">
        <v>4884</v>
      </c>
      <c r="I544" s="363">
        <v>1</v>
      </c>
      <c r="J544" s="364" t="s">
        <v>212</v>
      </c>
      <c r="K544" s="364" t="s">
        <v>389</v>
      </c>
      <c r="L544" s="365" t="s">
        <v>2055</v>
      </c>
      <c r="M544" s="362" t="s">
        <v>2406</v>
      </c>
      <c r="N544" s="421" t="s">
        <v>207</v>
      </c>
      <c r="O544" s="269">
        <v>29.095952150537599</v>
      </c>
      <c r="P544" s="269">
        <v>78.784000000000006</v>
      </c>
      <c r="Q544" s="426"/>
      <c r="R544" s="418" t="s">
        <v>1115</v>
      </c>
      <c r="S544" s="427" t="s">
        <v>613</v>
      </c>
      <c r="T544" s="357" t="s">
        <v>229</v>
      </c>
      <c r="U544" s="357" t="s">
        <v>204</v>
      </c>
      <c r="V544" s="367">
        <v>145500000</v>
      </c>
      <c r="W544" s="368">
        <v>145500000</v>
      </c>
      <c r="X544" s="357"/>
      <c r="Y544" s="357"/>
      <c r="Z544" s="400"/>
      <c r="AA544" s="369"/>
      <c r="AB544" s="370"/>
      <c r="AC544" s="404"/>
      <c r="AD544" s="270"/>
      <c r="AE544" s="156"/>
      <c r="AF544" s="156"/>
      <c r="AG544" s="357"/>
      <c r="AH544" s="357"/>
      <c r="AI544" s="357"/>
      <c r="AJ544" s="156"/>
      <c r="AK544" s="156"/>
      <c r="AL544" s="375"/>
      <c r="AM544" s="405"/>
      <c r="AN544" s="273"/>
      <c r="AO544" s="405"/>
      <c r="AP544" s="273"/>
      <c r="AQ544" s="273"/>
      <c r="AR544" s="273"/>
      <c r="AS544" s="273"/>
      <c r="AT544" s="273"/>
      <c r="AU544" s="273"/>
      <c r="AV544" s="322">
        <f t="shared" si="26"/>
        <v>0</v>
      </c>
      <c r="AW544" s="402" t="s">
        <v>3387</v>
      </c>
      <c r="AX544" s="376">
        <v>45765</v>
      </c>
      <c r="AY544" s="373" t="s">
        <v>3388</v>
      </c>
      <c r="AZ544" s="375"/>
      <c r="BA544" s="375">
        <v>335000000</v>
      </c>
      <c r="BB544" s="375"/>
      <c r="BC544" s="375"/>
      <c r="BD544" s="353">
        <f t="shared" si="27"/>
        <v>335000000</v>
      </c>
      <c r="BE544" s="432" t="s">
        <v>355</v>
      </c>
      <c r="BF544" s="407" t="s">
        <v>496</v>
      </c>
      <c r="BG544" s="168"/>
      <c r="BH544" s="274"/>
      <c r="BI544" s="168"/>
      <c r="BJ544" s="274"/>
      <c r="BK544" s="168"/>
      <c r="BL544" s="275"/>
      <c r="BM544" s="276"/>
      <c r="BN544" s="275"/>
      <c r="BO544" s="276"/>
      <c r="BP544" s="277"/>
      <c r="BQ544" s="156"/>
      <c r="BR544" s="274"/>
      <c r="BS544" s="270"/>
      <c r="BT544" s="270"/>
      <c r="BU544" s="274"/>
      <c r="BV544" s="274"/>
      <c r="BW544" s="278"/>
      <c r="BX544" s="278"/>
      <c r="BY544" s="278"/>
      <c r="BZ544" s="351"/>
    </row>
    <row r="545" spans="1:78" s="90" customFormat="1" ht="19.5" hidden="1" customHeight="1">
      <c r="A545" s="137"/>
      <c r="B545" s="197">
        <f t="shared" si="25"/>
        <v>535</v>
      </c>
      <c r="C545" s="30" t="s">
        <v>202</v>
      </c>
      <c r="D545" s="30" t="s">
        <v>225</v>
      </c>
      <c r="E545" s="234" t="s">
        <v>1116</v>
      </c>
      <c r="F545" s="235" t="s">
        <v>1221</v>
      </c>
      <c r="G545" s="284">
        <f>IFERROR(VLOOKUP(E545,Assign!$C$2:$J$142,8,FALSE),)</f>
        <v>0</v>
      </c>
      <c r="H545" s="361" t="s">
        <v>4495</v>
      </c>
      <c r="I545" s="363">
        <v>1</v>
      </c>
      <c r="J545" s="364" t="s">
        <v>208</v>
      </c>
      <c r="K545" s="364" t="s">
        <v>274</v>
      </c>
      <c r="L545" s="365" t="s">
        <v>2038</v>
      </c>
      <c r="M545" s="362" t="s">
        <v>2039</v>
      </c>
      <c r="N545" s="421" t="s">
        <v>207</v>
      </c>
      <c r="O545" s="366" t="s">
        <v>273</v>
      </c>
      <c r="P545" s="269">
        <v>84.873999999999995</v>
      </c>
      <c r="Q545" s="426"/>
      <c r="R545" s="418" t="s">
        <v>1116</v>
      </c>
      <c r="S545" s="427" t="s">
        <v>613</v>
      </c>
      <c r="T545" s="357">
        <v>1</v>
      </c>
      <c r="U545" s="357" t="s">
        <v>204</v>
      </c>
      <c r="V545" s="367">
        <v>144000000</v>
      </c>
      <c r="W545" s="368">
        <v>144000000</v>
      </c>
      <c r="X545" s="357"/>
      <c r="Y545" s="357"/>
      <c r="Z545" s="400"/>
      <c r="AA545" s="369"/>
      <c r="AB545" s="370"/>
      <c r="AC545" s="404"/>
      <c r="AD545" s="270"/>
      <c r="AE545" s="156"/>
      <c r="AF545" s="156"/>
      <c r="AG545" s="357"/>
      <c r="AH545" s="357"/>
      <c r="AI545" s="357"/>
      <c r="AJ545" s="156"/>
      <c r="AK545" s="156"/>
      <c r="AL545" s="375"/>
      <c r="AM545" s="405"/>
      <c r="AN545" s="273"/>
      <c r="AO545" s="405"/>
      <c r="AP545" s="273"/>
      <c r="AQ545" s="273"/>
      <c r="AR545" s="273"/>
      <c r="AS545" s="273"/>
      <c r="AT545" s="273"/>
      <c r="AU545" s="273"/>
      <c r="AV545" s="322">
        <f t="shared" si="26"/>
        <v>0</v>
      </c>
      <c r="AW545" s="402" t="s">
        <v>3387</v>
      </c>
      <c r="AX545" s="376">
        <v>45765</v>
      </c>
      <c r="AY545" s="373" t="s">
        <v>3388</v>
      </c>
      <c r="AZ545" s="375"/>
      <c r="BA545" s="375">
        <v>200000000</v>
      </c>
      <c r="BB545" s="375"/>
      <c r="BC545" s="375"/>
      <c r="BD545" s="353">
        <f t="shared" si="27"/>
        <v>200000000</v>
      </c>
      <c r="BE545" s="432" t="s">
        <v>355</v>
      </c>
      <c r="BF545" s="407" t="s">
        <v>499</v>
      </c>
      <c r="BG545" s="168"/>
      <c r="BH545" s="274"/>
      <c r="BI545" s="168"/>
      <c r="BJ545" s="274"/>
      <c r="BK545" s="168"/>
      <c r="BL545" s="275"/>
      <c r="BM545" s="276"/>
      <c r="BN545" s="275"/>
      <c r="BO545" s="276"/>
      <c r="BP545" s="277"/>
      <c r="BQ545" s="156"/>
      <c r="BR545" s="274"/>
      <c r="BS545" s="270"/>
      <c r="BT545" s="270"/>
      <c r="BU545" s="274"/>
      <c r="BV545" s="274"/>
      <c r="BW545" s="278"/>
      <c r="BX545" s="278"/>
      <c r="BY545" s="278"/>
      <c r="BZ545" s="351"/>
    </row>
    <row r="546" spans="1:78" s="90" customFormat="1" ht="19.5" customHeight="1">
      <c r="A546" s="137"/>
      <c r="B546" s="197">
        <f t="shared" si="25"/>
        <v>536</v>
      </c>
      <c r="C546" s="30" t="s">
        <v>202</v>
      </c>
      <c r="D546" s="30" t="s">
        <v>225</v>
      </c>
      <c r="E546" s="234" t="s">
        <v>1117</v>
      </c>
      <c r="F546" s="235" t="s">
        <v>1225</v>
      </c>
      <c r="G546" s="284" t="str">
        <f>IFERROR(VLOOKUP(E546,Assign!$C$2:$J$142,8,FALSE),)</f>
        <v>문선영</v>
      </c>
      <c r="H546" s="361" t="s">
        <v>5117</v>
      </c>
      <c r="I546" s="363">
        <v>1</v>
      </c>
      <c r="J546" s="364" t="s">
        <v>215</v>
      </c>
      <c r="K546" s="364" t="s">
        <v>284</v>
      </c>
      <c r="L546" s="365" t="s">
        <v>2631</v>
      </c>
      <c r="M546" s="362" t="s">
        <v>2632</v>
      </c>
      <c r="N546" s="421" t="s">
        <v>207</v>
      </c>
      <c r="O546" s="269">
        <v>23.553699999999999</v>
      </c>
      <c r="P546" s="269">
        <v>59.45</v>
      </c>
      <c r="Q546" s="426"/>
      <c r="R546" s="418" t="s">
        <v>1117</v>
      </c>
      <c r="S546" s="427" t="s">
        <v>613</v>
      </c>
      <c r="T546" s="357">
        <v>1</v>
      </c>
      <c r="U546" s="357" t="s">
        <v>204</v>
      </c>
      <c r="V546" s="367">
        <v>110000000</v>
      </c>
      <c r="W546" s="368">
        <v>110000000</v>
      </c>
      <c r="X546" s="357"/>
      <c r="Y546" s="357"/>
      <c r="Z546" s="400"/>
      <c r="AA546" s="369"/>
      <c r="AB546" s="370"/>
      <c r="AC546" s="404"/>
      <c r="AD546" s="270"/>
      <c r="AE546" s="156"/>
      <c r="AF546" s="156"/>
      <c r="AG546" s="357"/>
      <c r="AH546" s="357"/>
      <c r="AI546" s="357"/>
      <c r="AJ546" s="156"/>
      <c r="AK546" s="156"/>
      <c r="AL546" s="375"/>
      <c r="AM546" s="405"/>
      <c r="AN546" s="273"/>
      <c r="AO546" s="405"/>
      <c r="AP546" s="273"/>
      <c r="AQ546" s="273"/>
      <c r="AR546" s="273"/>
      <c r="AS546" s="273"/>
      <c r="AT546" s="273"/>
      <c r="AU546" s="273"/>
      <c r="AV546" s="322">
        <f t="shared" si="26"/>
        <v>0</v>
      </c>
      <c r="AW546" s="402" t="s">
        <v>3387</v>
      </c>
      <c r="AX546" s="376">
        <v>45765</v>
      </c>
      <c r="AY546" s="373" t="s">
        <v>3388</v>
      </c>
      <c r="AZ546" s="375"/>
      <c r="BA546" s="375">
        <v>127500000</v>
      </c>
      <c r="BB546" s="375"/>
      <c r="BC546" s="375"/>
      <c r="BD546" s="353">
        <f t="shared" si="27"/>
        <v>127500000</v>
      </c>
      <c r="BE546" s="432" t="s">
        <v>335</v>
      </c>
      <c r="BF546" s="407" t="s">
        <v>508</v>
      </c>
      <c r="BG546" s="168" t="s">
        <v>3332</v>
      </c>
      <c r="BH546" s="274">
        <v>45433</v>
      </c>
      <c r="BI546" s="168" t="s">
        <v>3333</v>
      </c>
      <c r="BJ546" s="274">
        <v>45525</v>
      </c>
      <c r="BK546" s="168">
        <v>36026867</v>
      </c>
      <c r="BL546" s="275" t="s">
        <v>1373</v>
      </c>
      <c r="BM546" s="276">
        <v>45701</v>
      </c>
      <c r="BN546" s="275" t="s">
        <v>3361</v>
      </c>
      <c r="BO546" s="276"/>
      <c r="BP546" s="277"/>
      <c r="BQ546" s="156"/>
      <c r="BR546" s="274"/>
      <c r="BS546" s="270"/>
      <c r="BT546" s="270"/>
      <c r="BU546" s="274"/>
      <c r="BV546" s="274"/>
      <c r="BW546" s="278"/>
      <c r="BX546" s="278"/>
      <c r="BY546" s="278"/>
      <c r="BZ546" s="351"/>
    </row>
    <row r="547" spans="1:78" s="90" customFormat="1" ht="19.5" hidden="1" customHeight="1">
      <c r="A547" s="137"/>
      <c r="B547" s="197">
        <f t="shared" si="25"/>
        <v>537</v>
      </c>
      <c r="C547" s="30" t="s">
        <v>202</v>
      </c>
      <c r="D547" s="30" t="s">
        <v>225</v>
      </c>
      <c r="E547" s="234" t="s">
        <v>1118</v>
      </c>
      <c r="F547" s="235" t="s">
        <v>1229</v>
      </c>
      <c r="G547" s="284">
        <f>IFERROR(VLOOKUP(E547,Assign!$C$2:$J$142,8,FALSE),)</f>
        <v>0</v>
      </c>
      <c r="H547" s="361" t="s">
        <v>4219</v>
      </c>
      <c r="I547" s="363">
        <v>1</v>
      </c>
      <c r="J547" s="364" t="s">
        <v>212</v>
      </c>
      <c r="K547" s="364" t="s">
        <v>549</v>
      </c>
      <c r="L547" s="365" t="s">
        <v>550</v>
      </c>
      <c r="M547" s="362" t="s">
        <v>1797</v>
      </c>
      <c r="N547" s="421" t="s">
        <v>3386</v>
      </c>
      <c r="O547" s="269">
        <v>14.2837</v>
      </c>
      <c r="P547" s="269">
        <v>29.895199999999999</v>
      </c>
      <c r="Q547" s="426"/>
      <c r="R547" s="418" t="s">
        <v>1118</v>
      </c>
      <c r="S547" s="427" t="s">
        <v>613</v>
      </c>
      <c r="T547" s="357">
        <v>1</v>
      </c>
      <c r="U547" s="357" t="s">
        <v>204</v>
      </c>
      <c r="V547" s="367">
        <v>112800000</v>
      </c>
      <c r="W547" s="368">
        <v>112800000</v>
      </c>
      <c r="X547" s="357"/>
      <c r="Y547" s="357"/>
      <c r="Z547" s="400"/>
      <c r="AA547" s="369"/>
      <c r="AB547" s="370"/>
      <c r="AC547" s="404"/>
      <c r="AD547" s="270"/>
      <c r="AE547" s="156"/>
      <c r="AF547" s="156"/>
      <c r="AG547" s="357"/>
      <c r="AH547" s="357"/>
      <c r="AI547" s="357"/>
      <c r="AJ547" s="156"/>
      <c r="AK547" s="156"/>
      <c r="AL547" s="375"/>
      <c r="AM547" s="405"/>
      <c r="AN547" s="273"/>
      <c r="AO547" s="405"/>
      <c r="AP547" s="273"/>
      <c r="AQ547" s="273"/>
      <c r="AR547" s="273"/>
      <c r="AS547" s="273"/>
      <c r="AT547" s="273"/>
      <c r="AU547" s="273"/>
      <c r="AV547" s="322">
        <f t="shared" si="26"/>
        <v>0</v>
      </c>
      <c r="AW547" s="402"/>
      <c r="AX547" s="376"/>
      <c r="AY547" s="373"/>
      <c r="AZ547" s="375"/>
      <c r="BA547" s="375"/>
      <c r="BB547" s="375"/>
      <c r="BC547" s="375"/>
      <c r="BD547" s="353">
        <f t="shared" si="27"/>
        <v>0</v>
      </c>
      <c r="BE547" s="432" t="s">
        <v>355</v>
      </c>
      <c r="BF547" s="407" t="s">
        <v>496</v>
      </c>
      <c r="BG547" s="168"/>
      <c r="BH547" s="274"/>
      <c r="BI547" s="168"/>
      <c r="BJ547" s="274"/>
      <c r="BK547" s="168"/>
      <c r="BL547" s="275"/>
      <c r="BM547" s="276"/>
      <c r="BN547" s="275"/>
      <c r="BO547" s="276"/>
      <c r="BP547" s="277"/>
      <c r="BQ547" s="156"/>
      <c r="BR547" s="274"/>
      <c r="BS547" s="270"/>
      <c r="BT547" s="270"/>
      <c r="BU547" s="274"/>
      <c r="BV547" s="274"/>
      <c r="BW547" s="278"/>
      <c r="BX547" s="278"/>
      <c r="BY547" s="278"/>
      <c r="BZ547" s="351"/>
    </row>
    <row r="548" spans="1:78" s="90" customFormat="1" ht="19.5" hidden="1" customHeight="1">
      <c r="A548" s="137"/>
      <c r="B548" s="197">
        <f t="shared" si="25"/>
        <v>538</v>
      </c>
      <c r="C548" s="30" t="s">
        <v>202</v>
      </c>
      <c r="D548" s="30" t="s">
        <v>225</v>
      </c>
      <c r="E548" s="234" t="s">
        <v>1119</v>
      </c>
      <c r="F548" s="235" t="s">
        <v>1224</v>
      </c>
      <c r="G548" s="284">
        <f>IFERROR(VLOOKUP(E548,Assign!$C$2:$J$142,8,FALSE),)</f>
        <v>0</v>
      </c>
      <c r="H548" s="361" t="s">
        <v>5121</v>
      </c>
      <c r="I548" s="363">
        <v>1</v>
      </c>
      <c r="J548" s="364" t="s">
        <v>208</v>
      </c>
      <c r="K548" s="364" t="s">
        <v>365</v>
      </c>
      <c r="L548" s="365" t="s">
        <v>1750</v>
      </c>
      <c r="M548" s="362" t="s">
        <v>2635</v>
      </c>
      <c r="N548" s="421" t="s">
        <v>606</v>
      </c>
      <c r="O548" s="269">
        <v>24.7</v>
      </c>
      <c r="P548" s="269">
        <v>31.13</v>
      </c>
      <c r="Q548" s="426"/>
      <c r="R548" s="418" t="s">
        <v>1119</v>
      </c>
      <c r="S548" s="427" t="s">
        <v>613</v>
      </c>
      <c r="T548" s="357">
        <v>1</v>
      </c>
      <c r="U548" s="357" t="s">
        <v>204</v>
      </c>
      <c r="V548" s="367">
        <v>130800000</v>
      </c>
      <c r="W548" s="368">
        <v>130800000</v>
      </c>
      <c r="X548" s="357"/>
      <c r="Y548" s="357"/>
      <c r="Z548" s="400"/>
      <c r="AA548" s="369"/>
      <c r="AB548" s="370"/>
      <c r="AC548" s="404"/>
      <c r="AD548" s="270"/>
      <c r="AE548" s="156"/>
      <c r="AF548" s="156"/>
      <c r="AG548" s="357"/>
      <c r="AH548" s="357"/>
      <c r="AI548" s="357"/>
      <c r="AJ548" s="156"/>
      <c r="AK548" s="156"/>
      <c r="AL548" s="375"/>
      <c r="AM548" s="405"/>
      <c r="AN548" s="273"/>
      <c r="AO548" s="405"/>
      <c r="AP548" s="273"/>
      <c r="AQ548" s="273"/>
      <c r="AR548" s="273"/>
      <c r="AS548" s="273"/>
      <c r="AT548" s="273"/>
      <c r="AU548" s="273"/>
      <c r="AV548" s="322">
        <f t="shared" si="26"/>
        <v>0</v>
      </c>
      <c r="AW548" s="402"/>
      <c r="AX548" s="376"/>
      <c r="AY548" s="373"/>
      <c r="AZ548" s="375"/>
      <c r="BA548" s="375"/>
      <c r="BB548" s="375"/>
      <c r="BC548" s="375"/>
      <c r="BD548" s="353">
        <f t="shared" si="27"/>
        <v>0</v>
      </c>
      <c r="BE548" s="432" t="s">
        <v>355</v>
      </c>
      <c r="BF548" s="407" t="s">
        <v>422</v>
      </c>
      <c r="BG548" s="168"/>
      <c r="BH548" s="274"/>
      <c r="BI548" s="168"/>
      <c r="BJ548" s="274"/>
      <c r="BK548" s="168"/>
      <c r="BL548" s="275"/>
      <c r="BM548" s="276"/>
      <c r="BN548" s="275"/>
      <c r="BO548" s="276"/>
      <c r="BP548" s="277"/>
      <c r="BQ548" s="156"/>
      <c r="BR548" s="274"/>
      <c r="BS548" s="270"/>
      <c r="BT548" s="270"/>
      <c r="BU548" s="274"/>
      <c r="BV548" s="274"/>
      <c r="BW548" s="278"/>
      <c r="BX548" s="278"/>
      <c r="BY548" s="278"/>
      <c r="BZ548" s="351"/>
    </row>
    <row r="549" spans="1:78" s="90" customFormat="1" ht="19.5" hidden="1" customHeight="1">
      <c r="A549" s="137"/>
      <c r="B549" s="197">
        <f t="shared" si="25"/>
        <v>539</v>
      </c>
      <c r="C549" s="30" t="s">
        <v>202</v>
      </c>
      <c r="D549" s="30" t="s">
        <v>225</v>
      </c>
      <c r="E549" s="234" t="s">
        <v>1120</v>
      </c>
      <c r="F549" s="235" t="s">
        <v>1229</v>
      </c>
      <c r="G549" s="284">
        <f>IFERROR(VLOOKUP(E549,Assign!$C$2:$J$142,8,FALSE),)</f>
        <v>0</v>
      </c>
      <c r="H549" s="361" t="s">
        <v>4855</v>
      </c>
      <c r="I549" s="363">
        <v>1</v>
      </c>
      <c r="J549" s="364" t="s">
        <v>208</v>
      </c>
      <c r="K549" s="364" t="s">
        <v>269</v>
      </c>
      <c r="L549" s="365" t="s">
        <v>2380</v>
      </c>
      <c r="M549" s="362" t="s">
        <v>2381</v>
      </c>
      <c r="N549" s="421" t="s">
        <v>531</v>
      </c>
      <c r="O549" s="269">
        <v>8.2100000000000009</v>
      </c>
      <c r="P549" s="269">
        <v>19.940000000000001</v>
      </c>
      <c r="Q549" s="426"/>
      <c r="R549" s="418" t="s">
        <v>1120</v>
      </c>
      <c r="S549" s="427" t="s">
        <v>613</v>
      </c>
      <c r="T549" s="357">
        <v>1</v>
      </c>
      <c r="U549" s="357" t="s">
        <v>204</v>
      </c>
      <c r="V549" s="367">
        <v>111600000</v>
      </c>
      <c r="W549" s="368">
        <v>111600000</v>
      </c>
      <c r="X549" s="357"/>
      <c r="Y549" s="357"/>
      <c r="Z549" s="400"/>
      <c r="AA549" s="369"/>
      <c r="AB549" s="370"/>
      <c r="AC549" s="404"/>
      <c r="AD549" s="270"/>
      <c r="AE549" s="156"/>
      <c r="AF549" s="156"/>
      <c r="AG549" s="357"/>
      <c r="AH549" s="357"/>
      <c r="AI549" s="357"/>
      <c r="AJ549" s="156"/>
      <c r="AK549" s="156"/>
      <c r="AL549" s="375"/>
      <c r="AM549" s="405"/>
      <c r="AN549" s="273"/>
      <c r="AO549" s="405"/>
      <c r="AP549" s="273"/>
      <c r="AQ549" s="273"/>
      <c r="AR549" s="273"/>
      <c r="AS549" s="273"/>
      <c r="AT549" s="273"/>
      <c r="AU549" s="273"/>
      <c r="AV549" s="322">
        <f t="shared" si="26"/>
        <v>0</v>
      </c>
      <c r="AW549" s="402"/>
      <c r="AX549" s="376"/>
      <c r="AY549" s="373"/>
      <c r="AZ549" s="375"/>
      <c r="BA549" s="375"/>
      <c r="BB549" s="375"/>
      <c r="BC549" s="375"/>
      <c r="BD549" s="353">
        <f t="shared" si="27"/>
        <v>0</v>
      </c>
      <c r="BE549" s="432" t="s">
        <v>355</v>
      </c>
      <c r="BF549" s="407" t="s">
        <v>498</v>
      </c>
      <c r="BG549" s="168"/>
      <c r="BH549" s="274"/>
      <c r="BI549" s="168"/>
      <c r="BJ549" s="274"/>
      <c r="BK549" s="168"/>
      <c r="BL549" s="275"/>
      <c r="BM549" s="276"/>
      <c r="BN549" s="275"/>
      <c r="BO549" s="276"/>
      <c r="BP549" s="277"/>
      <c r="BQ549" s="156"/>
      <c r="BR549" s="274"/>
      <c r="BS549" s="270"/>
      <c r="BT549" s="270"/>
      <c r="BU549" s="274"/>
      <c r="BV549" s="274"/>
      <c r="BW549" s="278"/>
      <c r="BX549" s="278"/>
      <c r="BY549" s="278"/>
      <c r="BZ549" s="351"/>
    </row>
    <row r="550" spans="1:78" s="90" customFormat="1" ht="19.5" hidden="1" customHeight="1">
      <c r="A550" s="137"/>
      <c r="B550" s="197">
        <f t="shared" si="25"/>
        <v>540</v>
      </c>
      <c r="C550" s="30" t="s">
        <v>202</v>
      </c>
      <c r="D550" s="30" t="s">
        <v>225</v>
      </c>
      <c r="E550" s="234" t="s">
        <v>1121</v>
      </c>
      <c r="F550" s="235" t="s">
        <v>1218</v>
      </c>
      <c r="G550" s="284">
        <f>IFERROR(VLOOKUP(E550,Assign!$C$2:$J$142,8,FALSE),)</f>
        <v>0</v>
      </c>
      <c r="H550" s="361" t="s">
        <v>4795</v>
      </c>
      <c r="I550" s="363">
        <v>1</v>
      </c>
      <c r="J550" s="364" t="s">
        <v>209</v>
      </c>
      <c r="K550" s="364" t="s">
        <v>380</v>
      </c>
      <c r="L550" s="365" t="s">
        <v>2325</v>
      </c>
      <c r="M550" s="362" t="s">
        <v>2326</v>
      </c>
      <c r="N550" s="421" t="s">
        <v>3076</v>
      </c>
      <c r="O550" s="269">
        <v>27.2</v>
      </c>
      <c r="P550" s="269">
        <v>48.21</v>
      </c>
      <c r="Q550" s="426"/>
      <c r="R550" s="418" t="s">
        <v>3456</v>
      </c>
      <c r="S550" s="427" t="s">
        <v>613</v>
      </c>
      <c r="T550" s="357">
        <v>1</v>
      </c>
      <c r="U550" s="357" t="s">
        <v>204</v>
      </c>
      <c r="V550" s="367">
        <v>104500000</v>
      </c>
      <c r="W550" s="368">
        <v>104500000</v>
      </c>
      <c r="X550" s="357"/>
      <c r="Y550" s="357"/>
      <c r="Z550" s="400"/>
      <c r="AA550" s="369"/>
      <c r="AB550" s="370"/>
      <c r="AC550" s="404"/>
      <c r="AD550" s="270"/>
      <c r="AE550" s="156"/>
      <c r="AF550" s="156"/>
      <c r="AG550" s="357"/>
      <c r="AH550" s="357"/>
      <c r="AI550" s="357"/>
      <c r="AJ550" s="156"/>
      <c r="AK550" s="156"/>
      <c r="AL550" s="375"/>
      <c r="AM550" s="405"/>
      <c r="AN550" s="273"/>
      <c r="AO550" s="405"/>
      <c r="AP550" s="273"/>
      <c r="AQ550" s="273"/>
      <c r="AR550" s="273"/>
      <c r="AS550" s="273"/>
      <c r="AT550" s="273"/>
      <c r="AU550" s="273"/>
      <c r="AV550" s="322">
        <f t="shared" si="26"/>
        <v>0</v>
      </c>
      <c r="AW550" s="402"/>
      <c r="AX550" s="376"/>
      <c r="AY550" s="373"/>
      <c r="AZ550" s="375"/>
      <c r="BA550" s="375"/>
      <c r="BB550" s="375"/>
      <c r="BC550" s="375"/>
      <c r="BD550" s="353">
        <f t="shared" si="27"/>
        <v>0</v>
      </c>
      <c r="BE550" s="432" t="s">
        <v>355</v>
      </c>
      <c r="BF550" s="407" t="s">
        <v>510</v>
      </c>
      <c r="BG550" s="168"/>
      <c r="BH550" s="274"/>
      <c r="BI550" s="168"/>
      <c r="BJ550" s="274"/>
      <c r="BK550" s="168"/>
      <c r="BL550" s="275"/>
      <c r="BM550" s="276"/>
      <c r="BN550" s="275"/>
      <c r="BO550" s="276"/>
      <c r="BP550" s="277"/>
      <c r="BQ550" s="156"/>
      <c r="BR550" s="274"/>
      <c r="BS550" s="270"/>
      <c r="BT550" s="270"/>
      <c r="BU550" s="274"/>
      <c r="BV550" s="274"/>
      <c r="BW550" s="278"/>
      <c r="BX550" s="278"/>
      <c r="BY550" s="278"/>
      <c r="BZ550" s="351"/>
    </row>
    <row r="551" spans="1:78" s="90" customFormat="1" ht="19.5" hidden="1" customHeight="1">
      <c r="A551" s="137"/>
      <c r="B551" s="197">
        <f t="shared" si="25"/>
        <v>541</v>
      </c>
      <c r="C551" s="30" t="s">
        <v>202</v>
      </c>
      <c r="D551" s="30" t="s">
        <v>225</v>
      </c>
      <c r="E551" s="234" t="s">
        <v>1122</v>
      </c>
      <c r="F551" s="235" t="s">
        <v>1225</v>
      </c>
      <c r="G551" s="284">
        <f>IFERROR(VLOOKUP(E551,Assign!$C$2:$J$142,8,FALSE),)</f>
        <v>0</v>
      </c>
      <c r="H551" s="361" t="s">
        <v>3991</v>
      </c>
      <c r="I551" s="363">
        <v>1</v>
      </c>
      <c r="J551" s="364" t="s">
        <v>208</v>
      </c>
      <c r="K551" s="364" t="s">
        <v>301</v>
      </c>
      <c r="L551" s="365" t="s">
        <v>400</v>
      </c>
      <c r="M551" s="362" t="s">
        <v>1567</v>
      </c>
      <c r="N551" s="421" t="s">
        <v>207</v>
      </c>
      <c r="O551" s="269">
        <v>62.454000000000001</v>
      </c>
      <c r="P551" s="269">
        <v>84.99</v>
      </c>
      <c r="Q551" s="426"/>
      <c r="R551" s="418" t="s">
        <v>1122</v>
      </c>
      <c r="S551" s="427" t="s">
        <v>613</v>
      </c>
      <c r="T551" s="357">
        <v>1</v>
      </c>
      <c r="U551" s="357" t="s">
        <v>204</v>
      </c>
      <c r="V551" s="367">
        <v>108000000</v>
      </c>
      <c r="W551" s="368">
        <v>108000000</v>
      </c>
      <c r="X551" s="357"/>
      <c r="Y551" s="357"/>
      <c r="Z551" s="400"/>
      <c r="AA551" s="369"/>
      <c r="AB551" s="370"/>
      <c r="AC551" s="404"/>
      <c r="AD551" s="270"/>
      <c r="AE551" s="156"/>
      <c r="AF551" s="156"/>
      <c r="AG551" s="357"/>
      <c r="AH551" s="357"/>
      <c r="AI551" s="357"/>
      <c r="AJ551" s="156"/>
      <c r="AK551" s="156"/>
      <c r="AL551" s="375"/>
      <c r="AM551" s="405"/>
      <c r="AN551" s="273"/>
      <c r="AO551" s="405"/>
      <c r="AP551" s="273"/>
      <c r="AQ551" s="273"/>
      <c r="AR551" s="273"/>
      <c r="AS551" s="273"/>
      <c r="AT551" s="273"/>
      <c r="AU551" s="273"/>
      <c r="AV551" s="322">
        <f t="shared" si="26"/>
        <v>0</v>
      </c>
      <c r="AW551" s="402" t="s">
        <v>3387</v>
      </c>
      <c r="AX551" s="376">
        <v>45765</v>
      </c>
      <c r="AY551" s="373" t="s">
        <v>3388</v>
      </c>
      <c r="AZ551" s="375"/>
      <c r="BA551" s="375">
        <v>480000000</v>
      </c>
      <c r="BB551" s="375"/>
      <c r="BC551" s="375"/>
      <c r="BD551" s="353">
        <f t="shared" si="27"/>
        <v>480000000</v>
      </c>
      <c r="BE551" s="432" t="s">
        <v>3413</v>
      </c>
      <c r="BF551" s="407" t="s">
        <v>502</v>
      </c>
      <c r="BG551" s="168" t="s">
        <v>5597</v>
      </c>
      <c r="BH551" s="274">
        <v>45728</v>
      </c>
      <c r="BI551" s="168" t="s">
        <v>3717</v>
      </c>
      <c r="BJ551" s="274">
        <v>45810</v>
      </c>
      <c r="BK551" s="168">
        <v>338571093</v>
      </c>
      <c r="BL551" s="275"/>
      <c r="BM551" s="276"/>
      <c r="BN551" s="275"/>
      <c r="BO551" s="276"/>
      <c r="BP551" s="277"/>
      <c r="BQ551" s="156"/>
      <c r="BR551" s="274"/>
      <c r="BS551" s="270"/>
      <c r="BT551" s="270"/>
      <c r="BU551" s="274"/>
      <c r="BV551" s="274"/>
      <c r="BW551" s="278"/>
      <c r="BX551" s="278"/>
      <c r="BY551" s="278"/>
      <c r="BZ551" s="351"/>
    </row>
    <row r="552" spans="1:78" s="90" customFormat="1" ht="19.5" hidden="1" customHeight="1">
      <c r="A552" s="137"/>
      <c r="B552" s="197">
        <f t="shared" si="25"/>
        <v>542</v>
      </c>
      <c r="C552" s="30" t="s">
        <v>202</v>
      </c>
      <c r="D552" s="30" t="s">
        <v>225</v>
      </c>
      <c r="E552" s="234" t="s">
        <v>1123</v>
      </c>
      <c r="F552" s="235" t="s">
        <v>1225</v>
      </c>
      <c r="G552" s="284">
        <f>IFERROR(VLOOKUP(E552,Assign!$C$2:$J$142,8,FALSE),)</f>
        <v>0</v>
      </c>
      <c r="H552" s="361" t="s">
        <v>4142</v>
      </c>
      <c r="I552" s="363">
        <v>1</v>
      </c>
      <c r="J552" s="364" t="s">
        <v>214</v>
      </c>
      <c r="K552" s="364" t="s">
        <v>338</v>
      </c>
      <c r="L552" s="365" t="s">
        <v>1717</v>
      </c>
      <c r="M552" s="362" t="s">
        <v>1718</v>
      </c>
      <c r="N552" s="421" t="s">
        <v>207</v>
      </c>
      <c r="O552" s="269">
        <v>92.420599999999993</v>
      </c>
      <c r="P552" s="269">
        <v>176.65629999999999</v>
      </c>
      <c r="Q552" s="426"/>
      <c r="R552" s="418" t="s">
        <v>1123</v>
      </c>
      <c r="S552" s="427" t="s">
        <v>613</v>
      </c>
      <c r="T552" s="357">
        <v>2</v>
      </c>
      <c r="U552" s="357" t="s">
        <v>204</v>
      </c>
      <c r="V552" s="367">
        <v>120000000</v>
      </c>
      <c r="W552" s="368">
        <v>120000000</v>
      </c>
      <c r="X552" s="357"/>
      <c r="Y552" s="357"/>
      <c r="Z552" s="400"/>
      <c r="AA552" s="369"/>
      <c r="AB552" s="370"/>
      <c r="AC552" s="404">
        <v>1</v>
      </c>
      <c r="AD552" s="270" t="s">
        <v>204</v>
      </c>
      <c r="AE552" s="156">
        <v>58000000</v>
      </c>
      <c r="AF552" s="156">
        <v>58000000</v>
      </c>
      <c r="AG552" s="357"/>
      <c r="AH552" s="357"/>
      <c r="AI552" s="357"/>
      <c r="AJ552" s="156"/>
      <c r="AK552" s="156"/>
      <c r="AL552" s="375"/>
      <c r="AM552" s="405"/>
      <c r="AN552" s="273"/>
      <c r="AO552" s="405"/>
      <c r="AP552" s="273"/>
      <c r="AQ552" s="273"/>
      <c r="AR552" s="273"/>
      <c r="AS552" s="273"/>
      <c r="AT552" s="273"/>
      <c r="AU552" s="273"/>
      <c r="AV552" s="322">
        <f t="shared" si="26"/>
        <v>0</v>
      </c>
      <c r="AW552" s="402"/>
      <c r="AX552" s="376"/>
      <c r="AY552" s="373"/>
      <c r="AZ552" s="375"/>
      <c r="BA552" s="375"/>
      <c r="BB552" s="375"/>
      <c r="BC552" s="375"/>
      <c r="BD552" s="353">
        <f t="shared" si="27"/>
        <v>0</v>
      </c>
      <c r="BE552" s="432" t="s">
        <v>335</v>
      </c>
      <c r="BF552" s="407" t="s">
        <v>500</v>
      </c>
      <c r="BG552" s="168" t="s">
        <v>3400</v>
      </c>
      <c r="BH552" s="274">
        <v>45713</v>
      </c>
      <c r="BI552" s="168" t="s">
        <v>3272</v>
      </c>
      <c r="BJ552" s="274">
        <v>45806</v>
      </c>
      <c r="BK552" s="168">
        <v>2096088839</v>
      </c>
      <c r="BL552" s="275"/>
      <c r="BM552" s="276"/>
      <c r="BN552" s="275"/>
      <c r="BO552" s="276"/>
      <c r="BP552" s="277"/>
      <c r="BQ552" s="156"/>
      <c r="BR552" s="274"/>
      <c r="BS552" s="270"/>
      <c r="BT552" s="270"/>
      <c r="BU552" s="274"/>
      <c r="BV552" s="274"/>
      <c r="BW552" s="278"/>
      <c r="BX552" s="278"/>
      <c r="BY552" s="278"/>
      <c r="BZ552" s="351"/>
    </row>
    <row r="553" spans="1:78" s="90" customFormat="1" ht="19.5" hidden="1" customHeight="1">
      <c r="A553" s="137"/>
      <c r="B553" s="197">
        <f t="shared" si="25"/>
        <v>543</v>
      </c>
      <c r="C553" s="30" t="s">
        <v>202</v>
      </c>
      <c r="D553" s="30" t="s">
        <v>225</v>
      </c>
      <c r="E553" s="234" t="s">
        <v>1124</v>
      </c>
      <c r="F553" s="235" t="s">
        <v>1221</v>
      </c>
      <c r="G553" s="284">
        <f>IFERROR(VLOOKUP(E553,Assign!$C$2:$J$142,8,FALSE),)</f>
        <v>0</v>
      </c>
      <c r="H553" s="361" t="s">
        <v>4042</v>
      </c>
      <c r="I553" s="363">
        <v>1</v>
      </c>
      <c r="J553" s="364" t="s">
        <v>220</v>
      </c>
      <c r="K553" s="364" t="s">
        <v>564</v>
      </c>
      <c r="L553" s="365" t="s">
        <v>1618</v>
      </c>
      <c r="M553" s="362" t="s">
        <v>1619</v>
      </c>
      <c r="N553" s="421" t="s">
        <v>207</v>
      </c>
      <c r="O553" s="269">
        <v>37.177</v>
      </c>
      <c r="P553" s="269">
        <v>59.88</v>
      </c>
      <c r="Q553" s="426"/>
      <c r="R553" s="418" t="s">
        <v>3441</v>
      </c>
      <c r="S553" s="427" t="s">
        <v>613</v>
      </c>
      <c r="T553" s="357">
        <v>1</v>
      </c>
      <c r="U553" s="357" t="s">
        <v>204</v>
      </c>
      <c r="V553" s="367">
        <v>134400000</v>
      </c>
      <c r="W553" s="368">
        <v>134400000</v>
      </c>
      <c r="X553" s="357"/>
      <c r="Y553" s="357"/>
      <c r="Z553" s="400"/>
      <c r="AA553" s="369"/>
      <c r="AB553" s="370"/>
      <c r="AC553" s="404"/>
      <c r="AD553" s="270"/>
      <c r="AE553" s="156"/>
      <c r="AF553" s="156"/>
      <c r="AG553" s="357"/>
      <c r="AH553" s="357"/>
      <c r="AI553" s="357"/>
      <c r="AJ553" s="156"/>
      <c r="AK553" s="156"/>
      <c r="AL553" s="375"/>
      <c r="AM553" s="405"/>
      <c r="AN553" s="273"/>
      <c r="AO553" s="405"/>
      <c r="AP553" s="273"/>
      <c r="AQ553" s="273"/>
      <c r="AR553" s="273"/>
      <c r="AS553" s="273"/>
      <c r="AT553" s="273"/>
      <c r="AU553" s="273"/>
      <c r="AV553" s="322">
        <f t="shared" si="26"/>
        <v>0</v>
      </c>
      <c r="AW553" s="402" t="s">
        <v>3387</v>
      </c>
      <c r="AX553" s="376">
        <v>45765</v>
      </c>
      <c r="AY553" s="373" t="s">
        <v>3388</v>
      </c>
      <c r="AZ553" s="375"/>
      <c r="BA553" s="375">
        <v>130000000</v>
      </c>
      <c r="BB553" s="375"/>
      <c r="BC553" s="375"/>
      <c r="BD553" s="353">
        <f t="shared" si="27"/>
        <v>130000000</v>
      </c>
      <c r="BE553" s="432" t="s">
        <v>355</v>
      </c>
      <c r="BF553" s="407" t="s">
        <v>523</v>
      </c>
      <c r="BG553" s="168"/>
      <c r="BH553" s="274"/>
      <c r="BI553" s="168"/>
      <c r="BJ553" s="274"/>
      <c r="BK553" s="168"/>
      <c r="BL553" s="275"/>
      <c r="BM553" s="276"/>
      <c r="BN553" s="275"/>
      <c r="BO553" s="276"/>
      <c r="BP553" s="277"/>
      <c r="BQ553" s="156"/>
      <c r="BR553" s="274"/>
      <c r="BS553" s="270"/>
      <c r="BT553" s="270"/>
      <c r="BU553" s="274"/>
      <c r="BV553" s="274"/>
      <c r="BW553" s="278"/>
      <c r="BX553" s="278"/>
      <c r="BY553" s="278"/>
      <c r="BZ553" s="351"/>
    </row>
    <row r="554" spans="1:78" s="90" customFormat="1" ht="19.5" hidden="1" customHeight="1">
      <c r="A554" s="137"/>
      <c r="B554" s="197">
        <f t="shared" si="25"/>
        <v>544</v>
      </c>
      <c r="C554" s="30" t="s">
        <v>202</v>
      </c>
      <c r="D554" s="30" t="s">
        <v>225</v>
      </c>
      <c r="E554" s="234" t="s">
        <v>1125</v>
      </c>
      <c r="F554" s="235" t="s">
        <v>1287</v>
      </c>
      <c r="G554" s="284">
        <f>IFERROR(VLOOKUP(E554,Assign!$C$2:$J$142,8,FALSE),)</f>
        <v>0</v>
      </c>
      <c r="H554" s="361" t="s">
        <v>4773</v>
      </c>
      <c r="I554" s="363">
        <v>1</v>
      </c>
      <c r="J554" s="364" t="s">
        <v>208</v>
      </c>
      <c r="K554" s="364" t="s">
        <v>234</v>
      </c>
      <c r="L554" s="365" t="s">
        <v>2305</v>
      </c>
      <c r="M554" s="362" t="s">
        <v>2306</v>
      </c>
      <c r="N554" s="421" t="s">
        <v>207</v>
      </c>
      <c r="O554" s="269">
        <v>36.941000000000003</v>
      </c>
      <c r="P554" s="269">
        <v>59.88</v>
      </c>
      <c r="Q554" s="426"/>
      <c r="R554" s="418" t="s">
        <v>1125</v>
      </c>
      <c r="S554" s="427" t="s">
        <v>613</v>
      </c>
      <c r="T554" s="357">
        <v>1</v>
      </c>
      <c r="U554" s="357" t="s">
        <v>204</v>
      </c>
      <c r="V554" s="367">
        <v>134400000</v>
      </c>
      <c r="W554" s="368">
        <v>134400000</v>
      </c>
      <c r="X554" s="357"/>
      <c r="Y554" s="357"/>
      <c r="Z554" s="400"/>
      <c r="AA554" s="369"/>
      <c r="AB554" s="370"/>
      <c r="AC554" s="404"/>
      <c r="AD554" s="270"/>
      <c r="AE554" s="156"/>
      <c r="AF554" s="156"/>
      <c r="AG554" s="357"/>
      <c r="AH554" s="357"/>
      <c r="AI554" s="357"/>
      <c r="AJ554" s="156"/>
      <c r="AK554" s="156"/>
      <c r="AL554" s="375"/>
      <c r="AM554" s="405"/>
      <c r="AN554" s="273"/>
      <c r="AO554" s="405"/>
      <c r="AP554" s="273"/>
      <c r="AQ554" s="273"/>
      <c r="AR554" s="273"/>
      <c r="AS554" s="273"/>
      <c r="AT554" s="273"/>
      <c r="AU554" s="273"/>
      <c r="AV554" s="322">
        <f t="shared" si="26"/>
        <v>0</v>
      </c>
      <c r="AW554" s="402" t="s">
        <v>3387</v>
      </c>
      <c r="AX554" s="376">
        <v>45765</v>
      </c>
      <c r="AY554" s="373" t="s">
        <v>3388</v>
      </c>
      <c r="AZ554" s="375"/>
      <c r="BA554" s="375">
        <v>250000000</v>
      </c>
      <c r="BB554" s="375"/>
      <c r="BC554" s="375"/>
      <c r="BD554" s="353">
        <f t="shared" si="27"/>
        <v>250000000</v>
      </c>
      <c r="BE554" s="432" t="s">
        <v>355</v>
      </c>
      <c r="BF554" s="407" t="s">
        <v>504</v>
      </c>
      <c r="BG554" s="168"/>
      <c r="BH554" s="274"/>
      <c r="BI554" s="168"/>
      <c r="BJ554" s="274"/>
      <c r="BK554" s="168"/>
      <c r="BL554" s="275"/>
      <c r="BM554" s="276"/>
      <c r="BN554" s="275"/>
      <c r="BO554" s="276"/>
      <c r="BP554" s="277"/>
      <c r="BQ554" s="156"/>
      <c r="BR554" s="274"/>
      <c r="BS554" s="270"/>
      <c r="BT554" s="270"/>
      <c r="BU554" s="274"/>
      <c r="BV554" s="274"/>
      <c r="BW554" s="278"/>
      <c r="BX554" s="278"/>
      <c r="BY554" s="278"/>
      <c r="BZ554" s="351"/>
    </row>
    <row r="555" spans="1:78" s="90" customFormat="1" ht="19.5" hidden="1" customHeight="1">
      <c r="A555" s="137"/>
      <c r="B555" s="197">
        <f t="shared" si="25"/>
        <v>545</v>
      </c>
      <c r="C555" s="30" t="s">
        <v>202</v>
      </c>
      <c r="D555" s="30" t="s">
        <v>225</v>
      </c>
      <c r="E555" s="234" t="s">
        <v>1126</v>
      </c>
      <c r="F555" s="235" t="s">
        <v>1265</v>
      </c>
      <c r="G555" s="284" t="str">
        <f>IFERROR(VLOOKUP(E555,Assign!$C$2:$J$142,8,FALSE),)</f>
        <v>문선영</v>
      </c>
      <c r="H555" s="361" t="s">
        <v>4132</v>
      </c>
      <c r="I555" s="363">
        <v>1</v>
      </c>
      <c r="J555" s="364" t="s">
        <v>211</v>
      </c>
      <c r="K555" s="364" t="s">
        <v>329</v>
      </c>
      <c r="L555" s="365" t="s">
        <v>1708</v>
      </c>
      <c r="M555" s="362" t="s">
        <v>1709</v>
      </c>
      <c r="N555" s="421" t="s">
        <v>207</v>
      </c>
      <c r="O555" s="269">
        <v>36.200000000000003</v>
      </c>
      <c r="P555" s="269">
        <v>59.840400000000002</v>
      </c>
      <c r="Q555" s="426"/>
      <c r="R555" s="418" t="s">
        <v>1126</v>
      </c>
      <c r="S555" s="427" t="s">
        <v>613</v>
      </c>
      <c r="T555" s="357">
        <v>1</v>
      </c>
      <c r="U555" s="357" t="s">
        <v>204</v>
      </c>
      <c r="V555" s="367">
        <v>104400000</v>
      </c>
      <c r="W555" s="368">
        <v>104400000</v>
      </c>
      <c r="X555" s="357"/>
      <c r="Y555" s="357"/>
      <c r="Z555" s="400"/>
      <c r="AA555" s="369"/>
      <c r="AB555" s="370"/>
      <c r="AC555" s="404"/>
      <c r="AD555" s="270"/>
      <c r="AE555" s="156"/>
      <c r="AF555" s="156"/>
      <c r="AG555" s="357"/>
      <c r="AH555" s="357"/>
      <c r="AI555" s="357"/>
      <c r="AJ555" s="156"/>
      <c r="AK555" s="156"/>
      <c r="AL555" s="375"/>
      <c r="AM555" s="405"/>
      <c r="AN555" s="273"/>
      <c r="AO555" s="405"/>
      <c r="AP555" s="273"/>
      <c r="AQ555" s="273"/>
      <c r="AR555" s="273"/>
      <c r="AS555" s="273"/>
      <c r="AT555" s="273"/>
      <c r="AU555" s="273"/>
      <c r="AV555" s="322">
        <f t="shared" si="26"/>
        <v>0</v>
      </c>
      <c r="AW555" s="402" t="s">
        <v>3387</v>
      </c>
      <c r="AX555" s="376">
        <v>45765</v>
      </c>
      <c r="AY555" s="373" t="s">
        <v>3388</v>
      </c>
      <c r="AZ555" s="375"/>
      <c r="BA555" s="375">
        <v>122500000</v>
      </c>
      <c r="BB555" s="375"/>
      <c r="BC555" s="375"/>
      <c r="BD555" s="353">
        <f t="shared" si="27"/>
        <v>122500000</v>
      </c>
      <c r="BE555" s="432" t="s">
        <v>355</v>
      </c>
      <c r="BF555" s="407" t="s">
        <v>527</v>
      </c>
      <c r="BG555" s="168"/>
      <c r="BH555" s="274"/>
      <c r="BI555" s="168"/>
      <c r="BJ555" s="274"/>
      <c r="BK555" s="168"/>
      <c r="BL555" s="275"/>
      <c r="BM555" s="276"/>
      <c r="BN555" s="275"/>
      <c r="BO555" s="276"/>
      <c r="BP555" s="277"/>
      <c r="BQ555" s="156"/>
      <c r="BR555" s="274"/>
      <c r="BS555" s="270"/>
      <c r="BT555" s="270"/>
      <c r="BU555" s="274"/>
      <c r="BV555" s="274"/>
      <c r="BW555" s="278"/>
      <c r="BX555" s="278"/>
      <c r="BY555" s="278"/>
      <c r="BZ555" s="351"/>
    </row>
    <row r="556" spans="1:78" s="90" customFormat="1" ht="19.5" hidden="1" customHeight="1">
      <c r="A556" s="137"/>
      <c r="B556" s="197">
        <f t="shared" si="25"/>
        <v>546</v>
      </c>
      <c r="C556" s="30" t="s">
        <v>202</v>
      </c>
      <c r="D556" s="30" t="s">
        <v>225</v>
      </c>
      <c r="E556" s="234" t="s">
        <v>1127</v>
      </c>
      <c r="F556" s="235" t="s">
        <v>1224</v>
      </c>
      <c r="G556" s="284">
        <f>IFERROR(VLOOKUP(E556,Assign!$C$2:$J$142,8,FALSE),)</f>
        <v>0</v>
      </c>
      <c r="H556" s="361" t="s">
        <v>4650</v>
      </c>
      <c r="I556" s="363">
        <v>1</v>
      </c>
      <c r="J556" s="364" t="s">
        <v>212</v>
      </c>
      <c r="K556" s="364" t="s">
        <v>232</v>
      </c>
      <c r="L556" s="365" t="s">
        <v>367</v>
      </c>
      <c r="M556" s="362" t="s">
        <v>2183</v>
      </c>
      <c r="N556" s="421" t="s">
        <v>546</v>
      </c>
      <c r="O556" s="269">
        <v>7.59</v>
      </c>
      <c r="P556" s="269">
        <v>25.58</v>
      </c>
      <c r="Q556" s="426"/>
      <c r="R556" s="418" t="s">
        <v>1127</v>
      </c>
      <c r="S556" s="427" t="s">
        <v>613</v>
      </c>
      <c r="T556" s="357">
        <v>1</v>
      </c>
      <c r="U556" s="357" t="s">
        <v>204</v>
      </c>
      <c r="V556" s="367">
        <v>103200000</v>
      </c>
      <c r="W556" s="368">
        <v>103200000</v>
      </c>
      <c r="X556" s="357"/>
      <c r="Y556" s="357"/>
      <c r="Z556" s="400"/>
      <c r="AA556" s="369"/>
      <c r="AB556" s="370"/>
      <c r="AC556" s="404"/>
      <c r="AD556" s="270"/>
      <c r="AE556" s="156"/>
      <c r="AF556" s="156"/>
      <c r="AG556" s="357"/>
      <c r="AH556" s="357"/>
      <c r="AI556" s="357"/>
      <c r="AJ556" s="156"/>
      <c r="AK556" s="156"/>
      <c r="AL556" s="375"/>
      <c r="AM556" s="405"/>
      <c r="AN556" s="273"/>
      <c r="AO556" s="405"/>
      <c r="AP556" s="273"/>
      <c r="AQ556" s="273"/>
      <c r="AR556" s="273"/>
      <c r="AS556" s="273"/>
      <c r="AT556" s="273"/>
      <c r="AU556" s="273"/>
      <c r="AV556" s="322">
        <f t="shared" si="26"/>
        <v>0</v>
      </c>
      <c r="AW556" s="402"/>
      <c r="AX556" s="376"/>
      <c r="AY556" s="373"/>
      <c r="AZ556" s="375"/>
      <c r="BA556" s="375"/>
      <c r="BB556" s="375"/>
      <c r="BC556" s="375"/>
      <c r="BD556" s="353">
        <f t="shared" si="27"/>
        <v>0</v>
      </c>
      <c r="BE556" s="432" t="s">
        <v>355</v>
      </c>
      <c r="BF556" s="407" t="s">
        <v>496</v>
      </c>
      <c r="BG556" s="168"/>
      <c r="BH556" s="274"/>
      <c r="BI556" s="168"/>
      <c r="BJ556" s="274"/>
      <c r="BK556" s="168"/>
      <c r="BL556" s="275"/>
      <c r="BM556" s="276"/>
      <c r="BN556" s="275"/>
      <c r="BO556" s="276"/>
      <c r="BP556" s="277"/>
      <c r="BQ556" s="156"/>
      <c r="BR556" s="274"/>
      <c r="BS556" s="270"/>
      <c r="BT556" s="270"/>
      <c r="BU556" s="274"/>
      <c r="BV556" s="274"/>
      <c r="BW556" s="278"/>
      <c r="BX556" s="278"/>
      <c r="BY556" s="278"/>
      <c r="BZ556" s="351"/>
    </row>
    <row r="557" spans="1:78" s="90" customFormat="1" ht="19.5" hidden="1" customHeight="1">
      <c r="A557" s="137"/>
      <c r="B557" s="197">
        <f t="shared" si="25"/>
        <v>547</v>
      </c>
      <c r="C557" s="30" t="s">
        <v>202</v>
      </c>
      <c r="D557" s="30" t="s">
        <v>225</v>
      </c>
      <c r="E557" s="234" t="s">
        <v>1128</v>
      </c>
      <c r="F557" s="235" t="s">
        <v>1225</v>
      </c>
      <c r="G557" s="284">
        <f>IFERROR(VLOOKUP(E557,Assign!$C$2:$J$142,8,FALSE),)</f>
        <v>0</v>
      </c>
      <c r="H557" s="361" t="s">
        <v>4901</v>
      </c>
      <c r="I557" s="363">
        <v>1</v>
      </c>
      <c r="J557" s="364" t="s">
        <v>208</v>
      </c>
      <c r="K557" s="364" t="s">
        <v>385</v>
      </c>
      <c r="L557" s="365" t="s">
        <v>2420</v>
      </c>
      <c r="M557" s="362" t="s">
        <v>2421</v>
      </c>
      <c r="N557" s="421" t="s">
        <v>606</v>
      </c>
      <c r="O557" s="269">
        <v>41.844999999999999</v>
      </c>
      <c r="P557" s="269">
        <v>42.49</v>
      </c>
      <c r="Q557" s="426"/>
      <c r="R557" s="418" t="s">
        <v>1128</v>
      </c>
      <c r="S557" s="427" t="s">
        <v>613</v>
      </c>
      <c r="T557" s="357">
        <v>1</v>
      </c>
      <c r="U557" s="357" t="s">
        <v>204</v>
      </c>
      <c r="V557" s="367">
        <v>132000000</v>
      </c>
      <c r="W557" s="368">
        <v>132000000</v>
      </c>
      <c r="X557" s="357"/>
      <c r="Y557" s="357"/>
      <c r="Z557" s="400"/>
      <c r="AA557" s="369"/>
      <c r="AB557" s="370"/>
      <c r="AC557" s="404"/>
      <c r="AD557" s="270"/>
      <c r="AE557" s="156"/>
      <c r="AF557" s="156"/>
      <c r="AG557" s="357"/>
      <c r="AH557" s="357"/>
      <c r="AI557" s="357"/>
      <c r="AJ557" s="156"/>
      <c r="AK557" s="156"/>
      <c r="AL557" s="375"/>
      <c r="AM557" s="405"/>
      <c r="AN557" s="273"/>
      <c r="AO557" s="405"/>
      <c r="AP557" s="273"/>
      <c r="AQ557" s="273"/>
      <c r="AR557" s="273"/>
      <c r="AS557" s="273"/>
      <c r="AT557" s="273"/>
      <c r="AU557" s="273"/>
      <c r="AV557" s="322">
        <f t="shared" si="26"/>
        <v>0</v>
      </c>
      <c r="AW557" s="402"/>
      <c r="AX557" s="376"/>
      <c r="AY557" s="373"/>
      <c r="AZ557" s="375"/>
      <c r="BA557" s="375"/>
      <c r="BB557" s="375"/>
      <c r="BC557" s="375"/>
      <c r="BD557" s="353">
        <f t="shared" si="27"/>
        <v>0</v>
      </c>
      <c r="BE557" s="432" t="s">
        <v>355</v>
      </c>
      <c r="BF557" s="407" t="s">
        <v>424</v>
      </c>
      <c r="BG557" s="168"/>
      <c r="BH557" s="274"/>
      <c r="BI557" s="168"/>
      <c r="BJ557" s="274"/>
      <c r="BK557" s="168"/>
      <c r="BL557" s="275"/>
      <c r="BM557" s="276"/>
      <c r="BN557" s="275"/>
      <c r="BO557" s="276"/>
      <c r="BP557" s="277"/>
      <c r="BQ557" s="156"/>
      <c r="BR557" s="274"/>
      <c r="BS557" s="270"/>
      <c r="BT557" s="270"/>
      <c r="BU557" s="274"/>
      <c r="BV557" s="274"/>
      <c r="BW557" s="278"/>
      <c r="BX557" s="278"/>
      <c r="BY557" s="278"/>
      <c r="BZ557" s="351"/>
    </row>
    <row r="558" spans="1:78" s="90" customFormat="1" ht="19.5" hidden="1" customHeight="1">
      <c r="A558" s="137"/>
      <c r="B558" s="197">
        <f t="shared" si="25"/>
        <v>548</v>
      </c>
      <c r="C558" s="30" t="s">
        <v>202</v>
      </c>
      <c r="D558" s="30" t="s">
        <v>225</v>
      </c>
      <c r="E558" s="234" t="s">
        <v>1129</v>
      </c>
      <c r="F558" s="235" t="s">
        <v>1218</v>
      </c>
      <c r="G558" s="284">
        <f>IFERROR(VLOOKUP(E558,Assign!$C$2:$J$142,8,FALSE),)</f>
        <v>0</v>
      </c>
      <c r="H558" s="361" t="s">
        <v>4108</v>
      </c>
      <c r="I558" s="363">
        <v>1</v>
      </c>
      <c r="J558" s="364" t="s">
        <v>212</v>
      </c>
      <c r="K558" s="364" t="s">
        <v>300</v>
      </c>
      <c r="L558" s="365" t="s">
        <v>1684</v>
      </c>
      <c r="M558" s="362" t="s">
        <v>1685</v>
      </c>
      <c r="N558" s="421" t="s">
        <v>606</v>
      </c>
      <c r="O558" s="269">
        <v>27.33</v>
      </c>
      <c r="P558" s="269">
        <v>33.6</v>
      </c>
      <c r="Q558" s="426"/>
      <c r="R558" s="418" t="s">
        <v>1129</v>
      </c>
      <c r="S558" s="427" t="s">
        <v>613</v>
      </c>
      <c r="T558" s="357">
        <v>1</v>
      </c>
      <c r="U558" s="357" t="s">
        <v>204</v>
      </c>
      <c r="V558" s="367">
        <v>120000000</v>
      </c>
      <c r="W558" s="368">
        <v>120000000</v>
      </c>
      <c r="X558" s="357"/>
      <c r="Y558" s="357"/>
      <c r="Z558" s="400"/>
      <c r="AA558" s="369"/>
      <c r="AB558" s="370"/>
      <c r="AC558" s="404"/>
      <c r="AD558" s="270"/>
      <c r="AE558" s="156"/>
      <c r="AF558" s="156"/>
      <c r="AG558" s="357"/>
      <c r="AH558" s="357"/>
      <c r="AI558" s="357"/>
      <c r="AJ558" s="156"/>
      <c r="AK558" s="156"/>
      <c r="AL558" s="375"/>
      <c r="AM558" s="405"/>
      <c r="AN558" s="273"/>
      <c r="AO558" s="405"/>
      <c r="AP558" s="273"/>
      <c r="AQ558" s="273"/>
      <c r="AR558" s="273"/>
      <c r="AS558" s="273"/>
      <c r="AT558" s="273"/>
      <c r="AU558" s="273"/>
      <c r="AV558" s="322">
        <f t="shared" si="26"/>
        <v>0</v>
      </c>
      <c r="AW558" s="402"/>
      <c r="AX558" s="376"/>
      <c r="AY558" s="373"/>
      <c r="AZ558" s="375"/>
      <c r="BA558" s="375"/>
      <c r="BB558" s="375"/>
      <c r="BC558" s="375"/>
      <c r="BD558" s="353">
        <f t="shared" si="27"/>
        <v>0</v>
      </c>
      <c r="BE558" s="432" t="s">
        <v>355</v>
      </c>
      <c r="BF558" s="407" t="s">
        <v>496</v>
      </c>
      <c r="BG558" s="168"/>
      <c r="BH558" s="274"/>
      <c r="BI558" s="168"/>
      <c r="BJ558" s="274"/>
      <c r="BK558" s="168"/>
      <c r="BL558" s="275"/>
      <c r="BM558" s="276"/>
      <c r="BN558" s="275"/>
      <c r="BO558" s="276"/>
      <c r="BP558" s="277"/>
      <c r="BQ558" s="156"/>
      <c r="BR558" s="274"/>
      <c r="BS558" s="270"/>
      <c r="BT558" s="270"/>
      <c r="BU558" s="274"/>
      <c r="BV558" s="274"/>
      <c r="BW558" s="278"/>
      <c r="BX558" s="278"/>
      <c r="BY558" s="278"/>
      <c r="BZ558" s="351"/>
    </row>
    <row r="559" spans="1:78" s="90" customFormat="1" ht="19.5" hidden="1" customHeight="1">
      <c r="A559" s="137"/>
      <c r="B559" s="197">
        <f t="shared" si="25"/>
        <v>549</v>
      </c>
      <c r="C559" s="30" t="s">
        <v>202</v>
      </c>
      <c r="D559" s="30" t="s">
        <v>225</v>
      </c>
      <c r="E559" s="234" t="s">
        <v>1130</v>
      </c>
      <c r="F559" s="235" t="s">
        <v>1217</v>
      </c>
      <c r="G559" s="284" t="str">
        <f>IFERROR(VLOOKUP(E559,Assign!$C$2:$J$142,8,FALSE),)</f>
        <v>문선영</v>
      </c>
      <c r="H559" s="361" t="s">
        <v>4801</v>
      </c>
      <c r="I559" s="363">
        <v>1</v>
      </c>
      <c r="J559" s="364" t="s">
        <v>208</v>
      </c>
      <c r="K559" s="364" t="s">
        <v>228</v>
      </c>
      <c r="L559" s="365" t="s">
        <v>374</v>
      </c>
      <c r="M559" s="362" t="s">
        <v>2330</v>
      </c>
      <c r="N559" s="421" t="s">
        <v>207</v>
      </c>
      <c r="O559" s="269">
        <v>52.705800000000004</v>
      </c>
      <c r="P559" s="269">
        <v>84.2119</v>
      </c>
      <c r="Q559" s="426"/>
      <c r="R559" s="418" t="s">
        <v>1130</v>
      </c>
      <c r="S559" s="427" t="s">
        <v>613</v>
      </c>
      <c r="T559" s="357">
        <v>1</v>
      </c>
      <c r="U559" s="357" t="s">
        <v>204</v>
      </c>
      <c r="V559" s="367">
        <v>108000000</v>
      </c>
      <c r="W559" s="368">
        <v>108000000</v>
      </c>
      <c r="X559" s="357"/>
      <c r="Y559" s="357"/>
      <c r="Z559" s="400"/>
      <c r="AA559" s="369"/>
      <c r="AB559" s="370"/>
      <c r="AC559" s="404"/>
      <c r="AD559" s="270"/>
      <c r="AE559" s="156"/>
      <c r="AF559" s="156"/>
      <c r="AG559" s="357"/>
      <c r="AH559" s="357"/>
      <c r="AI559" s="357"/>
      <c r="AJ559" s="156"/>
      <c r="AK559" s="156"/>
      <c r="AL559" s="375"/>
      <c r="AM559" s="405"/>
      <c r="AN559" s="273"/>
      <c r="AO559" s="405"/>
      <c r="AP559" s="273"/>
      <c r="AQ559" s="273"/>
      <c r="AR559" s="273"/>
      <c r="AS559" s="273"/>
      <c r="AT559" s="273"/>
      <c r="AU559" s="273"/>
      <c r="AV559" s="322">
        <f t="shared" si="26"/>
        <v>0</v>
      </c>
      <c r="AW559" s="402" t="s">
        <v>3387</v>
      </c>
      <c r="AX559" s="376">
        <v>45765</v>
      </c>
      <c r="AY559" s="373" t="s">
        <v>3388</v>
      </c>
      <c r="AZ559" s="375"/>
      <c r="BA559" s="375">
        <v>385000000</v>
      </c>
      <c r="BB559" s="375"/>
      <c r="BC559" s="375"/>
      <c r="BD559" s="353">
        <f t="shared" si="27"/>
        <v>385000000</v>
      </c>
      <c r="BE559" s="432" t="s">
        <v>355</v>
      </c>
      <c r="BF559" s="407" t="s">
        <v>424</v>
      </c>
      <c r="BG559" s="168"/>
      <c r="BH559" s="274"/>
      <c r="BI559" s="168"/>
      <c r="BJ559" s="274"/>
      <c r="BK559" s="168"/>
      <c r="BL559" s="275"/>
      <c r="BM559" s="276"/>
      <c r="BN559" s="275"/>
      <c r="BO559" s="276"/>
      <c r="BP559" s="277"/>
      <c r="BQ559" s="156"/>
      <c r="BR559" s="274"/>
      <c r="BS559" s="270"/>
      <c r="BT559" s="270"/>
      <c r="BU559" s="274"/>
      <c r="BV559" s="274"/>
      <c r="BW559" s="278"/>
      <c r="BX559" s="278"/>
      <c r="BY559" s="278"/>
      <c r="BZ559" s="351"/>
    </row>
    <row r="560" spans="1:78" s="90" customFormat="1" ht="19.5" hidden="1" customHeight="1">
      <c r="A560" s="137"/>
      <c r="B560" s="197">
        <f t="shared" si="25"/>
        <v>550</v>
      </c>
      <c r="C560" s="30" t="s">
        <v>202</v>
      </c>
      <c r="D560" s="30" t="s">
        <v>225</v>
      </c>
      <c r="E560" s="234" t="s">
        <v>1131</v>
      </c>
      <c r="F560" s="235" t="s">
        <v>1223</v>
      </c>
      <c r="G560" s="284" t="str">
        <f>IFERROR(VLOOKUP(E560,Assign!$C$2:$J$142,8,FALSE),)</f>
        <v>문선영</v>
      </c>
      <c r="H560" s="361" t="s">
        <v>4272</v>
      </c>
      <c r="I560" s="363">
        <v>1</v>
      </c>
      <c r="J560" s="364" t="s">
        <v>213</v>
      </c>
      <c r="K560" s="364" t="s">
        <v>1840</v>
      </c>
      <c r="L560" s="365" t="s">
        <v>1841</v>
      </c>
      <c r="M560" s="362" t="s">
        <v>1842</v>
      </c>
      <c r="N560" s="421" t="s">
        <v>3078</v>
      </c>
      <c r="O560" s="269">
        <v>12.05</v>
      </c>
      <c r="P560" s="269">
        <v>75.099999999999994</v>
      </c>
      <c r="Q560" s="426"/>
      <c r="R560" s="418" t="s">
        <v>1131</v>
      </c>
      <c r="S560" s="427" t="s">
        <v>613</v>
      </c>
      <c r="T560" s="357">
        <v>1</v>
      </c>
      <c r="U560" s="357" t="s">
        <v>204</v>
      </c>
      <c r="V560" s="367">
        <v>151200000</v>
      </c>
      <c r="W560" s="368">
        <v>151200000</v>
      </c>
      <c r="X560" s="357"/>
      <c r="Y560" s="357"/>
      <c r="Z560" s="400"/>
      <c r="AA560" s="369"/>
      <c r="AB560" s="370"/>
      <c r="AC560" s="404"/>
      <c r="AD560" s="270"/>
      <c r="AE560" s="156"/>
      <c r="AF560" s="156"/>
      <c r="AG560" s="357"/>
      <c r="AH560" s="357"/>
      <c r="AI560" s="357"/>
      <c r="AJ560" s="156"/>
      <c r="AK560" s="156"/>
      <c r="AL560" s="375"/>
      <c r="AM560" s="405"/>
      <c r="AN560" s="273"/>
      <c r="AO560" s="405"/>
      <c r="AP560" s="273"/>
      <c r="AQ560" s="273"/>
      <c r="AR560" s="273"/>
      <c r="AS560" s="273"/>
      <c r="AT560" s="273"/>
      <c r="AU560" s="273"/>
      <c r="AV560" s="322">
        <f t="shared" si="26"/>
        <v>0</v>
      </c>
      <c r="AW560" s="402"/>
      <c r="AX560" s="376"/>
      <c r="AY560" s="373"/>
      <c r="AZ560" s="375"/>
      <c r="BA560" s="375"/>
      <c r="BB560" s="375"/>
      <c r="BC560" s="375"/>
      <c r="BD560" s="353">
        <f t="shared" si="27"/>
        <v>0</v>
      </c>
      <c r="BE560" s="432" t="s">
        <v>355</v>
      </c>
      <c r="BF560" s="407" t="s">
        <v>524</v>
      </c>
      <c r="BG560" s="168"/>
      <c r="BH560" s="274"/>
      <c r="BI560" s="168"/>
      <c r="BJ560" s="274"/>
      <c r="BK560" s="168"/>
      <c r="BL560" s="275"/>
      <c r="BM560" s="276"/>
      <c r="BN560" s="275"/>
      <c r="BO560" s="276"/>
      <c r="BP560" s="277"/>
      <c r="BQ560" s="156"/>
      <c r="BR560" s="274"/>
      <c r="BS560" s="270"/>
      <c r="BT560" s="270"/>
      <c r="BU560" s="274"/>
      <c r="BV560" s="274"/>
      <c r="BW560" s="278"/>
      <c r="BX560" s="278"/>
      <c r="BY560" s="278"/>
      <c r="BZ560" s="351"/>
    </row>
    <row r="561" spans="1:78" s="90" customFormat="1" ht="19.5" hidden="1" customHeight="1">
      <c r="A561" s="137"/>
      <c r="B561" s="197">
        <f t="shared" si="25"/>
        <v>551</v>
      </c>
      <c r="C561" s="30" t="s">
        <v>202</v>
      </c>
      <c r="D561" s="30" t="s">
        <v>225</v>
      </c>
      <c r="E561" s="234" t="s">
        <v>1132</v>
      </c>
      <c r="F561" s="235" t="s">
        <v>1217</v>
      </c>
      <c r="G561" s="284">
        <f>IFERROR(VLOOKUP(E561,Assign!$C$2:$J$142,8,FALSE),)</f>
        <v>0</v>
      </c>
      <c r="H561" s="361" t="s">
        <v>4258</v>
      </c>
      <c r="I561" s="363">
        <v>1</v>
      </c>
      <c r="J561" s="364" t="s">
        <v>214</v>
      </c>
      <c r="K561" s="364" t="s">
        <v>1673</v>
      </c>
      <c r="L561" s="365" t="s">
        <v>1825</v>
      </c>
      <c r="M561" s="362" t="s">
        <v>1826</v>
      </c>
      <c r="N561" s="421" t="s">
        <v>3505</v>
      </c>
      <c r="O561" s="269">
        <v>6.8682999999999996</v>
      </c>
      <c r="P561" s="269">
        <v>23.4589</v>
      </c>
      <c r="Q561" s="426"/>
      <c r="R561" s="418" t="s">
        <v>1132</v>
      </c>
      <c r="S561" s="427" t="s">
        <v>613</v>
      </c>
      <c r="T561" s="357">
        <v>1</v>
      </c>
      <c r="U561" s="357" t="s">
        <v>204</v>
      </c>
      <c r="V561" s="367">
        <v>120000000</v>
      </c>
      <c r="W561" s="368">
        <v>120000000</v>
      </c>
      <c r="X561" s="357"/>
      <c r="Y561" s="357"/>
      <c r="Z561" s="400"/>
      <c r="AA561" s="369"/>
      <c r="AB561" s="370"/>
      <c r="AC561" s="404"/>
      <c r="AD561" s="270"/>
      <c r="AE561" s="156"/>
      <c r="AF561" s="156"/>
      <c r="AG561" s="357"/>
      <c r="AH561" s="357"/>
      <c r="AI561" s="357"/>
      <c r="AJ561" s="156"/>
      <c r="AK561" s="156"/>
      <c r="AL561" s="375"/>
      <c r="AM561" s="405"/>
      <c r="AN561" s="273"/>
      <c r="AO561" s="405"/>
      <c r="AP561" s="273"/>
      <c r="AQ561" s="273"/>
      <c r="AR561" s="273"/>
      <c r="AS561" s="273"/>
      <c r="AT561" s="273"/>
      <c r="AU561" s="273"/>
      <c r="AV561" s="322">
        <f t="shared" si="26"/>
        <v>0</v>
      </c>
      <c r="AW561" s="402"/>
      <c r="AX561" s="376"/>
      <c r="AY561" s="373"/>
      <c r="AZ561" s="375"/>
      <c r="BA561" s="375"/>
      <c r="BB561" s="375"/>
      <c r="BC561" s="375"/>
      <c r="BD561" s="353">
        <f t="shared" si="27"/>
        <v>0</v>
      </c>
      <c r="BE561" s="432" t="s">
        <v>355</v>
      </c>
      <c r="BF561" s="407" t="s">
        <v>507</v>
      </c>
      <c r="BG561" s="168"/>
      <c r="BH561" s="274"/>
      <c r="BI561" s="168"/>
      <c r="BJ561" s="274"/>
      <c r="BK561" s="168"/>
      <c r="BL561" s="275"/>
      <c r="BM561" s="276"/>
      <c r="BN561" s="275"/>
      <c r="BO561" s="276"/>
      <c r="BP561" s="277"/>
      <c r="BQ561" s="156"/>
      <c r="BR561" s="274"/>
      <c r="BS561" s="270"/>
      <c r="BT561" s="270"/>
      <c r="BU561" s="274"/>
      <c r="BV561" s="274"/>
      <c r="BW561" s="278"/>
      <c r="BX561" s="278"/>
      <c r="BY561" s="278"/>
      <c r="BZ561" s="351"/>
    </row>
    <row r="562" spans="1:78" s="90" customFormat="1" ht="19.5" hidden="1" customHeight="1">
      <c r="A562" s="137"/>
      <c r="B562" s="197">
        <f t="shared" si="25"/>
        <v>552</v>
      </c>
      <c r="C562" s="30" t="s">
        <v>202</v>
      </c>
      <c r="D562" s="30" t="s">
        <v>225</v>
      </c>
      <c r="E562" s="234" t="s">
        <v>1133</v>
      </c>
      <c r="F562" s="235" t="s">
        <v>1229</v>
      </c>
      <c r="G562" s="284">
        <f>IFERROR(VLOOKUP(E562,Assign!$C$2:$J$142,8,FALSE),)</f>
        <v>0</v>
      </c>
      <c r="H562" s="361" t="s">
        <v>4151</v>
      </c>
      <c r="I562" s="363">
        <v>1</v>
      </c>
      <c r="J562" s="364" t="s">
        <v>208</v>
      </c>
      <c r="K562" s="364" t="s">
        <v>228</v>
      </c>
      <c r="L562" s="365" t="s">
        <v>1725</v>
      </c>
      <c r="M562" s="362" t="s">
        <v>1726</v>
      </c>
      <c r="N562" s="421" t="s">
        <v>207</v>
      </c>
      <c r="O562" s="269">
        <v>52.954232258840499</v>
      </c>
      <c r="P562" s="269">
        <v>84.988399999999999</v>
      </c>
      <c r="Q562" s="426"/>
      <c r="R562" s="418" t="s">
        <v>1133</v>
      </c>
      <c r="S562" s="427" t="s">
        <v>613</v>
      </c>
      <c r="T562" s="357">
        <v>2</v>
      </c>
      <c r="U562" s="357" t="s">
        <v>204</v>
      </c>
      <c r="V562" s="367">
        <v>108000000</v>
      </c>
      <c r="W562" s="368">
        <v>108000000</v>
      </c>
      <c r="X562" s="357"/>
      <c r="Y562" s="357"/>
      <c r="Z562" s="400"/>
      <c r="AA562" s="369"/>
      <c r="AB562" s="370"/>
      <c r="AC562" s="404">
        <v>1</v>
      </c>
      <c r="AD562" s="270" t="s">
        <v>204</v>
      </c>
      <c r="AE562" s="156">
        <v>155000000</v>
      </c>
      <c r="AF562" s="156">
        <v>155000000</v>
      </c>
      <c r="AG562" s="357"/>
      <c r="AH562" s="357"/>
      <c r="AI562" s="357"/>
      <c r="AJ562" s="156"/>
      <c r="AK562" s="156"/>
      <c r="AL562" s="375"/>
      <c r="AM562" s="405"/>
      <c r="AN562" s="273"/>
      <c r="AO562" s="405"/>
      <c r="AP562" s="273"/>
      <c r="AQ562" s="273"/>
      <c r="AR562" s="273"/>
      <c r="AS562" s="273"/>
      <c r="AT562" s="273"/>
      <c r="AU562" s="273"/>
      <c r="AV562" s="322">
        <f t="shared" si="26"/>
        <v>0</v>
      </c>
      <c r="AW562" s="402" t="s">
        <v>3387</v>
      </c>
      <c r="AX562" s="376">
        <v>45765</v>
      </c>
      <c r="AY562" s="373" t="s">
        <v>3388</v>
      </c>
      <c r="AZ562" s="375"/>
      <c r="BA562" s="375">
        <v>280000000</v>
      </c>
      <c r="BB562" s="375"/>
      <c r="BC562" s="375"/>
      <c r="BD562" s="353">
        <f t="shared" si="27"/>
        <v>280000000</v>
      </c>
      <c r="BE562" s="432" t="s">
        <v>355</v>
      </c>
      <c r="BF562" s="407" t="s">
        <v>424</v>
      </c>
      <c r="BG562" s="168"/>
      <c r="BH562" s="274"/>
      <c r="BI562" s="168"/>
      <c r="BJ562" s="274"/>
      <c r="BK562" s="168"/>
      <c r="BL562" s="275"/>
      <c r="BM562" s="276"/>
      <c r="BN562" s="275"/>
      <c r="BO562" s="276"/>
      <c r="BP562" s="277"/>
      <c r="BQ562" s="156"/>
      <c r="BR562" s="274"/>
      <c r="BS562" s="270"/>
      <c r="BT562" s="270"/>
      <c r="BU562" s="274"/>
      <c r="BV562" s="274"/>
      <c r="BW562" s="278"/>
      <c r="BX562" s="278"/>
      <c r="BY562" s="278"/>
      <c r="BZ562" s="351"/>
    </row>
    <row r="563" spans="1:78" s="90" customFormat="1" ht="19.5" hidden="1" customHeight="1">
      <c r="A563" s="137"/>
      <c r="B563" s="197">
        <f t="shared" si="25"/>
        <v>553</v>
      </c>
      <c r="C563" s="30" t="s">
        <v>202</v>
      </c>
      <c r="D563" s="30" t="s">
        <v>225</v>
      </c>
      <c r="E563" s="234" t="s">
        <v>1134</v>
      </c>
      <c r="F563" s="235" t="s">
        <v>1265</v>
      </c>
      <c r="G563" s="284">
        <f>IFERROR(VLOOKUP(E563,Assign!$C$2:$J$142,8,FALSE),)</f>
        <v>0</v>
      </c>
      <c r="H563" s="361" t="s">
        <v>4474</v>
      </c>
      <c r="I563" s="363">
        <v>1</v>
      </c>
      <c r="J563" s="364" t="s">
        <v>208</v>
      </c>
      <c r="K563" s="364" t="s">
        <v>315</v>
      </c>
      <c r="L563" s="365" t="s">
        <v>2017</v>
      </c>
      <c r="M563" s="362" t="s">
        <v>2018</v>
      </c>
      <c r="N563" s="421" t="s">
        <v>3505</v>
      </c>
      <c r="O563" s="269">
        <v>8.0380000000000003</v>
      </c>
      <c r="P563" s="269">
        <v>24.03</v>
      </c>
      <c r="Q563" s="426"/>
      <c r="R563" s="418" t="s">
        <v>1134</v>
      </c>
      <c r="S563" s="427" t="s">
        <v>613</v>
      </c>
      <c r="T563" s="357">
        <v>1</v>
      </c>
      <c r="U563" s="357" t="s">
        <v>204</v>
      </c>
      <c r="V563" s="367">
        <v>93600000</v>
      </c>
      <c r="W563" s="368">
        <v>93600000</v>
      </c>
      <c r="X563" s="357"/>
      <c r="Y563" s="357"/>
      <c r="Z563" s="400"/>
      <c r="AA563" s="369"/>
      <c r="AB563" s="370"/>
      <c r="AC563" s="404"/>
      <c r="AD563" s="270"/>
      <c r="AE563" s="156"/>
      <c r="AF563" s="156"/>
      <c r="AG563" s="357"/>
      <c r="AH563" s="357"/>
      <c r="AI563" s="357"/>
      <c r="AJ563" s="156"/>
      <c r="AK563" s="156"/>
      <c r="AL563" s="375"/>
      <c r="AM563" s="405"/>
      <c r="AN563" s="273"/>
      <c r="AO563" s="405"/>
      <c r="AP563" s="273"/>
      <c r="AQ563" s="273"/>
      <c r="AR563" s="273"/>
      <c r="AS563" s="273"/>
      <c r="AT563" s="273"/>
      <c r="AU563" s="273"/>
      <c r="AV563" s="322">
        <f t="shared" si="26"/>
        <v>0</v>
      </c>
      <c r="AW563" s="402"/>
      <c r="AX563" s="376"/>
      <c r="AY563" s="373"/>
      <c r="AZ563" s="375"/>
      <c r="BA563" s="375"/>
      <c r="BB563" s="375"/>
      <c r="BC563" s="375"/>
      <c r="BD563" s="353">
        <f t="shared" si="27"/>
        <v>0</v>
      </c>
      <c r="BE563" s="432" t="s">
        <v>355</v>
      </c>
      <c r="BF563" s="407" t="s">
        <v>424</v>
      </c>
      <c r="BG563" s="168"/>
      <c r="BH563" s="274"/>
      <c r="BI563" s="168"/>
      <c r="BJ563" s="274"/>
      <c r="BK563" s="168"/>
      <c r="BL563" s="275"/>
      <c r="BM563" s="276"/>
      <c r="BN563" s="275"/>
      <c r="BO563" s="276"/>
      <c r="BP563" s="277"/>
      <c r="BQ563" s="156"/>
      <c r="BR563" s="274"/>
      <c r="BS563" s="270"/>
      <c r="BT563" s="270"/>
      <c r="BU563" s="274"/>
      <c r="BV563" s="274"/>
      <c r="BW563" s="278"/>
      <c r="BX563" s="278"/>
      <c r="BY563" s="278"/>
      <c r="BZ563" s="351"/>
    </row>
    <row r="564" spans="1:78" s="90" customFormat="1" ht="19.5" hidden="1" customHeight="1">
      <c r="A564" s="137"/>
      <c r="B564" s="197">
        <f t="shared" si="25"/>
        <v>554</v>
      </c>
      <c r="C564" s="30" t="s">
        <v>202</v>
      </c>
      <c r="D564" s="30" t="s">
        <v>225</v>
      </c>
      <c r="E564" s="234" t="s">
        <v>1135</v>
      </c>
      <c r="F564" s="235" t="s">
        <v>1232</v>
      </c>
      <c r="G564" s="284">
        <f>IFERROR(VLOOKUP(E564,Assign!$C$2:$J$142,8,FALSE),)</f>
        <v>0</v>
      </c>
      <c r="H564" s="361" t="s">
        <v>4563</v>
      </c>
      <c r="I564" s="363">
        <v>1</v>
      </c>
      <c r="J564" s="364" t="s">
        <v>209</v>
      </c>
      <c r="K564" s="364" t="s">
        <v>319</v>
      </c>
      <c r="L564" s="365" t="s">
        <v>1928</v>
      </c>
      <c r="M564" s="362" t="s">
        <v>2101</v>
      </c>
      <c r="N564" s="421" t="s">
        <v>606</v>
      </c>
      <c r="O564" s="269">
        <v>28</v>
      </c>
      <c r="P564" s="269">
        <v>59.63</v>
      </c>
      <c r="Q564" s="426"/>
      <c r="R564" s="418" t="s">
        <v>1135</v>
      </c>
      <c r="S564" s="427" t="s">
        <v>613</v>
      </c>
      <c r="T564" s="357">
        <v>1</v>
      </c>
      <c r="U564" s="357" t="s">
        <v>204</v>
      </c>
      <c r="V564" s="367">
        <v>129600000</v>
      </c>
      <c r="W564" s="368">
        <v>129600000</v>
      </c>
      <c r="X564" s="357"/>
      <c r="Y564" s="357"/>
      <c r="Z564" s="400"/>
      <c r="AA564" s="369"/>
      <c r="AB564" s="370"/>
      <c r="AC564" s="404"/>
      <c r="AD564" s="270"/>
      <c r="AE564" s="156"/>
      <c r="AF564" s="156"/>
      <c r="AG564" s="357"/>
      <c r="AH564" s="357"/>
      <c r="AI564" s="357"/>
      <c r="AJ564" s="156"/>
      <c r="AK564" s="156"/>
      <c r="AL564" s="375"/>
      <c r="AM564" s="405"/>
      <c r="AN564" s="273"/>
      <c r="AO564" s="405"/>
      <c r="AP564" s="273"/>
      <c r="AQ564" s="273"/>
      <c r="AR564" s="273"/>
      <c r="AS564" s="273"/>
      <c r="AT564" s="273"/>
      <c r="AU564" s="273"/>
      <c r="AV564" s="322">
        <f t="shared" si="26"/>
        <v>0</v>
      </c>
      <c r="AW564" s="402"/>
      <c r="AX564" s="376"/>
      <c r="AY564" s="373"/>
      <c r="AZ564" s="375"/>
      <c r="BA564" s="375"/>
      <c r="BB564" s="375"/>
      <c r="BC564" s="375"/>
      <c r="BD564" s="353">
        <f t="shared" si="27"/>
        <v>0</v>
      </c>
      <c r="BE564" s="432" t="s">
        <v>335</v>
      </c>
      <c r="BF564" s="407" t="s">
        <v>495</v>
      </c>
      <c r="BG564" s="168" t="s">
        <v>3397</v>
      </c>
      <c r="BH564" s="274">
        <v>45314</v>
      </c>
      <c r="BI564" s="168" t="s">
        <v>3233</v>
      </c>
      <c r="BJ564" s="274">
        <v>45407</v>
      </c>
      <c r="BK564" s="168">
        <v>32133469</v>
      </c>
      <c r="BL564" s="275"/>
      <c r="BM564" s="276"/>
      <c r="BN564" s="275"/>
      <c r="BO564" s="276"/>
      <c r="BP564" s="277"/>
      <c r="BQ564" s="156"/>
      <c r="BR564" s="274"/>
      <c r="BS564" s="270"/>
      <c r="BT564" s="270"/>
      <c r="BU564" s="274"/>
      <c r="BV564" s="274"/>
      <c r="BW564" s="278"/>
      <c r="BX564" s="278"/>
      <c r="BY564" s="278"/>
      <c r="BZ564" s="351"/>
    </row>
    <row r="565" spans="1:78" s="90" customFormat="1" ht="19.5" hidden="1" customHeight="1">
      <c r="A565" s="137"/>
      <c r="B565" s="197">
        <f t="shared" si="25"/>
        <v>555</v>
      </c>
      <c r="C565" s="30" t="s">
        <v>202</v>
      </c>
      <c r="D565" s="30" t="s">
        <v>225</v>
      </c>
      <c r="E565" s="234" t="s">
        <v>1136</v>
      </c>
      <c r="F565" s="235" t="s">
        <v>1239</v>
      </c>
      <c r="G565" s="284" t="str">
        <f>IFERROR(VLOOKUP(E565,Assign!$C$2:$J$142,8,FALSE),)</f>
        <v>문선영</v>
      </c>
      <c r="H565" s="361" t="s">
        <v>4467</v>
      </c>
      <c r="I565" s="363">
        <v>1</v>
      </c>
      <c r="J565" s="364" t="s">
        <v>217</v>
      </c>
      <c r="K565" s="364" t="s">
        <v>2010</v>
      </c>
      <c r="L565" s="365" t="s">
        <v>2011</v>
      </c>
      <c r="M565" s="362" t="s">
        <v>2012</v>
      </c>
      <c r="N565" s="421" t="s">
        <v>207</v>
      </c>
      <c r="O565" s="269">
        <v>40.07</v>
      </c>
      <c r="P565" s="269">
        <v>84.93</v>
      </c>
      <c r="Q565" s="426"/>
      <c r="R565" s="418" t="s">
        <v>1136</v>
      </c>
      <c r="S565" s="427" t="s">
        <v>613</v>
      </c>
      <c r="T565" s="357">
        <v>1</v>
      </c>
      <c r="U565" s="357" t="s">
        <v>204</v>
      </c>
      <c r="V565" s="367">
        <v>129600000</v>
      </c>
      <c r="W565" s="368">
        <v>129600000</v>
      </c>
      <c r="X565" s="357"/>
      <c r="Y565" s="357"/>
      <c r="Z565" s="400"/>
      <c r="AA565" s="369"/>
      <c r="AB565" s="370"/>
      <c r="AC565" s="404"/>
      <c r="AD565" s="270"/>
      <c r="AE565" s="156"/>
      <c r="AF565" s="156"/>
      <c r="AG565" s="357"/>
      <c r="AH565" s="357"/>
      <c r="AI565" s="357"/>
      <c r="AJ565" s="156"/>
      <c r="AK565" s="156"/>
      <c r="AL565" s="375"/>
      <c r="AM565" s="405"/>
      <c r="AN565" s="273"/>
      <c r="AO565" s="405"/>
      <c r="AP565" s="273"/>
      <c r="AQ565" s="273"/>
      <c r="AR565" s="273"/>
      <c r="AS565" s="273"/>
      <c r="AT565" s="273"/>
      <c r="AU565" s="273"/>
      <c r="AV565" s="322">
        <f t="shared" si="26"/>
        <v>0</v>
      </c>
      <c r="AW565" s="402" t="s">
        <v>3387</v>
      </c>
      <c r="AX565" s="376">
        <v>45765</v>
      </c>
      <c r="AY565" s="373" t="s">
        <v>3388</v>
      </c>
      <c r="AZ565" s="375"/>
      <c r="BA565" s="375">
        <v>125000000</v>
      </c>
      <c r="BB565" s="375"/>
      <c r="BC565" s="375"/>
      <c r="BD565" s="353">
        <f t="shared" si="27"/>
        <v>125000000</v>
      </c>
      <c r="BE565" s="432" t="s">
        <v>355</v>
      </c>
      <c r="BF565" s="407" t="s">
        <v>3211</v>
      </c>
      <c r="BG565" s="168"/>
      <c r="BH565" s="274"/>
      <c r="BI565" s="168"/>
      <c r="BJ565" s="274"/>
      <c r="BK565" s="168"/>
      <c r="BL565" s="275"/>
      <c r="BM565" s="276"/>
      <c r="BN565" s="275"/>
      <c r="BO565" s="276"/>
      <c r="BP565" s="277"/>
      <c r="BQ565" s="156"/>
      <c r="BR565" s="274"/>
      <c r="BS565" s="270"/>
      <c r="BT565" s="270"/>
      <c r="BU565" s="274"/>
      <c r="BV565" s="274"/>
      <c r="BW565" s="278"/>
      <c r="BX565" s="278"/>
      <c r="BY565" s="278"/>
      <c r="BZ565" s="351"/>
    </row>
    <row r="566" spans="1:78" s="90" customFormat="1" ht="19.5" hidden="1" customHeight="1">
      <c r="A566" s="137"/>
      <c r="B566" s="197">
        <f t="shared" si="25"/>
        <v>556</v>
      </c>
      <c r="C566" s="30" t="s">
        <v>202</v>
      </c>
      <c r="D566" s="30" t="s">
        <v>225</v>
      </c>
      <c r="E566" s="234" t="s">
        <v>1137</v>
      </c>
      <c r="F566" s="235" t="s">
        <v>1363</v>
      </c>
      <c r="G566" s="284" t="str">
        <f>IFERROR(VLOOKUP(E566,Assign!$C$2:$J$142,8,FALSE),)</f>
        <v>문선영</v>
      </c>
      <c r="H566" s="361" t="s">
        <v>5288</v>
      </c>
      <c r="I566" s="363">
        <v>1</v>
      </c>
      <c r="J566" s="364" t="s">
        <v>208</v>
      </c>
      <c r="K566" s="364" t="s">
        <v>1987</v>
      </c>
      <c r="L566" s="365" t="s">
        <v>2774</v>
      </c>
      <c r="M566" s="362" t="s">
        <v>2775</v>
      </c>
      <c r="N566" s="421" t="s">
        <v>207</v>
      </c>
      <c r="O566" s="269">
        <v>33.508000000000003</v>
      </c>
      <c r="P566" s="269">
        <v>35.768000000000001</v>
      </c>
      <c r="Q566" s="426"/>
      <c r="R566" s="418" t="s">
        <v>3427</v>
      </c>
      <c r="S566" s="427" t="s">
        <v>613</v>
      </c>
      <c r="T566" s="357">
        <v>1</v>
      </c>
      <c r="U566" s="357" t="s">
        <v>204</v>
      </c>
      <c r="V566" s="367">
        <v>36000000</v>
      </c>
      <c r="W566" s="368">
        <v>36000000</v>
      </c>
      <c r="X566" s="357"/>
      <c r="Y566" s="357"/>
      <c r="Z566" s="400"/>
      <c r="AA566" s="369"/>
      <c r="AB566" s="370"/>
      <c r="AC566" s="404"/>
      <c r="AD566" s="270"/>
      <c r="AE566" s="156"/>
      <c r="AF566" s="156"/>
      <c r="AG566" s="357"/>
      <c r="AH566" s="357"/>
      <c r="AI566" s="357"/>
      <c r="AJ566" s="156"/>
      <c r="AK566" s="156"/>
      <c r="AL566" s="375"/>
      <c r="AM566" s="405"/>
      <c r="AN566" s="273"/>
      <c r="AO566" s="405"/>
      <c r="AP566" s="273"/>
      <c r="AQ566" s="273"/>
      <c r="AR566" s="273"/>
      <c r="AS566" s="273"/>
      <c r="AT566" s="273"/>
      <c r="AU566" s="273"/>
      <c r="AV566" s="322">
        <f t="shared" si="26"/>
        <v>0</v>
      </c>
      <c r="AW566" s="402" t="s">
        <v>3387</v>
      </c>
      <c r="AX566" s="376">
        <v>45765</v>
      </c>
      <c r="AY566" s="373" t="s">
        <v>3388</v>
      </c>
      <c r="AZ566" s="375"/>
      <c r="BA566" s="375">
        <v>60000000</v>
      </c>
      <c r="BB566" s="375"/>
      <c r="BC566" s="375"/>
      <c r="BD566" s="353">
        <f t="shared" si="27"/>
        <v>60000000</v>
      </c>
      <c r="BE566" s="432" t="s">
        <v>355</v>
      </c>
      <c r="BF566" s="407" t="s">
        <v>525</v>
      </c>
      <c r="BG566" s="168"/>
      <c r="BH566" s="274"/>
      <c r="BI566" s="168"/>
      <c r="BJ566" s="274"/>
      <c r="BK566" s="168"/>
      <c r="BL566" s="275"/>
      <c r="BM566" s="276"/>
      <c r="BN566" s="275"/>
      <c r="BO566" s="276"/>
      <c r="BP566" s="277"/>
      <c r="BQ566" s="156"/>
      <c r="BR566" s="274"/>
      <c r="BS566" s="270"/>
      <c r="BT566" s="270"/>
      <c r="BU566" s="274"/>
      <c r="BV566" s="274"/>
      <c r="BW566" s="278"/>
      <c r="BX566" s="278"/>
      <c r="BY566" s="278"/>
      <c r="BZ566" s="351"/>
    </row>
    <row r="567" spans="1:78" s="90" customFormat="1" ht="19.5" hidden="1" customHeight="1">
      <c r="A567" s="137"/>
      <c r="B567" s="197">
        <f t="shared" si="25"/>
        <v>557</v>
      </c>
      <c r="C567" s="30" t="s">
        <v>202</v>
      </c>
      <c r="D567" s="30" t="s">
        <v>225</v>
      </c>
      <c r="E567" s="234" t="s">
        <v>1137</v>
      </c>
      <c r="F567" s="235" t="s">
        <v>1363</v>
      </c>
      <c r="G567" s="284" t="str">
        <f>IFERROR(VLOOKUP(E567,Assign!$C$2:$J$142,8,FALSE),)</f>
        <v>문선영</v>
      </c>
      <c r="H567" s="361" t="s">
        <v>5290</v>
      </c>
      <c r="I567" s="363">
        <v>2</v>
      </c>
      <c r="J567" s="364" t="s">
        <v>208</v>
      </c>
      <c r="K567" s="364" t="s">
        <v>1987</v>
      </c>
      <c r="L567" s="365" t="s">
        <v>2774</v>
      </c>
      <c r="M567" s="362" t="s">
        <v>2776</v>
      </c>
      <c r="N567" s="421" t="s">
        <v>207</v>
      </c>
      <c r="O567" s="269">
        <v>33.508000000000003</v>
      </c>
      <c r="P567" s="269">
        <v>35.768000000000001</v>
      </c>
      <c r="Q567" s="426"/>
      <c r="R567" s="418" t="s">
        <v>3427</v>
      </c>
      <c r="S567" s="427" t="s">
        <v>613</v>
      </c>
      <c r="T567" s="357">
        <v>1</v>
      </c>
      <c r="U567" s="357" t="s">
        <v>204</v>
      </c>
      <c r="V567" s="367">
        <v>36000000</v>
      </c>
      <c r="W567" s="368">
        <v>36000000</v>
      </c>
      <c r="X567" s="357"/>
      <c r="Y567" s="357"/>
      <c r="Z567" s="400"/>
      <c r="AA567" s="369"/>
      <c r="AB567" s="370"/>
      <c r="AC567" s="404"/>
      <c r="AD567" s="270"/>
      <c r="AE567" s="156"/>
      <c r="AF567" s="156"/>
      <c r="AG567" s="357"/>
      <c r="AH567" s="357"/>
      <c r="AI567" s="357"/>
      <c r="AJ567" s="156"/>
      <c r="AK567" s="156"/>
      <c r="AL567" s="375"/>
      <c r="AM567" s="405"/>
      <c r="AN567" s="273"/>
      <c r="AO567" s="405"/>
      <c r="AP567" s="273"/>
      <c r="AQ567" s="273"/>
      <c r="AR567" s="273"/>
      <c r="AS567" s="273"/>
      <c r="AT567" s="273"/>
      <c r="AU567" s="273"/>
      <c r="AV567" s="322">
        <f t="shared" si="26"/>
        <v>0</v>
      </c>
      <c r="AW567" s="402" t="s">
        <v>3387</v>
      </c>
      <c r="AX567" s="376">
        <v>45765</v>
      </c>
      <c r="AY567" s="373" t="s">
        <v>3388</v>
      </c>
      <c r="AZ567" s="375"/>
      <c r="BA567" s="375">
        <v>60000000</v>
      </c>
      <c r="BB567" s="375"/>
      <c r="BC567" s="375"/>
      <c r="BD567" s="353">
        <f t="shared" si="27"/>
        <v>60000000</v>
      </c>
      <c r="BE567" s="432" t="s">
        <v>355</v>
      </c>
      <c r="BF567" s="407" t="s">
        <v>525</v>
      </c>
      <c r="BG567" s="168"/>
      <c r="BH567" s="274"/>
      <c r="BI567" s="168"/>
      <c r="BJ567" s="274"/>
      <c r="BK567" s="168"/>
      <c r="BL567" s="275"/>
      <c r="BM567" s="276"/>
      <c r="BN567" s="275"/>
      <c r="BO567" s="276"/>
      <c r="BP567" s="277"/>
      <c r="BQ567" s="156"/>
      <c r="BR567" s="274"/>
      <c r="BS567" s="270"/>
      <c r="BT567" s="270"/>
      <c r="BU567" s="274"/>
      <c r="BV567" s="274"/>
      <c r="BW567" s="278"/>
      <c r="BX567" s="278"/>
      <c r="BY567" s="278"/>
      <c r="BZ567" s="351"/>
    </row>
    <row r="568" spans="1:78" s="90" customFormat="1" ht="19.5" hidden="1" customHeight="1">
      <c r="A568" s="137"/>
      <c r="B568" s="197">
        <f t="shared" si="25"/>
        <v>558</v>
      </c>
      <c r="C568" s="30" t="s">
        <v>202</v>
      </c>
      <c r="D568" s="30" t="s">
        <v>225</v>
      </c>
      <c r="E568" s="234" t="s">
        <v>1137</v>
      </c>
      <c r="F568" s="235" t="s">
        <v>1363</v>
      </c>
      <c r="G568" s="284" t="str">
        <f>IFERROR(VLOOKUP(E568,Assign!$C$2:$J$142,8,FALSE),)</f>
        <v>문선영</v>
      </c>
      <c r="H568" s="361" t="s">
        <v>5292</v>
      </c>
      <c r="I568" s="363">
        <v>3</v>
      </c>
      <c r="J568" s="364" t="s">
        <v>208</v>
      </c>
      <c r="K568" s="364" t="s">
        <v>1987</v>
      </c>
      <c r="L568" s="365" t="s">
        <v>2774</v>
      </c>
      <c r="M568" s="362" t="s">
        <v>2777</v>
      </c>
      <c r="N568" s="421" t="s">
        <v>207</v>
      </c>
      <c r="O568" s="269">
        <v>33.508000000000003</v>
      </c>
      <c r="P568" s="269">
        <v>35.768000000000001</v>
      </c>
      <c r="Q568" s="426"/>
      <c r="R568" s="418" t="s">
        <v>3427</v>
      </c>
      <c r="S568" s="427" t="s">
        <v>613</v>
      </c>
      <c r="T568" s="357">
        <v>1</v>
      </c>
      <c r="U568" s="357" t="s">
        <v>204</v>
      </c>
      <c r="V568" s="367">
        <v>36000000</v>
      </c>
      <c r="W568" s="368">
        <v>36000000</v>
      </c>
      <c r="X568" s="357"/>
      <c r="Y568" s="357"/>
      <c r="Z568" s="400"/>
      <c r="AA568" s="369"/>
      <c r="AB568" s="370"/>
      <c r="AC568" s="404"/>
      <c r="AD568" s="270"/>
      <c r="AE568" s="156"/>
      <c r="AF568" s="156"/>
      <c r="AG568" s="357"/>
      <c r="AH568" s="357"/>
      <c r="AI568" s="357"/>
      <c r="AJ568" s="156"/>
      <c r="AK568" s="156"/>
      <c r="AL568" s="375"/>
      <c r="AM568" s="405"/>
      <c r="AN568" s="273"/>
      <c r="AO568" s="405"/>
      <c r="AP568" s="273"/>
      <c r="AQ568" s="273"/>
      <c r="AR568" s="273"/>
      <c r="AS568" s="273"/>
      <c r="AT568" s="273"/>
      <c r="AU568" s="273"/>
      <c r="AV568" s="322">
        <f t="shared" si="26"/>
        <v>0</v>
      </c>
      <c r="AW568" s="402" t="s">
        <v>3387</v>
      </c>
      <c r="AX568" s="376">
        <v>45765</v>
      </c>
      <c r="AY568" s="373" t="s">
        <v>3388</v>
      </c>
      <c r="AZ568" s="375"/>
      <c r="BA568" s="375">
        <v>60000000</v>
      </c>
      <c r="BB568" s="375"/>
      <c r="BC568" s="375"/>
      <c r="BD568" s="353">
        <f t="shared" si="27"/>
        <v>60000000</v>
      </c>
      <c r="BE568" s="432" t="s">
        <v>355</v>
      </c>
      <c r="BF568" s="407" t="s">
        <v>525</v>
      </c>
      <c r="BG568" s="168"/>
      <c r="BH568" s="274"/>
      <c r="BI568" s="168"/>
      <c r="BJ568" s="274"/>
      <c r="BK568" s="168"/>
      <c r="BL568" s="275"/>
      <c r="BM568" s="276"/>
      <c r="BN568" s="275"/>
      <c r="BO568" s="276"/>
      <c r="BP568" s="277"/>
      <c r="BQ568" s="156"/>
      <c r="BR568" s="274"/>
      <c r="BS568" s="270"/>
      <c r="BT568" s="270"/>
      <c r="BU568" s="274"/>
      <c r="BV568" s="274"/>
      <c r="BW568" s="278"/>
      <c r="BX568" s="278"/>
      <c r="BY568" s="278"/>
      <c r="BZ568" s="351"/>
    </row>
    <row r="569" spans="1:78" s="90" customFormat="1" ht="19.5" hidden="1" customHeight="1">
      <c r="A569" s="137"/>
      <c r="B569" s="197">
        <f t="shared" si="25"/>
        <v>559</v>
      </c>
      <c r="C569" s="30" t="s">
        <v>202</v>
      </c>
      <c r="D569" s="30" t="s">
        <v>225</v>
      </c>
      <c r="E569" s="234" t="s">
        <v>1138</v>
      </c>
      <c r="F569" s="235" t="s">
        <v>1225</v>
      </c>
      <c r="G569" s="284" t="str">
        <f>IFERROR(VLOOKUP(E569,Assign!$C$2:$J$142,8,FALSE),)</f>
        <v>문선영</v>
      </c>
      <c r="H569" s="361" t="s">
        <v>4968</v>
      </c>
      <c r="I569" s="363">
        <v>1</v>
      </c>
      <c r="J569" s="364" t="s">
        <v>213</v>
      </c>
      <c r="K569" s="364" t="s">
        <v>339</v>
      </c>
      <c r="L569" s="365" t="s">
        <v>2486</v>
      </c>
      <c r="M569" s="362" t="s">
        <v>2487</v>
      </c>
      <c r="N569" s="421" t="s">
        <v>3078</v>
      </c>
      <c r="O569" s="269">
        <v>24.17</v>
      </c>
      <c r="P569" s="269">
        <v>84.22</v>
      </c>
      <c r="Q569" s="426"/>
      <c r="R569" s="418" t="s">
        <v>1138</v>
      </c>
      <c r="S569" s="427" t="s">
        <v>613</v>
      </c>
      <c r="T569" s="357">
        <v>1</v>
      </c>
      <c r="U569" s="357" t="s">
        <v>204</v>
      </c>
      <c r="V569" s="367">
        <v>168000000</v>
      </c>
      <c r="W569" s="367">
        <v>168000000</v>
      </c>
      <c r="X569" s="357"/>
      <c r="Y569" s="357"/>
      <c r="Z569" s="400"/>
      <c r="AA569" s="369"/>
      <c r="AB569" s="370"/>
      <c r="AC569" s="404"/>
      <c r="AD569" s="270"/>
      <c r="AE569" s="156"/>
      <c r="AF569" s="156"/>
      <c r="AG569" s="357"/>
      <c r="AH569" s="357"/>
      <c r="AI569" s="357"/>
      <c r="AJ569" s="156"/>
      <c r="AK569" s="156"/>
      <c r="AL569" s="375"/>
      <c r="AM569" s="405"/>
      <c r="AN569" s="273"/>
      <c r="AO569" s="405"/>
      <c r="AP569" s="273"/>
      <c r="AQ569" s="273"/>
      <c r="AR569" s="273"/>
      <c r="AS569" s="273"/>
      <c r="AT569" s="273"/>
      <c r="AU569" s="273"/>
      <c r="AV569" s="322">
        <f t="shared" si="26"/>
        <v>0</v>
      </c>
      <c r="AW569" s="402"/>
      <c r="AX569" s="376"/>
      <c r="AY569" s="373"/>
      <c r="AZ569" s="375"/>
      <c r="BA569" s="375"/>
      <c r="BB569" s="375"/>
      <c r="BC569" s="375"/>
      <c r="BD569" s="353">
        <f t="shared" si="27"/>
        <v>0</v>
      </c>
      <c r="BE569" s="432" t="s">
        <v>355</v>
      </c>
      <c r="BF569" s="407" t="s">
        <v>524</v>
      </c>
      <c r="BG569" s="168"/>
      <c r="BH569" s="274"/>
      <c r="BI569" s="168"/>
      <c r="BJ569" s="274"/>
      <c r="BK569" s="168"/>
      <c r="BL569" s="275"/>
      <c r="BM569" s="276"/>
      <c r="BN569" s="275"/>
      <c r="BO569" s="276"/>
      <c r="BP569" s="277"/>
      <c r="BQ569" s="156"/>
      <c r="BR569" s="274"/>
      <c r="BS569" s="270"/>
      <c r="BT569" s="270"/>
      <c r="BU569" s="274"/>
      <c r="BV569" s="274"/>
      <c r="BW569" s="278"/>
      <c r="BX569" s="278"/>
      <c r="BY569" s="278"/>
      <c r="BZ569" s="351"/>
    </row>
    <row r="570" spans="1:78" s="90" customFormat="1" ht="19.5" hidden="1" customHeight="1">
      <c r="A570" s="137"/>
      <c r="B570" s="197">
        <f t="shared" si="25"/>
        <v>560</v>
      </c>
      <c r="C570" s="30" t="s">
        <v>202</v>
      </c>
      <c r="D570" s="30" t="s">
        <v>225</v>
      </c>
      <c r="E570" s="234" t="s">
        <v>1139</v>
      </c>
      <c r="F570" s="235" t="s">
        <v>1225</v>
      </c>
      <c r="G570" s="284">
        <f>IFERROR(VLOOKUP(E570,Assign!$C$2:$J$142,8,FALSE),)</f>
        <v>0</v>
      </c>
      <c r="H570" s="361" t="s">
        <v>4077</v>
      </c>
      <c r="I570" s="363">
        <v>1</v>
      </c>
      <c r="J570" s="364" t="s">
        <v>208</v>
      </c>
      <c r="K570" s="364" t="s">
        <v>250</v>
      </c>
      <c r="L570" s="365" t="s">
        <v>1652</v>
      </c>
      <c r="M570" s="362" t="s">
        <v>1653</v>
      </c>
      <c r="N570" s="421" t="s">
        <v>606</v>
      </c>
      <c r="O570" s="269">
        <v>25.170999999999999</v>
      </c>
      <c r="P570" s="269">
        <v>59.72</v>
      </c>
      <c r="Q570" s="426"/>
      <c r="R570" s="418" t="s">
        <v>1139</v>
      </c>
      <c r="S570" s="427" t="s">
        <v>613</v>
      </c>
      <c r="T570" s="357">
        <v>2</v>
      </c>
      <c r="U570" s="357" t="s">
        <v>204</v>
      </c>
      <c r="V570" s="367">
        <v>96000000</v>
      </c>
      <c r="W570" s="368">
        <v>96000000</v>
      </c>
      <c r="X570" s="357"/>
      <c r="Y570" s="357"/>
      <c r="Z570" s="400"/>
      <c r="AA570" s="369"/>
      <c r="AB570" s="370"/>
      <c r="AC570" s="404">
        <v>1</v>
      </c>
      <c r="AD570" s="270" t="s">
        <v>204</v>
      </c>
      <c r="AE570" s="156">
        <v>6000000</v>
      </c>
      <c r="AF570" s="156">
        <v>6000000</v>
      </c>
      <c r="AG570" s="357"/>
      <c r="AH570" s="357"/>
      <c r="AI570" s="357"/>
      <c r="AJ570" s="156"/>
      <c r="AK570" s="156"/>
      <c r="AL570" s="375"/>
      <c r="AM570" s="405"/>
      <c r="AN570" s="273"/>
      <c r="AO570" s="405"/>
      <c r="AP570" s="273"/>
      <c r="AQ570" s="273"/>
      <c r="AR570" s="273"/>
      <c r="AS570" s="273"/>
      <c r="AT570" s="273"/>
      <c r="AU570" s="273"/>
      <c r="AV570" s="322">
        <f t="shared" si="26"/>
        <v>0</v>
      </c>
      <c r="AW570" s="402"/>
      <c r="AX570" s="376"/>
      <c r="AY570" s="373"/>
      <c r="AZ570" s="375"/>
      <c r="BA570" s="375"/>
      <c r="BB570" s="375"/>
      <c r="BC570" s="375"/>
      <c r="BD570" s="353">
        <f t="shared" si="27"/>
        <v>0</v>
      </c>
      <c r="BE570" s="432" t="s">
        <v>355</v>
      </c>
      <c r="BF570" s="407" t="s">
        <v>493</v>
      </c>
      <c r="BG570" s="168"/>
      <c r="BH570" s="274"/>
      <c r="BI570" s="168"/>
      <c r="BJ570" s="274"/>
      <c r="BK570" s="168"/>
      <c r="BL570" s="275"/>
      <c r="BM570" s="276"/>
      <c r="BN570" s="275"/>
      <c r="BO570" s="276"/>
      <c r="BP570" s="277"/>
      <c r="BQ570" s="156"/>
      <c r="BR570" s="274"/>
      <c r="BS570" s="270"/>
      <c r="BT570" s="270"/>
      <c r="BU570" s="274"/>
      <c r="BV570" s="274"/>
      <c r="BW570" s="278"/>
      <c r="BX570" s="278"/>
      <c r="BY570" s="278"/>
      <c r="BZ570" s="351"/>
    </row>
    <row r="571" spans="1:78" s="90" customFormat="1" ht="19.5" hidden="1" customHeight="1">
      <c r="A571" s="137"/>
      <c r="B571" s="197">
        <f t="shared" si="25"/>
        <v>561</v>
      </c>
      <c r="C571" s="30" t="s">
        <v>202</v>
      </c>
      <c r="D571" s="30" t="s">
        <v>225</v>
      </c>
      <c r="E571" s="234" t="s">
        <v>1140</v>
      </c>
      <c r="F571" s="235" t="s">
        <v>1239</v>
      </c>
      <c r="G571" s="284">
        <f>IFERROR(VLOOKUP(E571,Assign!$C$2:$J$142,8,FALSE),)</f>
        <v>0</v>
      </c>
      <c r="H571" s="361" t="s">
        <v>4452</v>
      </c>
      <c r="I571" s="363">
        <v>1</v>
      </c>
      <c r="J571" s="364" t="s">
        <v>208</v>
      </c>
      <c r="K571" s="364" t="s">
        <v>271</v>
      </c>
      <c r="L571" s="365" t="s">
        <v>1482</v>
      </c>
      <c r="M571" s="362" t="s">
        <v>1999</v>
      </c>
      <c r="N571" s="421" t="s">
        <v>207</v>
      </c>
      <c r="O571" s="269">
        <v>24.25</v>
      </c>
      <c r="P571" s="269">
        <v>59.32</v>
      </c>
      <c r="Q571" s="426"/>
      <c r="R571" s="418" t="s">
        <v>1140</v>
      </c>
      <c r="S571" s="427" t="s">
        <v>613</v>
      </c>
      <c r="T571" s="357">
        <v>1</v>
      </c>
      <c r="U571" s="357" t="s">
        <v>204</v>
      </c>
      <c r="V571" s="367">
        <v>91200000</v>
      </c>
      <c r="W571" s="368">
        <v>91200000</v>
      </c>
      <c r="X571" s="357"/>
      <c r="Y571" s="357"/>
      <c r="Z571" s="400"/>
      <c r="AA571" s="369"/>
      <c r="AB571" s="370"/>
      <c r="AC571" s="404"/>
      <c r="AD571" s="270"/>
      <c r="AE571" s="156"/>
      <c r="AF571" s="156"/>
      <c r="AG571" s="357"/>
      <c r="AH571" s="357"/>
      <c r="AI571" s="357"/>
      <c r="AJ571" s="156"/>
      <c r="AK571" s="156"/>
      <c r="AL571" s="375"/>
      <c r="AM571" s="405"/>
      <c r="AN571" s="273"/>
      <c r="AO571" s="405"/>
      <c r="AP571" s="273"/>
      <c r="AQ571" s="273"/>
      <c r="AR571" s="273"/>
      <c r="AS571" s="273"/>
      <c r="AT571" s="273"/>
      <c r="AU571" s="273"/>
      <c r="AV571" s="322">
        <f t="shared" si="26"/>
        <v>0</v>
      </c>
      <c r="AW571" s="402" t="s">
        <v>3387</v>
      </c>
      <c r="AX571" s="376">
        <v>45765</v>
      </c>
      <c r="AY571" s="373" t="s">
        <v>3388</v>
      </c>
      <c r="AZ571" s="375"/>
      <c r="BA571" s="375">
        <v>330000000</v>
      </c>
      <c r="BB571" s="375"/>
      <c r="BC571" s="375"/>
      <c r="BD571" s="353">
        <f t="shared" si="27"/>
        <v>330000000</v>
      </c>
      <c r="BE571" s="432" t="s">
        <v>335</v>
      </c>
      <c r="BF571" s="407" t="s">
        <v>424</v>
      </c>
      <c r="BG571" s="168" t="s">
        <v>3301</v>
      </c>
      <c r="BH571" s="274">
        <v>45742</v>
      </c>
      <c r="BI571" s="168" t="s">
        <v>3219</v>
      </c>
      <c r="BJ571" s="274">
        <v>45813</v>
      </c>
      <c r="BK571" s="168">
        <v>54800304</v>
      </c>
      <c r="BL571" s="275"/>
      <c r="BM571" s="276"/>
      <c r="BN571" s="275"/>
      <c r="BO571" s="276"/>
      <c r="BP571" s="277"/>
      <c r="BQ571" s="156"/>
      <c r="BR571" s="274"/>
      <c r="BS571" s="270"/>
      <c r="BT571" s="270"/>
      <c r="BU571" s="274"/>
      <c r="BV571" s="274"/>
      <c r="BW571" s="278"/>
      <c r="BX571" s="278"/>
      <c r="BY571" s="278"/>
      <c r="BZ571" s="351"/>
    </row>
    <row r="572" spans="1:78" s="90" customFormat="1" ht="19.5" hidden="1" customHeight="1">
      <c r="A572" s="137"/>
      <c r="B572" s="197">
        <f t="shared" si="25"/>
        <v>562</v>
      </c>
      <c r="C572" s="30" t="s">
        <v>202</v>
      </c>
      <c r="D572" s="30" t="s">
        <v>225</v>
      </c>
      <c r="E572" s="234" t="s">
        <v>1141</v>
      </c>
      <c r="F572" s="235" t="s">
        <v>1220</v>
      </c>
      <c r="G572" s="284">
        <f>IFERROR(VLOOKUP(E572,Assign!$C$2:$J$142,8,FALSE),)</f>
        <v>0</v>
      </c>
      <c r="H572" s="361" t="s">
        <v>3906</v>
      </c>
      <c r="I572" s="363">
        <v>1</v>
      </c>
      <c r="J572" s="364" t="s">
        <v>208</v>
      </c>
      <c r="K572" s="364" t="s">
        <v>297</v>
      </c>
      <c r="L572" s="365" t="s">
        <v>1475</v>
      </c>
      <c r="M572" s="362" t="s">
        <v>1476</v>
      </c>
      <c r="N572" s="421" t="s">
        <v>3386</v>
      </c>
      <c r="O572" s="269">
        <v>4.8579999999999997</v>
      </c>
      <c r="P572" s="269">
        <v>18.760000000000002</v>
      </c>
      <c r="Q572" s="426"/>
      <c r="R572" s="418" t="s">
        <v>1141</v>
      </c>
      <c r="S572" s="427" t="s">
        <v>613</v>
      </c>
      <c r="T572" s="357">
        <v>1</v>
      </c>
      <c r="U572" s="357" t="s">
        <v>204</v>
      </c>
      <c r="V572" s="367">
        <v>86400000</v>
      </c>
      <c r="W572" s="368">
        <v>86400000</v>
      </c>
      <c r="X572" s="357"/>
      <c r="Y572" s="357"/>
      <c r="Z572" s="400"/>
      <c r="AA572" s="369"/>
      <c r="AB572" s="370"/>
      <c r="AC572" s="404"/>
      <c r="AD572" s="270"/>
      <c r="AE572" s="156"/>
      <c r="AF572" s="156"/>
      <c r="AG572" s="357"/>
      <c r="AH572" s="357"/>
      <c r="AI572" s="357"/>
      <c r="AJ572" s="156"/>
      <c r="AK572" s="156"/>
      <c r="AL572" s="375"/>
      <c r="AM572" s="405"/>
      <c r="AN572" s="273"/>
      <c r="AO572" s="405"/>
      <c r="AP572" s="273"/>
      <c r="AQ572" s="273"/>
      <c r="AR572" s="273"/>
      <c r="AS572" s="273"/>
      <c r="AT572" s="273"/>
      <c r="AU572" s="273"/>
      <c r="AV572" s="322">
        <f t="shared" si="26"/>
        <v>0</v>
      </c>
      <c r="AW572" s="402"/>
      <c r="AX572" s="376"/>
      <c r="AY572" s="373"/>
      <c r="AZ572" s="375"/>
      <c r="BA572" s="375"/>
      <c r="BB572" s="375"/>
      <c r="BC572" s="375"/>
      <c r="BD572" s="353">
        <f t="shared" si="27"/>
        <v>0</v>
      </c>
      <c r="BE572" s="432" t="s">
        <v>355</v>
      </c>
      <c r="BF572" s="407" t="s">
        <v>424</v>
      </c>
      <c r="BG572" s="168"/>
      <c r="BH572" s="274"/>
      <c r="BI572" s="168"/>
      <c r="BJ572" s="274"/>
      <c r="BK572" s="168"/>
      <c r="BL572" s="275"/>
      <c r="BM572" s="276"/>
      <c r="BN572" s="275"/>
      <c r="BO572" s="276"/>
      <c r="BP572" s="277"/>
      <c r="BQ572" s="156"/>
      <c r="BR572" s="274"/>
      <c r="BS572" s="270"/>
      <c r="BT572" s="270"/>
      <c r="BU572" s="274"/>
      <c r="BV572" s="274"/>
      <c r="BW572" s="278"/>
      <c r="BX572" s="278"/>
      <c r="BY572" s="278"/>
      <c r="BZ572" s="351"/>
    </row>
    <row r="573" spans="1:78" s="90" customFormat="1" ht="19.5" hidden="1" customHeight="1">
      <c r="A573" s="137"/>
      <c r="B573" s="197">
        <f t="shared" si="25"/>
        <v>563</v>
      </c>
      <c r="C573" s="30" t="s">
        <v>202</v>
      </c>
      <c r="D573" s="30" t="s">
        <v>225</v>
      </c>
      <c r="E573" s="234" t="s">
        <v>1142</v>
      </c>
      <c r="F573" s="235" t="s">
        <v>1251</v>
      </c>
      <c r="G573" s="284">
        <f>IFERROR(VLOOKUP(E573,Assign!$C$2:$J$142,8,FALSE),)</f>
        <v>0</v>
      </c>
      <c r="H573" s="361" t="s">
        <v>4934</v>
      </c>
      <c r="I573" s="363">
        <v>1</v>
      </c>
      <c r="J573" s="364" t="s">
        <v>210</v>
      </c>
      <c r="K573" s="364" t="s">
        <v>375</v>
      </c>
      <c r="L573" s="365" t="s">
        <v>2455</v>
      </c>
      <c r="M573" s="362" t="s">
        <v>2456</v>
      </c>
      <c r="N573" s="421" t="s">
        <v>606</v>
      </c>
      <c r="O573" s="269">
        <v>32.43</v>
      </c>
      <c r="P573" s="269">
        <v>48.6</v>
      </c>
      <c r="Q573" s="426"/>
      <c r="R573" s="418" t="s">
        <v>1142</v>
      </c>
      <c r="S573" s="427" t="s">
        <v>613</v>
      </c>
      <c r="T573" s="357">
        <v>1</v>
      </c>
      <c r="U573" s="357" t="s">
        <v>204</v>
      </c>
      <c r="V573" s="367">
        <v>84000000</v>
      </c>
      <c r="W573" s="368">
        <v>84000000</v>
      </c>
      <c r="X573" s="357"/>
      <c r="Y573" s="357"/>
      <c r="Z573" s="400"/>
      <c r="AA573" s="369"/>
      <c r="AB573" s="370"/>
      <c r="AC573" s="404"/>
      <c r="AD573" s="270"/>
      <c r="AE573" s="156"/>
      <c r="AF573" s="156"/>
      <c r="AG573" s="357"/>
      <c r="AH573" s="357"/>
      <c r="AI573" s="357"/>
      <c r="AJ573" s="156"/>
      <c r="AK573" s="156"/>
      <c r="AL573" s="375"/>
      <c r="AM573" s="405"/>
      <c r="AN573" s="273"/>
      <c r="AO573" s="405"/>
      <c r="AP573" s="273"/>
      <c r="AQ573" s="273"/>
      <c r="AR573" s="273"/>
      <c r="AS573" s="273"/>
      <c r="AT573" s="273"/>
      <c r="AU573" s="273"/>
      <c r="AV573" s="322">
        <f t="shared" si="26"/>
        <v>0</v>
      </c>
      <c r="AW573" s="402"/>
      <c r="AX573" s="376"/>
      <c r="AY573" s="373"/>
      <c r="AZ573" s="375"/>
      <c r="BA573" s="375"/>
      <c r="BB573" s="375"/>
      <c r="BC573" s="375"/>
      <c r="BD573" s="353">
        <f t="shared" si="27"/>
        <v>0</v>
      </c>
      <c r="BE573" s="432" t="s">
        <v>355</v>
      </c>
      <c r="BF573" s="407" t="s">
        <v>503</v>
      </c>
      <c r="BG573" s="168"/>
      <c r="BH573" s="274"/>
      <c r="BI573" s="168"/>
      <c r="BJ573" s="274"/>
      <c r="BK573" s="168"/>
      <c r="BL573" s="275"/>
      <c r="BM573" s="276"/>
      <c r="BN573" s="275"/>
      <c r="BO573" s="276"/>
      <c r="BP573" s="277"/>
      <c r="BQ573" s="156"/>
      <c r="BR573" s="274"/>
      <c r="BS573" s="270"/>
      <c r="BT573" s="270"/>
      <c r="BU573" s="274"/>
      <c r="BV573" s="274"/>
      <c r="BW573" s="278"/>
      <c r="BX573" s="278"/>
      <c r="BY573" s="278"/>
      <c r="BZ573" s="351"/>
    </row>
    <row r="574" spans="1:78" s="90" customFormat="1" ht="19.5" hidden="1" customHeight="1">
      <c r="A574" s="137"/>
      <c r="B574" s="197">
        <f t="shared" si="25"/>
        <v>564</v>
      </c>
      <c r="C574" s="30" t="s">
        <v>202</v>
      </c>
      <c r="D574" s="30" t="s">
        <v>225</v>
      </c>
      <c r="E574" s="234" t="s">
        <v>1143</v>
      </c>
      <c r="F574" s="235" t="s">
        <v>1217</v>
      </c>
      <c r="G574" s="284" t="str">
        <f>IFERROR(VLOOKUP(E574,Assign!$C$2:$J$142,8,FALSE),)</f>
        <v>문선영</v>
      </c>
      <c r="H574" s="361" t="s">
        <v>4081</v>
      </c>
      <c r="I574" s="363">
        <v>1</v>
      </c>
      <c r="J574" s="364" t="s">
        <v>213</v>
      </c>
      <c r="K574" s="364" t="s">
        <v>371</v>
      </c>
      <c r="L574" s="365" t="s">
        <v>1658</v>
      </c>
      <c r="M574" s="362" t="s">
        <v>1659</v>
      </c>
      <c r="N574" s="421" t="s">
        <v>207</v>
      </c>
      <c r="O574" s="269">
        <v>21.31</v>
      </c>
      <c r="P574" s="269">
        <v>59.91</v>
      </c>
      <c r="Q574" s="426"/>
      <c r="R574" s="418" t="s">
        <v>1143</v>
      </c>
      <c r="S574" s="427" t="s">
        <v>613</v>
      </c>
      <c r="T574" s="357">
        <v>1</v>
      </c>
      <c r="U574" s="357" t="s">
        <v>204</v>
      </c>
      <c r="V574" s="367">
        <v>90000000</v>
      </c>
      <c r="W574" s="368">
        <v>90000000</v>
      </c>
      <c r="X574" s="357"/>
      <c r="Y574" s="357"/>
      <c r="Z574" s="400"/>
      <c r="AA574" s="369"/>
      <c r="AB574" s="370"/>
      <c r="AC574" s="404"/>
      <c r="AD574" s="270"/>
      <c r="AE574" s="156"/>
      <c r="AF574" s="156"/>
      <c r="AG574" s="357"/>
      <c r="AH574" s="357"/>
      <c r="AI574" s="357"/>
      <c r="AJ574" s="156"/>
      <c r="AK574" s="156"/>
      <c r="AL574" s="375"/>
      <c r="AM574" s="405"/>
      <c r="AN574" s="273"/>
      <c r="AO574" s="405"/>
      <c r="AP574" s="273"/>
      <c r="AQ574" s="273"/>
      <c r="AR574" s="273"/>
      <c r="AS574" s="273"/>
      <c r="AT574" s="273"/>
      <c r="AU574" s="273"/>
      <c r="AV574" s="322">
        <f t="shared" si="26"/>
        <v>0</v>
      </c>
      <c r="AW574" s="402" t="s">
        <v>3387</v>
      </c>
      <c r="AX574" s="376">
        <v>45765</v>
      </c>
      <c r="AY574" s="373" t="s">
        <v>3388</v>
      </c>
      <c r="AZ574" s="375"/>
      <c r="BA574" s="375">
        <v>120000000</v>
      </c>
      <c r="BB574" s="375"/>
      <c r="BC574" s="375"/>
      <c r="BD574" s="353">
        <f t="shared" si="27"/>
        <v>120000000</v>
      </c>
      <c r="BE574" s="432" t="s">
        <v>355</v>
      </c>
      <c r="BF574" s="407" t="s">
        <v>505</v>
      </c>
      <c r="BG574" s="168"/>
      <c r="BH574" s="274"/>
      <c r="BI574" s="168"/>
      <c r="BJ574" s="274"/>
      <c r="BK574" s="168"/>
      <c r="BL574" s="275"/>
      <c r="BM574" s="276"/>
      <c r="BN574" s="275"/>
      <c r="BO574" s="276"/>
      <c r="BP574" s="277"/>
      <c r="BQ574" s="156"/>
      <c r="BR574" s="274"/>
      <c r="BS574" s="270"/>
      <c r="BT574" s="270"/>
      <c r="BU574" s="274"/>
      <c r="BV574" s="274"/>
      <c r="BW574" s="278"/>
      <c r="BX574" s="278"/>
      <c r="BY574" s="278"/>
      <c r="BZ574" s="351"/>
    </row>
    <row r="575" spans="1:78" s="90" customFormat="1" ht="19.5" hidden="1" customHeight="1">
      <c r="A575" s="137"/>
      <c r="B575" s="197">
        <f t="shared" si="25"/>
        <v>565</v>
      </c>
      <c r="C575" s="30" t="s">
        <v>202</v>
      </c>
      <c r="D575" s="30" t="s">
        <v>225</v>
      </c>
      <c r="E575" s="234" t="s">
        <v>1144</v>
      </c>
      <c r="F575" s="235" t="s">
        <v>1269</v>
      </c>
      <c r="G575" s="284">
        <f>IFERROR(VLOOKUP(E575,Assign!$C$2:$J$142,8,FALSE),)</f>
        <v>0</v>
      </c>
      <c r="H575" s="361" t="s">
        <v>4046</v>
      </c>
      <c r="I575" s="363">
        <v>1</v>
      </c>
      <c r="J575" s="364" t="s">
        <v>214</v>
      </c>
      <c r="K575" s="364" t="s">
        <v>349</v>
      </c>
      <c r="L575" s="365" t="s">
        <v>560</v>
      </c>
      <c r="M575" s="362" t="s">
        <v>1623</v>
      </c>
      <c r="N575" s="421" t="s">
        <v>3505</v>
      </c>
      <c r="O575" s="269">
        <v>4.0160999999999998</v>
      </c>
      <c r="P575" s="269">
        <v>20.731999999999999</v>
      </c>
      <c r="Q575" s="426"/>
      <c r="R575" s="418" t="s">
        <v>1144</v>
      </c>
      <c r="S575" s="427" t="s">
        <v>613</v>
      </c>
      <c r="T575" s="357">
        <v>1</v>
      </c>
      <c r="U575" s="357" t="s">
        <v>204</v>
      </c>
      <c r="V575" s="367">
        <v>93600000</v>
      </c>
      <c r="W575" s="368">
        <v>93600000</v>
      </c>
      <c r="X575" s="357"/>
      <c r="Y575" s="357"/>
      <c r="Z575" s="400"/>
      <c r="AA575" s="369"/>
      <c r="AB575" s="370"/>
      <c r="AC575" s="404"/>
      <c r="AD575" s="270"/>
      <c r="AE575" s="156"/>
      <c r="AF575" s="156"/>
      <c r="AG575" s="357"/>
      <c r="AH575" s="357"/>
      <c r="AI575" s="357"/>
      <c r="AJ575" s="156"/>
      <c r="AK575" s="156"/>
      <c r="AL575" s="375"/>
      <c r="AM575" s="405"/>
      <c r="AN575" s="273"/>
      <c r="AO575" s="405"/>
      <c r="AP575" s="273"/>
      <c r="AQ575" s="273"/>
      <c r="AR575" s="273"/>
      <c r="AS575" s="273"/>
      <c r="AT575" s="273"/>
      <c r="AU575" s="273"/>
      <c r="AV575" s="322">
        <f t="shared" si="26"/>
        <v>0</v>
      </c>
      <c r="AW575" s="402" t="s">
        <v>3387</v>
      </c>
      <c r="AX575" s="376">
        <v>45765</v>
      </c>
      <c r="AY575" s="373" t="s">
        <v>3388</v>
      </c>
      <c r="AZ575" s="375"/>
      <c r="BA575" s="375">
        <v>75000000</v>
      </c>
      <c r="BB575" s="375"/>
      <c r="BC575" s="375"/>
      <c r="BD575" s="353">
        <f t="shared" si="27"/>
        <v>75000000</v>
      </c>
      <c r="BE575" s="432" t="s">
        <v>355</v>
      </c>
      <c r="BF575" s="407" t="s">
        <v>500</v>
      </c>
      <c r="BG575" s="168"/>
      <c r="BH575" s="274"/>
      <c r="BI575" s="168"/>
      <c r="BJ575" s="274"/>
      <c r="BK575" s="168"/>
      <c r="BL575" s="275"/>
      <c r="BM575" s="276"/>
      <c r="BN575" s="275"/>
      <c r="BO575" s="276"/>
      <c r="BP575" s="277"/>
      <c r="BQ575" s="156"/>
      <c r="BR575" s="274"/>
      <c r="BS575" s="270"/>
      <c r="BT575" s="270"/>
      <c r="BU575" s="274"/>
      <c r="BV575" s="274"/>
      <c r="BW575" s="278"/>
      <c r="BX575" s="278"/>
      <c r="BY575" s="278"/>
      <c r="BZ575" s="351"/>
    </row>
    <row r="576" spans="1:78" s="90" customFormat="1" ht="19.5" hidden="1" customHeight="1">
      <c r="A576" s="137"/>
      <c r="B576" s="197">
        <f t="shared" si="25"/>
        <v>566</v>
      </c>
      <c r="C576" s="30" t="s">
        <v>202</v>
      </c>
      <c r="D576" s="30" t="s">
        <v>225</v>
      </c>
      <c r="E576" s="234" t="s">
        <v>1145</v>
      </c>
      <c r="F576" s="235" t="s">
        <v>1234</v>
      </c>
      <c r="G576" s="284">
        <f>IFERROR(VLOOKUP(E576,Assign!$C$2:$J$142,8,FALSE),)</f>
        <v>0</v>
      </c>
      <c r="H576" s="361" t="s">
        <v>4038</v>
      </c>
      <c r="I576" s="363">
        <v>1</v>
      </c>
      <c r="J576" s="364" t="s">
        <v>214</v>
      </c>
      <c r="K576" s="364" t="s">
        <v>349</v>
      </c>
      <c r="L576" s="365" t="s">
        <v>560</v>
      </c>
      <c r="M576" s="362" t="s">
        <v>1613</v>
      </c>
      <c r="N576" s="421" t="s">
        <v>3505</v>
      </c>
      <c r="O576" s="269">
        <v>4.0160999999999998</v>
      </c>
      <c r="P576" s="269">
        <v>20.731999999999999</v>
      </c>
      <c r="Q576" s="426"/>
      <c r="R576" s="418" t="s">
        <v>1145</v>
      </c>
      <c r="S576" s="427" t="s">
        <v>613</v>
      </c>
      <c r="T576" s="357">
        <v>1</v>
      </c>
      <c r="U576" s="357" t="s">
        <v>204</v>
      </c>
      <c r="V576" s="367">
        <v>84000000</v>
      </c>
      <c r="W576" s="368">
        <v>84000000</v>
      </c>
      <c r="X576" s="357"/>
      <c r="Y576" s="357"/>
      <c r="Z576" s="400"/>
      <c r="AA576" s="369"/>
      <c r="AB576" s="370"/>
      <c r="AC576" s="404"/>
      <c r="AD576" s="270"/>
      <c r="AE576" s="156"/>
      <c r="AF576" s="156"/>
      <c r="AG576" s="357"/>
      <c r="AH576" s="357"/>
      <c r="AI576" s="357"/>
      <c r="AJ576" s="156"/>
      <c r="AK576" s="156"/>
      <c r="AL576" s="375"/>
      <c r="AM576" s="405"/>
      <c r="AN576" s="273"/>
      <c r="AO576" s="405"/>
      <c r="AP576" s="273"/>
      <c r="AQ576" s="273"/>
      <c r="AR576" s="273"/>
      <c r="AS576" s="273"/>
      <c r="AT576" s="273"/>
      <c r="AU576" s="273"/>
      <c r="AV576" s="322">
        <f t="shared" si="26"/>
        <v>0</v>
      </c>
      <c r="AW576" s="402" t="s">
        <v>3387</v>
      </c>
      <c r="AX576" s="376">
        <v>45765</v>
      </c>
      <c r="AY576" s="373" t="s">
        <v>3388</v>
      </c>
      <c r="AZ576" s="375"/>
      <c r="BA576" s="375">
        <v>75000000</v>
      </c>
      <c r="BB576" s="375"/>
      <c r="BC576" s="375"/>
      <c r="BD576" s="353">
        <f t="shared" si="27"/>
        <v>75000000</v>
      </c>
      <c r="BE576" s="432" t="s">
        <v>355</v>
      </c>
      <c r="BF576" s="407" t="s">
        <v>500</v>
      </c>
      <c r="BG576" s="168"/>
      <c r="BH576" s="274"/>
      <c r="BI576" s="168"/>
      <c r="BJ576" s="274"/>
      <c r="BK576" s="168"/>
      <c r="BL576" s="275"/>
      <c r="BM576" s="276"/>
      <c r="BN576" s="275"/>
      <c r="BO576" s="276"/>
      <c r="BP576" s="277"/>
      <c r="BQ576" s="156"/>
      <c r="BR576" s="274"/>
      <c r="BS576" s="270"/>
      <c r="BT576" s="270"/>
      <c r="BU576" s="274"/>
      <c r="BV576" s="274"/>
      <c r="BW576" s="278"/>
      <c r="BX576" s="278"/>
      <c r="BY576" s="278"/>
      <c r="BZ576" s="351"/>
    </row>
    <row r="577" spans="1:78" s="90" customFormat="1" ht="19.5" hidden="1" customHeight="1">
      <c r="A577" s="137"/>
      <c r="B577" s="197">
        <f t="shared" si="25"/>
        <v>567</v>
      </c>
      <c r="C577" s="30" t="s">
        <v>202</v>
      </c>
      <c r="D577" s="30" t="s">
        <v>225</v>
      </c>
      <c r="E577" s="234" t="s">
        <v>1146</v>
      </c>
      <c r="F577" s="235" t="s">
        <v>1220</v>
      </c>
      <c r="G577" s="284" t="str">
        <f>IFERROR(VLOOKUP(E577,Assign!$C$2:$J$142,8,FALSE),)</f>
        <v>문선영</v>
      </c>
      <c r="H577" s="361" t="s">
        <v>4976</v>
      </c>
      <c r="I577" s="363">
        <v>1</v>
      </c>
      <c r="J577" s="364" t="s">
        <v>211</v>
      </c>
      <c r="K577" s="364" t="s">
        <v>299</v>
      </c>
      <c r="L577" s="365" t="s">
        <v>1710</v>
      </c>
      <c r="M577" s="362" t="s">
        <v>2495</v>
      </c>
      <c r="N577" s="421" t="s">
        <v>207</v>
      </c>
      <c r="O577" s="269">
        <v>28.974599999999999</v>
      </c>
      <c r="P577" s="269">
        <v>49.841999999999999</v>
      </c>
      <c r="Q577" s="426"/>
      <c r="R577" s="418" t="s">
        <v>1146</v>
      </c>
      <c r="S577" s="427" t="s">
        <v>613</v>
      </c>
      <c r="T577" s="357">
        <v>1</v>
      </c>
      <c r="U577" s="357" t="s">
        <v>204</v>
      </c>
      <c r="V577" s="367">
        <v>98400000</v>
      </c>
      <c r="W577" s="368">
        <v>98400000</v>
      </c>
      <c r="X577" s="357"/>
      <c r="Y577" s="357"/>
      <c r="Z577" s="400"/>
      <c r="AA577" s="369"/>
      <c r="AB577" s="370"/>
      <c r="AC577" s="404"/>
      <c r="AD577" s="270"/>
      <c r="AE577" s="156"/>
      <c r="AF577" s="156"/>
      <c r="AG577" s="357"/>
      <c r="AH577" s="357"/>
      <c r="AI577" s="357"/>
      <c r="AJ577" s="156"/>
      <c r="AK577" s="156"/>
      <c r="AL577" s="375"/>
      <c r="AM577" s="405"/>
      <c r="AN577" s="273"/>
      <c r="AO577" s="405"/>
      <c r="AP577" s="273"/>
      <c r="AQ577" s="273"/>
      <c r="AR577" s="273"/>
      <c r="AS577" s="273"/>
      <c r="AT577" s="273"/>
      <c r="AU577" s="273"/>
      <c r="AV577" s="322">
        <f t="shared" si="26"/>
        <v>0</v>
      </c>
      <c r="AW577" s="402" t="s">
        <v>3387</v>
      </c>
      <c r="AX577" s="376">
        <v>45765</v>
      </c>
      <c r="AY577" s="373" t="s">
        <v>3388</v>
      </c>
      <c r="AZ577" s="375"/>
      <c r="BA577" s="375">
        <v>104000000</v>
      </c>
      <c r="BB577" s="375"/>
      <c r="BC577" s="375"/>
      <c r="BD577" s="353">
        <f t="shared" si="27"/>
        <v>104000000</v>
      </c>
      <c r="BE577" s="432" t="s">
        <v>355</v>
      </c>
      <c r="BF577" s="407" t="s">
        <v>527</v>
      </c>
      <c r="BG577" s="168"/>
      <c r="BH577" s="274"/>
      <c r="BI577" s="168"/>
      <c r="BJ577" s="274"/>
      <c r="BK577" s="168"/>
      <c r="BL577" s="275"/>
      <c r="BM577" s="276"/>
      <c r="BN577" s="275"/>
      <c r="BO577" s="276"/>
      <c r="BP577" s="277"/>
      <c r="BQ577" s="156"/>
      <c r="BR577" s="274"/>
      <c r="BS577" s="270"/>
      <c r="BT577" s="270"/>
      <c r="BU577" s="274"/>
      <c r="BV577" s="274"/>
      <c r="BW577" s="278"/>
      <c r="BX577" s="278"/>
      <c r="BY577" s="278"/>
      <c r="BZ577" s="351"/>
    </row>
    <row r="578" spans="1:78" s="90" customFormat="1" ht="19.5" hidden="1" customHeight="1">
      <c r="A578" s="137"/>
      <c r="B578" s="197">
        <f t="shared" si="25"/>
        <v>568</v>
      </c>
      <c r="C578" s="30" t="s">
        <v>202</v>
      </c>
      <c r="D578" s="30" t="s">
        <v>225</v>
      </c>
      <c r="E578" s="234" t="s">
        <v>1147</v>
      </c>
      <c r="F578" s="235" t="s">
        <v>1229</v>
      </c>
      <c r="G578" s="284">
        <f>IFERROR(VLOOKUP(E578,Assign!$C$2:$J$142,8,FALSE),)</f>
        <v>0</v>
      </c>
      <c r="H578" s="361" t="s">
        <v>4434</v>
      </c>
      <c r="I578" s="363">
        <v>1</v>
      </c>
      <c r="J578" s="364" t="s">
        <v>208</v>
      </c>
      <c r="K578" s="364" t="s">
        <v>301</v>
      </c>
      <c r="L578" s="365" t="s">
        <v>1743</v>
      </c>
      <c r="M578" s="362" t="s">
        <v>1983</v>
      </c>
      <c r="N578" s="421" t="s">
        <v>3113</v>
      </c>
      <c r="O578" s="269">
        <v>3.51</v>
      </c>
      <c r="P578" s="269">
        <v>17.510000000000002</v>
      </c>
      <c r="Q578" s="426"/>
      <c r="R578" s="418" t="s">
        <v>3479</v>
      </c>
      <c r="S578" s="427" t="s">
        <v>613</v>
      </c>
      <c r="T578" s="357">
        <v>1</v>
      </c>
      <c r="U578" s="357" t="s">
        <v>204</v>
      </c>
      <c r="V578" s="367">
        <v>84000000</v>
      </c>
      <c r="W578" s="368">
        <v>84000000</v>
      </c>
      <c r="X578" s="357"/>
      <c r="Y578" s="357"/>
      <c r="Z578" s="400"/>
      <c r="AA578" s="369"/>
      <c r="AB578" s="370"/>
      <c r="AC578" s="404"/>
      <c r="AD578" s="270"/>
      <c r="AE578" s="156"/>
      <c r="AF578" s="156"/>
      <c r="AG578" s="357"/>
      <c r="AH578" s="357"/>
      <c r="AI578" s="357"/>
      <c r="AJ578" s="156"/>
      <c r="AK578" s="156"/>
      <c r="AL578" s="375"/>
      <c r="AM578" s="405"/>
      <c r="AN578" s="273"/>
      <c r="AO578" s="405"/>
      <c r="AP578" s="273"/>
      <c r="AQ578" s="273"/>
      <c r="AR578" s="273"/>
      <c r="AS578" s="273"/>
      <c r="AT578" s="273"/>
      <c r="AU578" s="273"/>
      <c r="AV578" s="322">
        <f t="shared" si="26"/>
        <v>0</v>
      </c>
      <c r="AW578" s="402"/>
      <c r="AX578" s="376"/>
      <c r="AY578" s="373"/>
      <c r="AZ578" s="375"/>
      <c r="BA578" s="375"/>
      <c r="BB578" s="375"/>
      <c r="BC578" s="375"/>
      <c r="BD578" s="353">
        <f t="shared" si="27"/>
        <v>0</v>
      </c>
      <c r="BE578" s="432" t="s">
        <v>355</v>
      </c>
      <c r="BF578" s="407" t="s">
        <v>502</v>
      </c>
      <c r="BG578" s="168"/>
      <c r="BH578" s="274"/>
      <c r="BI578" s="168"/>
      <c r="BJ578" s="274"/>
      <c r="BK578" s="168"/>
      <c r="BL578" s="275"/>
      <c r="BM578" s="276"/>
      <c r="BN578" s="275"/>
      <c r="BO578" s="276"/>
      <c r="BP578" s="277"/>
      <c r="BQ578" s="156"/>
      <c r="BR578" s="274"/>
      <c r="BS578" s="270"/>
      <c r="BT578" s="270"/>
      <c r="BU578" s="274"/>
      <c r="BV578" s="274"/>
      <c r="BW578" s="278"/>
      <c r="BX578" s="278"/>
      <c r="BY578" s="278"/>
      <c r="BZ578" s="351"/>
    </row>
    <row r="579" spans="1:78" s="90" customFormat="1" ht="19.5" hidden="1" customHeight="1">
      <c r="A579" s="137"/>
      <c r="B579" s="197">
        <f t="shared" si="25"/>
        <v>569</v>
      </c>
      <c r="C579" s="30" t="s">
        <v>202</v>
      </c>
      <c r="D579" s="30" t="s">
        <v>225</v>
      </c>
      <c r="E579" s="234" t="s">
        <v>1148</v>
      </c>
      <c r="F579" s="235" t="s">
        <v>1217</v>
      </c>
      <c r="G579" s="284" t="str">
        <f>IFERROR(VLOOKUP(E579,Assign!$C$2:$J$142,8,FALSE),)</f>
        <v>문선영</v>
      </c>
      <c r="H579" s="361" t="s">
        <v>4926</v>
      </c>
      <c r="I579" s="363">
        <v>1</v>
      </c>
      <c r="J579" s="364" t="s">
        <v>208</v>
      </c>
      <c r="K579" s="364" t="s">
        <v>237</v>
      </c>
      <c r="L579" s="365" t="s">
        <v>2349</v>
      </c>
      <c r="M579" s="362" t="s">
        <v>2447</v>
      </c>
      <c r="N579" s="421" t="s">
        <v>207</v>
      </c>
      <c r="O579" s="269">
        <v>47.0563</v>
      </c>
      <c r="P579" s="269">
        <v>66.034599999999998</v>
      </c>
      <c r="Q579" s="426"/>
      <c r="R579" s="418" t="s">
        <v>3469</v>
      </c>
      <c r="S579" s="427" t="s">
        <v>613</v>
      </c>
      <c r="T579" s="357">
        <v>3</v>
      </c>
      <c r="U579" s="357" t="s">
        <v>204</v>
      </c>
      <c r="V579" s="367">
        <v>84000000</v>
      </c>
      <c r="W579" s="368">
        <v>84000000</v>
      </c>
      <c r="X579" s="357"/>
      <c r="Y579" s="357"/>
      <c r="Z579" s="400"/>
      <c r="AA579" s="369"/>
      <c r="AB579" s="370"/>
      <c r="AC579" s="404" t="s">
        <v>229</v>
      </c>
      <c r="AD579" s="270" t="s">
        <v>204</v>
      </c>
      <c r="AE579" s="156">
        <v>380600000</v>
      </c>
      <c r="AF579" s="156">
        <v>380600000</v>
      </c>
      <c r="AG579" s="357"/>
      <c r="AH579" s="357"/>
      <c r="AI579" s="357"/>
      <c r="AJ579" s="156"/>
      <c r="AK579" s="156"/>
      <c r="AL579" s="375"/>
      <c r="AM579" s="405"/>
      <c r="AN579" s="273"/>
      <c r="AO579" s="405"/>
      <c r="AP579" s="273"/>
      <c r="AQ579" s="273"/>
      <c r="AR579" s="273"/>
      <c r="AS579" s="273"/>
      <c r="AT579" s="273"/>
      <c r="AU579" s="273"/>
      <c r="AV579" s="322">
        <f t="shared" si="26"/>
        <v>0</v>
      </c>
      <c r="AW579" s="402" t="s">
        <v>3387</v>
      </c>
      <c r="AX579" s="376">
        <v>45765</v>
      </c>
      <c r="AY579" s="373" t="s">
        <v>3388</v>
      </c>
      <c r="AZ579" s="375"/>
      <c r="BA579" s="375">
        <v>565000000</v>
      </c>
      <c r="BB579" s="375"/>
      <c r="BC579" s="375"/>
      <c r="BD579" s="353">
        <f t="shared" si="27"/>
        <v>565000000</v>
      </c>
      <c r="BE579" s="432" t="s">
        <v>355</v>
      </c>
      <c r="BF579" s="407" t="s">
        <v>502</v>
      </c>
      <c r="BG579" s="168"/>
      <c r="BH579" s="274"/>
      <c r="BI579" s="168"/>
      <c r="BJ579" s="274"/>
      <c r="BK579" s="168"/>
      <c r="BL579" s="275"/>
      <c r="BM579" s="276"/>
      <c r="BN579" s="275"/>
      <c r="BO579" s="276"/>
      <c r="BP579" s="277"/>
      <c r="BQ579" s="156"/>
      <c r="BR579" s="274"/>
      <c r="BS579" s="270"/>
      <c r="BT579" s="270"/>
      <c r="BU579" s="274"/>
      <c r="BV579" s="274"/>
      <c r="BW579" s="278"/>
      <c r="BX579" s="278"/>
      <c r="BY579" s="278"/>
      <c r="BZ579" s="351"/>
    </row>
    <row r="580" spans="1:78" s="90" customFormat="1" ht="19.5" hidden="1" customHeight="1">
      <c r="A580" s="137"/>
      <c r="B580" s="197">
        <f t="shared" si="25"/>
        <v>570</v>
      </c>
      <c r="C580" s="30" t="s">
        <v>202</v>
      </c>
      <c r="D580" s="30" t="s">
        <v>225</v>
      </c>
      <c r="E580" s="234" t="s">
        <v>1149</v>
      </c>
      <c r="F580" s="235" t="s">
        <v>1232</v>
      </c>
      <c r="G580" s="284">
        <f>IFERROR(VLOOKUP(E580,Assign!$C$2:$J$142,8,FALSE),)</f>
        <v>0</v>
      </c>
      <c r="H580" s="361" t="s">
        <v>4079</v>
      </c>
      <c r="I580" s="363">
        <v>1</v>
      </c>
      <c r="J580" s="364" t="s">
        <v>208</v>
      </c>
      <c r="K580" s="364" t="s">
        <v>259</v>
      </c>
      <c r="L580" s="365" t="s">
        <v>1655</v>
      </c>
      <c r="M580" s="362" t="s">
        <v>1656</v>
      </c>
      <c r="N580" s="421" t="s">
        <v>207</v>
      </c>
      <c r="O580" s="269">
        <v>39.731699999999996</v>
      </c>
      <c r="P580" s="269">
        <v>59.72</v>
      </c>
      <c r="Q580" s="426"/>
      <c r="R580" s="418" t="s">
        <v>1149</v>
      </c>
      <c r="S580" s="427" t="s">
        <v>613</v>
      </c>
      <c r="T580" s="357">
        <v>1</v>
      </c>
      <c r="U580" s="357" t="s">
        <v>204</v>
      </c>
      <c r="V580" s="367">
        <v>84000000</v>
      </c>
      <c r="W580" s="368">
        <v>84000000</v>
      </c>
      <c r="X580" s="357"/>
      <c r="Y580" s="357"/>
      <c r="Z580" s="400"/>
      <c r="AA580" s="369"/>
      <c r="AB580" s="370"/>
      <c r="AC580" s="404"/>
      <c r="AD580" s="270"/>
      <c r="AE580" s="156"/>
      <c r="AF580" s="156"/>
      <c r="AG580" s="357"/>
      <c r="AH580" s="357"/>
      <c r="AI580" s="357"/>
      <c r="AJ580" s="156"/>
      <c r="AK580" s="156"/>
      <c r="AL580" s="375"/>
      <c r="AM580" s="405"/>
      <c r="AN580" s="273"/>
      <c r="AO580" s="405"/>
      <c r="AP580" s="273"/>
      <c r="AQ580" s="273"/>
      <c r="AR580" s="273"/>
      <c r="AS580" s="273"/>
      <c r="AT580" s="273"/>
      <c r="AU580" s="273"/>
      <c r="AV580" s="322">
        <f t="shared" si="26"/>
        <v>0</v>
      </c>
      <c r="AW580" s="402" t="s">
        <v>3387</v>
      </c>
      <c r="AX580" s="376">
        <v>45765</v>
      </c>
      <c r="AY580" s="373" t="s">
        <v>3388</v>
      </c>
      <c r="AZ580" s="375"/>
      <c r="BA580" s="375">
        <v>260000000</v>
      </c>
      <c r="BB580" s="375"/>
      <c r="BC580" s="375"/>
      <c r="BD580" s="353">
        <f t="shared" si="27"/>
        <v>260000000</v>
      </c>
      <c r="BE580" s="432" t="s">
        <v>335</v>
      </c>
      <c r="BF580" s="407" t="s">
        <v>499</v>
      </c>
      <c r="BG580" s="168" t="s">
        <v>3266</v>
      </c>
      <c r="BH580" s="274">
        <v>45558</v>
      </c>
      <c r="BI580" s="168" t="s">
        <v>3267</v>
      </c>
      <c r="BJ580" s="274">
        <v>45637</v>
      </c>
      <c r="BK580" s="168">
        <v>105017103</v>
      </c>
      <c r="BL580" s="275"/>
      <c r="BM580" s="276"/>
      <c r="BN580" s="275"/>
      <c r="BO580" s="276"/>
      <c r="BP580" s="277"/>
      <c r="BQ580" s="156"/>
      <c r="BR580" s="274"/>
      <c r="BS580" s="270"/>
      <c r="BT580" s="270"/>
      <c r="BU580" s="274"/>
      <c r="BV580" s="274"/>
      <c r="BW580" s="278"/>
      <c r="BX580" s="278"/>
      <c r="BY580" s="278"/>
      <c r="BZ580" s="351" t="s">
        <v>3415</v>
      </c>
    </row>
    <row r="581" spans="1:78" s="90" customFormat="1" ht="19.5" hidden="1" customHeight="1">
      <c r="A581" s="137"/>
      <c r="B581" s="197">
        <f t="shared" si="25"/>
        <v>571</v>
      </c>
      <c r="C581" s="30" t="s">
        <v>202</v>
      </c>
      <c r="D581" s="30" t="s">
        <v>225</v>
      </c>
      <c r="E581" s="234" t="s">
        <v>1150</v>
      </c>
      <c r="F581" s="235" t="s">
        <v>1233</v>
      </c>
      <c r="G581" s="284">
        <f>IFERROR(VLOOKUP(E581,Assign!$C$2:$J$142,8,FALSE),)</f>
        <v>0</v>
      </c>
      <c r="H581" s="361" t="s">
        <v>4350</v>
      </c>
      <c r="I581" s="363">
        <v>1</v>
      </c>
      <c r="J581" s="364" t="s">
        <v>208</v>
      </c>
      <c r="K581" s="364" t="s">
        <v>261</v>
      </c>
      <c r="L581" s="365" t="s">
        <v>1910</v>
      </c>
      <c r="M581" s="362" t="s">
        <v>1911</v>
      </c>
      <c r="N581" s="421" t="s">
        <v>606</v>
      </c>
      <c r="O581" s="269">
        <v>60.77</v>
      </c>
      <c r="P581" s="269">
        <v>49.68</v>
      </c>
      <c r="Q581" s="426"/>
      <c r="R581" s="418" t="s">
        <v>1150</v>
      </c>
      <c r="S581" s="427" t="s">
        <v>613</v>
      </c>
      <c r="T581" s="357">
        <v>1</v>
      </c>
      <c r="U581" s="357" t="s">
        <v>204</v>
      </c>
      <c r="V581" s="367">
        <v>75900000</v>
      </c>
      <c r="W581" s="368">
        <v>75900000</v>
      </c>
      <c r="X581" s="357"/>
      <c r="Y581" s="357"/>
      <c r="Z581" s="400"/>
      <c r="AA581" s="369"/>
      <c r="AB581" s="370"/>
      <c r="AC581" s="404"/>
      <c r="AD581" s="270"/>
      <c r="AE581" s="156"/>
      <c r="AF581" s="156"/>
      <c r="AG581" s="357"/>
      <c r="AH581" s="357"/>
      <c r="AI581" s="357"/>
      <c r="AJ581" s="156"/>
      <c r="AK581" s="156"/>
      <c r="AL581" s="375"/>
      <c r="AM581" s="405"/>
      <c r="AN581" s="273"/>
      <c r="AO581" s="405"/>
      <c r="AP581" s="273"/>
      <c r="AQ581" s="273"/>
      <c r="AR581" s="273"/>
      <c r="AS581" s="273"/>
      <c r="AT581" s="273"/>
      <c r="AU581" s="273"/>
      <c r="AV581" s="322">
        <f t="shared" si="26"/>
        <v>0</v>
      </c>
      <c r="AW581" s="402"/>
      <c r="AX581" s="376"/>
      <c r="AY581" s="373"/>
      <c r="AZ581" s="375"/>
      <c r="BA581" s="375"/>
      <c r="BB581" s="375"/>
      <c r="BC581" s="375"/>
      <c r="BD581" s="353">
        <f t="shared" si="27"/>
        <v>0</v>
      </c>
      <c r="BE581" s="432" t="s">
        <v>355</v>
      </c>
      <c r="BF581" s="407" t="s">
        <v>499</v>
      </c>
      <c r="BG581" s="168"/>
      <c r="BH581" s="274"/>
      <c r="BI581" s="168"/>
      <c r="BJ581" s="274"/>
      <c r="BK581" s="168"/>
      <c r="BL581" s="275"/>
      <c r="BM581" s="276"/>
      <c r="BN581" s="275"/>
      <c r="BO581" s="276"/>
      <c r="BP581" s="277"/>
      <c r="BQ581" s="156"/>
      <c r="BR581" s="274"/>
      <c r="BS581" s="270"/>
      <c r="BT581" s="270"/>
      <c r="BU581" s="274"/>
      <c r="BV581" s="274"/>
      <c r="BW581" s="278"/>
      <c r="BX581" s="278"/>
      <c r="BY581" s="278"/>
      <c r="BZ581" s="351"/>
    </row>
    <row r="582" spans="1:78" s="90" customFormat="1" ht="19.5" hidden="1" customHeight="1">
      <c r="A582" s="137"/>
      <c r="B582" s="197">
        <f t="shared" si="25"/>
        <v>572</v>
      </c>
      <c r="C582" s="30" t="s">
        <v>202</v>
      </c>
      <c r="D582" s="30" t="s">
        <v>225</v>
      </c>
      <c r="E582" s="234" t="s">
        <v>1151</v>
      </c>
      <c r="F582" s="235" t="s">
        <v>1231</v>
      </c>
      <c r="G582" s="284">
        <f>IFERROR(VLOOKUP(E582,Assign!$C$2:$J$142,8,FALSE),)</f>
        <v>0</v>
      </c>
      <c r="H582" s="361" t="s">
        <v>4565</v>
      </c>
      <c r="I582" s="363">
        <v>1</v>
      </c>
      <c r="J582" s="364" t="s">
        <v>220</v>
      </c>
      <c r="K582" s="364" t="s">
        <v>390</v>
      </c>
      <c r="L582" s="365" t="s">
        <v>574</v>
      </c>
      <c r="M582" s="362" t="s">
        <v>2103</v>
      </c>
      <c r="N582" s="421" t="s">
        <v>207</v>
      </c>
      <c r="O582" s="269">
        <v>28.27</v>
      </c>
      <c r="P582" s="269">
        <v>59.94</v>
      </c>
      <c r="Q582" s="426"/>
      <c r="R582" s="418" t="s">
        <v>1151</v>
      </c>
      <c r="S582" s="427" t="s">
        <v>613</v>
      </c>
      <c r="T582" s="357">
        <v>1</v>
      </c>
      <c r="U582" s="357" t="s">
        <v>204</v>
      </c>
      <c r="V582" s="367">
        <v>94800000</v>
      </c>
      <c r="W582" s="368">
        <v>94800000</v>
      </c>
      <c r="X582" s="357"/>
      <c r="Y582" s="357"/>
      <c r="Z582" s="400"/>
      <c r="AA582" s="369"/>
      <c r="AB582" s="370"/>
      <c r="AC582" s="404"/>
      <c r="AD582" s="270"/>
      <c r="AE582" s="156"/>
      <c r="AF582" s="156"/>
      <c r="AG582" s="357"/>
      <c r="AH582" s="357"/>
      <c r="AI582" s="357"/>
      <c r="AJ582" s="156"/>
      <c r="AK582" s="156"/>
      <c r="AL582" s="375"/>
      <c r="AM582" s="405"/>
      <c r="AN582" s="273"/>
      <c r="AO582" s="405"/>
      <c r="AP582" s="273"/>
      <c r="AQ582" s="273"/>
      <c r="AR582" s="273"/>
      <c r="AS582" s="273"/>
      <c r="AT582" s="273"/>
      <c r="AU582" s="273"/>
      <c r="AV582" s="322">
        <f t="shared" si="26"/>
        <v>0</v>
      </c>
      <c r="AW582" s="402" t="s">
        <v>3387</v>
      </c>
      <c r="AX582" s="376">
        <v>45765</v>
      </c>
      <c r="AY582" s="373" t="s">
        <v>3388</v>
      </c>
      <c r="AZ582" s="375"/>
      <c r="BA582" s="375">
        <v>95000000</v>
      </c>
      <c r="BB582" s="375"/>
      <c r="BC582" s="375"/>
      <c r="BD582" s="353">
        <f t="shared" si="27"/>
        <v>95000000</v>
      </c>
      <c r="BE582" s="432" t="s">
        <v>355</v>
      </c>
      <c r="BF582" s="407" t="s">
        <v>523</v>
      </c>
      <c r="BG582" s="168"/>
      <c r="BH582" s="274"/>
      <c r="BI582" s="168"/>
      <c r="BJ582" s="274"/>
      <c r="BK582" s="168"/>
      <c r="BL582" s="275"/>
      <c r="BM582" s="276"/>
      <c r="BN582" s="275"/>
      <c r="BO582" s="276"/>
      <c r="BP582" s="277"/>
      <c r="BQ582" s="156"/>
      <c r="BR582" s="274"/>
      <c r="BS582" s="270"/>
      <c r="BT582" s="270"/>
      <c r="BU582" s="274"/>
      <c r="BV582" s="274"/>
      <c r="BW582" s="278"/>
      <c r="BX582" s="278"/>
      <c r="BY582" s="278"/>
      <c r="BZ582" s="351"/>
    </row>
    <row r="583" spans="1:78" s="90" customFormat="1" ht="19.5" hidden="1" customHeight="1">
      <c r="A583" s="137"/>
      <c r="B583" s="197">
        <f t="shared" si="25"/>
        <v>573</v>
      </c>
      <c r="C583" s="30" t="s">
        <v>202</v>
      </c>
      <c r="D583" s="30" t="s">
        <v>225</v>
      </c>
      <c r="E583" s="234" t="s">
        <v>1152</v>
      </c>
      <c r="F583" s="235" t="s">
        <v>1220</v>
      </c>
      <c r="G583" s="284">
        <f>IFERROR(VLOOKUP(E583,Assign!$C$2:$J$142,8,FALSE),)</f>
        <v>0</v>
      </c>
      <c r="H583" s="361" t="s">
        <v>4138</v>
      </c>
      <c r="I583" s="363">
        <v>1</v>
      </c>
      <c r="J583" s="364" t="s">
        <v>208</v>
      </c>
      <c r="K583" s="364" t="s">
        <v>297</v>
      </c>
      <c r="L583" s="365" t="s">
        <v>1714</v>
      </c>
      <c r="M583" s="362" t="s">
        <v>1715</v>
      </c>
      <c r="N583" s="421" t="s">
        <v>207</v>
      </c>
      <c r="O583" s="269">
        <v>64.06</v>
      </c>
      <c r="P583" s="269">
        <v>84.87</v>
      </c>
      <c r="Q583" s="426"/>
      <c r="R583" s="418" t="s">
        <v>1152</v>
      </c>
      <c r="S583" s="427" t="s">
        <v>613</v>
      </c>
      <c r="T583" s="357" t="s">
        <v>229</v>
      </c>
      <c r="U583" s="357" t="s">
        <v>204</v>
      </c>
      <c r="V583" s="367">
        <v>119880000</v>
      </c>
      <c r="W583" s="368">
        <v>119880000</v>
      </c>
      <c r="X583" s="357"/>
      <c r="Y583" s="357"/>
      <c r="Z583" s="400"/>
      <c r="AA583" s="369"/>
      <c r="AB583" s="370"/>
      <c r="AC583" s="404"/>
      <c r="AD583" s="270"/>
      <c r="AE583" s="156"/>
      <c r="AF583" s="156"/>
      <c r="AG583" s="357"/>
      <c r="AH583" s="357"/>
      <c r="AI583" s="357"/>
      <c r="AJ583" s="156"/>
      <c r="AK583" s="156"/>
      <c r="AL583" s="375"/>
      <c r="AM583" s="405"/>
      <c r="AN583" s="273"/>
      <c r="AO583" s="405"/>
      <c r="AP583" s="273"/>
      <c r="AQ583" s="273"/>
      <c r="AR583" s="273"/>
      <c r="AS583" s="273"/>
      <c r="AT583" s="273"/>
      <c r="AU583" s="273"/>
      <c r="AV583" s="322">
        <f t="shared" si="26"/>
        <v>0</v>
      </c>
      <c r="AW583" s="402" t="s">
        <v>3387</v>
      </c>
      <c r="AX583" s="376">
        <v>45765</v>
      </c>
      <c r="AY583" s="373" t="s">
        <v>3388</v>
      </c>
      <c r="AZ583" s="375"/>
      <c r="BA583" s="375">
        <v>377500000</v>
      </c>
      <c r="BB583" s="375"/>
      <c r="BC583" s="375"/>
      <c r="BD583" s="353">
        <f t="shared" si="27"/>
        <v>377500000</v>
      </c>
      <c r="BE583" s="432" t="s">
        <v>355</v>
      </c>
      <c r="BF583" s="407" t="s">
        <v>424</v>
      </c>
      <c r="BG583" s="168"/>
      <c r="BH583" s="274"/>
      <c r="BI583" s="168"/>
      <c r="BJ583" s="274"/>
      <c r="BK583" s="168"/>
      <c r="BL583" s="275"/>
      <c r="BM583" s="276"/>
      <c r="BN583" s="275"/>
      <c r="BO583" s="276"/>
      <c r="BP583" s="277"/>
      <c r="BQ583" s="156"/>
      <c r="BR583" s="274"/>
      <c r="BS583" s="270"/>
      <c r="BT583" s="270"/>
      <c r="BU583" s="274"/>
      <c r="BV583" s="274"/>
      <c r="BW583" s="278"/>
      <c r="BX583" s="278"/>
      <c r="BY583" s="278"/>
      <c r="BZ583" s="351"/>
    </row>
    <row r="584" spans="1:78" s="90" customFormat="1" ht="19.5" hidden="1" customHeight="1">
      <c r="A584" s="137"/>
      <c r="B584" s="197">
        <f t="shared" si="25"/>
        <v>574</v>
      </c>
      <c r="C584" s="30" t="s">
        <v>202</v>
      </c>
      <c r="D584" s="30" t="s">
        <v>225</v>
      </c>
      <c r="E584" s="234" t="s">
        <v>1153</v>
      </c>
      <c r="F584" s="235" t="s">
        <v>1229</v>
      </c>
      <c r="G584" s="284">
        <f>IFERROR(VLOOKUP(E584,Assign!$C$2:$J$142,8,FALSE),)</f>
        <v>0</v>
      </c>
      <c r="H584" s="361" t="s">
        <v>5115</v>
      </c>
      <c r="I584" s="363">
        <v>1</v>
      </c>
      <c r="J584" s="364" t="s">
        <v>208</v>
      </c>
      <c r="K584" s="364" t="s">
        <v>2628</v>
      </c>
      <c r="L584" s="365" t="s">
        <v>2629</v>
      </c>
      <c r="M584" s="362" t="s">
        <v>2630</v>
      </c>
      <c r="N584" s="421" t="s">
        <v>207</v>
      </c>
      <c r="O584" s="269">
        <v>32.17</v>
      </c>
      <c r="P584" s="269">
        <v>59.99</v>
      </c>
      <c r="Q584" s="426"/>
      <c r="R584" s="418" t="s">
        <v>1153</v>
      </c>
      <c r="S584" s="427" t="s">
        <v>613</v>
      </c>
      <c r="T584" s="357">
        <v>1</v>
      </c>
      <c r="U584" s="357" t="s">
        <v>204</v>
      </c>
      <c r="V584" s="367">
        <v>81600000</v>
      </c>
      <c r="W584" s="368">
        <v>81600000</v>
      </c>
      <c r="X584" s="357"/>
      <c r="Y584" s="357"/>
      <c r="Z584" s="400"/>
      <c r="AA584" s="369"/>
      <c r="AB584" s="370"/>
      <c r="AC584" s="404"/>
      <c r="AD584" s="270"/>
      <c r="AE584" s="156"/>
      <c r="AF584" s="156"/>
      <c r="AG584" s="357"/>
      <c r="AH584" s="357"/>
      <c r="AI584" s="357"/>
      <c r="AJ584" s="156"/>
      <c r="AK584" s="156"/>
      <c r="AL584" s="375"/>
      <c r="AM584" s="405"/>
      <c r="AN584" s="273"/>
      <c r="AO584" s="405"/>
      <c r="AP584" s="273"/>
      <c r="AQ584" s="273"/>
      <c r="AR584" s="273"/>
      <c r="AS584" s="273"/>
      <c r="AT584" s="273"/>
      <c r="AU584" s="273"/>
      <c r="AV584" s="322">
        <f t="shared" si="26"/>
        <v>0</v>
      </c>
      <c r="AW584" s="402" t="s">
        <v>3387</v>
      </c>
      <c r="AX584" s="376">
        <v>45765</v>
      </c>
      <c r="AY584" s="373" t="s">
        <v>3388</v>
      </c>
      <c r="AZ584" s="375"/>
      <c r="BA584" s="375">
        <v>100000000</v>
      </c>
      <c r="BB584" s="375"/>
      <c r="BC584" s="375"/>
      <c r="BD584" s="353">
        <f t="shared" si="27"/>
        <v>100000000</v>
      </c>
      <c r="BE584" s="432" t="s">
        <v>355</v>
      </c>
      <c r="BF584" s="407" t="s">
        <v>499</v>
      </c>
      <c r="BG584" s="168"/>
      <c r="BH584" s="274"/>
      <c r="BI584" s="168"/>
      <c r="BJ584" s="274"/>
      <c r="BK584" s="168"/>
      <c r="BL584" s="275"/>
      <c r="BM584" s="276"/>
      <c r="BN584" s="275"/>
      <c r="BO584" s="276"/>
      <c r="BP584" s="277"/>
      <c r="BQ584" s="156"/>
      <c r="BR584" s="274"/>
      <c r="BS584" s="270"/>
      <c r="BT584" s="270"/>
      <c r="BU584" s="274"/>
      <c r="BV584" s="274"/>
      <c r="BW584" s="278"/>
      <c r="BX584" s="278"/>
      <c r="BY584" s="278"/>
      <c r="BZ584" s="351"/>
    </row>
    <row r="585" spans="1:78" s="90" customFormat="1" ht="19.5" hidden="1" customHeight="1">
      <c r="A585" s="137"/>
      <c r="B585" s="197">
        <f t="shared" si="25"/>
        <v>575</v>
      </c>
      <c r="C585" s="30" t="s">
        <v>202</v>
      </c>
      <c r="D585" s="30" t="s">
        <v>225</v>
      </c>
      <c r="E585" s="234" t="s">
        <v>1154</v>
      </c>
      <c r="F585" s="235" t="s">
        <v>1223</v>
      </c>
      <c r="G585" s="284">
        <f>IFERROR(VLOOKUP(E585,Assign!$C$2:$J$142,8,FALSE),)</f>
        <v>0</v>
      </c>
      <c r="H585" s="361" t="s">
        <v>4823</v>
      </c>
      <c r="I585" s="363">
        <v>1</v>
      </c>
      <c r="J585" s="364" t="s">
        <v>208</v>
      </c>
      <c r="K585" s="364" t="s">
        <v>398</v>
      </c>
      <c r="L585" s="365" t="s">
        <v>399</v>
      </c>
      <c r="M585" s="362" t="s">
        <v>2354</v>
      </c>
      <c r="N585" s="421" t="s">
        <v>207</v>
      </c>
      <c r="O585" s="269">
        <v>36.409999999999997</v>
      </c>
      <c r="P585" s="269">
        <v>58.14</v>
      </c>
      <c r="Q585" s="426"/>
      <c r="R585" s="418" t="s">
        <v>3369</v>
      </c>
      <c r="S585" s="427" t="s">
        <v>613</v>
      </c>
      <c r="T585" s="357">
        <v>7</v>
      </c>
      <c r="U585" s="357" t="s">
        <v>204</v>
      </c>
      <c r="V585" s="367">
        <v>72200000</v>
      </c>
      <c r="W585" s="368">
        <v>72200000</v>
      </c>
      <c r="X585" s="357"/>
      <c r="Y585" s="357"/>
      <c r="Z585" s="400"/>
      <c r="AA585" s="369"/>
      <c r="AB585" s="370"/>
      <c r="AC585" s="404" t="s">
        <v>3072</v>
      </c>
      <c r="AD585" s="270" t="s">
        <v>204</v>
      </c>
      <c r="AE585" s="156">
        <v>233500000</v>
      </c>
      <c r="AF585" s="156">
        <v>233500000</v>
      </c>
      <c r="AG585" s="357"/>
      <c r="AH585" s="357"/>
      <c r="AI585" s="357"/>
      <c r="AJ585" s="156"/>
      <c r="AK585" s="156"/>
      <c r="AL585" s="375"/>
      <c r="AM585" s="405"/>
      <c r="AN585" s="273"/>
      <c r="AO585" s="405"/>
      <c r="AP585" s="273"/>
      <c r="AQ585" s="273"/>
      <c r="AR585" s="273"/>
      <c r="AS585" s="273"/>
      <c r="AT585" s="273"/>
      <c r="AU585" s="273"/>
      <c r="AV585" s="322">
        <f t="shared" si="26"/>
        <v>0</v>
      </c>
      <c r="AW585" s="402" t="s">
        <v>3387</v>
      </c>
      <c r="AX585" s="376">
        <v>45765</v>
      </c>
      <c r="AY585" s="373" t="s">
        <v>3388</v>
      </c>
      <c r="AZ585" s="375"/>
      <c r="BA585" s="375">
        <v>362500000</v>
      </c>
      <c r="BB585" s="375"/>
      <c r="BC585" s="375"/>
      <c r="BD585" s="353">
        <f t="shared" si="27"/>
        <v>362500000</v>
      </c>
      <c r="BE585" s="432" t="s">
        <v>355</v>
      </c>
      <c r="BF585" s="407" t="s">
        <v>506</v>
      </c>
      <c r="BG585" s="168"/>
      <c r="BH585" s="274"/>
      <c r="BI585" s="168"/>
      <c r="BJ585" s="274"/>
      <c r="BK585" s="168"/>
      <c r="BL585" s="275"/>
      <c r="BM585" s="276"/>
      <c r="BN585" s="275"/>
      <c r="BO585" s="276"/>
      <c r="BP585" s="277"/>
      <c r="BQ585" s="156"/>
      <c r="BR585" s="274"/>
      <c r="BS585" s="270"/>
      <c r="BT585" s="270"/>
      <c r="BU585" s="274"/>
      <c r="BV585" s="274"/>
      <c r="BW585" s="278"/>
      <c r="BX585" s="278"/>
      <c r="BY585" s="278"/>
      <c r="BZ585" s="351"/>
    </row>
    <row r="586" spans="1:78" s="90" customFormat="1" ht="19.5" hidden="1" customHeight="1">
      <c r="A586" s="137"/>
      <c r="B586" s="197">
        <f t="shared" si="25"/>
        <v>576</v>
      </c>
      <c r="C586" s="30" t="s">
        <v>202</v>
      </c>
      <c r="D586" s="30" t="s">
        <v>225</v>
      </c>
      <c r="E586" s="234" t="s">
        <v>1154</v>
      </c>
      <c r="F586" s="235" t="s">
        <v>1223</v>
      </c>
      <c r="G586" s="284">
        <f>IFERROR(VLOOKUP(E586,Assign!$C$2:$J$142,8,FALSE),)</f>
        <v>0</v>
      </c>
      <c r="H586" s="361" t="s">
        <v>4825</v>
      </c>
      <c r="I586" s="363">
        <v>2</v>
      </c>
      <c r="J586" s="364" t="s">
        <v>208</v>
      </c>
      <c r="K586" s="364" t="s">
        <v>398</v>
      </c>
      <c r="L586" s="365" t="s">
        <v>2355</v>
      </c>
      <c r="M586" s="362" t="s">
        <v>2356</v>
      </c>
      <c r="N586" s="421" t="s">
        <v>531</v>
      </c>
      <c r="O586" s="269">
        <v>10.39</v>
      </c>
      <c r="P586" s="269">
        <v>20.43</v>
      </c>
      <c r="Q586" s="426"/>
      <c r="R586" s="418" t="s">
        <v>1154</v>
      </c>
      <c r="S586" s="427" t="s">
        <v>613</v>
      </c>
      <c r="T586" s="357">
        <v>1</v>
      </c>
      <c r="U586" s="357" t="s">
        <v>204</v>
      </c>
      <c r="V586" s="367">
        <v>47900000</v>
      </c>
      <c r="W586" s="368">
        <v>47900000</v>
      </c>
      <c r="X586" s="357"/>
      <c r="Y586" s="357"/>
      <c r="Z586" s="400"/>
      <c r="AA586" s="369"/>
      <c r="AB586" s="370"/>
      <c r="AC586" s="404"/>
      <c r="AD586" s="270"/>
      <c r="AE586" s="156"/>
      <c r="AF586" s="156"/>
      <c r="AG586" s="357"/>
      <c r="AH586" s="357"/>
      <c r="AI586" s="357"/>
      <c r="AJ586" s="156"/>
      <c r="AK586" s="156"/>
      <c r="AL586" s="375"/>
      <c r="AM586" s="405"/>
      <c r="AN586" s="273"/>
      <c r="AO586" s="405"/>
      <c r="AP586" s="273"/>
      <c r="AQ586" s="273"/>
      <c r="AR586" s="273"/>
      <c r="AS586" s="273"/>
      <c r="AT586" s="273"/>
      <c r="AU586" s="273"/>
      <c r="AV586" s="322">
        <f t="shared" si="26"/>
        <v>0</v>
      </c>
      <c r="AW586" s="402"/>
      <c r="AX586" s="376"/>
      <c r="AY586" s="373"/>
      <c r="AZ586" s="375"/>
      <c r="BA586" s="375"/>
      <c r="BB586" s="375"/>
      <c r="BC586" s="375"/>
      <c r="BD586" s="353">
        <f t="shared" si="27"/>
        <v>0</v>
      </c>
      <c r="BE586" s="432" t="s">
        <v>355</v>
      </c>
      <c r="BF586" s="407" t="s">
        <v>506</v>
      </c>
      <c r="BG586" s="168"/>
      <c r="BH586" s="274"/>
      <c r="BI586" s="168"/>
      <c r="BJ586" s="274"/>
      <c r="BK586" s="168"/>
      <c r="BL586" s="275"/>
      <c r="BM586" s="276"/>
      <c r="BN586" s="275"/>
      <c r="BO586" s="276"/>
      <c r="BP586" s="277"/>
      <c r="BQ586" s="156"/>
      <c r="BR586" s="274"/>
      <c r="BS586" s="270"/>
      <c r="BT586" s="270"/>
      <c r="BU586" s="274"/>
      <c r="BV586" s="274"/>
      <c r="BW586" s="278"/>
      <c r="BX586" s="278"/>
      <c r="BY586" s="278"/>
      <c r="BZ586" s="351"/>
    </row>
    <row r="587" spans="1:78" s="90" customFormat="1" ht="19.5" hidden="1" customHeight="1">
      <c r="A587" s="137"/>
      <c r="B587" s="197">
        <f t="shared" ref="B587:B650" si="28">ROW()-10</f>
        <v>577</v>
      </c>
      <c r="C587" s="30" t="s">
        <v>202</v>
      </c>
      <c r="D587" s="30" t="s">
        <v>225</v>
      </c>
      <c r="E587" s="234" t="s">
        <v>1155</v>
      </c>
      <c r="F587" s="235" t="s">
        <v>1229</v>
      </c>
      <c r="G587" s="284">
        <f>IFERROR(VLOOKUP(E587,Assign!$C$2:$J$142,8,FALSE),)</f>
        <v>0</v>
      </c>
      <c r="H587" s="361" t="s">
        <v>3925</v>
      </c>
      <c r="I587" s="363">
        <v>1</v>
      </c>
      <c r="J587" s="364" t="s">
        <v>208</v>
      </c>
      <c r="K587" s="364" t="s">
        <v>259</v>
      </c>
      <c r="L587" s="365" t="s">
        <v>1496</v>
      </c>
      <c r="M587" s="362" t="s">
        <v>1497</v>
      </c>
      <c r="N587" s="421" t="s">
        <v>3074</v>
      </c>
      <c r="O587" s="269">
        <v>3.0880000000000001</v>
      </c>
      <c r="P587" s="269">
        <v>17.489999999999998</v>
      </c>
      <c r="Q587" s="426"/>
      <c r="R587" s="418" t="s">
        <v>1155</v>
      </c>
      <c r="S587" s="427" t="s">
        <v>613</v>
      </c>
      <c r="T587" s="357">
        <v>1</v>
      </c>
      <c r="U587" s="357" t="s">
        <v>204</v>
      </c>
      <c r="V587" s="367">
        <v>73200000</v>
      </c>
      <c r="W587" s="368">
        <v>73200000</v>
      </c>
      <c r="X587" s="357"/>
      <c r="Y587" s="357"/>
      <c r="Z587" s="400"/>
      <c r="AA587" s="369"/>
      <c r="AB587" s="370"/>
      <c r="AC587" s="404"/>
      <c r="AD587" s="270"/>
      <c r="AE587" s="156"/>
      <c r="AF587" s="156"/>
      <c r="AG587" s="357"/>
      <c r="AH587" s="357"/>
      <c r="AI587" s="357"/>
      <c r="AJ587" s="156"/>
      <c r="AK587" s="156"/>
      <c r="AL587" s="375"/>
      <c r="AM587" s="405"/>
      <c r="AN587" s="273"/>
      <c r="AO587" s="405"/>
      <c r="AP587" s="273"/>
      <c r="AQ587" s="273"/>
      <c r="AR587" s="273"/>
      <c r="AS587" s="273"/>
      <c r="AT587" s="273"/>
      <c r="AU587" s="273"/>
      <c r="AV587" s="322">
        <f t="shared" ref="AV587:AV650" si="29">SUM(AP587:AU587)</f>
        <v>0</v>
      </c>
      <c r="AW587" s="402"/>
      <c r="AX587" s="376"/>
      <c r="AY587" s="373"/>
      <c r="AZ587" s="375"/>
      <c r="BA587" s="375"/>
      <c r="BB587" s="375"/>
      <c r="BC587" s="375"/>
      <c r="BD587" s="353">
        <f t="shared" ref="BD587:BD650" si="30">SUM(AZ587:BC587)</f>
        <v>0</v>
      </c>
      <c r="BE587" s="432" t="s">
        <v>355</v>
      </c>
      <c r="BF587" s="407" t="s">
        <v>499</v>
      </c>
      <c r="BG587" s="168"/>
      <c r="BH587" s="274"/>
      <c r="BI587" s="168"/>
      <c r="BJ587" s="274"/>
      <c r="BK587" s="168"/>
      <c r="BL587" s="275"/>
      <c r="BM587" s="276"/>
      <c r="BN587" s="275"/>
      <c r="BO587" s="276"/>
      <c r="BP587" s="277"/>
      <c r="BQ587" s="156"/>
      <c r="BR587" s="274"/>
      <c r="BS587" s="270"/>
      <c r="BT587" s="270"/>
      <c r="BU587" s="274"/>
      <c r="BV587" s="274"/>
      <c r="BW587" s="278"/>
      <c r="BX587" s="278"/>
      <c r="BY587" s="278"/>
      <c r="BZ587" s="351"/>
    </row>
    <row r="588" spans="1:78" s="90" customFormat="1" ht="19.5" hidden="1" customHeight="1">
      <c r="A588" s="137"/>
      <c r="B588" s="197">
        <f t="shared" si="28"/>
        <v>578</v>
      </c>
      <c r="C588" s="30" t="s">
        <v>202</v>
      </c>
      <c r="D588" s="30" t="s">
        <v>225</v>
      </c>
      <c r="E588" s="234" t="s">
        <v>1156</v>
      </c>
      <c r="F588" s="235" t="s">
        <v>1288</v>
      </c>
      <c r="G588" s="475"/>
      <c r="H588" s="361" t="s">
        <v>5010</v>
      </c>
      <c r="I588" s="363">
        <v>1</v>
      </c>
      <c r="J588" s="364" t="s">
        <v>213</v>
      </c>
      <c r="K588" s="364" t="s">
        <v>289</v>
      </c>
      <c r="L588" s="365" t="s">
        <v>2531</v>
      </c>
      <c r="M588" s="362" t="s">
        <v>2532</v>
      </c>
      <c r="N588" s="421" t="s">
        <v>3505</v>
      </c>
      <c r="O588" s="269">
        <v>4.0590000000000002</v>
      </c>
      <c r="P588" s="269">
        <v>27.13</v>
      </c>
      <c r="Q588" s="426"/>
      <c r="R588" s="418" t="s">
        <v>1156</v>
      </c>
      <c r="S588" s="427" t="s">
        <v>613</v>
      </c>
      <c r="T588" s="357">
        <v>1</v>
      </c>
      <c r="U588" s="357" t="s">
        <v>204</v>
      </c>
      <c r="V588" s="367">
        <v>96000000</v>
      </c>
      <c r="W588" s="368">
        <v>96000000</v>
      </c>
      <c r="X588" s="357"/>
      <c r="Y588" s="357"/>
      <c r="Z588" s="400"/>
      <c r="AA588" s="369"/>
      <c r="AB588" s="370"/>
      <c r="AC588" s="404"/>
      <c r="AD588" s="270"/>
      <c r="AE588" s="156"/>
      <c r="AF588" s="156"/>
      <c r="AG588" s="357"/>
      <c r="AH588" s="357"/>
      <c r="AI588" s="357"/>
      <c r="AJ588" s="156"/>
      <c r="AK588" s="156"/>
      <c r="AL588" s="375"/>
      <c r="AM588" s="405"/>
      <c r="AN588" s="273"/>
      <c r="AO588" s="405"/>
      <c r="AP588" s="273"/>
      <c r="AQ588" s="273"/>
      <c r="AR588" s="273"/>
      <c r="AS588" s="273"/>
      <c r="AT588" s="273"/>
      <c r="AU588" s="273"/>
      <c r="AV588" s="322">
        <f t="shared" si="29"/>
        <v>0</v>
      </c>
      <c r="AW588" s="402" t="s">
        <v>3387</v>
      </c>
      <c r="AX588" s="376">
        <v>45765</v>
      </c>
      <c r="AY588" s="373" t="s">
        <v>3388</v>
      </c>
      <c r="AZ588" s="375"/>
      <c r="BA588" s="375">
        <v>75000000</v>
      </c>
      <c r="BB588" s="375"/>
      <c r="BC588" s="375"/>
      <c r="BD588" s="353">
        <f t="shared" si="30"/>
        <v>75000000</v>
      </c>
      <c r="BE588" s="432" t="s">
        <v>355</v>
      </c>
      <c r="BF588" s="407" t="s">
        <v>423</v>
      </c>
      <c r="BG588" s="168"/>
      <c r="BH588" s="274"/>
      <c r="BI588" s="168"/>
      <c r="BJ588" s="274"/>
      <c r="BK588" s="168"/>
      <c r="BL588" s="275"/>
      <c r="BM588" s="276"/>
      <c r="BN588" s="275"/>
      <c r="BO588" s="276"/>
      <c r="BP588" s="277"/>
      <c r="BQ588" s="156"/>
      <c r="BR588" s="274"/>
      <c r="BS588" s="270"/>
      <c r="BT588" s="270"/>
      <c r="BU588" s="274"/>
      <c r="BV588" s="274"/>
      <c r="BW588" s="278"/>
      <c r="BX588" s="278"/>
      <c r="BY588" s="278"/>
      <c r="BZ588" s="351"/>
    </row>
    <row r="589" spans="1:78" s="90" customFormat="1" ht="19.5" hidden="1" customHeight="1">
      <c r="A589" s="137"/>
      <c r="B589" s="197">
        <f t="shared" si="28"/>
        <v>579</v>
      </c>
      <c r="C589" s="30" t="s">
        <v>202</v>
      </c>
      <c r="D589" s="30" t="s">
        <v>225</v>
      </c>
      <c r="E589" s="234" t="s">
        <v>1157</v>
      </c>
      <c r="F589" s="235" t="s">
        <v>1229</v>
      </c>
      <c r="G589" s="475"/>
      <c r="H589" s="361" t="s">
        <v>5586</v>
      </c>
      <c r="I589" s="363">
        <v>1</v>
      </c>
      <c r="J589" s="364"/>
      <c r="K589" s="364"/>
      <c r="L589" s="365"/>
      <c r="M589" s="362"/>
      <c r="N589" s="421" t="s">
        <v>3364</v>
      </c>
      <c r="O589" s="269"/>
      <c r="P589" s="269"/>
      <c r="Q589" s="426"/>
      <c r="R589" s="418" t="s">
        <v>203</v>
      </c>
      <c r="S589" s="427" t="s">
        <v>5596</v>
      </c>
      <c r="T589" s="357">
        <v>1</v>
      </c>
      <c r="U589" s="357"/>
      <c r="V589" s="367"/>
      <c r="W589" s="368">
        <v>0</v>
      </c>
      <c r="X589" s="357"/>
      <c r="Y589" s="357"/>
      <c r="Z589" s="400"/>
      <c r="AA589" s="369"/>
      <c r="AB589" s="370"/>
      <c r="AC589" s="404"/>
      <c r="AD589" s="270"/>
      <c r="AE589" s="156"/>
      <c r="AF589" s="156"/>
      <c r="AG589" s="357"/>
      <c r="AH589" s="357"/>
      <c r="AI589" s="357"/>
      <c r="AJ589" s="156"/>
      <c r="AK589" s="156"/>
      <c r="AL589" s="375"/>
      <c r="AM589" s="405"/>
      <c r="AN589" s="273"/>
      <c r="AO589" s="405"/>
      <c r="AP589" s="273"/>
      <c r="AQ589" s="273"/>
      <c r="AR589" s="273"/>
      <c r="AS589" s="273"/>
      <c r="AT589" s="273"/>
      <c r="AU589" s="273"/>
      <c r="AV589" s="322">
        <f t="shared" si="29"/>
        <v>0</v>
      </c>
      <c r="AW589" s="402"/>
      <c r="AX589" s="376"/>
      <c r="AY589" s="373"/>
      <c r="AZ589" s="375"/>
      <c r="BA589" s="375"/>
      <c r="BB589" s="375"/>
      <c r="BC589" s="375"/>
      <c r="BD589" s="353">
        <f t="shared" si="30"/>
        <v>0</v>
      </c>
      <c r="BE589" s="432" t="s">
        <v>355</v>
      </c>
      <c r="BF589" s="407" t="s">
        <v>203</v>
      </c>
      <c r="BG589" s="168"/>
      <c r="BH589" s="274"/>
      <c r="BI589" s="168"/>
      <c r="BJ589" s="274"/>
      <c r="BK589" s="168"/>
      <c r="BL589" s="275"/>
      <c r="BM589" s="276"/>
      <c r="BN589" s="275"/>
      <c r="BO589" s="276"/>
      <c r="BP589" s="277"/>
      <c r="BQ589" s="156"/>
      <c r="BR589" s="274"/>
      <c r="BS589" s="270"/>
      <c r="BT589" s="270"/>
      <c r="BU589" s="274"/>
      <c r="BV589" s="274"/>
      <c r="BW589" s="278"/>
      <c r="BX589" s="278"/>
      <c r="BY589" s="278"/>
      <c r="BZ589" s="351"/>
    </row>
    <row r="590" spans="1:78" s="90" customFormat="1" ht="19.5" hidden="1" customHeight="1">
      <c r="A590" s="137"/>
      <c r="B590" s="197">
        <f t="shared" si="28"/>
        <v>580</v>
      </c>
      <c r="C590" s="30" t="s">
        <v>202</v>
      </c>
      <c r="D590" s="30" t="s">
        <v>225</v>
      </c>
      <c r="E590" s="234" t="s">
        <v>1158</v>
      </c>
      <c r="F590" s="235" t="s">
        <v>1229</v>
      </c>
      <c r="G590" s="475"/>
      <c r="H590" s="361" t="s">
        <v>4728</v>
      </c>
      <c r="I590" s="363">
        <v>1</v>
      </c>
      <c r="J590" s="364" t="s">
        <v>208</v>
      </c>
      <c r="K590" s="364" t="s">
        <v>250</v>
      </c>
      <c r="L590" s="365" t="s">
        <v>2262</v>
      </c>
      <c r="M590" s="362" t="s">
        <v>2263</v>
      </c>
      <c r="N590" s="421" t="s">
        <v>3078</v>
      </c>
      <c r="O590" s="269">
        <v>3.5127999999999999</v>
      </c>
      <c r="P590" s="269">
        <v>18.32</v>
      </c>
      <c r="Q590" s="426"/>
      <c r="R590" s="418" t="s">
        <v>1158</v>
      </c>
      <c r="S590" s="427" t="s">
        <v>613</v>
      </c>
      <c r="T590" s="357">
        <v>1</v>
      </c>
      <c r="U590" s="357" t="s">
        <v>204</v>
      </c>
      <c r="V590" s="367">
        <v>72000000</v>
      </c>
      <c r="W590" s="368">
        <v>72000000</v>
      </c>
      <c r="X590" s="357"/>
      <c r="Y590" s="357"/>
      <c r="Z590" s="400"/>
      <c r="AA590" s="369"/>
      <c r="AB590" s="370"/>
      <c r="AC590" s="404"/>
      <c r="AD590" s="270"/>
      <c r="AE590" s="156"/>
      <c r="AF590" s="156"/>
      <c r="AG590" s="357"/>
      <c r="AH590" s="357"/>
      <c r="AI590" s="357"/>
      <c r="AJ590" s="156"/>
      <c r="AK590" s="156"/>
      <c r="AL590" s="375"/>
      <c r="AM590" s="405"/>
      <c r="AN590" s="273"/>
      <c r="AO590" s="405"/>
      <c r="AP590" s="273"/>
      <c r="AQ590" s="273"/>
      <c r="AR590" s="273"/>
      <c r="AS590" s="273"/>
      <c r="AT590" s="273"/>
      <c r="AU590" s="273"/>
      <c r="AV590" s="322">
        <f t="shared" si="29"/>
        <v>0</v>
      </c>
      <c r="AW590" s="402"/>
      <c r="AX590" s="376"/>
      <c r="AY590" s="373"/>
      <c r="AZ590" s="375"/>
      <c r="BA590" s="375"/>
      <c r="BB590" s="375"/>
      <c r="BC590" s="375"/>
      <c r="BD590" s="353">
        <f t="shared" si="30"/>
        <v>0</v>
      </c>
      <c r="BE590" s="432" t="s">
        <v>355</v>
      </c>
      <c r="BF590" s="407" t="s">
        <v>493</v>
      </c>
      <c r="BG590" s="168"/>
      <c r="BH590" s="274"/>
      <c r="BI590" s="168"/>
      <c r="BJ590" s="274"/>
      <c r="BK590" s="168"/>
      <c r="BL590" s="275"/>
      <c r="BM590" s="276"/>
      <c r="BN590" s="275"/>
      <c r="BO590" s="276"/>
      <c r="BP590" s="277"/>
      <c r="BQ590" s="156"/>
      <c r="BR590" s="274"/>
      <c r="BS590" s="270"/>
      <c r="BT590" s="270"/>
      <c r="BU590" s="274"/>
      <c r="BV590" s="274"/>
      <c r="BW590" s="278"/>
      <c r="BX590" s="278"/>
      <c r="BY590" s="278"/>
      <c r="BZ590" s="351"/>
    </row>
    <row r="591" spans="1:78" s="90" customFormat="1" ht="19.5" hidden="1" customHeight="1">
      <c r="A591" s="137"/>
      <c r="B591" s="197">
        <f t="shared" si="28"/>
        <v>581</v>
      </c>
      <c r="C591" s="30" t="s">
        <v>202</v>
      </c>
      <c r="D591" s="30" t="s">
        <v>225</v>
      </c>
      <c r="E591" s="234" t="s">
        <v>1159</v>
      </c>
      <c r="F591" s="235" t="s">
        <v>1221</v>
      </c>
      <c r="G591" s="475"/>
      <c r="H591" s="361" t="s">
        <v>4401</v>
      </c>
      <c r="I591" s="363">
        <v>1</v>
      </c>
      <c r="J591" s="364" t="s">
        <v>209</v>
      </c>
      <c r="K591" s="364" t="s">
        <v>319</v>
      </c>
      <c r="L591" s="365" t="s">
        <v>1928</v>
      </c>
      <c r="M591" s="362" t="s">
        <v>1956</v>
      </c>
      <c r="N591" s="421" t="s">
        <v>606</v>
      </c>
      <c r="O591" s="269">
        <v>19.47</v>
      </c>
      <c r="P591" s="269">
        <v>43.05</v>
      </c>
      <c r="Q591" s="426"/>
      <c r="R591" s="418" t="s">
        <v>1159</v>
      </c>
      <c r="S591" s="427" t="s">
        <v>613</v>
      </c>
      <c r="T591" s="357">
        <v>1</v>
      </c>
      <c r="U591" s="357" t="s">
        <v>204</v>
      </c>
      <c r="V591" s="367">
        <v>92400000</v>
      </c>
      <c r="W591" s="368">
        <v>92400000</v>
      </c>
      <c r="X591" s="357"/>
      <c r="Y591" s="357"/>
      <c r="Z591" s="400"/>
      <c r="AA591" s="369"/>
      <c r="AB591" s="370"/>
      <c r="AC591" s="404"/>
      <c r="AD591" s="270"/>
      <c r="AE591" s="156"/>
      <c r="AF591" s="156"/>
      <c r="AG591" s="357"/>
      <c r="AH591" s="357"/>
      <c r="AI591" s="357"/>
      <c r="AJ591" s="156"/>
      <c r="AK591" s="156"/>
      <c r="AL591" s="375"/>
      <c r="AM591" s="405"/>
      <c r="AN591" s="273"/>
      <c r="AO591" s="405"/>
      <c r="AP591" s="273"/>
      <c r="AQ591" s="273"/>
      <c r="AR591" s="273"/>
      <c r="AS591" s="273"/>
      <c r="AT591" s="273"/>
      <c r="AU591" s="273"/>
      <c r="AV591" s="322">
        <f t="shared" si="29"/>
        <v>0</v>
      </c>
      <c r="AW591" s="402"/>
      <c r="AX591" s="376"/>
      <c r="AY591" s="373"/>
      <c r="AZ591" s="375"/>
      <c r="BA591" s="375"/>
      <c r="BB591" s="375"/>
      <c r="BC591" s="375"/>
      <c r="BD591" s="353">
        <f t="shared" si="30"/>
        <v>0</v>
      </c>
      <c r="BE591" s="432" t="s">
        <v>355</v>
      </c>
      <c r="BF591" s="407" t="s">
        <v>495</v>
      </c>
      <c r="BG591" s="168"/>
      <c r="BH591" s="274"/>
      <c r="BI591" s="168"/>
      <c r="BJ591" s="274"/>
      <c r="BK591" s="168"/>
      <c r="BL591" s="275"/>
      <c r="BM591" s="276"/>
      <c r="BN591" s="275"/>
      <c r="BO591" s="276"/>
      <c r="BP591" s="277"/>
      <c r="BQ591" s="156"/>
      <c r="BR591" s="274"/>
      <c r="BS591" s="270"/>
      <c r="BT591" s="270"/>
      <c r="BU591" s="274"/>
      <c r="BV591" s="274"/>
      <c r="BW591" s="278"/>
      <c r="BX591" s="278"/>
      <c r="BY591" s="278"/>
      <c r="BZ591" s="351"/>
    </row>
    <row r="592" spans="1:78" s="90" customFormat="1" ht="19.5" hidden="1" customHeight="1">
      <c r="A592" s="137"/>
      <c r="B592" s="197">
        <f t="shared" si="28"/>
        <v>582</v>
      </c>
      <c r="C592" s="30" t="s">
        <v>202</v>
      </c>
      <c r="D592" s="30" t="s">
        <v>225</v>
      </c>
      <c r="E592" s="234" t="s">
        <v>1160</v>
      </c>
      <c r="F592" s="235" t="s">
        <v>1285</v>
      </c>
      <c r="G592" s="475"/>
      <c r="H592" s="361" t="s">
        <v>4368</v>
      </c>
      <c r="I592" s="363">
        <v>1</v>
      </c>
      <c r="J592" s="364" t="s">
        <v>208</v>
      </c>
      <c r="K592" s="364" t="s">
        <v>234</v>
      </c>
      <c r="L592" s="365" t="s">
        <v>317</v>
      </c>
      <c r="M592" s="362" t="s">
        <v>1924</v>
      </c>
      <c r="N592" s="421" t="s">
        <v>207</v>
      </c>
      <c r="O592" s="269">
        <v>41.958399999999997</v>
      </c>
      <c r="P592" s="269">
        <v>55.71</v>
      </c>
      <c r="Q592" s="426"/>
      <c r="R592" s="418" t="s">
        <v>1160</v>
      </c>
      <c r="S592" s="427" t="s">
        <v>613</v>
      </c>
      <c r="T592" s="357">
        <v>2</v>
      </c>
      <c r="U592" s="357" t="s">
        <v>204</v>
      </c>
      <c r="V592" s="367">
        <v>62590000</v>
      </c>
      <c r="W592" s="368">
        <v>62590000</v>
      </c>
      <c r="X592" s="357"/>
      <c r="Y592" s="357"/>
      <c r="Z592" s="400"/>
      <c r="AA592" s="369"/>
      <c r="AB592" s="370"/>
      <c r="AC592" s="404">
        <v>1</v>
      </c>
      <c r="AD592" s="270" t="s">
        <v>3855</v>
      </c>
      <c r="AE592" s="156">
        <v>293930000</v>
      </c>
      <c r="AF592" s="156">
        <v>293930000</v>
      </c>
      <c r="AG592" s="357"/>
      <c r="AH592" s="357"/>
      <c r="AI592" s="357"/>
      <c r="AJ592" s="156"/>
      <c r="AK592" s="156"/>
      <c r="AL592" s="375"/>
      <c r="AM592" s="405"/>
      <c r="AN592" s="273"/>
      <c r="AO592" s="405"/>
      <c r="AP592" s="273"/>
      <c r="AQ592" s="273"/>
      <c r="AR592" s="273"/>
      <c r="AS592" s="273"/>
      <c r="AT592" s="273"/>
      <c r="AU592" s="273"/>
      <c r="AV592" s="322">
        <f t="shared" si="29"/>
        <v>0</v>
      </c>
      <c r="AW592" s="402"/>
      <c r="AX592" s="376"/>
      <c r="AY592" s="373"/>
      <c r="AZ592" s="375"/>
      <c r="BA592" s="375"/>
      <c r="BB592" s="375"/>
      <c r="BC592" s="375"/>
      <c r="BD592" s="353">
        <f t="shared" si="30"/>
        <v>0</v>
      </c>
      <c r="BE592" s="432" t="s">
        <v>355</v>
      </c>
      <c r="BF592" s="407" t="s">
        <v>504</v>
      </c>
      <c r="BG592" s="168"/>
      <c r="BH592" s="274"/>
      <c r="BI592" s="168"/>
      <c r="BJ592" s="274"/>
      <c r="BK592" s="168"/>
      <c r="BL592" s="275"/>
      <c r="BM592" s="276"/>
      <c r="BN592" s="275"/>
      <c r="BO592" s="276"/>
      <c r="BP592" s="277"/>
      <c r="BQ592" s="156"/>
      <c r="BR592" s="274"/>
      <c r="BS592" s="270"/>
      <c r="BT592" s="270"/>
      <c r="BU592" s="274"/>
      <c r="BV592" s="274"/>
      <c r="BW592" s="278"/>
      <c r="BX592" s="278"/>
      <c r="BY592" s="278"/>
      <c r="BZ592" s="351"/>
    </row>
    <row r="593" spans="1:78" s="90" customFormat="1" ht="19.5" hidden="1" customHeight="1">
      <c r="A593" s="137"/>
      <c r="B593" s="197">
        <f t="shared" si="28"/>
        <v>583</v>
      </c>
      <c r="C593" s="30" t="s">
        <v>202</v>
      </c>
      <c r="D593" s="30" t="s">
        <v>225</v>
      </c>
      <c r="E593" s="234" t="s">
        <v>1161</v>
      </c>
      <c r="F593" s="235" t="s">
        <v>1229</v>
      </c>
      <c r="G593" s="475"/>
      <c r="H593" s="361" t="s">
        <v>5362</v>
      </c>
      <c r="I593" s="363">
        <v>1</v>
      </c>
      <c r="J593" s="364" t="s">
        <v>214</v>
      </c>
      <c r="K593" s="364" t="s">
        <v>349</v>
      </c>
      <c r="L593" s="365" t="s">
        <v>2839</v>
      </c>
      <c r="M593" s="362" t="s">
        <v>2840</v>
      </c>
      <c r="N593" s="421" t="s">
        <v>207</v>
      </c>
      <c r="O593" s="269">
        <v>23.446000000000002</v>
      </c>
      <c r="P593" s="269">
        <v>42.66</v>
      </c>
      <c r="Q593" s="426"/>
      <c r="R593" s="418" t="s">
        <v>1161</v>
      </c>
      <c r="S593" s="427" t="s">
        <v>613</v>
      </c>
      <c r="T593" s="357">
        <v>1</v>
      </c>
      <c r="U593" s="357" t="s">
        <v>204</v>
      </c>
      <c r="V593" s="367">
        <v>62700000</v>
      </c>
      <c r="W593" s="368">
        <v>62700000</v>
      </c>
      <c r="X593" s="357"/>
      <c r="Y593" s="357"/>
      <c r="Z593" s="400"/>
      <c r="AA593" s="369"/>
      <c r="AB593" s="370"/>
      <c r="AC593" s="404"/>
      <c r="AD593" s="270"/>
      <c r="AE593" s="156"/>
      <c r="AF593" s="156"/>
      <c r="AG593" s="357"/>
      <c r="AH593" s="357"/>
      <c r="AI593" s="357"/>
      <c r="AJ593" s="156"/>
      <c r="AK593" s="156"/>
      <c r="AL593" s="375"/>
      <c r="AM593" s="405"/>
      <c r="AN593" s="273"/>
      <c r="AO593" s="405"/>
      <c r="AP593" s="273"/>
      <c r="AQ593" s="273"/>
      <c r="AR593" s="273"/>
      <c r="AS593" s="273"/>
      <c r="AT593" s="273"/>
      <c r="AU593" s="273"/>
      <c r="AV593" s="322">
        <f t="shared" si="29"/>
        <v>0</v>
      </c>
      <c r="AW593" s="402" t="s">
        <v>3387</v>
      </c>
      <c r="AX593" s="376">
        <v>45765</v>
      </c>
      <c r="AY593" s="373" t="s">
        <v>3388</v>
      </c>
      <c r="AZ593" s="375"/>
      <c r="BA593" s="375">
        <v>82500000</v>
      </c>
      <c r="BB593" s="375"/>
      <c r="BC593" s="375"/>
      <c r="BD593" s="353">
        <f t="shared" si="30"/>
        <v>82500000</v>
      </c>
      <c r="BE593" s="432" t="s">
        <v>355</v>
      </c>
      <c r="BF593" s="407" t="s">
        <v>500</v>
      </c>
      <c r="BG593" s="168"/>
      <c r="BH593" s="274"/>
      <c r="BI593" s="168"/>
      <c r="BJ593" s="274"/>
      <c r="BK593" s="168"/>
      <c r="BL593" s="275"/>
      <c r="BM593" s="276"/>
      <c r="BN593" s="275"/>
      <c r="BO593" s="276"/>
      <c r="BP593" s="277"/>
      <c r="BQ593" s="156"/>
      <c r="BR593" s="274"/>
      <c r="BS593" s="270"/>
      <c r="BT593" s="270"/>
      <c r="BU593" s="274"/>
      <c r="BV593" s="274"/>
      <c r="BW593" s="278"/>
      <c r="BX593" s="278"/>
      <c r="BY593" s="278"/>
      <c r="BZ593" s="351"/>
    </row>
    <row r="594" spans="1:78" s="90" customFormat="1" ht="19.5" hidden="1" customHeight="1">
      <c r="A594" s="137"/>
      <c r="B594" s="197">
        <f t="shared" si="28"/>
        <v>584</v>
      </c>
      <c r="C594" s="30" t="s">
        <v>202</v>
      </c>
      <c r="D594" s="30" t="s">
        <v>225</v>
      </c>
      <c r="E594" s="234" t="s">
        <v>1162</v>
      </c>
      <c r="F594" s="235" t="s">
        <v>1225</v>
      </c>
      <c r="G594" s="475"/>
      <c r="H594" s="361" t="s">
        <v>5428</v>
      </c>
      <c r="I594" s="363">
        <v>1</v>
      </c>
      <c r="J594" s="364" t="s">
        <v>214</v>
      </c>
      <c r="K594" s="364" t="s">
        <v>349</v>
      </c>
      <c r="L594" s="365" t="s">
        <v>2903</v>
      </c>
      <c r="M594" s="362" t="s">
        <v>2904</v>
      </c>
      <c r="N594" s="421" t="s">
        <v>207</v>
      </c>
      <c r="O594" s="269">
        <v>39.042499999999997</v>
      </c>
      <c r="P594" s="269">
        <v>59.79</v>
      </c>
      <c r="Q594" s="426"/>
      <c r="R594" s="418" t="s">
        <v>1162</v>
      </c>
      <c r="S594" s="427" t="s">
        <v>613</v>
      </c>
      <c r="T594" s="357">
        <v>1</v>
      </c>
      <c r="U594" s="357" t="s">
        <v>204</v>
      </c>
      <c r="V594" s="367">
        <v>60500000</v>
      </c>
      <c r="W594" s="368">
        <v>60500000</v>
      </c>
      <c r="X594" s="357"/>
      <c r="Y594" s="357"/>
      <c r="Z594" s="400"/>
      <c r="AA594" s="369"/>
      <c r="AB594" s="370"/>
      <c r="AC594" s="404"/>
      <c r="AD594" s="270"/>
      <c r="AE594" s="156"/>
      <c r="AF594" s="156"/>
      <c r="AG594" s="357"/>
      <c r="AH594" s="357"/>
      <c r="AI594" s="357"/>
      <c r="AJ594" s="156"/>
      <c r="AK594" s="156"/>
      <c r="AL594" s="375"/>
      <c r="AM594" s="405"/>
      <c r="AN594" s="273"/>
      <c r="AO594" s="405"/>
      <c r="AP594" s="273"/>
      <c r="AQ594" s="273"/>
      <c r="AR594" s="273"/>
      <c r="AS594" s="273"/>
      <c r="AT594" s="273"/>
      <c r="AU594" s="273"/>
      <c r="AV594" s="322">
        <f t="shared" si="29"/>
        <v>0</v>
      </c>
      <c r="AW594" s="402" t="s">
        <v>3387</v>
      </c>
      <c r="AX594" s="376">
        <v>45765</v>
      </c>
      <c r="AY594" s="373" t="s">
        <v>3388</v>
      </c>
      <c r="AZ594" s="375"/>
      <c r="BA594" s="375">
        <v>105000000</v>
      </c>
      <c r="BB594" s="375"/>
      <c r="BC594" s="375"/>
      <c r="BD594" s="353">
        <f t="shared" si="30"/>
        <v>105000000</v>
      </c>
      <c r="BE594" s="432" t="s">
        <v>355</v>
      </c>
      <c r="BF594" s="407" t="s">
        <v>500</v>
      </c>
      <c r="BG594" s="168"/>
      <c r="BH594" s="274"/>
      <c r="BI594" s="168"/>
      <c r="BJ594" s="274"/>
      <c r="BK594" s="168"/>
      <c r="BL594" s="275"/>
      <c r="BM594" s="276"/>
      <c r="BN594" s="275"/>
      <c r="BO594" s="276"/>
      <c r="BP594" s="277"/>
      <c r="BQ594" s="156"/>
      <c r="BR594" s="274"/>
      <c r="BS594" s="270"/>
      <c r="BT594" s="270"/>
      <c r="BU594" s="274"/>
      <c r="BV594" s="274"/>
      <c r="BW594" s="278"/>
      <c r="BX594" s="278"/>
      <c r="BY594" s="278"/>
      <c r="BZ594" s="351"/>
    </row>
    <row r="595" spans="1:78" s="90" customFormat="1" ht="19.5" hidden="1" customHeight="1">
      <c r="A595" s="137"/>
      <c r="B595" s="197">
        <f t="shared" si="28"/>
        <v>585</v>
      </c>
      <c r="C595" s="30" t="s">
        <v>202</v>
      </c>
      <c r="D595" s="30" t="s">
        <v>225</v>
      </c>
      <c r="E595" s="234" t="s">
        <v>1163</v>
      </c>
      <c r="F595" s="235" t="s">
        <v>1252</v>
      </c>
      <c r="G595" s="475"/>
      <c r="H595" s="361" t="s">
        <v>4613</v>
      </c>
      <c r="I595" s="363">
        <v>1</v>
      </c>
      <c r="J595" s="364" t="s">
        <v>213</v>
      </c>
      <c r="K595" s="364" t="s">
        <v>256</v>
      </c>
      <c r="L595" s="365" t="s">
        <v>407</v>
      </c>
      <c r="M595" s="362" t="s">
        <v>2150</v>
      </c>
      <c r="N595" s="421" t="s">
        <v>3505</v>
      </c>
      <c r="O595" s="269">
        <v>3.5030000000000001</v>
      </c>
      <c r="P595" s="269">
        <v>28.305</v>
      </c>
      <c r="Q595" s="426"/>
      <c r="R595" s="418" t="s">
        <v>3401</v>
      </c>
      <c r="S595" s="427" t="s">
        <v>613</v>
      </c>
      <c r="T595" s="357">
        <v>1</v>
      </c>
      <c r="U595" s="357" t="s">
        <v>204</v>
      </c>
      <c r="V595" s="367">
        <v>94680000</v>
      </c>
      <c r="W595" s="368">
        <v>94680000</v>
      </c>
      <c r="X595" s="357"/>
      <c r="Y595" s="357"/>
      <c r="Z595" s="400"/>
      <c r="AA595" s="369"/>
      <c r="AB595" s="370"/>
      <c r="AC595" s="404"/>
      <c r="AD595" s="270"/>
      <c r="AE595" s="156"/>
      <c r="AF595" s="156"/>
      <c r="AG595" s="357"/>
      <c r="AH595" s="357"/>
      <c r="AI595" s="357"/>
      <c r="AJ595" s="156"/>
      <c r="AK595" s="156"/>
      <c r="AL595" s="375"/>
      <c r="AM595" s="405"/>
      <c r="AN595" s="273"/>
      <c r="AO595" s="405"/>
      <c r="AP595" s="273"/>
      <c r="AQ595" s="273"/>
      <c r="AR595" s="273"/>
      <c r="AS595" s="273"/>
      <c r="AT595" s="273"/>
      <c r="AU595" s="273"/>
      <c r="AV595" s="322">
        <f t="shared" si="29"/>
        <v>0</v>
      </c>
      <c r="AW595" s="402" t="s">
        <v>3387</v>
      </c>
      <c r="AX595" s="376">
        <v>45765</v>
      </c>
      <c r="AY595" s="373" t="s">
        <v>3388</v>
      </c>
      <c r="AZ595" s="375"/>
      <c r="BA595" s="375">
        <v>68000000</v>
      </c>
      <c r="BB595" s="375"/>
      <c r="BC595" s="375"/>
      <c r="BD595" s="353">
        <f t="shared" si="30"/>
        <v>68000000</v>
      </c>
      <c r="BE595" s="432" t="s">
        <v>355</v>
      </c>
      <c r="BF595" s="407" t="s">
        <v>423</v>
      </c>
      <c r="BG595" s="168"/>
      <c r="BH595" s="274"/>
      <c r="BI595" s="168"/>
      <c r="BJ595" s="274"/>
      <c r="BK595" s="168"/>
      <c r="BL595" s="275"/>
      <c r="BM595" s="276"/>
      <c r="BN595" s="275"/>
      <c r="BO595" s="276"/>
      <c r="BP595" s="277"/>
      <c r="BQ595" s="156"/>
      <c r="BR595" s="274"/>
      <c r="BS595" s="270"/>
      <c r="BT595" s="270"/>
      <c r="BU595" s="274"/>
      <c r="BV595" s="274"/>
      <c r="BW595" s="278"/>
      <c r="BX595" s="278"/>
      <c r="BY595" s="278"/>
      <c r="BZ595" s="351"/>
    </row>
    <row r="596" spans="1:78" s="90" customFormat="1" ht="19.5" hidden="1" customHeight="1">
      <c r="A596" s="137"/>
      <c r="B596" s="197">
        <f t="shared" si="28"/>
        <v>586</v>
      </c>
      <c r="C596" s="30" t="s">
        <v>202</v>
      </c>
      <c r="D596" s="30" t="s">
        <v>225</v>
      </c>
      <c r="E596" s="234" t="s">
        <v>1164</v>
      </c>
      <c r="F596" s="235" t="s">
        <v>1218</v>
      </c>
      <c r="G596" s="475"/>
      <c r="H596" s="361" t="s">
        <v>4583</v>
      </c>
      <c r="I596" s="363">
        <v>1</v>
      </c>
      <c r="J596" s="364" t="s">
        <v>214</v>
      </c>
      <c r="K596" s="364" t="s">
        <v>303</v>
      </c>
      <c r="L596" s="365" t="s">
        <v>2119</v>
      </c>
      <c r="M596" s="362" t="s">
        <v>2120</v>
      </c>
      <c r="N596" s="421" t="s">
        <v>207</v>
      </c>
      <c r="O596" s="269">
        <v>43.926000000000002</v>
      </c>
      <c r="P596" s="269">
        <v>49.92</v>
      </c>
      <c r="Q596" s="426"/>
      <c r="R596" s="418" t="s">
        <v>1164</v>
      </c>
      <c r="S596" s="427" t="s">
        <v>613</v>
      </c>
      <c r="T596" s="357">
        <v>1</v>
      </c>
      <c r="U596" s="357" t="s">
        <v>204</v>
      </c>
      <c r="V596" s="367">
        <v>70560000</v>
      </c>
      <c r="W596" s="368">
        <v>70560000</v>
      </c>
      <c r="X596" s="357"/>
      <c r="Y596" s="357"/>
      <c r="Z596" s="400"/>
      <c r="AA596" s="369"/>
      <c r="AB596" s="370"/>
      <c r="AC596" s="404"/>
      <c r="AD596" s="270"/>
      <c r="AE596" s="156"/>
      <c r="AF596" s="156"/>
      <c r="AG596" s="357"/>
      <c r="AH596" s="357"/>
      <c r="AI596" s="357"/>
      <c r="AJ596" s="156"/>
      <c r="AK596" s="156"/>
      <c r="AL596" s="375"/>
      <c r="AM596" s="405"/>
      <c r="AN596" s="273"/>
      <c r="AO596" s="405"/>
      <c r="AP596" s="273"/>
      <c r="AQ596" s="273"/>
      <c r="AR596" s="273"/>
      <c r="AS596" s="273"/>
      <c r="AT596" s="273"/>
      <c r="AU596" s="273"/>
      <c r="AV596" s="322">
        <f t="shared" si="29"/>
        <v>0</v>
      </c>
      <c r="AW596" s="402" t="s">
        <v>3387</v>
      </c>
      <c r="AX596" s="376">
        <v>45765</v>
      </c>
      <c r="AY596" s="373" t="s">
        <v>3388</v>
      </c>
      <c r="AZ596" s="375"/>
      <c r="BA596" s="375">
        <v>75500000</v>
      </c>
      <c r="BB596" s="375"/>
      <c r="BC596" s="375"/>
      <c r="BD596" s="353">
        <f t="shared" si="30"/>
        <v>75500000</v>
      </c>
      <c r="BE596" s="432" t="s">
        <v>335</v>
      </c>
      <c r="BF596" s="407" t="s">
        <v>500</v>
      </c>
      <c r="BG596" s="168" t="s">
        <v>1373</v>
      </c>
      <c r="BH596" s="274">
        <v>45646</v>
      </c>
      <c r="BI596" s="168" t="s">
        <v>3234</v>
      </c>
      <c r="BJ596" s="274">
        <v>45750</v>
      </c>
      <c r="BK596" s="168">
        <v>54697088</v>
      </c>
      <c r="BL596" s="275"/>
      <c r="BM596" s="276"/>
      <c r="BN596" s="275"/>
      <c r="BO596" s="276"/>
      <c r="BP596" s="277"/>
      <c r="BQ596" s="156"/>
      <c r="BR596" s="274"/>
      <c r="BS596" s="270"/>
      <c r="BT596" s="270"/>
      <c r="BU596" s="274"/>
      <c r="BV596" s="274"/>
      <c r="BW596" s="278"/>
      <c r="BX596" s="278"/>
      <c r="BY596" s="278"/>
      <c r="BZ596" s="351"/>
    </row>
    <row r="597" spans="1:78" s="90" customFormat="1" ht="19.5" hidden="1" customHeight="1">
      <c r="A597" s="137"/>
      <c r="B597" s="197">
        <f t="shared" si="28"/>
        <v>587</v>
      </c>
      <c r="C597" s="30" t="s">
        <v>202</v>
      </c>
      <c r="D597" s="30" t="s">
        <v>225</v>
      </c>
      <c r="E597" s="234" t="s">
        <v>1165</v>
      </c>
      <c r="F597" s="235" t="s">
        <v>1229</v>
      </c>
      <c r="G597" s="475"/>
      <c r="H597" s="361" t="s">
        <v>4827</v>
      </c>
      <c r="I597" s="363">
        <v>1</v>
      </c>
      <c r="J597" s="364" t="s">
        <v>212</v>
      </c>
      <c r="K597" s="364" t="s">
        <v>389</v>
      </c>
      <c r="L597" s="365" t="s">
        <v>2055</v>
      </c>
      <c r="M597" s="362" t="s">
        <v>2358</v>
      </c>
      <c r="N597" s="421" t="s">
        <v>606</v>
      </c>
      <c r="O597" s="269">
        <v>28.84</v>
      </c>
      <c r="P597" s="269">
        <v>50.5</v>
      </c>
      <c r="Q597" s="426"/>
      <c r="R597" s="418" t="s">
        <v>1165</v>
      </c>
      <c r="S597" s="427" t="s">
        <v>613</v>
      </c>
      <c r="T597" s="357" t="s">
        <v>229</v>
      </c>
      <c r="U597" s="357" t="s">
        <v>204</v>
      </c>
      <c r="V597" s="367">
        <v>90000000</v>
      </c>
      <c r="W597" s="368">
        <v>90000000</v>
      </c>
      <c r="X597" s="357"/>
      <c r="Y597" s="357"/>
      <c r="Z597" s="400"/>
      <c r="AA597" s="369"/>
      <c r="AB597" s="370"/>
      <c r="AC597" s="404"/>
      <c r="AD597" s="270"/>
      <c r="AE597" s="156"/>
      <c r="AF597" s="156"/>
      <c r="AG597" s="357"/>
      <c r="AH597" s="357"/>
      <c r="AI597" s="357"/>
      <c r="AJ597" s="156"/>
      <c r="AK597" s="156"/>
      <c r="AL597" s="375"/>
      <c r="AM597" s="405"/>
      <c r="AN597" s="273"/>
      <c r="AO597" s="405"/>
      <c r="AP597" s="273"/>
      <c r="AQ597" s="273"/>
      <c r="AR597" s="273"/>
      <c r="AS597" s="273"/>
      <c r="AT597" s="273"/>
      <c r="AU597" s="273"/>
      <c r="AV597" s="322">
        <f t="shared" si="29"/>
        <v>0</v>
      </c>
      <c r="AW597" s="402"/>
      <c r="AX597" s="376"/>
      <c r="AY597" s="373"/>
      <c r="AZ597" s="375"/>
      <c r="BA597" s="375"/>
      <c r="BB597" s="375"/>
      <c r="BC597" s="375"/>
      <c r="BD597" s="353">
        <f t="shared" si="30"/>
        <v>0</v>
      </c>
      <c r="BE597" s="432" t="s">
        <v>355</v>
      </c>
      <c r="BF597" s="407" t="s">
        <v>496</v>
      </c>
      <c r="BG597" s="168"/>
      <c r="BH597" s="274"/>
      <c r="BI597" s="168"/>
      <c r="BJ597" s="274"/>
      <c r="BK597" s="168"/>
      <c r="BL597" s="275"/>
      <c r="BM597" s="276"/>
      <c r="BN597" s="275"/>
      <c r="BO597" s="276"/>
      <c r="BP597" s="277"/>
      <c r="BQ597" s="156"/>
      <c r="BR597" s="274"/>
      <c r="BS597" s="270"/>
      <c r="BT597" s="270"/>
      <c r="BU597" s="274"/>
      <c r="BV597" s="274"/>
      <c r="BW597" s="278"/>
      <c r="BX597" s="278"/>
      <c r="BY597" s="278"/>
      <c r="BZ597" s="351"/>
    </row>
    <row r="598" spans="1:78" s="90" customFormat="1" ht="19.5" hidden="1" customHeight="1">
      <c r="A598" s="137"/>
      <c r="B598" s="197">
        <f t="shared" si="28"/>
        <v>588</v>
      </c>
      <c r="C598" s="30" t="s">
        <v>202</v>
      </c>
      <c r="D598" s="30" t="s">
        <v>225</v>
      </c>
      <c r="E598" s="234" t="s">
        <v>1166</v>
      </c>
      <c r="F598" s="235" t="s">
        <v>1222</v>
      </c>
      <c r="G598" s="475"/>
      <c r="H598" s="361" t="s">
        <v>4571</v>
      </c>
      <c r="I598" s="363">
        <v>1</v>
      </c>
      <c r="J598" s="364" t="s">
        <v>208</v>
      </c>
      <c r="K598" s="364" t="s">
        <v>234</v>
      </c>
      <c r="L598" s="365" t="s">
        <v>1568</v>
      </c>
      <c r="M598" s="362" t="s">
        <v>2109</v>
      </c>
      <c r="N598" s="421" t="s">
        <v>207</v>
      </c>
      <c r="O598" s="269">
        <v>64.680400000000006</v>
      </c>
      <c r="P598" s="269">
        <v>84.991</v>
      </c>
      <c r="Q598" s="426"/>
      <c r="R598" s="418" t="s">
        <v>3496</v>
      </c>
      <c r="S598" s="427" t="s">
        <v>613</v>
      </c>
      <c r="T598" s="357">
        <v>2</v>
      </c>
      <c r="U598" s="357" t="s">
        <v>204</v>
      </c>
      <c r="V598" s="367">
        <v>59400000</v>
      </c>
      <c r="W598" s="368">
        <v>59400000</v>
      </c>
      <c r="X598" s="357"/>
      <c r="Y598" s="357"/>
      <c r="Z598" s="400"/>
      <c r="AA598" s="369"/>
      <c r="AB598" s="370"/>
      <c r="AC598" s="404">
        <v>1</v>
      </c>
      <c r="AD598" s="270" t="s">
        <v>204</v>
      </c>
      <c r="AE598" s="156">
        <v>219450000</v>
      </c>
      <c r="AF598" s="156">
        <v>219450000</v>
      </c>
      <c r="AG598" s="357"/>
      <c r="AH598" s="357"/>
      <c r="AI598" s="357"/>
      <c r="AJ598" s="156"/>
      <c r="AK598" s="156"/>
      <c r="AL598" s="375"/>
      <c r="AM598" s="405"/>
      <c r="AN598" s="273"/>
      <c r="AO598" s="405"/>
      <c r="AP598" s="273"/>
      <c r="AQ598" s="273"/>
      <c r="AR598" s="273"/>
      <c r="AS598" s="273"/>
      <c r="AT598" s="273"/>
      <c r="AU598" s="273"/>
      <c r="AV598" s="322">
        <f t="shared" si="29"/>
        <v>0</v>
      </c>
      <c r="AW598" s="402" t="s">
        <v>3387</v>
      </c>
      <c r="AX598" s="376">
        <v>45765</v>
      </c>
      <c r="AY598" s="373" t="s">
        <v>3388</v>
      </c>
      <c r="AZ598" s="375"/>
      <c r="BA598" s="375">
        <v>345000000</v>
      </c>
      <c r="BB598" s="375"/>
      <c r="BC598" s="375"/>
      <c r="BD598" s="353">
        <f t="shared" si="30"/>
        <v>345000000</v>
      </c>
      <c r="BE598" s="432" t="s">
        <v>355</v>
      </c>
      <c r="BF598" s="407" t="s">
        <v>504</v>
      </c>
      <c r="BG598" s="168"/>
      <c r="BH598" s="274"/>
      <c r="BI598" s="168"/>
      <c r="BJ598" s="274"/>
      <c r="BK598" s="168"/>
      <c r="BL598" s="275"/>
      <c r="BM598" s="276"/>
      <c r="BN598" s="275"/>
      <c r="BO598" s="276"/>
      <c r="BP598" s="277"/>
      <c r="BQ598" s="156"/>
      <c r="BR598" s="274"/>
      <c r="BS598" s="270"/>
      <c r="BT598" s="270"/>
      <c r="BU598" s="274"/>
      <c r="BV598" s="274"/>
      <c r="BW598" s="278"/>
      <c r="BX598" s="278"/>
      <c r="BY598" s="278"/>
      <c r="BZ598" s="351"/>
    </row>
    <row r="599" spans="1:78" s="90" customFormat="1" ht="19.5" hidden="1" customHeight="1">
      <c r="A599" s="137"/>
      <c r="B599" s="197">
        <f t="shared" si="28"/>
        <v>589</v>
      </c>
      <c r="C599" s="30" t="s">
        <v>202</v>
      </c>
      <c r="D599" s="30" t="s">
        <v>225</v>
      </c>
      <c r="E599" s="234" t="s">
        <v>1167</v>
      </c>
      <c r="F599" s="235" t="s">
        <v>1225</v>
      </c>
      <c r="G599" s="475"/>
      <c r="H599" s="361" t="s">
        <v>4034</v>
      </c>
      <c r="I599" s="363">
        <v>1</v>
      </c>
      <c r="J599" s="364" t="s">
        <v>208</v>
      </c>
      <c r="K599" s="364" t="s">
        <v>234</v>
      </c>
      <c r="L599" s="365" t="s">
        <v>1608</v>
      </c>
      <c r="M599" s="362" t="s">
        <v>1609</v>
      </c>
      <c r="N599" s="421" t="s">
        <v>207</v>
      </c>
      <c r="O599" s="269">
        <v>69.513999999999996</v>
      </c>
      <c r="P599" s="269">
        <v>112.702</v>
      </c>
      <c r="Q599" s="426"/>
      <c r="R599" s="418" t="s">
        <v>3439</v>
      </c>
      <c r="S599" s="427" t="s">
        <v>613</v>
      </c>
      <c r="T599" s="357">
        <v>2</v>
      </c>
      <c r="U599" s="357" t="s">
        <v>204</v>
      </c>
      <c r="V599" s="367">
        <v>60000000</v>
      </c>
      <c r="W599" s="368">
        <v>60000000</v>
      </c>
      <c r="X599" s="357"/>
      <c r="Y599" s="357"/>
      <c r="Z599" s="400"/>
      <c r="AA599" s="369"/>
      <c r="AB599" s="370"/>
      <c r="AC599" s="404">
        <v>1</v>
      </c>
      <c r="AD599" s="270" t="s">
        <v>204</v>
      </c>
      <c r="AE599" s="156">
        <v>258000000</v>
      </c>
      <c r="AF599" s="156">
        <v>258000000</v>
      </c>
      <c r="AG599" s="357"/>
      <c r="AH599" s="357"/>
      <c r="AI599" s="357"/>
      <c r="AJ599" s="156"/>
      <c r="AK599" s="156"/>
      <c r="AL599" s="375"/>
      <c r="AM599" s="405"/>
      <c r="AN599" s="273"/>
      <c r="AO599" s="405"/>
      <c r="AP599" s="273"/>
      <c r="AQ599" s="273"/>
      <c r="AR599" s="273"/>
      <c r="AS599" s="273"/>
      <c r="AT599" s="273"/>
      <c r="AU599" s="273"/>
      <c r="AV599" s="322">
        <f t="shared" si="29"/>
        <v>0</v>
      </c>
      <c r="AW599" s="402" t="s">
        <v>3387</v>
      </c>
      <c r="AX599" s="376">
        <v>45765</v>
      </c>
      <c r="AY599" s="373" t="s">
        <v>3388</v>
      </c>
      <c r="AZ599" s="375"/>
      <c r="BA599" s="375">
        <v>447500000</v>
      </c>
      <c r="BB599" s="375"/>
      <c r="BC599" s="375"/>
      <c r="BD599" s="353">
        <f t="shared" si="30"/>
        <v>447500000</v>
      </c>
      <c r="BE599" s="432" t="s">
        <v>355</v>
      </c>
      <c r="BF599" s="407" t="s">
        <v>504</v>
      </c>
      <c r="BG599" s="168"/>
      <c r="BH599" s="274"/>
      <c r="BI599" s="168"/>
      <c r="BJ599" s="274"/>
      <c r="BK599" s="168"/>
      <c r="BL599" s="275"/>
      <c r="BM599" s="276"/>
      <c r="BN599" s="275"/>
      <c r="BO599" s="276"/>
      <c r="BP599" s="277"/>
      <c r="BQ599" s="156"/>
      <c r="BR599" s="274"/>
      <c r="BS599" s="270"/>
      <c r="BT599" s="270"/>
      <c r="BU599" s="274"/>
      <c r="BV599" s="274"/>
      <c r="BW599" s="278"/>
      <c r="BX599" s="278"/>
      <c r="BY599" s="278"/>
      <c r="BZ599" s="351"/>
    </row>
    <row r="600" spans="1:78" s="90" customFormat="1" ht="19.5" hidden="1" customHeight="1">
      <c r="A600" s="137"/>
      <c r="B600" s="197">
        <f t="shared" si="28"/>
        <v>590</v>
      </c>
      <c r="C600" s="30" t="s">
        <v>202</v>
      </c>
      <c r="D600" s="30" t="s">
        <v>225</v>
      </c>
      <c r="E600" s="234" t="s">
        <v>1168</v>
      </c>
      <c r="F600" s="235" t="s">
        <v>1232</v>
      </c>
      <c r="G600" s="475"/>
      <c r="H600" s="361" t="s">
        <v>5323</v>
      </c>
      <c r="I600" s="363">
        <v>1</v>
      </c>
      <c r="J600" s="364" t="s">
        <v>208</v>
      </c>
      <c r="K600" s="364" t="s">
        <v>368</v>
      </c>
      <c r="L600" s="365" t="s">
        <v>2803</v>
      </c>
      <c r="M600" s="362" t="s">
        <v>2804</v>
      </c>
      <c r="N600" s="421" t="s">
        <v>606</v>
      </c>
      <c r="O600" s="269">
        <v>38.32</v>
      </c>
      <c r="P600" s="269">
        <v>38.799999999999997</v>
      </c>
      <c r="Q600" s="426"/>
      <c r="R600" s="418" t="s">
        <v>1168</v>
      </c>
      <c r="S600" s="427" t="s">
        <v>613</v>
      </c>
      <c r="T600" s="357">
        <v>1</v>
      </c>
      <c r="U600" s="357" t="s">
        <v>204</v>
      </c>
      <c r="V600" s="367">
        <v>180000000</v>
      </c>
      <c r="W600" s="368">
        <v>180000000</v>
      </c>
      <c r="X600" s="357"/>
      <c r="Y600" s="357"/>
      <c r="Z600" s="400"/>
      <c r="AA600" s="369"/>
      <c r="AB600" s="370"/>
      <c r="AC600" s="404"/>
      <c r="AD600" s="270"/>
      <c r="AE600" s="156"/>
      <c r="AF600" s="156"/>
      <c r="AG600" s="357"/>
      <c r="AH600" s="357"/>
      <c r="AI600" s="357"/>
      <c r="AJ600" s="156"/>
      <c r="AK600" s="156"/>
      <c r="AL600" s="375"/>
      <c r="AM600" s="405"/>
      <c r="AN600" s="273"/>
      <c r="AO600" s="405"/>
      <c r="AP600" s="273"/>
      <c r="AQ600" s="273"/>
      <c r="AR600" s="273"/>
      <c r="AS600" s="273"/>
      <c r="AT600" s="273"/>
      <c r="AU600" s="273"/>
      <c r="AV600" s="322">
        <f t="shared" si="29"/>
        <v>0</v>
      </c>
      <c r="AW600" s="402"/>
      <c r="AX600" s="376"/>
      <c r="AY600" s="373"/>
      <c r="AZ600" s="375"/>
      <c r="BA600" s="375"/>
      <c r="BB600" s="375"/>
      <c r="BC600" s="375"/>
      <c r="BD600" s="353">
        <f t="shared" si="30"/>
        <v>0</v>
      </c>
      <c r="BE600" s="432" t="s">
        <v>355</v>
      </c>
      <c r="BF600" s="407" t="s">
        <v>422</v>
      </c>
      <c r="BG600" s="168"/>
      <c r="BH600" s="274"/>
      <c r="BI600" s="168"/>
      <c r="BJ600" s="274"/>
      <c r="BK600" s="168"/>
      <c r="BL600" s="275"/>
      <c r="BM600" s="276"/>
      <c r="BN600" s="275"/>
      <c r="BO600" s="276"/>
      <c r="BP600" s="277"/>
      <c r="BQ600" s="156"/>
      <c r="BR600" s="274"/>
      <c r="BS600" s="270"/>
      <c r="BT600" s="270"/>
      <c r="BU600" s="274"/>
      <c r="BV600" s="274"/>
      <c r="BW600" s="278"/>
      <c r="BX600" s="278"/>
      <c r="BY600" s="278"/>
      <c r="BZ600" s="351"/>
    </row>
    <row r="601" spans="1:78" s="90" customFormat="1" ht="19.5" hidden="1" customHeight="1">
      <c r="A601" s="137"/>
      <c r="B601" s="197">
        <f t="shared" si="28"/>
        <v>591</v>
      </c>
      <c r="C601" s="30" t="s">
        <v>202</v>
      </c>
      <c r="D601" s="30" t="s">
        <v>225</v>
      </c>
      <c r="E601" s="234" t="s">
        <v>1169</v>
      </c>
      <c r="F601" s="235" t="s">
        <v>1226</v>
      </c>
      <c r="G601" s="475"/>
      <c r="H601" s="361" t="s">
        <v>4791</v>
      </c>
      <c r="I601" s="363">
        <v>1</v>
      </c>
      <c r="J601" s="364" t="s">
        <v>213</v>
      </c>
      <c r="K601" s="364" t="s">
        <v>339</v>
      </c>
      <c r="L601" s="365" t="s">
        <v>567</v>
      </c>
      <c r="M601" s="362" t="s">
        <v>2321</v>
      </c>
      <c r="N601" s="421" t="s">
        <v>207</v>
      </c>
      <c r="O601" s="269">
        <v>28.888906976496699</v>
      </c>
      <c r="P601" s="269">
        <v>84.57</v>
      </c>
      <c r="Q601" s="426"/>
      <c r="R601" s="418" t="s">
        <v>3403</v>
      </c>
      <c r="S601" s="427" t="s">
        <v>613</v>
      </c>
      <c r="T601" s="357">
        <v>3</v>
      </c>
      <c r="U601" s="357" t="s">
        <v>204</v>
      </c>
      <c r="V601" s="367">
        <v>72000000</v>
      </c>
      <c r="W601" s="368">
        <v>72000000</v>
      </c>
      <c r="X601" s="357"/>
      <c r="Y601" s="357"/>
      <c r="Z601" s="400"/>
      <c r="AA601" s="369"/>
      <c r="AB601" s="370"/>
      <c r="AC601" s="404" t="s">
        <v>229</v>
      </c>
      <c r="AD601" s="270" t="s">
        <v>204</v>
      </c>
      <c r="AE601" s="156">
        <v>180000000</v>
      </c>
      <c r="AF601" s="156">
        <v>180000000</v>
      </c>
      <c r="AG601" s="357"/>
      <c r="AH601" s="357"/>
      <c r="AI601" s="357"/>
      <c r="AJ601" s="156"/>
      <c r="AK601" s="156"/>
      <c r="AL601" s="375"/>
      <c r="AM601" s="405"/>
      <c r="AN601" s="273"/>
      <c r="AO601" s="405"/>
      <c r="AP601" s="273"/>
      <c r="AQ601" s="273"/>
      <c r="AR601" s="273"/>
      <c r="AS601" s="273"/>
      <c r="AT601" s="273"/>
      <c r="AU601" s="273"/>
      <c r="AV601" s="322">
        <f t="shared" si="29"/>
        <v>0</v>
      </c>
      <c r="AW601" s="402" t="s">
        <v>3387</v>
      </c>
      <c r="AX601" s="376">
        <v>45765</v>
      </c>
      <c r="AY601" s="373" t="s">
        <v>3388</v>
      </c>
      <c r="AZ601" s="375"/>
      <c r="BA601" s="375">
        <v>305000000</v>
      </c>
      <c r="BB601" s="375"/>
      <c r="BC601" s="375"/>
      <c r="BD601" s="353">
        <f t="shared" si="30"/>
        <v>305000000</v>
      </c>
      <c r="BE601" s="432" t="s">
        <v>355</v>
      </c>
      <c r="BF601" s="407" t="s">
        <v>524</v>
      </c>
      <c r="BG601" s="168"/>
      <c r="BH601" s="274"/>
      <c r="BI601" s="168"/>
      <c r="BJ601" s="274"/>
      <c r="BK601" s="168"/>
      <c r="BL601" s="275"/>
      <c r="BM601" s="276"/>
      <c r="BN601" s="275"/>
      <c r="BO601" s="276"/>
      <c r="BP601" s="277"/>
      <c r="BQ601" s="156"/>
      <c r="BR601" s="274"/>
      <c r="BS601" s="270"/>
      <c r="BT601" s="270"/>
      <c r="BU601" s="274"/>
      <c r="BV601" s="274"/>
      <c r="BW601" s="278"/>
      <c r="BX601" s="278"/>
      <c r="BY601" s="278"/>
      <c r="BZ601" s="351"/>
    </row>
    <row r="602" spans="1:78" s="90" customFormat="1" ht="19.5" hidden="1" customHeight="1">
      <c r="A602" s="137"/>
      <c r="B602" s="197">
        <f t="shared" si="28"/>
        <v>592</v>
      </c>
      <c r="C602" s="30" t="s">
        <v>202</v>
      </c>
      <c r="D602" s="30" t="s">
        <v>225</v>
      </c>
      <c r="E602" s="234" t="s">
        <v>1170</v>
      </c>
      <c r="F602" s="235" t="s">
        <v>1225</v>
      </c>
      <c r="G602" s="475"/>
      <c r="H602" s="361" t="s">
        <v>4888</v>
      </c>
      <c r="I602" s="363">
        <v>1</v>
      </c>
      <c r="J602" s="364" t="s">
        <v>208</v>
      </c>
      <c r="K602" s="364" t="s">
        <v>322</v>
      </c>
      <c r="L602" s="365" t="s">
        <v>2410</v>
      </c>
      <c r="M602" s="362" t="s">
        <v>2411</v>
      </c>
      <c r="N602" s="421" t="s">
        <v>207</v>
      </c>
      <c r="O602" s="269">
        <v>87.278999999999996</v>
      </c>
      <c r="P602" s="269">
        <v>50.55</v>
      </c>
      <c r="Q602" s="426"/>
      <c r="R602" s="418" t="s">
        <v>1170</v>
      </c>
      <c r="S602" s="427" t="s">
        <v>613</v>
      </c>
      <c r="T602" s="357">
        <v>1</v>
      </c>
      <c r="U602" s="357" t="s">
        <v>204</v>
      </c>
      <c r="V602" s="367">
        <v>55000000</v>
      </c>
      <c r="W602" s="368">
        <v>55000000</v>
      </c>
      <c r="X602" s="357"/>
      <c r="Y602" s="357"/>
      <c r="Z602" s="400"/>
      <c r="AA602" s="369"/>
      <c r="AB602" s="370"/>
      <c r="AC602" s="404"/>
      <c r="AD602" s="270"/>
      <c r="AE602" s="156"/>
      <c r="AF602" s="156"/>
      <c r="AG602" s="357"/>
      <c r="AH602" s="357"/>
      <c r="AI602" s="357"/>
      <c r="AJ602" s="156"/>
      <c r="AK602" s="156"/>
      <c r="AL602" s="375"/>
      <c r="AM602" s="405"/>
      <c r="AN602" s="273"/>
      <c r="AO602" s="405"/>
      <c r="AP602" s="273"/>
      <c r="AQ602" s="273"/>
      <c r="AR602" s="273"/>
      <c r="AS602" s="273"/>
      <c r="AT602" s="273"/>
      <c r="AU602" s="273"/>
      <c r="AV602" s="322">
        <f t="shared" si="29"/>
        <v>0</v>
      </c>
      <c r="AW602" s="402" t="s">
        <v>3387</v>
      </c>
      <c r="AX602" s="376">
        <v>45765</v>
      </c>
      <c r="AY602" s="373" t="s">
        <v>3388</v>
      </c>
      <c r="AZ602" s="375"/>
      <c r="BA602" s="375">
        <v>320000000</v>
      </c>
      <c r="BB602" s="375"/>
      <c r="BC602" s="375"/>
      <c r="BD602" s="353">
        <f t="shared" si="30"/>
        <v>320000000</v>
      </c>
      <c r="BE602" s="432" t="s">
        <v>355</v>
      </c>
      <c r="BF602" s="407" t="s">
        <v>502</v>
      </c>
      <c r="BG602" s="168"/>
      <c r="BH602" s="274"/>
      <c r="BI602" s="168"/>
      <c r="BJ602" s="274"/>
      <c r="BK602" s="168"/>
      <c r="BL602" s="275"/>
      <c r="BM602" s="276"/>
      <c r="BN602" s="275"/>
      <c r="BO602" s="276"/>
      <c r="BP602" s="277"/>
      <c r="BQ602" s="156"/>
      <c r="BR602" s="274"/>
      <c r="BS602" s="270"/>
      <c r="BT602" s="270"/>
      <c r="BU602" s="274"/>
      <c r="BV602" s="274"/>
      <c r="BW602" s="278"/>
      <c r="BX602" s="278"/>
      <c r="BY602" s="278"/>
      <c r="BZ602" s="351"/>
    </row>
    <row r="603" spans="1:78" s="90" customFormat="1" ht="19.5" hidden="1" customHeight="1">
      <c r="A603" s="137"/>
      <c r="B603" s="197">
        <f t="shared" si="28"/>
        <v>593</v>
      </c>
      <c r="C603" s="30" t="s">
        <v>202</v>
      </c>
      <c r="D603" s="30" t="s">
        <v>225</v>
      </c>
      <c r="E603" s="234" t="s">
        <v>1171</v>
      </c>
      <c r="F603" s="235" t="s">
        <v>1252</v>
      </c>
      <c r="G603" s="475"/>
      <c r="H603" s="361" t="s">
        <v>4663</v>
      </c>
      <c r="I603" s="363">
        <v>1</v>
      </c>
      <c r="J603" s="364" t="s">
        <v>209</v>
      </c>
      <c r="K603" s="364" t="s">
        <v>332</v>
      </c>
      <c r="L603" s="365" t="s">
        <v>2199</v>
      </c>
      <c r="M603" s="362" t="s">
        <v>2200</v>
      </c>
      <c r="N603" s="421" t="s">
        <v>207</v>
      </c>
      <c r="O603" s="269">
        <v>39.06</v>
      </c>
      <c r="P603" s="269">
        <v>84.32</v>
      </c>
      <c r="Q603" s="426"/>
      <c r="R603" s="418" t="s">
        <v>3492</v>
      </c>
      <c r="S603" s="427" t="s">
        <v>613</v>
      </c>
      <c r="T603" s="357">
        <v>1</v>
      </c>
      <c r="U603" s="357" t="s">
        <v>204</v>
      </c>
      <c r="V603" s="367">
        <v>72000000</v>
      </c>
      <c r="W603" s="368">
        <v>72000000</v>
      </c>
      <c r="X603" s="357"/>
      <c r="Y603" s="357"/>
      <c r="Z603" s="400"/>
      <c r="AA603" s="369"/>
      <c r="AB603" s="370"/>
      <c r="AC603" s="404"/>
      <c r="AD603" s="270"/>
      <c r="AE603" s="156"/>
      <c r="AF603" s="156"/>
      <c r="AG603" s="357"/>
      <c r="AH603" s="357"/>
      <c r="AI603" s="357"/>
      <c r="AJ603" s="156"/>
      <c r="AK603" s="156"/>
      <c r="AL603" s="375"/>
      <c r="AM603" s="405"/>
      <c r="AN603" s="273"/>
      <c r="AO603" s="405"/>
      <c r="AP603" s="273"/>
      <c r="AQ603" s="273"/>
      <c r="AR603" s="273"/>
      <c r="AS603" s="273"/>
      <c r="AT603" s="273"/>
      <c r="AU603" s="273"/>
      <c r="AV603" s="322">
        <f t="shared" si="29"/>
        <v>0</v>
      </c>
      <c r="AW603" s="402" t="s">
        <v>3387</v>
      </c>
      <c r="AX603" s="376">
        <v>45765</v>
      </c>
      <c r="AY603" s="373" t="s">
        <v>3388</v>
      </c>
      <c r="AZ603" s="375"/>
      <c r="BA603" s="375">
        <v>1025000000</v>
      </c>
      <c r="BB603" s="375"/>
      <c r="BC603" s="375"/>
      <c r="BD603" s="353">
        <f t="shared" si="30"/>
        <v>1025000000</v>
      </c>
      <c r="BE603" s="432" t="s">
        <v>335</v>
      </c>
      <c r="BF603" s="407" t="s">
        <v>519</v>
      </c>
      <c r="BG603" s="168" t="s">
        <v>3365</v>
      </c>
      <c r="BH603" s="274">
        <v>45697</v>
      </c>
      <c r="BI603" s="168" t="s">
        <v>3240</v>
      </c>
      <c r="BJ603" s="274">
        <v>45776</v>
      </c>
      <c r="BK603" s="168">
        <v>269000000</v>
      </c>
      <c r="BL603" s="275"/>
      <c r="BM603" s="276"/>
      <c r="BN603" s="275"/>
      <c r="BO603" s="276"/>
      <c r="BP603" s="277"/>
      <c r="BQ603" s="156"/>
      <c r="BR603" s="274"/>
      <c r="BS603" s="270"/>
      <c r="BT603" s="270"/>
      <c r="BU603" s="274"/>
      <c r="BV603" s="274"/>
      <c r="BW603" s="278"/>
      <c r="BX603" s="278"/>
      <c r="BY603" s="278"/>
      <c r="BZ603" s="351"/>
    </row>
    <row r="604" spans="1:78" s="90" customFormat="1" ht="19.5" hidden="1" customHeight="1">
      <c r="A604" s="137"/>
      <c r="B604" s="197">
        <f t="shared" si="28"/>
        <v>594</v>
      </c>
      <c r="C604" s="30" t="s">
        <v>202</v>
      </c>
      <c r="D604" s="30" t="s">
        <v>225</v>
      </c>
      <c r="E604" s="234" t="s">
        <v>1172</v>
      </c>
      <c r="F604" s="235" t="s">
        <v>1233</v>
      </c>
      <c r="G604" s="475"/>
      <c r="H604" s="361" t="s">
        <v>4120</v>
      </c>
      <c r="I604" s="363">
        <v>1</v>
      </c>
      <c r="J604" s="364" t="s">
        <v>212</v>
      </c>
      <c r="K604" s="364" t="s">
        <v>309</v>
      </c>
      <c r="L604" s="365" t="s">
        <v>1694</v>
      </c>
      <c r="M604" s="362" t="s">
        <v>1695</v>
      </c>
      <c r="N604" s="421" t="s">
        <v>207</v>
      </c>
      <c r="O604" s="269">
        <v>30.731000000000002</v>
      </c>
      <c r="P604" s="269">
        <v>44.66</v>
      </c>
      <c r="Q604" s="426"/>
      <c r="R604" s="418" t="s">
        <v>1172</v>
      </c>
      <c r="S604" s="427" t="s">
        <v>613</v>
      </c>
      <c r="T604" s="357">
        <v>1</v>
      </c>
      <c r="U604" s="357" t="s">
        <v>204</v>
      </c>
      <c r="V604" s="367">
        <v>55000000</v>
      </c>
      <c r="W604" s="368">
        <v>55000000</v>
      </c>
      <c r="X604" s="357"/>
      <c r="Y604" s="357"/>
      <c r="Z604" s="400"/>
      <c r="AA604" s="369"/>
      <c r="AB604" s="370"/>
      <c r="AC604" s="404"/>
      <c r="AD604" s="270"/>
      <c r="AE604" s="156"/>
      <c r="AF604" s="156"/>
      <c r="AG604" s="357"/>
      <c r="AH604" s="357"/>
      <c r="AI604" s="357"/>
      <c r="AJ604" s="156"/>
      <c r="AK604" s="156"/>
      <c r="AL604" s="375"/>
      <c r="AM604" s="405"/>
      <c r="AN604" s="273"/>
      <c r="AO604" s="405"/>
      <c r="AP604" s="273"/>
      <c r="AQ604" s="273"/>
      <c r="AR604" s="273"/>
      <c r="AS604" s="273"/>
      <c r="AT604" s="273"/>
      <c r="AU604" s="273"/>
      <c r="AV604" s="322">
        <f t="shared" si="29"/>
        <v>0</v>
      </c>
      <c r="AW604" s="402" t="s">
        <v>3387</v>
      </c>
      <c r="AX604" s="376">
        <v>45765</v>
      </c>
      <c r="AY604" s="373" t="s">
        <v>3388</v>
      </c>
      <c r="AZ604" s="375"/>
      <c r="BA604" s="375">
        <v>177500000</v>
      </c>
      <c r="BB604" s="375"/>
      <c r="BC604" s="375"/>
      <c r="BD604" s="353">
        <f t="shared" si="30"/>
        <v>177500000</v>
      </c>
      <c r="BE604" s="432" t="s">
        <v>355</v>
      </c>
      <c r="BF604" s="407" t="s">
        <v>496</v>
      </c>
      <c r="BG604" s="168"/>
      <c r="BH604" s="274"/>
      <c r="BI604" s="168"/>
      <c r="BJ604" s="274"/>
      <c r="BK604" s="168"/>
      <c r="BL604" s="275"/>
      <c r="BM604" s="276"/>
      <c r="BN604" s="275"/>
      <c r="BO604" s="276"/>
      <c r="BP604" s="277"/>
      <c r="BQ604" s="156"/>
      <c r="BR604" s="274"/>
      <c r="BS604" s="270"/>
      <c r="BT604" s="270"/>
      <c r="BU604" s="274"/>
      <c r="BV604" s="274"/>
      <c r="BW604" s="278"/>
      <c r="BX604" s="278"/>
      <c r="BY604" s="278"/>
      <c r="BZ604" s="351"/>
    </row>
    <row r="605" spans="1:78" s="90" customFormat="1" ht="19.5" hidden="1" customHeight="1">
      <c r="A605" s="137"/>
      <c r="B605" s="197">
        <f t="shared" si="28"/>
        <v>595</v>
      </c>
      <c r="C605" s="30" t="s">
        <v>202</v>
      </c>
      <c r="D605" s="30" t="s">
        <v>225</v>
      </c>
      <c r="E605" s="234" t="s">
        <v>1173</v>
      </c>
      <c r="F605" s="235" t="s">
        <v>1229</v>
      </c>
      <c r="G605" s="475"/>
      <c r="H605" s="361" t="s">
        <v>4017</v>
      </c>
      <c r="I605" s="363">
        <v>1</v>
      </c>
      <c r="J605" s="364" t="s">
        <v>220</v>
      </c>
      <c r="K605" s="364" t="s">
        <v>390</v>
      </c>
      <c r="L605" s="365" t="s">
        <v>1592</v>
      </c>
      <c r="M605" s="362" t="s">
        <v>3046</v>
      </c>
      <c r="N605" s="421" t="s">
        <v>207</v>
      </c>
      <c r="O605" s="269">
        <v>57.4</v>
      </c>
      <c r="P605" s="269">
        <v>84.94</v>
      </c>
      <c r="Q605" s="426"/>
      <c r="R605" s="418" t="s">
        <v>1173</v>
      </c>
      <c r="S605" s="427" t="s">
        <v>613</v>
      </c>
      <c r="T605" s="357">
        <v>1</v>
      </c>
      <c r="U605" s="357" t="s">
        <v>204</v>
      </c>
      <c r="V605" s="367">
        <v>52800000</v>
      </c>
      <c r="W605" s="368">
        <v>52800000</v>
      </c>
      <c r="X605" s="357"/>
      <c r="Y605" s="357"/>
      <c r="Z605" s="400"/>
      <c r="AA605" s="369"/>
      <c r="AB605" s="370"/>
      <c r="AC605" s="404"/>
      <c r="AD605" s="270"/>
      <c r="AE605" s="156"/>
      <c r="AF605" s="156"/>
      <c r="AG605" s="357"/>
      <c r="AH605" s="357"/>
      <c r="AI605" s="357"/>
      <c r="AJ605" s="156"/>
      <c r="AK605" s="156"/>
      <c r="AL605" s="375"/>
      <c r="AM605" s="405"/>
      <c r="AN605" s="273"/>
      <c r="AO605" s="405"/>
      <c r="AP605" s="273"/>
      <c r="AQ605" s="273"/>
      <c r="AR605" s="273"/>
      <c r="AS605" s="273"/>
      <c r="AT605" s="273"/>
      <c r="AU605" s="273"/>
      <c r="AV605" s="322">
        <f t="shared" si="29"/>
        <v>0</v>
      </c>
      <c r="AW605" s="402" t="s">
        <v>3387</v>
      </c>
      <c r="AX605" s="376">
        <v>45765</v>
      </c>
      <c r="AY605" s="373" t="s">
        <v>3388</v>
      </c>
      <c r="AZ605" s="375"/>
      <c r="BA605" s="375">
        <v>280000000</v>
      </c>
      <c r="BB605" s="375"/>
      <c r="BC605" s="375"/>
      <c r="BD605" s="353">
        <f t="shared" si="30"/>
        <v>280000000</v>
      </c>
      <c r="BE605" s="432" t="s">
        <v>335</v>
      </c>
      <c r="BF605" s="407" t="s">
        <v>523</v>
      </c>
      <c r="BG605" s="168" t="s">
        <v>3315</v>
      </c>
      <c r="BH605" s="274">
        <v>45656</v>
      </c>
      <c r="BI605" s="168" t="s">
        <v>3262</v>
      </c>
      <c r="BJ605" s="274">
        <v>45744</v>
      </c>
      <c r="BK605" s="168">
        <v>91982050</v>
      </c>
      <c r="BL605" s="275"/>
      <c r="BM605" s="276"/>
      <c r="BN605" s="275"/>
      <c r="BO605" s="276"/>
      <c r="BP605" s="277"/>
      <c r="BQ605" s="156"/>
      <c r="BR605" s="274"/>
      <c r="BS605" s="270"/>
      <c r="BT605" s="270"/>
      <c r="BU605" s="274"/>
      <c r="BV605" s="274"/>
      <c r="BW605" s="278"/>
      <c r="BX605" s="278"/>
      <c r="BY605" s="278"/>
      <c r="BZ605" s="351"/>
    </row>
    <row r="606" spans="1:78" s="90" customFormat="1" ht="19.5" hidden="1" customHeight="1">
      <c r="A606" s="137"/>
      <c r="B606" s="197">
        <f t="shared" si="28"/>
        <v>596</v>
      </c>
      <c r="C606" s="30" t="s">
        <v>202</v>
      </c>
      <c r="D606" s="30" t="s">
        <v>225</v>
      </c>
      <c r="E606" s="234" t="s">
        <v>1174</v>
      </c>
      <c r="F606" s="235" t="s">
        <v>1364</v>
      </c>
      <c r="G606" s="475"/>
      <c r="H606" s="361" t="s">
        <v>4775</v>
      </c>
      <c r="I606" s="363">
        <v>1</v>
      </c>
      <c r="J606" s="364" t="s">
        <v>208</v>
      </c>
      <c r="K606" s="364" t="s">
        <v>398</v>
      </c>
      <c r="L606" s="365" t="s">
        <v>399</v>
      </c>
      <c r="M606" s="362" t="s">
        <v>2307</v>
      </c>
      <c r="N606" s="421" t="s">
        <v>606</v>
      </c>
      <c r="O606" s="269">
        <v>39.950000000000003</v>
      </c>
      <c r="P606" s="269">
        <v>46.73</v>
      </c>
      <c r="Q606" s="426"/>
      <c r="R606" s="418" t="s">
        <v>3485</v>
      </c>
      <c r="S606" s="427" t="s">
        <v>613</v>
      </c>
      <c r="T606" s="357">
        <v>1</v>
      </c>
      <c r="U606" s="357" t="s">
        <v>204</v>
      </c>
      <c r="V606" s="367">
        <v>156000000</v>
      </c>
      <c r="W606" s="368">
        <v>156000000</v>
      </c>
      <c r="X606" s="357"/>
      <c r="Y606" s="357"/>
      <c r="Z606" s="400"/>
      <c r="AA606" s="369"/>
      <c r="AB606" s="370"/>
      <c r="AC606" s="404"/>
      <c r="AD606" s="270"/>
      <c r="AE606" s="156"/>
      <c r="AF606" s="156"/>
      <c r="AG606" s="357"/>
      <c r="AH606" s="357"/>
      <c r="AI606" s="357"/>
      <c r="AJ606" s="156"/>
      <c r="AK606" s="156"/>
      <c r="AL606" s="375"/>
      <c r="AM606" s="405"/>
      <c r="AN606" s="273"/>
      <c r="AO606" s="405"/>
      <c r="AP606" s="273"/>
      <c r="AQ606" s="273"/>
      <c r="AR606" s="273"/>
      <c r="AS606" s="273"/>
      <c r="AT606" s="273"/>
      <c r="AU606" s="273"/>
      <c r="AV606" s="322">
        <f t="shared" si="29"/>
        <v>0</v>
      </c>
      <c r="AW606" s="402"/>
      <c r="AX606" s="376"/>
      <c r="AY606" s="373"/>
      <c r="AZ606" s="375"/>
      <c r="BA606" s="375"/>
      <c r="BB606" s="375"/>
      <c r="BC606" s="375"/>
      <c r="BD606" s="353">
        <f t="shared" si="30"/>
        <v>0</v>
      </c>
      <c r="BE606" s="432" t="s">
        <v>355</v>
      </c>
      <c r="BF606" s="407" t="s">
        <v>506</v>
      </c>
      <c r="BG606" s="168"/>
      <c r="BH606" s="274"/>
      <c r="BI606" s="168"/>
      <c r="BJ606" s="274"/>
      <c r="BK606" s="168"/>
      <c r="BL606" s="275"/>
      <c r="BM606" s="276"/>
      <c r="BN606" s="275"/>
      <c r="BO606" s="276"/>
      <c r="BP606" s="277"/>
      <c r="BQ606" s="156"/>
      <c r="BR606" s="274"/>
      <c r="BS606" s="270"/>
      <c r="BT606" s="270"/>
      <c r="BU606" s="274"/>
      <c r="BV606" s="274"/>
      <c r="BW606" s="278"/>
      <c r="BX606" s="278"/>
      <c r="BY606" s="278"/>
      <c r="BZ606" s="351"/>
    </row>
    <row r="607" spans="1:78" s="90" customFormat="1" ht="19.5" hidden="1" customHeight="1">
      <c r="A607" s="137"/>
      <c r="B607" s="197">
        <f t="shared" si="28"/>
        <v>597</v>
      </c>
      <c r="C607" s="30" t="s">
        <v>202</v>
      </c>
      <c r="D607" s="30" t="s">
        <v>225</v>
      </c>
      <c r="E607" s="234" t="s">
        <v>1175</v>
      </c>
      <c r="F607" s="235" t="s">
        <v>1232</v>
      </c>
      <c r="G607" s="475"/>
      <c r="H607" s="361" t="s">
        <v>4065</v>
      </c>
      <c r="I607" s="363">
        <v>1</v>
      </c>
      <c r="J607" s="364" t="s">
        <v>212</v>
      </c>
      <c r="K607" s="364" t="s">
        <v>389</v>
      </c>
      <c r="L607" s="365" t="s">
        <v>1640</v>
      </c>
      <c r="M607" s="362" t="s">
        <v>1641</v>
      </c>
      <c r="N607" s="421" t="s">
        <v>207</v>
      </c>
      <c r="O607" s="269">
        <v>44.04</v>
      </c>
      <c r="P607" s="269">
        <v>70.17</v>
      </c>
      <c r="Q607" s="426"/>
      <c r="R607" s="418" t="s">
        <v>1175</v>
      </c>
      <c r="S607" s="427" t="s">
        <v>613</v>
      </c>
      <c r="T607" s="357">
        <v>1</v>
      </c>
      <c r="U607" s="357" t="s">
        <v>204</v>
      </c>
      <c r="V607" s="367">
        <v>66000000</v>
      </c>
      <c r="W607" s="368">
        <v>66000000</v>
      </c>
      <c r="X607" s="357"/>
      <c r="Y607" s="357"/>
      <c r="Z607" s="400"/>
      <c r="AA607" s="369"/>
      <c r="AB607" s="370"/>
      <c r="AC607" s="404"/>
      <c r="AD607" s="270"/>
      <c r="AE607" s="156"/>
      <c r="AF607" s="156"/>
      <c r="AG607" s="357"/>
      <c r="AH607" s="357"/>
      <c r="AI607" s="357"/>
      <c r="AJ607" s="156"/>
      <c r="AK607" s="156"/>
      <c r="AL607" s="375"/>
      <c r="AM607" s="405"/>
      <c r="AN607" s="273"/>
      <c r="AO607" s="405"/>
      <c r="AP607" s="273"/>
      <c r="AQ607" s="273"/>
      <c r="AR607" s="273"/>
      <c r="AS607" s="273"/>
      <c r="AT607" s="273"/>
      <c r="AU607" s="273"/>
      <c r="AV607" s="322">
        <f t="shared" si="29"/>
        <v>0</v>
      </c>
      <c r="AW607" s="402"/>
      <c r="AX607" s="376"/>
      <c r="AY607" s="373"/>
      <c r="AZ607" s="375"/>
      <c r="BA607" s="375"/>
      <c r="BB607" s="375"/>
      <c r="BC607" s="375"/>
      <c r="BD607" s="353">
        <f t="shared" si="30"/>
        <v>0</v>
      </c>
      <c r="BE607" s="432" t="s">
        <v>355</v>
      </c>
      <c r="BF607" s="407" t="s">
        <v>496</v>
      </c>
      <c r="BG607" s="168"/>
      <c r="BH607" s="274"/>
      <c r="BI607" s="168"/>
      <c r="BJ607" s="274"/>
      <c r="BK607" s="168"/>
      <c r="BL607" s="275"/>
      <c r="BM607" s="276"/>
      <c r="BN607" s="275"/>
      <c r="BO607" s="276"/>
      <c r="BP607" s="277"/>
      <c r="BQ607" s="156"/>
      <c r="BR607" s="274"/>
      <c r="BS607" s="270"/>
      <c r="BT607" s="270"/>
      <c r="BU607" s="274"/>
      <c r="BV607" s="274"/>
      <c r="BW607" s="278"/>
      <c r="BX607" s="278"/>
      <c r="BY607" s="278"/>
      <c r="BZ607" s="351"/>
    </row>
    <row r="608" spans="1:78" s="90" customFormat="1" ht="19.5" hidden="1" customHeight="1">
      <c r="A608" s="137"/>
      <c r="B608" s="197">
        <f t="shared" si="28"/>
        <v>598</v>
      </c>
      <c r="C608" s="30" t="s">
        <v>202</v>
      </c>
      <c r="D608" s="30" t="s">
        <v>225</v>
      </c>
      <c r="E608" s="234" t="s">
        <v>1176</v>
      </c>
      <c r="F608" s="235" t="s">
        <v>1235</v>
      </c>
      <c r="G608" s="475"/>
      <c r="H608" s="361" t="s">
        <v>3900</v>
      </c>
      <c r="I608" s="363">
        <v>1</v>
      </c>
      <c r="J608" s="364" t="s">
        <v>221</v>
      </c>
      <c r="K608" s="364" t="s">
        <v>405</v>
      </c>
      <c r="L608" s="365" t="s">
        <v>1467</v>
      </c>
      <c r="M608" s="362" t="s">
        <v>1468</v>
      </c>
      <c r="N608" s="421" t="s">
        <v>207</v>
      </c>
      <c r="O608" s="269">
        <v>35.39</v>
      </c>
      <c r="P608" s="269">
        <v>60</v>
      </c>
      <c r="Q608" s="426"/>
      <c r="R608" s="418" t="s">
        <v>1176</v>
      </c>
      <c r="S608" s="427" t="s">
        <v>613</v>
      </c>
      <c r="T608" s="357">
        <v>1</v>
      </c>
      <c r="U608" s="357" t="s">
        <v>204</v>
      </c>
      <c r="V608" s="367">
        <v>56100000</v>
      </c>
      <c r="W608" s="368">
        <v>56100000</v>
      </c>
      <c r="X608" s="357"/>
      <c r="Y608" s="357"/>
      <c r="Z608" s="400"/>
      <c r="AA608" s="369"/>
      <c r="AB608" s="370"/>
      <c r="AC608" s="404"/>
      <c r="AD608" s="270"/>
      <c r="AE608" s="156"/>
      <c r="AF608" s="156"/>
      <c r="AG608" s="357"/>
      <c r="AH608" s="357"/>
      <c r="AI608" s="357"/>
      <c r="AJ608" s="156"/>
      <c r="AK608" s="156"/>
      <c r="AL608" s="375"/>
      <c r="AM608" s="405"/>
      <c r="AN608" s="273"/>
      <c r="AO608" s="405"/>
      <c r="AP608" s="273"/>
      <c r="AQ608" s="273"/>
      <c r="AR608" s="273"/>
      <c r="AS608" s="273"/>
      <c r="AT608" s="273"/>
      <c r="AU608" s="273"/>
      <c r="AV608" s="322">
        <f t="shared" si="29"/>
        <v>0</v>
      </c>
      <c r="AW608" s="402" t="s">
        <v>3387</v>
      </c>
      <c r="AX608" s="376">
        <v>45765</v>
      </c>
      <c r="AY608" s="373" t="s">
        <v>3388</v>
      </c>
      <c r="AZ608" s="375"/>
      <c r="BA608" s="375">
        <v>85000000</v>
      </c>
      <c r="BB608" s="375"/>
      <c r="BC608" s="375"/>
      <c r="BD608" s="353">
        <f t="shared" si="30"/>
        <v>85000000</v>
      </c>
      <c r="BE608" s="432" t="s">
        <v>355</v>
      </c>
      <c r="BF608" s="407" t="s">
        <v>513</v>
      </c>
      <c r="BG608" s="168"/>
      <c r="BH608" s="274"/>
      <c r="BI608" s="168"/>
      <c r="BJ608" s="274"/>
      <c r="BK608" s="168"/>
      <c r="BL608" s="275"/>
      <c r="BM608" s="276"/>
      <c r="BN608" s="275"/>
      <c r="BO608" s="276"/>
      <c r="BP608" s="277"/>
      <c r="BQ608" s="156"/>
      <c r="BR608" s="274"/>
      <c r="BS608" s="270"/>
      <c r="BT608" s="270"/>
      <c r="BU608" s="274"/>
      <c r="BV608" s="274"/>
      <c r="BW608" s="278"/>
      <c r="BX608" s="278"/>
      <c r="BY608" s="278"/>
      <c r="BZ608" s="351"/>
    </row>
    <row r="609" spans="1:78" s="90" customFormat="1" ht="19.5" hidden="1" customHeight="1">
      <c r="A609" s="137"/>
      <c r="B609" s="197">
        <f t="shared" si="28"/>
        <v>599</v>
      </c>
      <c r="C609" s="30" t="s">
        <v>202</v>
      </c>
      <c r="D609" s="30" t="s">
        <v>225</v>
      </c>
      <c r="E609" s="234" t="s">
        <v>1177</v>
      </c>
      <c r="F609" s="235" t="s">
        <v>1263</v>
      </c>
      <c r="G609" s="475"/>
      <c r="H609" s="361" t="s">
        <v>4155</v>
      </c>
      <c r="I609" s="363">
        <v>1</v>
      </c>
      <c r="J609" s="364" t="s">
        <v>214</v>
      </c>
      <c r="K609" s="364" t="s">
        <v>303</v>
      </c>
      <c r="L609" s="365" t="s">
        <v>1731</v>
      </c>
      <c r="M609" s="362" t="s">
        <v>1732</v>
      </c>
      <c r="N609" s="421" t="s">
        <v>207</v>
      </c>
      <c r="O609" s="269">
        <v>40.870899999999999</v>
      </c>
      <c r="P609" s="269">
        <v>84.974199999999996</v>
      </c>
      <c r="Q609" s="426"/>
      <c r="R609" s="418" t="s">
        <v>1177</v>
      </c>
      <c r="S609" s="427" t="s">
        <v>613</v>
      </c>
      <c r="T609" s="357">
        <v>1</v>
      </c>
      <c r="U609" s="357" t="s">
        <v>204</v>
      </c>
      <c r="V609" s="367">
        <v>112800000</v>
      </c>
      <c r="W609" s="368">
        <v>112800000</v>
      </c>
      <c r="X609" s="357"/>
      <c r="Y609" s="357"/>
      <c r="Z609" s="400"/>
      <c r="AA609" s="369"/>
      <c r="AB609" s="370"/>
      <c r="AC609" s="404"/>
      <c r="AD609" s="270"/>
      <c r="AE609" s="156"/>
      <c r="AF609" s="156"/>
      <c r="AG609" s="357"/>
      <c r="AH609" s="357"/>
      <c r="AI609" s="357"/>
      <c r="AJ609" s="156"/>
      <c r="AK609" s="156"/>
      <c r="AL609" s="375"/>
      <c r="AM609" s="405"/>
      <c r="AN609" s="273"/>
      <c r="AO609" s="405"/>
      <c r="AP609" s="273"/>
      <c r="AQ609" s="273"/>
      <c r="AR609" s="273"/>
      <c r="AS609" s="273"/>
      <c r="AT609" s="273"/>
      <c r="AU609" s="273"/>
      <c r="AV609" s="322">
        <f t="shared" si="29"/>
        <v>0</v>
      </c>
      <c r="AW609" s="402" t="s">
        <v>3387</v>
      </c>
      <c r="AX609" s="376">
        <v>45765</v>
      </c>
      <c r="AY609" s="373" t="s">
        <v>3388</v>
      </c>
      <c r="AZ609" s="375"/>
      <c r="BA609" s="375">
        <v>202500000</v>
      </c>
      <c r="BB609" s="375"/>
      <c r="BC609" s="375"/>
      <c r="BD609" s="353">
        <f t="shared" si="30"/>
        <v>202500000</v>
      </c>
      <c r="BE609" s="432" t="s">
        <v>355</v>
      </c>
      <c r="BF609" s="407" t="s">
        <v>500</v>
      </c>
      <c r="BG609" s="168"/>
      <c r="BH609" s="274"/>
      <c r="BI609" s="168"/>
      <c r="BJ609" s="274"/>
      <c r="BK609" s="168"/>
      <c r="BL609" s="275"/>
      <c r="BM609" s="276"/>
      <c r="BN609" s="275"/>
      <c r="BO609" s="276"/>
      <c r="BP609" s="277"/>
      <c r="BQ609" s="156"/>
      <c r="BR609" s="274"/>
      <c r="BS609" s="270"/>
      <c r="BT609" s="270"/>
      <c r="BU609" s="274"/>
      <c r="BV609" s="274"/>
      <c r="BW609" s="278"/>
      <c r="BX609" s="278"/>
      <c r="BY609" s="278"/>
      <c r="BZ609" s="351"/>
    </row>
    <row r="610" spans="1:78" s="90" customFormat="1" ht="19.5" hidden="1" customHeight="1">
      <c r="A610" s="137"/>
      <c r="B610" s="197">
        <f t="shared" si="28"/>
        <v>600</v>
      </c>
      <c r="C610" s="30" t="s">
        <v>202</v>
      </c>
      <c r="D610" s="30" t="s">
        <v>225</v>
      </c>
      <c r="E610" s="234" t="s">
        <v>1178</v>
      </c>
      <c r="F610" s="235" t="s">
        <v>1251</v>
      </c>
      <c r="G610" s="475"/>
      <c r="H610" s="361" t="s">
        <v>4346</v>
      </c>
      <c r="I610" s="363">
        <v>1</v>
      </c>
      <c r="J610" s="364" t="s">
        <v>214</v>
      </c>
      <c r="K610" s="364" t="s">
        <v>338</v>
      </c>
      <c r="L610" s="365" t="s">
        <v>1907</v>
      </c>
      <c r="M610" s="362" t="s">
        <v>1908</v>
      </c>
      <c r="N610" s="421" t="s">
        <v>207</v>
      </c>
      <c r="O610" s="269">
        <v>47.048999999999999</v>
      </c>
      <c r="P610" s="269">
        <v>59.756</v>
      </c>
      <c r="Q610" s="426"/>
      <c r="R610" s="418" t="s">
        <v>1178</v>
      </c>
      <c r="S610" s="427" t="s">
        <v>613</v>
      </c>
      <c r="T610" s="357">
        <v>1</v>
      </c>
      <c r="U610" s="357" t="s">
        <v>204</v>
      </c>
      <c r="V610" s="367">
        <v>50600000</v>
      </c>
      <c r="W610" s="368">
        <v>50600000</v>
      </c>
      <c r="X610" s="357"/>
      <c r="Y610" s="357"/>
      <c r="Z610" s="400"/>
      <c r="AA610" s="369"/>
      <c r="AB610" s="370"/>
      <c r="AC610" s="404"/>
      <c r="AD610" s="270"/>
      <c r="AE610" s="156"/>
      <c r="AF610" s="156"/>
      <c r="AG610" s="357"/>
      <c r="AH610" s="357"/>
      <c r="AI610" s="357"/>
      <c r="AJ610" s="156"/>
      <c r="AK610" s="156"/>
      <c r="AL610" s="375"/>
      <c r="AM610" s="405"/>
      <c r="AN610" s="273"/>
      <c r="AO610" s="405"/>
      <c r="AP610" s="273"/>
      <c r="AQ610" s="273"/>
      <c r="AR610" s="273"/>
      <c r="AS610" s="273"/>
      <c r="AT610" s="273"/>
      <c r="AU610" s="273"/>
      <c r="AV610" s="322">
        <f t="shared" si="29"/>
        <v>0</v>
      </c>
      <c r="AW610" s="402" t="s">
        <v>3387</v>
      </c>
      <c r="AX610" s="376">
        <v>45765</v>
      </c>
      <c r="AY610" s="373" t="s">
        <v>3388</v>
      </c>
      <c r="AZ610" s="375"/>
      <c r="BA610" s="375">
        <v>70000000</v>
      </c>
      <c r="BB610" s="375"/>
      <c r="BC610" s="375"/>
      <c r="BD610" s="353">
        <f t="shared" si="30"/>
        <v>70000000</v>
      </c>
      <c r="BE610" s="432" t="s">
        <v>355</v>
      </c>
      <c r="BF610" s="407" t="s">
        <v>500</v>
      </c>
      <c r="BG610" s="168"/>
      <c r="BH610" s="274"/>
      <c r="BI610" s="168"/>
      <c r="BJ610" s="274"/>
      <c r="BK610" s="168"/>
      <c r="BL610" s="275"/>
      <c r="BM610" s="276"/>
      <c r="BN610" s="275"/>
      <c r="BO610" s="276"/>
      <c r="BP610" s="277"/>
      <c r="BQ610" s="156"/>
      <c r="BR610" s="274"/>
      <c r="BS610" s="270"/>
      <c r="BT610" s="270"/>
      <c r="BU610" s="274"/>
      <c r="BV610" s="274"/>
      <c r="BW610" s="278"/>
      <c r="BX610" s="278"/>
      <c r="BY610" s="278"/>
      <c r="BZ610" s="351"/>
    </row>
    <row r="611" spans="1:78" s="90" customFormat="1" ht="19.5" hidden="1" customHeight="1">
      <c r="A611" s="137"/>
      <c r="B611" s="197">
        <f t="shared" si="28"/>
        <v>601</v>
      </c>
      <c r="C611" s="30" t="s">
        <v>202</v>
      </c>
      <c r="D611" s="30" t="s">
        <v>225</v>
      </c>
      <c r="E611" s="234" t="s">
        <v>1179</v>
      </c>
      <c r="F611" s="235" t="s">
        <v>1226</v>
      </c>
      <c r="G611" s="475"/>
      <c r="H611" s="361" t="s">
        <v>4284</v>
      </c>
      <c r="I611" s="363">
        <v>1</v>
      </c>
      <c r="J611" s="364" t="s">
        <v>214</v>
      </c>
      <c r="K611" s="364" t="s">
        <v>349</v>
      </c>
      <c r="L611" s="365" t="s">
        <v>351</v>
      </c>
      <c r="M611" s="362" t="s">
        <v>1852</v>
      </c>
      <c r="N611" s="421" t="s">
        <v>207</v>
      </c>
      <c r="O611" s="269">
        <v>54.032299999999999</v>
      </c>
      <c r="P611" s="269">
        <v>84.67</v>
      </c>
      <c r="Q611" s="426"/>
      <c r="R611" s="418" t="s">
        <v>1179</v>
      </c>
      <c r="S611" s="427" t="s">
        <v>613</v>
      </c>
      <c r="T611" s="357">
        <v>1</v>
      </c>
      <c r="U611" s="357" t="s">
        <v>204</v>
      </c>
      <c r="V611" s="367">
        <v>114000000</v>
      </c>
      <c r="W611" s="368">
        <v>114000000</v>
      </c>
      <c r="X611" s="357"/>
      <c r="Y611" s="357"/>
      <c r="Z611" s="400"/>
      <c r="AA611" s="369"/>
      <c r="AB611" s="370"/>
      <c r="AC611" s="404"/>
      <c r="AD611" s="270"/>
      <c r="AE611" s="156"/>
      <c r="AF611" s="156"/>
      <c r="AG611" s="357"/>
      <c r="AH611" s="357"/>
      <c r="AI611" s="357"/>
      <c r="AJ611" s="156"/>
      <c r="AK611" s="156"/>
      <c r="AL611" s="375"/>
      <c r="AM611" s="405"/>
      <c r="AN611" s="273"/>
      <c r="AO611" s="405"/>
      <c r="AP611" s="273"/>
      <c r="AQ611" s="273"/>
      <c r="AR611" s="273"/>
      <c r="AS611" s="273"/>
      <c r="AT611" s="273"/>
      <c r="AU611" s="273"/>
      <c r="AV611" s="322">
        <f t="shared" si="29"/>
        <v>0</v>
      </c>
      <c r="AW611" s="402" t="s">
        <v>3387</v>
      </c>
      <c r="AX611" s="376">
        <v>45765</v>
      </c>
      <c r="AY611" s="373" t="s">
        <v>3388</v>
      </c>
      <c r="AZ611" s="375"/>
      <c r="BA611" s="375">
        <v>150000000</v>
      </c>
      <c r="BB611" s="375"/>
      <c r="BC611" s="375"/>
      <c r="BD611" s="353">
        <f t="shared" si="30"/>
        <v>150000000</v>
      </c>
      <c r="BE611" s="432" t="s">
        <v>355</v>
      </c>
      <c r="BF611" s="407" t="s">
        <v>500</v>
      </c>
      <c r="BG611" s="168"/>
      <c r="BH611" s="274"/>
      <c r="BI611" s="168"/>
      <c r="BJ611" s="274"/>
      <c r="BK611" s="168"/>
      <c r="BL611" s="275"/>
      <c r="BM611" s="276"/>
      <c r="BN611" s="275"/>
      <c r="BO611" s="276"/>
      <c r="BP611" s="277"/>
      <c r="BQ611" s="156"/>
      <c r="BR611" s="274"/>
      <c r="BS611" s="270"/>
      <c r="BT611" s="270"/>
      <c r="BU611" s="274"/>
      <c r="BV611" s="274"/>
      <c r="BW611" s="278"/>
      <c r="BX611" s="278"/>
      <c r="BY611" s="278"/>
      <c r="BZ611" s="351"/>
    </row>
    <row r="612" spans="1:78" s="90" customFormat="1" ht="19.5" hidden="1" customHeight="1">
      <c r="A612" s="137"/>
      <c r="B612" s="197">
        <f t="shared" si="28"/>
        <v>602</v>
      </c>
      <c r="C612" s="30" t="s">
        <v>202</v>
      </c>
      <c r="D612" s="30" t="s">
        <v>225</v>
      </c>
      <c r="E612" s="234" t="s">
        <v>1180</v>
      </c>
      <c r="F612" s="235" t="s">
        <v>1226</v>
      </c>
      <c r="G612" s="475"/>
      <c r="H612" s="361" t="s">
        <v>4173</v>
      </c>
      <c r="I612" s="363">
        <v>1</v>
      </c>
      <c r="J612" s="364" t="s">
        <v>208</v>
      </c>
      <c r="K612" s="364" t="s">
        <v>258</v>
      </c>
      <c r="L612" s="365" t="s">
        <v>327</v>
      </c>
      <c r="M612" s="362" t="s">
        <v>1748</v>
      </c>
      <c r="N612" s="421" t="s">
        <v>207</v>
      </c>
      <c r="O612" s="269">
        <v>28.723500000000001</v>
      </c>
      <c r="P612" s="269">
        <v>71.873999999999995</v>
      </c>
      <c r="Q612" s="426"/>
      <c r="R612" s="418" t="s">
        <v>3398</v>
      </c>
      <c r="S612" s="427" t="s">
        <v>613</v>
      </c>
      <c r="T612" s="357">
        <v>3</v>
      </c>
      <c r="U612" s="357" t="s">
        <v>204</v>
      </c>
      <c r="V612" s="367">
        <v>44000000</v>
      </c>
      <c r="W612" s="368">
        <v>44000000</v>
      </c>
      <c r="X612" s="357"/>
      <c r="Y612" s="357"/>
      <c r="Z612" s="400"/>
      <c r="AA612" s="369"/>
      <c r="AB612" s="370"/>
      <c r="AC612" s="404" t="s">
        <v>229</v>
      </c>
      <c r="AD612" s="270" t="s">
        <v>204</v>
      </c>
      <c r="AE612" s="156">
        <v>118800000</v>
      </c>
      <c r="AF612" s="156">
        <v>118800000</v>
      </c>
      <c r="AG612" s="357"/>
      <c r="AH612" s="357"/>
      <c r="AI612" s="357"/>
      <c r="AJ612" s="156"/>
      <c r="AK612" s="156"/>
      <c r="AL612" s="375"/>
      <c r="AM612" s="405"/>
      <c r="AN612" s="273"/>
      <c r="AO612" s="405"/>
      <c r="AP612" s="273"/>
      <c r="AQ612" s="273"/>
      <c r="AR612" s="273"/>
      <c r="AS612" s="273"/>
      <c r="AT612" s="273"/>
      <c r="AU612" s="273"/>
      <c r="AV612" s="322">
        <f t="shared" si="29"/>
        <v>0</v>
      </c>
      <c r="AW612" s="402" t="s">
        <v>3387</v>
      </c>
      <c r="AX612" s="376">
        <v>45765</v>
      </c>
      <c r="AY612" s="373" t="s">
        <v>3388</v>
      </c>
      <c r="AZ612" s="375"/>
      <c r="BA612" s="375">
        <v>475000000</v>
      </c>
      <c r="BB612" s="375"/>
      <c r="BC612" s="375"/>
      <c r="BD612" s="353">
        <f t="shared" si="30"/>
        <v>475000000</v>
      </c>
      <c r="BE612" s="432" t="s">
        <v>355</v>
      </c>
      <c r="BF612" s="407" t="s">
        <v>498</v>
      </c>
      <c r="BG612" s="168"/>
      <c r="BH612" s="274"/>
      <c r="BI612" s="168"/>
      <c r="BJ612" s="274"/>
      <c r="BK612" s="168"/>
      <c r="BL612" s="275"/>
      <c r="BM612" s="276"/>
      <c r="BN612" s="275"/>
      <c r="BO612" s="276"/>
      <c r="BP612" s="277"/>
      <c r="BQ612" s="156"/>
      <c r="BR612" s="274"/>
      <c r="BS612" s="270"/>
      <c r="BT612" s="270"/>
      <c r="BU612" s="274"/>
      <c r="BV612" s="274"/>
      <c r="BW612" s="278"/>
      <c r="BX612" s="278"/>
      <c r="BY612" s="278"/>
      <c r="BZ612" s="351"/>
    </row>
    <row r="613" spans="1:78" s="90" customFormat="1" ht="19.5" hidden="1" customHeight="1">
      <c r="A613" s="137"/>
      <c r="B613" s="197">
        <f t="shared" si="28"/>
        <v>603</v>
      </c>
      <c r="C613" s="30" t="s">
        <v>202</v>
      </c>
      <c r="D613" s="30" t="s">
        <v>225</v>
      </c>
      <c r="E613" s="234" t="s">
        <v>1181</v>
      </c>
      <c r="F613" s="235" t="s">
        <v>1229</v>
      </c>
      <c r="G613" s="475"/>
      <c r="H613" s="361" t="s">
        <v>3902</v>
      </c>
      <c r="I613" s="363">
        <v>1</v>
      </c>
      <c r="J613" s="364" t="s">
        <v>211</v>
      </c>
      <c r="K613" s="364" t="s">
        <v>1470</v>
      </c>
      <c r="L613" s="365" t="s">
        <v>1471</v>
      </c>
      <c r="M613" s="362" t="s">
        <v>1472</v>
      </c>
      <c r="N613" s="421" t="s">
        <v>3078</v>
      </c>
      <c r="O613" s="269">
        <v>26.8860123027547</v>
      </c>
      <c r="P613" s="269">
        <v>73.3</v>
      </c>
      <c r="Q613" s="426"/>
      <c r="R613" s="418" t="s">
        <v>1181</v>
      </c>
      <c r="S613" s="427" t="s">
        <v>613</v>
      </c>
      <c r="T613" s="357">
        <v>1</v>
      </c>
      <c r="U613" s="357" t="s">
        <v>204</v>
      </c>
      <c r="V613" s="367">
        <v>60000000</v>
      </c>
      <c r="W613" s="368">
        <v>60000000</v>
      </c>
      <c r="X613" s="357"/>
      <c r="Y613" s="357"/>
      <c r="Z613" s="400"/>
      <c r="AA613" s="369"/>
      <c r="AB613" s="370"/>
      <c r="AC613" s="404"/>
      <c r="AD613" s="270"/>
      <c r="AE613" s="156"/>
      <c r="AF613" s="156"/>
      <c r="AG613" s="357"/>
      <c r="AH613" s="357"/>
      <c r="AI613" s="357"/>
      <c r="AJ613" s="156"/>
      <c r="AK613" s="156"/>
      <c r="AL613" s="375"/>
      <c r="AM613" s="405"/>
      <c r="AN613" s="273"/>
      <c r="AO613" s="405"/>
      <c r="AP613" s="273"/>
      <c r="AQ613" s="273"/>
      <c r="AR613" s="273"/>
      <c r="AS613" s="273"/>
      <c r="AT613" s="273"/>
      <c r="AU613" s="273"/>
      <c r="AV613" s="322">
        <f t="shared" si="29"/>
        <v>0</v>
      </c>
      <c r="AW613" s="402"/>
      <c r="AX613" s="376"/>
      <c r="AY613" s="373"/>
      <c r="AZ613" s="375"/>
      <c r="BA613" s="375"/>
      <c r="BB613" s="375"/>
      <c r="BC613" s="375"/>
      <c r="BD613" s="353">
        <f t="shared" si="30"/>
        <v>0</v>
      </c>
      <c r="BE613" s="432" t="s">
        <v>355</v>
      </c>
      <c r="BF613" s="407" t="s">
        <v>527</v>
      </c>
      <c r="BG613" s="168"/>
      <c r="BH613" s="274"/>
      <c r="BI613" s="168"/>
      <c r="BJ613" s="274"/>
      <c r="BK613" s="168"/>
      <c r="BL613" s="275"/>
      <c r="BM613" s="276"/>
      <c r="BN613" s="275"/>
      <c r="BO613" s="276"/>
      <c r="BP613" s="277"/>
      <c r="BQ613" s="156"/>
      <c r="BR613" s="274"/>
      <c r="BS613" s="270"/>
      <c r="BT613" s="270"/>
      <c r="BU613" s="274"/>
      <c r="BV613" s="274"/>
      <c r="BW613" s="278"/>
      <c r="BX613" s="278"/>
      <c r="BY613" s="278"/>
      <c r="BZ613" s="351"/>
    </row>
    <row r="614" spans="1:78" s="90" customFormat="1" ht="19.5" hidden="1" customHeight="1">
      <c r="A614" s="137"/>
      <c r="B614" s="197">
        <f t="shared" si="28"/>
        <v>604</v>
      </c>
      <c r="C614" s="30" t="s">
        <v>202</v>
      </c>
      <c r="D614" s="30" t="s">
        <v>225</v>
      </c>
      <c r="E614" s="234" t="s">
        <v>1182</v>
      </c>
      <c r="F614" s="235" t="s">
        <v>1225</v>
      </c>
      <c r="G614" s="475"/>
      <c r="H614" s="361" t="s">
        <v>4636</v>
      </c>
      <c r="I614" s="363">
        <v>1</v>
      </c>
      <c r="J614" s="364" t="s">
        <v>214</v>
      </c>
      <c r="K614" s="364" t="s">
        <v>303</v>
      </c>
      <c r="L614" s="365" t="s">
        <v>553</v>
      </c>
      <c r="M614" s="362" t="s">
        <v>2172</v>
      </c>
      <c r="N614" s="421" t="s">
        <v>207</v>
      </c>
      <c r="O614" s="269">
        <v>52.2</v>
      </c>
      <c r="P614" s="269">
        <v>82.53</v>
      </c>
      <c r="Q614" s="426"/>
      <c r="R614" s="418" t="s">
        <v>1182</v>
      </c>
      <c r="S614" s="427" t="s">
        <v>613</v>
      </c>
      <c r="T614" s="357">
        <v>1</v>
      </c>
      <c r="U614" s="357" t="s">
        <v>204</v>
      </c>
      <c r="V614" s="367">
        <v>46200000</v>
      </c>
      <c r="W614" s="368">
        <v>46200000</v>
      </c>
      <c r="X614" s="357"/>
      <c r="Y614" s="357"/>
      <c r="Z614" s="400"/>
      <c r="AA614" s="369"/>
      <c r="AB614" s="370"/>
      <c r="AC614" s="404"/>
      <c r="AD614" s="270"/>
      <c r="AE614" s="156"/>
      <c r="AF614" s="156"/>
      <c r="AG614" s="357"/>
      <c r="AH614" s="357"/>
      <c r="AI614" s="357"/>
      <c r="AJ614" s="156"/>
      <c r="AK614" s="156"/>
      <c r="AL614" s="375"/>
      <c r="AM614" s="405"/>
      <c r="AN614" s="273"/>
      <c r="AO614" s="405"/>
      <c r="AP614" s="273"/>
      <c r="AQ614" s="273"/>
      <c r="AR614" s="273"/>
      <c r="AS614" s="273"/>
      <c r="AT614" s="273"/>
      <c r="AU614" s="273"/>
      <c r="AV614" s="322">
        <f t="shared" si="29"/>
        <v>0</v>
      </c>
      <c r="AW614" s="402" t="s">
        <v>3387</v>
      </c>
      <c r="AX614" s="376">
        <v>45765</v>
      </c>
      <c r="AY614" s="373" t="s">
        <v>3388</v>
      </c>
      <c r="AZ614" s="375"/>
      <c r="BA614" s="375">
        <v>135000000</v>
      </c>
      <c r="BB614" s="375"/>
      <c r="BC614" s="375"/>
      <c r="BD614" s="353">
        <f t="shared" si="30"/>
        <v>135000000</v>
      </c>
      <c r="BE614" s="432" t="s">
        <v>355</v>
      </c>
      <c r="BF614" s="407" t="s">
        <v>500</v>
      </c>
      <c r="BG614" s="168"/>
      <c r="BH614" s="274"/>
      <c r="BI614" s="168"/>
      <c r="BJ614" s="274"/>
      <c r="BK614" s="168"/>
      <c r="BL614" s="275"/>
      <c r="BM614" s="276"/>
      <c r="BN614" s="275"/>
      <c r="BO614" s="276"/>
      <c r="BP614" s="277"/>
      <c r="BQ614" s="156"/>
      <c r="BR614" s="274"/>
      <c r="BS614" s="270"/>
      <c r="BT614" s="270"/>
      <c r="BU614" s="274"/>
      <c r="BV614" s="274"/>
      <c r="BW614" s="278"/>
      <c r="BX614" s="278"/>
      <c r="BY614" s="278"/>
      <c r="BZ614" s="351"/>
    </row>
    <row r="615" spans="1:78" s="90" customFormat="1" ht="19.5" hidden="1" customHeight="1">
      <c r="A615" s="137"/>
      <c r="B615" s="197">
        <f t="shared" si="28"/>
        <v>605</v>
      </c>
      <c r="C615" s="30" t="s">
        <v>202</v>
      </c>
      <c r="D615" s="30" t="s">
        <v>225</v>
      </c>
      <c r="E615" s="234" t="s">
        <v>1183</v>
      </c>
      <c r="F615" s="235" t="s">
        <v>1227</v>
      </c>
      <c r="G615" s="475"/>
      <c r="H615" s="361" t="s">
        <v>4213</v>
      </c>
      <c r="I615" s="363">
        <v>1</v>
      </c>
      <c r="J615" s="364" t="s">
        <v>208</v>
      </c>
      <c r="K615" s="364" t="s">
        <v>250</v>
      </c>
      <c r="L615" s="365" t="s">
        <v>1652</v>
      </c>
      <c r="M615" s="362" t="s">
        <v>1792</v>
      </c>
      <c r="N615" s="421" t="s">
        <v>207</v>
      </c>
      <c r="O615" s="269">
        <v>53.12</v>
      </c>
      <c r="P615" s="269">
        <v>39.61</v>
      </c>
      <c r="Q615" s="426"/>
      <c r="R615" s="418" t="s">
        <v>3426</v>
      </c>
      <c r="S615" s="427" t="s">
        <v>613</v>
      </c>
      <c r="T615" s="357">
        <v>1</v>
      </c>
      <c r="U615" s="357" t="s">
        <v>204</v>
      </c>
      <c r="V615" s="367">
        <v>80400000</v>
      </c>
      <c r="W615" s="368">
        <v>80400000</v>
      </c>
      <c r="X615" s="357"/>
      <c r="Y615" s="357"/>
      <c r="Z615" s="400"/>
      <c r="AA615" s="369"/>
      <c r="AB615" s="370"/>
      <c r="AC615" s="404"/>
      <c r="AD615" s="270"/>
      <c r="AE615" s="156"/>
      <c r="AF615" s="156"/>
      <c r="AG615" s="357"/>
      <c r="AH615" s="357"/>
      <c r="AI615" s="357"/>
      <c r="AJ615" s="156"/>
      <c r="AK615" s="156"/>
      <c r="AL615" s="375"/>
      <c r="AM615" s="405"/>
      <c r="AN615" s="273"/>
      <c r="AO615" s="405"/>
      <c r="AP615" s="273"/>
      <c r="AQ615" s="273"/>
      <c r="AR615" s="273"/>
      <c r="AS615" s="273"/>
      <c r="AT615" s="273"/>
      <c r="AU615" s="273"/>
      <c r="AV615" s="322">
        <f t="shared" si="29"/>
        <v>0</v>
      </c>
      <c r="AW615" s="402" t="s">
        <v>3387</v>
      </c>
      <c r="AX615" s="376">
        <v>45765</v>
      </c>
      <c r="AY615" s="373" t="s">
        <v>3388</v>
      </c>
      <c r="AZ615" s="375"/>
      <c r="BA615" s="375">
        <v>180000000</v>
      </c>
      <c r="BB615" s="375"/>
      <c r="BC615" s="375"/>
      <c r="BD615" s="353">
        <f t="shared" si="30"/>
        <v>180000000</v>
      </c>
      <c r="BE615" s="432" t="s">
        <v>355</v>
      </c>
      <c r="BF615" s="407" t="s">
        <v>493</v>
      </c>
      <c r="BG615" s="168"/>
      <c r="BH615" s="274"/>
      <c r="BI615" s="168"/>
      <c r="BJ615" s="274"/>
      <c r="BK615" s="168"/>
      <c r="BL615" s="275"/>
      <c r="BM615" s="276"/>
      <c r="BN615" s="275"/>
      <c r="BO615" s="276"/>
      <c r="BP615" s="277"/>
      <c r="BQ615" s="156"/>
      <c r="BR615" s="274"/>
      <c r="BS615" s="270"/>
      <c r="BT615" s="270"/>
      <c r="BU615" s="274"/>
      <c r="BV615" s="274"/>
      <c r="BW615" s="278"/>
      <c r="BX615" s="278"/>
      <c r="BY615" s="278"/>
      <c r="BZ615" s="351"/>
    </row>
    <row r="616" spans="1:78" s="90" customFormat="1" ht="19.5" hidden="1" customHeight="1">
      <c r="A616" s="137"/>
      <c r="B616" s="197">
        <f t="shared" si="28"/>
        <v>606</v>
      </c>
      <c r="C616" s="30" t="s">
        <v>202</v>
      </c>
      <c r="D616" s="30" t="s">
        <v>225</v>
      </c>
      <c r="E616" s="234" t="s">
        <v>1184</v>
      </c>
      <c r="F616" s="235" t="s">
        <v>1266</v>
      </c>
      <c r="G616" s="475"/>
      <c r="H616" s="361" t="s">
        <v>4167</v>
      </c>
      <c r="I616" s="363">
        <v>1</v>
      </c>
      <c r="J616" s="364" t="s">
        <v>208</v>
      </c>
      <c r="K616" s="364" t="s">
        <v>259</v>
      </c>
      <c r="L616" s="365" t="s">
        <v>1655</v>
      </c>
      <c r="M616" s="362" t="s">
        <v>1742</v>
      </c>
      <c r="N616" s="421" t="s">
        <v>606</v>
      </c>
      <c r="O616" s="269">
        <v>32.26</v>
      </c>
      <c r="P616" s="269">
        <v>43.2</v>
      </c>
      <c r="Q616" s="426"/>
      <c r="R616" s="418" t="s">
        <v>1184</v>
      </c>
      <c r="S616" s="427" t="s">
        <v>613</v>
      </c>
      <c r="T616" s="357">
        <v>1</v>
      </c>
      <c r="U616" s="357" t="s">
        <v>204</v>
      </c>
      <c r="V616" s="367">
        <v>53760000</v>
      </c>
      <c r="W616" s="368">
        <v>53760000</v>
      </c>
      <c r="X616" s="357"/>
      <c r="Y616" s="357"/>
      <c r="Z616" s="400"/>
      <c r="AA616" s="369"/>
      <c r="AB616" s="370"/>
      <c r="AC616" s="404"/>
      <c r="AD616" s="270"/>
      <c r="AE616" s="156"/>
      <c r="AF616" s="156"/>
      <c r="AG616" s="357"/>
      <c r="AH616" s="357"/>
      <c r="AI616" s="357"/>
      <c r="AJ616" s="156"/>
      <c r="AK616" s="156"/>
      <c r="AL616" s="375"/>
      <c r="AM616" s="405"/>
      <c r="AN616" s="273"/>
      <c r="AO616" s="405"/>
      <c r="AP616" s="273"/>
      <c r="AQ616" s="273"/>
      <c r="AR616" s="273"/>
      <c r="AS616" s="273"/>
      <c r="AT616" s="273"/>
      <c r="AU616" s="273"/>
      <c r="AV616" s="322">
        <f t="shared" si="29"/>
        <v>0</v>
      </c>
      <c r="AW616" s="402"/>
      <c r="AX616" s="376"/>
      <c r="AY616" s="373"/>
      <c r="AZ616" s="375"/>
      <c r="BA616" s="375"/>
      <c r="BB616" s="375"/>
      <c r="BC616" s="375"/>
      <c r="BD616" s="353">
        <f t="shared" si="30"/>
        <v>0</v>
      </c>
      <c r="BE616" s="432" t="s">
        <v>355</v>
      </c>
      <c r="BF616" s="407" t="s">
        <v>499</v>
      </c>
      <c r="BG616" s="168"/>
      <c r="BH616" s="274"/>
      <c r="BI616" s="168"/>
      <c r="BJ616" s="274"/>
      <c r="BK616" s="168"/>
      <c r="BL616" s="275"/>
      <c r="BM616" s="276"/>
      <c r="BN616" s="275"/>
      <c r="BO616" s="276"/>
      <c r="BP616" s="277"/>
      <c r="BQ616" s="156"/>
      <c r="BR616" s="274"/>
      <c r="BS616" s="270"/>
      <c r="BT616" s="270"/>
      <c r="BU616" s="274"/>
      <c r="BV616" s="274"/>
      <c r="BW616" s="278"/>
      <c r="BX616" s="278"/>
      <c r="BY616" s="278"/>
      <c r="BZ616" s="351"/>
    </row>
    <row r="617" spans="1:78" s="90" customFormat="1" ht="19.5" hidden="1" customHeight="1">
      <c r="A617" s="137"/>
      <c r="B617" s="197">
        <f t="shared" si="28"/>
        <v>607</v>
      </c>
      <c r="C617" s="30" t="s">
        <v>202</v>
      </c>
      <c r="D617" s="30" t="s">
        <v>225</v>
      </c>
      <c r="E617" s="234" t="s">
        <v>1185</v>
      </c>
      <c r="F617" s="235" t="s">
        <v>1289</v>
      </c>
      <c r="G617" s="475"/>
      <c r="H617" s="361" t="s">
        <v>4609</v>
      </c>
      <c r="I617" s="363">
        <v>1</v>
      </c>
      <c r="J617" s="364" t="s">
        <v>217</v>
      </c>
      <c r="K617" s="364" t="s">
        <v>336</v>
      </c>
      <c r="L617" s="365" t="s">
        <v>2145</v>
      </c>
      <c r="M617" s="362" t="s">
        <v>2146</v>
      </c>
      <c r="N617" s="421" t="s">
        <v>207</v>
      </c>
      <c r="O617" s="269">
        <v>37.777344236760101</v>
      </c>
      <c r="P617" s="269">
        <v>59.87</v>
      </c>
      <c r="Q617" s="426"/>
      <c r="R617" s="418" t="s">
        <v>1185</v>
      </c>
      <c r="S617" s="427" t="s">
        <v>613</v>
      </c>
      <c r="T617" s="357">
        <v>1</v>
      </c>
      <c r="U617" s="357" t="s">
        <v>204</v>
      </c>
      <c r="V617" s="367">
        <v>49200000</v>
      </c>
      <c r="W617" s="368">
        <v>49200000</v>
      </c>
      <c r="X617" s="357"/>
      <c r="Y617" s="357"/>
      <c r="Z617" s="400"/>
      <c r="AA617" s="369"/>
      <c r="AB617" s="370"/>
      <c r="AC617" s="404"/>
      <c r="AD617" s="270"/>
      <c r="AE617" s="156"/>
      <c r="AF617" s="156"/>
      <c r="AG617" s="357"/>
      <c r="AH617" s="357"/>
      <c r="AI617" s="357"/>
      <c r="AJ617" s="156"/>
      <c r="AK617" s="156"/>
      <c r="AL617" s="375"/>
      <c r="AM617" s="405"/>
      <c r="AN617" s="273"/>
      <c r="AO617" s="405"/>
      <c r="AP617" s="273"/>
      <c r="AQ617" s="273"/>
      <c r="AR617" s="273"/>
      <c r="AS617" s="273"/>
      <c r="AT617" s="273"/>
      <c r="AU617" s="273"/>
      <c r="AV617" s="322">
        <f t="shared" si="29"/>
        <v>0</v>
      </c>
      <c r="AW617" s="402" t="s">
        <v>3387</v>
      </c>
      <c r="AX617" s="376">
        <v>45765</v>
      </c>
      <c r="AY617" s="373" t="s">
        <v>3388</v>
      </c>
      <c r="AZ617" s="375"/>
      <c r="BA617" s="375">
        <v>77500000</v>
      </c>
      <c r="BB617" s="375"/>
      <c r="BC617" s="375"/>
      <c r="BD617" s="353">
        <f t="shared" si="30"/>
        <v>77500000</v>
      </c>
      <c r="BE617" s="432" t="s">
        <v>355</v>
      </c>
      <c r="BF617" s="407" t="s">
        <v>518</v>
      </c>
      <c r="BG617" s="168"/>
      <c r="BH617" s="274"/>
      <c r="BI617" s="168"/>
      <c r="BJ617" s="274"/>
      <c r="BK617" s="168"/>
      <c r="BL617" s="275"/>
      <c r="BM617" s="276"/>
      <c r="BN617" s="275"/>
      <c r="BO617" s="276"/>
      <c r="BP617" s="277"/>
      <c r="BQ617" s="156"/>
      <c r="BR617" s="274"/>
      <c r="BS617" s="270"/>
      <c r="BT617" s="270"/>
      <c r="BU617" s="274"/>
      <c r="BV617" s="274"/>
      <c r="BW617" s="278"/>
      <c r="BX617" s="278"/>
      <c r="BY617" s="278"/>
      <c r="BZ617" s="351"/>
    </row>
    <row r="618" spans="1:78" s="90" customFormat="1" ht="19.5" hidden="1" customHeight="1">
      <c r="A618" s="137"/>
      <c r="B618" s="197">
        <f t="shared" si="28"/>
        <v>608</v>
      </c>
      <c r="C618" s="30" t="s">
        <v>202</v>
      </c>
      <c r="D618" s="30" t="s">
        <v>225</v>
      </c>
      <c r="E618" s="234" t="s">
        <v>1186</v>
      </c>
      <c r="F618" s="235" t="s">
        <v>1221</v>
      </c>
      <c r="G618" s="475"/>
      <c r="H618" s="361" t="s">
        <v>4030</v>
      </c>
      <c r="I618" s="363">
        <v>1</v>
      </c>
      <c r="J618" s="364" t="s">
        <v>217</v>
      </c>
      <c r="K618" s="364" t="s">
        <v>336</v>
      </c>
      <c r="L618" s="365" t="s">
        <v>1604</v>
      </c>
      <c r="M618" s="362" t="s">
        <v>1605</v>
      </c>
      <c r="N618" s="421" t="s">
        <v>207</v>
      </c>
      <c r="O618" s="269">
        <v>44.82</v>
      </c>
      <c r="P618" s="269">
        <v>70.510000000000005</v>
      </c>
      <c r="Q618" s="426"/>
      <c r="R618" s="418" t="s">
        <v>1186</v>
      </c>
      <c r="S618" s="427" t="s">
        <v>613</v>
      </c>
      <c r="T618" s="357">
        <v>1</v>
      </c>
      <c r="U618" s="357" t="s">
        <v>204</v>
      </c>
      <c r="V618" s="367">
        <v>61200000</v>
      </c>
      <c r="W618" s="368">
        <v>61200000</v>
      </c>
      <c r="X618" s="357"/>
      <c r="Y618" s="357"/>
      <c r="Z618" s="400"/>
      <c r="AA618" s="369"/>
      <c r="AB618" s="370"/>
      <c r="AC618" s="404"/>
      <c r="AD618" s="270"/>
      <c r="AE618" s="156"/>
      <c r="AF618" s="156"/>
      <c r="AG618" s="357"/>
      <c r="AH618" s="357"/>
      <c r="AI618" s="357"/>
      <c r="AJ618" s="156"/>
      <c r="AK618" s="156"/>
      <c r="AL618" s="375"/>
      <c r="AM618" s="405"/>
      <c r="AN618" s="273"/>
      <c r="AO618" s="405"/>
      <c r="AP618" s="273"/>
      <c r="AQ618" s="273"/>
      <c r="AR618" s="273"/>
      <c r="AS618" s="273"/>
      <c r="AT618" s="273"/>
      <c r="AU618" s="273"/>
      <c r="AV618" s="322">
        <f t="shared" si="29"/>
        <v>0</v>
      </c>
      <c r="AW618" s="402" t="s">
        <v>3387</v>
      </c>
      <c r="AX618" s="376">
        <v>45765</v>
      </c>
      <c r="AY618" s="373" t="s">
        <v>3388</v>
      </c>
      <c r="AZ618" s="375"/>
      <c r="BA618" s="375">
        <v>70000000</v>
      </c>
      <c r="BB618" s="375"/>
      <c r="BC618" s="375"/>
      <c r="BD618" s="353">
        <f t="shared" si="30"/>
        <v>70000000</v>
      </c>
      <c r="BE618" s="432" t="s">
        <v>355</v>
      </c>
      <c r="BF618" s="407" t="s">
        <v>518</v>
      </c>
      <c r="BG618" s="168"/>
      <c r="BH618" s="274"/>
      <c r="BI618" s="168"/>
      <c r="BJ618" s="274"/>
      <c r="BK618" s="168"/>
      <c r="BL618" s="275"/>
      <c r="BM618" s="276"/>
      <c r="BN618" s="275"/>
      <c r="BO618" s="276"/>
      <c r="BP618" s="277"/>
      <c r="BQ618" s="156"/>
      <c r="BR618" s="274"/>
      <c r="BS618" s="270"/>
      <c r="BT618" s="270"/>
      <c r="BU618" s="274"/>
      <c r="BV618" s="274"/>
      <c r="BW618" s="278"/>
      <c r="BX618" s="278"/>
      <c r="BY618" s="278"/>
      <c r="BZ618" s="351"/>
    </row>
    <row r="619" spans="1:78" s="90" customFormat="1" ht="19.5" hidden="1" customHeight="1">
      <c r="A619" s="137"/>
      <c r="B619" s="197">
        <f t="shared" si="28"/>
        <v>609</v>
      </c>
      <c r="C619" s="30" t="s">
        <v>202</v>
      </c>
      <c r="D619" s="30" t="s">
        <v>225</v>
      </c>
      <c r="E619" s="234" t="s">
        <v>1187</v>
      </c>
      <c r="F619" s="235" t="s">
        <v>1242</v>
      </c>
      <c r="G619" s="475"/>
      <c r="H619" s="361" t="s">
        <v>4894</v>
      </c>
      <c r="I619" s="363">
        <v>1</v>
      </c>
      <c r="J619" s="364" t="s">
        <v>212</v>
      </c>
      <c r="K619" s="364" t="s">
        <v>309</v>
      </c>
      <c r="L619" s="365" t="s">
        <v>1812</v>
      </c>
      <c r="M619" s="362" t="s">
        <v>2414</v>
      </c>
      <c r="N619" s="421" t="s">
        <v>606</v>
      </c>
      <c r="O619" s="269">
        <v>28.62</v>
      </c>
      <c r="P619" s="269">
        <v>42.18</v>
      </c>
      <c r="Q619" s="426"/>
      <c r="R619" s="418" t="s">
        <v>1187</v>
      </c>
      <c r="S619" s="427" t="s">
        <v>613</v>
      </c>
      <c r="T619" s="357">
        <v>1</v>
      </c>
      <c r="U619" s="357" t="s">
        <v>204</v>
      </c>
      <c r="V619" s="367">
        <v>46200000</v>
      </c>
      <c r="W619" s="368">
        <v>46200000</v>
      </c>
      <c r="X619" s="357"/>
      <c r="Y619" s="357"/>
      <c r="Z619" s="400"/>
      <c r="AA619" s="369"/>
      <c r="AB619" s="370"/>
      <c r="AC619" s="404"/>
      <c r="AD619" s="270"/>
      <c r="AE619" s="156"/>
      <c r="AF619" s="156"/>
      <c r="AG619" s="357"/>
      <c r="AH619" s="357"/>
      <c r="AI619" s="357"/>
      <c r="AJ619" s="156"/>
      <c r="AK619" s="156"/>
      <c r="AL619" s="375"/>
      <c r="AM619" s="405"/>
      <c r="AN619" s="273"/>
      <c r="AO619" s="405"/>
      <c r="AP619" s="273"/>
      <c r="AQ619" s="273"/>
      <c r="AR619" s="273"/>
      <c r="AS619" s="273"/>
      <c r="AT619" s="273"/>
      <c r="AU619" s="273"/>
      <c r="AV619" s="322">
        <f t="shared" si="29"/>
        <v>0</v>
      </c>
      <c r="AW619" s="402"/>
      <c r="AX619" s="376"/>
      <c r="AY619" s="373"/>
      <c r="AZ619" s="375"/>
      <c r="BA619" s="375"/>
      <c r="BB619" s="375"/>
      <c r="BC619" s="375"/>
      <c r="BD619" s="353">
        <f t="shared" si="30"/>
        <v>0</v>
      </c>
      <c r="BE619" s="432" t="s">
        <v>355</v>
      </c>
      <c r="BF619" s="407" t="s">
        <v>496</v>
      </c>
      <c r="BG619" s="168"/>
      <c r="BH619" s="274"/>
      <c r="BI619" s="168"/>
      <c r="BJ619" s="274"/>
      <c r="BK619" s="168"/>
      <c r="BL619" s="275"/>
      <c r="BM619" s="276"/>
      <c r="BN619" s="275"/>
      <c r="BO619" s="276"/>
      <c r="BP619" s="277"/>
      <c r="BQ619" s="156"/>
      <c r="BR619" s="274"/>
      <c r="BS619" s="270"/>
      <c r="BT619" s="270"/>
      <c r="BU619" s="274"/>
      <c r="BV619" s="274"/>
      <c r="BW619" s="278"/>
      <c r="BX619" s="278"/>
      <c r="BY619" s="278"/>
      <c r="BZ619" s="351"/>
    </row>
    <row r="620" spans="1:78" s="90" customFormat="1" ht="19.5" hidden="1" customHeight="1">
      <c r="A620" s="137"/>
      <c r="B620" s="197">
        <f t="shared" si="28"/>
        <v>610</v>
      </c>
      <c r="C620" s="30" t="s">
        <v>202</v>
      </c>
      <c r="D620" s="30" t="s">
        <v>225</v>
      </c>
      <c r="E620" s="234" t="s">
        <v>1188</v>
      </c>
      <c r="F620" s="235" t="s">
        <v>1225</v>
      </c>
      <c r="G620" s="475"/>
      <c r="H620" s="361" t="s">
        <v>4549</v>
      </c>
      <c r="I620" s="363">
        <v>1</v>
      </c>
      <c r="J620" s="364" t="s">
        <v>220</v>
      </c>
      <c r="K620" s="364" t="s">
        <v>2090</v>
      </c>
      <c r="L620" s="365" t="s">
        <v>2091</v>
      </c>
      <c r="M620" s="362" t="s">
        <v>2092</v>
      </c>
      <c r="N620" s="421" t="s">
        <v>207</v>
      </c>
      <c r="O620" s="269">
        <v>24.160900000000002</v>
      </c>
      <c r="P620" s="269">
        <v>59.52</v>
      </c>
      <c r="Q620" s="426"/>
      <c r="R620" s="418" t="s">
        <v>1188</v>
      </c>
      <c r="S620" s="427" t="s">
        <v>613</v>
      </c>
      <c r="T620" s="357">
        <v>1</v>
      </c>
      <c r="U620" s="357" t="s">
        <v>204</v>
      </c>
      <c r="V620" s="367">
        <v>62400000</v>
      </c>
      <c r="W620" s="368">
        <v>62400000</v>
      </c>
      <c r="X620" s="357"/>
      <c r="Y620" s="357"/>
      <c r="Z620" s="400"/>
      <c r="AA620" s="369"/>
      <c r="AB620" s="370"/>
      <c r="AC620" s="404"/>
      <c r="AD620" s="270"/>
      <c r="AE620" s="156"/>
      <c r="AF620" s="156"/>
      <c r="AG620" s="357"/>
      <c r="AH620" s="357"/>
      <c r="AI620" s="357"/>
      <c r="AJ620" s="156"/>
      <c r="AK620" s="156"/>
      <c r="AL620" s="375"/>
      <c r="AM620" s="405"/>
      <c r="AN620" s="273"/>
      <c r="AO620" s="405"/>
      <c r="AP620" s="273"/>
      <c r="AQ620" s="273"/>
      <c r="AR620" s="273"/>
      <c r="AS620" s="273"/>
      <c r="AT620" s="273"/>
      <c r="AU620" s="273"/>
      <c r="AV620" s="322">
        <f t="shared" si="29"/>
        <v>0</v>
      </c>
      <c r="AW620" s="402" t="s">
        <v>3387</v>
      </c>
      <c r="AX620" s="376">
        <v>45765</v>
      </c>
      <c r="AY620" s="373" t="s">
        <v>3388</v>
      </c>
      <c r="AZ620" s="375"/>
      <c r="BA620" s="375">
        <v>73000000</v>
      </c>
      <c r="BB620" s="375"/>
      <c r="BC620" s="375"/>
      <c r="BD620" s="353">
        <f t="shared" si="30"/>
        <v>73000000</v>
      </c>
      <c r="BE620" s="432" t="s">
        <v>355</v>
      </c>
      <c r="BF620" s="407" t="s">
        <v>523</v>
      </c>
      <c r="BG620" s="168"/>
      <c r="BH620" s="274"/>
      <c r="BI620" s="168"/>
      <c r="BJ620" s="274"/>
      <c r="BK620" s="168"/>
      <c r="BL620" s="275"/>
      <c r="BM620" s="276"/>
      <c r="BN620" s="275"/>
      <c r="BO620" s="276"/>
      <c r="BP620" s="277"/>
      <c r="BQ620" s="156"/>
      <c r="BR620" s="274"/>
      <c r="BS620" s="270"/>
      <c r="BT620" s="270"/>
      <c r="BU620" s="274"/>
      <c r="BV620" s="274"/>
      <c r="BW620" s="278"/>
      <c r="BX620" s="278"/>
      <c r="BY620" s="278"/>
      <c r="BZ620" s="351"/>
    </row>
    <row r="621" spans="1:78" s="90" customFormat="1" ht="19.5" hidden="1" customHeight="1">
      <c r="A621" s="137"/>
      <c r="B621" s="197">
        <f t="shared" si="28"/>
        <v>611</v>
      </c>
      <c r="C621" s="30" t="s">
        <v>202</v>
      </c>
      <c r="D621" s="30" t="s">
        <v>225</v>
      </c>
      <c r="E621" s="234" t="s">
        <v>1189</v>
      </c>
      <c r="F621" s="235" t="s">
        <v>1260</v>
      </c>
      <c r="G621" s="475"/>
      <c r="H621" s="361" t="s">
        <v>4763</v>
      </c>
      <c r="I621" s="363">
        <v>1</v>
      </c>
      <c r="J621" s="364" t="s">
        <v>212</v>
      </c>
      <c r="K621" s="364" t="s">
        <v>304</v>
      </c>
      <c r="L621" s="365" t="s">
        <v>356</v>
      </c>
      <c r="M621" s="362" t="s">
        <v>2295</v>
      </c>
      <c r="N621" s="421" t="s">
        <v>207</v>
      </c>
      <c r="O621" s="269">
        <v>19.902000000000001</v>
      </c>
      <c r="P621" s="269">
        <v>59.85</v>
      </c>
      <c r="Q621" s="426"/>
      <c r="R621" s="418" t="s">
        <v>1189</v>
      </c>
      <c r="S621" s="427" t="s">
        <v>613</v>
      </c>
      <c r="T621" s="357">
        <v>1</v>
      </c>
      <c r="U621" s="357" t="s">
        <v>204</v>
      </c>
      <c r="V621" s="367">
        <v>69600000</v>
      </c>
      <c r="W621" s="368">
        <v>69600000</v>
      </c>
      <c r="X621" s="357"/>
      <c r="Y621" s="357"/>
      <c r="Z621" s="400"/>
      <c r="AA621" s="369"/>
      <c r="AB621" s="370"/>
      <c r="AC621" s="404"/>
      <c r="AD621" s="270"/>
      <c r="AE621" s="156"/>
      <c r="AF621" s="156"/>
      <c r="AG621" s="357"/>
      <c r="AH621" s="357"/>
      <c r="AI621" s="357"/>
      <c r="AJ621" s="156"/>
      <c r="AK621" s="156"/>
      <c r="AL621" s="375"/>
      <c r="AM621" s="405"/>
      <c r="AN621" s="273"/>
      <c r="AO621" s="405"/>
      <c r="AP621" s="273"/>
      <c r="AQ621" s="273"/>
      <c r="AR621" s="273"/>
      <c r="AS621" s="273"/>
      <c r="AT621" s="273"/>
      <c r="AU621" s="273"/>
      <c r="AV621" s="322">
        <f t="shared" si="29"/>
        <v>0</v>
      </c>
      <c r="AW621" s="402" t="s">
        <v>3387</v>
      </c>
      <c r="AX621" s="376">
        <v>45765</v>
      </c>
      <c r="AY621" s="373" t="s">
        <v>3388</v>
      </c>
      <c r="AZ621" s="375"/>
      <c r="BA621" s="375">
        <v>135000000</v>
      </c>
      <c r="BB621" s="375"/>
      <c r="BC621" s="375"/>
      <c r="BD621" s="353">
        <f t="shared" si="30"/>
        <v>135000000</v>
      </c>
      <c r="BE621" s="432" t="s">
        <v>335</v>
      </c>
      <c r="BF621" s="407" t="s">
        <v>496</v>
      </c>
      <c r="BG621" s="168" t="s">
        <v>3405</v>
      </c>
      <c r="BH621" s="274">
        <v>45588</v>
      </c>
      <c r="BI621" s="168" t="s">
        <v>3251</v>
      </c>
      <c r="BJ621" s="274">
        <v>45670</v>
      </c>
      <c r="BK621" s="168">
        <v>41703987</v>
      </c>
      <c r="BL621" s="275"/>
      <c r="BM621" s="276"/>
      <c r="BN621" s="275"/>
      <c r="BO621" s="276"/>
      <c r="BP621" s="277"/>
      <c r="BQ621" s="156"/>
      <c r="BR621" s="274"/>
      <c r="BS621" s="270"/>
      <c r="BT621" s="270"/>
      <c r="BU621" s="274"/>
      <c r="BV621" s="274"/>
      <c r="BW621" s="278"/>
      <c r="BX621" s="278"/>
      <c r="BY621" s="278"/>
      <c r="BZ621" s="351"/>
    </row>
    <row r="622" spans="1:78" s="90" customFormat="1" ht="19.5" hidden="1" customHeight="1">
      <c r="A622" s="137"/>
      <c r="B622" s="197">
        <f t="shared" si="28"/>
        <v>612</v>
      </c>
      <c r="C622" s="30" t="s">
        <v>202</v>
      </c>
      <c r="D622" s="30" t="s">
        <v>225</v>
      </c>
      <c r="E622" s="234" t="s">
        <v>1190</v>
      </c>
      <c r="F622" s="235" t="s">
        <v>1244</v>
      </c>
      <c r="G622" s="475"/>
      <c r="H622" s="361" t="s">
        <v>4932</v>
      </c>
      <c r="I622" s="363">
        <v>1</v>
      </c>
      <c r="J622" s="364" t="s">
        <v>213</v>
      </c>
      <c r="K622" s="364" t="s">
        <v>2451</v>
      </c>
      <c r="L622" s="365" t="s">
        <v>2452</v>
      </c>
      <c r="M622" s="362" t="s">
        <v>2453</v>
      </c>
      <c r="N622" s="421" t="s">
        <v>3074</v>
      </c>
      <c r="O622" s="269">
        <v>3.1141000000000001</v>
      </c>
      <c r="P622" s="269">
        <v>17.760000000000002</v>
      </c>
      <c r="Q622" s="426"/>
      <c r="R622" s="418" t="s">
        <v>1190</v>
      </c>
      <c r="S622" s="427" t="s">
        <v>613</v>
      </c>
      <c r="T622" s="357">
        <v>1</v>
      </c>
      <c r="U622" s="357" t="s">
        <v>204</v>
      </c>
      <c r="V622" s="367">
        <v>48000000</v>
      </c>
      <c r="W622" s="368">
        <v>48000000</v>
      </c>
      <c r="X622" s="357"/>
      <c r="Y622" s="357"/>
      <c r="Z622" s="400"/>
      <c r="AA622" s="369"/>
      <c r="AB622" s="370"/>
      <c r="AC622" s="404"/>
      <c r="AD622" s="270"/>
      <c r="AE622" s="156"/>
      <c r="AF622" s="156"/>
      <c r="AG622" s="357"/>
      <c r="AH622" s="357"/>
      <c r="AI622" s="357"/>
      <c r="AJ622" s="156"/>
      <c r="AK622" s="156"/>
      <c r="AL622" s="375"/>
      <c r="AM622" s="405"/>
      <c r="AN622" s="273"/>
      <c r="AO622" s="405"/>
      <c r="AP622" s="273"/>
      <c r="AQ622" s="273"/>
      <c r="AR622" s="273"/>
      <c r="AS622" s="273"/>
      <c r="AT622" s="273"/>
      <c r="AU622" s="273"/>
      <c r="AV622" s="322">
        <f t="shared" si="29"/>
        <v>0</v>
      </c>
      <c r="AW622" s="402"/>
      <c r="AX622" s="376"/>
      <c r="AY622" s="373"/>
      <c r="AZ622" s="375"/>
      <c r="BA622" s="375"/>
      <c r="BB622" s="375"/>
      <c r="BC622" s="375"/>
      <c r="BD622" s="353">
        <f t="shared" si="30"/>
        <v>0</v>
      </c>
      <c r="BE622" s="432" t="s">
        <v>355</v>
      </c>
      <c r="BF622" s="407" t="s">
        <v>524</v>
      </c>
      <c r="BG622" s="168"/>
      <c r="BH622" s="274"/>
      <c r="BI622" s="168"/>
      <c r="BJ622" s="274"/>
      <c r="BK622" s="168"/>
      <c r="BL622" s="275"/>
      <c r="BM622" s="276"/>
      <c r="BN622" s="275"/>
      <c r="BO622" s="276"/>
      <c r="BP622" s="277"/>
      <c r="BQ622" s="156"/>
      <c r="BR622" s="274"/>
      <c r="BS622" s="270"/>
      <c r="BT622" s="270"/>
      <c r="BU622" s="274"/>
      <c r="BV622" s="274"/>
      <c r="BW622" s="278"/>
      <c r="BX622" s="278"/>
      <c r="BY622" s="278"/>
      <c r="BZ622" s="351"/>
    </row>
    <row r="623" spans="1:78" s="90" customFormat="1" ht="19.5" hidden="1" customHeight="1">
      <c r="A623" s="137"/>
      <c r="B623" s="197">
        <f t="shared" si="28"/>
        <v>613</v>
      </c>
      <c r="C623" s="30" t="s">
        <v>202</v>
      </c>
      <c r="D623" s="30" t="s">
        <v>225</v>
      </c>
      <c r="E623" s="234" t="s">
        <v>1191</v>
      </c>
      <c r="F623" s="235" t="s">
        <v>1229</v>
      </c>
      <c r="G623" s="475"/>
      <c r="H623" s="361" t="s">
        <v>4765</v>
      </c>
      <c r="I623" s="363">
        <v>1</v>
      </c>
      <c r="J623" s="364" t="s">
        <v>208</v>
      </c>
      <c r="K623" s="364" t="s">
        <v>234</v>
      </c>
      <c r="L623" s="365" t="s">
        <v>2297</v>
      </c>
      <c r="M623" s="362" t="s">
        <v>2298</v>
      </c>
      <c r="N623" s="421" t="s">
        <v>618</v>
      </c>
      <c r="O623" s="269">
        <v>57.73</v>
      </c>
      <c r="P623" s="269">
        <v>67.319999999999993</v>
      </c>
      <c r="Q623" s="426"/>
      <c r="R623" s="418" t="s">
        <v>1191</v>
      </c>
      <c r="S623" s="427" t="s">
        <v>613</v>
      </c>
      <c r="T623" s="357">
        <v>1</v>
      </c>
      <c r="U623" s="357" t="s">
        <v>204</v>
      </c>
      <c r="V623" s="367">
        <v>46800000</v>
      </c>
      <c r="W623" s="368">
        <v>46800000</v>
      </c>
      <c r="X623" s="357"/>
      <c r="Y623" s="357"/>
      <c r="Z623" s="400"/>
      <c r="AA623" s="369"/>
      <c r="AB623" s="370"/>
      <c r="AC623" s="404"/>
      <c r="AD623" s="270"/>
      <c r="AE623" s="156"/>
      <c r="AF623" s="156"/>
      <c r="AG623" s="357"/>
      <c r="AH623" s="357"/>
      <c r="AI623" s="357"/>
      <c r="AJ623" s="156"/>
      <c r="AK623" s="156"/>
      <c r="AL623" s="375"/>
      <c r="AM623" s="405"/>
      <c r="AN623" s="273"/>
      <c r="AO623" s="405"/>
      <c r="AP623" s="273"/>
      <c r="AQ623" s="273"/>
      <c r="AR623" s="273"/>
      <c r="AS623" s="273"/>
      <c r="AT623" s="273"/>
      <c r="AU623" s="273"/>
      <c r="AV623" s="322">
        <f t="shared" si="29"/>
        <v>0</v>
      </c>
      <c r="AW623" s="402"/>
      <c r="AX623" s="376"/>
      <c r="AY623" s="373"/>
      <c r="AZ623" s="375"/>
      <c r="BA623" s="375"/>
      <c r="BB623" s="375"/>
      <c r="BC623" s="375"/>
      <c r="BD623" s="353">
        <f t="shared" si="30"/>
        <v>0</v>
      </c>
      <c r="BE623" s="432" t="s">
        <v>355</v>
      </c>
      <c r="BF623" s="407" t="s">
        <v>504</v>
      </c>
      <c r="BG623" s="168"/>
      <c r="BH623" s="274"/>
      <c r="BI623" s="168"/>
      <c r="BJ623" s="274"/>
      <c r="BK623" s="168"/>
      <c r="BL623" s="275"/>
      <c r="BM623" s="276"/>
      <c r="BN623" s="275"/>
      <c r="BO623" s="276"/>
      <c r="BP623" s="277"/>
      <c r="BQ623" s="156"/>
      <c r="BR623" s="274"/>
      <c r="BS623" s="270"/>
      <c r="BT623" s="270"/>
      <c r="BU623" s="274"/>
      <c r="BV623" s="274"/>
      <c r="BW623" s="278"/>
      <c r="BX623" s="278"/>
      <c r="BY623" s="278"/>
      <c r="BZ623" s="351"/>
    </row>
    <row r="624" spans="1:78" s="90" customFormat="1" ht="19.5" hidden="1" customHeight="1">
      <c r="A624" s="137"/>
      <c r="B624" s="197">
        <f t="shared" si="28"/>
        <v>614</v>
      </c>
      <c r="C624" s="30" t="s">
        <v>202</v>
      </c>
      <c r="D624" s="30" t="s">
        <v>225</v>
      </c>
      <c r="E624" s="234" t="s">
        <v>1192</v>
      </c>
      <c r="F624" s="235" t="s">
        <v>1234</v>
      </c>
      <c r="G624" s="475"/>
      <c r="H624" s="361" t="s">
        <v>4256</v>
      </c>
      <c r="I624" s="363">
        <v>1</v>
      </c>
      <c r="J624" s="364" t="s">
        <v>208</v>
      </c>
      <c r="K624" s="364" t="s">
        <v>259</v>
      </c>
      <c r="L624" s="365" t="s">
        <v>387</v>
      </c>
      <c r="M624" s="362" t="s">
        <v>1824</v>
      </c>
      <c r="N624" s="421" t="s">
        <v>606</v>
      </c>
      <c r="O624" s="269">
        <v>28.5</v>
      </c>
      <c r="P624" s="269">
        <v>36.450000000000003</v>
      </c>
      <c r="Q624" s="426"/>
      <c r="R624" s="418" t="s">
        <v>1192</v>
      </c>
      <c r="S624" s="427" t="s">
        <v>613</v>
      </c>
      <c r="T624" s="357">
        <v>1</v>
      </c>
      <c r="U624" s="357" t="s">
        <v>204</v>
      </c>
      <c r="V624" s="367">
        <v>48000000</v>
      </c>
      <c r="W624" s="368">
        <v>48000000</v>
      </c>
      <c r="X624" s="357"/>
      <c r="Y624" s="357"/>
      <c r="Z624" s="400"/>
      <c r="AA624" s="369"/>
      <c r="AB624" s="370"/>
      <c r="AC624" s="404"/>
      <c r="AD624" s="270"/>
      <c r="AE624" s="156"/>
      <c r="AF624" s="156"/>
      <c r="AG624" s="357"/>
      <c r="AH624" s="357"/>
      <c r="AI624" s="357"/>
      <c r="AJ624" s="156"/>
      <c r="AK624" s="156"/>
      <c r="AL624" s="375"/>
      <c r="AM624" s="405"/>
      <c r="AN624" s="273"/>
      <c r="AO624" s="405"/>
      <c r="AP624" s="273"/>
      <c r="AQ624" s="273"/>
      <c r="AR624" s="273"/>
      <c r="AS624" s="273"/>
      <c r="AT624" s="273"/>
      <c r="AU624" s="273"/>
      <c r="AV624" s="322">
        <f t="shared" si="29"/>
        <v>0</v>
      </c>
      <c r="AW624" s="402"/>
      <c r="AX624" s="376"/>
      <c r="AY624" s="373"/>
      <c r="AZ624" s="375"/>
      <c r="BA624" s="375"/>
      <c r="BB624" s="375"/>
      <c r="BC624" s="375"/>
      <c r="BD624" s="353">
        <f t="shared" si="30"/>
        <v>0</v>
      </c>
      <c r="BE624" s="432" t="s">
        <v>355</v>
      </c>
      <c r="BF624" s="407" t="s">
        <v>499</v>
      </c>
      <c r="BG624" s="168"/>
      <c r="BH624" s="274"/>
      <c r="BI624" s="168"/>
      <c r="BJ624" s="274"/>
      <c r="BK624" s="168"/>
      <c r="BL624" s="275"/>
      <c r="BM624" s="276"/>
      <c r="BN624" s="275"/>
      <c r="BO624" s="276"/>
      <c r="BP624" s="277"/>
      <c r="BQ624" s="156"/>
      <c r="BR624" s="274"/>
      <c r="BS624" s="270"/>
      <c r="BT624" s="270"/>
      <c r="BU624" s="274"/>
      <c r="BV624" s="274"/>
      <c r="BW624" s="278"/>
      <c r="BX624" s="278"/>
      <c r="BY624" s="278"/>
      <c r="BZ624" s="351"/>
    </row>
    <row r="625" spans="1:78" s="90" customFormat="1" ht="19.5" hidden="1" customHeight="1">
      <c r="A625" s="137"/>
      <c r="B625" s="197">
        <f t="shared" si="28"/>
        <v>615</v>
      </c>
      <c r="C625" s="30" t="s">
        <v>202</v>
      </c>
      <c r="D625" s="30" t="s">
        <v>225</v>
      </c>
      <c r="E625" s="234" t="s">
        <v>1193</v>
      </c>
      <c r="F625" s="235" t="s">
        <v>1232</v>
      </c>
      <c r="G625" s="475"/>
      <c r="H625" s="361" t="s">
        <v>5007</v>
      </c>
      <c r="I625" s="363">
        <v>1</v>
      </c>
      <c r="J625" s="364" t="s">
        <v>221</v>
      </c>
      <c r="K625" s="364" t="s">
        <v>2529</v>
      </c>
      <c r="L625" s="365" t="s">
        <v>382</v>
      </c>
      <c r="M625" s="362" t="s">
        <v>3148</v>
      </c>
      <c r="N625" s="421" t="s">
        <v>396</v>
      </c>
      <c r="O625" s="269">
        <v>192</v>
      </c>
      <c r="P625" s="269">
        <v>89.29</v>
      </c>
      <c r="Q625" s="426"/>
      <c r="R625" s="418" t="s">
        <v>1193</v>
      </c>
      <c r="S625" s="427" t="s">
        <v>613</v>
      </c>
      <c r="T625" s="357">
        <v>1</v>
      </c>
      <c r="U625" s="357" t="s">
        <v>204</v>
      </c>
      <c r="V625" s="367">
        <v>48000000</v>
      </c>
      <c r="W625" s="368">
        <v>48000000</v>
      </c>
      <c r="X625" s="357"/>
      <c r="Y625" s="357"/>
      <c r="Z625" s="400"/>
      <c r="AA625" s="369"/>
      <c r="AB625" s="370"/>
      <c r="AC625" s="404"/>
      <c r="AD625" s="270"/>
      <c r="AE625" s="156"/>
      <c r="AF625" s="156"/>
      <c r="AG625" s="357"/>
      <c r="AH625" s="357"/>
      <c r="AI625" s="357"/>
      <c r="AJ625" s="156"/>
      <c r="AK625" s="156"/>
      <c r="AL625" s="375"/>
      <c r="AM625" s="405"/>
      <c r="AN625" s="273"/>
      <c r="AO625" s="405"/>
      <c r="AP625" s="273"/>
      <c r="AQ625" s="273"/>
      <c r="AR625" s="273"/>
      <c r="AS625" s="273"/>
      <c r="AT625" s="273"/>
      <c r="AU625" s="273"/>
      <c r="AV625" s="322">
        <f t="shared" si="29"/>
        <v>0</v>
      </c>
      <c r="AW625" s="402"/>
      <c r="AX625" s="376"/>
      <c r="AY625" s="373"/>
      <c r="AZ625" s="375"/>
      <c r="BA625" s="375"/>
      <c r="BB625" s="375"/>
      <c r="BC625" s="375"/>
      <c r="BD625" s="353">
        <f t="shared" si="30"/>
        <v>0</v>
      </c>
      <c r="BE625" s="432" t="s">
        <v>355</v>
      </c>
      <c r="BF625" s="407" t="s">
        <v>513</v>
      </c>
      <c r="BG625" s="168"/>
      <c r="BH625" s="274"/>
      <c r="BI625" s="168"/>
      <c r="BJ625" s="274"/>
      <c r="BK625" s="168"/>
      <c r="BL625" s="275"/>
      <c r="BM625" s="276"/>
      <c r="BN625" s="275"/>
      <c r="BO625" s="276"/>
      <c r="BP625" s="277"/>
      <c r="BQ625" s="156"/>
      <c r="BR625" s="274"/>
      <c r="BS625" s="270"/>
      <c r="BT625" s="270"/>
      <c r="BU625" s="274"/>
      <c r="BV625" s="274"/>
      <c r="BW625" s="278"/>
      <c r="BX625" s="278"/>
      <c r="BY625" s="278"/>
      <c r="BZ625" s="351"/>
    </row>
    <row r="626" spans="1:78" s="90" customFormat="1" ht="19.5" hidden="1" customHeight="1">
      <c r="A626" s="137"/>
      <c r="B626" s="197">
        <f t="shared" si="28"/>
        <v>616</v>
      </c>
      <c r="C626" s="30" t="s">
        <v>202</v>
      </c>
      <c r="D626" s="30" t="s">
        <v>225</v>
      </c>
      <c r="E626" s="234" t="s">
        <v>1194</v>
      </c>
      <c r="F626" s="235" t="s">
        <v>1247</v>
      </c>
      <c r="G626" s="475"/>
      <c r="H626" s="361" t="s">
        <v>4322</v>
      </c>
      <c r="I626" s="363">
        <v>1</v>
      </c>
      <c r="J626" s="364" t="s">
        <v>208</v>
      </c>
      <c r="K626" s="364" t="s">
        <v>254</v>
      </c>
      <c r="L626" s="365" t="s">
        <v>1887</v>
      </c>
      <c r="M626" s="362" t="s">
        <v>1888</v>
      </c>
      <c r="N626" s="421" t="s">
        <v>207</v>
      </c>
      <c r="O626" s="269">
        <v>68.316800000000001</v>
      </c>
      <c r="P626" s="269">
        <v>164.935</v>
      </c>
      <c r="Q626" s="426"/>
      <c r="R626" s="418" t="s">
        <v>3420</v>
      </c>
      <c r="S626" s="427" t="s">
        <v>613</v>
      </c>
      <c r="T626" s="357">
        <v>2</v>
      </c>
      <c r="U626" s="357" t="s">
        <v>204</v>
      </c>
      <c r="V626" s="367">
        <v>36000000</v>
      </c>
      <c r="W626" s="368">
        <v>36000000</v>
      </c>
      <c r="X626" s="357"/>
      <c r="Y626" s="357"/>
      <c r="Z626" s="400"/>
      <c r="AA626" s="369"/>
      <c r="AB626" s="370"/>
      <c r="AC626" s="404">
        <v>1</v>
      </c>
      <c r="AD626" s="270" t="s">
        <v>204</v>
      </c>
      <c r="AE626" s="156">
        <v>377300000</v>
      </c>
      <c r="AF626" s="156">
        <v>377300000</v>
      </c>
      <c r="AG626" s="357"/>
      <c r="AH626" s="357"/>
      <c r="AI626" s="357"/>
      <c r="AJ626" s="156"/>
      <c r="AK626" s="156"/>
      <c r="AL626" s="375"/>
      <c r="AM626" s="405"/>
      <c r="AN626" s="273"/>
      <c r="AO626" s="405"/>
      <c r="AP626" s="273"/>
      <c r="AQ626" s="273"/>
      <c r="AR626" s="273"/>
      <c r="AS626" s="273"/>
      <c r="AT626" s="273"/>
      <c r="AU626" s="273"/>
      <c r="AV626" s="322">
        <f t="shared" si="29"/>
        <v>0</v>
      </c>
      <c r="AW626" s="402" t="s">
        <v>3387</v>
      </c>
      <c r="AX626" s="376">
        <v>45765</v>
      </c>
      <c r="AY626" s="373" t="s">
        <v>3388</v>
      </c>
      <c r="AZ626" s="375"/>
      <c r="BA626" s="375">
        <v>835000000</v>
      </c>
      <c r="BB626" s="375"/>
      <c r="BC626" s="375"/>
      <c r="BD626" s="353">
        <f t="shared" si="30"/>
        <v>835000000</v>
      </c>
      <c r="BE626" s="432" t="s">
        <v>355</v>
      </c>
      <c r="BF626" s="407" t="s">
        <v>424</v>
      </c>
      <c r="BG626" s="168"/>
      <c r="BH626" s="274"/>
      <c r="BI626" s="168"/>
      <c r="BJ626" s="274"/>
      <c r="BK626" s="168"/>
      <c r="BL626" s="275"/>
      <c r="BM626" s="276"/>
      <c r="BN626" s="275"/>
      <c r="BO626" s="276"/>
      <c r="BP626" s="277"/>
      <c r="BQ626" s="156"/>
      <c r="BR626" s="274"/>
      <c r="BS626" s="270"/>
      <c r="BT626" s="270"/>
      <c r="BU626" s="274"/>
      <c r="BV626" s="274"/>
      <c r="BW626" s="278"/>
      <c r="BX626" s="278"/>
      <c r="BY626" s="278"/>
      <c r="BZ626" s="351"/>
    </row>
    <row r="627" spans="1:78" s="90" customFormat="1" ht="19.5" hidden="1" customHeight="1">
      <c r="A627" s="137"/>
      <c r="B627" s="197">
        <f t="shared" si="28"/>
        <v>617</v>
      </c>
      <c r="C627" s="30" t="s">
        <v>202</v>
      </c>
      <c r="D627" s="30" t="s">
        <v>225</v>
      </c>
      <c r="E627" s="234" t="s">
        <v>1195</v>
      </c>
      <c r="F627" s="235" t="s">
        <v>1222</v>
      </c>
      <c r="G627" s="475"/>
      <c r="H627" s="361" t="s">
        <v>4090</v>
      </c>
      <c r="I627" s="363">
        <v>1</v>
      </c>
      <c r="J627" s="364" t="s">
        <v>214</v>
      </c>
      <c r="K627" s="364" t="s">
        <v>353</v>
      </c>
      <c r="L627" s="365" t="s">
        <v>1665</v>
      </c>
      <c r="M627" s="362" t="s">
        <v>1666</v>
      </c>
      <c r="N627" s="421" t="s">
        <v>207</v>
      </c>
      <c r="O627" s="269">
        <v>43.11</v>
      </c>
      <c r="P627" s="269">
        <v>81.66</v>
      </c>
      <c r="Q627" s="426"/>
      <c r="R627" s="418" t="s">
        <v>1195</v>
      </c>
      <c r="S627" s="427" t="s">
        <v>613</v>
      </c>
      <c r="T627" s="357">
        <v>1</v>
      </c>
      <c r="U627" s="357" t="s">
        <v>204</v>
      </c>
      <c r="V627" s="367">
        <v>43200000</v>
      </c>
      <c r="W627" s="368">
        <v>43200000</v>
      </c>
      <c r="X627" s="357"/>
      <c r="Y627" s="357"/>
      <c r="Z627" s="400"/>
      <c r="AA627" s="369"/>
      <c r="AB627" s="370"/>
      <c r="AC627" s="404"/>
      <c r="AD627" s="270"/>
      <c r="AE627" s="156"/>
      <c r="AF627" s="156"/>
      <c r="AG627" s="357"/>
      <c r="AH627" s="357"/>
      <c r="AI627" s="357"/>
      <c r="AJ627" s="156"/>
      <c r="AK627" s="156"/>
      <c r="AL627" s="375"/>
      <c r="AM627" s="405"/>
      <c r="AN627" s="273"/>
      <c r="AO627" s="405"/>
      <c r="AP627" s="273"/>
      <c r="AQ627" s="273"/>
      <c r="AR627" s="273"/>
      <c r="AS627" s="273"/>
      <c r="AT627" s="273"/>
      <c r="AU627" s="273"/>
      <c r="AV627" s="322">
        <f t="shared" si="29"/>
        <v>0</v>
      </c>
      <c r="AW627" s="402"/>
      <c r="AX627" s="376"/>
      <c r="AY627" s="373"/>
      <c r="AZ627" s="375"/>
      <c r="BA627" s="375"/>
      <c r="BB627" s="375"/>
      <c r="BC627" s="375"/>
      <c r="BD627" s="353">
        <f t="shared" si="30"/>
        <v>0</v>
      </c>
      <c r="BE627" s="432" t="s">
        <v>355</v>
      </c>
      <c r="BF627" s="407" t="s">
        <v>517</v>
      </c>
      <c r="BG627" s="168"/>
      <c r="BH627" s="274"/>
      <c r="BI627" s="168"/>
      <c r="BJ627" s="274"/>
      <c r="BK627" s="168"/>
      <c r="BL627" s="275"/>
      <c r="BM627" s="276"/>
      <c r="BN627" s="275"/>
      <c r="BO627" s="276"/>
      <c r="BP627" s="277"/>
      <c r="BQ627" s="156"/>
      <c r="BR627" s="274"/>
      <c r="BS627" s="270"/>
      <c r="BT627" s="270"/>
      <c r="BU627" s="274"/>
      <c r="BV627" s="274"/>
      <c r="BW627" s="278"/>
      <c r="BX627" s="278"/>
      <c r="BY627" s="278"/>
      <c r="BZ627" s="351"/>
    </row>
    <row r="628" spans="1:78" s="90" customFormat="1" ht="19.5" hidden="1" customHeight="1">
      <c r="A628" s="137"/>
      <c r="B628" s="197">
        <f t="shared" si="28"/>
        <v>618</v>
      </c>
      <c r="C628" s="30" t="s">
        <v>202</v>
      </c>
      <c r="D628" s="30" t="s">
        <v>225</v>
      </c>
      <c r="E628" s="234" t="s">
        <v>1196</v>
      </c>
      <c r="F628" s="235" t="s">
        <v>1218</v>
      </c>
      <c r="G628" s="475"/>
      <c r="H628" s="361" t="s">
        <v>3976</v>
      </c>
      <c r="I628" s="363">
        <v>1</v>
      </c>
      <c r="J628" s="364" t="s">
        <v>208</v>
      </c>
      <c r="K628" s="364" t="s">
        <v>242</v>
      </c>
      <c r="L628" s="365" t="s">
        <v>243</v>
      </c>
      <c r="M628" s="362" t="s">
        <v>1554</v>
      </c>
      <c r="N628" s="421" t="s">
        <v>606</v>
      </c>
      <c r="O628" s="269">
        <v>59.48</v>
      </c>
      <c r="P628" s="269">
        <v>64.760000000000005</v>
      </c>
      <c r="Q628" s="426"/>
      <c r="R628" s="418" t="s">
        <v>1196</v>
      </c>
      <c r="S628" s="427" t="s">
        <v>613</v>
      </c>
      <c r="T628" s="357">
        <v>1</v>
      </c>
      <c r="U628" s="357" t="s">
        <v>204</v>
      </c>
      <c r="V628" s="367">
        <v>60000000</v>
      </c>
      <c r="W628" s="368">
        <v>60000000</v>
      </c>
      <c r="X628" s="357"/>
      <c r="Y628" s="357"/>
      <c r="Z628" s="400"/>
      <c r="AA628" s="369"/>
      <c r="AB628" s="370"/>
      <c r="AC628" s="404"/>
      <c r="AD628" s="270"/>
      <c r="AE628" s="156"/>
      <c r="AF628" s="156"/>
      <c r="AG628" s="357"/>
      <c r="AH628" s="357"/>
      <c r="AI628" s="357"/>
      <c r="AJ628" s="156"/>
      <c r="AK628" s="156"/>
      <c r="AL628" s="375"/>
      <c r="AM628" s="405"/>
      <c r="AN628" s="273"/>
      <c r="AO628" s="405"/>
      <c r="AP628" s="273"/>
      <c r="AQ628" s="273"/>
      <c r="AR628" s="273"/>
      <c r="AS628" s="273"/>
      <c r="AT628" s="273"/>
      <c r="AU628" s="273"/>
      <c r="AV628" s="322">
        <f t="shared" si="29"/>
        <v>0</v>
      </c>
      <c r="AW628" s="402"/>
      <c r="AX628" s="376"/>
      <c r="AY628" s="373"/>
      <c r="AZ628" s="375"/>
      <c r="BA628" s="375"/>
      <c r="BB628" s="375"/>
      <c r="BC628" s="375"/>
      <c r="BD628" s="353">
        <f t="shared" si="30"/>
        <v>0</v>
      </c>
      <c r="BE628" s="432" t="s">
        <v>355</v>
      </c>
      <c r="BF628" s="407" t="s">
        <v>502</v>
      </c>
      <c r="BG628" s="168"/>
      <c r="BH628" s="274"/>
      <c r="BI628" s="168"/>
      <c r="BJ628" s="274"/>
      <c r="BK628" s="168"/>
      <c r="BL628" s="275"/>
      <c r="BM628" s="276"/>
      <c r="BN628" s="275"/>
      <c r="BO628" s="276"/>
      <c r="BP628" s="277"/>
      <c r="BQ628" s="156"/>
      <c r="BR628" s="274"/>
      <c r="BS628" s="270"/>
      <c r="BT628" s="270"/>
      <c r="BU628" s="274"/>
      <c r="BV628" s="274"/>
      <c r="BW628" s="278"/>
      <c r="BX628" s="278"/>
      <c r="BY628" s="278"/>
      <c r="BZ628" s="351"/>
    </row>
    <row r="629" spans="1:78" s="90" customFormat="1" ht="19.5" hidden="1" customHeight="1">
      <c r="A629" s="137"/>
      <c r="B629" s="197">
        <f t="shared" si="28"/>
        <v>619</v>
      </c>
      <c r="C629" s="30" t="s">
        <v>202</v>
      </c>
      <c r="D629" s="30" t="s">
        <v>225</v>
      </c>
      <c r="E629" s="234" t="s">
        <v>1197</v>
      </c>
      <c r="F629" s="235" t="s">
        <v>1232</v>
      </c>
      <c r="G629" s="475"/>
      <c r="H629" s="361" t="s">
        <v>5020</v>
      </c>
      <c r="I629" s="363">
        <v>1</v>
      </c>
      <c r="J629" s="364" t="s">
        <v>212</v>
      </c>
      <c r="K629" s="364" t="s">
        <v>232</v>
      </c>
      <c r="L629" s="365" t="s">
        <v>263</v>
      </c>
      <c r="M629" s="362" t="s">
        <v>2541</v>
      </c>
      <c r="N629" s="421" t="s">
        <v>606</v>
      </c>
      <c r="O629" s="269">
        <v>24.4</v>
      </c>
      <c r="P629" s="269">
        <v>42.2</v>
      </c>
      <c r="Q629" s="426"/>
      <c r="R629" s="418" t="s">
        <v>1197</v>
      </c>
      <c r="S629" s="427" t="s">
        <v>613</v>
      </c>
      <c r="T629" s="357">
        <v>1</v>
      </c>
      <c r="U629" s="357" t="s">
        <v>204</v>
      </c>
      <c r="V629" s="367">
        <v>36000000</v>
      </c>
      <c r="W629" s="368">
        <v>36000000</v>
      </c>
      <c r="X629" s="357"/>
      <c r="Y629" s="357"/>
      <c r="Z629" s="400"/>
      <c r="AA629" s="369"/>
      <c r="AB629" s="370"/>
      <c r="AC629" s="404"/>
      <c r="AD629" s="270"/>
      <c r="AE629" s="156"/>
      <c r="AF629" s="156"/>
      <c r="AG629" s="357"/>
      <c r="AH629" s="357"/>
      <c r="AI629" s="357"/>
      <c r="AJ629" s="156"/>
      <c r="AK629" s="156"/>
      <c r="AL629" s="375"/>
      <c r="AM629" s="405"/>
      <c r="AN629" s="273"/>
      <c r="AO629" s="405"/>
      <c r="AP629" s="273"/>
      <c r="AQ629" s="273"/>
      <c r="AR629" s="273"/>
      <c r="AS629" s="273"/>
      <c r="AT629" s="273"/>
      <c r="AU629" s="273"/>
      <c r="AV629" s="322">
        <f t="shared" si="29"/>
        <v>0</v>
      </c>
      <c r="AW629" s="402"/>
      <c r="AX629" s="376"/>
      <c r="AY629" s="373"/>
      <c r="AZ629" s="375"/>
      <c r="BA629" s="375"/>
      <c r="BB629" s="375"/>
      <c r="BC629" s="375"/>
      <c r="BD629" s="353">
        <f t="shared" si="30"/>
        <v>0</v>
      </c>
      <c r="BE629" s="432" t="s">
        <v>355</v>
      </c>
      <c r="BF629" s="407" t="s">
        <v>496</v>
      </c>
      <c r="BG629" s="168"/>
      <c r="BH629" s="274"/>
      <c r="BI629" s="168"/>
      <c r="BJ629" s="274"/>
      <c r="BK629" s="168"/>
      <c r="BL629" s="275"/>
      <c r="BM629" s="276"/>
      <c r="BN629" s="275"/>
      <c r="BO629" s="276"/>
      <c r="BP629" s="277"/>
      <c r="BQ629" s="156"/>
      <c r="BR629" s="274"/>
      <c r="BS629" s="270"/>
      <c r="BT629" s="270"/>
      <c r="BU629" s="274"/>
      <c r="BV629" s="274"/>
      <c r="BW629" s="278"/>
      <c r="BX629" s="278"/>
      <c r="BY629" s="278"/>
      <c r="BZ629" s="351"/>
    </row>
    <row r="630" spans="1:78" s="90" customFormat="1" ht="19.5" hidden="1" customHeight="1">
      <c r="A630" s="137"/>
      <c r="B630" s="197">
        <f t="shared" si="28"/>
        <v>620</v>
      </c>
      <c r="C630" s="30" t="s">
        <v>202</v>
      </c>
      <c r="D630" s="30" t="s">
        <v>225</v>
      </c>
      <c r="E630" s="234" t="s">
        <v>1198</v>
      </c>
      <c r="F630" s="235" t="s">
        <v>1252</v>
      </c>
      <c r="G630" s="475"/>
      <c r="H630" s="361" t="s">
        <v>3910</v>
      </c>
      <c r="I630" s="363">
        <v>1</v>
      </c>
      <c r="J630" s="364" t="s">
        <v>212</v>
      </c>
      <c r="K630" s="364" t="s">
        <v>294</v>
      </c>
      <c r="L630" s="365" t="s">
        <v>1480</v>
      </c>
      <c r="M630" s="362" t="s">
        <v>1481</v>
      </c>
      <c r="N630" s="421" t="s">
        <v>606</v>
      </c>
      <c r="O630" s="269">
        <v>43.51</v>
      </c>
      <c r="P630" s="269">
        <v>70.819999999999993</v>
      </c>
      <c r="Q630" s="426"/>
      <c r="R630" s="418" t="s">
        <v>1198</v>
      </c>
      <c r="S630" s="427" t="s">
        <v>613</v>
      </c>
      <c r="T630" s="357">
        <v>1</v>
      </c>
      <c r="U630" s="357" t="s">
        <v>204</v>
      </c>
      <c r="V630" s="367">
        <v>45600000</v>
      </c>
      <c r="W630" s="368">
        <v>45600000</v>
      </c>
      <c r="X630" s="357"/>
      <c r="Y630" s="357"/>
      <c r="Z630" s="400"/>
      <c r="AA630" s="369"/>
      <c r="AB630" s="370"/>
      <c r="AC630" s="404"/>
      <c r="AD630" s="270"/>
      <c r="AE630" s="156"/>
      <c r="AF630" s="156"/>
      <c r="AG630" s="357"/>
      <c r="AH630" s="357"/>
      <c r="AI630" s="357"/>
      <c r="AJ630" s="156"/>
      <c r="AK630" s="156"/>
      <c r="AL630" s="375"/>
      <c r="AM630" s="405"/>
      <c r="AN630" s="273"/>
      <c r="AO630" s="405"/>
      <c r="AP630" s="273"/>
      <c r="AQ630" s="273"/>
      <c r="AR630" s="273"/>
      <c r="AS630" s="273"/>
      <c r="AT630" s="273"/>
      <c r="AU630" s="273"/>
      <c r="AV630" s="322">
        <f t="shared" si="29"/>
        <v>0</v>
      </c>
      <c r="AW630" s="402"/>
      <c r="AX630" s="376"/>
      <c r="AY630" s="373"/>
      <c r="AZ630" s="375"/>
      <c r="BA630" s="375"/>
      <c r="BB630" s="375"/>
      <c r="BC630" s="375"/>
      <c r="BD630" s="353">
        <f t="shared" si="30"/>
        <v>0</v>
      </c>
      <c r="BE630" s="432" t="s">
        <v>355</v>
      </c>
      <c r="BF630" s="407" t="s">
        <v>496</v>
      </c>
      <c r="BG630" s="168"/>
      <c r="BH630" s="274"/>
      <c r="BI630" s="168"/>
      <c r="BJ630" s="274"/>
      <c r="BK630" s="168"/>
      <c r="BL630" s="275"/>
      <c r="BM630" s="276"/>
      <c r="BN630" s="275"/>
      <c r="BO630" s="276"/>
      <c r="BP630" s="277"/>
      <c r="BQ630" s="156"/>
      <c r="BR630" s="274"/>
      <c r="BS630" s="270"/>
      <c r="BT630" s="270"/>
      <c r="BU630" s="274"/>
      <c r="BV630" s="274"/>
      <c r="BW630" s="278"/>
      <c r="BX630" s="278"/>
      <c r="BY630" s="278"/>
      <c r="BZ630" s="351"/>
    </row>
    <row r="631" spans="1:78" s="90" customFormat="1" ht="19.5" hidden="1" customHeight="1">
      <c r="A631" s="137"/>
      <c r="B631" s="197">
        <f t="shared" si="28"/>
        <v>621</v>
      </c>
      <c r="C631" s="30" t="s">
        <v>202</v>
      </c>
      <c r="D631" s="30" t="s">
        <v>225</v>
      </c>
      <c r="E631" s="234" t="s">
        <v>1199</v>
      </c>
      <c r="F631" s="235" t="s">
        <v>1351</v>
      </c>
      <c r="G631" s="475"/>
      <c r="H631" s="361" t="s">
        <v>5075</v>
      </c>
      <c r="I631" s="363">
        <v>1</v>
      </c>
      <c r="J631" s="364" t="s">
        <v>211</v>
      </c>
      <c r="K631" s="364" t="s">
        <v>299</v>
      </c>
      <c r="L631" s="365" t="s">
        <v>2587</v>
      </c>
      <c r="M631" s="362" t="s">
        <v>3154</v>
      </c>
      <c r="N631" s="421" t="s">
        <v>3386</v>
      </c>
      <c r="O631" s="269">
        <v>28.659999999999997</v>
      </c>
      <c r="P631" s="269">
        <v>127.78999999999999</v>
      </c>
      <c r="Q631" s="426"/>
      <c r="R631" s="418" t="s">
        <v>3465</v>
      </c>
      <c r="S631" s="427" t="s">
        <v>613</v>
      </c>
      <c r="T631" s="357">
        <v>1</v>
      </c>
      <c r="U631" s="357" t="s">
        <v>204</v>
      </c>
      <c r="V631" s="367">
        <v>40800000</v>
      </c>
      <c r="W631" s="368">
        <v>40800000</v>
      </c>
      <c r="X631" s="357"/>
      <c r="Y631" s="357"/>
      <c r="Z631" s="400"/>
      <c r="AA631" s="369"/>
      <c r="AB631" s="370"/>
      <c r="AC631" s="404"/>
      <c r="AD631" s="270"/>
      <c r="AE631" s="156"/>
      <c r="AF631" s="156"/>
      <c r="AG631" s="357"/>
      <c r="AH631" s="357"/>
      <c r="AI631" s="357"/>
      <c r="AJ631" s="156"/>
      <c r="AK631" s="156"/>
      <c r="AL631" s="375"/>
      <c r="AM631" s="405"/>
      <c r="AN631" s="273"/>
      <c r="AO631" s="405"/>
      <c r="AP631" s="273"/>
      <c r="AQ631" s="273"/>
      <c r="AR631" s="273"/>
      <c r="AS631" s="273"/>
      <c r="AT631" s="273"/>
      <c r="AU631" s="273"/>
      <c r="AV631" s="322">
        <f t="shared" si="29"/>
        <v>0</v>
      </c>
      <c r="AW631" s="402"/>
      <c r="AX631" s="376"/>
      <c r="AY631" s="373"/>
      <c r="AZ631" s="375"/>
      <c r="BA631" s="375"/>
      <c r="BB631" s="375"/>
      <c r="BC631" s="375"/>
      <c r="BD631" s="353">
        <f t="shared" si="30"/>
        <v>0</v>
      </c>
      <c r="BE631" s="432" t="s">
        <v>355</v>
      </c>
      <c r="BF631" s="407" t="s">
        <v>527</v>
      </c>
      <c r="BG631" s="168"/>
      <c r="BH631" s="274"/>
      <c r="BI631" s="168"/>
      <c r="BJ631" s="274"/>
      <c r="BK631" s="168"/>
      <c r="BL631" s="275"/>
      <c r="BM631" s="276"/>
      <c r="BN631" s="275"/>
      <c r="BO631" s="276"/>
      <c r="BP631" s="277"/>
      <c r="BQ631" s="156"/>
      <c r="BR631" s="274"/>
      <c r="BS631" s="270"/>
      <c r="BT631" s="270"/>
      <c r="BU631" s="274"/>
      <c r="BV631" s="274"/>
      <c r="BW631" s="278"/>
      <c r="BX631" s="278"/>
      <c r="BY631" s="278"/>
      <c r="BZ631" s="351"/>
    </row>
    <row r="632" spans="1:78" s="90" customFormat="1" ht="19.5" hidden="1" customHeight="1">
      <c r="A632" s="137"/>
      <c r="B632" s="197">
        <f t="shared" si="28"/>
        <v>622</v>
      </c>
      <c r="C632" s="30" t="s">
        <v>202</v>
      </c>
      <c r="D632" s="30" t="s">
        <v>225</v>
      </c>
      <c r="E632" s="234" t="s">
        <v>1200</v>
      </c>
      <c r="F632" s="235" t="s">
        <v>1229</v>
      </c>
      <c r="G632" s="475"/>
      <c r="H632" s="361" t="s">
        <v>4094</v>
      </c>
      <c r="I632" s="363">
        <v>1</v>
      </c>
      <c r="J632" s="364" t="s">
        <v>208</v>
      </c>
      <c r="K632" s="364" t="s">
        <v>394</v>
      </c>
      <c r="L632" s="365" t="s">
        <v>427</v>
      </c>
      <c r="M632" s="362" t="s">
        <v>1669</v>
      </c>
      <c r="N632" s="421" t="s">
        <v>207</v>
      </c>
      <c r="O632" s="269">
        <v>29.38</v>
      </c>
      <c r="P632" s="269">
        <v>59.95</v>
      </c>
      <c r="Q632" s="426"/>
      <c r="R632" s="418" t="s">
        <v>3423</v>
      </c>
      <c r="S632" s="427" t="s">
        <v>613</v>
      </c>
      <c r="T632" s="357" t="s">
        <v>292</v>
      </c>
      <c r="U632" s="357" t="s">
        <v>204</v>
      </c>
      <c r="V632" s="367">
        <v>62400000</v>
      </c>
      <c r="W632" s="368">
        <v>62400000</v>
      </c>
      <c r="X632" s="357"/>
      <c r="Y632" s="357"/>
      <c r="Z632" s="400"/>
      <c r="AA632" s="369"/>
      <c r="AB632" s="370"/>
      <c r="AC632" s="404">
        <v>1</v>
      </c>
      <c r="AD632" s="270" t="s">
        <v>204</v>
      </c>
      <c r="AE632" s="156">
        <v>22000000</v>
      </c>
      <c r="AF632" s="156">
        <v>22000000</v>
      </c>
      <c r="AG632" s="357"/>
      <c r="AH632" s="357"/>
      <c r="AI632" s="357"/>
      <c r="AJ632" s="156"/>
      <c r="AK632" s="156"/>
      <c r="AL632" s="375"/>
      <c r="AM632" s="405"/>
      <c r="AN632" s="273"/>
      <c r="AO632" s="405"/>
      <c r="AP632" s="273"/>
      <c r="AQ632" s="273"/>
      <c r="AR632" s="273"/>
      <c r="AS632" s="273"/>
      <c r="AT632" s="273"/>
      <c r="AU632" s="273"/>
      <c r="AV632" s="322">
        <f t="shared" si="29"/>
        <v>0</v>
      </c>
      <c r="AW632" s="402" t="s">
        <v>3387</v>
      </c>
      <c r="AX632" s="376">
        <v>45765</v>
      </c>
      <c r="AY632" s="373" t="s">
        <v>3388</v>
      </c>
      <c r="AZ632" s="375"/>
      <c r="BA632" s="375">
        <v>515000000</v>
      </c>
      <c r="BB632" s="375"/>
      <c r="BC632" s="375"/>
      <c r="BD632" s="353">
        <f t="shared" si="30"/>
        <v>515000000</v>
      </c>
      <c r="BE632" s="432" t="s">
        <v>335</v>
      </c>
      <c r="BF632" s="407" t="s">
        <v>506</v>
      </c>
      <c r="BG632" s="168" t="s">
        <v>3399</v>
      </c>
      <c r="BH632" s="274">
        <v>45609</v>
      </c>
      <c r="BI632" s="168" t="s">
        <v>3269</v>
      </c>
      <c r="BJ632" s="274">
        <v>45684</v>
      </c>
      <c r="BK632" s="168">
        <v>420000000</v>
      </c>
      <c r="BL632" s="275"/>
      <c r="BM632" s="276"/>
      <c r="BN632" s="275"/>
      <c r="BO632" s="276"/>
      <c r="BP632" s="277"/>
      <c r="BQ632" s="156"/>
      <c r="BR632" s="274"/>
      <c r="BS632" s="270"/>
      <c r="BT632" s="270"/>
      <c r="BU632" s="274"/>
      <c r="BV632" s="274"/>
      <c r="BW632" s="278"/>
      <c r="BX632" s="278"/>
      <c r="BY632" s="278"/>
      <c r="BZ632" s="351"/>
    </row>
    <row r="633" spans="1:78" s="90" customFormat="1" ht="19.5" hidden="1" customHeight="1">
      <c r="A633" s="137"/>
      <c r="B633" s="197">
        <f t="shared" si="28"/>
        <v>623</v>
      </c>
      <c r="C633" s="30" t="s">
        <v>202</v>
      </c>
      <c r="D633" s="30" t="s">
        <v>225</v>
      </c>
      <c r="E633" s="234" t="s">
        <v>1201</v>
      </c>
      <c r="F633" s="235" t="s">
        <v>1217</v>
      </c>
      <c r="G633" s="475"/>
      <c r="H633" s="361" t="s">
        <v>4246</v>
      </c>
      <c r="I633" s="363">
        <v>1</v>
      </c>
      <c r="J633" s="364" t="s">
        <v>209</v>
      </c>
      <c r="K633" s="364" t="s">
        <v>248</v>
      </c>
      <c r="L633" s="365" t="s">
        <v>360</v>
      </c>
      <c r="M633" s="362" t="s">
        <v>1816</v>
      </c>
      <c r="N633" s="421" t="s">
        <v>3386</v>
      </c>
      <c r="O633" s="269">
        <v>3.2869999999999999</v>
      </c>
      <c r="P633" s="269">
        <v>11.44</v>
      </c>
      <c r="Q633" s="426"/>
      <c r="R633" s="418" t="s">
        <v>1201</v>
      </c>
      <c r="S633" s="427" t="s">
        <v>613</v>
      </c>
      <c r="T633" s="357">
        <v>1</v>
      </c>
      <c r="U633" s="357" t="s">
        <v>204</v>
      </c>
      <c r="V633" s="367">
        <v>15600000</v>
      </c>
      <c r="W633" s="368">
        <v>15600000</v>
      </c>
      <c r="X633" s="357"/>
      <c r="Y633" s="357"/>
      <c r="Z633" s="400"/>
      <c r="AA633" s="369"/>
      <c r="AB633" s="370"/>
      <c r="AC633" s="404"/>
      <c r="AD633" s="270"/>
      <c r="AE633" s="156"/>
      <c r="AF633" s="156"/>
      <c r="AG633" s="357"/>
      <c r="AH633" s="357"/>
      <c r="AI633" s="357"/>
      <c r="AJ633" s="156"/>
      <c r="AK633" s="156"/>
      <c r="AL633" s="375"/>
      <c r="AM633" s="405"/>
      <c r="AN633" s="273"/>
      <c r="AO633" s="405"/>
      <c r="AP633" s="273"/>
      <c r="AQ633" s="273"/>
      <c r="AR633" s="273"/>
      <c r="AS633" s="273"/>
      <c r="AT633" s="273"/>
      <c r="AU633" s="273"/>
      <c r="AV633" s="322">
        <f t="shared" si="29"/>
        <v>0</v>
      </c>
      <c r="AW633" s="402"/>
      <c r="AX633" s="376"/>
      <c r="AY633" s="373"/>
      <c r="AZ633" s="375"/>
      <c r="BA633" s="375"/>
      <c r="BB633" s="375"/>
      <c r="BC633" s="375"/>
      <c r="BD633" s="353">
        <f t="shared" si="30"/>
        <v>0</v>
      </c>
      <c r="BE633" s="432" t="s">
        <v>355</v>
      </c>
      <c r="BF633" s="407" t="s">
        <v>511</v>
      </c>
      <c r="BG633" s="168"/>
      <c r="BH633" s="274"/>
      <c r="BI633" s="168"/>
      <c r="BJ633" s="274"/>
      <c r="BK633" s="168"/>
      <c r="BL633" s="275"/>
      <c r="BM633" s="276"/>
      <c r="BN633" s="275"/>
      <c r="BO633" s="276"/>
      <c r="BP633" s="277"/>
      <c r="BQ633" s="156"/>
      <c r="BR633" s="274"/>
      <c r="BS633" s="270"/>
      <c r="BT633" s="270"/>
      <c r="BU633" s="274"/>
      <c r="BV633" s="274"/>
      <c r="BW633" s="278"/>
      <c r="BX633" s="278"/>
      <c r="BY633" s="278"/>
      <c r="BZ633" s="351"/>
    </row>
    <row r="634" spans="1:78" s="90" customFormat="1" ht="19.5" hidden="1" customHeight="1">
      <c r="A634" s="137"/>
      <c r="B634" s="197">
        <f t="shared" si="28"/>
        <v>624</v>
      </c>
      <c r="C634" s="30" t="s">
        <v>202</v>
      </c>
      <c r="D634" s="30" t="s">
        <v>225</v>
      </c>
      <c r="E634" s="234" t="s">
        <v>1202</v>
      </c>
      <c r="F634" s="235" t="s">
        <v>1231</v>
      </c>
      <c r="G634" s="475"/>
      <c r="H634" s="361" t="s">
        <v>4054</v>
      </c>
      <c r="I634" s="363">
        <v>1</v>
      </c>
      <c r="J634" s="364" t="s">
        <v>212</v>
      </c>
      <c r="K634" s="364" t="s">
        <v>389</v>
      </c>
      <c r="L634" s="365" t="s">
        <v>1629</v>
      </c>
      <c r="M634" s="362" t="s">
        <v>1630</v>
      </c>
      <c r="N634" s="421" t="s">
        <v>606</v>
      </c>
      <c r="O634" s="269">
        <v>24.23</v>
      </c>
      <c r="P634" s="269">
        <v>31.52</v>
      </c>
      <c r="Q634" s="426"/>
      <c r="R634" s="418" t="s">
        <v>1202</v>
      </c>
      <c r="S634" s="427" t="s">
        <v>613</v>
      </c>
      <c r="T634" s="357">
        <v>1</v>
      </c>
      <c r="U634" s="357" t="s">
        <v>204</v>
      </c>
      <c r="V634" s="367">
        <v>38400000</v>
      </c>
      <c r="W634" s="368">
        <v>38400000</v>
      </c>
      <c r="X634" s="357"/>
      <c r="Y634" s="357"/>
      <c r="Z634" s="400"/>
      <c r="AA634" s="369"/>
      <c r="AB634" s="370"/>
      <c r="AC634" s="404"/>
      <c r="AD634" s="270"/>
      <c r="AE634" s="156"/>
      <c r="AF634" s="156"/>
      <c r="AG634" s="357"/>
      <c r="AH634" s="357"/>
      <c r="AI634" s="357"/>
      <c r="AJ634" s="156"/>
      <c r="AK634" s="156"/>
      <c r="AL634" s="375"/>
      <c r="AM634" s="405"/>
      <c r="AN634" s="273"/>
      <c r="AO634" s="405"/>
      <c r="AP634" s="273"/>
      <c r="AQ634" s="273"/>
      <c r="AR634" s="273"/>
      <c r="AS634" s="273"/>
      <c r="AT634" s="273"/>
      <c r="AU634" s="273"/>
      <c r="AV634" s="322">
        <f t="shared" si="29"/>
        <v>0</v>
      </c>
      <c r="AW634" s="402"/>
      <c r="AX634" s="376"/>
      <c r="AY634" s="373"/>
      <c r="AZ634" s="375"/>
      <c r="BA634" s="375"/>
      <c r="BB634" s="375"/>
      <c r="BC634" s="375"/>
      <c r="BD634" s="353">
        <f t="shared" si="30"/>
        <v>0</v>
      </c>
      <c r="BE634" s="432" t="s">
        <v>355</v>
      </c>
      <c r="BF634" s="407" t="s">
        <v>496</v>
      </c>
      <c r="BG634" s="168"/>
      <c r="BH634" s="274"/>
      <c r="BI634" s="168"/>
      <c r="BJ634" s="274"/>
      <c r="BK634" s="168"/>
      <c r="BL634" s="275"/>
      <c r="BM634" s="276"/>
      <c r="BN634" s="275"/>
      <c r="BO634" s="276"/>
      <c r="BP634" s="277"/>
      <c r="BQ634" s="156"/>
      <c r="BR634" s="274"/>
      <c r="BS634" s="270"/>
      <c r="BT634" s="270"/>
      <c r="BU634" s="274"/>
      <c r="BV634" s="274"/>
      <c r="BW634" s="278"/>
      <c r="BX634" s="278"/>
      <c r="BY634" s="278"/>
      <c r="BZ634" s="351"/>
    </row>
    <row r="635" spans="1:78" s="90" customFormat="1" ht="19.5" hidden="1" customHeight="1">
      <c r="A635" s="137"/>
      <c r="B635" s="197">
        <f t="shared" si="28"/>
        <v>625</v>
      </c>
      <c r="C635" s="30" t="s">
        <v>202</v>
      </c>
      <c r="D635" s="30" t="s">
        <v>225</v>
      </c>
      <c r="E635" s="234" t="s">
        <v>1203</v>
      </c>
      <c r="F635" s="235" t="s">
        <v>1229</v>
      </c>
      <c r="G635" s="475"/>
      <c r="H635" s="361" t="s">
        <v>4203</v>
      </c>
      <c r="I635" s="363">
        <v>1</v>
      </c>
      <c r="J635" s="364" t="s">
        <v>209</v>
      </c>
      <c r="K635" s="364" t="s">
        <v>1779</v>
      </c>
      <c r="L635" s="365" t="s">
        <v>1780</v>
      </c>
      <c r="M635" s="362" t="s">
        <v>1781</v>
      </c>
      <c r="N635" s="421" t="s">
        <v>207</v>
      </c>
      <c r="O635" s="269">
        <v>62.97</v>
      </c>
      <c r="P635" s="269">
        <v>114.98</v>
      </c>
      <c r="Q635" s="426"/>
      <c r="R635" s="418" t="s">
        <v>3444</v>
      </c>
      <c r="S635" s="427" t="s">
        <v>613</v>
      </c>
      <c r="T635" s="357">
        <v>1</v>
      </c>
      <c r="U635" s="357" t="s">
        <v>204</v>
      </c>
      <c r="V635" s="367">
        <v>60000000</v>
      </c>
      <c r="W635" s="368">
        <v>60000000</v>
      </c>
      <c r="X635" s="357"/>
      <c r="Y635" s="357"/>
      <c r="Z635" s="400"/>
      <c r="AA635" s="369"/>
      <c r="AB635" s="370"/>
      <c r="AC635" s="404"/>
      <c r="AD635" s="270"/>
      <c r="AE635" s="156"/>
      <c r="AF635" s="156"/>
      <c r="AG635" s="357"/>
      <c r="AH635" s="357"/>
      <c r="AI635" s="357"/>
      <c r="AJ635" s="156"/>
      <c r="AK635" s="156"/>
      <c r="AL635" s="375"/>
      <c r="AM635" s="405"/>
      <c r="AN635" s="273"/>
      <c r="AO635" s="405"/>
      <c r="AP635" s="273"/>
      <c r="AQ635" s="273"/>
      <c r="AR635" s="273"/>
      <c r="AS635" s="273"/>
      <c r="AT635" s="273"/>
      <c r="AU635" s="273"/>
      <c r="AV635" s="322">
        <f t="shared" si="29"/>
        <v>0</v>
      </c>
      <c r="AW635" s="402" t="s">
        <v>3387</v>
      </c>
      <c r="AX635" s="376">
        <v>45765</v>
      </c>
      <c r="AY635" s="373" t="s">
        <v>3388</v>
      </c>
      <c r="AZ635" s="375"/>
      <c r="BA635" s="375">
        <v>1325000000</v>
      </c>
      <c r="BB635" s="375"/>
      <c r="BC635" s="375"/>
      <c r="BD635" s="353">
        <f t="shared" si="30"/>
        <v>1325000000</v>
      </c>
      <c r="BE635" s="432" t="s">
        <v>335</v>
      </c>
      <c r="BF635" s="407" t="s">
        <v>510</v>
      </c>
      <c r="BG635" s="168" t="s">
        <v>3395</v>
      </c>
      <c r="BH635" s="274">
        <v>45580</v>
      </c>
      <c r="BI635" s="168" t="s">
        <v>3277</v>
      </c>
      <c r="BJ635" s="274">
        <v>45656</v>
      </c>
      <c r="BK635" s="168">
        <v>829340977</v>
      </c>
      <c r="BL635" s="275"/>
      <c r="BM635" s="276"/>
      <c r="BN635" s="275"/>
      <c r="BO635" s="276"/>
      <c r="BP635" s="277"/>
      <c r="BQ635" s="156"/>
      <c r="BR635" s="274"/>
      <c r="BS635" s="270"/>
      <c r="BT635" s="270"/>
      <c r="BU635" s="274"/>
      <c r="BV635" s="274"/>
      <c r="BW635" s="278"/>
      <c r="BX635" s="278"/>
      <c r="BY635" s="278"/>
      <c r="BZ635" s="351"/>
    </row>
    <row r="636" spans="1:78" s="90" customFormat="1" ht="19.5" hidden="1" customHeight="1">
      <c r="A636" s="137"/>
      <c r="B636" s="197">
        <f t="shared" si="28"/>
        <v>626</v>
      </c>
      <c r="C636" s="30" t="s">
        <v>202</v>
      </c>
      <c r="D636" s="30" t="s">
        <v>225</v>
      </c>
      <c r="E636" s="234" t="s">
        <v>1204</v>
      </c>
      <c r="F636" s="235" t="s">
        <v>1217</v>
      </c>
      <c r="G636" s="475"/>
      <c r="H636" s="361" t="s">
        <v>4652</v>
      </c>
      <c r="I636" s="363">
        <v>1</v>
      </c>
      <c r="J636" s="364" t="s">
        <v>220</v>
      </c>
      <c r="K636" s="364" t="s">
        <v>2184</v>
      </c>
      <c r="L636" s="365" t="s">
        <v>2185</v>
      </c>
      <c r="M636" s="362" t="s">
        <v>2186</v>
      </c>
      <c r="N636" s="421" t="s">
        <v>207</v>
      </c>
      <c r="O636" s="269">
        <v>37.32</v>
      </c>
      <c r="P636" s="269">
        <v>70.47</v>
      </c>
      <c r="Q636" s="426"/>
      <c r="R636" s="418" t="s">
        <v>1204</v>
      </c>
      <c r="S636" s="427" t="s">
        <v>613</v>
      </c>
      <c r="T636" s="357" t="s">
        <v>3710</v>
      </c>
      <c r="U636" s="357" t="s">
        <v>204</v>
      </c>
      <c r="V636" s="367">
        <v>57000000</v>
      </c>
      <c r="W636" s="368">
        <v>57000000</v>
      </c>
      <c r="X636" s="357"/>
      <c r="Y636" s="357"/>
      <c r="Z636" s="400"/>
      <c r="AA636" s="369"/>
      <c r="AB636" s="370"/>
      <c r="AC636" s="404"/>
      <c r="AD636" s="270"/>
      <c r="AE636" s="156"/>
      <c r="AF636" s="156"/>
      <c r="AG636" s="357"/>
      <c r="AH636" s="357"/>
      <c r="AI636" s="357"/>
      <c r="AJ636" s="156"/>
      <c r="AK636" s="156"/>
      <c r="AL636" s="375"/>
      <c r="AM636" s="405"/>
      <c r="AN636" s="273"/>
      <c r="AO636" s="405"/>
      <c r="AP636" s="273"/>
      <c r="AQ636" s="273"/>
      <c r="AR636" s="273"/>
      <c r="AS636" s="273"/>
      <c r="AT636" s="273"/>
      <c r="AU636" s="273"/>
      <c r="AV636" s="322">
        <f t="shared" si="29"/>
        <v>0</v>
      </c>
      <c r="AW636" s="402"/>
      <c r="AX636" s="376"/>
      <c r="AY636" s="373"/>
      <c r="AZ636" s="375"/>
      <c r="BA636" s="375"/>
      <c r="BB636" s="375"/>
      <c r="BC636" s="375"/>
      <c r="BD636" s="353">
        <f t="shared" si="30"/>
        <v>0</v>
      </c>
      <c r="BE636" s="432" t="s">
        <v>355</v>
      </c>
      <c r="BF636" s="407" t="s">
        <v>521</v>
      </c>
      <c r="BG636" s="168"/>
      <c r="BH636" s="274"/>
      <c r="BI636" s="168"/>
      <c r="BJ636" s="274"/>
      <c r="BK636" s="168"/>
      <c r="BL636" s="275"/>
      <c r="BM636" s="276"/>
      <c r="BN636" s="275"/>
      <c r="BO636" s="276"/>
      <c r="BP636" s="277"/>
      <c r="BQ636" s="156"/>
      <c r="BR636" s="274"/>
      <c r="BS636" s="270"/>
      <c r="BT636" s="270"/>
      <c r="BU636" s="274"/>
      <c r="BV636" s="274"/>
      <c r="BW636" s="278"/>
      <c r="BX636" s="278"/>
      <c r="BY636" s="278"/>
      <c r="BZ636" s="351"/>
    </row>
    <row r="637" spans="1:78" s="90" customFormat="1" ht="19.5" hidden="1" customHeight="1">
      <c r="A637" s="137"/>
      <c r="B637" s="197">
        <f t="shared" si="28"/>
        <v>627</v>
      </c>
      <c r="C637" s="30" t="s">
        <v>202</v>
      </c>
      <c r="D637" s="30" t="s">
        <v>225</v>
      </c>
      <c r="E637" s="234" t="s">
        <v>1205</v>
      </c>
      <c r="F637" s="235" t="s">
        <v>1229</v>
      </c>
      <c r="G637" s="475"/>
      <c r="H637" s="361" t="s">
        <v>3967</v>
      </c>
      <c r="I637" s="363">
        <v>1</v>
      </c>
      <c r="J637" s="364" t="s">
        <v>220</v>
      </c>
      <c r="K637" s="364" t="s">
        <v>1543</v>
      </c>
      <c r="L637" s="365" t="s">
        <v>1544</v>
      </c>
      <c r="M637" s="362" t="s">
        <v>1545</v>
      </c>
      <c r="N637" s="421" t="s">
        <v>207</v>
      </c>
      <c r="O637" s="269">
        <v>35.411799999999999</v>
      </c>
      <c r="P637" s="269">
        <v>59.71</v>
      </c>
      <c r="Q637" s="426"/>
      <c r="R637" s="418" t="s">
        <v>1205</v>
      </c>
      <c r="S637" s="427" t="s">
        <v>613</v>
      </c>
      <c r="T637" s="357">
        <v>1</v>
      </c>
      <c r="U637" s="357" t="s">
        <v>204</v>
      </c>
      <c r="V637" s="367">
        <v>36000000</v>
      </c>
      <c r="W637" s="368">
        <v>36000000</v>
      </c>
      <c r="X637" s="357"/>
      <c r="Y637" s="357"/>
      <c r="Z637" s="400"/>
      <c r="AA637" s="369"/>
      <c r="AB637" s="370"/>
      <c r="AC637" s="404"/>
      <c r="AD637" s="270"/>
      <c r="AE637" s="156"/>
      <c r="AF637" s="156"/>
      <c r="AG637" s="357"/>
      <c r="AH637" s="357"/>
      <c r="AI637" s="357"/>
      <c r="AJ637" s="156"/>
      <c r="AK637" s="156"/>
      <c r="AL637" s="375"/>
      <c r="AM637" s="405"/>
      <c r="AN637" s="273"/>
      <c r="AO637" s="405"/>
      <c r="AP637" s="273"/>
      <c r="AQ637" s="273"/>
      <c r="AR637" s="273"/>
      <c r="AS637" s="273"/>
      <c r="AT637" s="273"/>
      <c r="AU637" s="273"/>
      <c r="AV637" s="322">
        <f t="shared" si="29"/>
        <v>0</v>
      </c>
      <c r="AW637" s="402" t="s">
        <v>3387</v>
      </c>
      <c r="AX637" s="376">
        <v>45765</v>
      </c>
      <c r="AY637" s="373" t="s">
        <v>3388</v>
      </c>
      <c r="AZ637" s="375"/>
      <c r="BA637" s="375">
        <v>142500000</v>
      </c>
      <c r="BB637" s="375"/>
      <c r="BC637" s="375"/>
      <c r="BD637" s="353">
        <f t="shared" si="30"/>
        <v>142500000</v>
      </c>
      <c r="BE637" s="432" t="s">
        <v>355</v>
      </c>
      <c r="BF637" s="407" t="s">
        <v>523</v>
      </c>
      <c r="BG637" s="168"/>
      <c r="BH637" s="274"/>
      <c r="BI637" s="168"/>
      <c r="BJ637" s="274"/>
      <c r="BK637" s="168"/>
      <c r="BL637" s="275"/>
      <c r="BM637" s="276"/>
      <c r="BN637" s="275"/>
      <c r="BO637" s="276"/>
      <c r="BP637" s="277"/>
      <c r="BQ637" s="156"/>
      <c r="BR637" s="274"/>
      <c r="BS637" s="270"/>
      <c r="BT637" s="270"/>
      <c r="BU637" s="274"/>
      <c r="BV637" s="274"/>
      <c r="BW637" s="278"/>
      <c r="BX637" s="278"/>
      <c r="BY637" s="278"/>
      <c r="BZ637" s="351"/>
    </row>
    <row r="638" spans="1:78" s="90" customFormat="1" ht="19.5" hidden="1" customHeight="1">
      <c r="A638" s="137"/>
      <c r="B638" s="197">
        <f t="shared" si="28"/>
        <v>628</v>
      </c>
      <c r="C638" s="30" t="s">
        <v>202</v>
      </c>
      <c r="D638" s="30" t="s">
        <v>359</v>
      </c>
      <c r="E638" s="234" t="s">
        <v>1206</v>
      </c>
      <c r="F638" s="235" t="s">
        <v>1365</v>
      </c>
      <c r="G638" s="475"/>
      <c r="H638" s="361" t="s">
        <v>4296</v>
      </c>
      <c r="I638" s="363">
        <v>1</v>
      </c>
      <c r="J638" s="364" t="s">
        <v>208</v>
      </c>
      <c r="K638" s="364" t="s">
        <v>402</v>
      </c>
      <c r="L638" s="365" t="s">
        <v>1863</v>
      </c>
      <c r="M638" s="362" t="s">
        <v>3108</v>
      </c>
      <c r="N638" s="421" t="s">
        <v>285</v>
      </c>
      <c r="O638" s="269">
        <v>14608</v>
      </c>
      <c r="P638" s="269">
        <v>2434.2399999999998</v>
      </c>
      <c r="Q638" s="426">
        <v>3</v>
      </c>
      <c r="R638" s="418" t="s">
        <v>1206</v>
      </c>
      <c r="S638" s="427" t="s">
        <v>613</v>
      </c>
      <c r="T638" s="357">
        <v>1</v>
      </c>
      <c r="U638" s="357" t="s">
        <v>204</v>
      </c>
      <c r="V638" s="367">
        <v>5160000000</v>
      </c>
      <c r="W638" s="368">
        <v>5160000000</v>
      </c>
      <c r="X638" s="357"/>
      <c r="Y638" s="357"/>
      <c r="Z638" s="400"/>
      <c r="AA638" s="369"/>
      <c r="AB638" s="370"/>
      <c r="AC638" s="404"/>
      <c r="AD638" s="270"/>
      <c r="AE638" s="156"/>
      <c r="AF638" s="156"/>
      <c r="AG638" s="357"/>
      <c r="AH638" s="357"/>
      <c r="AI638" s="357"/>
      <c r="AJ638" s="156"/>
      <c r="AK638" s="156"/>
      <c r="AL638" s="375"/>
      <c r="AM638" s="405"/>
      <c r="AN638" s="273"/>
      <c r="AO638" s="405"/>
      <c r="AP638" s="273"/>
      <c r="AQ638" s="273"/>
      <c r="AR638" s="273"/>
      <c r="AS638" s="273"/>
      <c r="AT638" s="273"/>
      <c r="AU638" s="273"/>
      <c r="AV638" s="322">
        <f t="shared" si="29"/>
        <v>0</v>
      </c>
      <c r="AW638" s="402"/>
      <c r="AX638" s="376"/>
      <c r="AY638" s="373"/>
      <c r="AZ638" s="375"/>
      <c r="BA638" s="375"/>
      <c r="BB638" s="375"/>
      <c r="BC638" s="375"/>
      <c r="BD638" s="353">
        <f t="shared" si="30"/>
        <v>0</v>
      </c>
      <c r="BE638" s="432" t="s">
        <v>355</v>
      </c>
      <c r="BF638" s="407" t="s">
        <v>525</v>
      </c>
      <c r="BG638" s="168"/>
      <c r="BH638" s="274"/>
      <c r="BI638" s="168"/>
      <c r="BJ638" s="274"/>
      <c r="BK638" s="168"/>
      <c r="BL638" s="275"/>
      <c r="BM638" s="276"/>
      <c r="BN638" s="275"/>
      <c r="BO638" s="276"/>
      <c r="BP638" s="277"/>
      <c r="BQ638" s="156"/>
      <c r="BR638" s="274"/>
      <c r="BS638" s="270"/>
      <c r="BT638" s="270"/>
      <c r="BU638" s="274"/>
      <c r="BV638" s="274"/>
      <c r="BW638" s="278"/>
      <c r="BX638" s="278"/>
      <c r="BY638" s="278"/>
      <c r="BZ638" s="351"/>
    </row>
    <row r="639" spans="1:78" s="90" customFormat="1" ht="19.5" hidden="1" customHeight="1">
      <c r="A639" s="137"/>
      <c r="B639" s="197">
        <f t="shared" si="28"/>
        <v>629</v>
      </c>
      <c r="C639" s="30" t="s">
        <v>202</v>
      </c>
      <c r="D639" s="30" t="s">
        <v>359</v>
      </c>
      <c r="E639" s="234" t="s">
        <v>1207</v>
      </c>
      <c r="F639" s="235" t="s">
        <v>1290</v>
      </c>
      <c r="G639" s="475"/>
      <c r="H639" s="361" t="s">
        <v>4866</v>
      </c>
      <c r="I639" s="363">
        <v>1</v>
      </c>
      <c r="J639" s="364" t="s">
        <v>209</v>
      </c>
      <c r="K639" s="364" t="s">
        <v>248</v>
      </c>
      <c r="L639" s="365" t="s">
        <v>360</v>
      </c>
      <c r="M639" s="362" t="s">
        <v>2392</v>
      </c>
      <c r="N639" s="421" t="s">
        <v>3115</v>
      </c>
      <c r="O639" s="269">
        <v>19.16</v>
      </c>
      <c r="P639" s="269">
        <v>92</v>
      </c>
      <c r="Q639" s="426"/>
      <c r="R639" s="418" t="s">
        <v>1207</v>
      </c>
      <c r="S639" s="427" t="s">
        <v>613</v>
      </c>
      <c r="T639" s="357" t="s">
        <v>229</v>
      </c>
      <c r="U639" s="357" t="s">
        <v>204</v>
      </c>
      <c r="V639" s="367">
        <v>1454400000</v>
      </c>
      <c r="W639" s="368">
        <v>1454400000</v>
      </c>
      <c r="X639" s="357"/>
      <c r="Y639" s="357"/>
      <c r="Z639" s="400"/>
      <c r="AA639" s="369"/>
      <c r="AB639" s="370"/>
      <c r="AC639" s="404"/>
      <c r="AD639" s="270"/>
      <c r="AE639" s="156"/>
      <c r="AF639" s="156"/>
      <c r="AG639" s="357"/>
      <c r="AH639" s="357"/>
      <c r="AI639" s="357"/>
      <c r="AJ639" s="156"/>
      <c r="AK639" s="156"/>
      <c r="AL639" s="375"/>
      <c r="AM639" s="405"/>
      <c r="AN639" s="273"/>
      <c r="AO639" s="405"/>
      <c r="AP639" s="273"/>
      <c r="AQ639" s="273"/>
      <c r="AR639" s="273"/>
      <c r="AS639" s="273"/>
      <c r="AT639" s="273"/>
      <c r="AU639" s="273"/>
      <c r="AV639" s="322">
        <f t="shared" si="29"/>
        <v>0</v>
      </c>
      <c r="AW639" s="402"/>
      <c r="AX639" s="376"/>
      <c r="AY639" s="373"/>
      <c r="AZ639" s="375"/>
      <c r="BA639" s="375"/>
      <c r="BB639" s="375"/>
      <c r="BC639" s="375"/>
      <c r="BD639" s="353">
        <f t="shared" si="30"/>
        <v>0</v>
      </c>
      <c r="BE639" s="432" t="s">
        <v>355</v>
      </c>
      <c r="BF639" s="407" t="s">
        <v>511</v>
      </c>
      <c r="BG639" s="168"/>
      <c r="BH639" s="274"/>
      <c r="BI639" s="168"/>
      <c r="BJ639" s="274"/>
      <c r="BK639" s="168"/>
      <c r="BL639" s="275"/>
      <c r="BM639" s="276"/>
      <c r="BN639" s="275"/>
      <c r="BO639" s="276"/>
      <c r="BP639" s="277"/>
      <c r="BQ639" s="156"/>
      <c r="BR639" s="274"/>
      <c r="BS639" s="270"/>
      <c r="BT639" s="270"/>
      <c r="BU639" s="274"/>
      <c r="BV639" s="274"/>
      <c r="BW639" s="278"/>
      <c r="BX639" s="278"/>
      <c r="BY639" s="278"/>
      <c r="BZ639" s="351"/>
    </row>
    <row r="640" spans="1:78" s="90" customFormat="1" ht="19.5" hidden="1" customHeight="1">
      <c r="A640" s="137"/>
      <c r="B640" s="197">
        <f t="shared" si="28"/>
        <v>630</v>
      </c>
      <c r="C640" s="30" t="s">
        <v>202</v>
      </c>
      <c r="D640" s="30" t="s">
        <v>359</v>
      </c>
      <c r="E640" s="234" t="s">
        <v>1207</v>
      </c>
      <c r="F640" s="235" t="s">
        <v>1290</v>
      </c>
      <c r="G640" s="475"/>
      <c r="H640" s="361" t="s">
        <v>4868</v>
      </c>
      <c r="I640" s="363">
        <v>2</v>
      </c>
      <c r="J640" s="364" t="s">
        <v>209</v>
      </c>
      <c r="K640" s="364" t="s">
        <v>248</v>
      </c>
      <c r="L640" s="365" t="s">
        <v>360</v>
      </c>
      <c r="M640" s="362" t="s">
        <v>2393</v>
      </c>
      <c r="N640" s="421" t="s">
        <v>3115</v>
      </c>
      <c r="O640" s="269">
        <v>16.29</v>
      </c>
      <c r="P640" s="269">
        <v>78.2</v>
      </c>
      <c r="Q640" s="426"/>
      <c r="R640" s="418" t="s">
        <v>1207</v>
      </c>
      <c r="S640" s="427" t="s">
        <v>613</v>
      </c>
      <c r="T640" s="357">
        <v>1</v>
      </c>
      <c r="U640" s="357" t="s">
        <v>204</v>
      </c>
      <c r="V640" s="367">
        <v>1380000000</v>
      </c>
      <c r="W640" s="368">
        <v>1380000000</v>
      </c>
      <c r="X640" s="357"/>
      <c r="Y640" s="357"/>
      <c r="Z640" s="400"/>
      <c r="AA640" s="369"/>
      <c r="AB640" s="370"/>
      <c r="AC640" s="404"/>
      <c r="AD640" s="270"/>
      <c r="AE640" s="156"/>
      <c r="AF640" s="156"/>
      <c r="AG640" s="357"/>
      <c r="AH640" s="357"/>
      <c r="AI640" s="357"/>
      <c r="AJ640" s="156"/>
      <c r="AK640" s="156"/>
      <c r="AL640" s="375"/>
      <c r="AM640" s="405"/>
      <c r="AN640" s="273"/>
      <c r="AO640" s="405"/>
      <c r="AP640" s="273"/>
      <c r="AQ640" s="273"/>
      <c r="AR640" s="273"/>
      <c r="AS640" s="273"/>
      <c r="AT640" s="273"/>
      <c r="AU640" s="273"/>
      <c r="AV640" s="322">
        <f t="shared" si="29"/>
        <v>0</v>
      </c>
      <c r="AW640" s="402"/>
      <c r="AX640" s="376"/>
      <c r="AY640" s="373"/>
      <c r="AZ640" s="375"/>
      <c r="BA640" s="375"/>
      <c r="BB640" s="375"/>
      <c r="BC640" s="375"/>
      <c r="BD640" s="353">
        <f t="shared" si="30"/>
        <v>0</v>
      </c>
      <c r="BE640" s="432" t="s">
        <v>355</v>
      </c>
      <c r="BF640" s="407" t="s">
        <v>511</v>
      </c>
      <c r="BG640" s="168"/>
      <c r="BH640" s="274"/>
      <c r="BI640" s="168"/>
      <c r="BJ640" s="274"/>
      <c r="BK640" s="168"/>
      <c r="BL640" s="275"/>
      <c r="BM640" s="276"/>
      <c r="BN640" s="275"/>
      <c r="BO640" s="276"/>
      <c r="BP640" s="277"/>
      <c r="BQ640" s="156"/>
      <c r="BR640" s="274"/>
      <c r="BS640" s="270"/>
      <c r="BT640" s="270"/>
      <c r="BU640" s="274"/>
      <c r="BV640" s="274"/>
      <c r="BW640" s="278"/>
      <c r="BX640" s="278"/>
      <c r="BY640" s="278"/>
      <c r="BZ640" s="351"/>
    </row>
    <row r="641" spans="1:78" s="90" customFormat="1" ht="19.5" hidden="1" customHeight="1">
      <c r="A641" s="137"/>
      <c r="B641" s="197">
        <f t="shared" si="28"/>
        <v>631</v>
      </c>
      <c r="C641" s="30" t="s">
        <v>202</v>
      </c>
      <c r="D641" s="30" t="s">
        <v>359</v>
      </c>
      <c r="E641" s="234" t="s">
        <v>1208</v>
      </c>
      <c r="F641" s="235" t="s">
        <v>1225</v>
      </c>
      <c r="G641" s="475"/>
      <c r="H641" s="361" t="s">
        <v>4681</v>
      </c>
      <c r="I641" s="363">
        <v>1</v>
      </c>
      <c r="J641" s="364" t="s">
        <v>215</v>
      </c>
      <c r="K641" s="364" t="s">
        <v>307</v>
      </c>
      <c r="L641" s="365" t="s">
        <v>2217</v>
      </c>
      <c r="M641" s="362" t="s">
        <v>2218</v>
      </c>
      <c r="N641" s="421" t="s">
        <v>207</v>
      </c>
      <c r="O641" s="269">
        <v>38.406700000000001</v>
      </c>
      <c r="P641" s="269">
        <v>175.55</v>
      </c>
      <c r="Q641" s="426"/>
      <c r="R641" s="418" t="s">
        <v>3424</v>
      </c>
      <c r="S641" s="427" t="s">
        <v>613</v>
      </c>
      <c r="T641" s="357" t="s">
        <v>233</v>
      </c>
      <c r="U641" s="357" t="s">
        <v>204</v>
      </c>
      <c r="V641" s="367">
        <v>2016000000</v>
      </c>
      <c r="W641" s="368">
        <v>2016000000</v>
      </c>
      <c r="X641" s="357" t="s">
        <v>1389</v>
      </c>
      <c r="Y641" s="357" t="s">
        <v>292</v>
      </c>
      <c r="Z641" s="400" t="s">
        <v>3206</v>
      </c>
      <c r="AA641" s="369">
        <v>1440000000</v>
      </c>
      <c r="AB641" s="370">
        <v>1440000000</v>
      </c>
      <c r="AC641" s="404"/>
      <c r="AD641" s="270"/>
      <c r="AE641" s="156"/>
      <c r="AF641" s="156"/>
      <c r="AG641" s="357"/>
      <c r="AH641" s="357"/>
      <c r="AI641" s="357"/>
      <c r="AJ641" s="156"/>
      <c r="AK641" s="156"/>
      <c r="AL641" s="375"/>
      <c r="AM641" s="405"/>
      <c r="AN641" s="273"/>
      <c r="AO641" s="405"/>
      <c r="AP641" s="273"/>
      <c r="AQ641" s="273"/>
      <c r="AR641" s="273"/>
      <c r="AS641" s="273"/>
      <c r="AT641" s="273"/>
      <c r="AU641" s="273"/>
      <c r="AV641" s="322">
        <f t="shared" si="29"/>
        <v>0</v>
      </c>
      <c r="AW641" s="402" t="s">
        <v>3387</v>
      </c>
      <c r="AX641" s="274">
        <v>45765</v>
      </c>
      <c r="AY641" s="270" t="s">
        <v>3388</v>
      </c>
      <c r="AZ641" s="156"/>
      <c r="BA641" s="156">
        <v>1085000000</v>
      </c>
      <c r="BB641" s="156"/>
      <c r="BC641" s="156"/>
      <c r="BD641" s="353">
        <f t="shared" si="30"/>
        <v>1085000000</v>
      </c>
      <c r="BE641" s="432" t="s">
        <v>355</v>
      </c>
      <c r="BF641" s="407" t="s">
        <v>508</v>
      </c>
      <c r="BG641" s="168"/>
      <c r="BH641" s="274"/>
      <c r="BI641" s="168"/>
      <c r="BJ641" s="274"/>
      <c r="BK641" s="168"/>
      <c r="BL641" s="275"/>
      <c r="BM641" s="276"/>
      <c r="BN641" s="275"/>
      <c r="BO641" s="276"/>
      <c r="BP641" s="277"/>
      <c r="BQ641" s="156"/>
      <c r="BR641" s="274"/>
      <c r="BS641" s="270"/>
      <c r="BT641" s="270"/>
      <c r="BU641" s="274"/>
      <c r="BV641" s="274"/>
      <c r="BW641" s="278"/>
      <c r="BX641" s="278"/>
      <c r="BY641" s="278"/>
      <c r="BZ641" s="351"/>
    </row>
    <row r="642" spans="1:78" s="90" customFormat="1" ht="19.5" hidden="1" customHeight="1">
      <c r="A642" s="137"/>
      <c r="B642" s="197">
        <f t="shared" si="28"/>
        <v>632</v>
      </c>
      <c r="C642" s="30" t="s">
        <v>202</v>
      </c>
      <c r="D642" s="30" t="s">
        <v>359</v>
      </c>
      <c r="E642" s="234" t="s">
        <v>1208</v>
      </c>
      <c r="F642" s="235" t="s">
        <v>1225</v>
      </c>
      <c r="G642" s="475"/>
      <c r="H642" s="361" t="s">
        <v>4683</v>
      </c>
      <c r="I642" s="363">
        <v>2</v>
      </c>
      <c r="J642" s="364" t="s">
        <v>215</v>
      </c>
      <c r="K642" s="364" t="s">
        <v>307</v>
      </c>
      <c r="L642" s="365" t="s">
        <v>2219</v>
      </c>
      <c r="M642" s="362" t="s">
        <v>2220</v>
      </c>
      <c r="N642" s="421" t="s">
        <v>207</v>
      </c>
      <c r="O642" s="269">
        <v>63.680700000000002</v>
      </c>
      <c r="P642" s="269">
        <v>127.9973</v>
      </c>
      <c r="Q642" s="426"/>
      <c r="R642" s="418" t="s">
        <v>1208</v>
      </c>
      <c r="S642" s="427" t="s">
        <v>613</v>
      </c>
      <c r="T642" s="357" t="s">
        <v>229</v>
      </c>
      <c r="U642" s="357" t="s">
        <v>204</v>
      </c>
      <c r="V642" s="367">
        <v>1440000000</v>
      </c>
      <c r="W642" s="368">
        <v>1440000000</v>
      </c>
      <c r="X642" s="357" t="s">
        <v>1391</v>
      </c>
      <c r="Y642" s="357" t="s">
        <v>229</v>
      </c>
      <c r="Z642" s="400" t="s">
        <v>3206</v>
      </c>
      <c r="AA642" s="369">
        <v>1440000000</v>
      </c>
      <c r="AB642" s="370">
        <v>1440000000</v>
      </c>
      <c r="AC642" s="404"/>
      <c r="AD642" s="270"/>
      <c r="AE642" s="156"/>
      <c r="AF642" s="156"/>
      <c r="AG642" s="357"/>
      <c r="AH642" s="357"/>
      <c r="AI642" s="357"/>
      <c r="AJ642" s="156"/>
      <c r="AK642" s="156"/>
      <c r="AL642" s="375"/>
      <c r="AM642" s="405"/>
      <c r="AN642" s="273"/>
      <c r="AO642" s="405"/>
      <c r="AP642" s="273"/>
      <c r="AQ642" s="273"/>
      <c r="AR642" s="273"/>
      <c r="AS642" s="273"/>
      <c r="AT642" s="273"/>
      <c r="AU642" s="273"/>
      <c r="AV642" s="322">
        <f t="shared" si="29"/>
        <v>0</v>
      </c>
      <c r="AW642" s="402" t="s">
        <v>3387</v>
      </c>
      <c r="AX642" s="274">
        <v>45765</v>
      </c>
      <c r="AY642" s="270" t="s">
        <v>3388</v>
      </c>
      <c r="AZ642" s="156"/>
      <c r="BA642" s="156">
        <v>360000000</v>
      </c>
      <c r="BB642" s="156"/>
      <c r="BC642" s="156"/>
      <c r="BD642" s="353">
        <f t="shared" si="30"/>
        <v>360000000</v>
      </c>
      <c r="BE642" s="432" t="s">
        <v>355</v>
      </c>
      <c r="BF642" s="407" t="s">
        <v>508</v>
      </c>
      <c r="BG642" s="168"/>
      <c r="BH642" s="274"/>
      <c r="BI642" s="168"/>
      <c r="BJ642" s="274"/>
      <c r="BK642" s="168"/>
      <c r="BL642" s="275"/>
      <c r="BM642" s="276"/>
      <c r="BN642" s="275"/>
      <c r="BO642" s="276"/>
      <c r="BP642" s="277"/>
      <c r="BQ642" s="156"/>
      <c r="BR642" s="274"/>
      <c r="BS642" s="270"/>
      <c r="BT642" s="270"/>
      <c r="BU642" s="274"/>
      <c r="BV642" s="274"/>
      <c r="BW642" s="278"/>
      <c r="BX642" s="278"/>
      <c r="BY642" s="278"/>
      <c r="BZ642" s="351"/>
    </row>
    <row r="643" spans="1:78" s="90" customFormat="1" ht="19.5" hidden="1" customHeight="1">
      <c r="A643" s="137"/>
      <c r="B643" s="197">
        <f t="shared" si="28"/>
        <v>633</v>
      </c>
      <c r="C643" s="30" t="s">
        <v>202</v>
      </c>
      <c r="D643" s="30" t="s">
        <v>359</v>
      </c>
      <c r="E643" s="234" t="s">
        <v>1208</v>
      </c>
      <c r="F643" s="235" t="s">
        <v>1225</v>
      </c>
      <c r="G643" s="475"/>
      <c r="H643" s="361" t="s">
        <v>4685</v>
      </c>
      <c r="I643" s="363">
        <v>3</v>
      </c>
      <c r="J643" s="364" t="s">
        <v>217</v>
      </c>
      <c r="K643" s="364" t="s">
        <v>545</v>
      </c>
      <c r="L643" s="365" t="s">
        <v>2221</v>
      </c>
      <c r="M643" s="362" t="s">
        <v>3127</v>
      </c>
      <c r="N643" s="421" t="s">
        <v>3080</v>
      </c>
      <c r="O643" s="269">
        <v>9082</v>
      </c>
      <c r="P643" s="269">
        <v>1439.31</v>
      </c>
      <c r="Q643" s="426"/>
      <c r="R643" s="418" t="s">
        <v>1208</v>
      </c>
      <c r="S643" s="427" t="s">
        <v>613</v>
      </c>
      <c r="T643" s="357" t="s">
        <v>571</v>
      </c>
      <c r="U643" s="357" t="s">
        <v>204</v>
      </c>
      <c r="V643" s="367">
        <v>1440000000</v>
      </c>
      <c r="W643" s="368">
        <v>1440000000</v>
      </c>
      <c r="X643" s="357" t="s">
        <v>1394</v>
      </c>
      <c r="Y643" s="357" t="s">
        <v>571</v>
      </c>
      <c r="Z643" s="400" t="s">
        <v>3206</v>
      </c>
      <c r="AA643" s="369">
        <v>1440000000</v>
      </c>
      <c r="AB643" s="370">
        <v>1440000000</v>
      </c>
      <c r="AC643" s="404" t="s">
        <v>233</v>
      </c>
      <c r="AD643" s="270" t="s">
        <v>204</v>
      </c>
      <c r="AE643" s="156">
        <v>2110000000</v>
      </c>
      <c r="AF643" s="156">
        <v>2110000000</v>
      </c>
      <c r="AG643" s="357" t="s">
        <v>1393</v>
      </c>
      <c r="AH643" s="357" t="s">
        <v>233</v>
      </c>
      <c r="AI643" s="357" t="s">
        <v>3206</v>
      </c>
      <c r="AJ643" s="156">
        <v>2110000000</v>
      </c>
      <c r="AK643" s="156">
        <v>2110000000</v>
      </c>
      <c r="AL643" s="375"/>
      <c r="AM643" s="405"/>
      <c r="AN643" s="273"/>
      <c r="AO643" s="405"/>
      <c r="AP643" s="273"/>
      <c r="AQ643" s="273"/>
      <c r="AR643" s="273"/>
      <c r="AS643" s="273"/>
      <c r="AT643" s="273"/>
      <c r="AU643" s="273"/>
      <c r="AV643" s="322">
        <f t="shared" si="29"/>
        <v>0</v>
      </c>
      <c r="AW643" s="402"/>
      <c r="AX643" s="274"/>
      <c r="AY643" s="270"/>
      <c r="AZ643" s="156"/>
      <c r="BA643" s="156"/>
      <c r="BB643" s="156"/>
      <c r="BC643" s="156"/>
      <c r="BD643" s="353">
        <f t="shared" si="30"/>
        <v>0</v>
      </c>
      <c r="BE643" s="432" t="s">
        <v>335</v>
      </c>
      <c r="BF643" s="407" t="s">
        <v>508</v>
      </c>
      <c r="BG643" s="168" t="s">
        <v>1378</v>
      </c>
      <c r="BH643" s="274">
        <v>45653</v>
      </c>
      <c r="BI643" s="168" t="s">
        <v>3245</v>
      </c>
      <c r="BJ643" s="274">
        <v>45747</v>
      </c>
      <c r="BK643" s="168">
        <v>1278851430</v>
      </c>
      <c r="BL643" s="275"/>
      <c r="BM643" s="276"/>
      <c r="BN643" s="275"/>
      <c r="BO643" s="276"/>
      <c r="BP643" s="277"/>
      <c r="BQ643" s="156"/>
      <c r="BR643" s="274"/>
      <c r="BS643" s="270"/>
      <c r="BT643" s="270"/>
      <c r="BU643" s="274"/>
      <c r="BV643" s="274"/>
      <c r="BW643" s="278"/>
      <c r="BX643" s="278"/>
      <c r="BY643" s="278"/>
      <c r="BZ643" s="351"/>
    </row>
    <row r="644" spans="1:78" s="90" customFormat="1" ht="19.5" hidden="1" customHeight="1">
      <c r="A644" s="137"/>
      <c r="B644" s="197">
        <f t="shared" si="28"/>
        <v>634</v>
      </c>
      <c r="C644" s="30" t="s">
        <v>202</v>
      </c>
      <c r="D644" s="30" t="s">
        <v>359</v>
      </c>
      <c r="E644" s="234" t="s">
        <v>1208</v>
      </c>
      <c r="F644" s="235" t="s">
        <v>1225</v>
      </c>
      <c r="G644" s="475"/>
      <c r="H644" s="361" t="s">
        <v>4688</v>
      </c>
      <c r="I644" s="363">
        <v>4</v>
      </c>
      <c r="J644" s="364" t="s">
        <v>217</v>
      </c>
      <c r="K644" s="364" t="s">
        <v>545</v>
      </c>
      <c r="L644" s="365" t="s">
        <v>2221</v>
      </c>
      <c r="M644" s="362" t="s">
        <v>3081</v>
      </c>
      <c r="N644" s="421" t="s">
        <v>285</v>
      </c>
      <c r="O644" s="269">
        <v>103485</v>
      </c>
      <c r="P644" s="269">
        <v>2325.7399999999998</v>
      </c>
      <c r="Q644" s="426"/>
      <c r="R644" s="418" t="s">
        <v>1208</v>
      </c>
      <c r="S644" s="427" t="s">
        <v>613</v>
      </c>
      <c r="T644" s="357" t="s">
        <v>3062</v>
      </c>
      <c r="U644" s="357" t="s">
        <v>204</v>
      </c>
      <c r="V644" s="367">
        <v>1440000000</v>
      </c>
      <c r="W644" s="368">
        <v>1440000000</v>
      </c>
      <c r="X644" s="357" t="s">
        <v>1397</v>
      </c>
      <c r="Y644" s="357" t="s">
        <v>3062</v>
      </c>
      <c r="Z644" s="400" t="s">
        <v>3206</v>
      </c>
      <c r="AA644" s="369">
        <v>1440000000</v>
      </c>
      <c r="AB644" s="370">
        <v>1440000000</v>
      </c>
      <c r="AC644" s="404" t="s">
        <v>268</v>
      </c>
      <c r="AD644" s="270" t="s">
        <v>204</v>
      </c>
      <c r="AE644" s="156">
        <v>4490000000</v>
      </c>
      <c r="AF644" s="156">
        <v>4490000000</v>
      </c>
      <c r="AG644" s="357" t="s">
        <v>1396</v>
      </c>
      <c r="AH644" s="357" t="s">
        <v>3853</v>
      </c>
      <c r="AI644" s="357" t="s">
        <v>3206</v>
      </c>
      <c r="AJ644" s="156">
        <v>4490000000</v>
      </c>
      <c r="AK644" s="156">
        <v>4490000000</v>
      </c>
      <c r="AL644" s="375"/>
      <c r="AM644" s="405"/>
      <c r="AN644" s="273"/>
      <c r="AO644" s="405"/>
      <c r="AP644" s="273"/>
      <c r="AQ644" s="273"/>
      <c r="AR644" s="273"/>
      <c r="AS644" s="273"/>
      <c r="AT644" s="273"/>
      <c r="AU644" s="273"/>
      <c r="AV644" s="322">
        <f t="shared" si="29"/>
        <v>0</v>
      </c>
      <c r="AW644" s="402"/>
      <c r="AX644" s="376"/>
      <c r="AY644" s="373"/>
      <c r="AZ644" s="375"/>
      <c r="BA644" s="375"/>
      <c r="BB644" s="375"/>
      <c r="BC644" s="375"/>
      <c r="BD644" s="353">
        <f t="shared" si="30"/>
        <v>0</v>
      </c>
      <c r="BE644" s="432" t="s">
        <v>335</v>
      </c>
      <c r="BF644" s="407" t="s">
        <v>508</v>
      </c>
      <c r="BG644" s="168" t="s">
        <v>421</v>
      </c>
      <c r="BH644" s="274">
        <v>45642</v>
      </c>
      <c r="BI644" s="168" t="s">
        <v>3246</v>
      </c>
      <c r="BJ644" s="274">
        <v>45734</v>
      </c>
      <c r="BK644" s="168">
        <v>4380000000</v>
      </c>
      <c r="BL644" s="275"/>
      <c r="BM644" s="276"/>
      <c r="BN644" s="275"/>
      <c r="BO644" s="276"/>
      <c r="BP644" s="277"/>
      <c r="BQ644" s="156"/>
      <c r="BR644" s="274"/>
      <c r="BS644" s="270"/>
      <c r="BT644" s="270"/>
      <c r="BU644" s="274"/>
      <c r="BV644" s="274"/>
      <c r="BW644" s="278"/>
      <c r="BX644" s="278"/>
      <c r="BY644" s="278"/>
      <c r="BZ644" s="351"/>
    </row>
    <row r="645" spans="1:78" s="90" customFormat="1" ht="19.5" hidden="1" customHeight="1">
      <c r="A645" s="137"/>
      <c r="B645" s="197">
        <f t="shared" si="28"/>
        <v>635</v>
      </c>
      <c r="C645" s="30" t="s">
        <v>202</v>
      </c>
      <c r="D645" s="30" t="s">
        <v>359</v>
      </c>
      <c r="E645" s="234" t="s">
        <v>1208</v>
      </c>
      <c r="F645" s="235" t="s">
        <v>1225</v>
      </c>
      <c r="G645" s="475"/>
      <c r="H645" s="361" t="s">
        <v>4710</v>
      </c>
      <c r="I645" s="363">
        <v>5</v>
      </c>
      <c r="J645" s="364" t="s">
        <v>217</v>
      </c>
      <c r="K645" s="364" t="s">
        <v>545</v>
      </c>
      <c r="L645" s="365" t="s">
        <v>2221</v>
      </c>
      <c r="M645" s="362" t="s">
        <v>3082</v>
      </c>
      <c r="N645" s="421" t="s">
        <v>456</v>
      </c>
      <c r="O645" s="269">
        <v>16506</v>
      </c>
      <c r="P645" s="269"/>
      <c r="Q645" s="426"/>
      <c r="R645" s="418" t="s">
        <v>1208</v>
      </c>
      <c r="S645" s="427" t="s">
        <v>613</v>
      </c>
      <c r="T645" s="357" t="s">
        <v>3063</v>
      </c>
      <c r="U645" s="357" t="s">
        <v>204</v>
      </c>
      <c r="V645" s="367">
        <v>1440000000</v>
      </c>
      <c r="W645" s="368">
        <v>1440000000</v>
      </c>
      <c r="X645" s="357" t="s">
        <v>1400</v>
      </c>
      <c r="Y645" s="357" t="s">
        <v>3063</v>
      </c>
      <c r="Z645" s="400" t="s">
        <v>3206</v>
      </c>
      <c r="AA645" s="369">
        <v>1440000000</v>
      </c>
      <c r="AB645" s="370">
        <v>1440000000</v>
      </c>
      <c r="AC645" s="404" t="s">
        <v>3072</v>
      </c>
      <c r="AD645" s="270" t="s">
        <v>204</v>
      </c>
      <c r="AE645" s="156">
        <v>6490000000</v>
      </c>
      <c r="AF645" s="156">
        <v>6490000000</v>
      </c>
      <c r="AG645" s="357" t="s">
        <v>1399</v>
      </c>
      <c r="AH645" s="357" t="s">
        <v>3854</v>
      </c>
      <c r="AI645" s="357" t="s">
        <v>3206</v>
      </c>
      <c r="AJ645" s="156">
        <v>6490000000</v>
      </c>
      <c r="AK645" s="156">
        <v>6490000000</v>
      </c>
      <c r="AL645" s="375"/>
      <c r="AM645" s="405"/>
      <c r="AN645" s="273"/>
      <c r="AO645" s="405"/>
      <c r="AP645" s="273"/>
      <c r="AQ645" s="273"/>
      <c r="AR645" s="273"/>
      <c r="AS645" s="273"/>
      <c r="AT645" s="273"/>
      <c r="AU645" s="273"/>
      <c r="AV645" s="322">
        <f t="shared" si="29"/>
        <v>0</v>
      </c>
      <c r="AW645" s="402"/>
      <c r="AX645" s="376"/>
      <c r="AY645" s="373"/>
      <c r="AZ645" s="375"/>
      <c r="BA645" s="375"/>
      <c r="BB645" s="375"/>
      <c r="BC645" s="375"/>
      <c r="BD645" s="353">
        <f t="shared" si="30"/>
        <v>0</v>
      </c>
      <c r="BE645" s="432" t="s">
        <v>335</v>
      </c>
      <c r="BF645" s="407" t="s">
        <v>508</v>
      </c>
      <c r="BG645" s="168" t="s">
        <v>421</v>
      </c>
      <c r="BH645" s="274">
        <v>45642</v>
      </c>
      <c r="BI645" s="168" t="s">
        <v>3246</v>
      </c>
      <c r="BJ645" s="274">
        <v>45734</v>
      </c>
      <c r="BK645" s="168" t="s">
        <v>608</v>
      </c>
      <c r="BL645" s="275" t="s">
        <v>1378</v>
      </c>
      <c r="BM645" s="276">
        <v>45653</v>
      </c>
      <c r="BN645" s="275" t="s">
        <v>3245</v>
      </c>
      <c r="BO645" s="276">
        <v>45747</v>
      </c>
      <c r="BP645" s="277">
        <v>1278851430</v>
      </c>
      <c r="BQ645" s="156"/>
      <c r="BR645" s="274"/>
      <c r="BS645" s="270"/>
      <c r="BT645" s="270"/>
      <c r="BU645" s="274"/>
      <c r="BV645" s="274"/>
      <c r="BW645" s="278"/>
      <c r="BX645" s="278"/>
      <c r="BY645" s="278"/>
      <c r="BZ645" s="351"/>
    </row>
    <row r="646" spans="1:78" s="90" customFormat="1" ht="19.5" hidden="1" customHeight="1">
      <c r="A646" s="137"/>
      <c r="B646" s="197">
        <f t="shared" si="28"/>
        <v>636</v>
      </c>
      <c r="C646" s="30" t="s">
        <v>202</v>
      </c>
      <c r="D646" s="30" t="s">
        <v>359</v>
      </c>
      <c r="E646" s="234" t="s">
        <v>1208</v>
      </c>
      <c r="F646" s="235" t="s">
        <v>1225</v>
      </c>
      <c r="G646" s="475"/>
      <c r="H646" s="361" t="s">
        <v>4723</v>
      </c>
      <c r="I646" s="363">
        <v>6</v>
      </c>
      <c r="J646" s="364" t="s">
        <v>215</v>
      </c>
      <c r="K646" s="364" t="s">
        <v>294</v>
      </c>
      <c r="L646" s="365" t="s">
        <v>2256</v>
      </c>
      <c r="M646" s="362" t="s">
        <v>3128</v>
      </c>
      <c r="N646" s="421" t="s">
        <v>595</v>
      </c>
      <c r="O646" s="269">
        <v>202</v>
      </c>
      <c r="P646" s="269">
        <v>331.05</v>
      </c>
      <c r="Q646" s="426"/>
      <c r="R646" s="418" t="s">
        <v>1208</v>
      </c>
      <c r="S646" s="427" t="s">
        <v>613</v>
      </c>
      <c r="T646" s="357">
        <v>5</v>
      </c>
      <c r="U646" s="357" t="s">
        <v>204</v>
      </c>
      <c r="V646" s="367">
        <v>1200000000</v>
      </c>
      <c r="W646" s="368">
        <v>1200000000</v>
      </c>
      <c r="X646" s="357" t="s">
        <v>1402</v>
      </c>
      <c r="Y646" s="357">
        <v>5</v>
      </c>
      <c r="Z646" s="400" t="s">
        <v>3206</v>
      </c>
      <c r="AA646" s="369">
        <v>1200000000</v>
      </c>
      <c r="AB646" s="370">
        <v>1200000000</v>
      </c>
      <c r="AC646" s="404" t="s">
        <v>268</v>
      </c>
      <c r="AD646" s="270" t="s">
        <v>204</v>
      </c>
      <c r="AE646" s="156">
        <v>936000000</v>
      </c>
      <c r="AF646" s="156">
        <v>936000000</v>
      </c>
      <c r="AG646" s="357"/>
      <c r="AH646" s="357"/>
      <c r="AI646" s="357"/>
      <c r="AJ646" s="156"/>
      <c r="AK646" s="156"/>
      <c r="AL646" s="375"/>
      <c r="AM646" s="405"/>
      <c r="AN646" s="273"/>
      <c r="AO646" s="405"/>
      <c r="AP646" s="273"/>
      <c r="AQ646" s="273"/>
      <c r="AR646" s="273"/>
      <c r="AS646" s="273"/>
      <c r="AT646" s="273"/>
      <c r="AU646" s="273"/>
      <c r="AV646" s="322">
        <f t="shared" si="29"/>
        <v>0</v>
      </c>
      <c r="AW646" s="402"/>
      <c r="AX646" s="274"/>
      <c r="AY646" s="270"/>
      <c r="AZ646" s="156"/>
      <c r="BA646" s="156"/>
      <c r="BB646" s="156"/>
      <c r="BC646" s="156"/>
      <c r="BD646" s="353">
        <f t="shared" si="30"/>
        <v>0</v>
      </c>
      <c r="BE646" s="432" t="s">
        <v>335</v>
      </c>
      <c r="BF646" s="407" t="s">
        <v>515</v>
      </c>
      <c r="BG646" s="168" t="s">
        <v>421</v>
      </c>
      <c r="BH646" s="274">
        <v>45642</v>
      </c>
      <c r="BI646" s="168" t="s">
        <v>3316</v>
      </c>
      <c r="BJ646" s="274">
        <v>45706</v>
      </c>
      <c r="BK646" s="168">
        <v>120000000</v>
      </c>
      <c r="BL646" s="275" t="s">
        <v>1378</v>
      </c>
      <c r="BM646" s="276">
        <v>45653</v>
      </c>
      <c r="BN646" s="275" t="s">
        <v>3360</v>
      </c>
      <c r="BO646" s="276"/>
      <c r="BP646" s="277">
        <v>697229740</v>
      </c>
      <c r="BQ646" s="156"/>
      <c r="BR646" s="274"/>
      <c r="BS646" s="270"/>
      <c r="BT646" s="270"/>
      <c r="BU646" s="274"/>
      <c r="BV646" s="274"/>
      <c r="BW646" s="278"/>
      <c r="BX646" s="278"/>
      <c r="BY646" s="278"/>
      <c r="BZ646" s="351"/>
    </row>
    <row r="647" spans="1:78" s="90" customFormat="1" ht="19.5" hidden="1" customHeight="1">
      <c r="A647" s="137"/>
      <c r="B647" s="197">
        <f t="shared" si="28"/>
        <v>637</v>
      </c>
      <c r="C647" s="30" t="s">
        <v>202</v>
      </c>
      <c r="D647" s="30" t="s">
        <v>359</v>
      </c>
      <c r="E647" s="234" t="s">
        <v>1209</v>
      </c>
      <c r="F647" s="235" t="s">
        <v>1236</v>
      </c>
      <c r="G647" s="475"/>
      <c r="H647" s="361" t="s">
        <v>4523</v>
      </c>
      <c r="I647" s="363">
        <v>1</v>
      </c>
      <c r="J647" s="364" t="s">
        <v>208</v>
      </c>
      <c r="K647" s="364" t="s">
        <v>301</v>
      </c>
      <c r="L647" s="365" t="s">
        <v>2062</v>
      </c>
      <c r="M647" s="362" t="s">
        <v>3077</v>
      </c>
      <c r="N647" s="421" t="s">
        <v>285</v>
      </c>
      <c r="O647" s="269">
        <v>3786.9870000000001</v>
      </c>
      <c r="P647" s="269">
        <v>1070</v>
      </c>
      <c r="Q647" s="426"/>
      <c r="R647" s="418" t="s">
        <v>1209</v>
      </c>
      <c r="S647" s="427" t="s">
        <v>613</v>
      </c>
      <c r="T647" s="357">
        <v>1</v>
      </c>
      <c r="U647" s="357" t="s">
        <v>204</v>
      </c>
      <c r="V647" s="367">
        <v>1926000000</v>
      </c>
      <c r="W647" s="368">
        <v>1926000000</v>
      </c>
      <c r="X647" s="357">
        <v>2</v>
      </c>
      <c r="Y647" s="357">
        <v>1</v>
      </c>
      <c r="Z647" s="400" t="s">
        <v>3206</v>
      </c>
      <c r="AA647" s="369">
        <v>1926000000</v>
      </c>
      <c r="AB647" s="370">
        <v>1926000000</v>
      </c>
      <c r="AC647" s="404"/>
      <c r="AD647" s="270"/>
      <c r="AE647" s="156"/>
      <c r="AF647" s="156"/>
      <c r="AG647" s="357"/>
      <c r="AH647" s="357"/>
      <c r="AI647" s="357"/>
      <c r="AJ647" s="156"/>
      <c r="AK647" s="156"/>
      <c r="AL647" s="375"/>
      <c r="AM647" s="405"/>
      <c r="AN647" s="273"/>
      <c r="AO647" s="405"/>
      <c r="AP647" s="273"/>
      <c r="AQ647" s="273"/>
      <c r="AR647" s="273"/>
      <c r="AS647" s="273"/>
      <c r="AT647" s="273"/>
      <c r="AU647" s="273"/>
      <c r="AV647" s="322">
        <f t="shared" si="29"/>
        <v>0</v>
      </c>
      <c r="AW647" s="402"/>
      <c r="AX647" s="274"/>
      <c r="AY647" s="270"/>
      <c r="AZ647" s="156"/>
      <c r="BA647" s="156"/>
      <c r="BB647" s="156"/>
      <c r="BC647" s="156"/>
      <c r="BD647" s="353">
        <f t="shared" si="30"/>
        <v>0</v>
      </c>
      <c r="BE647" s="432" t="s">
        <v>335</v>
      </c>
      <c r="BF647" s="407" t="s">
        <v>502</v>
      </c>
      <c r="BG647" s="168" t="s">
        <v>3394</v>
      </c>
      <c r="BH647" s="274">
        <v>45632</v>
      </c>
      <c r="BI647" s="168" t="s">
        <v>3228</v>
      </c>
      <c r="BJ647" s="274">
        <v>45716</v>
      </c>
      <c r="BK647" s="168">
        <v>395464157</v>
      </c>
      <c r="BL647" s="275"/>
      <c r="BM647" s="276"/>
      <c r="BN647" s="275"/>
      <c r="BO647" s="276"/>
      <c r="BP647" s="277"/>
      <c r="BQ647" s="156"/>
      <c r="BR647" s="274"/>
      <c r="BS647" s="270"/>
      <c r="BT647" s="270"/>
      <c r="BU647" s="274"/>
      <c r="BV647" s="274"/>
      <c r="BW647" s="278"/>
      <c r="BX647" s="278"/>
      <c r="BY647" s="278"/>
      <c r="BZ647" s="351"/>
    </row>
    <row r="648" spans="1:78" s="90" customFormat="1" ht="19.5" hidden="1" customHeight="1">
      <c r="A648" s="137"/>
      <c r="B648" s="197">
        <f t="shared" si="28"/>
        <v>638</v>
      </c>
      <c r="C648" s="30" t="s">
        <v>202</v>
      </c>
      <c r="D648" s="30" t="s">
        <v>359</v>
      </c>
      <c r="E648" s="234" t="s">
        <v>1209</v>
      </c>
      <c r="F648" s="235" t="s">
        <v>1236</v>
      </c>
      <c r="G648" s="475"/>
      <c r="H648" s="361" t="s">
        <v>4535</v>
      </c>
      <c r="I648" s="363">
        <v>2</v>
      </c>
      <c r="J648" s="364" t="s">
        <v>208</v>
      </c>
      <c r="K648" s="364" t="s">
        <v>258</v>
      </c>
      <c r="L648" s="365" t="s">
        <v>321</v>
      </c>
      <c r="M648" s="362" t="s">
        <v>2073</v>
      </c>
      <c r="N648" s="421" t="s">
        <v>207</v>
      </c>
      <c r="O648" s="269">
        <v>58.44</v>
      </c>
      <c r="P648" s="269">
        <v>59.62</v>
      </c>
      <c r="Q648" s="426"/>
      <c r="R648" s="418" t="s">
        <v>3397</v>
      </c>
      <c r="S648" s="427" t="s">
        <v>613</v>
      </c>
      <c r="T648" s="357">
        <v>2</v>
      </c>
      <c r="U648" s="357" t="s">
        <v>204</v>
      </c>
      <c r="V648" s="367">
        <v>1926000000</v>
      </c>
      <c r="W648" s="368">
        <v>1926000000</v>
      </c>
      <c r="X648" s="357">
        <v>1</v>
      </c>
      <c r="Y648" s="357">
        <v>2</v>
      </c>
      <c r="Z648" s="400" t="s">
        <v>3206</v>
      </c>
      <c r="AA648" s="369">
        <v>1926000000</v>
      </c>
      <c r="AB648" s="370">
        <v>1926000000</v>
      </c>
      <c r="AC648" s="404">
        <v>1</v>
      </c>
      <c r="AD648" s="270" t="s">
        <v>204</v>
      </c>
      <c r="AE648" s="156">
        <v>96000000</v>
      </c>
      <c r="AF648" s="156">
        <v>96000000</v>
      </c>
      <c r="AG648" s="357"/>
      <c r="AH648" s="357"/>
      <c r="AI648" s="357"/>
      <c r="AJ648" s="156"/>
      <c r="AK648" s="156"/>
      <c r="AL648" s="375"/>
      <c r="AM648" s="405"/>
      <c r="AN648" s="273"/>
      <c r="AO648" s="405"/>
      <c r="AP648" s="273"/>
      <c r="AQ648" s="273"/>
      <c r="AR648" s="273"/>
      <c r="AS648" s="273"/>
      <c r="AT648" s="273"/>
      <c r="AU648" s="273"/>
      <c r="AV648" s="322">
        <f t="shared" si="29"/>
        <v>0</v>
      </c>
      <c r="AW648" s="402" t="s">
        <v>3387</v>
      </c>
      <c r="AX648" s="274">
        <v>45765</v>
      </c>
      <c r="AY648" s="270" t="s">
        <v>3388</v>
      </c>
      <c r="AZ648" s="156"/>
      <c r="BA648" s="156">
        <v>255000000</v>
      </c>
      <c r="BB648" s="156"/>
      <c r="BC648" s="156"/>
      <c r="BD648" s="353">
        <f t="shared" si="30"/>
        <v>255000000</v>
      </c>
      <c r="BE648" s="432" t="s">
        <v>355</v>
      </c>
      <c r="BF648" s="407" t="s">
        <v>498</v>
      </c>
      <c r="BG648" s="168"/>
      <c r="BH648" s="274"/>
      <c r="BI648" s="168"/>
      <c r="BJ648" s="274"/>
      <c r="BK648" s="168"/>
      <c r="BL648" s="275"/>
      <c r="BM648" s="276"/>
      <c r="BN648" s="275"/>
      <c r="BO648" s="276"/>
      <c r="BP648" s="277"/>
      <c r="BQ648" s="156"/>
      <c r="BR648" s="274"/>
      <c r="BS648" s="270"/>
      <c r="BT648" s="270"/>
      <c r="BU648" s="274"/>
      <c r="BV648" s="274"/>
      <c r="BW648" s="278"/>
      <c r="BX648" s="278"/>
      <c r="BY648" s="278"/>
      <c r="BZ648" s="351"/>
    </row>
    <row r="649" spans="1:78" s="90" customFormat="1" ht="19.5" hidden="1" customHeight="1">
      <c r="A649" s="137"/>
      <c r="B649" s="197">
        <f t="shared" si="28"/>
        <v>639</v>
      </c>
      <c r="C649" s="30" t="s">
        <v>202</v>
      </c>
      <c r="D649" s="30" t="s">
        <v>359</v>
      </c>
      <c r="E649" s="234" t="s">
        <v>1210</v>
      </c>
      <c r="F649" s="235" t="s">
        <v>1291</v>
      </c>
      <c r="G649" s="475"/>
      <c r="H649" s="361" t="s">
        <v>4874</v>
      </c>
      <c r="I649" s="363">
        <v>1</v>
      </c>
      <c r="J649" s="364" t="s">
        <v>208</v>
      </c>
      <c r="K649" s="364" t="s">
        <v>383</v>
      </c>
      <c r="L649" s="365" t="s">
        <v>2397</v>
      </c>
      <c r="M649" s="362" t="s">
        <v>3134</v>
      </c>
      <c r="N649" s="421" t="s">
        <v>296</v>
      </c>
      <c r="O649" s="269">
        <v>1075</v>
      </c>
      <c r="P649" s="269">
        <v>750.64</v>
      </c>
      <c r="Q649" s="426"/>
      <c r="R649" s="418" t="s">
        <v>3473</v>
      </c>
      <c r="S649" s="427" t="s">
        <v>613</v>
      </c>
      <c r="T649" s="357" t="s">
        <v>229</v>
      </c>
      <c r="U649" s="357" t="s">
        <v>204</v>
      </c>
      <c r="V649" s="367">
        <v>828000000</v>
      </c>
      <c r="W649" s="368">
        <v>828000000</v>
      </c>
      <c r="X649" s="357"/>
      <c r="Y649" s="357"/>
      <c r="Z649" s="400"/>
      <c r="AA649" s="369"/>
      <c r="AB649" s="370"/>
      <c r="AC649" s="404"/>
      <c r="AD649" s="270"/>
      <c r="AE649" s="156"/>
      <c r="AF649" s="156"/>
      <c r="AG649" s="357"/>
      <c r="AH649" s="357"/>
      <c r="AI649" s="357"/>
      <c r="AJ649" s="156"/>
      <c r="AK649" s="156"/>
      <c r="AL649" s="375"/>
      <c r="AM649" s="405"/>
      <c r="AN649" s="273"/>
      <c r="AO649" s="405"/>
      <c r="AP649" s="273"/>
      <c r="AQ649" s="273"/>
      <c r="AR649" s="273"/>
      <c r="AS649" s="273"/>
      <c r="AT649" s="273"/>
      <c r="AU649" s="273"/>
      <c r="AV649" s="322">
        <f t="shared" si="29"/>
        <v>0</v>
      </c>
      <c r="AW649" s="402"/>
      <c r="AX649" s="274"/>
      <c r="AY649" s="270"/>
      <c r="AZ649" s="156"/>
      <c r="BA649" s="156"/>
      <c r="BB649" s="156"/>
      <c r="BC649" s="156"/>
      <c r="BD649" s="353">
        <f t="shared" si="30"/>
        <v>0</v>
      </c>
      <c r="BE649" s="432" t="s">
        <v>355</v>
      </c>
      <c r="BF649" s="407" t="s">
        <v>525</v>
      </c>
      <c r="BG649" s="168"/>
      <c r="BH649" s="274"/>
      <c r="BI649" s="168"/>
      <c r="BJ649" s="274"/>
      <c r="BK649" s="168"/>
      <c r="BL649" s="275"/>
      <c r="BM649" s="276"/>
      <c r="BN649" s="275"/>
      <c r="BO649" s="276"/>
      <c r="BP649" s="277"/>
      <c r="BQ649" s="156"/>
      <c r="BR649" s="274"/>
      <c r="BS649" s="270"/>
      <c r="BT649" s="270"/>
      <c r="BU649" s="274"/>
      <c r="BV649" s="274"/>
      <c r="BW649" s="278"/>
      <c r="BX649" s="278"/>
      <c r="BY649" s="278"/>
      <c r="BZ649" s="351"/>
    </row>
    <row r="650" spans="1:78" s="90" customFormat="1" ht="19.5" hidden="1" customHeight="1">
      <c r="A650" s="137"/>
      <c r="B650" s="197">
        <f t="shared" si="28"/>
        <v>640</v>
      </c>
      <c r="C650" s="30" t="s">
        <v>202</v>
      </c>
      <c r="D650" s="30" t="s">
        <v>359</v>
      </c>
      <c r="E650" s="234" t="s">
        <v>1211</v>
      </c>
      <c r="F650" s="235" t="s">
        <v>1225</v>
      </c>
      <c r="G650" s="475"/>
      <c r="H650" s="361" t="s">
        <v>3882</v>
      </c>
      <c r="I650" s="363">
        <v>1</v>
      </c>
      <c r="J650" s="364" t="s">
        <v>215</v>
      </c>
      <c r="K650" s="364" t="s">
        <v>307</v>
      </c>
      <c r="L650" s="365" t="s">
        <v>308</v>
      </c>
      <c r="M650" s="362" t="s">
        <v>1449</v>
      </c>
      <c r="N650" s="421" t="s">
        <v>207</v>
      </c>
      <c r="O650" s="269">
        <v>70.243499999999997</v>
      </c>
      <c r="P650" s="269">
        <v>158.018</v>
      </c>
      <c r="Q650" s="426"/>
      <c r="R650" s="418" t="s">
        <v>1211</v>
      </c>
      <c r="S650" s="427" t="s">
        <v>613</v>
      </c>
      <c r="T650" s="357" t="s">
        <v>233</v>
      </c>
      <c r="U650" s="357" t="s">
        <v>204</v>
      </c>
      <c r="V650" s="367">
        <v>663600000</v>
      </c>
      <c r="W650" s="368">
        <v>663600000</v>
      </c>
      <c r="X650" s="357"/>
      <c r="Y650" s="357"/>
      <c r="Z650" s="400"/>
      <c r="AA650" s="369"/>
      <c r="AB650" s="370"/>
      <c r="AC650" s="404"/>
      <c r="AD650" s="270"/>
      <c r="AE650" s="156"/>
      <c r="AF650" s="156"/>
      <c r="AG650" s="357"/>
      <c r="AH650" s="357"/>
      <c r="AI650" s="357"/>
      <c r="AJ650" s="156"/>
      <c r="AK650" s="156"/>
      <c r="AL650" s="375"/>
      <c r="AM650" s="405"/>
      <c r="AN650" s="273"/>
      <c r="AO650" s="405"/>
      <c r="AP650" s="273"/>
      <c r="AQ650" s="273"/>
      <c r="AR650" s="273"/>
      <c r="AS650" s="273"/>
      <c r="AT650" s="273"/>
      <c r="AU650" s="273"/>
      <c r="AV650" s="322">
        <f t="shared" si="29"/>
        <v>0</v>
      </c>
      <c r="AW650" s="402" t="s">
        <v>3387</v>
      </c>
      <c r="AX650" s="376">
        <v>45765</v>
      </c>
      <c r="AY650" s="373" t="s">
        <v>3388</v>
      </c>
      <c r="AZ650" s="375"/>
      <c r="BA650" s="375">
        <v>790000000</v>
      </c>
      <c r="BB650" s="375"/>
      <c r="BC650" s="375"/>
      <c r="BD650" s="353">
        <f t="shared" si="30"/>
        <v>790000000</v>
      </c>
      <c r="BE650" s="432" t="s">
        <v>355</v>
      </c>
      <c r="BF650" s="407" t="s">
        <v>508</v>
      </c>
      <c r="BG650" s="168"/>
      <c r="BH650" s="274"/>
      <c r="BI650" s="168"/>
      <c r="BJ650" s="274"/>
      <c r="BK650" s="168"/>
      <c r="BL650" s="275"/>
      <c r="BM650" s="276"/>
      <c r="BN650" s="275"/>
      <c r="BO650" s="276"/>
      <c r="BP650" s="277"/>
      <c r="BQ650" s="156"/>
      <c r="BR650" s="274"/>
      <c r="BS650" s="270"/>
      <c r="BT650" s="270"/>
      <c r="BU650" s="274"/>
      <c r="BV650" s="274"/>
      <c r="BW650" s="278"/>
      <c r="BX650" s="278"/>
      <c r="BY650" s="278"/>
      <c r="BZ650" s="351"/>
    </row>
    <row r="651" spans="1:78" s="90" customFormat="1" ht="19.5" hidden="1" customHeight="1">
      <c r="A651" s="137"/>
      <c r="B651" s="197">
        <f t="shared" ref="B651:B663" si="31">ROW()-10</f>
        <v>641</v>
      </c>
      <c r="C651" s="30" t="s">
        <v>202</v>
      </c>
      <c r="D651" s="30" t="s">
        <v>359</v>
      </c>
      <c r="E651" s="234" t="s">
        <v>1212</v>
      </c>
      <c r="F651" s="235" t="s">
        <v>1292</v>
      </c>
      <c r="G651" s="475"/>
      <c r="H651" s="361" t="s">
        <v>4946</v>
      </c>
      <c r="I651" s="363">
        <v>1</v>
      </c>
      <c r="J651" s="364" t="s">
        <v>215</v>
      </c>
      <c r="K651" s="364" t="s">
        <v>232</v>
      </c>
      <c r="L651" s="365" t="s">
        <v>427</v>
      </c>
      <c r="M651" s="362" t="s">
        <v>3138</v>
      </c>
      <c r="N651" s="421" t="s">
        <v>296</v>
      </c>
      <c r="O651" s="269">
        <v>288</v>
      </c>
      <c r="P651" s="269">
        <v>355.65</v>
      </c>
      <c r="Q651" s="426"/>
      <c r="R651" s="418" t="s">
        <v>1212</v>
      </c>
      <c r="S651" s="427" t="s">
        <v>613</v>
      </c>
      <c r="T651" s="357">
        <v>1</v>
      </c>
      <c r="U651" s="357" t="s">
        <v>204</v>
      </c>
      <c r="V651" s="367">
        <v>612000000</v>
      </c>
      <c r="W651" s="368">
        <v>612000000</v>
      </c>
      <c r="X651" s="357"/>
      <c r="Y651" s="357"/>
      <c r="Z651" s="400"/>
      <c r="AA651" s="369"/>
      <c r="AB651" s="370"/>
      <c r="AC651" s="404"/>
      <c r="AD651" s="270"/>
      <c r="AE651" s="156"/>
      <c r="AF651" s="156"/>
      <c r="AG651" s="357"/>
      <c r="AH651" s="357"/>
      <c r="AI651" s="357"/>
      <c r="AJ651" s="156"/>
      <c r="AK651" s="156"/>
      <c r="AL651" s="412">
        <v>1</v>
      </c>
      <c r="AM651" s="405" t="s">
        <v>204</v>
      </c>
      <c r="AN651" s="273">
        <v>140639578</v>
      </c>
      <c r="AO651" s="405" t="s">
        <v>536</v>
      </c>
      <c r="AP651" s="273"/>
      <c r="AQ651" s="273"/>
      <c r="AR651" s="273"/>
      <c r="AS651" s="273"/>
      <c r="AT651" s="273"/>
      <c r="AU651" s="273"/>
      <c r="AV651" s="322">
        <f t="shared" ref="AV651:AV663" si="32">SUM(AP651:AU651)</f>
        <v>0</v>
      </c>
      <c r="AW651" s="402"/>
      <c r="AX651" s="274"/>
      <c r="AY651" s="270"/>
      <c r="AZ651" s="156"/>
      <c r="BA651" s="156"/>
      <c r="BB651" s="156"/>
      <c r="BC651" s="156"/>
      <c r="BD651" s="353">
        <f t="shared" ref="BD651:BD663" si="33">SUM(AZ651:BC651)</f>
        <v>0</v>
      </c>
      <c r="BE651" s="432" t="s">
        <v>355</v>
      </c>
      <c r="BF651" s="407" t="s">
        <v>508</v>
      </c>
      <c r="BG651" s="168"/>
      <c r="BH651" s="274"/>
      <c r="BI651" s="168"/>
      <c r="BJ651" s="274"/>
      <c r="BK651" s="168"/>
      <c r="BL651" s="275"/>
      <c r="BM651" s="276"/>
      <c r="BN651" s="275"/>
      <c r="BO651" s="276"/>
      <c r="BP651" s="277"/>
      <c r="BQ651" s="156"/>
      <c r="BR651" s="274"/>
      <c r="BS651" s="270"/>
      <c r="BT651" s="270"/>
      <c r="BU651" s="274"/>
      <c r="BV651" s="274"/>
      <c r="BW651" s="278"/>
      <c r="BX651" s="278"/>
      <c r="BY651" s="278"/>
      <c r="BZ651" s="351"/>
    </row>
    <row r="652" spans="1:78" s="90" customFormat="1" ht="19.5" hidden="1" customHeight="1">
      <c r="A652" s="137"/>
      <c r="B652" s="197">
        <f t="shared" si="31"/>
        <v>642</v>
      </c>
      <c r="C652" s="30" t="s">
        <v>202</v>
      </c>
      <c r="D652" s="30" t="s">
        <v>359</v>
      </c>
      <c r="E652" s="234" t="s">
        <v>1213</v>
      </c>
      <c r="F652" s="235" t="s">
        <v>1229</v>
      </c>
      <c r="G652" s="475"/>
      <c r="H652" s="361" t="s">
        <v>4537</v>
      </c>
      <c r="I652" s="363">
        <v>1</v>
      </c>
      <c r="J652" s="364" t="s">
        <v>209</v>
      </c>
      <c r="K652" s="364" t="s">
        <v>247</v>
      </c>
      <c r="L652" s="365" t="s">
        <v>2075</v>
      </c>
      <c r="M652" s="362" t="s">
        <v>2076</v>
      </c>
      <c r="N652" s="421" t="s">
        <v>606</v>
      </c>
      <c r="O652" s="366" t="s">
        <v>265</v>
      </c>
      <c r="P652" s="269">
        <v>47.61</v>
      </c>
      <c r="Q652" s="426"/>
      <c r="R652" s="418" t="s">
        <v>1213</v>
      </c>
      <c r="S652" s="427" t="s">
        <v>613</v>
      </c>
      <c r="T652" s="357">
        <v>1</v>
      </c>
      <c r="U652" s="357" t="s">
        <v>204</v>
      </c>
      <c r="V652" s="367">
        <v>220000000</v>
      </c>
      <c r="W652" s="368">
        <v>220000000</v>
      </c>
      <c r="X652" s="357"/>
      <c r="Y652" s="357"/>
      <c r="Z652" s="400"/>
      <c r="AA652" s="369"/>
      <c r="AB652" s="370"/>
      <c r="AC652" s="404"/>
      <c r="AD652" s="270"/>
      <c r="AE652" s="156"/>
      <c r="AF652" s="156"/>
      <c r="AG652" s="357"/>
      <c r="AH652" s="357"/>
      <c r="AI652" s="357"/>
      <c r="AJ652" s="156"/>
      <c r="AK652" s="156"/>
      <c r="AL652" s="375"/>
      <c r="AM652" s="405"/>
      <c r="AN652" s="273"/>
      <c r="AO652" s="405"/>
      <c r="AP652" s="273"/>
      <c r="AQ652" s="273"/>
      <c r="AR652" s="273"/>
      <c r="AS652" s="273"/>
      <c r="AT652" s="273"/>
      <c r="AU652" s="273"/>
      <c r="AV652" s="322">
        <f t="shared" si="32"/>
        <v>0</v>
      </c>
      <c r="AW652" s="402"/>
      <c r="AX652" s="274"/>
      <c r="AY652" s="270"/>
      <c r="AZ652" s="156"/>
      <c r="BA652" s="156"/>
      <c r="BB652" s="156"/>
      <c r="BC652" s="156"/>
      <c r="BD652" s="353">
        <f t="shared" si="33"/>
        <v>0</v>
      </c>
      <c r="BE652" s="432" t="s">
        <v>355</v>
      </c>
      <c r="BF652" s="407" t="s">
        <v>497</v>
      </c>
      <c r="BG652" s="168"/>
      <c r="BH652" s="274"/>
      <c r="BI652" s="168"/>
      <c r="BJ652" s="274"/>
      <c r="BK652" s="168"/>
      <c r="BL652" s="275"/>
      <c r="BM652" s="276"/>
      <c r="BN652" s="275"/>
      <c r="BO652" s="276"/>
      <c r="BP652" s="277"/>
      <c r="BQ652" s="156"/>
      <c r="BR652" s="274"/>
      <c r="BS652" s="270"/>
      <c r="BT652" s="270"/>
      <c r="BU652" s="274"/>
      <c r="BV652" s="274"/>
      <c r="BW652" s="278"/>
      <c r="BX652" s="278"/>
      <c r="BY652" s="278"/>
      <c r="BZ652" s="351"/>
    </row>
    <row r="653" spans="1:78" s="90" customFormat="1" ht="19.5" hidden="1" customHeight="1">
      <c r="A653" s="137"/>
      <c r="B653" s="197">
        <f t="shared" si="31"/>
        <v>643</v>
      </c>
      <c r="C653" s="30" t="s">
        <v>202</v>
      </c>
      <c r="D653" s="30" t="s">
        <v>359</v>
      </c>
      <c r="E653" s="234" t="s">
        <v>7150</v>
      </c>
      <c r="F653" s="235" t="s">
        <v>1328</v>
      </c>
      <c r="G653" s="475"/>
      <c r="H653" s="361" t="s">
        <v>4672</v>
      </c>
      <c r="I653" s="363">
        <v>1</v>
      </c>
      <c r="J653" s="364" t="s">
        <v>224</v>
      </c>
      <c r="K653" s="364" t="s">
        <v>428</v>
      </c>
      <c r="L653" s="365" t="s">
        <v>2209</v>
      </c>
      <c r="M653" s="362" t="s">
        <v>3126</v>
      </c>
      <c r="N653" s="421" t="s">
        <v>620</v>
      </c>
      <c r="O653" s="269">
        <v>3615</v>
      </c>
      <c r="P653" s="269">
        <v>1252.02</v>
      </c>
      <c r="Q653" s="426"/>
      <c r="R653" s="418" t="s">
        <v>3201</v>
      </c>
      <c r="S653" s="427" t="s">
        <v>617</v>
      </c>
      <c r="T653" s="357">
        <v>1</v>
      </c>
      <c r="U653" s="357" t="s">
        <v>204</v>
      </c>
      <c r="V653" s="367">
        <v>10800000000</v>
      </c>
      <c r="W653" s="368">
        <v>10800000000</v>
      </c>
      <c r="X653" s="357"/>
      <c r="Y653" s="357"/>
      <c r="Z653" s="400"/>
      <c r="AA653" s="369"/>
      <c r="AB653" s="370"/>
      <c r="AC653" s="404"/>
      <c r="AD653" s="270"/>
      <c r="AE653" s="156"/>
      <c r="AF653" s="156"/>
      <c r="AG653" s="357"/>
      <c r="AH653" s="357"/>
      <c r="AI653" s="357"/>
      <c r="AJ653" s="156"/>
      <c r="AK653" s="156"/>
      <c r="AL653" s="375"/>
      <c r="AM653" s="405"/>
      <c r="AN653" s="273"/>
      <c r="AO653" s="405"/>
      <c r="AP653" s="273"/>
      <c r="AQ653" s="273"/>
      <c r="AR653" s="273"/>
      <c r="AS653" s="273"/>
      <c r="AT653" s="273"/>
      <c r="AU653" s="273"/>
      <c r="AV653" s="322">
        <f t="shared" si="32"/>
        <v>0</v>
      </c>
      <c r="AW653" s="402"/>
      <c r="AX653" s="376"/>
      <c r="AY653" s="373"/>
      <c r="AZ653" s="375"/>
      <c r="BA653" s="375"/>
      <c r="BB653" s="156"/>
      <c r="BC653" s="156"/>
      <c r="BD653" s="353">
        <f t="shared" si="33"/>
        <v>0</v>
      </c>
      <c r="BE653" s="432" t="s">
        <v>355</v>
      </c>
      <c r="BF653" s="407" t="s">
        <v>512</v>
      </c>
      <c r="BG653" s="168"/>
      <c r="BH653" s="274"/>
      <c r="BI653" s="168"/>
      <c r="BJ653" s="274"/>
      <c r="BK653" s="168"/>
      <c r="BL653" s="275"/>
      <c r="BM653" s="276"/>
      <c r="BN653" s="275"/>
      <c r="BO653" s="276"/>
      <c r="BP653" s="277"/>
      <c r="BQ653" s="156"/>
      <c r="BR653" s="274"/>
      <c r="BS653" s="270"/>
      <c r="BT653" s="270"/>
      <c r="BU653" s="274"/>
      <c r="BV653" s="274"/>
      <c r="BW653" s="278"/>
      <c r="BX653" s="278"/>
      <c r="BY653" s="278"/>
      <c r="BZ653" s="351"/>
    </row>
    <row r="654" spans="1:78" s="90" customFormat="1" ht="19.5" hidden="1" customHeight="1">
      <c r="A654" s="137"/>
      <c r="B654" s="197">
        <f t="shared" si="31"/>
        <v>644</v>
      </c>
      <c r="C654" s="30" t="s">
        <v>202</v>
      </c>
      <c r="D654" s="30" t="s">
        <v>359</v>
      </c>
      <c r="E654" s="234" t="s">
        <v>7151</v>
      </c>
      <c r="F654" s="235" t="s">
        <v>1337</v>
      </c>
      <c r="G654" s="475"/>
      <c r="H654" s="361" t="s">
        <v>5350</v>
      </c>
      <c r="I654" s="363">
        <v>1</v>
      </c>
      <c r="J654" s="364" t="s">
        <v>215</v>
      </c>
      <c r="K654" s="364" t="s">
        <v>337</v>
      </c>
      <c r="L654" s="365" t="s">
        <v>2828</v>
      </c>
      <c r="M654" s="362" t="s">
        <v>3179</v>
      </c>
      <c r="N654" s="421" t="s">
        <v>285</v>
      </c>
      <c r="O654" s="269">
        <v>1661.9</v>
      </c>
      <c r="P654" s="269">
        <v>871.8</v>
      </c>
      <c r="Q654" s="426"/>
      <c r="R654" s="418" t="s">
        <v>3201</v>
      </c>
      <c r="S654" s="427" t="s">
        <v>617</v>
      </c>
      <c r="T654" s="357">
        <v>1</v>
      </c>
      <c r="U654" s="357" t="s">
        <v>204</v>
      </c>
      <c r="V654" s="367">
        <v>3360000000</v>
      </c>
      <c r="W654" s="368">
        <v>3360000000</v>
      </c>
      <c r="X654" s="357"/>
      <c r="Y654" s="357"/>
      <c r="Z654" s="400"/>
      <c r="AA654" s="369"/>
      <c r="AB654" s="370"/>
      <c r="AC654" s="404"/>
      <c r="AD654" s="270"/>
      <c r="AE654" s="156"/>
      <c r="AF654" s="156"/>
      <c r="AG654" s="357"/>
      <c r="AH654" s="357"/>
      <c r="AI654" s="357"/>
      <c r="AJ654" s="156"/>
      <c r="AK654" s="156"/>
      <c r="AL654" s="375"/>
      <c r="AM654" s="405"/>
      <c r="AN654" s="273"/>
      <c r="AO654" s="405"/>
      <c r="AP654" s="273"/>
      <c r="AQ654" s="273"/>
      <c r="AR654" s="273"/>
      <c r="AS654" s="273"/>
      <c r="AT654" s="273"/>
      <c r="AU654" s="273"/>
      <c r="AV654" s="322">
        <f t="shared" si="32"/>
        <v>0</v>
      </c>
      <c r="AW654" s="402"/>
      <c r="AX654" s="376"/>
      <c r="AY654" s="373"/>
      <c r="AZ654" s="375"/>
      <c r="BA654" s="375"/>
      <c r="BB654" s="375"/>
      <c r="BC654" s="375"/>
      <c r="BD654" s="353">
        <f t="shared" si="33"/>
        <v>0</v>
      </c>
      <c r="BE654" s="432" t="s">
        <v>355</v>
      </c>
      <c r="BF654" s="407" t="s">
        <v>515</v>
      </c>
      <c r="BG654" s="168"/>
      <c r="BH654" s="274"/>
      <c r="BI654" s="168"/>
      <c r="BJ654" s="274"/>
      <c r="BK654" s="168"/>
      <c r="BL654" s="275"/>
      <c r="BM654" s="276"/>
      <c r="BN654" s="275"/>
      <c r="BO654" s="276"/>
      <c r="BP654" s="277"/>
      <c r="BQ654" s="156"/>
      <c r="BR654" s="274"/>
      <c r="BS654" s="270"/>
      <c r="BT654" s="270"/>
      <c r="BU654" s="274"/>
      <c r="BV654" s="274"/>
      <c r="BW654" s="278"/>
      <c r="BX654" s="278"/>
      <c r="BY654" s="278"/>
      <c r="BZ654" s="351"/>
    </row>
    <row r="655" spans="1:78" s="90" customFormat="1" ht="19.5" hidden="1" customHeight="1">
      <c r="A655" s="137"/>
      <c r="B655" s="197">
        <f t="shared" si="31"/>
        <v>645</v>
      </c>
      <c r="C655" s="30" t="s">
        <v>202</v>
      </c>
      <c r="D655" s="30" t="s">
        <v>359</v>
      </c>
      <c r="E655" s="234" t="s">
        <v>7151</v>
      </c>
      <c r="F655" s="235" t="s">
        <v>1337</v>
      </c>
      <c r="G655" s="475"/>
      <c r="H655" s="361" t="s">
        <v>5353</v>
      </c>
      <c r="I655" s="363">
        <v>2</v>
      </c>
      <c r="J655" s="364" t="s">
        <v>215</v>
      </c>
      <c r="K655" s="364" t="s">
        <v>311</v>
      </c>
      <c r="L655" s="365" t="s">
        <v>570</v>
      </c>
      <c r="M655" s="362" t="s">
        <v>2832</v>
      </c>
      <c r="N655" s="421" t="s">
        <v>207</v>
      </c>
      <c r="O655" s="269">
        <v>44.1828</v>
      </c>
      <c r="P655" s="269">
        <v>107.9</v>
      </c>
      <c r="Q655" s="426"/>
      <c r="R655" s="418" t="s">
        <v>3407</v>
      </c>
      <c r="S655" s="427" t="s">
        <v>613</v>
      </c>
      <c r="T655" s="357">
        <v>4</v>
      </c>
      <c r="U655" s="357" t="s">
        <v>204</v>
      </c>
      <c r="V655" s="367">
        <v>58800000</v>
      </c>
      <c r="W655" s="368">
        <v>58800000</v>
      </c>
      <c r="X655" s="357"/>
      <c r="Y655" s="357"/>
      <c r="Z655" s="400"/>
      <c r="AA655" s="369"/>
      <c r="AB655" s="370"/>
      <c r="AC655" s="404" t="s">
        <v>233</v>
      </c>
      <c r="AD655" s="270" t="s">
        <v>204</v>
      </c>
      <c r="AE655" s="156">
        <v>820500000</v>
      </c>
      <c r="AF655" s="156">
        <v>820500000</v>
      </c>
      <c r="AG655" s="357"/>
      <c r="AH655" s="357"/>
      <c r="AI655" s="357"/>
      <c r="AJ655" s="156"/>
      <c r="AK655" s="156"/>
      <c r="AL655" s="375"/>
      <c r="AM655" s="405"/>
      <c r="AN655" s="273"/>
      <c r="AO655" s="405"/>
      <c r="AP655" s="273"/>
      <c r="AQ655" s="273"/>
      <c r="AR655" s="273"/>
      <c r="AS655" s="273"/>
      <c r="AT655" s="273"/>
      <c r="AU655" s="273"/>
      <c r="AV655" s="322">
        <f t="shared" si="32"/>
        <v>0</v>
      </c>
      <c r="AW655" s="402" t="s">
        <v>3387</v>
      </c>
      <c r="AX655" s="376">
        <v>45765</v>
      </c>
      <c r="AY655" s="373" t="s">
        <v>3388</v>
      </c>
      <c r="AZ655" s="375"/>
      <c r="BA655" s="375">
        <v>495000000</v>
      </c>
      <c r="BB655" s="156"/>
      <c r="BC655" s="156"/>
      <c r="BD655" s="353">
        <f t="shared" si="33"/>
        <v>495000000</v>
      </c>
      <c r="BE655" s="432" t="s">
        <v>355</v>
      </c>
      <c r="BF655" s="407" t="s">
        <v>515</v>
      </c>
      <c r="BG655" s="168"/>
      <c r="BH655" s="274"/>
      <c r="BI655" s="168"/>
      <c r="BJ655" s="274"/>
      <c r="BK655" s="168"/>
      <c r="BL655" s="275"/>
      <c r="BM655" s="276"/>
      <c r="BN655" s="275"/>
      <c r="BO655" s="276"/>
      <c r="BP655" s="277"/>
      <c r="BQ655" s="156"/>
      <c r="BR655" s="274"/>
      <c r="BS655" s="270"/>
      <c r="BT655" s="270"/>
      <c r="BU655" s="274"/>
      <c r="BV655" s="274"/>
      <c r="BW655" s="278"/>
      <c r="BX655" s="278"/>
      <c r="BY655" s="278"/>
      <c r="BZ655" s="351"/>
    </row>
    <row r="656" spans="1:78" s="90" customFormat="1" ht="19.5" hidden="1" customHeight="1">
      <c r="A656" s="137"/>
      <c r="B656" s="197">
        <f t="shared" si="31"/>
        <v>646</v>
      </c>
      <c r="C656" s="30" t="s">
        <v>202</v>
      </c>
      <c r="D656" s="30" t="s">
        <v>359</v>
      </c>
      <c r="E656" s="234" t="s">
        <v>7152</v>
      </c>
      <c r="F656" s="235" t="s">
        <v>1345</v>
      </c>
      <c r="G656" s="475"/>
      <c r="H656" s="361" t="s">
        <v>4589</v>
      </c>
      <c r="I656" s="363">
        <v>1</v>
      </c>
      <c r="J656" s="364" t="s">
        <v>217</v>
      </c>
      <c r="K656" s="364" t="s">
        <v>336</v>
      </c>
      <c r="L656" s="365" t="s">
        <v>1604</v>
      </c>
      <c r="M656" s="362" t="s">
        <v>2127</v>
      </c>
      <c r="N656" s="421" t="s">
        <v>362</v>
      </c>
      <c r="O656" s="269">
        <v>26.85</v>
      </c>
      <c r="P656" s="269">
        <v>116.54</v>
      </c>
      <c r="Q656" s="426"/>
      <c r="R656" s="418" t="s">
        <v>953</v>
      </c>
      <c r="S656" s="427" t="s">
        <v>613</v>
      </c>
      <c r="T656" s="357">
        <v>1</v>
      </c>
      <c r="U656" s="357" t="s">
        <v>204</v>
      </c>
      <c r="V656" s="367">
        <v>240000000</v>
      </c>
      <c r="W656" s="368">
        <v>240000000</v>
      </c>
      <c r="X656" s="357"/>
      <c r="Y656" s="357"/>
      <c r="Z656" s="400"/>
      <c r="AA656" s="369"/>
      <c r="AB656" s="370"/>
      <c r="AC656" s="404"/>
      <c r="AD656" s="270"/>
      <c r="AE656" s="156"/>
      <c r="AF656" s="156"/>
      <c r="AG656" s="357"/>
      <c r="AH656" s="357"/>
      <c r="AI656" s="357"/>
      <c r="AJ656" s="156"/>
      <c r="AK656" s="156"/>
      <c r="AL656" s="375"/>
      <c r="AM656" s="405"/>
      <c r="AN656" s="273"/>
      <c r="AO656" s="405"/>
      <c r="AP656" s="273"/>
      <c r="AQ656" s="273"/>
      <c r="AR656" s="273"/>
      <c r="AS656" s="273"/>
      <c r="AT656" s="273"/>
      <c r="AU656" s="273"/>
      <c r="AV656" s="322">
        <f t="shared" si="32"/>
        <v>0</v>
      </c>
      <c r="AW656" s="402"/>
      <c r="AX656" s="376"/>
      <c r="AY656" s="373"/>
      <c r="AZ656" s="375"/>
      <c r="BA656" s="375"/>
      <c r="BB656" s="156"/>
      <c r="BC656" s="156"/>
      <c r="BD656" s="353">
        <f t="shared" si="33"/>
        <v>0</v>
      </c>
      <c r="BE656" s="432" t="s">
        <v>355</v>
      </c>
      <c r="BF656" s="407" t="s">
        <v>518</v>
      </c>
      <c r="BG656" s="168"/>
      <c r="BH656" s="274"/>
      <c r="BI656" s="168"/>
      <c r="BJ656" s="274"/>
      <c r="BK656" s="168"/>
      <c r="BL656" s="275"/>
      <c r="BM656" s="276"/>
      <c r="BN656" s="275"/>
      <c r="BO656" s="276"/>
      <c r="BP656" s="277"/>
      <c r="BQ656" s="156"/>
      <c r="BR656" s="274"/>
      <c r="BS656" s="270"/>
      <c r="BT656" s="270"/>
      <c r="BU656" s="274"/>
      <c r="BV656" s="274"/>
      <c r="BW656" s="278"/>
      <c r="BX656" s="278"/>
      <c r="BY656" s="278"/>
      <c r="BZ656" s="351"/>
    </row>
    <row r="657" spans="1:78" s="90" customFormat="1" ht="19.5" hidden="1" customHeight="1">
      <c r="A657" s="137"/>
      <c r="B657" s="197">
        <f t="shared" si="31"/>
        <v>647</v>
      </c>
      <c r="C657" s="30" t="s">
        <v>202</v>
      </c>
      <c r="D657" s="30" t="s">
        <v>359</v>
      </c>
      <c r="E657" s="234" t="s">
        <v>7152</v>
      </c>
      <c r="F657" s="235" t="s">
        <v>1345</v>
      </c>
      <c r="G657" s="475"/>
      <c r="H657" s="361" t="s">
        <v>4591</v>
      </c>
      <c r="I657" s="363">
        <v>2</v>
      </c>
      <c r="J657" s="364" t="s">
        <v>222</v>
      </c>
      <c r="K657" s="364" t="s">
        <v>232</v>
      </c>
      <c r="L657" s="365" t="s">
        <v>2129</v>
      </c>
      <c r="M657" s="362" t="s">
        <v>2130</v>
      </c>
      <c r="N657" s="421" t="s">
        <v>207</v>
      </c>
      <c r="O657" s="269">
        <v>41.654000000000003</v>
      </c>
      <c r="P657" s="269">
        <v>84.75</v>
      </c>
      <c r="Q657" s="426"/>
      <c r="R657" s="418" t="s">
        <v>3461</v>
      </c>
      <c r="S657" s="427" t="s">
        <v>613</v>
      </c>
      <c r="T657" s="357">
        <v>3</v>
      </c>
      <c r="U657" s="357" t="s">
        <v>204</v>
      </c>
      <c r="V657" s="367">
        <v>240000000</v>
      </c>
      <c r="W657" s="368">
        <v>240000000</v>
      </c>
      <c r="X657" s="357"/>
      <c r="Y657" s="357"/>
      <c r="Z657" s="400"/>
      <c r="AA657" s="369"/>
      <c r="AB657" s="370"/>
      <c r="AC657" s="404" t="s">
        <v>229</v>
      </c>
      <c r="AD657" s="270" t="s">
        <v>204</v>
      </c>
      <c r="AE657" s="156">
        <v>106000000</v>
      </c>
      <c r="AF657" s="156">
        <v>106000000</v>
      </c>
      <c r="AG657" s="357"/>
      <c r="AH657" s="357"/>
      <c r="AI657" s="357"/>
      <c r="AJ657" s="156"/>
      <c r="AK657" s="156"/>
      <c r="AL657" s="375"/>
      <c r="AM657" s="405"/>
      <c r="AN657" s="273"/>
      <c r="AO657" s="405"/>
      <c r="AP657" s="273"/>
      <c r="AQ657" s="273"/>
      <c r="AR657" s="273"/>
      <c r="AS657" s="273"/>
      <c r="AT657" s="273"/>
      <c r="AU657" s="273"/>
      <c r="AV657" s="322">
        <f t="shared" si="32"/>
        <v>0</v>
      </c>
      <c r="AW657" s="402" t="s">
        <v>3387</v>
      </c>
      <c r="AX657" s="274">
        <v>45765</v>
      </c>
      <c r="AY657" s="270" t="s">
        <v>3388</v>
      </c>
      <c r="AZ657" s="156"/>
      <c r="BA657" s="156">
        <v>270000000</v>
      </c>
      <c r="BB657" s="156"/>
      <c r="BC657" s="156"/>
      <c r="BD657" s="353">
        <f t="shared" si="33"/>
        <v>270000000</v>
      </c>
      <c r="BE657" s="432" t="s">
        <v>335</v>
      </c>
      <c r="BF657" s="407" t="s">
        <v>494</v>
      </c>
      <c r="BG657" s="168" t="s">
        <v>3370</v>
      </c>
      <c r="BH657" s="274">
        <v>45742</v>
      </c>
      <c r="BI657" s="168" t="s">
        <v>3235</v>
      </c>
      <c r="BJ657" s="274">
        <v>45807</v>
      </c>
      <c r="BK657" s="168">
        <v>24701299</v>
      </c>
      <c r="BL657" s="275" t="s">
        <v>1373</v>
      </c>
      <c r="BM657" s="276">
        <v>45747</v>
      </c>
      <c r="BN657" s="275" t="s">
        <v>3355</v>
      </c>
      <c r="BO657" s="276"/>
      <c r="BP657" s="277">
        <v>201228273</v>
      </c>
      <c r="BQ657" s="156"/>
      <c r="BR657" s="274"/>
      <c r="BS657" s="270"/>
      <c r="BT657" s="270"/>
      <c r="BU657" s="274"/>
      <c r="BV657" s="274"/>
      <c r="BW657" s="278"/>
      <c r="BX657" s="278"/>
      <c r="BY657" s="278"/>
      <c r="BZ657" s="351"/>
    </row>
    <row r="658" spans="1:78" s="90" customFormat="1" ht="19.5" hidden="1" customHeight="1">
      <c r="A658" s="137"/>
      <c r="B658" s="197">
        <f t="shared" si="31"/>
        <v>648</v>
      </c>
      <c r="C658" s="30" t="s">
        <v>202</v>
      </c>
      <c r="D658" s="30" t="s">
        <v>359</v>
      </c>
      <c r="E658" s="234" t="s">
        <v>7153</v>
      </c>
      <c r="F658" s="235" t="s">
        <v>1351</v>
      </c>
      <c r="G658" s="475"/>
      <c r="H658" s="361" t="s">
        <v>4936</v>
      </c>
      <c r="I658" s="363">
        <v>1</v>
      </c>
      <c r="J658" s="364" t="s">
        <v>208</v>
      </c>
      <c r="K658" s="364" t="s">
        <v>2188</v>
      </c>
      <c r="L658" s="365" t="s">
        <v>2457</v>
      </c>
      <c r="M658" s="362" t="s">
        <v>2458</v>
      </c>
      <c r="N658" s="421" t="s">
        <v>606</v>
      </c>
      <c r="O658" s="269">
        <v>26.39</v>
      </c>
      <c r="P658" s="269">
        <v>41.145000000000003</v>
      </c>
      <c r="Q658" s="426"/>
      <c r="R658" s="418" t="s">
        <v>3365</v>
      </c>
      <c r="S658" s="427" t="s">
        <v>613</v>
      </c>
      <c r="T658" s="357" t="s">
        <v>229</v>
      </c>
      <c r="U658" s="357" t="s">
        <v>204</v>
      </c>
      <c r="V658" s="367">
        <v>444000000</v>
      </c>
      <c r="W658" s="368">
        <v>444000000</v>
      </c>
      <c r="X658" s="357">
        <v>2</v>
      </c>
      <c r="Y658" s="357">
        <v>2</v>
      </c>
      <c r="Z658" s="400" t="s">
        <v>3206</v>
      </c>
      <c r="AA658" s="369">
        <v>360000000</v>
      </c>
      <c r="AB658" s="370">
        <v>360000000</v>
      </c>
      <c r="AC658" s="404"/>
      <c r="AD658" s="270"/>
      <c r="AE658" s="156"/>
      <c r="AF658" s="156"/>
      <c r="AG658" s="357"/>
      <c r="AH658" s="357"/>
      <c r="AI658" s="357"/>
      <c r="AJ658" s="156"/>
      <c r="AK658" s="156"/>
      <c r="AL658" s="375"/>
      <c r="AM658" s="405"/>
      <c r="AN658" s="273"/>
      <c r="AO658" s="405"/>
      <c r="AP658" s="273"/>
      <c r="AQ658" s="273"/>
      <c r="AR658" s="273"/>
      <c r="AS658" s="273"/>
      <c r="AT658" s="273"/>
      <c r="AU658" s="273"/>
      <c r="AV658" s="322">
        <f t="shared" si="32"/>
        <v>0</v>
      </c>
      <c r="AW658" s="402"/>
      <c r="AX658" s="274"/>
      <c r="AY658" s="270"/>
      <c r="AZ658" s="156"/>
      <c r="BA658" s="156"/>
      <c r="BB658" s="156"/>
      <c r="BC658" s="156"/>
      <c r="BD658" s="353">
        <f t="shared" si="33"/>
        <v>0</v>
      </c>
      <c r="BE658" s="432" t="s">
        <v>335</v>
      </c>
      <c r="BF658" s="407" t="s">
        <v>501</v>
      </c>
      <c r="BG658" s="168" t="s">
        <v>1373</v>
      </c>
      <c r="BH658" s="274">
        <v>45638</v>
      </c>
      <c r="BI658" s="168" t="s">
        <v>3321</v>
      </c>
      <c r="BJ658" s="274">
        <v>45705</v>
      </c>
      <c r="BK658" s="168">
        <v>345706812</v>
      </c>
      <c r="BL658" s="275"/>
      <c r="BM658" s="276"/>
      <c r="BN658" s="275"/>
      <c r="BO658" s="276"/>
      <c r="BP658" s="277"/>
      <c r="BQ658" s="156"/>
      <c r="BR658" s="274"/>
      <c r="BS658" s="270"/>
      <c r="BT658" s="270"/>
      <c r="BU658" s="274"/>
      <c r="BV658" s="274"/>
      <c r="BW658" s="278"/>
      <c r="BX658" s="278"/>
      <c r="BY658" s="278"/>
      <c r="BZ658" s="351"/>
    </row>
    <row r="659" spans="1:78" s="90" customFormat="1" ht="19.5" hidden="1" customHeight="1">
      <c r="A659" s="137"/>
      <c r="B659" s="197">
        <f t="shared" si="31"/>
        <v>649</v>
      </c>
      <c r="C659" s="30" t="s">
        <v>202</v>
      </c>
      <c r="D659" s="30" t="s">
        <v>359</v>
      </c>
      <c r="E659" s="234" t="s">
        <v>7153</v>
      </c>
      <c r="F659" s="235" t="s">
        <v>1351</v>
      </c>
      <c r="G659" s="475"/>
      <c r="H659" s="361" t="s">
        <v>4938</v>
      </c>
      <c r="I659" s="363">
        <v>2</v>
      </c>
      <c r="J659" s="364" t="s">
        <v>213</v>
      </c>
      <c r="K659" s="364" t="s">
        <v>371</v>
      </c>
      <c r="L659" s="365" t="s">
        <v>2459</v>
      </c>
      <c r="M659" s="362" t="s">
        <v>2460</v>
      </c>
      <c r="N659" s="421" t="s">
        <v>207</v>
      </c>
      <c r="O659" s="269">
        <v>36.49</v>
      </c>
      <c r="P659" s="269">
        <v>62.48</v>
      </c>
      <c r="Q659" s="426"/>
      <c r="R659" s="418" t="s">
        <v>3365</v>
      </c>
      <c r="S659" s="427" t="s">
        <v>613</v>
      </c>
      <c r="T659" s="357" t="s">
        <v>3840</v>
      </c>
      <c r="U659" s="357" t="s">
        <v>204</v>
      </c>
      <c r="V659" s="443">
        <v>564000000</v>
      </c>
      <c r="W659" s="156">
        <v>564000000</v>
      </c>
      <c r="X659" s="357">
        <v>1</v>
      </c>
      <c r="Y659" s="357">
        <v>2</v>
      </c>
      <c r="Z659" s="400" t="s">
        <v>3206</v>
      </c>
      <c r="AA659" s="369">
        <v>360000000</v>
      </c>
      <c r="AB659" s="370">
        <v>360000000</v>
      </c>
      <c r="AC659" s="404"/>
      <c r="AD659" s="270"/>
      <c r="AE659" s="156"/>
      <c r="AF659" s="156"/>
      <c r="AG659" s="357"/>
      <c r="AH659" s="357"/>
      <c r="AI659" s="357"/>
      <c r="AJ659" s="156"/>
      <c r="AK659" s="156"/>
      <c r="AL659" s="375"/>
      <c r="AM659" s="405"/>
      <c r="AN659" s="273"/>
      <c r="AO659" s="405"/>
      <c r="AP659" s="273"/>
      <c r="AQ659" s="273"/>
      <c r="AR659" s="273"/>
      <c r="AS659" s="273"/>
      <c r="AT659" s="273"/>
      <c r="AU659" s="273"/>
      <c r="AV659" s="322">
        <f t="shared" si="32"/>
        <v>0</v>
      </c>
      <c r="AW659" s="402" t="s">
        <v>3387</v>
      </c>
      <c r="AX659" s="274">
        <v>45765</v>
      </c>
      <c r="AY659" s="270" t="s">
        <v>3388</v>
      </c>
      <c r="AZ659" s="156"/>
      <c r="BA659" s="156">
        <v>255000000</v>
      </c>
      <c r="BB659" s="156"/>
      <c r="BC659" s="156"/>
      <c r="BD659" s="353">
        <f t="shared" si="33"/>
        <v>255000000</v>
      </c>
      <c r="BE659" s="432" t="s">
        <v>335</v>
      </c>
      <c r="BF659" s="407" t="s">
        <v>505</v>
      </c>
      <c r="BG659" s="168" t="s">
        <v>1373</v>
      </c>
      <c r="BH659" s="274">
        <v>45639</v>
      </c>
      <c r="BI659" s="168" t="s">
        <v>3322</v>
      </c>
      <c r="BJ659" s="274">
        <v>45722</v>
      </c>
      <c r="BK659" s="168">
        <v>464525881</v>
      </c>
      <c r="BL659" s="275"/>
      <c r="BM659" s="276"/>
      <c r="BN659" s="275"/>
      <c r="BO659" s="276"/>
      <c r="BP659" s="277"/>
      <c r="BQ659" s="156"/>
      <c r="BR659" s="274"/>
      <c r="BS659" s="270"/>
      <c r="BT659" s="270"/>
      <c r="BU659" s="274"/>
      <c r="BV659" s="274"/>
      <c r="BW659" s="278"/>
      <c r="BX659" s="278"/>
      <c r="BY659" s="278"/>
      <c r="BZ659" s="351"/>
    </row>
    <row r="660" spans="1:78" s="90" customFormat="1" ht="19.5" hidden="1" customHeight="1">
      <c r="A660" s="137"/>
      <c r="B660" s="197">
        <f t="shared" si="31"/>
        <v>650</v>
      </c>
      <c r="C660" s="30" t="s">
        <v>202</v>
      </c>
      <c r="D660" s="30" t="s">
        <v>359</v>
      </c>
      <c r="E660" s="234" t="s">
        <v>7154</v>
      </c>
      <c r="F660" s="235" t="s">
        <v>1355</v>
      </c>
      <c r="G660" s="475"/>
      <c r="H660" s="361" t="s">
        <v>4882</v>
      </c>
      <c r="I660" s="363">
        <v>1</v>
      </c>
      <c r="J660" s="364" t="s">
        <v>209</v>
      </c>
      <c r="K660" s="364" t="s">
        <v>247</v>
      </c>
      <c r="L660" s="365" t="s">
        <v>558</v>
      </c>
      <c r="M660" s="362" t="s">
        <v>2405</v>
      </c>
      <c r="N660" s="421" t="s">
        <v>207</v>
      </c>
      <c r="O660" s="269">
        <v>26.2</v>
      </c>
      <c r="P660" s="269">
        <v>84.96</v>
      </c>
      <c r="Q660" s="426"/>
      <c r="R660" s="418" t="s">
        <v>3472</v>
      </c>
      <c r="S660" s="427" t="s">
        <v>613</v>
      </c>
      <c r="T660" s="357">
        <v>3</v>
      </c>
      <c r="U660" s="357" t="s">
        <v>204</v>
      </c>
      <c r="V660" s="367">
        <v>528000000</v>
      </c>
      <c r="W660" s="368">
        <v>528000000</v>
      </c>
      <c r="X660" s="357"/>
      <c r="Y660" s="357"/>
      <c r="Z660" s="400"/>
      <c r="AA660" s="369"/>
      <c r="AB660" s="370"/>
      <c r="AC660" s="404" t="s">
        <v>229</v>
      </c>
      <c r="AD660" s="270" t="s">
        <v>204</v>
      </c>
      <c r="AE660" s="156">
        <v>374000000</v>
      </c>
      <c r="AF660" s="156">
        <v>374000000</v>
      </c>
      <c r="AG660" s="357"/>
      <c r="AH660" s="357"/>
      <c r="AI660" s="357"/>
      <c r="AJ660" s="156"/>
      <c r="AK660" s="156"/>
      <c r="AL660" s="375"/>
      <c r="AM660" s="405"/>
      <c r="AN660" s="273"/>
      <c r="AO660" s="405"/>
      <c r="AP660" s="273"/>
      <c r="AQ660" s="273"/>
      <c r="AR660" s="273"/>
      <c r="AS660" s="273"/>
      <c r="AT660" s="273"/>
      <c r="AU660" s="273"/>
      <c r="AV660" s="322">
        <f t="shared" si="32"/>
        <v>0</v>
      </c>
      <c r="AW660" s="402" t="s">
        <v>3387</v>
      </c>
      <c r="AX660" s="274">
        <v>45765</v>
      </c>
      <c r="AY660" s="270" t="s">
        <v>3388</v>
      </c>
      <c r="AZ660" s="156"/>
      <c r="BA660" s="156">
        <v>1220000000</v>
      </c>
      <c r="BB660" s="156"/>
      <c r="BC660" s="156"/>
      <c r="BD660" s="353">
        <f t="shared" si="33"/>
        <v>1220000000</v>
      </c>
      <c r="BE660" s="432" t="s">
        <v>335</v>
      </c>
      <c r="BF660" s="407" t="s">
        <v>497</v>
      </c>
      <c r="BG660" s="168" t="s">
        <v>1373</v>
      </c>
      <c r="BH660" s="274">
        <v>45715</v>
      </c>
      <c r="BI660" s="168" t="s">
        <v>3257</v>
      </c>
      <c r="BJ660" s="274">
        <v>45792</v>
      </c>
      <c r="BK660" s="168">
        <v>448698969</v>
      </c>
      <c r="BL660" s="275"/>
      <c r="BM660" s="276"/>
      <c r="BN660" s="275"/>
      <c r="BO660" s="276"/>
      <c r="BP660" s="277"/>
      <c r="BQ660" s="156"/>
      <c r="BR660" s="274"/>
      <c r="BS660" s="270"/>
      <c r="BT660" s="270"/>
      <c r="BU660" s="274"/>
      <c r="BV660" s="274"/>
      <c r="BW660" s="278"/>
      <c r="BX660" s="278"/>
      <c r="BY660" s="278"/>
      <c r="BZ660" s="351"/>
    </row>
    <row r="661" spans="1:78" s="90" customFormat="1" ht="19.5" hidden="1" customHeight="1">
      <c r="A661" s="137"/>
      <c r="B661" s="197">
        <f t="shared" si="31"/>
        <v>651</v>
      </c>
      <c r="C661" s="30" t="s">
        <v>201</v>
      </c>
      <c r="D661" s="30" t="s">
        <v>225</v>
      </c>
      <c r="E661" s="234" t="s">
        <v>1214</v>
      </c>
      <c r="F661" s="235" t="s">
        <v>1366</v>
      </c>
      <c r="G661" s="475"/>
      <c r="H661" s="361" t="s">
        <v>5283</v>
      </c>
      <c r="I661" s="363">
        <v>1</v>
      </c>
      <c r="J661" s="364" t="s">
        <v>208</v>
      </c>
      <c r="K661" s="364" t="s">
        <v>324</v>
      </c>
      <c r="L661" s="365" t="s">
        <v>2770</v>
      </c>
      <c r="M661" s="362" t="s">
        <v>3172</v>
      </c>
      <c r="N661" s="421" t="s">
        <v>595</v>
      </c>
      <c r="O661" s="269">
        <v>26289</v>
      </c>
      <c r="P661" s="269">
        <v>38853.440000000002</v>
      </c>
      <c r="Q661" s="426"/>
      <c r="R661" s="418" t="s">
        <v>3633</v>
      </c>
      <c r="S661" s="427" t="s">
        <v>613</v>
      </c>
      <c r="T661" s="357" t="s">
        <v>418</v>
      </c>
      <c r="U661" s="357" t="s">
        <v>204</v>
      </c>
      <c r="V661" s="367">
        <v>23520000000</v>
      </c>
      <c r="W661" s="368">
        <v>23520000000</v>
      </c>
      <c r="X661" s="357"/>
      <c r="Y661" s="357"/>
      <c r="Z661" s="400"/>
      <c r="AA661" s="369"/>
      <c r="AB661" s="370"/>
      <c r="AC661" s="404" t="s">
        <v>418</v>
      </c>
      <c r="AD661" s="270" t="s">
        <v>204</v>
      </c>
      <c r="AE661" s="156">
        <v>48000000000</v>
      </c>
      <c r="AF661" s="156">
        <v>48000000000</v>
      </c>
      <c r="AG661" s="357"/>
      <c r="AH661" s="357"/>
      <c r="AI661" s="357"/>
      <c r="AJ661" s="156"/>
      <c r="AK661" s="156"/>
      <c r="AL661" s="375"/>
      <c r="AM661" s="405"/>
      <c r="AN661" s="273"/>
      <c r="AO661" s="405"/>
      <c r="AP661" s="273"/>
      <c r="AQ661" s="273"/>
      <c r="AR661" s="273"/>
      <c r="AS661" s="273"/>
      <c r="AT661" s="273"/>
      <c r="AU661" s="273"/>
      <c r="AV661" s="322">
        <f t="shared" si="32"/>
        <v>0</v>
      </c>
      <c r="AW661" s="402"/>
      <c r="AX661" s="274"/>
      <c r="AY661" s="270"/>
      <c r="AZ661" s="156"/>
      <c r="BA661" s="156"/>
      <c r="BB661" s="156"/>
      <c r="BC661" s="156"/>
      <c r="BD661" s="353">
        <f t="shared" si="33"/>
        <v>0</v>
      </c>
      <c r="BE661" s="432" t="s">
        <v>355</v>
      </c>
      <c r="BF661" s="407" t="s">
        <v>424</v>
      </c>
      <c r="BG661" s="168"/>
      <c r="BH661" s="274"/>
      <c r="BI661" s="168"/>
      <c r="BJ661" s="274"/>
      <c r="BK661" s="168"/>
      <c r="BL661" s="275"/>
      <c r="BM661" s="276"/>
      <c r="BN661" s="275"/>
      <c r="BO661" s="276"/>
      <c r="BP661" s="277"/>
      <c r="BQ661" s="156"/>
      <c r="BR661" s="274"/>
      <c r="BS661" s="270"/>
      <c r="BT661" s="270"/>
      <c r="BU661" s="274"/>
      <c r="BV661" s="274"/>
      <c r="BW661" s="278"/>
      <c r="BX661" s="278"/>
      <c r="BY661" s="278"/>
      <c r="BZ661" s="351"/>
    </row>
    <row r="662" spans="1:78" s="90" customFormat="1" ht="19.5" hidden="1" customHeight="1">
      <c r="A662" s="137"/>
      <c r="B662" s="197">
        <f t="shared" si="31"/>
        <v>652</v>
      </c>
      <c r="C662" s="30" t="s">
        <v>541</v>
      </c>
      <c r="D662" s="30" t="s">
        <v>225</v>
      </c>
      <c r="E662" s="234" t="s">
        <v>1215</v>
      </c>
      <c r="F662" s="235" t="s">
        <v>1293</v>
      </c>
      <c r="G662" s="475"/>
      <c r="H662" s="361" t="s">
        <v>5457</v>
      </c>
      <c r="I662" s="363">
        <v>1</v>
      </c>
      <c r="J662" s="364" t="s">
        <v>221</v>
      </c>
      <c r="K662" s="364" t="s">
        <v>370</v>
      </c>
      <c r="L662" s="365" t="s">
        <v>2129</v>
      </c>
      <c r="M662" s="362" t="s">
        <v>3190</v>
      </c>
      <c r="N662" s="421" t="s">
        <v>533</v>
      </c>
      <c r="O662" s="269">
        <v>13223</v>
      </c>
      <c r="P662" s="269">
        <v>12199.220000000001</v>
      </c>
      <c r="Q662" s="426"/>
      <c r="R662" s="418" t="s">
        <v>3203</v>
      </c>
      <c r="S662" s="427" t="s">
        <v>613</v>
      </c>
      <c r="T662" s="357">
        <v>1</v>
      </c>
      <c r="U662" s="357" t="s">
        <v>204</v>
      </c>
      <c r="V662" s="367">
        <v>15240000000</v>
      </c>
      <c r="W662" s="368">
        <v>15240000000</v>
      </c>
      <c r="X662" s="357"/>
      <c r="Y662" s="357"/>
      <c r="Z662" s="400"/>
      <c r="AA662" s="369"/>
      <c r="AB662" s="370"/>
      <c r="AC662" s="404"/>
      <c r="AD662" s="270"/>
      <c r="AE662" s="156"/>
      <c r="AF662" s="156"/>
      <c r="AG662" s="357"/>
      <c r="AH662" s="357"/>
      <c r="AI662" s="357"/>
      <c r="AJ662" s="156"/>
      <c r="AK662" s="156"/>
      <c r="AL662" s="375"/>
      <c r="AM662" s="405"/>
      <c r="AN662" s="273"/>
      <c r="AO662" s="405"/>
      <c r="AP662" s="273"/>
      <c r="AQ662" s="273"/>
      <c r="AR662" s="273"/>
      <c r="AS662" s="273"/>
      <c r="AT662" s="273"/>
      <c r="AU662" s="273"/>
      <c r="AV662" s="322">
        <f t="shared" si="32"/>
        <v>0</v>
      </c>
      <c r="AW662" s="402"/>
      <c r="AX662" s="274"/>
      <c r="AY662" s="270"/>
      <c r="AZ662" s="156"/>
      <c r="BA662" s="156"/>
      <c r="BB662" s="156"/>
      <c r="BC662" s="156"/>
      <c r="BD662" s="353">
        <f t="shared" si="33"/>
        <v>0</v>
      </c>
      <c r="BE662" s="432" t="s">
        <v>355</v>
      </c>
      <c r="BF662" s="407" t="s">
        <v>513</v>
      </c>
      <c r="BG662" s="168"/>
      <c r="BH662" s="274"/>
      <c r="BI662" s="168"/>
      <c r="BJ662" s="274"/>
      <c r="BK662" s="168"/>
      <c r="BL662" s="275"/>
      <c r="BM662" s="276"/>
      <c r="BN662" s="275"/>
      <c r="BO662" s="276"/>
      <c r="BP662" s="277"/>
      <c r="BQ662" s="156"/>
      <c r="BR662" s="274"/>
      <c r="BS662" s="270"/>
      <c r="BT662" s="270"/>
      <c r="BU662" s="274"/>
      <c r="BV662" s="274"/>
      <c r="BW662" s="278"/>
      <c r="BX662" s="278"/>
      <c r="BY662" s="278"/>
      <c r="BZ662" s="351"/>
    </row>
    <row r="663" spans="1:78" s="90" customFormat="1" ht="19.5" hidden="1" customHeight="1" thickBot="1">
      <c r="A663" s="137"/>
      <c r="B663" s="197">
        <f t="shared" si="31"/>
        <v>653</v>
      </c>
      <c r="C663" s="30" t="s">
        <v>635</v>
      </c>
      <c r="D663" s="30" t="s">
        <v>225</v>
      </c>
      <c r="E663" s="234" t="s">
        <v>1216</v>
      </c>
      <c r="F663" s="235" t="s">
        <v>1243</v>
      </c>
      <c r="G663" s="475"/>
      <c r="H663" s="361" t="s">
        <v>5341</v>
      </c>
      <c r="I663" s="363">
        <v>1</v>
      </c>
      <c r="J663" s="364" t="s">
        <v>215</v>
      </c>
      <c r="K663" s="364" t="s">
        <v>277</v>
      </c>
      <c r="L663" s="365" t="s">
        <v>2819</v>
      </c>
      <c r="M663" s="362" t="s">
        <v>3178</v>
      </c>
      <c r="N663" s="421" t="s">
        <v>3386</v>
      </c>
      <c r="O663" s="269">
        <v>3354</v>
      </c>
      <c r="P663" s="269">
        <v>8371.7199999999993</v>
      </c>
      <c r="Q663" s="426"/>
      <c r="R663" s="454" t="s">
        <v>1216</v>
      </c>
      <c r="S663" s="427" t="s">
        <v>613</v>
      </c>
      <c r="T663" s="357" t="s">
        <v>229</v>
      </c>
      <c r="U663" s="357" t="s">
        <v>204</v>
      </c>
      <c r="V663" s="367">
        <v>22800000000</v>
      </c>
      <c r="W663" s="368">
        <v>22800000000</v>
      </c>
      <c r="X663" s="357"/>
      <c r="Y663" s="357"/>
      <c r="Z663" s="400"/>
      <c r="AA663" s="369"/>
      <c r="AB663" s="370"/>
      <c r="AC663" s="404"/>
      <c r="AD663" s="270"/>
      <c r="AE663" s="156"/>
      <c r="AF663" s="156"/>
      <c r="AG663" s="357"/>
      <c r="AH663" s="357"/>
      <c r="AI663" s="357"/>
      <c r="AJ663" s="156"/>
      <c r="AK663" s="156"/>
      <c r="AL663" s="375"/>
      <c r="AM663" s="405"/>
      <c r="AN663" s="273"/>
      <c r="AO663" s="405"/>
      <c r="AP663" s="273"/>
      <c r="AQ663" s="273"/>
      <c r="AR663" s="273"/>
      <c r="AS663" s="273"/>
      <c r="AT663" s="273"/>
      <c r="AU663" s="273"/>
      <c r="AV663" s="322">
        <f t="shared" si="32"/>
        <v>0</v>
      </c>
      <c r="AW663" s="402"/>
      <c r="AX663" s="274"/>
      <c r="AY663" s="270"/>
      <c r="AZ663" s="156"/>
      <c r="BA663" s="156"/>
      <c r="BB663" s="156"/>
      <c r="BC663" s="156"/>
      <c r="BD663" s="353">
        <f t="shared" si="33"/>
        <v>0</v>
      </c>
      <c r="BE663" s="432" t="s">
        <v>355</v>
      </c>
      <c r="BF663" s="407" t="s">
        <v>515</v>
      </c>
      <c r="BG663" s="168"/>
      <c r="BH663" s="274"/>
      <c r="BI663" s="168"/>
      <c r="BJ663" s="274"/>
      <c r="BK663" s="168"/>
      <c r="BL663" s="275"/>
      <c r="BM663" s="276"/>
      <c r="BN663" s="275"/>
      <c r="BO663" s="276"/>
      <c r="BP663" s="277"/>
      <c r="BQ663" s="156"/>
      <c r="BR663" s="274"/>
      <c r="BS663" s="270"/>
      <c r="BT663" s="270"/>
      <c r="BU663" s="274"/>
      <c r="BV663" s="274"/>
      <c r="BW663" s="278"/>
      <c r="BX663" s="278"/>
      <c r="BY663" s="278"/>
      <c r="BZ663" s="351"/>
    </row>
    <row r="664" spans="1:78" ht="19.5" hidden="1" customHeight="1" thickBot="1">
      <c r="A664" s="90"/>
      <c r="B664" s="53"/>
      <c r="C664" s="32"/>
      <c r="D664" s="32"/>
      <c r="E664" s="32"/>
      <c r="F664" s="33"/>
      <c r="G664" s="33"/>
      <c r="H664" s="32"/>
      <c r="I664" s="32"/>
      <c r="J664" s="32"/>
      <c r="K664" s="32"/>
      <c r="L664" s="32"/>
      <c r="M664" s="32"/>
      <c r="N664" s="32"/>
      <c r="O664" s="360"/>
      <c r="P664" s="360"/>
      <c r="Q664" s="360"/>
      <c r="R664" s="360"/>
      <c r="S664" s="32"/>
      <c r="T664" s="32"/>
      <c r="U664" s="32"/>
      <c r="V664" s="32"/>
      <c r="W664" s="32"/>
      <c r="X664" s="32"/>
      <c r="Y664" s="33"/>
      <c r="Z664" s="33"/>
      <c r="AA664" s="33"/>
      <c r="AB664" s="32"/>
      <c r="AC664" s="32"/>
      <c r="AD664" s="32"/>
      <c r="AE664" s="32"/>
      <c r="AF664" s="32"/>
      <c r="AG664" s="33"/>
      <c r="AH664" s="33"/>
      <c r="AI664" s="33"/>
      <c r="AJ664" s="32"/>
      <c r="AK664" s="32"/>
      <c r="AL664" s="32"/>
      <c r="AM664" s="32"/>
      <c r="AN664" s="206"/>
      <c r="AO664" s="32"/>
      <c r="AP664" s="384">
        <f t="shared" ref="AP664:AV664" si="34">SUM(AP11:AP663)</f>
        <v>0</v>
      </c>
      <c r="AQ664" s="384">
        <f t="shared" si="34"/>
        <v>0</v>
      </c>
      <c r="AR664" s="384">
        <f t="shared" si="34"/>
        <v>0</v>
      </c>
      <c r="AS664" s="384">
        <f t="shared" si="34"/>
        <v>0</v>
      </c>
      <c r="AT664" s="384">
        <f t="shared" si="34"/>
        <v>0</v>
      </c>
      <c r="AU664" s="384">
        <f t="shared" si="34"/>
        <v>0</v>
      </c>
      <c r="AV664" s="384">
        <f t="shared" si="34"/>
        <v>0</v>
      </c>
      <c r="AW664" s="32"/>
      <c r="AX664" s="32"/>
      <c r="AY664" s="33"/>
      <c r="AZ664" s="384">
        <f>SUM(AZ11:AZ663)</f>
        <v>1228080000</v>
      </c>
      <c r="BA664" s="384">
        <f>SUM(BA11:BA663)</f>
        <v>131377351200</v>
      </c>
      <c r="BB664" s="384">
        <f>SUM(BB11:BB663)</f>
        <v>0</v>
      </c>
      <c r="BC664" s="384">
        <f>SUM(BC11:BC663)</f>
        <v>9600000</v>
      </c>
      <c r="BD664" s="384">
        <f>SUM(BD11:BD663)</f>
        <v>132615031200</v>
      </c>
      <c r="BE664" s="99"/>
      <c r="BF664" s="32"/>
      <c r="BG664" s="206"/>
      <c r="BH664" s="32"/>
      <c r="BI664" s="32"/>
      <c r="BJ664" s="32"/>
      <c r="BK664" s="32"/>
      <c r="BL664" s="32"/>
      <c r="BM664" s="32"/>
      <c r="BN664" s="32"/>
      <c r="BO664" s="32"/>
      <c r="BP664" s="32"/>
      <c r="BQ664" s="32"/>
      <c r="BR664" s="55"/>
      <c r="BS664" s="100"/>
      <c r="BT664" s="32"/>
      <c r="BU664" s="55"/>
      <c r="BV664" s="32"/>
      <c r="BW664" s="56"/>
      <c r="BX664" s="32"/>
      <c r="BY664" s="32"/>
      <c r="BZ664" s="230"/>
    </row>
    <row r="665" spans="1:78">
      <c r="C665" s="317"/>
      <c r="D665" s="317"/>
      <c r="E665" s="317"/>
      <c r="F665" s="317"/>
      <c r="G665" s="317"/>
      <c r="H665" s="317"/>
      <c r="I665" s="317"/>
      <c r="J665" s="317"/>
      <c r="K665" s="317"/>
      <c r="L665" s="317"/>
      <c r="M665" s="317"/>
      <c r="N665" s="317"/>
      <c r="O665" s="317"/>
      <c r="P665" s="317"/>
      <c r="Q665" s="317"/>
      <c r="R665" s="317"/>
      <c r="S665" s="317"/>
      <c r="T665" s="317"/>
      <c r="U665" s="317"/>
      <c r="V665" s="317"/>
      <c r="W665" s="317"/>
      <c r="X665" s="317"/>
      <c r="Y665" s="317"/>
      <c r="Z665" s="317"/>
      <c r="AA665" s="317"/>
      <c r="AB665" s="317"/>
      <c r="AC665" s="317"/>
      <c r="AD665" s="317"/>
      <c r="AE665" s="317"/>
      <c r="AF665" s="317"/>
      <c r="AG665" s="317"/>
      <c r="AH665" s="317"/>
      <c r="AI665" s="317"/>
      <c r="AJ665" s="317"/>
      <c r="AK665" s="317"/>
      <c r="AL665" s="317"/>
      <c r="AM665" s="317"/>
      <c r="AN665" s="317"/>
      <c r="AO665" s="317"/>
      <c r="AP665" s="317"/>
      <c r="AQ665" s="317"/>
      <c r="AR665" s="317"/>
      <c r="AS665" s="317"/>
      <c r="AT665" s="317"/>
      <c r="AU665" s="317"/>
      <c r="AV665" s="317"/>
      <c r="AW665" s="317"/>
      <c r="AX665" s="317"/>
      <c r="AY665" s="317"/>
      <c r="AZ665" s="317"/>
      <c r="BA665" s="317"/>
      <c r="BB665" s="317"/>
      <c r="BC665" s="317"/>
      <c r="BD665" s="317"/>
      <c r="BE665" s="317"/>
      <c r="BF665" s="317"/>
      <c r="BG665" s="317"/>
      <c r="BH665" s="317"/>
      <c r="BI665" s="317"/>
      <c r="BJ665" s="317"/>
      <c r="BK665" s="317"/>
      <c r="BL665" s="317"/>
      <c r="BM665" s="317"/>
      <c r="BN665" s="317"/>
      <c r="BO665" s="317"/>
      <c r="BP665" s="317"/>
      <c r="BQ665" s="317"/>
      <c r="BR665" s="317"/>
      <c r="BS665" s="317"/>
      <c r="BT665" s="317"/>
      <c r="BU665" s="317"/>
      <c r="BV665" s="317"/>
      <c r="BW665" s="317"/>
      <c r="BX665" s="317"/>
      <c r="BY665" s="317"/>
      <c r="BZ665" s="317"/>
    </row>
    <row r="666" spans="1:78">
      <c r="V666" s="181"/>
      <c r="W666" s="186"/>
    </row>
    <row r="667" spans="1:78">
      <c r="V667" s="192"/>
      <c r="W667" s="186"/>
    </row>
    <row r="668" spans="1:78">
      <c r="V668" s="179"/>
    </row>
  </sheetData>
  <autoFilter ref="A10:BZ664">
    <filterColumn colId="6">
      <filters>
        <filter val="문선영"/>
      </filters>
    </filterColumn>
    <filterColumn colId="58">
      <customFilters>
        <customFilter operator="notEqual" val=" "/>
      </customFilters>
    </filterColumn>
  </autoFilter>
  <phoneticPr fontId="5" type="noConversion"/>
  <pageMargins left="0.7" right="0.7" top="0.75" bottom="0.75" header="0.3" footer="0.3"/>
  <pageSetup paperSize="9" orientation="portrait" horizont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 filterMode="1">
    <pageSetUpPr autoPageBreaks="0"/>
  </sheetPr>
  <dimension ref="A1:AI1077"/>
  <sheetViews>
    <sheetView showGridLines="0" topLeftCell="H1020" zoomScale="115" zoomScaleNormal="115" workbookViewId="0">
      <selection activeCell="J1034" sqref="J1034"/>
    </sheetView>
  </sheetViews>
  <sheetFormatPr defaultColWidth="9" defaultRowHeight="16"/>
  <cols>
    <col min="1" max="1" width="1.58203125" style="90" customWidth="1"/>
    <col min="2" max="4" width="7.58203125" style="90" customWidth="1"/>
    <col min="5" max="5" width="12.08203125" style="90" customWidth="1"/>
    <col min="6" max="7" width="25.58203125" style="101" customWidth="1"/>
    <col min="8" max="11" width="10.6640625" style="90" customWidth="1"/>
    <col min="12" max="12" width="13.58203125" style="90" customWidth="1"/>
    <col min="13" max="14" width="12.08203125" style="90" customWidth="1"/>
    <col min="15" max="15" width="40.6640625" style="90" customWidth="1"/>
    <col min="16" max="16" width="15.5" style="90" customWidth="1"/>
    <col min="17" max="18" width="12.6640625" style="90" customWidth="1"/>
    <col min="19" max="20" width="10.5" style="90" customWidth="1"/>
    <col min="21" max="21" width="9.58203125" style="117" customWidth="1"/>
    <col min="22" max="23" width="10.5" style="90" customWidth="1"/>
    <col min="24" max="25" width="15.58203125" style="90" customWidth="1"/>
    <col min="26" max="26" width="13.6640625" style="90" customWidth="1"/>
    <col min="27" max="28" width="10.5" style="210" customWidth="1"/>
    <col min="29" max="30" width="15.58203125" style="90" customWidth="1"/>
    <col min="31" max="32" width="10.5" style="210" customWidth="1"/>
    <col min="33" max="34" width="15.58203125" style="90" customWidth="1"/>
    <col min="35" max="35" width="40.6640625" style="90" customWidth="1"/>
    <col min="36" max="16384" width="9" style="170"/>
  </cols>
  <sheetData>
    <row r="1" spans="1:35" s="171" customFormat="1" ht="15" customHeight="1">
      <c r="A1" s="63"/>
      <c r="B1" s="64"/>
      <c r="C1" s="64"/>
      <c r="D1" s="64"/>
      <c r="E1" s="64"/>
      <c r="F1" s="65"/>
      <c r="G1" s="65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103"/>
      <c r="V1" s="64"/>
      <c r="W1" s="64"/>
      <c r="X1" s="64"/>
      <c r="Y1" s="64"/>
      <c r="Z1" s="64"/>
      <c r="AA1" s="205"/>
      <c r="AB1" s="205"/>
      <c r="AC1" s="64"/>
      <c r="AD1" s="64"/>
      <c r="AE1" s="205"/>
      <c r="AF1" s="205"/>
      <c r="AG1" s="64"/>
      <c r="AH1" s="64"/>
      <c r="AI1" s="64"/>
    </row>
    <row r="2" spans="1:35" s="171" customFormat="1" ht="28.25" customHeight="1">
      <c r="A2" s="5" t="str">
        <f>Description!A2</f>
        <v>SHB 2025-8 Program</v>
      </c>
      <c r="B2" s="64"/>
      <c r="C2" s="64"/>
      <c r="D2" s="64"/>
      <c r="E2" s="74"/>
      <c r="F2" s="74"/>
      <c r="G2" s="74"/>
      <c r="H2" s="74"/>
      <c r="I2" s="74"/>
      <c r="J2" s="74"/>
      <c r="K2" s="74"/>
      <c r="L2" s="74"/>
      <c r="M2" s="74"/>
      <c r="N2" s="64"/>
      <c r="O2" s="64"/>
      <c r="P2" s="64"/>
      <c r="Q2" s="64"/>
      <c r="R2" s="64"/>
      <c r="S2" s="64"/>
      <c r="T2" s="64"/>
      <c r="U2" s="103"/>
      <c r="V2" s="64"/>
      <c r="W2" s="64"/>
      <c r="X2" s="69"/>
      <c r="Y2" s="69"/>
      <c r="Z2" s="352"/>
      <c r="AA2" s="205"/>
      <c r="AB2" s="205"/>
      <c r="AC2" s="64"/>
      <c r="AD2" s="64"/>
      <c r="AE2" s="205"/>
      <c r="AF2" s="205"/>
      <c r="AG2" s="64"/>
      <c r="AH2" s="64"/>
      <c r="AI2" s="64"/>
    </row>
    <row r="3" spans="1:35" s="171" customFormat="1" ht="8" customHeight="1">
      <c r="A3" s="64"/>
      <c r="B3" s="64"/>
      <c r="C3" s="64"/>
      <c r="D3" s="64"/>
      <c r="E3" s="74"/>
      <c r="F3" s="74"/>
      <c r="G3" s="74"/>
      <c r="H3" s="74"/>
      <c r="I3" s="74"/>
      <c r="J3" s="74"/>
      <c r="K3" s="74"/>
      <c r="L3" s="74"/>
      <c r="M3" s="74"/>
      <c r="N3" s="64"/>
      <c r="O3" s="64"/>
      <c r="P3" s="64"/>
      <c r="Q3" s="64"/>
      <c r="R3" s="64"/>
      <c r="S3" s="64"/>
      <c r="T3" s="64"/>
      <c r="U3" s="103"/>
      <c r="V3" s="64"/>
      <c r="W3" s="64"/>
      <c r="X3" s="64"/>
      <c r="Y3" s="64"/>
      <c r="Z3" s="64"/>
      <c r="AA3" s="205"/>
      <c r="AB3" s="205"/>
      <c r="AC3" s="64"/>
      <c r="AD3" s="64"/>
      <c r="AE3" s="205"/>
      <c r="AF3" s="205"/>
      <c r="AG3" s="64"/>
      <c r="AH3" s="64"/>
      <c r="AI3" s="64"/>
    </row>
    <row r="4" spans="1:35" s="2" customFormat="1" ht="25.25" customHeight="1">
      <c r="A4" s="8" t="s">
        <v>4</v>
      </c>
      <c r="B4" s="9"/>
      <c r="C4" s="9"/>
      <c r="D4" s="9"/>
      <c r="E4" s="74"/>
      <c r="F4" s="74"/>
      <c r="G4" s="74"/>
      <c r="H4" s="74"/>
      <c r="I4" s="74"/>
      <c r="J4" s="74"/>
      <c r="K4" s="74"/>
      <c r="L4" s="74"/>
      <c r="M4" s="74"/>
      <c r="U4" s="339"/>
      <c r="AA4" s="340"/>
      <c r="AB4" s="340"/>
      <c r="AE4" s="340"/>
      <c r="AF4" s="340"/>
    </row>
    <row r="5" spans="1:35" s="171" customFormat="1" ht="5" customHeight="1">
      <c r="A5" s="73"/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64"/>
      <c r="O5" s="64"/>
      <c r="P5" s="64"/>
      <c r="Q5" s="64"/>
      <c r="R5" s="64"/>
      <c r="S5" s="64"/>
      <c r="T5" s="64"/>
      <c r="U5" s="103"/>
      <c r="V5" s="64"/>
      <c r="W5" s="64"/>
      <c r="X5" s="64"/>
      <c r="Y5" s="64"/>
      <c r="Z5" s="64"/>
      <c r="AA5" s="338"/>
      <c r="AB5" s="338"/>
      <c r="AC5" s="64"/>
      <c r="AD5" s="64"/>
      <c r="AE5" s="338"/>
      <c r="AF5" s="338"/>
      <c r="AG5" s="64"/>
      <c r="AH5" s="64"/>
      <c r="AI5" s="64"/>
    </row>
    <row r="6" spans="1:35" s="171" customFormat="1" ht="18" customHeight="1">
      <c r="A6" s="73" t="s">
        <v>115</v>
      </c>
      <c r="B6" s="74"/>
      <c r="C6" s="74"/>
      <c r="D6" s="74"/>
      <c r="E6" s="74"/>
      <c r="F6" s="75"/>
      <c r="G6" s="75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341"/>
      <c r="AB6" s="341"/>
      <c r="AC6" s="74"/>
      <c r="AD6" s="74"/>
      <c r="AE6" s="341"/>
      <c r="AF6" s="341"/>
      <c r="AG6" s="74"/>
      <c r="AH6" s="74"/>
      <c r="AI6" s="68" t="s">
        <v>24</v>
      </c>
    </row>
    <row r="7" spans="1:35" s="171" customFormat="1" ht="8" customHeight="1" thickBot="1">
      <c r="A7" s="64"/>
      <c r="B7" s="64"/>
      <c r="C7" s="64"/>
      <c r="D7" s="64"/>
      <c r="E7" s="64"/>
      <c r="F7" s="65"/>
      <c r="G7" s="65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103"/>
      <c r="V7" s="64"/>
      <c r="W7" s="64"/>
      <c r="X7" s="64"/>
      <c r="Y7" s="64"/>
      <c r="Z7" s="64"/>
      <c r="AA7" s="338"/>
      <c r="AB7" s="338"/>
      <c r="AC7" s="64"/>
      <c r="AD7" s="64"/>
      <c r="AE7" s="338"/>
      <c r="AF7" s="338"/>
      <c r="AG7" s="64"/>
      <c r="AH7" s="64"/>
      <c r="AI7" s="64"/>
    </row>
    <row r="8" spans="1:35" s="172" customFormat="1" ht="18" customHeight="1">
      <c r="A8" s="78"/>
      <c r="B8" s="81" t="s">
        <v>116</v>
      </c>
      <c r="C8" s="79"/>
      <c r="D8" s="79"/>
      <c r="E8" s="79"/>
      <c r="F8" s="128"/>
      <c r="G8" s="83"/>
      <c r="H8" s="175" t="s">
        <v>117</v>
      </c>
      <c r="I8" s="79"/>
      <c r="J8" s="83"/>
      <c r="K8" s="83"/>
      <c r="L8" s="83"/>
      <c r="M8" s="83"/>
      <c r="N8" s="83"/>
      <c r="O8" s="83"/>
      <c r="P8" s="83"/>
      <c r="Q8" s="104"/>
      <c r="R8" s="105"/>
      <c r="S8" s="105"/>
      <c r="T8" s="105"/>
      <c r="U8" s="106"/>
      <c r="V8" s="81" t="s">
        <v>118</v>
      </c>
      <c r="W8" s="107"/>
      <c r="X8" s="79"/>
      <c r="Y8" s="79"/>
      <c r="Z8" s="79"/>
      <c r="AA8" s="211" t="s">
        <v>51</v>
      </c>
      <c r="AB8" s="212"/>
      <c r="AC8" s="83"/>
      <c r="AD8" s="83"/>
      <c r="AE8" s="216"/>
      <c r="AF8" s="212"/>
      <c r="AG8" s="83"/>
      <c r="AH8" s="83"/>
      <c r="AI8" s="108" t="s">
        <v>119</v>
      </c>
    </row>
    <row r="9" spans="1:35" ht="18" customHeight="1">
      <c r="B9" s="91" t="str">
        <f t="shared" ref="B9:D9" si="0">"Field "&amp;COLUMN()-1</f>
        <v>Field 1</v>
      </c>
      <c r="C9" s="92" t="str">
        <f t="shared" si="0"/>
        <v>Field 2</v>
      </c>
      <c r="D9" s="92" t="str">
        <f t="shared" si="0"/>
        <v>Field 3</v>
      </c>
      <c r="E9" s="161" t="str">
        <f>"Field "&amp;(COLUMN()-COUNTIF($B$9:D9,"")-1)</f>
        <v>Field 4</v>
      </c>
      <c r="F9" s="162" t="str">
        <f>"Field "&amp;(COLUMN()-COUNTIF($B$9:E9,"")-1)</f>
        <v>Field 5</v>
      </c>
      <c r="G9" s="479"/>
      <c r="H9" s="93" t="str">
        <f>"Field "&amp;(COLUMN()-COUNTIF($B$9:F9,"")-1)</f>
        <v>Field 7</v>
      </c>
      <c r="I9" s="93" t="str">
        <f>"Field "&amp;(COLUMN()-COUNTIF($B$9:H9,"")-1)</f>
        <v>Field 7</v>
      </c>
      <c r="J9" s="92" t="str">
        <f>"Field "&amp;(COLUMN()-COUNTIF($B$9:I9,"")-1)</f>
        <v>Field 8</v>
      </c>
      <c r="K9" s="92" t="str">
        <f>"Field "&amp;(COLUMN()-COUNTIF($B$9:J9,"")-1)</f>
        <v>Field 9</v>
      </c>
      <c r="L9" s="92" t="str">
        <f>"Field "&amp;(COLUMN()-COUNTIF($B$9:K9,"")-1)</f>
        <v>Field 10</v>
      </c>
      <c r="M9" s="92" t="str">
        <f>"Field "&amp;(COLUMN()-COUNTIF($B$9:L9,"")-1)</f>
        <v>Field 11</v>
      </c>
      <c r="N9" s="92" t="str">
        <f>"Field "&amp;(COLUMN()-COUNTIF($B$9:M9,"")-1)</f>
        <v>Field 12</v>
      </c>
      <c r="O9" s="92" t="str">
        <f>"Field "&amp;(COLUMN()-COUNTIF($B$9:N9,"")-1)</f>
        <v>Field 13</v>
      </c>
      <c r="P9" s="92" t="str">
        <f>"Field "&amp;(COLUMN()-COUNTIF($B$9:O9,"")-1)</f>
        <v>Field 14</v>
      </c>
      <c r="Q9" s="92" t="str">
        <f>"Field "&amp;(COLUMN()-COUNTIF($B$9:P9,"")-1)</f>
        <v>Field 15</v>
      </c>
      <c r="R9" s="92" t="str">
        <f>"Field "&amp;(COLUMN()-COUNTIF($B$9:Q9,"")-1)</f>
        <v>Field 16</v>
      </c>
      <c r="S9" s="92" t="str">
        <f>"Field "&amp;(COLUMN()-COUNTIF($B$9:R9,"")-1)</f>
        <v>Field 17</v>
      </c>
      <c r="T9" s="161" t="str">
        <f>"Field "&amp;(COLUMN()-COUNTIF($B$9:S9,"")-1)</f>
        <v>Field 18</v>
      </c>
      <c r="U9" s="92" t="str">
        <f>"Field "&amp;(COLUMN()-COUNTIF($B$9:T9,"")-1)</f>
        <v>Field 19</v>
      </c>
      <c r="V9" s="166" t="str">
        <f>"Field "&amp;(COLUMN()-COUNTIF($B$9:U9,"")-1)</f>
        <v>Field 20</v>
      </c>
      <c r="W9" s="167" t="str">
        <f>"Field "&amp;(COLUMN()-COUNTIF($B$9:V9,"")-1)</f>
        <v>Field 21</v>
      </c>
      <c r="X9" s="167" t="str">
        <f>"Field "&amp;(COLUMN()-COUNTIF($B$9:W9,"")-1)</f>
        <v>Field 22</v>
      </c>
      <c r="Y9" s="167" t="str">
        <f>"Field "&amp;(COLUMN()-COUNTIF($B$9:X9,"")-1)</f>
        <v>Field 23</v>
      </c>
      <c r="Z9" s="167" t="str">
        <f>"Field "&amp;(COLUMN()-COUNTIF($B$9:Y9,"")-1)</f>
        <v>Field 24</v>
      </c>
      <c r="AA9" s="213" t="str">
        <f>"Field "&amp;(COLUMN()-COUNTIF($B$9:Z9,"")-1)</f>
        <v>Field 25</v>
      </c>
      <c r="AB9" s="208" t="str">
        <f>"Field "&amp;(COLUMN()-COUNTIF($B$9:AA9,"")-1)</f>
        <v>Field 26</v>
      </c>
      <c r="AC9" s="92" t="str">
        <f>"Field "&amp;(COLUMN()-COUNTIF($B$9:AB9,"")-1)</f>
        <v>Field 27</v>
      </c>
      <c r="AD9" s="92" t="str">
        <f>"Field "&amp;(COLUMN()-COUNTIF($B$9:AC9,"")-1)</f>
        <v>Field 28</v>
      </c>
      <c r="AE9" s="208" t="str">
        <f>"Field "&amp;(COLUMN()-COUNTIF($B$9:AD9,"")-1)</f>
        <v>Field 29</v>
      </c>
      <c r="AF9" s="208" t="str">
        <f>"Field "&amp;(COLUMN()-COUNTIF($B$9:AE9,"")-1)</f>
        <v>Field 30</v>
      </c>
      <c r="AG9" s="92" t="str">
        <f>"Field "&amp;(COLUMN()-COUNTIF($B$9:AF9,"")-1)</f>
        <v>Field 31</v>
      </c>
      <c r="AH9" s="95" t="str">
        <f>"Field "&amp;(COLUMN()-COUNTIF($B$9:AG9,"")-1)</f>
        <v>Field 32</v>
      </c>
      <c r="AI9" s="98" t="str">
        <f>"Field "&amp;(COLUMN()-COUNTIF($B$9:AH9,"")-1)</f>
        <v>Field 33</v>
      </c>
    </row>
    <row r="10" spans="1:35" s="311" customFormat="1" ht="30" customHeight="1" thickBot="1">
      <c r="A10" s="310"/>
      <c r="B10" s="150" t="s">
        <v>28</v>
      </c>
      <c r="C10" s="151" t="s">
        <v>55</v>
      </c>
      <c r="D10" s="151" t="s">
        <v>56</v>
      </c>
      <c r="E10" s="148" t="s">
        <v>2</v>
      </c>
      <c r="F10" s="302" t="s">
        <v>195</v>
      </c>
      <c r="G10" s="482" t="s">
        <v>7473</v>
      </c>
      <c r="H10" s="165" t="s">
        <v>57</v>
      </c>
      <c r="I10" s="160" t="s">
        <v>120</v>
      </c>
      <c r="J10" s="160" t="s">
        <v>121</v>
      </c>
      <c r="K10" s="160" t="s">
        <v>122</v>
      </c>
      <c r="L10" s="147" t="s">
        <v>59</v>
      </c>
      <c r="M10" s="147" t="s">
        <v>60</v>
      </c>
      <c r="N10" s="147" t="s">
        <v>627</v>
      </c>
      <c r="O10" s="147" t="s">
        <v>61</v>
      </c>
      <c r="P10" s="147" t="s">
        <v>123</v>
      </c>
      <c r="Q10" s="147" t="s">
        <v>124</v>
      </c>
      <c r="R10" s="147" t="s">
        <v>125</v>
      </c>
      <c r="S10" s="160" t="s">
        <v>126</v>
      </c>
      <c r="T10" s="147" t="s">
        <v>127</v>
      </c>
      <c r="U10" s="147" t="s">
        <v>174</v>
      </c>
      <c r="V10" s="150" t="s">
        <v>15</v>
      </c>
      <c r="W10" s="151" t="s">
        <v>65</v>
      </c>
      <c r="X10" s="151" t="s">
        <v>128</v>
      </c>
      <c r="Y10" s="151" t="s">
        <v>175</v>
      </c>
      <c r="Z10" s="151" t="s">
        <v>176</v>
      </c>
      <c r="AA10" s="214" t="s">
        <v>129</v>
      </c>
      <c r="AB10" s="209" t="s">
        <v>65</v>
      </c>
      <c r="AC10" s="147" t="s">
        <v>130</v>
      </c>
      <c r="AD10" s="147" t="s">
        <v>131</v>
      </c>
      <c r="AE10" s="217" t="s">
        <v>132</v>
      </c>
      <c r="AF10" s="217" t="s">
        <v>65</v>
      </c>
      <c r="AG10" s="151" t="s">
        <v>133</v>
      </c>
      <c r="AH10" s="148" t="s">
        <v>134</v>
      </c>
      <c r="AI10" s="149" t="s">
        <v>135</v>
      </c>
    </row>
    <row r="11" spans="1:35" ht="19.5" hidden="1" customHeight="1">
      <c r="A11" s="137"/>
      <c r="B11" s="197">
        <f t="shared" ref="B11:B74" si="1">ROW()-10</f>
        <v>1</v>
      </c>
      <c r="C11" s="30" t="s">
        <v>206</v>
      </c>
      <c r="D11" s="30" t="s">
        <v>225</v>
      </c>
      <c r="E11" s="234" t="s">
        <v>645</v>
      </c>
      <c r="F11" s="235" t="s">
        <v>1294</v>
      </c>
      <c r="G11" s="284">
        <f>IFERROR(VLOOKUP(E11,Assign!$C$2:$J$142,8,FALSE),)</f>
        <v>0</v>
      </c>
      <c r="H11" s="363" t="s">
        <v>4859</v>
      </c>
      <c r="I11" s="324" t="s">
        <v>4860</v>
      </c>
      <c r="J11" s="237">
        <v>1</v>
      </c>
      <c r="K11" s="237">
        <v>1</v>
      </c>
      <c r="L11" s="265" t="s">
        <v>208</v>
      </c>
      <c r="M11" s="266" t="s">
        <v>324</v>
      </c>
      <c r="N11" s="266" t="s">
        <v>2384</v>
      </c>
      <c r="O11" s="267" t="s">
        <v>2385</v>
      </c>
      <c r="P11" s="268" t="s">
        <v>245</v>
      </c>
      <c r="Q11" s="269">
        <v>10909</v>
      </c>
      <c r="R11" s="269"/>
      <c r="S11" s="270"/>
      <c r="T11" s="182"/>
      <c r="U11" s="182">
        <v>1</v>
      </c>
      <c r="V11" s="408" t="s">
        <v>418</v>
      </c>
      <c r="W11" s="357" t="s">
        <v>204</v>
      </c>
      <c r="X11" s="156">
        <v>12000000000</v>
      </c>
      <c r="Y11" s="417">
        <v>12000000000</v>
      </c>
      <c r="Z11" s="418" t="s">
        <v>359</v>
      </c>
      <c r="AA11" s="271" t="s">
        <v>418</v>
      </c>
      <c r="AB11" s="168" t="s">
        <v>204</v>
      </c>
      <c r="AC11" s="156">
        <v>1800000000</v>
      </c>
      <c r="AD11" s="156">
        <v>1800000000</v>
      </c>
      <c r="AE11" s="320"/>
      <c r="AF11" s="168"/>
      <c r="AG11" s="156"/>
      <c r="AH11" s="156"/>
      <c r="AI11" s="410"/>
    </row>
    <row r="12" spans="1:35" ht="19.5" hidden="1" customHeight="1">
      <c r="A12" s="137"/>
      <c r="B12" s="197">
        <f t="shared" si="1"/>
        <v>2</v>
      </c>
      <c r="C12" s="30" t="s">
        <v>206</v>
      </c>
      <c r="D12" s="30" t="s">
        <v>225</v>
      </c>
      <c r="E12" s="234" t="s">
        <v>645</v>
      </c>
      <c r="F12" s="235" t="s">
        <v>1294</v>
      </c>
      <c r="G12" s="284">
        <f>IFERROR(VLOOKUP(E12,Assign!$C$2:$J$142,8,FALSE),)</f>
        <v>0</v>
      </c>
      <c r="H12" s="363" t="s">
        <v>4859</v>
      </c>
      <c r="I12" s="324" t="s">
        <v>4861</v>
      </c>
      <c r="J12" s="237">
        <v>1</v>
      </c>
      <c r="K12" s="237">
        <v>2</v>
      </c>
      <c r="L12" s="265" t="s">
        <v>208</v>
      </c>
      <c r="M12" s="266" t="s">
        <v>324</v>
      </c>
      <c r="N12" s="266" t="s">
        <v>2384</v>
      </c>
      <c r="O12" s="267" t="s">
        <v>2386</v>
      </c>
      <c r="P12" s="268" t="s">
        <v>352</v>
      </c>
      <c r="Q12" s="269">
        <v>474</v>
      </c>
      <c r="R12" s="269"/>
      <c r="S12" s="270"/>
      <c r="T12" s="182"/>
      <c r="U12" s="182">
        <v>1</v>
      </c>
      <c r="V12" s="408" t="s">
        <v>418</v>
      </c>
      <c r="W12" s="357" t="s">
        <v>204</v>
      </c>
      <c r="X12" s="156">
        <v>12000000000</v>
      </c>
      <c r="Y12" s="417">
        <v>12000000000</v>
      </c>
      <c r="Z12" s="418" t="s">
        <v>359</v>
      </c>
      <c r="AA12" s="271" t="s">
        <v>418</v>
      </c>
      <c r="AB12" s="168" t="s">
        <v>204</v>
      </c>
      <c r="AC12" s="156">
        <v>1800000000</v>
      </c>
      <c r="AD12" s="156">
        <v>1800000000</v>
      </c>
      <c r="AE12" s="320"/>
      <c r="AF12" s="168"/>
      <c r="AG12" s="156"/>
      <c r="AH12" s="156"/>
      <c r="AI12" s="410"/>
    </row>
    <row r="13" spans="1:35" ht="19.5" hidden="1" customHeight="1">
      <c r="A13" s="137"/>
      <c r="B13" s="197">
        <f t="shared" si="1"/>
        <v>3</v>
      </c>
      <c r="C13" s="30" t="s">
        <v>206</v>
      </c>
      <c r="D13" s="30" t="s">
        <v>225</v>
      </c>
      <c r="E13" s="234" t="s">
        <v>646</v>
      </c>
      <c r="F13" s="235" t="s">
        <v>1217</v>
      </c>
      <c r="G13" s="284">
        <f>IFERROR(VLOOKUP(E13,Assign!$C$2:$J$142,8,FALSE),)</f>
        <v>0</v>
      </c>
      <c r="H13" s="363" t="s">
        <v>4083</v>
      </c>
      <c r="I13" s="324" t="s">
        <v>4084</v>
      </c>
      <c r="J13" s="237">
        <v>1</v>
      </c>
      <c r="K13" s="237">
        <v>1</v>
      </c>
      <c r="L13" s="265" t="s">
        <v>209</v>
      </c>
      <c r="M13" s="266" t="s">
        <v>286</v>
      </c>
      <c r="N13" s="266" t="s">
        <v>1660</v>
      </c>
      <c r="O13" s="267" t="s">
        <v>1661</v>
      </c>
      <c r="P13" s="268" t="s">
        <v>469</v>
      </c>
      <c r="Q13" s="269"/>
      <c r="R13" s="269">
        <f>410.73+420.31+413.97+413.97+379.49</f>
        <v>2038.47</v>
      </c>
      <c r="S13" s="270"/>
      <c r="T13" s="182"/>
      <c r="U13" s="182">
        <v>1</v>
      </c>
      <c r="V13" s="408">
        <v>1</v>
      </c>
      <c r="W13" s="357" t="s">
        <v>204</v>
      </c>
      <c r="X13" s="156">
        <v>8100000000</v>
      </c>
      <c r="Y13" s="417">
        <v>8100000000</v>
      </c>
      <c r="Z13" s="418" t="s">
        <v>359</v>
      </c>
      <c r="AA13" s="271"/>
      <c r="AB13" s="168"/>
      <c r="AC13" s="156"/>
      <c r="AD13" s="156"/>
      <c r="AE13" s="320"/>
      <c r="AF13" s="168"/>
      <c r="AG13" s="156"/>
      <c r="AH13" s="156"/>
      <c r="AI13" s="410"/>
    </row>
    <row r="14" spans="1:35" ht="19.5" hidden="1" customHeight="1">
      <c r="A14" s="137"/>
      <c r="B14" s="197">
        <f t="shared" si="1"/>
        <v>4</v>
      </c>
      <c r="C14" s="30" t="s">
        <v>206</v>
      </c>
      <c r="D14" s="30" t="s">
        <v>225</v>
      </c>
      <c r="E14" s="234" t="s">
        <v>646</v>
      </c>
      <c r="F14" s="235" t="s">
        <v>1217</v>
      </c>
      <c r="G14" s="284">
        <f>IFERROR(VLOOKUP(E14,Assign!$C$2:$J$142,8,FALSE),)</f>
        <v>0</v>
      </c>
      <c r="H14" s="363" t="s">
        <v>4083</v>
      </c>
      <c r="I14" s="324" t="s">
        <v>4085</v>
      </c>
      <c r="J14" s="237">
        <v>1</v>
      </c>
      <c r="K14" s="237">
        <v>2</v>
      </c>
      <c r="L14" s="265" t="s">
        <v>209</v>
      </c>
      <c r="M14" s="266" t="s">
        <v>286</v>
      </c>
      <c r="N14" s="266" t="s">
        <v>1660</v>
      </c>
      <c r="O14" s="267" t="s">
        <v>1661</v>
      </c>
      <c r="P14" s="268" t="s">
        <v>450</v>
      </c>
      <c r="Q14" s="269">
        <v>834.9</v>
      </c>
      <c r="R14" s="269"/>
      <c r="S14" s="270"/>
      <c r="T14" s="182"/>
      <c r="U14" s="182">
        <v>1</v>
      </c>
      <c r="V14" s="408">
        <v>1</v>
      </c>
      <c r="W14" s="357" t="s">
        <v>204</v>
      </c>
      <c r="X14" s="156">
        <v>8100000000</v>
      </c>
      <c r="Y14" s="417">
        <v>8100000000</v>
      </c>
      <c r="Z14" s="418" t="s">
        <v>359</v>
      </c>
      <c r="AA14" s="271"/>
      <c r="AB14" s="168"/>
      <c r="AC14" s="156"/>
      <c r="AD14" s="156"/>
      <c r="AE14" s="320"/>
      <c r="AF14" s="168"/>
      <c r="AG14" s="156"/>
      <c r="AH14" s="156"/>
      <c r="AI14" s="410"/>
    </row>
    <row r="15" spans="1:35" ht="19.5" hidden="1" customHeight="1">
      <c r="A15" s="137"/>
      <c r="B15" s="197">
        <f t="shared" si="1"/>
        <v>5</v>
      </c>
      <c r="C15" s="30" t="s">
        <v>206</v>
      </c>
      <c r="D15" s="30" t="s">
        <v>225</v>
      </c>
      <c r="E15" s="234" t="s">
        <v>647</v>
      </c>
      <c r="F15" s="235" t="s">
        <v>1244</v>
      </c>
      <c r="G15" s="284">
        <f>IFERROR(VLOOKUP(E15,Assign!$C$2:$J$142,8,FALSE),)</f>
        <v>0</v>
      </c>
      <c r="H15" s="363" t="s">
        <v>5469</v>
      </c>
      <c r="I15" s="324" t="s">
        <v>5470</v>
      </c>
      <c r="J15" s="237">
        <v>1</v>
      </c>
      <c r="K15" s="237">
        <v>1</v>
      </c>
      <c r="L15" s="265" t="s">
        <v>208</v>
      </c>
      <c r="M15" s="266" t="s">
        <v>261</v>
      </c>
      <c r="N15" s="266" t="s">
        <v>262</v>
      </c>
      <c r="O15" s="267" t="s">
        <v>2941</v>
      </c>
      <c r="P15" s="268" t="s">
        <v>2942</v>
      </c>
      <c r="Q15" s="269">
        <v>1049.8</v>
      </c>
      <c r="R15" s="269">
        <v>55.6</v>
      </c>
      <c r="S15" s="270"/>
      <c r="T15" s="182">
        <f>29.6962/1049.8</f>
        <v>2.8287483330158129E-2</v>
      </c>
      <c r="U15" s="182">
        <v>1</v>
      </c>
      <c r="V15" s="408">
        <v>1</v>
      </c>
      <c r="W15" s="357" t="s">
        <v>204</v>
      </c>
      <c r="X15" s="156">
        <v>6658800000</v>
      </c>
      <c r="Y15" s="417">
        <v>6658800000</v>
      </c>
      <c r="Z15" s="418" t="s">
        <v>359</v>
      </c>
      <c r="AA15" s="271"/>
      <c r="AB15" s="168"/>
      <c r="AC15" s="156"/>
      <c r="AD15" s="156"/>
      <c r="AE15" s="320"/>
      <c r="AF15" s="168"/>
      <c r="AG15" s="156"/>
      <c r="AH15" s="156"/>
      <c r="AI15" s="410"/>
    </row>
    <row r="16" spans="1:35" ht="19.5" hidden="1" customHeight="1">
      <c r="A16" s="137"/>
      <c r="B16" s="197">
        <f t="shared" si="1"/>
        <v>6</v>
      </c>
      <c r="C16" s="30" t="s">
        <v>206</v>
      </c>
      <c r="D16" s="30" t="s">
        <v>225</v>
      </c>
      <c r="E16" s="234" t="s">
        <v>647</v>
      </c>
      <c r="F16" s="235" t="s">
        <v>1244</v>
      </c>
      <c r="G16" s="284">
        <f>IFERROR(VLOOKUP(E16,Assign!$C$2:$J$142,8,FALSE),)</f>
        <v>0</v>
      </c>
      <c r="H16" s="363" t="s">
        <v>5469</v>
      </c>
      <c r="I16" s="324" t="s">
        <v>5471</v>
      </c>
      <c r="J16" s="237">
        <v>1</v>
      </c>
      <c r="K16" s="237">
        <v>2</v>
      </c>
      <c r="L16" s="265" t="s">
        <v>208</v>
      </c>
      <c r="M16" s="266" t="s">
        <v>261</v>
      </c>
      <c r="N16" s="266" t="s">
        <v>262</v>
      </c>
      <c r="O16" s="267" t="s">
        <v>2943</v>
      </c>
      <c r="P16" s="268" t="s">
        <v>2942</v>
      </c>
      <c r="Q16" s="269">
        <v>1049.8</v>
      </c>
      <c r="R16" s="269">
        <v>48</v>
      </c>
      <c r="S16" s="270"/>
      <c r="T16" s="182">
        <f>25.6371/1049.8</f>
        <v>2.4420937321394554E-2</v>
      </c>
      <c r="U16" s="182">
        <v>1</v>
      </c>
      <c r="V16" s="408">
        <v>1</v>
      </c>
      <c r="W16" s="357" t="s">
        <v>204</v>
      </c>
      <c r="X16" s="156">
        <v>6658800000</v>
      </c>
      <c r="Y16" s="417">
        <v>6658800000</v>
      </c>
      <c r="Z16" s="418" t="s">
        <v>359</v>
      </c>
      <c r="AA16" s="271"/>
      <c r="AB16" s="168"/>
      <c r="AC16" s="156"/>
      <c r="AD16" s="156"/>
      <c r="AE16" s="320"/>
      <c r="AF16" s="168"/>
      <c r="AG16" s="156"/>
      <c r="AH16" s="156"/>
      <c r="AI16" s="410"/>
    </row>
    <row r="17" spans="1:35" ht="19.5" hidden="1" customHeight="1">
      <c r="A17" s="137"/>
      <c r="B17" s="197">
        <f t="shared" si="1"/>
        <v>7</v>
      </c>
      <c r="C17" s="30" t="s">
        <v>206</v>
      </c>
      <c r="D17" s="30" t="s">
        <v>225</v>
      </c>
      <c r="E17" s="234" t="s">
        <v>647</v>
      </c>
      <c r="F17" s="235" t="s">
        <v>1244</v>
      </c>
      <c r="G17" s="284">
        <f>IFERROR(VLOOKUP(E17,Assign!$C$2:$J$142,8,FALSE),)</f>
        <v>0</v>
      </c>
      <c r="H17" s="363" t="s">
        <v>5469</v>
      </c>
      <c r="I17" s="324" t="s">
        <v>5472</v>
      </c>
      <c r="J17" s="237">
        <v>1</v>
      </c>
      <c r="K17" s="237">
        <v>3</v>
      </c>
      <c r="L17" s="265" t="s">
        <v>208</v>
      </c>
      <c r="M17" s="266" t="s">
        <v>261</v>
      </c>
      <c r="N17" s="266" t="s">
        <v>262</v>
      </c>
      <c r="O17" s="267" t="s">
        <v>2944</v>
      </c>
      <c r="P17" s="268" t="s">
        <v>2942</v>
      </c>
      <c r="Q17" s="269">
        <v>1049.8</v>
      </c>
      <c r="R17" s="269">
        <v>48</v>
      </c>
      <c r="S17" s="270"/>
      <c r="T17" s="182">
        <f>25.6371/1049.8</f>
        <v>2.4420937321394554E-2</v>
      </c>
      <c r="U17" s="182">
        <v>1</v>
      </c>
      <c r="V17" s="408">
        <v>1</v>
      </c>
      <c r="W17" s="357" t="s">
        <v>204</v>
      </c>
      <c r="X17" s="156">
        <v>6658800000</v>
      </c>
      <c r="Y17" s="417">
        <v>6658800000</v>
      </c>
      <c r="Z17" s="418" t="s">
        <v>359</v>
      </c>
      <c r="AA17" s="271"/>
      <c r="AB17" s="168"/>
      <c r="AC17" s="156"/>
      <c r="AD17" s="156"/>
      <c r="AE17" s="320"/>
      <c r="AF17" s="168"/>
      <c r="AG17" s="156"/>
      <c r="AH17" s="156"/>
      <c r="AI17" s="410"/>
    </row>
    <row r="18" spans="1:35" ht="19.5" hidden="1" customHeight="1">
      <c r="A18" s="137"/>
      <c r="B18" s="197">
        <f t="shared" si="1"/>
        <v>8</v>
      </c>
      <c r="C18" s="30" t="s">
        <v>206</v>
      </c>
      <c r="D18" s="30" t="s">
        <v>225</v>
      </c>
      <c r="E18" s="234" t="s">
        <v>647</v>
      </c>
      <c r="F18" s="235" t="s">
        <v>1244</v>
      </c>
      <c r="G18" s="284">
        <f>IFERROR(VLOOKUP(E18,Assign!$C$2:$J$142,8,FALSE),)</f>
        <v>0</v>
      </c>
      <c r="H18" s="363" t="s">
        <v>5469</v>
      </c>
      <c r="I18" s="324" t="s">
        <v>5473</v>
      </c>
      <c r="J18" s="237">
        <v>1</v>
      </c>
      <c r="K18" s="237">
        <v>4</v>
      </c>
      <c r="L18" s="265" t="s">
        <v>208</v>
      </c>
      <c r="M18" s="266" t="s">
        <v>261</v>
      </c>
      <c r="N18" s="266" t="s">
        <v>262</v>
      </c>
      <c r="O18" s="267" t="s">
        <v>2945</v>
      </c>
      <c r="P18" s="268" t="s">
        <v>2942</v>
      </c>
      <c r="Q18" s="269">
        <v>1049.8</v>
      </c>
      <c r="R18" s="269">
        <v>46.8</v>
      </c>
      <c r="S18" s="270"/>
      <c r="T18" s="182">
        <f>24.9961/1049.8</f>
        <v>2.3810344827586205E-2</v>
      </c>
      <c r="U18" s="182">
        <v>1</v>
      </c>
      <c r="V18" s="408">
        <v>1</v>
      </c>
      <c r="W18" s="357" t="s">
        <v>204</v>
      </c>
      <c r="X18" s="156">
        <v>6658800000</v>
      </c>
      <c r="Y18" s="417">
        <v>6658800000</v>
      </c>
      <c r="Z18" s="418" t="s">
        <v>359</v>
      </c>
      <c r="AA18" s="271"/>
      <c r="AB18" s="168"/>
      <c r="AC18" s="156"/>
      <c r="AD18" s="156"/>
      <c r="AE18" s="320"/>
      <c r="AF18" s="168"/>
      <c r="AG18" s="156"/>
      <c r="AH18" s="156"/>
      <c r="AI18" s="410"/>
    </row>
    <row r="19" spans="1:35" ht="19.5" hidden="1" customHeight="1">
      <c r="A19" s="137"/>
      <c r="B19" s="197">
        <f t="shared" si="1"/>
        <v>9</v>
      </c>
      <c r="C19" s="30" t="s">
        <v>206</v>
      </c>
      <c r="D19" s="30" t="s">
        <v>225</v>
      </c>
      <c r="E19" s="234" t="s">
        <v>647</v>
      </c>
      <c r="F19" s="235" t="s">
        <v>1244</v>
      </c>
      <c r="G19" s="284">
        <f>IFERROR(VLOOKUP(E19,Assign!$C$2:$J$142,8,FALSE),)</f>
        <v>0</v>
      </c>
      <c r="H19" s="363" t="s">
        <v>5469</v>
      </c>
      <c r="I19" s="324" t="s">
        <v>5474</v>
      </c>
      <c r="J19" s="237">
        <v>1</v>
      </c>
      <c r="K19" s="237">
        <v>5</v>
      </c>
      <c r="L19" s="265" t="s">
        <v>208</v>
      </c>
      <c r="M19" s="266" t="s">
        <v>261</v>
      </c>
      <c r="N19" s="266" t="s">
        <v>262</v>
      </c>
      <c r="O19" s="267" t="s">
        <v>2946</v>
      </c>
      <c r="P19" s="268" t="s">
        <v>2942</v>
      </c>
      <c r="Q19" s="269">
        <v>1049.8</v>
      </c>
      <c r="R19" s="269">
        <v>46.8</v>
      </c>
      <c r="S19" s="270"/>
      <c r="T19" s="182">
        <f>24.9961/1049.8</f>
        <v>2.3810344827586205E-2</v>
      </c>
      <c r="U19" s="182">
        <v>1</v>
      </c>
      <c r="V19" s="408">
        <v>1</v>
      </c>
      <c r="W19" s="357" t="s">
        <v>204</v>
      </c>
      <c r="X19" s="156">
        <v>6658800000</v>
      </c>
      <c r="Y19" s="417">
        <v>6658800000</v>
      </c>
      <c r="Z19" s="418" t="s">
        <v>359</v>
      </c>
      <c r="AA19" s="271"/>
      <c r="AB19" s="168"/>
      <c r="AC19" s="156"/>
      <c r="AD19" s="156"/>
      <c r="AE19" s="320"/>
      <c r="AF19" s="168"/>
      <c r="AG19" s="156"/>
      <c r="AH19" s="156"/>
      <c r="AI19" s="410"/>
    </row>
    <row r="20" spans="1:35" ht="19.5" hidden="1" customHeight="1">
      <c r="A20" s="137"/>
      <c r="B20" s="197">
        <f t="shared" si="1"/>
        <v>10</v>
      </c>
      <c r="C20" s="30" t="s">
        <v>206</v>
      </c>
      <c r="D20" s="30" t="s">
        <v>225</v>
      </c>
      <c r="E20" s="234" t="s">
        <v>647</v>
      </c>
      <c r="F20" s="235" t="s">
        <v>1244</v>
      </c>
      <c r="G20" s="284">
        <f>IFERROR(VLOOKUP(E20,Assign!$C$2:$J$142,8,FALSE),)</f>
        <v>0</v>
      </c>
      <c r="H20" s="363" t="s">
        <v>5469</v>
      </c>
      <c r="I20" s="324" t="s">
        <v>5475</v>
      </c>
      <c r="J20" s="237">
        <v>1</v>
      </c>
      <c r="K20" s="237">
        <v>6</v>
      </c>
      <c r="L20" s="265" t="s">
        <v>208</v>
      </c>
      <c r="M20" s="266" t="s">
        <v>261</v>
      </c>
      <c r="N20" s="266" t="s">
        <v>262</v>
      </c>
      <c r="O20" s="267" t="s">
        <v>2947</v>
      </c>
      <c r="P20" s="268" t="s">
        <v>2942</v>
      </c>
      <c r="Q20" s="269">
        <v>1049.8</v>
      </c>
      <c r="R20" s="269">
        <v>46.8</v>
      </c>
      <c r="S20" s="270"/>
      <c r="T20" s="182">
        <f>24.9961/1049.8</f>
        <v>2.3810344827586205E-2</v>
      </c>
      <c r="U20" s="182">
        <v>1</v>
      </c>
      <c r="V20" s="408">
        <v>1</v>
      </c>
      <c r="W20" s="357" t="s">
        <v>204</v>
      </c>
      <c r="X20" s="156">
        <v>6658800000</v>
      </c>
      <c r="Y20" s="417">
        <v>6658800000</v>
      </c>
      <c r="Z20" s="418" t="s">
        <v>359</v>
      </c>
      <c r="AA20" s="271"/>
      <c r="AB20" s="168"/>
      <c r="AC20" s="156"/>
      <c r="AD20" s="156"/>
      <c r="AE20" s="320"/>
      <c r="AF20" s="168"/>
      <c r="AG20" s="156"/>
      <c r="AH20" s="156"/>
      <c r="AI20" s="410"/>
    </row>
    <row r="21" spans="1:35" ht="19.5" hidden="1" customHeight="1">
      <c r="A21" s="137"/>
      <c r="B21" s="197">
        <f t="shared" si="1"/>
        <v>11</v>
      </c>
      <c r="C21" s="30" t="s">
        <v>206</v>
      </c>
      <c r="D21" s="30" t="s">
        <v>225</v>
      </c>
      <c r="E21" s="234" t="s">
        <v>647</v>
      </c>
      <c r="F21" s="235" t="s">
        <v>1244</v>
      </c>
      <c r="G21" s="284">
        <f>IFERROR(VLOOKUP(E21,Assign!$C$2:$J$142,8,FALSE),)</f>
        <v>0</v>
      </c>
      <c r="H21" s="363" t="s">
        <v>5469</v>
      </c>
      <c r="I21" s="324" t="s">
        <v>5476</v>
      </c>
      <c r="J21" s="237">
        <v>1</v>
      </c>
      <c r="K21" s="237">
        <v>7</v>
      </c>
      <c r="L21" s="265" t="s">
        <v>208</v>
      </c>
      <c r="M21" s="266" t="s">
        <v>261</v>
      </c>
      <c r="N21" s="266" t="s">
        <v>262</v>
      </c>
      <c r="O21" s="267" t="s">
        <v>2948</v>
      </c>
      <c r="P21" s="268" t="s">
        <v>2942</v>
      </c>
      <c r="Q21" s="269">
        <v>1049.8</v>
      </c>
      <c r="R21" s="269">
        <v>44.55</v>
      </c>
      <c r="S21" s="270"/>
      <c r="T21" s="182">
        <f>23.7944/1049.8</f>
        <v>2.2665650600114308E-2</v>
      </c>
      <c r="U21" s="182">
        <v>1</v>
      </c>
      <c r="V21" s="408">
        <v>1</v>
      </c>
      <c r="W21" s="357" t="s">
        <v>204</v>
      </c>
      <c r="X21" s="156">
        <v>6658800000</v>
      </c>
      <c r="Y21" s="417">
        <v>6658800000</v>
      </c>
      <c r="Z21" s="418" t="s">
        <v>359</v>
      </c>
      <c r="AA21" s="271"/>
      <c r="AB21" s="168"/>
      <c r="AC21" s="156"/>
      <c r="AD21" s="156"/>
      <c r="AE21" s="320"/>
      <c r="AF21" s="168"/>
      <c r="AG21" s="156"/>
      <c r="AH21" s="156"/>
      <c r="AI21" s="410"/>
    </row>
    <row r="22" spans="1:35" ht="19.5" hidden="1" customHeight="1">
      <c r="A22" s="137"/>
      <c r="B22" s="197">
        <f t="shared" si="1"/>
        <v>12</v>
      </c>
      <c r="C22" s="30" t="s">
        <v>206</v>
      </c>
      <c r="D22" s="30" t="s">
        <v>225</v>
      </c>
      <c r="E22" s="234" t="s">
        <v>647</v>
      </c>
      <c r="F22" s="235" t="s">
        <v>1244</v>
      </c>
      <c r="G22" s="284">
        <f>IFERROR(VLOOKUP(E22,Assign!$C$2:$J$142,8,FALSE),)</f>
        <v>0</v>
      </c>
      <c r="H22" s="363" t="s">
        <v>5469</v>
      </c>
      <c r="I22" s="324" t="s">
        <v>5477</v>
      </c>
      <c r="J22" s="237">
        <v>1</v>
      </c>
      <c r="K22" s="237">
        <v>8</v>
      </c>
      <c r="L22" s="265" t="s">
        <v>208</v>
      </c>
      <c r="M22" s="266" t="s">
        <v>261</v>
      </c>
      <c r="N22" s="266" t="s">
        <v>262</v>
      </c>
      <c r="O22" s="267" t="s">
        <v>2949</v>
      </c>
      <c r="P22" s="268" t="s">
        <v>2942</v>
      </c>
      <c r="Q22" s="269">
        <v>1049.8</v>
      </c>
      <c r="R22" s="269">
        <v>45.6</v>
      </c>
      <c r="S22" s="270"/>
      <c r="T22" s="182">
        <f>24.3552/1049.8</f>
        <v>2.3199847590017145E-2</v>
      </c>
      <c r="U22" s="182">
        <v>1</v>
      </c>
      <c r="V22" s="408">
        <v>1</v>
      </c>
      <c r="W22" s="357" t="s">
        <v>204</v>
      </c>
      <c r="X22" s="156">
        <v>6658800000</v>
      </c>
      <c r="Y22" s="417">
        <v>6658800000</v>
      </c>
      <c r="Z22" s="418" t="s">
        <v>359</v>
      </c>
      <c r="AA22" s="271"/>
      <c r="AB22" s="168"/>
      <c r="AC22" s="156"/>
      <c r="AD22" s="156"/>
      <c r="AE22" s="320"/>
      <c r="AF22" s="168"/>
      <c r="AG22" s="156"/>
      <c r="AH22" s="156"/>
      <c r="AI22" s="410"/>
    </row>
    <row r="23" spans="1:35" ht="19.5" hidden="1" customHeight="1">
      <c r="A23" s="137"/>
      <c r="B23" s="197">
        <f t="shared" si="1"/>
        <v>13</v>
      </c>
      <c r="C23" s="30" t="s">
        <v>206</v>
      </c>
      <c r="D23" s="30" t="s">
        <v>225</v>
      </c>
      <c r="E23" s="234" t="s">
        <v>647</v>
      </c>
      <c r="F23" s="235" t="s">
        <v>1244</v>
      </c>
      <c r="G23" s="284">
        <f>IFERROR(VLOOKUP(E23,Assign!$C$2:$J$142,8,FALSE),)</f>
        <v>0</v>
      </c>
      <c r="H23" s="363" t="s">
        <v>5469</v>
      </c>
      <c r="I23" s="324" t="s">
        <v>5478</v>
      </c>
      <c r="J23" s="237">
        <v>1</v>
      </c>
      <c r="K23" s="237">
        <v>9</v>
      </c>
      <c r="L23" s="265" t="s">
        <v>208</v>
      </c>
      <c r="M23" s="266" t="s">
        <v>261</v>
      </c>
      <c r="N23" s="266" t="s">
        <v>262</v>
      </c>
      <c r="O23" s="267" t="s">
        <v>2950</v>
      </c>
      <c r="P23" s="268" t="s">
        <v>2942</v>
      </c>
      <c r="Q23" s="269">
        <v>1049.8</v>
      </c>
      <c r="R23" s="269">
        <v>45.6</v>
      </c>
      <c r="S23" s="270"/>
      <c r="T23" s="182">
        <f>24.3552/1049.8</f>
        <v>2.3199847590017145E-2</v>
      </c>
      <c r="U23" s="182">
        <v>1</v>
      </c>
      <c r="V23" s="408">
        <v>1</v>
      </c>
      <c r="W23" s="357" t="s">
        <v>204</v>
      </c>
      <c r="X23" s="156">
        <v>6658800000</v>
      </c>
      <c r="Y23" s="417">
        <v>6658800000</v>
      </c>
      <c r="Z23" s="418" t="s">
        <v>359</v>
      </c>
      <c r="AA23" s="271"/>
      <c r="AB23" s="168"/>
      <c r="AC23" s="156"/>
      <c r="AD23" s="156"/>
      <c r="AE23" s="320"/>
      <c r="AF23" s="168"/>
      <c r="AG23" s="156"/>
      <c r="AH23" s="156"/>
      <c r="AI23" s="410"/>
    </row>
    <row r="24" spans="1:35" ht="19.5" hidden="1" customHeight="1">
      <c r="A24" s="137"/>
      <c r="B24" s="197">
        <f t="shared" si="1"/>
        <v>14</v>
      </c>
      <c r="C24" s="30" t="s">
        <v>206</v>
      </c>
      <c r="D24" s="30" t="s">
        <v>225</v>
      </c>
      <c r="E24" s="234" t="s">
        <v>647</v>
      </c>
      <c r="F24" s="235" t="s">
        <v>1244</v>
      </c>
      <c r="G24" s="284">
        <f>IFERROR(VLOOKUP(E24,Assign!$C$2:$J$142,8,FALSE),)</f>
        <v>0</v>
      </c>
      <c r="H24" s="363" t="s">
        <v>5469</v>
      </c>
      <c r="I24" s="324" t="s">
        <v>5479</v>
      </c>
      <c r="J24" s="237">
        <v>1</v>
      </c>
      <c r="K24" s="237">
        <v>10</v>
      </c>
      <c r="L24" s="265" t="s">
        <v>208</v>
      </c>
      <c r="M24" s="266" t="s">
        <v>261</v>
      </c>
      <c r="N24" s="266" t="s">
        <v>262</v>
      </c>
      <c r="O24" s="267" t="s">
        <v>2951</v>
      </c>
      <c r="P24" s="268" t="s">
        <v>2942</v>
      </c>
      <c r="Q24" s="269">
        <v>1049.8</v>
      </c>
      <c r="R24" s="269">
        <v>45.6</v>
      </c>
      <c r="S24" s="270"/>
      <c r="T24" s="182">
        <f>24.3552/1049.8</f>
        <v>2.3199847590017145E-2</v>
      </c>
      <c r="U24" s="182">
        <v>1</v>
      </c>
      <c r="V24" s="408">
        <v>1</v>
      </c>
      <c r="W24" s="357" t="s">
        <v>204</v>
      </c>
      <c r="X24" s="156">
        <v>6658800000</v>
      </c>
      <c r="Y24" s="417">
        <v>6658800000</v>
      </c>
      <c r="Z24" s="418" t="s">
        <v>359</v>
      </c>
      <c r="AA24" s="271"/>
      <c r="AB24" s="168"/>
      <c r="AC24" s="156"/>
      <c r="AD24" s="156"/>
      <c r="AE24" s="320"/>
      <c r="AF24" s="168"/>
      <c r="AG24" s="156"/>
      <c r="AH24" s="156"/>
      <c r="AI24" s="410"/>
    </row>
    <row r="25" spans="1:35" ht="19.5" hidden="1" customHeight="1">
      <c r="A25" s="137"/>
      <c r="B25" s="197">
        <f t="shared" si="1"/>
        <v>15</v>
      </c>
      <c r="C25" s="30" t="s">
        <v>206</v>
      </c>
      <c r="D25" s="30" t="s">
        <v>225</v>
      </c>
      <c r="E25" s="234" t="s">
        <v>647</v>
      </c>
      <c r="F25" s="235" t="s">
        <v>1244</v>
      </c>
      <c r="G25" s="284">
        <f>IFERROR(VLOOKUP(E25,Assign!$C$2:$J$142,8,FALSE),)</f>
        <v>0</v>
      </c>
      <c r="H25" s="363" t="s">
        <v>5469</v>
      </c>
      <c r="I25" s="324" t="s">
        <v>5480</v>
      </c>
      <c r="J25" s="237">
        <v>1</v>
      </c>
      <c r="K25" s="237">
        <v>11</v>
      </c>
      <c r="L25" s="265" t="s">
        <v>208</v>
      </c>
      <c r="M25" s="266" t="s">
        <v>261</v>
      </c>
      <c r="N25" s="266" t="s">
        <v>262</v>
      </c>
      <c r="O25" s="267" t="s">
        <v>2952</v>
      </c>
      <c r="P25" s="268" t="s">
        <v>2942</v>
      </c>
      <c r="Q25" s="269">
        <v>1049.8</v>
      </c>
      <c r="R25" s="269">
        <v>172.8</v>
      </c>
      <c r="S25" s="270"/>
      <c r="T25" s="182">
        <f>92.2934/1049.8</f>
        <v>8.7915221947037533E-2</v>
      </c>
      <c r="U25" s="182">
        <v>1</v>
      </c>
      <c r="V25" s="408">
        <v>1</v>
      </c>
      <c r="W25" s="357" t="s">
        <v>204</v>
      </c>
      <c r="X25" s="156">
        <v>6658800000</v>
      </c>
      <c r="Y25" s="417">
        <v>6658800000</v>
      </c>
      <c r="Z25" s="418" t="s">
        <v>359</v>
      </c>
      <c r="AA25" s="271"/>
      <c r="AB25" s="168"/>
      <c r="AC25" s="156"/>
      <c r="AD25" s="156"/>
      <c r="AE25" s="320"/>
      <c r="AF25" s="168"/>
      <c r="AG25" s="156"/>
      <c r="AH25" s="156"/>
      <c r="AI25" s="410"/>
    </row>
    <row r="26" spans="1:35" ht="19.5" hidden="1" customHeight="1">
      <c r="A26" s="137"/>
      <c r="B26" s="197">
        <f t="shared" si="1"/>
        <v>16</v>
      </c>
      <c r="C26" s="30" t="s">
        <v>206</v>
      </c>
      <c r="D26" s="30" t="s">
        <v>225</v>
      </c>
      <c r="E26" s="234" t="s">
        <v>647</v>
      </c>
      <c r="F26" s="235" t="s">
        <v>1244</v>
      </c>
      <c r="G26" s="284">
        <f>IFERROR(VLOOKUP(E26,Assign!$C$2:$J$142,8,FALSE),)</f>
        <v>0</v>
      </c>
      <c r="H26" s="363" t="s">
        <v>5469</v>
      </c>
      <c r="I26" s="324" t="s">
        <v>5481</v>
      </c>
      <c r="J26" s="237">
        <v>1</v>
      </c>
      <c r="K26" s="237">
        <v>12</v>
      </c>
      <c r="L26" s="265" t="s">
        <v>208</v>
      </c>
      <c r="M26" s="266" t="s">
        <v>261</v>
      </c>
      <c r="N26" s="266" t="s">
        <v>262</v>
      </c>
      <c r="O26" s="267" t="s">
        <v>2953</v>
      </c>
      <c r="P26" s="268" t="s">
        <v>2942</v>
      </c>
      <c r="Q26" s="269">
        <v>1049.8</v>
      </c>
      <c r="R26" s="269">
        <v>144</v>
      </c>
      <c r="S26" s="270"/>
      <c r="T26" s="182">
        <f>76.9112/1049.8</f>
        <v>7.3262716707944361E-2</v>
      </c>
      <c r="U26" s="182">
        <v>1</v>
      </c>
      <c r="V26" s="408">
        <v>1</v>
      </c>
      <c r="W26" s="357" t="s">
        <v>204</v>
      </c>
      <c r="X26" s="156">
        <v>6658800000</v>
      </c>
      <c r="Y26" s="417">
        <v>6658800000</v>
      </c>
      <c r="Z26" s="418" t="s">
        <v>359</v>
      </c>
      <c r="AA26" s="271"/>
      <c r="AB26" s="168"/>
      <c r="AC26" s="156"/>
      <c r="AD26" s="156"/>
      <c r="AE26" s="320"/>
      <c r="AF26" s="168"/>
      <c r="AG26" s="156"/>
      <c r="AH26" s="156"/>
      <c r="AI26" s="410"/>
    </row>
    <row r="27" spans="1:35" ht="19.5" hidden="1" customHeight="1">
      <c r="A27" s="137"/>
      <c r="B27" s="197">
        <f t="shared" si="1"/>
        <v>17</v>
      </c>
      <c r="C27" s="30" t="s">
        <v>206</v>
      </c>
      <c r="D27" s="30" t="s">
        <v>225</v>
      </c>
      <c r="E27" s="234" t="s">
        <v>647</v>
      </c>
      <c r="F27" s="235" t="s">
        <v>1244</v>
      </c>
      <c r="G27" s="284">
        <f>IFERROR(VLOOKUP(E27,Assign!$C$2:$J$142,8,FALSE),)</f>
        <v>0</v>
      </c>
      <c r="H27" s="363" t="s">
        <v>5469</v>
      </c>
      <c r="I27" s="324" t="s">
        <v>5482</v>
      </c>
      <c r="J27" s="237">
        <v>1</v>
      </c>
      <c r="K27" s="237">
        <v>13</v>
      </c>
      <c r="L27" s="265" t="s">
        <v>208</v>
      </c>
      <c r="M27" s="266" t="s">
        <v>261</v>
      </c>
      <c r="N27" s="266" t="s">
        <v>262</v>
      </c>
      <c r="O27" s="267" t="s">
        <v>2954</v>
      </c>
      <c r="P27" s="268" t="s">
        <v>2942</v>
      </c>
      <c r="Q27" s="269">
        <v>1049.8</v>
      </c>
      <c r="R27" s="269">
        <v>91.2</v>
      </c>
      <c r="S27" s="270"/>
      <c r="T27" s="182">
        <f>48.7104/1049.8</f>
        <v>4.6399695180034291E-2</v>
      </c>
      <c r="U27" s="182">
        <v>1</v>
      </c>
      <c r="V27" s="408">
        <v>1</v>
      </c>
      <c r="W27" s="357" t="s">
        <v>204</v>
      </c>
      <c r="X27" s="156">
        <v>6658800000</v>
      </c>
      <c r="Y27" s="417">
        <v>6658800000</v>
      </c>
      <c r="Z27" s="418" t="s">
        <v>359</v>
      </c>
      <c r="AA27" s="271"/>
      <c r="AB27" s="168"/>
      <c r="AC27" s="156"/>
      <c r="AD27" s="156"/>
      <c r="AE27" s="320"/>
      <c r="AF27" s="168"/>
      <c r="AG27" s="156"/>
      <c r="AH27" s="156"/>
      <c r="AI27" s="410"/>
    </row>
    <row r="28" spans="1:35" ht="19.5" hidden="1" customHeight="1">
      <c r="A28" s="137"/>
      <c r="B28" s="197">
        <f t="shared" si="1"/>
        <v>18</v>
      </c>
      <c r="C28" s="30" t="s">
        <v>206</v>
      </c>
      <c r="D28" s="30" t="s">
        <v>225</v>
      </c>
      <c r="E28" s="234" t="s">
        <v>647</v>
      </c>
      <c r="F28" s="235" t="s">
        <v>1244</v>
      </c>
      <c r="G28" s="284">
        <f>IFERROR(VLOOKUP(E28,Assign!$C$2:$J$142,8,FALSE),)</f>
        <v>0</v>
      </c>
      <c r="H28" s="363" t="s">
        <v>5469</v>
      </c>
      <c r="I28" s="324" t="s">
        <v>5483</v>
      </c>
      <c r="J28" s="237">
        <v>1</v>
      </c>
      <c r="K28" s="237">
        <v>14</v>
      </c>
      <c r="L28" s="265" t="s">
        <v>208</v>
      </c>
      <c r="M28" s="266" t="s">
        <v>261</v>
      </c>
      <c r="N28" s="266" t="s">
        <v>262</v>
      </c>
      <c r="O28" s="267" t="s">
        <v>2955</v>
      </c>
      <c r="P28" s="268" t="s">
        <v>2942</v>
      </c>
      <c r="Q28" s="269">
        <v>1049.8</v>
      </c>
      <c r="R28" s="269">
        <v>91.2</v>
      </c>
      <c r="S28" s="270"/>
      <c r="T28" s="182">
        <f>48.7104/1049.8</f>
        <v>4.6399695180034291E-2</v>
      </c>
      <c r="U28" s="182">
        <v>1</v>
      </c>
      <c r="V28" s="408">
        <v>1</v>
      </c>
      <c r="W28" s="357" t="s">
        <v>204</v>
      </c>
      <c r="X28" s="156">
        <v>6658800000</v>
      </c>
      <c r="Y28" s="417">
        <v>6658800000</v>
      </c>
      <c r="Z28" s="418" t="s">
        <v>359</v>
      </c>
      <c r="AA28" s="271"/>
      <c r="AB28" s="168"/>
      <c r="AC28" s="156"/>
      <c r="AD28" s="156"/>
      <c r="AE28" s="320"/>
      <c r="AF28" s="168"/>
      <c r="AG28" s="156"/>
      <c r="AH28" s="156"/>
      <c r="AI28" s="410"/>
    </row>
    <row r="29" spans="1:35" ht="19.5" hidden="1" customHeight="1">
      <c r="A29" s="137"/>
      <c r="B29" s="197">
        <f t="shared" si="1"/>
        <v>19</v>
      </c>
      <c r="C29" s="30" t="s">
        <v>206</v>
      </c>
      <c r="D29" s="30" t="s">
        <v>225</v>
      </c>
      <c r="E29" s="234" t="s">
        <v>647</v>
      </c>
      <c r="F29" s="235" t="s">
        <v>1244</v>
      </c>
      <c r="G29" s="284">
        <f>IFERROR(VLOOKUP(E29,Assign!$C$2:$J$142,8,FALSE),)</f>
        <v>0</v>
      </c>
      <c r="H29" s="363" t="s">
        <v>5469</v>
      </c>
      <c r="I29" s="324" t="s">
        <v>5484</v>
      </c>
      <c r="J29" s="237">
        <v>1</v>
      </c>
      <c r="K29" s="237">
        <v>15</v>
      </c>
      <c r="L29" s="265" t="s">
        <v>208</v>
      </c>
      <c r="M29" s="266" t="s">
        <v>261</v>
      </c>
      <c r="N29" s="266" t="s">
        <v>262</v>
      </c>
      <c r="O29" s="267" t="s">
        <v>2956</v>
      </c>
      <c r="P29" s="268" t="s">
        <v>2942</v>
      </c>
      <c r="Q29" s="269">
        <v>1049.8</v>
      </c>
      <c r="R29" s="269">
        <v>172.8</v>
      </c>
      <c r="S29" s="270"/>
      <c r="T29" s="182">
        <f>92.2934/1049.8</f>
        <v>8.7915221947037533E-2</v>
      </c>
      <c r="U29" s="182">
        <v>1</v>
      </c>
      <c r="V29" s="408">
        <v>1</v>
      </c>
      <c r="W29" s="357" t="s">
        <v>204</v>
      </c>
      <c r="X29" s="156">
        <v>6658800000</v>
      </c>
      <c r="Y29" s="417">
        <v>6658800000</v>
      </c>
      <c r="Z29" s="418" t="s">
        <v>359</v>
      </c>
      <c r="AA29" s="271"/>
      <c r="AB29" s="168"/>
      <c r="AC29" s="156"/>
      <c r="AD29" s="156"/>
      <c r="AE29" s="320"/>
      <c r="AF29" s="168"/>
      <c r="AG29" s="156"/>
      <c r="AH29" s="156"/>
      <c r="AI29" s="410"/>
    </row>
    <row r="30" spans="1:35" ht="19.5" hidden="1" customHeight="1">
      <c r="A30" s="137"/>
      <c r="B30" s="197">
        <f t="shared" si="1"/>
        <v>20</v>
      </c>
      <c r="C30" s="30" t="s">
        <v>206</v>
      </c>
      <c r="D30" s="30" t="s">
        <v>225</v>
      </c>
      <c r="E30" s="234" t="s">
        <v>647</v>
      </c>
      <c r="F30" s="235" t="s">
        <v>1244</v>
      </c>
      <c r="G30" s="284">
        <f>IFERROR(VLOOKUP(E30,Assign!$C$2:$J$142,8,FALSE),)</f>
        <v>0</v>
      </c>
      <c r="H30" s="363" t="s">
        <v>5469</v>
      </c>
      <c r="I30" s="324" t="s">
        <v>5485</v>
      </c>
      <c r="J30" s="237">
        <v>1</v>
      </c>
      <c r="K30" s="237">
        <v>16</v>
      </c>
      <c r="L30" s="265" t="s">
        <v>208</v>
      </c>
      <c r="M30" s="266" t="s">
        <v>261</v>
      </c>
      <c r="N30" s="266" t="s">
        <v>262</v>
      </c>
      <c r="O30" s="267" t="s">
        <v>2957</v>
      </c>
      <c r="P30" s="268" t="s">
        <v>2942</v>
      </c>
      <c r="Q30" s="269">
        <v>1049.8</v>
      </c>
      <c r="R30" s="269">
        <v>144</v>
      </c>
      <c r="S30" s="270"/>
      <c r="T30" s="182">
        <f>76.9112/1049.8</f>
        <v>7.3262716707944361E-2</v>
      </c>
      <c r="U30" s="182">
        <v>1</v>
      </c>
      <c r="V30" s="408">
        <v>1</v>
      </c>
      <c r="W30" s="357" t="s">
        <v>204</v>
      </c>
      <c r="X30" s="156">
        <v>6658800000</v>
      </c>
      <c r="Y30" s="417">
        <v>6658800000</v>
      </c>
      <c r="Z30" s="418" t="s">
        <v>359</v>
      </c>
      <c r="AA30" s="271"/>
      <c r="AB30" s="168"/>
      <c r="AC30" s="156"/>
      <c r="AD30" s="156"/>
      <c r="AE30" s="320"/>
      <c r="AF30" s="168"/>
      <c r="AG30" s="156"/>
      <c r="AH30" s="156"/>
      <c r="AI30" s="410"/>
    </row>
    <row r="31" spans="1:35" ht="19.5" hidden="1" customHeight="1">
      <c r="A31" s="137"/>
      <c r="B31" s="197">
        <f t="shared" si="1"/>
        <v>21</v>
      </c>
      <c r="C31" s="30" t="s">
        <v>206</v>
      </c>
      <c r="D31" s="30" t="s">
        <v>225</v>
      </c>
      <c r="E31" s="234" t="s">
        <v>647</v>
      </c>
      <c r="F31" s="235" t="s">
        <v>1244</v>
      </c>
      <c r="G31" s="284">
        <f>IFERROR(VLOOKUP(E31,Assign!$C$2:$J$142,8,FALSE),)</f>
        <v>0</v>
      </c>
      <c r="H31" s="363" t="s">
        <v>5469</v>
      </c>
      <c r="I31" s="324" t="s">
        <v>5486</v>
      </c>
      <c r="J31" s="237">
        <v>1</v>
      </c>
      <c r="K31" s="237">
        <v>17</v>
      </c>
      <c r="L31" s="265" t="s">
        <v>208</v>
      </c>
      <c r="M31" s="266" t="s">
        <v>261</v>
      </c>
      <c r="N31" s="266" t="s">
        <v>262</v>
      </c>
      <c r="O31" s="267" t="s">
        <v>2958</v>
      </c>
      <c r="P31" s="268" t="s">
        <v>2942</v>
      </c>
      <c r="Q31" s="269">
        <v>1049.8</v>
      </c>
      <c r="R31" s="269">
        <v>91.2</v>
      </c>
      <c r="S31" s="270"/>
      <c r="T31" s="182">
        <f>48.7104/1049.8</f>
        <v>4.6399695180034291E-2</v>
      </c>
      <c r="U31" s="182">
        <v>1</v>
      </c>
      <c r="V31" s="408">
        <v>1</v>
      </c>
      <c r="W31" s="357" t="s">
        <v>204</v>
      </c>
      <c r="X31" s="156">
        <v>6658800000</v>
      </c>
      <c r="Y31" s="417">
        <v>6658800000</v>
      </c>
      <c r="Z31" s="418" t="s">
        <v>359</v>
      </c>
      <c r="AA31" s="271"/>
      <c r="AB31" s="168"/>
      <c r="AC31" s="156"/>
      <c r="AD31" s="156"/>
      <c r="AE31" s="320"/>
      <c r="AF31" s="168"/>
      <c r="AG31" s="156"/>
      <c r="AH31" s="156"/>
      <c r="AI31" s="410"/>
    </row>
    <row r="32" spans="1:35" ht="19.5" hidden="1" customHeight="1">
      <c r="A32" s="137"/>
      <c r="B32" s="197">
        <f t="shared" si="1"/>
        <v>22</v>
      </c>
      <c r="C32" s="30" t="s">
        <v>206</v>
      </c>
      <c r="D32" s="30" t="s">
        <v>225</v>
      </c>
      <c r="E32" s="234" t="s">
        <v>647</v>
      </c>
      <c r="F32" s="235" t="s">
        <v>1244</v>
      </c>
      <c r="G32" s="284">
        <f>IFERROR(VLOOKUP(E32,Assign!$C$2:$J$142,8,FALSE),)</f>
        <v>0</v>
      </c>
      <c r="H32" s="363" t="s">
        <v>5469</v>
      </c>
      <c r="I32" s="324" t="s">
        <v>5487</v>
      </c>
      <c r="J32" s="237">
        <v>1</v>
      </c>
      <c r="K32" s="237">
        <v>18</v>
      </c>
      <c r="L32" s="265" t="s">
        <v>208</v>
      </c>
      <c r="M32" s="266" t="s">
        <v>261</v>
      </c>
      <c r="N32" s="266" t="s">
        <v>262</v>
      </c>
      <c r="O32" s="267" t="s">
        <v>2959</v>
      </c>
      <c r="P32" s="268" t="s">
        <v>2942</v>
      </c>
      <c r="Q32" s="269">
        <v>1049.8</v>
      </c>
      <c r="R32" s="269">
        <v>91.2</v>
      </c>
      <c r="S32" s="270"/>
      <c r="T32" s="182">
        <f>48.7104/1049.8</f>
        <v>4.6399695180034291E-2</v>
      </c>
      <c r="U32" s="182">
        <v>1</v>
      </c>
      <c r="V32" s="408">
        <v>1</v>
      </c>
      <c r="W32" s="357" t="s">
        <v>204</v>
      </c>
      <c r="X32" s="156">
        <v>6658800000</v>
      </c>
      <c r="Y32" s="417">
        <v>6658800000</v>
      </c>
      <c r="Z32" s="418" t="s">
        <v>359</v>
      </c>
      <c r="AA32" s="271"/>
      <c r="AB32" s="168"/>
      <c r="AC32" s="156"/>
      <c r="AD32" s="156"/>
      <c r="AE32" s="320"/>
      <c r="AF32" s="168"/>
      <c r="AG32" s="156"/>
      <c r="AH32" s="156"/>
      <c r="AI32" s="410"/>
    </row>
    <row r="33" spans="1:35" ht="19.5" hidden="1" customHeight="1">
      <c r="A33" s="137"/>
      <c r="B33" s="197">
        <f t="shared" si="1"/>
        <v>23</v>
      </c>
      <c r="C33" s="30" t="s">
        <v>206</v>
      </c>
      <c r="D33" s="30" t="s">
        <v>225</v>
      </c>
      <c r="E33" s="234" t="s">
        <v>647</v>
      </c>
      <c r="F33" s="235" t="s">
        <v>1244</v>
      </c>
      <c r="G33" s="284">
        <f>IFERROR(VLOOKUP(E33,Assign!$C$2:$J$142,8,FALSE),)</f>
        <v>0</v>
      </c>
      <c r="H33" s="197" t="s">
        <v>5488</v>
      </c>
      <c r="I33" s="324" t="s">
        <v>5489</v>
      </c>
      <c r="J33" s="237">
        <v>2</v>
      </c>
      <c r="K33" s="237">
        <v>1</v>
      </c>
      <c r="L33" s="265" t="s">
        <v>208</v>
      </c>
      <c r="M33" s="266" t="s">
        <v>261</v>
      </c>
      <c r="N33" s="266" t="s">
        <v>262</v>
      </c>
      <c r="O33" s="267" t="s">
        <v>2960</v>
      </c>
      <c r="P33" s="268" t="s">
        <v>2942</v>
      </c>
      <c r="Q33" s="269">
        <v>1049.8</v>
      </c>
      <c r="R33" s="269">
        <v>310.58999999999997</v>
      </c>
      <c r="S33" s="270"/>
      <c r="T33" s="182">
        <f>165.8878/1049.8</f>
        <v>0.15801847971042104</v>
      </c>
      <c r="U33" s="182">
        <v>1</v>
      </c>
      <c r="V33" s="408">
        <v>2</v>
      </c>
      <c r="W33" s="357" t="s">
        <v>204</v>
      </c>
      <c r="X33" s="156">
        <v>6658800000</v>
      </c>
      <c r="Y33" s="156">
        <v>6658800000</v>
      </c>
      <c r="Z33" s="418" t="s">
        <v>359</v>
      </c>
      <c r="AA33" s="271">
        <v>1</v>
      </c>
      <c r="AB33" s="168" t="s">
        <v>204</v>
      </c>
      <c r="AC33" s="156">
        <v>324000000</v>
      </c>
      <c r="AD33" s="156">
        <v>324000000</v>
      </c>
      <c r="AE33" s="320"/>
      <c r="AF33" s="168"/>
      <c r="AG33" s="156"/>
      <c r="AH33" s="156"/>
      <c r="AI33" s="410"/>
    </row>
    <row r="34" spans="1:35" ht="19.5" hidden="1" customHeight="1">
      <c r="A34" s="137"/>
      <c r="B34" s="197">
        <f t="shared" si="1"/>
        <v>24</v>
      </c>
      <c r="C34" s="30" t="s">
        <v>206</v>
      </c>
      <c r="D34" s="30" t="s">
        <v>225</v>
      </c>
      <c r="E34" s="234" t="s">
        <v>647</v>
      </c>
      <c r="F34" s="235" t="s">
        <v>1244</v>
      </c>
      <c r="G34" s="284">
        <f>IFERROR(VLOOKUP(E34,Assign!$C$2:$J$142,8,FALSE),)</f>
        <v>0</v>
      </c>
      <c r="H34" s="197" t="s">
        <v>5488</v>
      </c>
      <c r="I34" s="324" t="s">
        <v>5490</v>
      </c>
      <c r="J34" s="237">
        <v>2</v>
      </c>
      <c r="K34" s="237">
        <v>2</v>
      </c>
      <c r="L34" s="265" t="s">
        <v>208</v>
      </c>
      <c r="M34" s="266" t="s">
        <v>261</v>
      </c>
      <c r="N34" s="266" t="s">
        <v>262</v>
      </c>
      <c r="O34" s="267" t="s">
        <v>2961</v>
      </c>
      <c r="P34" s="268" t="s">
        <v>2942</v>
      </c>
      <c r="Q34" s="269">
        <v>1049.8</v>
      </c>
      <c r="R34" s="269">
        <v>95.22</v>
      </c>
      <c r="S34" s="270"/>
      <c r="T34" s="182">
        <f>50.8575/1049.8</f>
        <v>4.8444941893694041E-2</v>
      </c>
      <c r="U34" s="182">
        <v>1</v>
      </c>
      <c r="V34" s="408">
        <v>2</v>
      </c>
      <c r="W34" s="357" t="s">
        <v>204</v>
      </c>
      <c r="X34" s="156">
        <v>6658800000</v>
      </c>
      <c r="Y34" s="417">
        <v>6658800000</v>
      </c>
      <c r="Z34" s="418" t="s">
        <v>359</v>
      </c>
      <c r="AA34" s="271">
        <v>1</v>
      </c>
      <c r="AB34" s="168" t="s">
        <v>204</v>
      </c>
      <c r="AC34" s="156">
        <v>324000000</v>
      </c>
      <c r="AD34" s="156">
        <v>324000000</v>
      </c>
      <c r="AE34" s="320"/>
      <c r="AF34" s="168"/>
      <c r="AG34" s="156"/>
      <c r="AH34" s="156"/>
      <c r="AI34" s="410"/>
    </row>
    <row r="35" spans="1:35" ht="19.5" hidden="1" customHeight="1">
      <c r="A35" s="137"/>
      <c r="B35" s="197">
        <f t="shared" si="1"/>
        <v>25</v>
      </c>
      <c r="C35" s="30" t="s">
        <v>206</v>
      </c>
      <c r="D35" s="30" t="s">
        <v>225</v>
      </c>
      <c r="E35" s="234" t="s">
        <v>647</v>
      </c>
      <c r="F35" s="235" t="s">
        <v>1244</v>
      </c>
      <c r="G35" s="284">
        <f>IFERROR(VLOOKUP(E35,Assign!$C$2:$J$142,8,FALSE),)</f>
        <v>0</v>
      </c>
      <c r="H35" s="197" t="s">
        <v>5488</v>
      </c>
      <c r="I35" s="324" t="s">
        <v>5491</v>
      </c>
      <c r="J35" s="237">
        <v>2</v>
      </c>
      <c r="K35" s="237">
        <v>3</v>
      </c>
      <c r="L35" s="265" t="s">
        <v>208</v>
      </c>
      <c r="M35" s="266" t="s">
        <v>261</v>
      </c>
      <c r="N35" s="266" t="s">
        <v>262</v>
      </c>
      <c r="O35" s="267" t="s">
        <v>2962</v>
      </c>
      <c r="P35" s="268" t="s">
        <v>2942</v>
      </c>
      <c r="Q35" s="269">
        <v>1049.8</v>
      </c>
      <c r="R35" s="269">
        <v>87.97</v>
      </c>
      <c r="S35" s="270"/>
      <c r="T35" s="182">
        <f>46.9852/1049.8</f>
        <v>4.4756334539912367E-2</v>
      </c>
      <c r="U35" s="182">
        <v>1</v>
      </c>
      <c r="V35" s="408">
        <v>2</v>
      </c>
      <c r="W35" s="357" t="s">
        <v>204</v>
      </c>
      <c r="X35" s="156">
        <v>6658800000</v>
      </c>
      <c r="Y35" s="417">
        <v>6658800000</v>
      </c>
      <c r="Z35" s="418" t="s">
        <v>359</v>
      </c>
      <c r="AA35" s="271">
        <v>1</v>
      </c>
      <c r="AB35" s="168" t="s">
        <v>204</v>
      </c>
      <c r="AC35" s="156">
        <v>324000000</v>
      </c>
      <c r="AD35" s="156">
        <v>324000000</v>
      </c>
      <c r="AE35" s="320"/>
      <c r="AF35" s="168"/>
      <c r="AG35" s="156"/>
      <c r="AH35" s="156"/>
      <c r="AI35" s="410"/>
    </row>
    <row r="36" spans="1:35" ht="19.5" hidden="1" customHeight="1">
      <c r="A36" s="137"/>
      <c r="B36" s="197">
        <f t="shared" si="1"/>
        <v>26</v>
      </c>
      <c r="C36" s="30" t="s">
        <v>206</v>
      </c>
      <c r="D36" s="30" t="s">
        <v>225</v>
      </c>
      <c r="E36" s="234" t="s">
        <v>648</v>
      </c>
      <c r="F36" s="235" t="s">
        <v>1295</v>
      </c>
      <c r="G36" s="284">
        <f>IFERROR(VLOOKUP(E36,Assign!$C$2:$J$142,8,FALSE),)</f>
        <v>0</v>
      </c>
      <c r="H36" s="197" t="s">
        <v>5430</v>
      </c>
      <c r="I36" s="324" t="s">
        <v>5431</v>
      </c>
      <c r="J36" s="237">
        <v>1</v>
      </c>
      <c r="K36" s="237">
        <v>1</v>
      </c>
      <c r="L36" s="265" t="s">
        <v>223</v>
      </c>
      <c r="M36" s="266" t="s">
        <v>408</v>
      </c>
      <c r="N36" s="266" t="s">
        <v>2905</v>
      </c>
      <c r="O36" s="267" t="s">
        <v>2906</v>
      </c>
      <c r="P36" s="268" t="s">
        <v>466</v>
      </c>
      <c r="Q36" s="269"/>
      <c r="R36" s="269">
        <v>3847.05</v>
      </c>
      <c r="S36" s="270"/>
      <c r="T36" s="182"/>
      <c r="U36" s="182">
        <v>1</v>
      </c>
      <c r="V36" s="408" t="s">
        <v>229</v>
      </c>
      <c r="W36" s="357" t="s">
        <v>204</v>
      </c>
      <c r="X36" s="156">
        <v>6240000000</v>
      </c>
      <c r="Y36" s="417">
        <v>6240000000</v>
      </c>
      <c r="Z36" s="418" t="s">
        <v>359</v>
      </c>
      <c r="AA36" s="271"/>
      <c r="AB36" s="168"/>
      <c r="AC36" s="156"/>
      <c r="AD36" s="156"/>
      <c r="AE36" s="320"/>
      <c r="AF36" s="168"/>
      <c r="AG36" s="156"/>
      <c r="AH36" s="156"/>
      <c r="AI36" s="410"/>
    </row>
    <row r="37" spans="1:35" ht="19.5" hidden="1" customHeight="1">
      <c r="A37" s="137"/>
      <c r="B37" s="197">
        <f t="shared" si="1"/>
        <v>27</v>
      </c>
      <c r="C37" s="30" t="s">
        <v>206</v>
      </c>
      <c r="D37" s="30" t="s">
        <v>225</v>
      </c>
      <c r="E37" s="234" t="s">
        <v>648</v>
      </c>
      <c r="F37" s="235" t="s">
        <v>1295</v>
      </c>
      <c r="G37" s="284">
        <f>IFERROR(VLOOKUP(E37,Assign!$C$2:$J$142,8,FALSE),)</f>
        <v>0</v>
      </c>
      <c r="H37" s="197" t="s">
        <v>5430</v>
      </c>
      <c r="I37" s="324" t="s">
        <v>5432</v>
      </c>
      <c r="J37" s="237">
        <v>1</v>
      </c>
      <c r="K37" s="237">
        <v>2</v>
      </c>
      <c r="L37" s="265" t="s">
        <v>223</v>
      </c>
      <c r="M37" s="266" t="s">
        <v>408</v>
      </c>
      <c r="N37" s="266" t="s">
        <v>2905</v>
      </c>
      <c r="O37" s="267" t="s">
        <v>2907</v>
      </c>
      <c r="P37" s="268" t="s">
        <v>470</v>
      </c>
      <c r="Q37" s="269"/>
      <c r="R37" s="269">
        <f>404.28+447.29</f>
        <v>851.56999999999994</v>
      </c>
      <c r="S37" s="270"/>
      <c r="T37" s="182"/>
      <c r="U37" s="182">
        <v>1</v>
      </c>
      <c r="V37" s="408" t="s">
        <v>229</v>
      </c>
      <c r="W37" s="357" t="s">
        <v>204</v>
      </c>
      <c r="X37" s="156">
        <v>6240000000</v>
      </c>
      <c r="Y37" s="417">
        <v>6240000000</v>
      </c>
      <c r="Z37" s="418" t="s">
        <v>359</v>
      </c>
      <c r="AA37" s="271"/>
      <c r="AB37" s="168"/>
      <c r="AC37" s="156"/>
      <c r="AD37" s="156"/>
      <c r="AE37" s="320"/>
      <c r="AF37" s="168"/>
      <c r="AG37" s="156"/>
      <c r="AH37" s="156"/>
      <c r="AI37" s="410"/>
    </row>
    <row r="38" spans="1:35" ht="19.5" hidden="1" customHeight="1">
      <c r="A38" s="137"/>
      <c r="B38" s="197">
        <f t="shared" si="1"/>
        <v>28</v>
      </c>
      <c r="C38" s="30" t="s">
        <v>206</v>
      </c>
      <c r="D38" s="30" t="s">
        <v>225</v>
      </c>
      <c r="E38" s="234" t="s">
        <v>648</v>
      </c>
      <c r="F38" s="235" t="s">
        <v>1295</v>
      </c>
      <c r="G38" s="284">
        <f>IFERROR(VLOOKUP(E38,Assign!$C$2:$J$142,8,FALSE),)</f>
        <v>0</v>
      </c>
      <c r="H38" s="197" t="s">
        <v>5430</v>
      </c>
      <c r="I38" s="324" t="s">
        <v>5433</v>
      </c>
      <c r="J38" s="237">
        <v>1</v>
      </c>
      <c r="K38" s="237">
        <v>3</v>
      </c>
      <c r="L38" s="265" t="s">
        <v>223</v>
      </c>
      <c r="M38" s="266" t="s">
        <v>408</v>
      </c>
      <c r="N38" s="266" t="s">
        <v>2905</v>
      </c>
      <c r="O38" s="267" t="s">
        <v>2908</v>
      </c>
      <c r="P38" s="268" t="s">
        <v>447</v>
      </c>
      <c r="Q38" s="269">
        <v>7766.5</v>
      </c>
      <c r="R38" s="269"/>
      <c r="S38" s="270"/>
      <c r="T38" s="182"/>
      <c r="U38" s="182">
        <v>1</v>
      </c>
      <c r="V38" s="408" t="s">
        <v>229</v>
      </c>
      <c r="W38" s="357" t="s">
        <v>204</v>
      </c>
      <c r="X38" s="156">
        <v>6240000000</v>
      </c>
      <c r="Y38" s="417">
        <v>6240000000</v>
      </c>
      <c r="Z38" s="418" t="s">
        <v>359</v>
      </c>
      <c r="AA38" s="271"/>
      <c r="AB38" s="168"/>
      <c r="AC38" s="156"/>
      <c r="AD38" s="156"/>
      <c r="AE38" s="320"/>
      <c r="AF38" s="168"/>
      <c r="AG38" s="156"/>
      <c r="AH38" s="156"/>
      <c r="AI38" s="410"/>
    </row>
    <row r="39" spans="1:35" ht="19.5" hidden="1" customHeight="1">
      <c r="A39" s="137"/>
      <c r="B39" s="197">
        <f t="shared" si="1"/>
        <v>29</v>
      </c>
      <c r="C39" s="30" t="s">
        <v>206</v>
      </c>
      <c r="D39" s="30" t="s">
        <v>225</v>
      </c>
      <c r="E39" s="234" t="s">
        <v>649</v>
      </c>
      <c r="F39" s="235" t="s">
        <v>1296</v>
      </c>
      <c r="G39" s="284">
        <f>IFERROR(VLOOKUP(E39,Assign!$C$2:$J$142,8,FALSE),)</f>
        <v>0</v>
      </c>
      <c r="H39" s="197" t="s">
        <v>5443</v>
      </c>
      <c r="I39" s="324" t="s">
        <v>5444</v>
      </c>
      <c r="J39" s="237">
        <v>1</v>
      </c>
      <c r="K39" s="237">
        <v>1</v>
      </c>
      <c r="L39" s="265" t="s">
        <v>214</v>
      </c>
      <c r="M39" s="266" t="s">
        <v>2918</v>
      </c>
      <c r="N39" s="266" t="s">
        <v>2919</v>
      </c>
      <c r="O39" s="267" t="s">
        <v>2920</v>
      </c>
      <c r="P39" s="268" t="s">
        <v>447</v>
      </c>
      <c r="Q39" s="269">
        <v>1919</v>
      </c>
      <c r="R39" s="269"/>
      <c r="S39" s="270"/>
      <c r="T39" s="182"/>
      <c r="U39" s="182">
        <v>1</v>
      </c>
      <c r="V39" s="408" t="s">
        <v>233</v>
      </c>
      <c r="W39" s="357" t="s">
        <v>204</v>
      </c>
      <c r="X39" s="156">
        <v>6710400000</v>
      </c>
      <c r="Y39" s="417">
        <v>6710400000</v>
      </c>
      <c r="Z39" s="418" t="s">
        <v>359</v>
      </c>
      <c r="AA39" s="271"/>
      <c r="AB39" s="168"/>
      <c r="AC39" s="156"/>
      <c r="AD39" s="156"/>
      <c r="AE39" s="320"/>
      <c r="AF39" s="168"/>
      <c r="AG39" s="156"/>
      <c r="AH39" s="156"/>
      <c r="AI39" s="410"/>
    </row>
    <row r="40" spans="1:35" ht="19.5" hidden="1" customHeight="1">
      <c r="A40" s="137"/>
      <c r="B40" s="197">
        <f t="shared" si="1"/>
        <v>30</v>
      </c>
      <c r="C40" s="30" t="s">
        <v>206</v>
      </c>
      <c r="D40" s="30" t="s">
        <v>225</v>
      </c>
      <c r="E40" s="234" t="s">
        <v>649</v>
      </c>
      <c r="F40" s="235" t="s">
        <v>1296</v>
      </c>
      <c r="G40" s="284">
        <f>IFERROR(VLOOKUP(E40,Assign!$C$2:$J$142,8,FALSE),)</f>
        <v>0</v>
      </c>
      <c r="H40" s="197" t="s">
        <v>5443</v>
      </c>
      <c r="I40" s="324" t="s">
        <v>5445</v>
      </c>
      <c r="J40" s="237">
        <v>1</v>
      </c>
      <c r="K40" s="237">
        <v>2</v>
      </c>
      <c r="L40" s="265" t="s">
        <v>214</v>
      </c>
      <c r="M40" s="266" t="s">
        <v>2918</v>
      </c>
      <c r="N40" s="266" t="s">
        <v>2919</v>
      </c>
      <c r="O40" s="267" t="s">
        <v>2921</v>
      </c>
      <c r="P40" s="268" t="s">
        <v>450</v>
      </c>
      <c r="Q40" s="269">
        <v>67</v>
      </c>
      <c r="R40" s="269"/>
      <c r="S40" s="270"/>
      <c r="T40" s="182"/>
      <c r="U40" s="182">
        <v>1</v>
      </c>
      <c r="V40" s="408" t="s">
        <v>233</v>
      </c>
      <c r="W40" s="357" t="s">
        <v>204</v>
      </c>
      <c r="X40" s="156">
        <v>6710400000</v>
      </c>
      <c r="Y40" s="417">
        <v>6710400000</v>
      </c>
      <c r="Z40" s="418" t="s">
        <v>359</v>
      </c>
      <c r="AA40" s="271"/>
      <c r="AB40" s="168"/>
      <c r="AC40" s="156"/>
      <c r="AD40" s="156"/>
      <c r="AE40" s="320"/>
      <c r="AF40" s="168"/>
      <c r="AG40" s="156"/>
      <c r="AH40" s="156"/>
      <c r="AI40" s="410"/>
    </row>
    <row r="41" spans="1:35" ht="19.5" hidden="1" customHeight="1">
      <c r="A41" s="137"/>
      <c r="B41" s="197">
        <f t="shared" si="1"/>
        <v>31</v>
      </c>
      <c r="C41" s="30" t="s">
        <v>206</v>
      </c>
      <c r="D41" s="30" t="s">
        <v>225</v>
      </c>
      <c r="E41" s="234" t="s">
        <v>649</v>
      </c>
      <c r="F41" s="235" t="s">
        <v>1296</v>
      </c>
      <c r="G41" s="284">
        <f>IFERROR(VLOOKUP(E41,Assign!$C$2:$J$142,8,FALSE),)</f>
        <v>0</v>
      </c>
      <c r="H41" s="197" t="s">
        <v>5443</v>
      </c>
      <c r="I41" s="324" t="s">
        <v>5446</v>
      </c>
      <c r="J41" s="237">
        <v>1</v>
      </c>
      <c r="K41" s="237">
        <v>3</v>
      </c>
      <c r="L41" s="265" t="s">
        <v>214</v>
      </c>
      <c r="M41" s="266" t="s">
        <v>2918</v>
      </c>
      <c r="N41" s="266" t="s">
        <v>2919</v>
      </c>
      <c r="O41" s="267" t="s">
        <v>2922</v>
      </c>
      <c r="P41" s="268" t="s">
        <v>447</v>
      </c>
      <c r="Q41" s="269">
        <v>14083</v>
      </c>
      <c r="R41" s="269"/>
      <c r="S41" s="270"/>
      <c r="T41" s="182"/>
      <c r="U41" s="182">
        <v>1</v>
      </c>
      <c r="V41" s="408" t="s">
        <v>233</v>
      </c>
      <c r="W41" s="357" t="s">
        <v>204</v>
      </c>
      <c r="X41" s="156">
        <v>6710400000</v>
      </c>
      <c r="Y41" s="417">
        <v>6710400000</v>
      </c>
      <c r="Z41" s="418" t="s">
        <v>359</v>
      </c>
      <c r="AA41" s="271"/>
      <c r="AB41" s="168"/>
      <c r="AC41" s="156"/>
      <c r="AD41" s="156"/>
      <c r="AE41" s="320"/>
      <c r="AF41" s="168"/>
      <c r="AG41" s="156"/>
      <c r="AH41" s="156"/>
      <c r="AI41" s="410"/>
    </row>
    <row r="42" spans="1:35" ht="19.5" hidden="1" customHeight="1">
      <c r="A42" s="137"/>
      <c r="B42" s="197">
        <f t="shared" si="1"/>
        <v>32</v>
      </c>
      <c r="C42" s="30" t="s">
        <v>206</v>
      </c>
      <c r="D42" s="30" t="s">
        <v>225</v>
      </c>
      <c r="E42" s="234" t="s">
        <v>649</v>
      </c>
      <c r="F42" s="235" t="s">
        <v>1296</v>
      </c>
      <c r="G42" s="284">
        <f>IFERROR(VLOOKUP(E42,Assign!$C$2:$J$142,8,FALSE),)</f>
        <v>0</v>
      </c>
      <c r="H42" s="197" t="s">
        <v>5443</v>
      </c>
      <c r="I42" s="324" t="s">
        <v>5447</v>
      </c>
      <c r="J42" s="237">
        <v>1</v>
      </c>
      <c r="K42" s="237">
        <v>4</v>
      </c>
      <c r="L42" s="265" t="s">
        <v>214</v>
      </c>
      <c r="M42" s="266" t="s">
        <v>2918</v>
      </c>
      <c r="N42" s="266" t="s">
        <v>2919</v>
      </c>
      <c r="O42" s="267" t="s">
        <v>2923</v>
      </c>
      <c r="P42" s="268" t="s">
        <v>447</v>
      </c>
      <c r="Q42" s="269">
        <v>1376</v>
      </c>
      <c r="R42" s="269"/>
      <c r="S42" s="270"/>
      <c r="T42" s="182"/>
      <c r="U42" s="182">
        <v>1</v>
      </c>
      <c r="V42" s="408" t="s">
        <v>233</v>
      </c>
      <c r="W42" s="357" t="s">
        <v>204</v>
      </c>
      <c r="X42" s="156">
        <v>6710400000</v>
      </c>
      <c r="Y42" s="417">
        <v>6710400000</v>
      </c>
      <c r="Z42" s="418" t="s">
        <v>359</v>
      </c>
      <c r="AA42" s="271"/>
      <c r="AB42" s="168"/>
      <c r="AC42" s="156"/>
      <c r="AD42" s="156"/>
      <c r="AE42" s="320"/>
      <c r="AF42" s="168"/>
      <c r="AG42" s="156"/>
      <c r="AH42" s="156"/>
      <c r="AI42" s="410"/>
    </row>
    <row r="43" spans="1:35" ht="19.5" hidden="1" customHeight="1">
      <c r="A43" s="137"/>
      <c r="B43" s="197">
        <f t="shared" si="1"/>
        <v>33</v>
      </c>
      <c r="C43" s="30" t="s">
        <v>206</v>
      </c>
      <c r="D43" s="30" t="s">
        <v>225</v>
      </c>
      <c r="E43" s="234" t="s">
        <v>649</v>
      </c>
      <c r="F43" s="235" t="s">
        <v>1296</v>
      </c>
      <c r="G43" s="284">
        <f>IFERROR(VLOOKUP(E43,Assign!$C$2:$J$142,8,FALSE),)</f>
        <v>0</v>
      </c>
      <c r="H43" s="197" t="s">
        <v>5443</v>
      </c>
      <c r="I43" s="324" t="s">
        <v>5448</v>
      </c>
      <c r="J43" s="237">
        <v>1</v>
      </c>
      <c r="K43" s="237">
        <v>5</v>
      </c>
      <c r="L43" s="265" t="s">
        <v>214</v>
      </c>
      <c r="M43" s="266" t="s">
        <v>2918</v>
      </c>
      <c r="N43" s="266" t="s">
        <v>2919</v>
      </c>
      <c r="O43" s="267" t="s">
        <v>2924</v>
      </c>
      <c r="P43" s="268" t="s">
        <v>447</v>
      </c>
      <c r="Q43" s="269">
        <v>31732</v>
      </c>
      <c r="R43" s="269"/>
      <c r="S43" s="270"/>
      <c r="T43" s="182"/>
      <c r="U43" s="182">
        <v>1</v>
      </c>
      <c r="V43" s="408" t="s">
        <v>233</v>
      </c>
      <c r="W43" s="357" t="s">
        <v>204</v>
      </c>
      <c r="X43" s="156">
        <v>6710400000</v>
      </c>
      <c r="Y43" s="417">
        <v>6710400000</v>
      </c>
      <c r="Z43" s="418" t="s">
        <v>359</v>
      </c>
      <c r="AA43" s="271"/>
      <c r="AB43" s="168"/>
      <c r="AC43" s="156"/>
      <c r="AD43" s="156"/>
      <c r="AE43" s="320"/>
      <c r="AF43" s="168"/>
      <c r="AG43" s="156"/>
      <c r="AH43" s="156"/>
      <c r="AI43" s="410"/>
    </row>
    <row r="44" spans="1:35" ht="19.5" hidden="1" customHeight="1">
      <c r="A44" s="137"/>
      <c r="B44" s="197">
        <f t="shared" si="1"/>
        <v>34</v>
      </c>
      <c r="C44" s="30" t="s">
        <v>206</v>
      </c>
      <c r="D44" s="30" t="s">
        <v>225</v>
      </c>
      <c r="E44" s="234" t="s">
        <v>649</v>
      </c>
      <c r="F44" s="235" t="s">
        <v>1296</v>
      </c>
      <c r="G44" s="284">
        <f>IFERROR(VLOOKUP(E44,Assign!$C$2:$J$142,8,FALSE),)</f>
        <v>0</v>
      </c>
      <c r="H44" s="197" t="s">
        <v>5443</v>
      </c>
      <c r="I44" s="324" t="s">
        <v>5449</v>
      </c>
      <c r="J44" s="237">
        <v>1</v>
      </c>
      <c r="K44" s="237">
        <v>6</v>
      </c>
      <c r="L44" s="265" t="s">
        <v>214</v>
      </c>
      <c r="M44" s="266" t="s">
        <v>2918</v>
      </c>
      <c r="N44" s="266" t="s">
        <v>2919</v>
      </c>
      <c r="O44" s="267" t="s">
        <v>2925</v>
      </c>
      <c r="P44" s="268" t="s">
        <v>447</v>
      </c>
      <c r="Q44" s="269">
        <v>1243</v>
      </c>
      <c r="R44" s="269"/>
      <c r="S44" s="270"/>
      <c r="T44" s="182"/>
      <c r="U44" s="182">
        <v>1</v>
      </c>
      <c r="V44" s="408" t="s">
        <v>233</v>
      </c>
      <c r="W44" s="357" t="s">
        <v>204</v>
      </c>
      <c r="X44" s="156">
        <v>6710400000</v>
      </c>
      <c r="Y44" s="417">
        <v>6710400000</v>
      </c>
      <c r="Z44" s="418" t="s">
        <v>359</v>
      </c>
      <c r="AA44" s="271"/>
      <c r="AB44" s="168"/>
      <c r="AC44" s="156"/>
      <c r="AD44" s="156"/>
      <c r="AE44" s="320"/>
      <c r="AF44" s="168"/>
      <c r="AG44" s="156"/>
      <c r="AH44" s="156"/>
      <c r="AI44" s="410"/>
    </row>
    <row r="45" spans="1:35" ht="19.5" hidden="1" customHeight="1">
      <c r="A45" s="137"/>
      <c r="B45" s="197">
        <f t="shared" si="1"/>
        <v>35</v>
      </c>
      <c r="C45" s="30" t="s">
        <v>206</v>
      </c>
      <c r="D45" s="30" t="s">
        <v>225</v>
      </c>
      <c r="E45" s="234" t="s">
        <v>649</v>
      </c>
      <c r="F45" s="235" t="s">
        <v>1296</v>
      </c>
      <c r="G45" s="284">
        <f>IFERROR(VLOOKUP(E45,Assign!$C$2:$J$142,8,FALSE),)</f>
        <v>0</v>
      </c>
      <c r="H45" s="197" t="s">
        <v>5443</v>
      </c>
      <c r="I45" s="324" t="s">
        <v>5450</v>
      </c>
      <c r="J45" s="237">
        <v>1</v>
      </c>
      <c r="K45" s="237">
        <v>7</v>
      </c>
      <c r="L45" s="265" t="s">
        <v>214</v>
      </c>
      <c r="M45" s="266" t="s">
        <v>2918</v>
      </c>
      <c r="N45" s="266" t="s">
        <v>2919</v>
      </c>
      <c r="O45" s="267" t="s">
        <v>2926</v>
      </c>
      <c r="P45" s="268" t="s">
        <v>245</v>
      </c>
      <c r="Q45" s="269">
        <v>1884</v>
      </c>
      <c r="R45" s="269"/>
      <c r="S45" s="270"/>
      <c r="T45" s="182"/>
      <c r="U45" s="182">
        <v>1</v>
      </c>
      <c r="V45" s="408" t="s">
        <v>233</v>
      </c>
      <c r="W45" s="357" t="s">
        <v>204</v>
      </c>
      <c r="X45" s="156">
        <v>6710400000</v>
      </c>
      <c r="Y45" s="417">
        <v>6710400000</v>
      </c>
      <c r="Z45" s="418" t="s">
        <v>359</v>
      </c>
      <c r="AA45" s="271"/>
      <c r="AB45" s="168"/>
      <c r="AC45" s="156"/>
      <c r="AD45" s="156"/>
      <c r="AE45" s="320"/>
      <c r="AF45" s="168"/>
      <c r="AG45" s="156"/>
      <c r="AH45" s="156"/>
      <c r="AI45" s="410"/>
    </row>
    <row r="46" spans="1:35" ht="19.5" hidden="1" customHeight="1">
      <c r="A46" s="137"/>
      <c r="B46" s="197">
        <f t="shared" si="1"/>
        <v>36</v>
      </c>
      <c r="C46" s="30" t="s">
        <v>206</v>
      </c>
      <c r="D46" s="30" t="s">
        <v>225</v>
      </c>
      <c r="E46" s="234" t="s">
        <v>650</v>
      </c>
      <c r="F46" s="235" t="s">
        <v>1297</v>
      </c>
      <c r="G46" s="284">
        <f>IFERROR(VLOOKUP(E46,Assign!$C$2:$J$142,8,FALSE),)</f>
        <v>0</v>
      </c>
      <c r="H46" s="197" t="s">
        <v>5460</v>
      </c>
      <c r="I46" s="324" t="s">
        <v>5461</v>
      </c>
      <c r="J46" s="237">
        <v>1</v>
      </c>
      <c r="K46" s="237">
        <v>1</v>
      </c>
      <c r="L46" s="265" t="s">
        <v>214</v>
      </c>
      <c r="M46" s="266" t="s">
        <v>349</v>
      </c>
      <c r="N46" s="266" t="s">
        <v>560</v>
      </c>
      <c r="O46" s="267" t="s">
        <v>2934</v>
      </c>
      <c r="P46" s="268" t="s">
        <v>3059</v>
      </c>
      <c r="Q46" s="269">
        <v>6629.4</v>
      </c>
      <c r="R46" s="269">
        <v>529.82000000000005</v>
      </c>
      <c r="S46" s="270"/>
      <c r="T46" s="182">
        <f>148.537/6629.4</f>
        <v>2.2405798413129396E-2</v>
      </c>
      <c r="U46" s="182">
        <v>1</v>
      </c>
      <c r="V46" s="408">
        <v>1</v>
      </c>
      <c r="W46" s="357" t="s">
        <v>204</v>
      </c>
      <c r="X46" s="156">
        <v>5400000000</v>
      </c>
      <c r="Y46" s="417">
        <v>5400000000</v>
      </c>
      <c r="Z46" s="418" t="s">
        <v>359</v>
      </c>
      <c r="AA46" s="271"/>
      <c r="AB46" s="168"/>
      <c r="AC46" s="156"/>
      <c r="AD46" s="156"/>
      <c r="AE46" s="320"/>
      <c r="AF46" s="168"/>
      <c r="AG46" s="156"/>
      <c r="AH46" s="156"/>
      <c r="AI46" s="410"/>
    </row>
    <row r="47" spans="1:35" ht="19.5" hidden="1" customHeight="1">
      <c r="A47" s="137"/>
      <c r="B47" s="197">
        <f t="shared" si="1"/>
        <v>37</v>
      </c>
      <c r="C47" s="30" t="s">
        <v>206</v>
      </c>
      <c r="D47" s="30" t="s">
        <v>225</v>
      </c>
      <c r="E47" s="234" t="s">
        <v>650</v>
      </c>
      <c r="F47" s="235" t="s">
        <v>1297</v>
      </c>
      <c r="G47" s="284">
        <f>IFERROR(VLOOKUP(E47,Assign!$C$2:$J$142,8,FALSE),)</f>
        <v>0</v>
      </c>
      <c r="H47" s="197" t="s">
        <v>5460</v>
      </c>
      <c r="I47" s="324" t="s">
        <v>5462</v>
      </c>
      <c r="J47" s="237">
        <v>1</v>
      </c>
      <c r="K47" s="237">
        <v>2</v>
      </c>
      <c r="L47" s="265" t="s">
        <v>214</v>
      </c>
      <c r="M47" s="266" t="s">
        <v>349</v>
      </c>
      <c r="N47" s="266" t="s">
        <v>560</v>
      </c>
      <c r="O47" s="267" t="s">
        <v>2935</v>
      </c>
      <c r="P47" s="268" t="s">
        <v>3059</v>
      </c>
      <c r="Q47" s="269">
        <v>6629.4</v>
      </c>
      <c r="R47" s="269">
        <v>574.86</v>
      </c>
      <c r="S47" s="270"/>
      <c r="T47" s="182">
        <f>143.558/6629.4</f>
        <v>2.1654750052795126E-2</v>
      </c>
      <c r="U47" s="182">
        <v>1</v>
      </c>
      <c r="V47" s="408">
        <v>1</v>
      </c>
      <c r="W47" s="357" t="s">
        <v>204</v>
      </c>
      <c r="X47" s="156">
        <v>5400000000</v>
      </c>
      <c r="Y47" s="417">
        <v>5400000000</v>
      </c>
      <c r="Z47" s="418" t="s">
        <v>359</v>
      </c>
      <c r="AA47" s="271"/>
      <c r="AB47" s="168"/>
      <c r="AC47" s="156"/>
      <c r="AD47" s="156"/>
      <c r="AE47" s="320"/>
      <c r="AF47" s="168"/>
      <c r="AG47" s="156"/>
      <c r="AH47" s="156"/>
      <c r="AI47" s="410"/>
    </row>
    <row r="48" spans="1:35" ht="19.5" hidden="1" customHeight="1">
      <c r="A48" s="137"/>
      <c r="B48" s="197">
        <f t="shared" si="1"/>
        <v>38</v>
      </c>
      <c r="C48" s="30" t="s">
        <v>206</v>
      </c>
      <c r="D48" s="30" t="s">
        <v>225</v>
      </c>
      <c r="E48" s="234" t="s">
        <v>651</v>
      </c>
      <c r="F48" s="235" t="s">
        <v>1298</v>
      </c>
      <c r="G48" s="284">
        <f>IFERROR(VLOOKUP(E48,Assign!$C$2:$J$142,8,FALSE),)</f>
        <v>0</v>
      </c>
      <c r="H48" s="197" t="s">
        <v>5317</v>
      </c>
      <c r="I48" s="324" t="s">
        <v>5318</v>
      </c>
      <c r="J48" s="237">
        <v>1</v>
      </c>
      <c r="K48" s="237">
        <v>1</v>
      </c>
      <c r="L48" s="265" t="s">
        <v>219</v>
      </c>
      <c r="M48" s="266" t="s">
        <v>2796</v>
      </c>
      <c r="N48" s="266" t="s">
        <v>2797</v>
      </c>
      <c r="O48" s="267" t="s">
        <v>2798</v>
      </c>
      <c r="P48" s="268" t="s">
        <v>470</v>
      </c>
      <c r="Q48" s="269"/>
      <c r="R48" s="269">
        <f>893.5+97</f>
        <v>990.5</v>
      </c>
      <c r="S48" s="270"/>
      <c r="T48" s="182"/>
      <c r="U48" s="182">
        <v>1</v>
      </c>
      <c r="V48" s="408" t="s">
        <v>233</v>
      </c>
      <c r="W48" s="357" t="s">
        <v>204</v>
      </c>
      <c r="X48" s="156">
        <v>4695600000</v>
      </c>
      <c r="Y48" s="417">
        <v>4695600000</v>
      </c>
      <c r="Z48" s="418" t="s">
        <v>359</v>
      </c>
      <c r="AA48" s="271"/>
      <c r="AB48" s="168"/>
      <c r="AC48" s="156"/>
      <c r="AD48" s="156"/>
      <c r="AE48" s="320"/>
      <c r="AF48" s="168"/>
      <c r="AG48" s="156"/>
      <c r="AH48" s="156"/>
      <c r="AI48" s="410"/>
    </row>
    <row r="49" spans="1:35" ht="19.5" hidden="1" customHeight="1">
      <c r="A49" s="137"/>
      <c r="B49" s="197">
        <f t="shared" si="1"/>
        <v>39</v>
      </c>
      <c r="C49" s="30" t="s">
        <v>206</v>
      </c>
      <c r="D49" s="30" t="s">
        <v>225</v>
      </c>
      <c r="E49" s="234" t="s">
        <v>651</v>
      </c>
      <c r="F49" s="235" t="s">
        <v>1298</v>
      </c>
      <c r="G49" s="284">
        <f>IFERROR(VLOOKUP(E49,Assign!$C$2:$J$142,8,FALSE),)</f>
        <v>0</v>
      </c>
      <c r="H49" s="197" t="s">
        <v>5317</v>
      </c>
      <c r="I49" s="324" t="s">
        <v>5319</v>
      </c>
      <c r="J49" s="237">
        <v>1</v>
      </c>
      <c r="K49" s="237">
        <v>2</v>
      </c>
      <c r="L49" s="265" t="s">
        <v>219</v>
      </c>
      <c r="M49" s="266" t="s">
        <v>2796</v>
      </c>
      <c r="N49" s="266" t="s">
        <v>2797</v>
      </c>
      <c r="O49" s="267" t="s">
        <v>2799</v>
      </c>
      <c r="P49" s="268" t="s">
        <v>466</v>
      </c>
      <c r="Q49" s="269"/>
      <c r="R49" s="269">
        <v>995</v>
      </c>
      <c r="S49" s="270"/>
      <c r="T49" s="182"/>
      <c r="U49" s="182">
        <v>1</v>
      </c>
      <c r="V49" s="408" t="s">
        <v>233</v>
      </c>
      <c r="W49" s="357" t="s">
        <v>204</v>
      </c>
      <c r="X49" s="156">
        <v>4695600000</v>
      </c>
      <c r="Y49" s="417">
        <v>4695600000</v>
      </c>
      <c r="Z49" s="418" t="s">
        <v>359</v>
      </c>
      <c r="AA49" s="271"/>
      <c r="AB49" s="168"/>
      <c r="AC49" s="156"/>
      <c r="AD49" s="156"/>
      <c r="AE49" s="320"/>
      <c r="AF49" s="168"/>
      <c r="AG49" s="156"/>
      <c r="AH49" s="156"/>
      <c r="AI49" s="410"/>
    </row>
    <row r="50" spans="1:35" ht="19.5" hidden="1" customHeight="1">
      <c r="A50" s="137"/>
      <c r="B50" s="197">
        <f t="shared" si="1"/>
        <v>40</v>
      </c>
      <c r="C50" s="30" t="s">
        <v>206</v>
      </c>
      <c r="D50" s="30" t="s">
        <v>225</v>
      </c>
      <c r="E50" s="234" t="s">
        <v>651</v>
      </c>
      <c r="F50" s="235" t="s">
        <v>1298</v>
      </c>
      <c r="G50" s="284">
        <f>IFERROR(VLOOKUP(E50,Assign!$C$2:$J$142,8,FALSE),)</f>
        <v>0</v>
      </c>
      <c r="H50" s="197" t="s">
        <v>5317</v>
      </c>
      <c r="I50" s="324" t="s">
        <v>5320</v>
      </c>
      <c r="J50" s="237">
        <v>1</v>
      </c>
      <c r="K50" s="237">
        <v>3</v>
      </c>
      <c r="L50" s="265" t="s">
        <v>219</v>
      </c>
      <c r="M50" s="266" t="s">
        <v>2796</v>
      </c>
      <c r="N50" s="266" t="s">
        <v>2797</v>
      </c>
      <c r="O50" s="267" t="s">
        <v>2800</v>
      </c>
      <c r="P50" s="268" t="s">
        <v>447</v>
      </c>
      <c r="Q50" s="269">
        <v>8265.9</v>
      </c>
      <c r="R50" s="269"/>
      <c r="S50" s="270"/>
      <c r="T50" s="182"/>
      <c r="U50" s="182">
        <v>1</v>
      </c>
      <c r="V50" s="408" t="s">
        <v>233</v>
      </c>
      <c r="W50" s="357" t="s">
        <v>204</v>
      </c>
      <c r="X50" s="156">
        <v>4695600000</v>
      </c>
      <c r="Y50" s="417">
        <v>4695600000</v>
      </c>
      <c r="Z50" s="418" t="s">
        <v>359</v>
      </c>
      <c r="AA50" s="271"/>
      <c r="AB50" s="168"/>
      <c r="AC50" s="156"/>
      <c r="AD50" s="156"/>
      <c r="AE50" s="320"/>
      <c r="AF50" s="168"/>
      <c r="AG50" s="156"/>
      <c r="AH50" s="156"/>
      <c r="AI50" s="410"/>
    </row>
    <row r="51" spans="1:35" ht="19.5" hidden="1" customHeight="1">
      <c r="A51" s="137"/>
      <c r="B51" s="197">
        <f t="shared" si="1"/>
        <v>41</v>
      </c>
      <c r="C51" s="30" t="s">
        <v>206</v>
      </c>
      <c r="D51" s="30" t="s">
        <v>225</v>
      </c>
      <c r="E51" s="234" t="s">
        <v>651</v>
      </c>
      <c r="F51" s="235" t="s">
        <v>1298</v>
      </c>
      <c r="G51" s="284">
        <f>IFERROR(VLOOKUP(E51,Assign!$C$2:$J$142,8,FALSE),)</f>
        <v>0</v>
      </c>
      <c r="H51" s="197" t="s">
        <v>5321</v>
      </c>
      <c r="I51" s="324" t="s">
        <v>5322</v>
      </c>
      <c r="J51" s="237">
        <v>2</v>
      </c>
      <c r="K51" s="237">
        <v>1</v>
      </c>
      <c r="L51" s="265" t="s">
        <v>219</v>
      </c>
      <c r="M51" s="266" t="s">
        <v>2796</v>
      </c>
      <c r="N51" s="266" t="s">
        <v>2801</v>
      </c>
      <c r="O51" s="267" t="s">
        <v>2802</v>
      </c>
      <c r="P51" s="268" t="s">
        <v>434</v>
      </c>
      <c r="Q51" s="269">
        <v>40591.9</v>
      </c>
      <c r="R51" s="269">
        <v>133.97</v>
      </c>
      <c r="S51" s="270"/>
      <c r="T51" s="182">
        <f>61.073/40591.9</f>
        <v>1.5045612548316289E-3</v>
      </c>
      <c r="U51" s="182">
        <v>1</v>
      </c>
      <c r="V51" s="408">
        <v>3</v>
      </c>
      <c r="W51" s="357" t="s">
        <v>204</v>
      </c>
      <c r="X51" s="156">
        <v>66000000</v>
      </c>
      <c r="Y51" s="417">
        <v>66000000</v>
      </c>
      <c r="Z51" s="418" t="s">
        <v>359</v>
      </c>
      <c r="AA51" s="271" t="s">
        <v>229</v>
      </c>
      <c r="AB51" s="168" t="s">
        <v>204</v>
      </c>
      <c r="AC51" s="156">
        <v>367650000</v>
      </c>
      <c r="AD51" s="156">
        <v>367650000</v>
      </c>
      <c r="AE51" s="320"/>
      <c r="AF51" s="168"/>
      <c r="AG51" s="156"/>
      <c r="AH51" s="156"/>
      <c r="AI51" s="410"/>
    </row>
    <row r="52" spans="1:35" ht="19.5" hidden="1" customHeight="1">
      <c r="A52" s="137"/>
      <c r="B52" s="197">
        <f t="shared" si="1"/>
        <v>42</v>
      </c>
      <c r="C52" s="30" t="s">
        <v>206</v>
      </c>
      <c r="D52" s="30" t="s">
        <v>225</v>
      </c>
      <c r="E52" s="234" t="s">
        <v>652</v>
      </c>
      <c r="F52" s="235" t="s">
        <v>1299</v>
      </c>
      <c r="G52" s="284">
        <f>IFERROR(VLOOKUP(E52,Assign!$C$2:$J$142,8,FALSE),)</f>
        <v>0</v>
      </c>
      <c r="H52" s="197" t="s">
        <v>5273</v>
      </c>
      <c r="I52" s="324" t="s">
        <v>5274</v>
      </c>
      <c r="J52" s="237">
        <v>1</v>
      </c>
      <c r="K52" s="237">
        <v>1</v>
      </c>
      <c r="L52" s="265" t="s">
        <v>219</v>
      </c>
      <c r="M52" s="266" t="s">
        <v>2759</v>
      </c>
      <c r="N52" s="266" t="s">
        <v>2760</v>
      </c>
      <c r="O52" s="267" t="s">
        <v>2761</v>
      </c>
      <c r="P52" s="268" t="s">
        <v>470</v>
      </c>
      <c r="Q52" s="269"/>
      <c r="R52" s="269">
        <f>1483.42+599.1</f>
        <v>2082.52</v>
      </c>
      <c r="S52" s="270"/>
      <c r="T52" s="182"/>
      <c r="U52" s="182">
        <v>1</v>
      </c>
      <c r="V52" s="408" t="s">
        <v>229</v>
      </c>
      <c r="W52" s="357" t="s">
        <v>204</v>
      </c>
      <c r="X52" s="156">
        <v>4344000000</v>
      </c>
      <c r="Y52" s="417">
        <v>4344000000</v>
      </c>
      <c r="Z52" s="418" t="s">
        <v>359</v>
      </c>
      <c r="AA52" s="271"/>
      <c r="AB52" s="168"/>
      <c r="AC52" s="156"/>
      <c r="AD52" s="156"/>
      <c r="AE52" s="320"/>
      <c r="AF52" s="168"/>
      <c r="AG52" s="156"/>
      <c r="AH52" s="156"/>
      <c r="AI52" s="410"/>
    </row>
    <row r="53" spans="1:35" ht="19.5" hidden="1" customHeight="1">
      <c r="A53" s="137"/>
      <c r="B53" s="197">
        <f t="shared" si="1"/>
        <v>43</v>
      </c>
      <c r="C53" s="30" t="s">
        <v>206</v>
      </c>
      <c r="D53" s="30" t="s">
        <v>225</v>
      </c>
      <c r="E53" s="234" t="s">
        <v>652</v>
      </c>
      <c r="F53" s="235" t="s">
        <v>1299</v>
      </c>
      <c r="G53" s="284">
        <f>IFERROR(VLOOKUP(E53,Assign!$C$2:$J$142,8,FALSE),)</f>
        <v>0</v>
      </c>
      <c r="H53" s="197" t="s">
        <v>5273</v>
      </c>
      <c r="I53" s="324" t="s">
        <v>5275</v>
      </c>
      <c r="J53" s="237">
        <v>1</v>
      </c>
      <c r="K53" s="237">
        <v>2</v>
      </c>
      <c r="L53" s="265" t="s">
        <v>219</v>
      </c>
      <c r="M53" s="266" t="s">
        <v>2759</v>
      </c>
      <c r="N53" s="266" t="s">
        <v>2760</v>
      </c>
      <c r="O53" s="267" t="s">
        <v>2762</v>
      </c>
      <c r="P53" s="268" t="s">
        <v>447</v>
      </c>
      <c r="Q53" s="269">
        <v>7753.8</v>
      </c>
      <c r="R53" s="269"/>
      <c r="S53" s="270"/>
      <c r="T53" s="182"/>
      <c r="U53" s="182">
        <v>1</v>
      </c>
      <c r="V53" s="408" t="s">
        <v>229</v>
      </c>
      <c r="W53" s="357" t="s">
        <v>204</v>
      </c>
      <c r="X53" s="156">
        <v>4344000000</v>
      </c>
      <c r="Y53" s="417">
        <v>4344000000</v>
      </c>
      <c r="Z53" s="418" t="s">
        <v>359</v>
      </c>
      <c r="AA53" s="271"/>
      <c r="AB53" s="168"/>
      <c r="AC53" s="156"/>
      <c r="AD53" s="156"/>
      <c r="AE53" s="320"/>
      <c r="AF53" s="168"/>
      <c r="AG53" s="156"/>
      <c r="AH53" s="156"/>
      <c r="AI53" s="410"/>
    </row>
    <row r="54" spans="1:35" ht="19.5" hidden="1" customHeight="1">
      <c r="A54" s="137"/>
      <c r="B54" s="197">
        <f t="shared" si="1"/>
        <v>44</v>
      </c>
      <c r="C54" s="30" t="s">
        <v>206</v>
      </c>
      <c r="D54" s="30" t="s">
        <v>225</v>
      </c>
      <c r="E54" s="234" t="s">
        <v>652</v>
      </c>
      <c r="F54" s="235" t="s">
        <v>1299</v>
      </c>
      <c r="G54" s="284">
        <f>IFERROR(VLOOKUP(E54,Assign!$C$2:$J$142,8,FALSE),)</f>
        <v>0</v>
      </c>
      <c r="H54" s="197" t="s">
        <v>5276</v>
      </c>
      <c r="I54" s="324" t="s">
        <v>5277</v>
      </c>
      <c r="J54" s="237">
        <v>2</v>
      </c>
      <c r="K54" s="237">
        <v>1</v>
      </c>
      <c r="L54" s="265" t="s">
        <v>216</v>
      </c>
      <c r="M54" s="266" t="s">
        <v>294</v>
      </c>
      <c r="N54" s="266" t="s">
        <v>2763</v>
      </c>
      <c r="O54" s="267" t="s">
        <v>2764</v>
      </c>
      <c r="P54" s="268" t="s">
        <v>245</v>
      </c>
      <c r="Q54" s="269">
        <v>1653</v>
      </c>
      <c r="R54" s="269"/>
      <c r="S54" s="270"/>
      <c r="T54" s="182"/>
      <c r="U54" s="182">
        <v>1</v>
      </c>
      <c r="V54" s="408" t="s">
        <v>229</v>
      </c>
      <c r="W54" s="357" t="s">
        <v>204</v>
      </c>
      <c r="X54" s="156">
        <v>4344000000</v>
      </c>
      <c r="Y54" s="417">
        <v>4344000000</v>
      </c>
      <c r="Z54" s="418" t="s">
        <v>359</v>
      </c>
      <c r="AA54" s="271"/>
      <c r="AB54" s="168"/>
      <c r="AC54" s="156"/>
      <c r="AD54" s="156"/>
      <c r="AE54" s="320"/>
      <c r="AF54" s="168"/>
      <c r="AG54" s="156"/>
      <c r="AH54" s="156"/>
      <c r="AI54" s="410"/>
    </row>
    <row r="55" spans="1:35" ht="19.5" hidden="1" customHeight="1">
      <c r="A55" s="137"/>
      <c r="B55" s="197">
        <f t="shared" si="1"/>
        <v>45</v>
      </c>
      <c r="C55" s="30" t="s">
        <v>206</v>
      </c>
      <c r="D55" s="30" t="s">
        <v>225</v>
      </c>
      <c r="E55" s="234" t="s">
        <v>652</v>
      </c>
      <c r="F55" s="235" t="s">
        <v>1299</v>
      </c>
      <c r="G55" s="284">
        <f>IFERROR(VLOOKUP(E55,Assign!$C$2:$J$142,8,FALSE),)</f>
        <v>0</v>
      </c>
      <c r="H55" s="197" t="s">
        <v>5276</v>
      </c>
      <c r="I55" s="324" t="s">
        <v>5278</v>
      </c>
      <c r="J55" s="237">
        <v>2</v>
      </c>
      <c r="K55" s="237">
        <v>2</v>
      </c>
      <c r="L55" s="265" t="s">
        <v>216</v>
      </c>
      <c r="M55" s="266" t="s">
        <v>294</v>
      </c>
      <c r="N55" s="266" t="s">
        <v>2763</v>
      </c>
      <c r="O55" s="267" t="s">
        <v>2765</v>
      </c>
      <c r="P55" s="268" t="s">
        <v>245</v>
      </c>
      <c r="Q55" s="269">
        <v>1653</v>
      </c>
      <c r="R55" s="269"/>
      <c r="S55" s="270"/>
      <c r="T55" s="182"/>
      <c r="U55" s="182">
        <v>1</v>
      </c>
      <c r="V55" s="408" t="s">
        <v>229</v>
      </c>
      <c r="W55" s="357" t="s">
        <v>204</v>
      </c>
      <c r="X55" s="156">
        <v>4344000000</v>
      </c>
      <c r="Y55" s="417">
        <v>4344000000</v>
      </c>
      <c r="Z55" s="418" t="s">
        <v>359</v>
      </c>
      <c r="AA55" s="271"/>
      <c r="AB55" s="168"/>
      <c r="AC55" s="156"/>
      <c r="AD55" s="156"/>
      <c r="AE55" s="320"/>
      <c r="AF55" s="168"/>
      <c r="AG55" s="156"/>
      <c r="AH55" s="156"/>
      <c r="AI55" s="410"/>
    </row>
    <row r="56" spans="1:35" ht="19.5" hidden="1" customHeight="1">
      <c r="A56" s="137"/>
      <c r="B56" s="197">
        <f t="shared" si="1"/>
        <v>46</v>
      </c>
      <c r="C56" s="30" t="s">
        <v>206</v>
      </c>
      <c r="D56" s="30" t="s">
        <v>225</v>
      </c>
      <c r="E56" s="234" t="s">
        <v>653</v>
      </c>
      <c r="F56" s="235" t="s">
        <v>1219</v>
      </c>
      <c r="G56" s="284">
        <f>IFERROR(VLOOKUP(E56,Assign!$C$2:$J$142,8,FALSE),)</f>
        <v>0</v>
      </c>
      <c r="H56" s="197" t="s">
        <v>4913</v>
      </c>
      <c r="I56" s="324" t="s">
        <v>4914</v>
      </c>
      <c r="J56" s="237">
        <v>1</v>
      </c>
      <c r="K56" s="237">
        <v>1</v>
      </c>
      <c r="L56" s="265" t="s">
        <v>213</v>
      </c>
      <c r="M56" s="266" t="s">
        <v>371</v>
      </c>
      <c r="N56" s="266" t="s">
        <v>2431</v>
      </c>
      <c r="O56" s="267" t="s">
        <v>2432</v>
      </c>
      <c r="P56" s="268" t="s">
        <v>2433</v>
      </c>
      <c r="Q56" s="269"/>
      <c r="R56" s="269">
        <f>727.32+727.32+727.32+727.32+727.32</f>
        <v>3636.6000000000004</v>
      </c>
      <c r="S56" s="270"/>
      <c r="T56" s="182"/>
      <c r="U56" s="182">
        <v>1</v>
      </c>
      <c r="V56" s="408" t="s">
        <v>229</v>
      </c>
      <c r="W56" s="357" t="s">
        <v>204</v>
      </c>
      <c r="X56" s="156">
        <v>3996000000</v>
      </c>
      <c r="Y56" s="417">
        <v>3996000000</v>
      </c>
      <c r="Z56" s="418" t="s">
        <v>359</v>
      </c>
      <c r="AA56" s="271"/>
      <c r="AB56" s="168"/>
      <c r="AC56" s="156"/>
      <c r="AD56" s="156"/>
      <c r="AE56" s="320"/>
      <c r="AF56" s="168"/>
      <c r="AG56" s="156"/>
      <c r="AH56" s="156"/>
      <c r="AI56" s="410"/>
    </row>
    <row r="57" spans="1:35" ht="19.5" hidden="1" customHeight="1">
      <c r="A57" s="137"/>
      <c r="B57" s="197">
        <f t="shared" si="1"/>
        <v>47</v>
      </c>
      <c r="C57" s="30" t="s">
        <v>206</v>
      </c>
      <c r="D57" s="30" t="s">
        <v>225</v>
      </c>
      <c r="E57" s="234" t="s">
        <v>653</v>
      </c>
      <c r="F57" s="235" t="s">
        <v>1219</v>
      </c>
      <c r="G57" s="284">
        <f>IFERROR(VLOOKUP(E57,Assign!$C$2:$J$142,8,FALSE),)</f>
        <v>0</v>
      </c>
      <c r="H57" s="197" t="s">
        <v>4913</v>
      </c>
      <c r="I57" s="324" t="s">
        <v>4915</v>
      </c>
      <c r="J57" s="237">
        <v>1</v>
      </c>
      <c r="K57" s="237">
        <v>2</v>
      </c>
      <c r="L57" s="265" t="s">
        <v>213</v>
      </c>
      <c r="M57" s="266" t="s">
        <v>371</v>
      </c>
      <c r="N57" s="266" t="s">
        <v>2431</v>
      </c>
      <c r="O57" s="267" t="s">
        <v>2432</v>
      </c>
      <c r="P57" s="268" t="s">
        <v>447</v>
      </c>
      <c r="Q57" s="269">
        <v>1041</v>
      </c>
      <c r="R57" s="269"/>
      <c r="S57" s="270"/>
      <c r="T57" s="182"/>
      <c r="U57" s="182">
        <v>1</v>
      </c>
      <c r="V57" s="408" t="s">
        <v>229</v>
      </c>
      <c r="W57" s="357" t="s">
        <v>204</v>
      </c>
      <c r="X57" s="417">
        <v>3996000000</v>
      </c>
      <c r="Y57" s="417">
        <v>3996000000</v>
      </c>
      <c r="Z57" s="418" t="s">
        <v>359</v>
      </c>
      <c r="AA57" s="271"/>
      <c r="AB57" s="168"/>
      <c r="AC57" s="156"/>
      <c r="AD57" s="156"/>
      <c r="AE57" s="320"/>
      <c r="AF57" s="168"/>
      <c r="AG57" s="156"/>
      <c r="AH57" s="156"/>
      <c r="AI57" s="410"/>
    </row>
    <row r="58" spans="1:35" ht="19.5" hidden="1" customHeight="1">
      <c r="A58" s="137"/>
      <c r="B58" s="197">
        <f t="shared" si="1"/>
        <v>48</v>
      </c>
      <c r="C58" s="30" t="s">
        <v>206</v>
      </c>
      <c r="D58" s="30" t="s">
        <v>225</v>
      </c>
      <c r="E58" s="234" t="s">
        <v>653</v>
      </c>
      <c r="F58" s="235" t="s">
        <v>1219</v>
      </c>
      <c r="G58" s="284">
        <f>IFERROR(VLOOKUP(E58,Assign!$C$2:$J$142,8,FALSE),)</f>
        <v>0</v>
      </c>
      <c r="H58" s="197" t="s">
        <v>4913</v>
      </c>
      <c r="I58" s="324" t="s">
        <v>4916</v>
      </c>
      <c r="J58" s="237">
        <v>1</v>
      </c>
      <c r="K58" s="237">
        <v>3</v>
      </c>
      <c r="L58" s="265" t="s">
        <v>213</v>
      </c>
      <c r="M58" s="266" t="s">
        <v>371</v>
      </c>
      <c r="N58" s="266" t="s">
        <v>2431</v>
      </c>
      <c r="O58" s="267" t="s">
        <v>2434</v>
      </c>
      <c r="P58" s="268" t="s">
        <v>447</v>
      </c>
      <c r="Q58" s="269">
        <v>1853</v>
      </c>
      <c r="R58" s="269"/>
      <c r="S58" s="270"/>
      <c r="T58" s="182"/>
      <c r="U58" s="182">
        <f>77/1853</f>
        <v>4.1554236373448461E-2</v>
      </c>
      <c r="V58" s="408" t="s">
        <v>229</v>
      </c>
      <c r="W58" s="357" t="s">
        <v>204</v>
      </c>
      <c r="X58" s="417">
        <v>3996000000</v>
      </c>
      <c r="Y58" s="417">
        <v>3996000000</v>
      </c>
      <c r="Z58" s="418" t="s">
        <v>359</v>
      </c>
      <c r="AA58" s="271"/>
      <c r="AB58" s="168"/>
      <c r="AC58" s="156"/>
      <c r="AD58" s="156"/>
      <c r="AE58" s="320"/>
      <c r="AF58" s="168"/>
      <c r="AG58" s="156"/>
      <c r="AH58" s="156"/>
      <c r="AI58" s="410"/>
    </row>
    <row r="59" spans="1:35" ht="19.5" hidden="1" customHeight="1">
      <c r="A59" s="137"/>
      <c r="B59" s="197">
        <f t="shared" si="1"/>
        <v>49</v>
      </c>
      <c r="C59" s="30" t="s">
        <v>206</v>
      </c>
      <c r="D59" s="30" t="s">
        <v>225</v>
      </c>
      <c r="E59" s="234" t="s">
        <v>654</v>
      </c>
      <c r="F59" s="235" t="s">
        <v>1217</v>
      </c>
      <c r="G59" s="284">
        <f>IFERROR(VLOOKUP(E59,Assign!$C$2:$J$142,8,FALSE),)</f>
        <v>0</v>
      </c>
      <c r="H59" s="197" t="s">
        <v>3961</v>
      </c>
      <c r="I59" s="324" t="s">
        <v>3962</v>
      </c>
      <c r="J59" s="237">
        <v>1</v>
      </c>
      <c r="K59" s="237">
        <v>1</v>
      </c>
      <c r="L59" s="265" t="s">
        <v>208</v>
      </c>
      <c r="M59" s="266" t="s">
        <v>228</v>
      </c>
      <c r="N59" s="266" t="s">
        <v>1536</v>
      </c>
      <c r="O59" s="267" t="s">
        <v>1537</v>
      </c>
      <c r="P59" s="268" t="s">
        <v>1538</v>
      </c>
      <c r="Q59" s="269">
        <v>1254.9000000000001</v>
      </c>
      <c r="R59" s="269">
        <v>83.96</v>
      </c>
      <c r="S59" s="270"/>
      <c r="T59" s="182">
        <f>20.423/1254.9</f>
        <v>1.627460355406805E-2</v>
      </c>
      <c r="U59" s="182">
        <v>1</v>
      </c>
      <c r="V59" s="408">
        <v>1</v>
      </c>
      <c r="W59" s="357" t="s">
        <v>204</v>
      </c>
      <c r="X59" s="417">
        <v>3960000000</v>
      </c>
      <c r="Y59" s="417">
        <v>3960000000</v>
      </c>
      <c r="Z59" s="418" t="s">
        <v>359</v>
      </c>
      <c r="AA59" s="271"/>
      <c r="AB59" s="168"/>
      <c r="AC59" s="156"/>
      <c r="AD59" s="156"/>
      <c r="AE59" s="320"/>
      <c r="AF59" s="168"/>
      <c r="AG59" s="156"/>
      <c r="AH59" s="156"/>
      <c r="AI59" s="410"/>
    </row>
    <row r="60" spans="1:35" ht="19.5" hidden="1" customHeight="1">
      <c r="A60" s="137"/>
      <c r="B60" s="197">
        <f t="shared" si="1"/>
        <v>50</v>
      </c>
      <c r="C60" s="30" t="s">
        <v>206</v>
      </c>
      <c r="D60" s="30" t="s">
        <v>225</v>
      </c>
      <c r="E60" s="234" t="s">
        <v>654</v>
      </c>
      <c r="F60" s="235" t="s">
        <v>1217</v>
      </c>
      <c r="G60" s="284">
        <f>IFERROR(VLOOKUP(E60,Assign!$C$2:$J$142,8,FALSE),)</f>
        <v>0</v>
      </c>
      <c r="H60" s="197" t="s">
        <v>3961</v>
      </c>
      <c r="I60" s="324" t="s">
        <v>3963</v>
      </c>
      <c r="J60" s="237">
        <v>1</v>
      </c>
      <c r="K60" s="237">
        <v>2</v>
      </c>
      <c r="L60" s="265" t="s">
        <v>208</v>
      </c>
      <c r="M60" s="266" t="s">
        <v>228</v>
      </c>
      <c r="N60" s="266" t="s">
        <v>1536</v>
      </c>
      <c r="O60" s="267" t="s">
        <v>1539</v>
      </c>
      <c r="P60" s="268" t="s">
        <v>1538</v>
      </c>
      <c r="Q60" s="269">
        <v>1254.9000000000001</v>
      </c>
      <c r="R60" s="269">
        <v>71.599999999999994</v>
      </c>
      <c r="S60" s="270"/>
      <c r="T60" s="182">
        <f>17.404/1254.9</f>
        <v>1.386883417005339E-2</v>
      </c>
      <c r="U60" s="182">
        <v>1</v>
      </c>
      <c r="V60" s="408">
        <v>1</v>
      </c>
      <c r="W60" s="357" t="s">
        <v>204</v>
      </c>
      <c r="X60" s="417">
        <v>3960000000</v>
      </c>
      <c r="Y60" s="417">
        <v>3960000000</v>
      </c>
      <c r="Z60" s="418" t="s">
        <v>359</v>
      </c>
      <c r="AA60" s="271"/>
      <c r="AB60" s="168"/>
      <c r="AC60" s="156"/>
      <c r="AD60" s="156"/>
      <c r="AE60" s="320"/>
      <c r="AF60" s="168"/>
      <c r="AG60" s="156"/>
      <c r="AH60" s="156"/>
      <c r="AI60" s="410"/>
    </row>
    <row r="61" spans="1:35" ht="19.5" hidden="1" customHeight="1">
      <c r="A61" s="137"/>
      <c r="B61" s="197">
        <f t="shared" si="1"/>
        <v>51</v>
      </c>
      <c r="C61" s="30" t="s">
        <v>206</v>
      </c>
      <c r="D61" s="30" t="s">
        <v>225</v>
      </c>
      <c r="E61" s="234" t="s">
        <v>654</v>
      </c>
      <c r="F61" s="235" t="s">
        <v>1217</v>
      </c>
      <c r="G61" s="284">
        <f>IFERROR(VLOOKUP(E61,Assign!$C$2:$J$142,8,FALSE),)</f>
        <v>0</v>
      </c>
      <c r="H61" s="197" t="s">
        <v>3961</v>
      </c>
      <c r="I61" s="324" t="s">
        <v>3964</v>
      </c>
      <c r="J61" s="237">
        <v>1</v>
      </c>
      <c r="K61" s="237">
        <v>3</v>
      </c>
      <c r="L61" s="265" t="s">
        <v>208</v>
      </c>
      <c r="M61" s="266" t="s">
        <v>228</v>
      </c>
      <c r="N61" s="266" t="s">
        <v>1536</v>
      </c>
      <c r="O61" s="267" t="s">
        <v>1540</v>
      </c>
      <c r="P61" s="268" t="s">
        <v>1538</v>
      </c>
      <c r="Q61" s="269">
        <v>1254.9000000000001</v>
      </c>
      <c r="R61" s="269">
        <v>67.125</v>
      </c>
      <c r="S61" s="270"/>
      <c r="T61" s="182">
        <f>16.316/1254.9</f>
        <v>1.3001832815363773E-2</v>
      </c>
      <c r="U61" s="182">
        <v>1</v>
      </c>
      <c r="V61" s="408">
        <v>1</v>
      </c>
      <c r="W61" s="357" t="s">
        <v>204</v>
      </c>
      <c r="X61" s="417">
        <v>3960000000</v>
      </c>
      <c r="Y61" s="417">
        <v>3960000000</v>
      </c>
      <c r="Z61" s="418" t="s">
        <v>359</v>
      </c>
      <c r="AA61" s="271"/>
      <c r="AB61" s="168"/>
      <c r="AC61" s="156"/>
      <c r="AD61" s="156"/>
      <c r="AE61" s="320"/>
      <c r="AF61" s="168"/>
      <c r="AG61" s="156"/>
      <c r="AH61" s="156"/>
      <c r="AI61" s="410"/>
    </row>
    <row r="62" spans="1:35" ht="19.5" hidden="1" customHeight="1">
      <c r="A62" s="137"/>
      <c r="B62" s="197">
        <f t="shared" si="1"/>
        <v>52</v>
      </c>
      <c r="C62" s="30" t="s">
        <v>206</v>
      </c>
      <c r="D62" s="30" t="s">
        <v>225</v>
      </c>
      <c r="E62" s="234" t="s">
        <v>654</v>
      </c>
      <c r="F62" s="235" t="s">
        <v>1217</v>
      </c>
      <c r="G62" s="284">
        <f>IFERROR(VLOOKUP(E62,Assign!$C$2:$J$142,8,FALSE),)</f>
        <v>0</v>
      </c>
      <c r="H62" s="197" t="s">
        <v>3961</v>
      </c>
      <c r="I62" s="324" t="s">
        <v>3965</v>
      </c>
      <c r="J62" s="237">
        <v>1</v>
      </c>
      <c r="K62" s="237">
        <v>4</v>
      </c>
      <c r="L62" s="265" t="s">
        <v>208</v>
      </c>
      <c r="M62" s="266" t="s">
        <v>228</v>
      </c>
      <c r="N62" s="266" t="s">
        <v>1536</v>
      </c>
      <c r="O62" s="267" t="s">
        <v>1541</v>
      </c>
      <c r="P62" s="268" t="s">
        <v>1538</v>
      </c>
      <c r="Q62" s="269">
        <v>1254.9000000000001</v>
      </c>
      <c r="R62" s="269">
        <v>70.516000000000005</v>
      </c>
      <c r="S62" s="270"/>
      <c r="T62" s="182">
        <f>17.14/1254.9</f>
        <v>1.3658458841341939E-2</v>
      </c>
      <c r="U62" s="182">
        <v>1</v>
      </c>
      <c r="V62" s="408">
        <v>1</v>
      </c>
      <c r="W62" s="357" t="s">
        <v>204</v>
      </c>
      <c r="X62" s="417">
        <v>3960000000</v>
      </c>
      <c r="Y62" s="417">
        <v>3960000000</v>
      </c>
      <c r="Z62" s="418" t="s">
        <v>359</v>
      </c>
      <c r="AA62" s="271"/>
      <c r="AB62" s="168"/>
      <c r="AC62" s="156"/>
      <c r="AD62" s="156"/>
      <c r="AE62" s="320"/>
      <c r="AF62" s="168"/>
      <c r="AG62" s="156"/>
      <c r="AH62" s="156"/>
      <c r="AI62" s="410"/>
    </row>
    <row r="63" spans="1:35" ht="19.5" hidden="1" customHeight="1">
      <c r="A63" s="137"/>
      <c r="B63" s="197">
        <f t="shared" si="1"/>
        <v>53</v>
      </c>
      <c r="C63" s="30" t="s">
        <v>206</v>
      </c>
      <c r="D63" s="30" t="s">
        <v>225</v>
      </c>
      <c r="E63" s="234" t="s">
        <v>654</v>
      </c>
      <c r="F63" s="235" t="s">
        <v>1217</v>
      </c>
      <c r="G63" s="284">
        <f>IFERROR(VLOOKUP(E63,Assign!$C$2:$J$142,8,FALSE),)</f>
        <v>0</v>
      </c>
      <c r="H63" s="197" t="s">
        <v>3961</v>
      </c>
      <c r="I63" s="324" t="s">
        <v>3966</v>
      </c>
      <c r="J63" s="237">
        <v>1</v>
      </c>
      <c r="K63" s="237">
        <v>5</v>
      </c>
      <c r="L63" s="265" t="s">
        <v>208</v>
      </c>
      <c r="M63" s="266" t="s">
        <v>228</v>
      </c>
      <c r="N63" s="266" t="s">
        <v>1536</v>
      </c>
      <c r="O63" s="267" t="s">
        <v>1542</v>
      </c>
      <c r="P63" s="268" t="s">
        <v>1538</v>
      </c>
      <c r="Q63" s="269">
        <v>1254.9000000000001</v>
      </c>
      <c r="R63" s="269">
        <v>53.13</v>
      </c>
      <c r="S63" s="270"/>
      <c r="T63" s="182">
        <f>12.914/1254.9</f>
        <v>1.0290859829468483E-2</v>
      </c>
      <c r="U63" s="182">
        <v>1</v>
      </c>
      <c r="V63" s="408">
        <v>1</v>
      </c>
      <c r="W63" s="357" t="s">
        <v>204</v>
      </c>
      <c r="X63" s="156">
        <v>3960000000</v>
      </c>
      <c r="Y63" s="417">
        <v>3960000000</v>
      </c>
      <c r="Z63" s="418" t="s">
        <v>359</v>
      </c>
      <c r="AA63" s="271"/>
      <c r="AB63" s="168"/>
      <c r="AC63" s="156"/>
      <c r="AD63" s="156"/>
      <c r="AE63" s="320"/>
      <c r="AF63" s="168"/>
      <c r="AG63" s="156"/>
      <c r="AH63" s="156"/>
      <c r="AI63" s="410"/>
    </row>
    <row r="64" spans="1:35" ht="19.5" hidden="1" customHeight="1">
      <c r="A64" s="137"/>
      <c r="B64" s="197">
        <f t="shared" si="1"/>
        <v>54</v>
      </c>
      <c r="C64" s="30" t="s">
        <v>206</v>
      </c>
      <c r="D64" s="30" t="s">
        <v>225</v>
      </c>
      <c r="E64" s="234" t="s">
        <v>655</v>
      </c>
      <c r="F64" s="235" t="s">
        <v>1220</v>
      </c>
      <c r="G64" s="284">
        <f>IFERROR(VLOOKUP(E64,Assign!$C$2:$J$142,8,FALSE),)</f>
        <v>0</v>
      </c>
      <c r="H64" s="197" t="s">
        <v>4917</v>
      </c>
      <c r="I64" s="324" t="s">
        <v>4918</v>
      </c>
      <c r="J64" s="237">
        <v>1</v>
      </c>
      <c r="K64" s="237">
        <v>1</v>
      </c>
      <c r="L64" s="265" t="s">
        <v>211</v>
      </c>
      <c r="M64" s="266" t="s">
        <v>2435</v>
      </c>
      <c r="N64" s="266" t="s">
        <v>2436</v>
      </c>
      <c r="O64" s="267" t="s">
        <v>2437</v>
      </c>
      <c r="P64" s="268" t="s">
        <v>2438</v>
      </c>
      <c r="Q64" s="269"/>
      <c r="R64" s="269">
        <f>767.89+715.94+117.6</f>
        <v>1601.4299999999998</v>
      </c>
      <c r="S64" s="270"/>
      <c r="T64" s="182"/>
      <c r="U64" s="182">
        <v>1</v>
      </c>
      <c r="V64" s="408">
        <v>1</v>
      </c>
      <c r="W64" s="357" t="s">
        <v>204</v>
      </c>
      <c r="X64" s="156">
        <v>3180000000</v>
      </c>
      <c r="Y64" s="417">
        <v>3180000000</v>
      </c>
      <c r="Z64" s="418" t="s">
        <v>359</v>
      </c>
      <c r="AA64" s="271"/>
      <c r="AB64" s="168"/>
      <c r="AC64" s="156"/>
      <c r="AD64" s="156"/>
      <c r="AE64" s="320"/>
      <c r="AF64" s="168"/>
      <c r="AG64" s="156"/>
      <c r="AH64" s="156"/>
      <c r="AI64" s="410"/>
    </row>
    <row r="65" spans="1:35" ht="19.5" hidden="1" customHeight="1">
      <c r="A65" s="137"/>
      <c r="B65" s="197">
        <f t="shared" si="1"/>
        <v>55</v>
      </c>
      <c r="C65" s="30" t="s">
        <v>206</v>
      </c>
      <c r="D65" s="30" t="s">
        <v>225</v>
      </c>
      <c r="E65" s="234" t="s">
        <v>655</v>
      </c>
      <c r="F65" s="235" t="s">
        <v>1220</v>
      </c>
      <c r="G65" s="284">
        <f>IFERROR(VLOOKUP(E65,Assign!$C$2:$J$142,8,FALSE),)</f>
        <v>0</v>
      </c>
      <c r="H65" s="197" t="s">
        <v>4917</v>
      </c>
      <c r="I65" s="324" t="s">
        <v>4919</v>
      </c>
      <c r="J65" s="237">
        <v>1</v>
      </c>
      <c r="K65" s="237">
        <v>2</v>
      </c>
      <c r="L65" s="265" t="s">
        <v>211</v>
      </c>
      <c r="M65" s="266" t="s">
        <v>2435</v>
      </c>
      <c r="N65" s="266" t="s">
        <v>2436</v>
      </c>
      <c r="O65" s="267" t="s">
        <v>2439</v>
      </c>
      <c r="P65" s="268" t="s">
        <v>1515</v>
      </c>
      <c r="Q65" s="269"/>
      <c r="R65" s="269">
        <v>1452.64</v>
      </c>
      <c r="S65" s="270"/>
      <c r="T65" s="182"/>
      <c r="U65" s="182">
        <v>1</v>
      </c>
      <c r="V65" s="408">
        <v>1</v>
      </c>
      <c r="W65" s="357" t="s">
        <v>204</v>
      </c>
      <c r="X65" s="156">
        <v>3180000000</v>
      </c>
      <c r="Y65" s="417">
        <v>3180000000</v>
      </c>
      <c r="Z65" s="418" t="s">
        <v>359</v>
      </c>
      <c r="AA65" s="271"/>
      <c r="AB65" s="168"/>
      <c r="AC65" s="156"/>
      <c r="AD65" s="156"/>
      <c r="AE65" s="320"/>
      <c r="AF65" s="168"/>
      <c r="AG65" s="156"/>
      <c r="AH65" s="156"/>
      <c r="AI65" s="410"/>
    </row>
    <row r="66" spans="1:35" ht="19.5" hidden="1" customHeight="1">
      <c r="A66" s="137"/>
      <c r="B66" s="197">
        <f t="shared" si="1"/>
        <v>56</v>
      </c>
      <c r="C66" s="30" t="s">
        <v>206</v>
      </c>
      <c r="D66" s="30" t="s">
        <v>225</v>
      </c>
      <c r="E66" s="234" t="s">
        <v>655</v>
      </c>
      <c r="F66" s="235" t="s">
        <v>1220</v>
      </c>
      <c r="G66" s="284">
        <f>IFERROR(VLOOKUP(E66,Assign!$C$2:$J$142,8,FALSE),)</f>
        <v>0</v>
      </c>
      <c r="H66" s="197" t="s">
        <v>4917</v>
      </c>
      <c r="I66" s="324" t="s">
        <v>4920</v>
      </c>
      <c r="J66" s="237">
        <v>1</v>
      </c>
      <c r="K66" s="237">
        <v>3</v>
      </c>
      <c r="L66" s="265" t="s">
        <v>211</v>
      </c>
      <c r="M66" s="266" t="s">
        <v>2435</v>
      </c>
      <c r="N66" s="266" t="s">
        <v>2436</v>
      </c>
      <c r="O66" s="267" t="s">
        <v>2440</v>
      </c>
      <c r="P66" s="268" t="s">
        <v>2441</v>
      </c>
      <c r="Q66" s="269"/>
      <c r="R66" s="269">
        <f>195.19+75.63</f>
        <v>270.82</v>
      </c>
      <c r="S66" s="270"/>
      <c r="T66" s="182"/>
      <c r="U66" s="182">
        <v>1</v>
      </c>
      <c r="V66" s="408">
        <v>1</v>
      </c>
      <c r="W66" s="357" t="s">
        <v>204</v>
      </c>
      <c r="X66" s="156">
        <v>3180000000</v>
      </c>
      <c r="Y66" s="417">
        <v>3180000000</v>
      </c>
      <c r="Z66" s="418" t="s">
        <v>359</v>
      </c>
      <c r="AA66" s="271"/>
      <c r="AB66" s="168"/>
      <c r="AC66" s="156"/>
      <c r="AD66" s="156"/>
      <c r="AE66" s="320"/>
      <c r="AF66" s="168"/>
      <c r="AG66" s="156"/>
      <c r="AH66" s="156"/>
      <c r="AI66" s="410"/>
    </row>
    <row r="67" spans="1:35" ht="19.5" hidden="1" customHeight="1">
      <c r="A67" s="137"/>
      <c r="B67" s="197">
        <f t="shared" si="1"/>
        <v>57</v>
      </c>
      <c r="C67" s="30" t="s">
        <v>206</v>
      </c>
      <c r="D67" s="30" t="s">
        <v>225</v>
      </c>
      <c r="E67" s="234" t="s">
        <v>655</v>
      </c>
      <c r="F67" s="235" t="s">
        <v>1220</v>
      </c>
      <c r="G67" s="284">
        <f>IFERROR(VLOOKUP(E67,Assign!$C$2:$J$142,8,FALSE),)</f>
        <v>0</v>
      </c>
      <c r="H67" s="197" t="s">
        <v>4917</v>
      </c>
      <c r="I67" s="324" t="s">
        <v>4921</v>
      </c>
      <c r="J67" s="237">
        <v>1</v>
      </c>
      <c r="K67" s="237">
        <v>4</v>
      </c>
      <c r="L67" s="265" t="s">
        <v>211</v>
      </c>
      <c r="M67" s="266" t="s">
        <v>2435</v>
      </c>
      <c r="N67" s="266" t="s">
        <v>2436</v>
      </c>
      <c r="O67" s="267" t="s">
        <v>2442</v>
      </c>
      <c r="P67" s="268" t="s">
        <v>450</v>
      </c>
      <c r="Q67" s="269">
        <v>4529</v>
      </c>
      <c r="R67" s="269"/>
      <c r="S67" s="270"/>
      <c r="T67" s="182"/>
      <c r="U67" s="182">
        <v>1</v>
      </c>
      <c r="V67" s="408">
        <v>1</v>
      </c>
      <c r="W67" s="357" t="s">
        <v>204</v>
      </c>
      <c r="X67" s="156">
        <v>3180000000</v>
      </c>
      <c r="Y67" s="417">
        <v>3180000000</v>
      </c>
      <c r="Z67" s="418" t="s">
        <v>359</v>
      </c>
      <c r="AA67" s="271"/>
      <c r="AB67" s="168"/>
      <c r="AC67" s="156"/>
      <c r="AD67" s="156"/>
      <c r="AE67" s="320"/>
      <c r="AF67" s="168"/>
      <c r="AG67" s="156"/>
      <c r="AH67" s="156"/>
      <c r="AI67" s="410"/>
    </row>
    <row r="68" spans="1:35" ht="19.5" hidden="1" customHeight="1">
      <c r="A68" s="137"/>
      <c r="B68" s="197">
        <f t="shared" si="1"/>
        <v>58</v>
      </c>
      <c r="C68" s="30" t="s">
        <v>206</v>
      </c>
      <c r="D68" s="30" t="s">
        <v>225</v>
      </c>
      <c r="E68" s="234" t="s">
        <v>655</v>
      </c>
      <c r="F68" s="235" t="s">
        <v>1220</v>
      </c>
      <c r="G68" s="284">
        <f>IFERROR(VLOOKUP(E68,Assign!$C$2:$J$142,8,FALSE),)</f>
        <v>0</v>
      </c>
      <c r="H68" s="197" t="s">
        <v>4917</v>
      </c>
      <c r="I68" s="324" t="s">
        <v>4922</v>
      </c>
      <c r="J68" s="237">
        <v>1</v>
      </c>
      <c r="K68" s="237">
        <v>5</v>
      </c>
      <c r="L68" s="265" t="s">
        <v>211</v>
      </c>
      <c r="M68" s="266" t="s">
        <v>2435</v>
      </c>
      <c r="N68" s="266" t="s">
        <v>2436</v>
      </c>
      <c r="O68" s="267" t="s">
        <v>2443</v>
      </c>
      <c r="P68" s="268" t="s">
        <v>450</v>
      </c>
      <c r="Q68" s="269">
        <v>1560</v>
      </c>
      <c r="R68" s="269"/>
      <c r="S68" s="270"/>
      <c r="T68" s="182"/>
      <c r="U68" s="182">
        <v>1</v>
      </c>
      <c r="V68" s="408">
        <v>1</v>
      </c>
      <c r="W68" s="357" t="s">
        <v>204</v>
      </c>
      <c r="X68" s="156">
        <v>3180000000</v>
      </c>
      <c r="Y68" s="417">
        <v>3180000000</v>
      </c>
      <c r="Z68" s="418" t="s">
        <v>359</v>
      </c>
      <c r="AA68" s="271"/>
      <c r="AB68" s="168"/>
      <c r="AC68" s="156"/>
      <c r="AD68" s="156"/>
      <c r="AE68" s="320"/>
      <c r="AF68" s="168"/>
      <c r="AG68" s="156"/>
      <c r="AH68" s="156"/>
      <c r="AI68" s="410"/>
    </row>
    <row r="69" spans="1:35" ht="19.5" hidden="1" customHeight="1">
      <c r="A69" s="137"/>
      <c r="B69" s="197">
        <f t="shared" si="1"/>
        <v>59</v>
      </c>
      <c r="C69" s="30" t="s">
        <v>206</v>
      </c>
      <c r="D69" s="30" t="s">
        <v>225</v>
      </c>
      <c r="E69" s="234" t="s">
        <v>655</v>
      </c>
      <c r="F69" s="235" t="s">
        <v>1220</v>
      </c>
      <c r="G69" s="284">
        <f>IFERROR(VLOOKUP(E69,Assign!$C$2:$J$142,8,FALSE),)</f>
        <v>0</v>
      </c>
      <c r="H69" s="197" t="s">
        <v>4917</v>
      </c>
      <c r="I69" s="324" t="s">
        <v>4923</v>
      </c>
      <c r="J69" s="237">
        <v>1</v>
      </c>
      <c r="K69" s="237">
        <v>6</v>
      </c>
      <c r="L69" s="265" t="s">
        <v>211</v>
      </c>
      <c r="M69" s="266" t="s">
        <v>2435</v>
      </c>
      <c r="N69" s="266" t="s">
        <v>2436</v>
      </c>
      <c r="O69" s="267" t="s">
        <v>2444</v>
      </c>
      <c r="P69" s="268" t="s">
        <v>450</v>
      </c>
      <c r="Q69" s="269">
        <v>1088</v>
      </c>
      <c r="R69" s="269"/>
      <c r="S69" s="270"/>
      <c r="T69" s="182"/>
      <c r="U69" s="182">
        <v>1</v>
      </c>
      <c r="V69" s="408">
        <v>1</v>
      </c>
      <c r="W69" s="357" t="s">
        <v>204</v>
      </c>
      <c r="X69" s="156">
        <v>3180000000</v>
      </c>
      <c r="Y69" s="417">
        <v>3180000000</v>
      </c>
      <c r="Z69" s="418" t="s">
        <v>359</v>
      </c>
      <c r="AA69" s="271"/>
      <c r="AB69" s="168"/>
      <c r="AC69" s="156"/>
      <c r="AD69" s="156"/>
      <c r="AE69" s="320"/>
      <c r="AF69" s="168"/>
      <c r="AG69" s="156"/>
      <c r="AH69" s="156"/>
      <c r="AI69" s="410"/>
    </row>
    <row r="70" spans="1:35" ht="19.5" hidden="1" customHeight="1">
      <c r="A70" s="137"/>
      <c r="B70" s="197">
        <f t="shared" si="1"/>
        <v>60</v>
      </c>
      <c r="C70" s="30" t="s">
        <v>206</v>
      </c>
      <c r="D70" s="30" t="s">
        <v>225</v>
      </c>
      <c r="E70" s="234" t="s">
        <v>655</v>
      </c>
      <c r="F70" s="235" t="s">
        <v>1220</v>
      </c>
      <c r="G70" s="284">
        <f>IFERROR(VLOOKUP(E70,Assign!$C$2:$J$142,8,FALSE),)</f>
        <v>0</v>
      </c>
      <c r="H70" s="197" t="s">
        <v>4917</v>
      </c>
      <c r="I70" s="324" t="s">
        <v>4924</v>
      </c>
      <c r="J70" s="237">
        <v>1</v>
      </c>
      <c r="K70" s="237">
        <v>7</v>
      </c>
      <c r="L70" s="265" t="s">
        <v>211</v>
      </c>
      <c r="M70" s="266" t="s">
        <v>2435</v>
      </c>
      <c r="N70" s="266" t="s">
        <v>2436</v>
      </c>
      <c r="O70" s="267" t="s">
        <v>2445</v>
      </c>
      <c r="P70" s="268" t="s">
        <v>450</v>
      </c>
      <c r="Q70" s="269">
        <v>58</v>
      </c>
      <c r="R70" s="269"/>
      <c r="S70" s="270"/>
      <c r="T70" s="182"/>
      <c r="U70" s="182">
        <v>1</v>
      </c>
      <c r="V70" s="408">
        <v>1</v>
      </c>
      <c r="W70" s="357" t="s">
        <v>204</v>
      </c>
      <c r="X70" s="156">
        <v>3180000000</v>
      </c>
      <c r="Y70" s="417">
        <v>3180000000</v>
      </c>
      <c r="Z70" s="418" t="s">
        <v>359</v>
      </c>
      <c r="AA70" s="271"/>
      <c r="AB70" s="168"/>
      <c r="AC70" s="156"/>
      <c r="AD70" s="156"/>
      <c r="AE70" s="320"/>
      <c r="AF70" s="168"/>
      <c r="AG70" s="156"/>
      <c r="AH70" s="156"/>
      <c r="AI70" s="410"/>
    </row>
    <row r="71" spans="1:35" ht="19.5" hidden="1" customHeight="1">
      <c r="A71" s="137"/>
      <c r="B71" s="197">
        <f t="shared" si="1"/>
        <v>61</v>
      </c>
      <c r="C71" s="30" t="s">
        <v>206</v>
      </c>
      <c r="D71" s="30" t="s">
        <v>225</v>
      </c>
      <c r="E71" s="234" t="s">
        <v>655</v>
      </c>
      <c r="F71" s="235" t="s">
        <v>1220</v>
      </c>
      <c r="G71" s="284">
        <f>IFERROR(VLOOKUP(E71,Assign!$C$2:$J$142,8,FALSE),)</f>
        <v>0</v>
      </c>
      <c r="H71" s="197" t="s">
        <v>4917</v>
      </c>
      <c r="I71" s="324" t="s">
        <v>4925</v>
      </c>
      <c r="J71" s="237">
        <v>1</v>
      </c>
      <c r="K71" s="237">
        <v>8</v>
      </c>
      <c r="L71" s="265" t="s">
        <v>211</v>
      </c>
      <c r="M71" s="266" t="s">
        <v>2435</v>
      </c>
      <c r="N71" s="266" t="s">
        <v>2436</v>
      </c>
      <c r="O71" s="267" t="s">
        <v>2446</v>
      </c>
      <c r="P71" s="268" t="s">
        <v>450</v>
      </c>
      <c r="Q71" s="269">
        <v>15</v>
      </c>
      <c r="R71" s="269"/>
      <c r="S71" s="270"/>
      <c r="T71" s="182"/>
      <c r="U71" s="182">
        <v>1</v>
      </c>
      <c r="V71" s="408">
        <v>1</v>
      </c>
      <c r="W71" s="357" t="s">
        <v>204</v>
      </c>
      <c r="X71" s="156">
        <v>3180000000</v>
      </c>
      <c r="Y71" s="417">
        <v>3180000000</v>
      </c>
      <c r="Z71" s="418" t="s">
        <v>359</v>
      </c>
      <c r="AA71" s="271"/>
      <c r="AB71" s="168"/>
      <c r="AC71" s="156"/>
      <c r="AD71" s="156"/>
      <c r="AE71" s="320"/>
      <c r="AF71" s="168"/>
      <c r="AG71" s="156"/>
      <c r="AH71" s="156"/>
      <c r="AI71" s="410"/>
    </row>
    <row r="72" spans="1:35" ht="19.5" hidden="1" customHeight="1">
      <c r="A72" s="137"/>
      <c r="B72" s="197">
        <f t="shared" si="1"/>
        <v>62</v>
      </c>
      <c r="C72" s="30" t="s">
        <v>206</v>
      </c>
      <c r="D72" s="30" t="s">
        <v>225</v>
      </c>
      <c r="E72" s="234" t="s">
        <v>656</v>
      </c>
      <c r="F72" s="235" t="s">
        <v>1217</v>
      </c>
      <c r="G72" s="284">
        <f>IFERROR(VLOOKUP(E72,Assign!$C$2:$J$142,8,FALSE),)</f>
        <v>0</v>
      </c>
      <c r="H72" s="197" t="s">
        <v>3918</v>
      </c>
      <c r="I72" s="324" t="s">
        <v>3919</v>
      </c>
      <c r="J72" s="237">
        <v>1</v>
      </c>
      <c r="K72" s="237">
        <v>1</v>
      </c>
      <c r="L72" s="265" t="s">
        <v>209</v>
      </c>
      <c r="M72" s="266" t="s">
        <v>231</v>
      </c>
      <c r="N72" s="266" t="s">
        <v>1488</v>
      </c>
      <c r="O72" s="267" t="s">
        <v>1489</v>
      </c>
      <c r="P72" s="268" t="s">
        <v>1490</v>
      </c>
      <c r="Q72" s="269"/>
      <c r="R72" s="269">
        <f>261.35+101.11+99.27</f>
        <v>461.73</v>
      </c>
      <c r="S72" s="270"/>
      <c r="T72" s="182"/>
      <c r="U72" s="182">
        <v>1</v>
      </c>
      <c r="V72" s="408">
        <v>1</v>
      </c>
      <c r="W72" s="357" t="s">
        <v>204</v>
      </c>
      <c r="X72" s="156">
        <v>1300000000</v>
      </c>
      <c r="Y72" s="417">
        <v>1300000000</v>
      </c>
      <c r="Z72" s="418" t="s">
        <v>359</v>
      </c>
      <c r="AA72" s="271"/>
      <c r="AB72" s="168"/>
      <c r="AC72" s="156"/>
      <c r="AD72" s="156"/>
      <c r="AE72" s="320"/>
      <c r="AF72" s="168"/>
      <c r="AG72" s="156"/>
      <c r="AH72" s="156"/>
      <c r="AI72" s="410"/>
    </row>
    <row r="73" spans="1:35" ht="19.5" hidden="1" customHeight="1">
      <c r="A73" s="137"/>
      <c r="B73" s="197">
        <f t="shared" si="1"/>
        <v>63</v>
      </c>
      <c r="C73" s="30" t="s">
        <v>206</v>
      </c>
      <c r="D73" s="30" t="s">
        <v>225</v>
      </c>
      <c r="E73" s="234" t="s">
        <v>656</v>
      </c>
      <c r="F73" s="235" t="s">
        <v>1217</v>
      </c>
      <c r="G73" s="284">
        <f>IFERROR(VLOOKUP(E73,Assign!$C$2:$J$142,8,FALSE),)</f>
        <v>0</v>
      </c>
      <c r="H73" s="197" t="s">
        <v>3918</v>
      </c>
      <c r="I73" s="324" t="s">
        <v>3920</v>
      </c>
      <c r="J73" s="237">
        <v>1</v>
      </c>
      <c r="K73" s="237">
        <v>2</v>
      </c>
      <c r="L73" s="265" t="s">
        <v>209</v>
      </c>
      <c r="M73" s="266" t="s">
        <v>231</v>
      </c>
      <c r="N73" s="266" t="s">
        <v>1488</v>
      </c>
      <c r="O73" s="267" t="s">
        <v>1489</v>
      </c>
      <c r="P73" s="268" t="s">
        <v>450</v>
      </c>
      <c r="Q73" s="269">
        <v>538.4</v>
      </c>
      <c r="R73" s="269"/>
      <c r="S73" s="270"/>
      <c r="T73" s="182"/>
      <c r="U73" s="182">
        <v>1</v>
      </c>
      <c r="V73" s="408">
        <v>1</v>
      </c>
      <c r="W73" s="357" t="s">
        <v>204</v>
      </c>
      <c r="X73" s="156">
        <v>1300000000</v>
      </c>
      <c r="Y73" s="417">
        <v>1300000000</v>
      </c>
      <c r="Z73" s="418" t="s">
        <v>359</v>
      </c>
      <c r="AA73" s="271"/>
      <c r="AB73" s="168"/>
      <c r="AC73" s="156"/>
      <c r="AD73" s="156"/>
      <c r="AE73" s="320"/>
      <c r="AF73" s="168"/>
      <c r="AG73" s="156"/>
      <c r="AH73" s="156"/>
      <c r="AI73" s="410"/>
    </row>
    <row r="74" spans="1:35" ht="19.5" hidden="1" customHeight="1">
      <c r="A74" s="137"/>
      <c r="B74" s="197">
        <f t="shared" si="1"/>
        <v>64</v>
      </c>
      <c r="C74" s="30" t="s">
        <v>206</v>
      </c>
      <c r="D74" s="30" t="s">
        <v>225</v>
      </c>
      <c r="E74" s="234" t="s">
        <v>656</v>
      </c>
      <c r="F74" s="235" t="s">
        <v>1217</v>
      </c>
      <c r="G74" s="284">
        <f>IFERROR(VLOOKUP(E74,Assign!$C$2:$J$142,8,FALSE),)</f>
        <v>0</v>
      </c>
      <c r="H74" s="197" t="s">
        <v>3921</v>
      </c>
      <c r="I74" s="324" t="s">
        <v>3922</v>
      </c>
      <c r="J74" s="237">
        <v>2</v>
      </c>
      <c r="K74" s="237">
        <v>1</v>
      </c>
      <c r="L74" s="265" t="s">
        <v>209</v>
      </c>
      <c r="M74" s="266" t="s">
        <v>286</v>
      </c>
      <c r="N74" s="266" t="s">
        <v>1491</v>
      </c>
      <c r="O74" s="267" t="s">
        <v>1492</v>
      </c>
      <c r="P74" s="268" t="s">
        <v>1493</v>
      </c>
      <c r="Q74" s="269">
        <v>1484.1</v>
      </c>
      <c r="R74" s="269">
        <v>36.849699999999999</v>
      </c>
      <c r="S74" s="270"/>
      <c r="T74" s="182">
        <f>11.4325/1484.1</f>
        <v>7.7033218785796101E-3</v>
      </c>
      <c r="U74" s="182">
        <v>1</v>
      </c>
      <c r="V74" s="408">
        <v>1</v>
      </c>
      <c r="W74" s="357" t="s">
        <v>204</v>
      </c>
      <c r="X74" s="156">
        <v>960000000</v>
      </c>
      <c r="Y74" s="417">
        <v>960000000</v>
      </c>
      <c r="Z74" s="418" t="s">
        <v>359</v>
      </c>
      <c r="AA74" s="271"/>
      <c r="AB74" s="168"/>
      <c r="AC74" s="156"/>
      <c r="AD74" s="156"/>
      <c r="AE74" s="320"/>
      <c r="AF74" s="168"/>
      <c r="AG74" s="156"/>
      <c r="AH74" s="156"/>
      <c r="AI74" s="410"/>
    </row>
    <row r="75" spans="1:35" ht="19.5" hidden="1" customHeight="1">
      <c r="A75" s="137"/>
      <c r="B75" s="197">
        <f t="shared" ref="B75:B138" si="2">ROW()-10</f>
        <v>65</v>
      </c>
      <c r="C75" s="30" t="s">
        <v>206</v>
      </c>
      <c r="D75" s="30" t="s">
        <v>225</v>
      </c>
      <c r="E75" s="234" t="s">
        <v>657</v>
      </c>
      <c r="F75" s="235" t="s">
        <v>1300</v>
      </c>
      <c r="G75" s="284">
        <f>IFERROR(VLOOKUP(E75,Assign!$C$2:$J$142,8,FALSE),)</f>
        <v>0</v>
      </c>
      <c r="H75" s="197" t="s">
        <v>5378</v>
      </c>
      <c r="I75" s="324" t="s">
        <v>5379</v>
      </c>
      <c r="J75" s="237">
        <v>1</v>
      </c>
      <c r="K75" s="237">
        <v>1</v>
      </c>
      <c r="L75" s="265" t="s">
        <v>221</v>
      </c>
      <c r="M75" s="266" t="s">
        <v>2852</v>
      </c>
      <c r="N75" s="266" t="s">
        <v>2853</v>
      </c>
      <c r="O75" s="267" t="s">
        <v>2854</v>
      </c>
      <c r="P75" s="268" t="s">
        <v>2855</v>
      </c>
      <c r="Q75" s="269"/>
      <c r="R75" s="269">
        <f>344.12+344.12+344.12</f>
        <v>1032.3600000000001</v>
      </c>
      <c r="S75" s="270"/>
      <c r="T75" s="182"/>
      <c r="U75" s="182">
        <v>1</v>
      </c>
      <c r="V75" s="408">
        <v>1</v>
      </c>
      <c r="W75" s="357" t="s">
        <v>204</v>
      </c>
      <c r="X75" s="156">
        <v>2479200000</v>
      </c>
      <c r="Y75" s="417">
        <v>2479200000</v>
      </c>
      <c r="Z75" s="418" t="s">
        <v>359</v>
      </c>
      <c r="AA75" s="271"/>
      <c r="AB75" s="168"/>
      <c r="AC75" s="156"/>
      <c r="AD75" s="156"/>
      <c r="AE75" s="320"/>
      <c r="AF75" s="168"/>
      <c r="AG75" s="156"/>
      <c r="AH75" s="156"/>
      <c r="AI75" s="410"/>
    </row>
    <row r="76" spans="1:35" ht="19.5" hidden="1" customHeight="1">
      <c r="A76" s="137"/>
      <c r="B76" s="197">
        <f t="shared" si="2"/>
        <v>66</v>
      </c>
      <c r="C76" s="30" t="s">
        <v>206</v>
      </c>
      <c r="D76" s="30" t="s">
        <v>225</v>
      </c>
      <c r="E76" s="234" t="s">
        <v>657</v>
      </c>
      <c r="F76" s="235" t="s">
        <v>1300</v>
      </c>
      <c r="G76" s="284">
        <f>IFERROR(VLOOKUP(E76,Assign!$C$2:$J$142,8,FALSE),)</f>
        <v>0</v>
      </c>
      <c r="H76" s="197" t="s">
        <v>5378</v>
      </c>
      <c r="I76" s="324" t="s">
        <v>5380</v>
      </c>
      <c r="J76" s="237">
        <v>1</v>
      </c>
      <c r="K76" s="237">
        <v>2</v>
      </c>
      <c r="L76" s="265" t="s">
        <v>221</v>
      </c>
      <c r="M76" s="266" t="s">
        <v>2852</v>
      </c>
      <c r="N76" s="266" t="s">
        <v>2853</v>
      </c>
      <c r="O76" s="267" t="s">
        <v>2856</v>
      </c>
      <c r="P76" s="268" t="s">
        <v>450</v>
      </c>
      <c r="Q76" s="269">
        <v>1024</v>
      </c>
      <c r="R76" s="269"/>
      <c r="S76" s="270"/>
      <c r="T76" s="182"/>
      <c r="U76" s="182">
        <v>1</v>
      </c>
      <c r="V76" s="408">
        <v>1</v>
      </c>
      <c r="W76" s="357" t="s">
        <v>204</v>
      </c>
      <c r="X76" s="156">
        <v>2479200000</v>
      </c>
      <c r="Y76" s="417">
        <v>2479200000</v>
      </c>
      <c r="Z76" s="418" t="s">
        <v>359</v>
      </c>
      <c r="AA76" s="271"/>
      <c r="AB76" s="168"/>
      <c r="AC76" s="156"/>
      <c r="AD76" s="156"/>
      <c r="AE76" s="320"/>
      <c r="AF76" s="168"/>
      <c r="AG76" s="156"/>
      <c r="AH76" s="156"/>
      <c r="AI76" s="410"/>
    </row>
    <row r="77" spans="1:35" ht="19.5" hidden="1" customHeight="1">
      <c r="A77" s="137"/>
      <c r="B77" s="197">
        <f t="shared" si="2"/>
        <v>67</v>
      </c>
      <c r="C77" s="30" t="s">
        <v>206</v>
      </c>
      <c r="D77" s="30" t="s">
        <v>225</v>
      </c>
      <c r="E77" s="234" t="s">
        <v>657</v>
      </c>
      <c r="F77" s="235" t="s">
        <v>1300</v>
      </c>
      <c r="G77" s="284">
        <f>IFERROR(VLOOKUP(E77,Assign!$C$2:$J$142,8,FALSE),)</f>
        <v>0</v>
      </c>
      <c r="H77" s="197" t="s">
        <v>5378</v>
      </c>
      <c r="I77" s="324" t="s">
        <v>5381</v>
      </c>
      <c r="J77" s="237">
        <v>1</v>
      </c>
      <c r="K77" s="237">
        <v>3</v>
      </c>
      <c r="L77" s="265" t="s">
        <v>221</v>
      </c>
      <c r="M77" s="266" t="s">
        <v>2852</v>
      </c>
      <c r="N77" s="266" t="s">
        <v>2853</v>
      </c>
      <c r="O77" s="267" t="s">
        <v>2857</v>
      </c>
      <c r="P77" s="268" t="s">
        <v>450</v>
      </c>
      <c r="Q77" s="269">
        <v>239</v>
      </c>
      <c r="R77" s="269"/>
      <c r="S77" s="270"/>
      <c r="T77" s="182"/>
      <c r="U77" s="182">
        <v>1</v>
      </c>
      <c r="V77" s="408">
        <v>1</v>
      </c>
      <c r="W77" s="357" t="s">
        <v>204</v>
      </c>
      <c r="X77" s="156">
        <v>2479200000</v>
      </c>
      <c r="Y77" s="417">
        <v>2479200000</v>
      </c>
      <c r="Z77" s="418" t="s">
        <v>359</v>
      </c>
      <c r="AA77" s="271"/>
      <c r="AB77" s="168"/>
      <c r="AC77" s="156"/>
      <c r="AD77" s="156"/>
      <c r="AE77" s="320"/>
      <c r="AF77" s="168"/>
      <c r="AG77" s="156"/>
      <c r="AH77" s="156"/>
      <c r="AI77" s="410"/>
    </row>
    <row r="78" spans="1:35" ht="19.5" hidden="1" customHeight="1">
      <c r="A78" s="137"/>
      <c r="B78" s="197">
        <f t="shared" si="2"/>
        <v>68</v>
      </c>
      <c r="C78" s="30" t="s">
        <v>206</v>
      </c>
      <c r="D78" s="30" t="s">
        <v>225</v>
      </c>
      <c r="E78" s="234" t="s">
        <v>657</v>
      </c>
      <c r="F78" s="235" t="s">
        <v>1300</v>
      </c>
      <c r="G78" s="284">
        <f>IFERROR(VLOOKUP(E78,Assign!$C$2:$J$142,8,FALSE),)</f>
        <v>0</v>
      </c>
      <c r="H78" s="197" t="s">
        <v>5378</v>
      </c>
      <c r="I78" s="324" t="s">
        <v>5382</v>
      </c>
      <c r="J78" s="237">
        <v>1</v>
      </c>
      <c r="K78" s="237">
        <v>4</v>
      </c>
      <c r="L78" s="265" t="s">
        <v>221</v>
      </c>
      <c r="M78" s="266" t="s">
        <v>2852</v>
      </c>
      <c r="N78" s="266" t="s">
        <v>2853</v>
      </c>
      <c r="O78" s="267" t="s">
        <v>2858</v>
      </c>
      <c r="P78" s="268" t="s">
        <v>2859</v>
      </c>
      <c r="Q78" s="269"/>
      <c r="R78" s="269">
        <f>215.29+229.05</f>
        <v>444.34000000000003</v>
      </c>
      <c r="S78" s="270"/>
      <c r="T78" s="182"/>
      <c r="U78" s="182">
        <v>1</v>
      </c>
      <c r="V78" s="408">
        <v>1</v>
      </c>
      <c r="W78" s="357" t="s">
        <v>204</v>
      </c>
      <c r="X78" s="156">
        <v>2479200000</v>
      </c>
      <c r="Y78" s="417">
        <v>2479200000</v>
      </c>
      <c r="Z78" s="418" t="s">
        <v>359</v>
      </c>
      <c r="AA78" s="271"/>
      <c r="AB78" s="168"/>
      <c r="AC78" s="156"/>
      <c r="AD78" s="156"/>
      <c r="AE78" s="320"/>
      <c r="AF78" s="168"/>
      <c r="AG78" s="156"/>
      <c r="AH78" s="156"/>
      <c r="AI78" s="410"/>
    </row>
    <row r="79" spans="1:35" ht="19.5" hidden="1" customHeight="1">
      <c r="A79" s="137"/>
      <c r="B79" s="197">
        <f t="shared" si="2"/>
        <v>69</v>
      </c>
      <c r="C79" s="30" t="s">
        <v>206</v>
      </c>
      <c r="D79" s="30" t="s">
        <v>225</v>
      </c>
      <c r="E79" s="234" t="s">
        <v>657</v>
      </c>
      <c r="F79" s="235" t="s">
        <v>1300</v>
      </c>
      <c r="G79" s="284">
        <f>IFERROR(VLOOKUP(E79,Assign!$C$2:$J$142,8,FALSE),)</f>
        <v>0</v>
      </c>
      <c r="H79" s="197" t="s">
        <v>5378</v>
      </c>
      <c r="I79" s="324" t="s">
        <v>5383</v>
      </c>
      <c r="J79" s="237">
        <v>1</v>
      </c>
      <c r="K79" s="237">
        <v>5</v>
      </c>
      <c r="L79" s="265" t="s">
        <v>221</v>
      </c>
      <c r="M79" s="266" t="s">
        <v>2852</v>
      </c>
      <c r="N79" s="266" t="s">
        <v>2853</v>
      </c>
      <c r="O79" s="267" t="s">
        <v>2860</v>
      </c>
      <c r="P79" s="268" t="s">
        <v>450</v>
      </c>
      <c r="Q79" s="269">
        <v>324</v>
      </c>
      <c r="R79" s="269"/>
      <c r="S79" s="270"/>
      <c r="T79" s="182"/>
      <c r="U79" s="182">
        <v>1</v>
      </c>
      <c r="V79" s="408">
        <v>1</v>
      </c>
      <c r="W79" s="357" t="s">
        <v>204</v>
      </c>
      <c r="X79" s="156">
        <v>2479200000</v>
      </c>
      <c r="Y79" s="417">
        <v>2479200000</v>
      </c>
      <c r="Z79" s="418" t="s">
        <v>359</v>
      </c>
      <c r="AA79" s="271"/>
      <c r="AB79" s="168"/>
      <c r="AC79" s="156"/>
      <c r="AD79" s="156"/>
      <c r="AE79" s="320"/>
      <c r="AF79" s="168"/>
      <c r="AG79" s="156"/>
      <c r="AH79" s="156"/>
      <c r="AI79" s="410"/>
    </row>
    <row r="80" spans="1:35" ht="19.5" hidden="1" customHeight="1">
      <c r="A80" s="137"/>
      <c r="B80" s="197">
        <f t="shared" si="2"/>
        <v>70</v>
      </c>
      <c r="C80" s="30" t="s">
        <v>206</v>
      </c>
      <c r="D80" s="30" t="s">
        <v>225</v>
      </c>
      <c r="E80" s="234" t="s">
        <v>657</v>
      </c>
      <c r="F80" s="235" t="s">
        <v>1300</v>
      </c>
      <c r="G80" s="284">
        <f>IFERROR(VLOOKUP(E80,Assign!$C$2:$J$142,8,FALSE),)</f>
        <v>0</v>
      </c>
      <c r="H80" s="197" t="s">
        <v>5378</v>
      </c>
      <c r="I80" s="324" t="s">
        <v>5384</v>
      </c>
      <c r="J80" s="237">
        <v>1</v>
      </c>
      <c r="K80" s="237">
        <v>6</v>
      </c>
      <c r="L80" s="265" t="s">
        <v>221</v>
      </c>
      <c r="M80" s="266" t="s">
        <v>2852</v>
      </c>
      <c r="N80" s="266" t="s">
        <v>2853</v>
      </c>
      <c r="O80" s="267" t="s">
        <v>2861</v>
      </c>
      <c r="P80" s="268" t="s">
        <v>450</v>
      </c>
      <c r="Q80" s="269">
        <v>24</v>
      </c>
      <c r="R80" s="269"/>
      <c r="S80" s="270"/>
      <c r="T80" s="182"/>
      <c r="U80" s="182">
        <v>1</v>
      </c>
      <c r="V80" s="408">
        <v>1</v>
      </c>
      <c r="W80" s="357" t="s">
        <v>204</v>
      </c>
      <c r="X80" s="156">
        <v>2479200000</v>
      </c>
      <c r="Y80" s="417">
        <v>2479200000</v>
      </c>
      <c r="Z80" s="418" t="s">
        <v>359</v>
      </c>
      <c r="AA80" s="271"/>
      <c r="AB80" s="168"/>
      <c r="AC80" s="156"/>
      <c r="AD80" s="156"/>
      <c r="AE80" s="320"/>
      <c r="AF80" s="168"/>
      <c r="AG80" s="156"/>
      <c r="AH80" s="156"/>
      <c r="AI80" s="410"/>
    </row>
    <row r="81" spans="1:35" ht="19.5" hidden="1" customHeight="1">
      <c r="A81" s="137"/>
      <c r="B81" s="197">
        <f t="shared" si="2"/>
        <v>71</v>
      </c>
      <c r="C81" s="30" t="s">
        <v>206</v>
      </c>
      <c r="D81" s="30" t="s">
        <v>225</v>
      </c>
      <c r="E81" s="234" t="s">
        <v>657</v>
      </c>
      <c r="F81" s="235" t="s">
        <v>1300</v>
      </c>
      <c r="G81" s="284">
        <f>IFERROR(VLOOKUP(E81,Assign!$C$2:$J$142,8,FALSE),)</f>
        <v>0</v>
      </c>
      <c r="H81" s="197" t="s">
        <v>5378</v>
      </c>
      <c r="I81" s="324" t="s">
        <v>5385</v>
      </c>
      <c r="J81" s="237">
        <v>1</v>
      </c>
      <c r="K81" s="237">
        <v>7</v>
      </c>
      <c r="L81" s="265" t="s">
        <v>221</v>
      </c>
      <c r="M81" s="266" t="s">
        <v>2852</v>
      </c>
      <c r="N81" s="266" t="s">
        <v>2853</v>
      </c>
      <c r="O81" s="267" t="s">
        <v>2862</v>
      </c>
      <c r="P81" s="268" t="s">
        <v>450</v>
      </c>
      <c r="Q81" s="269">
        <v>175</v>
      </c>
      <c r="R81" s="269"/>
      <c r="S81" s="270"/>
      <c r="T81" s="182"/>
      <c r="U81" s="182">
        <v>1</v>
      </c>
      <c r="V81" s="408">
        <v>1</v>
      </c>
      <c r="W81" s="357" t="s">
        <v>204</v>
      </c>
      <c r="X81" s="156">
        <v>2479200000</v>
      </c>
      <c r="Y81" s="417">
        <v>2479200000</v>
      </c>
      <c r="Z81" s="418" t="s">
        <v>359</v>
      </c>
      <c r="AA81" s="271"/>
      <c r="AB81" s="168"/>
      <c r="AC81" s="156"/>
      <c r="AD81" s="156"/>
      <c r="AE81" s="320"/>
      <c r="AF81" s="168"/>
      <c r="AG81" s="156"/>
      <c r="AH81" s="156"/>
      <c r="AI81" s="410"/>
    </row>
    <row r="82" spans="1:35" ht="19.5" hidden="1" customHeight="1">
      <c r="A82" s="137"/>
      <c r="B82" s="197">
        <f t="shared" si="2"/>
        <v>72</v>
      </c>
      <c r="C82" s="30" t="s">
        <v>206</v>
      </c>
      <c r="D82" s="30" t="s">
        <v>225</v>
      </c>
      <c r="E82" s="234" t="s">
        <v>657</v>
      </c>
      <c r="F82" s="235" t="s">
        <v>1300</v>
      </c>
      <c r="G82" s="284">
        <f>IFERROR(VLOOKUP(E82,Assign!$C$2:$J$142,8,FALSE),)</f>
        <v>0</v>
      </c>
      <c r="H82" s="197" t="s">
        <v>5378</v>
      </c>
      <c r="I82" s="324" t="s">
        <v>5386</v>
      </c>
      <c r="J82" s="237">
        <v>1</v>
      </c>
      <c r="K82" s="237">
        <v>8</v>
      </c>
      <c r="L82" s="265" t="s">
        <v>221</v>
      </c>
      <c r="M82" s="266" t="s">
        <v>2852</v>
      </c>
      <c r="N82" s="266" t="s">
        <v>2853</v>
      </c>
      <c r="O82" s="267" t="s">
        <v>2863</v>
      </c>
      <c r="P82" s="268" t="s">
        <v>352</v>
      </c>
      <c r="Q82" s="269">
        <v>1356</v>
      </c>
      <c r="R82" s="269"/>
      <c r="S82" s="270"/>
      <c r="T82" s="182"/>
      <c r="U82" s="182">
        <v>1</v>
      </c>
      <c r="V82" s="408">
        <v>1</v>
      </c>
      <c r="W82" s="357" t="s">
        <v>204</v>
      </c>
      <c r="X82" s="156">
        <v>2479200000</v>
      </c>
      <c r="Y82" s="417">
        <v>2479200000</v>
      </c>
      <c r="Z82" s="418" t="s">
        <v>359</v>
      </c>
      <c r="AA82" s="271"/>
      <c r="AB82" s="168"/>
      <c r="AC82" s="156"/>
      <c r="AD82" s="156"/>
      <c r="AE82" s="320"/>
      <c r="AF82" s="168"/>
      <c r="AG82" s="156"/>
      <c r="AH82" s="156"/>
      <c r="AI82" s="410"/>
    </row>
    <row r="83" spans="1:35" ht="19.5" hidden="1" customHeight="1">
      <c r="A83" s="137"/>
      <c r="B83" s="197">
        <f t="shared" si="2"/>
        <v>73</v>
      </c>
      <c r="C83" s="30" t="s">
        <v>206</v>
      </c>
      <c r="D83" s="30" t="s">
        <v>225</v>
      </c>
      <c r="E83" s="234" t="s">
        <v>657</v>
      </c>
      <c r="F83" s="235" t="s">
        <v>1300</v>
      </c>
      <c r="G83" s="284">
        <f>IFERROR(VLOOKUP(E83,Assign!$C$2:$J$142,8,FALSE),)</f>
        <v>0</v>
      </c>
      <c r="H83" s="197" t="s">
        <v>5378</v>
      </c>
      <c r="I83" s="324" t="s">
        <v>5387</v>
      </c>
      <c r="J83" s="237">
        <v>1</v>
      </c>
      <c r="K83" s="237">
        <v>9</v>
      </c>
      <c r="L83" s="265" t="s">
        <v>221</v>
      </c>
      <c r="M83" s="266" t="s">
        <v>2852</v>
      </c>
      <c r="N83" s="266" t="s">
        <v>2853</v>
      </c>
      <c r="O83" s="267" t="s">
        <v>2864</v>
      </c>
      <c r="P83" s="268" t="s">
        <v>352</v>
      </c>
      <c r="Q83" s="269">
        <v>129</v>
      </c>
      <c r="R83" s="269"/>
      <c r="S83" s="270"/>
      <c r="T83" s="182"/>
      <c r="U83" s="182">
        <v>1</v>
      </c>
      <c r="V83" s="408">
        <v>1</v>
      </c>
      <c r="W83" s="357" t="s">
        <v>204</v>
      </c>
      <c r="X83" s="156">
        <v>2479200000</v>
      </c>
      <c r="Y83" s="417">
        <v>2479200000</v>
      </c>
      <c r="Z83" s="418" t="s">
        <v>359</v>
      </c>
      <c r="AA83" s="271"/>
      <c r="AB83" s="168"/>
      <c r="AC83" s="156"/>
      <c r="AD83" s="156"/>
      <c r="AE83" s="320"/>
      <c r="AF83" s="168"/>
      <c r="AG83" s="156"/>
      <c r="AH83" s="156"/>
      <c r="AI83" s="410"/>
    </row>
    <row r="84" spans="1:35" ht="19.5" hidden="1" customHeight="1">
      <c r="A84" s="137"/>
      <c r="B84" s="197">
        <f t="shared" si="2"/>
        <v>74</v>
      </c>
      <c r="C84" s="30" t="s">
        <v>206</v>
      </c>
      <c r="D84" s="30" t="s">
        <v>225</v>
      </c>
      <c r="E84" s="234" t="s">
        <v>657</v>
      </c>
      <c r="F84" s="235" t="s">
        <v>1300</v>
      </c>
      <c r="G84" s="284">
        <f>IFERROR(VLOOKUP(E84,Assign!$C$2:$J$142,8,FALSE),)</f>
        <v>0</v>
      </c>
      <c r="H84" s="197" t="s">
        <v>5378</v>
      </c>
      <c r="I84" s="324" t="s">
        <v>5388</v>
      </c>
      <c r="J84" s="237">
        <v>1</v>
      </c>
      <c r="K84" s="237">
        <v>10</v>
      </c>
      <c r="L84" s="265" t="s">
        <v>221</v>
      </c>
      <c r="M84" s="266" t="s">
        <v>2852</v>
      </c>
      <c r="N84" s="266" t="s">
        <v>2853</v>
      </c>
      <c r="O84" s="267" t="s">
        <v>2865</v>
      </c>
      <c r="P84" s="268" t="s">
        <v>352</v>
      </c>
      <c r="Q84" s="269">
        <v>331</v>
      </c>
      <c r="R84" s="269"/>
      <c r="S84" s="270"/>
      <c r="T84" s="182"/>
      <c r="U84" s="182">
        <v>1</v>
      </c>
      <c r="V84" s="408">
        <v>1</v>
      </c>
      <c r="W84" s="357" t="s">
        <v>204</v>
      </c>
      <c r="X84" s="156">
        <v>2479200000</v>
      </c>
      <c r="Y84" s="417">
        <v>2479200000</v>
      </c>
      <c r="Z84" s="418" t="s">
        <v>359</v>
      </c>
      <c r="AA84" s="271"/>
      <c r="AB84" s="168"/>
      <c r="AC84" s="156"/>
      <c r="AD84" s="156"/>
      <c r="AE84" s="320"/>
      <c r="AF84" s="168"/>
      <c r="AG84" s="156"/>
      <c r="AH84" s="156"/>
      <c r="AI84" s="410"/>
    </row>
    <row r="85" spans="1:35" ht="19.5" hidden="1" customHeight="1">
      <c r="A85" s="137"/>
      <c r="B85" s="197">
        <f t="shared" si="2"/>
        <v>75</v>
      </c>
      <c r="C85" s="30" t="s">
        <v>206</v>
      </c>
      <c r="D85" s="30" t="s">
        <v>225</v>
      </c>
      <c r="E85" s="234" t="s">
        <v>657</v>
      </c>
      <c r="F85" s="235" t="s">
        <v>1300</v>
      </c>
      <c r="G85" s="284">
        <f>IFERROR(VLOOKUP(E85,Assign!$C$2:$J$142,8,FALSE),)</f>
        <v>0</v>
      </c>
      <c r="H85" s="197" t="s">
        <v>5378</v>
      </c>
      <c r="I85" s="324" t="s">
        <v>5389</v>
      </c>
      <c r="J85" s="237">
        <v>1</v>
      </c>
      <c r="K85" s="237">
        <v>11</v>
      </c>
      <c r="L85" s="265" t="s">
        <v>221</v>
      </c>
      <c r="M85" s="266" t="s">
        <v>2852</v>
      </c>
      <c r="N85" s="266" t="s">
        <v>2853</v>
      </c>
      <c r="O85" s="267" t="s">
        <v>2866</v>
      </c>
      <c r="P85" s="268" t="s">
        <v>456</v>
      </c>
      <c r="Q85" s="269">
        <v>1</v>
      </c>
      <c r="R85" s="269"/>
      <c r="S85" s="270"/>
      <c r="T85" s="182"/>
      <c r="U85" s="182">
        <v>1</v>
      </c>
      <c r="V85" s="408">
        <v>1</v>
      </c>
      <c r="W85" s="357" t="s">
        <v>204</v>
      </c>
      <c r="X85" s="156">
        <v>2479200000</v>
      </c>
      <c r="Y85" s="417">
        <v>2479200000</v>
      </c>
      <c r="Z85" s="418" t="s">
        <v>359</v>
      </c>
      <c r="AA85" s="271"/>
      <c r="AB85" s="168"/>
      <c r="AC85" s="156"/>
      <c r="AD85" s="156"/>
      <c r="AE85" s="320"/>
      <c r="AF85" s="168"/>
      <c r="AG85" s="156"/>
      <c r="AH85" s="156"/>
      <c r="AI85" s="410"/>
    </row>
    <row r="86" spans="1:35" ht="19.5" hidden="1" customHeight="1">
      <c r="A86" s="137"/>
      <c r="B86" s="197">
        <f t="shared" si="2"/>
        <v>76</v>
      </c>
      <c r="C86" s="30" t="s">
        <v>206</v>
      </c>
      <c r="D86" s="30" t="s">
        <v>225</v>
      </c>
      <c r="E86" s="234" t="s">
        <v>657</v>
      </c>
      <c r="F86" s="235" t="s">
        <v>1300</v>
      </c>
      <c r="G86" s="284">
        <f>IFERROR(VLOOKUP(E86,Assign!$C$2:$J$142,8,FALSE),)</f>
        <v>0</v>
      </c>
      <c r="H86" s="197" t="s">
        <v>5378</v>
      </c>
      <c r="I86" s="324" t="s">
        <v>5390</v>
      </c>
      <c r="J86" s="237">
        <v>1</v>
      </c>
      <c r="K86" s="237">
        <v>12</v>
      </c>
      <c r="L86" s="265" t="s">
        <v>221</v>
      </c>
      <c r="M86" s="266" t="s">
        <v>2852</v>
      </c>
      <c r="N86" s="266" t="s">
        <v>2853</v>
      </c>
      <c r="O86" s="267" t="s">
        <v>2867</v>
      </c>
      <c r="P86" s="268" t="s">
        <v>456</v>
      </c>
      <c r="Q86" s="269">
        <v>32</v>
      </c>
      <c r="R86" s="269"/>
      <c r="S86" s="270"/>
      <c r="T86" s="182"/>
      <c r="U86" s="182">
        <v>1</v>
      </c>
      <c r="V86" s="408">
        <v>1</v>
      </c>
      <c r="W86" s="357" t="s">
        <v>204</v>
      </c>
      <c r="X86" s="156">
        <v>2479200000</v>
      </c>
      <c r="Y86" s="417">
        <v>2479200000</v>
      </c>
      <c r="Z86" s="418" t="s">
        <v>359</v>
      </c>
      <c r="AA86" s="271"/>
      <c r="AB86" s="168"/>
      <c r="AC86" s="156"/>
      <c r="AD86" s="156"/>
      <c r="AE86" s="320"/>
      <c r="AF86" s="168"/>
      <c r="AG86" s="156"/>
      <c r="AH86" s="156"/>
      <c r="AI86" s="410"/>
    </row>
    <row r="87" spans="1:35" ht="19.5" hidden="1" customHeight="1">
      <c r="A87" s="137"/>
      <c r="B87" s="197">
        <f t="shared" si="2"/>
        <v>77</v>
      </c>
      <c r="C87" s="30" t="s">
        <v>206</v>
      </c>
      <c r="D87" s="30" t="s">
        <v>225</v>
      </c>
      <c r="E87" s="234" t="s">
        <v>657</v>
      </c>
      <c r="F87" s="235" t="s">
        <v>1300</v>
      </c>
      <c r="G87" s="284">
        <f>IFERROR(VLOOKUP(E87,Assign!$C$2:$J$142,8,FALSE),)</f>
        <v>0</v>
      </c>
      <c r="H87" s="197" t="s">
        <v>5378</v>
      </c>
      <c r="I87" s="324" t="s">
        <v>5391</v>
      </c>
      <c r="J87" s="237">
        <v>1</v>
      </c>
      <c r="K87" s="237">
        <v>13</v>
      </c>
      <c r="L87" s="265" t="s">
        <v>221</v>
      </c>
      <c r="M87" s="266" t="s">
        <v>2852</v>
      </c>
      <c r="N87" s="266" t="s">
        <v>2853</v>
      </c>
      <c r="O87" s="267" t="s">
        <v>2868</v>
      </c>
      <c r="P87" s="268" t="s">
        <v>352</v>
      </c>
      <c r="Q87" s="269">
        <v>32</v>
      </c>
      <c r="R87" s="269"/>
      <c r="S87" s="270"/>
      <c r="T87" s="182"/>
      <c r="U87" s="182">
        <v>1</v>
      </c>
      <c r="V87" s="408">
        <v>1</v>
      </c>
      <c r="W87" s="357" t="s">
        <v>204</v>
      </c>
      <c r="X87" s="156">
        <v>2479200000</v>
      </c>
      <c r="Y87" s="417">
        <v>2479200000</v>
      </c>
      <c r="Z87" s="418" t="s">
        <v>359</v>
      </c>
      <c r="AA87" s="271"/>
      <c r="AB87" s="168"/>
      <c r="AC87" s="156"/>
      <c r="AD87" s="156"/>
      <c r="AE87" s="320"/>
      <c r="AF87" s="168"/>
      <c r="AG87" s="156"/>
      <c r="AH87" s="156"/>
      <c r="AI87" s="410"/>
    </row>
    <row r="88" spans="1:35" ht="19.5" hidden="1" customHeight="1">
      <c r="A88" s="137"/>
      <c r="B88" s="197">
        <f t="shared" si="2"/>
        <v>78</v>
      </c>
      <c r="C88" s="30" t="s">
        <v>206</v>
      </c>
      <c r="D88" s="30" t="s">
        <v>225</v>
      </c>
      <c r="E88" s="234" t="s">
        <v>658</v>
      </c>
      <c r="F88" s="235" t="s">
        <v>1301</v>
      </c>
      <c r="G88" s="284">
        <f>IFERROR(VLOOKUP(E88,Assign!$C$2:$J$142,8,FALSE),)</f>
        <v>0</v>
      </c>
      <c r="H88" s="197" t="s">
        <v>4986</v>
      </c>
      <c r="I88" s="324" t="s">
        <v>4987</v>
      </c>
      <c r="J88" s="237">
        <v>1</v>
      </c>
      <c r="K88" s="237">
        <v>1</v>
      </c>
      <c r="L88" s="265" t="s">
        <v>220</v>
      </c>
      <c r="M88" s="266" t="s">
        <v>2184</v>
      </c>
      <c r="N88" s="266" t="s">
        <v>2505</v>
      </c>
      <c r="O88" s="267" t="s">
        <v>2506</v>
      </c>
      <c r="P88" s="268" t="s">
        <v>466</v>
      </c>
      <c r="Q88" s="269"/>
      <c r="R88" s="269">
        <f>493.88+296.52+21.15</f>
        <v>811.55</v>
      </c>
      <c r="S88" s="270"/>
      <c r="T88" s="182"/>
      <c r="U88" s="182">
        <v>1</v>
      </c>
      <c r="V88" s="408" t="s">
        <v>333</v>
      </c>
      <c r="W88" s="357" t="s">
        <v>204</v>
      </c>
      <c r="X88" s="156">
        <v>2124000000</v>
      </c>
      <c r="Y88" s="417">
        <v>2124000000</v>
      </c>
      <c r="Z88" s="418" t="s">
        <v>359</v>
      </c>
      <c r="AA88" s="271"/>
      <c r="AB88" s="168"/>
      <c r="AC88" s="156"/>
      <c r="AD88" s="156"/>
      <c r="AE88" s="320"/>
      <c r="AF88" s="168"/>
      <c r="AG88" s="156"/>
      <c r="AH88" s="156"/>
      <c r="AI88" s="410"/>
    </row>
    <row r="89" spans="1:35" ht="19.5" hidden="1" customHeight="1">
      <c r="A89" s="137"/>
      <c r="B89" s="197">
        <f t="shared" si="2"/>
        <v>79</v>
      </c>
      <c r="C89" s="30" t="s">
        <v>206</v>
      </c>
      <c r="D89" s="30" t="s">
        <v>225</v>
      </c>
      <c r="E89" s="234" t="s">
        <v>658</v>
      </c>
      <c r="F89" s="235" t="s">
        <v>1301</v>
      </c>
      <c r="G89" s="284">
        <f>IFERROR(VLOOKUP(E89,Assign!$C$2:$J$142,8,FALSE),)</f>
        <v>0</v>
      </c>
      <c r="H89" s="197" t="s">
        <v>4986</v>
      </c>
      <c r="I89" s="324" t="s">
        <v>4988</v>
      </c>
      <c r="J89" s="237">
        <v>1</v>
      </c>
      <c r="K89" s="237">
        <v>2</v>
      </c>
      <c r="L89" s="265" t="s">
        <v>220</v>
      </c>
      <c r="M89" s="266" t="s">
        <v>2184</v>
      </c>
      <c r="N89" s="266" t="s">
        <v>2505</v>
      </c>
      <c r="O89" s="267" t="s">
        <v>2507</v>
      </c>
      <c r="P89" s="268" t="s">
        <v>466</v>
      </c>
      <c r="Q89" s="269"/>
      <c r="R89" s="269">
        <f>493.88+11.07</f>
        <v>504.95</v>
      </c>
      <c r="S89" s="270"/>
      <c r="T89" s="182"/>
      <c r="U89" s="182">
        <v>1</v>
      </c>
      <c r="V89" s="408" t="s">
        <v>333</v>
      </c>
      <c r="W89" s="357" t="s">
        <v>204</v>
      </c>
      <c r="X89" s="156">
        <v>2124000000</v>
      </c>
      <c r="Y89" s="417">
        <v>2124000000</v>
      </c>
      <c r="Z89" s="418" t="s">
        <v>359</v>
      </c>
      <c r="AA89" s="271"/>
      <c r="AB89" s="168"/>
      <c r="AC89" s="156"/>
      <c r="AD89" s="156"/>
      <c r="AE89" s="320"/>
      <c r="AF89" s="168"/>
      <c r="AG89" s="156"/>
      <c r="AH89" s="156"/>
      <c r="AI89" s="410"/>
    </row>
    <row r="90" spans="1:35" ht="19.5" hidden="1" customHeight="1">
      <c r="A90" s="137"/>
      <c r="B90" s="197">
        <f t="shared" si="2"/>
        <v>80</v>
      </c>
      <c r="C90" s="30" t="s">
        <v>206</v>
      </c>
      <c r="D90" s="30" t="s">
        <v>225</v>
      </c>
      <c r="E90" s="234" t="s">
        <v>658</v>
      </c>
      <c r="F90" s="235" t="s">
        <v>1301</v>
      </c>
      <c r="G90" s="284">
        <f>IFERROR(VLOOKUP(E90,Assign!$C$2:$J$142,8,FALSE),)</f>
        <v>0</v>
      </c>
      <c r="H90" s="197" t="s">
        <v>4986</v>
      </c>
      <c r="I90" s="324" t="s">
        <v>4989</v>
      </c>
      <c r="J90" s="237">
        <v>1</v>
      </c>
      <c r="K90" s="237">
        <v>3</v>
      </c>
      <c r="L90" s="265" t="s">
        <v>220</v>
      </c>
      <c r="M90" s="266" t="s">
        <v>2184</v>
      </c>
      <c r="N90" s="266" t="s">
        <v>2505</v>
      </c>
      <c r="O90" s="267" t="s">
        <v>2508</v>
      </c>
      <c r="P90" s="268" t="s">
        <v>2509</v>
      </c>
      <c r="Q90" s="269"/>
      <c r="R90" s="269">
        <v>123.75</v>
      </c>
      <c r="S90" s="270"/>
      <c r="T90" s="182"/>
      <c r="U90" s="182">
        <v>1</v>
      </c>
      <c r="V90" s="408" t="s">
        <v>333</v>
      </c>
      <c r="W90" s="357" t="s">
        <v>204</v>
      </c>
      <c r="X90" s="156">
        <v>2124000000</v>
      </c>
      <c r="Y90" s="417">
        <v>2124000000</v>
      </c>
      <c r="Z90" s="418" t="s">
        <v>359</v>
      </c>
      <c r="AA90" s="271"/>
      <c r="AB90" s="168"/>
      <c r="AC90" s="156"/>
      <c r="AD90" s="156"/>
      <c r="AE90" s="320"/>
      <c r="AF90" s="168"/>
      <c r="AG90" s="156"/>
      <c r="AH90" s="156"/>
      <c r="AI90" s="410"/>
    </row>
    <row r="91" spans="1:35" ht="19.5" hidden="1" customHeight="1">
      <c r="A91" s="137"/>
      <c r="B91" s="197">
        <f t="shared" si="2"/>
        <v>81</v>
      </c>
      <c r="C91" s="30" t="s">
        <v>206</v>
      </c>
      <c r="D91" s="30" t="s">
        <v>225</v>
      </c>
      <c r="E91" s="234" t="s">
        <v>658</v>
      </c>
      <c r="F91" s="235" t="s">
        <v>1301</v>
      </c>
      <c r="G91" s="284">
        <f>IFERROR(VLOOKUP(E91,Assign!$C$2:$J$142,8,FALSE),)</f>
        <v>0</v>
      </c>
      <c r="H91" s="197" t="s">
        <v>4986</v>
      </c>
      <c r="I91" s="324" t="s">
        <v>4990</v>
      </c>
      <c r="J91" s="237">
        <v>1</v>
      </c>
      <c r="K91" s="237">
        <v>4</v>
      </c>
      <c r="L91" s="265" t="s">
        <v>220</v>
      </c>
      <c r="M91" s="266" t="s">
        <v>2184</v>
      </c>
      <c r="N91" s="266" t="s">
        <v>2505</v>
      </c>
      <c r="O91" s="267" t="s">
        <v>2510</v>
      </c>
      <c r="P91" s="268" t="s">
        <v>2511</v>
      </c>
      <c r="Q91" s="269"/>
      <c r="R91" s="269">
        <v>66</v>
      </c>
      <c r="S91" s="270"/>
      <c r="T91" s="182"/>
      <c r="U91" s="182">
        <v>1</v>
      </c>
      <c r="V91" s="408" t="s">
        <v>333</v>
      </c>
      <c r="W91" s="357" t="s">
        <v>204</v>
      </c>
      <c r="X91" s="156">
        <v>2124000000</v>
      </c>
      <c r="Y91" s="417">
        <v>2124000000</v>
      </c>
      <c r="Z91" s="418" t="s">
        <v>359</v>
      </c>
      <c r="AA91" s="271"/>
      <c r="AB91" s="168"/>
      <c r="AC91" s="156"/>
      <c r="AD91" s="156"/>
      <c r="AE91" s="320"/>
      <c r="AF91" s="168"/>
      <c r="AG91" s="156"/>
      <c r="AH91" s="156"/>
      <c r="AI91" s="410"/>
    </row>
    <row r="92" spans="1:35" ht="19.5" hidden="1" customHeight="1">
      <c r="A92" s="137"/>
      <c r="B92" s="197">
        <f t="shared" si="2"/>
        <v>82</v>
      </c>
      <c r="C92" s="30" t="s">
        <v>206</v>
      </c>
      <c r="D92" s="30" t="s">
        <v>225</v>
      </c>
      <c r="E92" s="234" t="s">
        <v>658</v>
      </c>
      <c r="F92" s="235" t="s">
        <v>1301</v>
      </c>
      <c r="G92" s="284">
        <f>IFERROR(VLOOKUP(E92,Assign!$C$2:$J$142,8,FALSE),)</f>
        <v>0</v>
      </c>
      <c r="H92" s="197" t="s">
        <v>4986</v>
      </c>
      <c r="I92" s="324" t="s">
        <v>4991</v>
      </c>
      <c r="J92" s="237">
        <v>1</v>
      </c>
      <c r="K92" s="237">
        <v>5</v>
      </c>
      <c r="L92" s="265" t="s">
        <v>220</v>
      </c>
      <c r="M92" s="266" t="s">
        <v>2184</v>
      </c>
      <c r="N92" s="266" t="s">
        <v>2505</v>
      </c>
      <c r="O92" s="267" t="s">
        <v>2512</v>
      </c>
      <c r="P92" s="268" t="s">
        <v>447</v>
      </c>
      <c r="Q92" s="269">
        <v>1038</v>
      </c>
      <c r="R92" s="269"/>
      <c r="S92" s="270"/>
      <c r="T92" s="182"/>
      <c r="U92" s="182">
        <v>1</v>
      </c>
      <c r="V92" s="408" t="s">
        <v>333</v>
      </c>
      <c r="W92" s="357" t="s">
        <v>204</v>
      </c>
      <c r="X92" s="156">
        <v>2124000000</v>
      </c>
      <c r="Y92" s="417">
        <v>2124000000</v>
      </c>
      <c r="Z92" s="418" t="s">
        <v>359</v>
      </c>
      <c r="AA92" s="271"/>
      <c r="AB92" s="168"/>
      <c r="AC92" s="156"/>
      <c r="AD92" s="156"/>
      <c r="AE92" s="320"/>
      <c r="AF92" s="168"/>
      <c r="AG92" s="156"/>
      <c r="AH92" s="156"/>
      <c r="AI92" s="410"/>
    </row>
    <row r="93" spans="1:35" ht="19.5" hidden="1" customHeight="1">
      <c r="A93" s="137"/>
      <c r="B93" s="197">
        <f t="shared" si="2"/>
        <v>83</v>
      </c>
      <c r="C93" s="30" t="s">
        <v>206</v>
      </c>
      <c r="D93" s="30" t="s">
        <v>225</v>
      </c>
      <c r="E93" s="234" t="s">
        <v>658</v>
      </c>
      <c r="F93" s="235" t="s">
        <v>1301</v>
      </c>
      <c r="G93" s="284">
        <f>IFERROR(VLOOKUP(E93,Assign!$C$2:$J$142,8,FALSE),)</f>
        <v>0</v>
      </c>
      <c r="H93" s="197" t="s">
        <v>4986</v>
      </c>
      <c r="I93" s="324" t="s">
        <v>4992</v>
      </c>
      <c r="J93" s="237">
        <v>1</v>
      </c>
      <c r="K93" s="237">
        <v>6</v>
      </c>
      <c r="L93" s="265" t="s">
        <v>220</v>
      </c>
      <c r="M93" s="266" t="s">
        <v>2184</v>
      </c>
      <c r="N93" s="266" t="s">
        <v>2505</v>
      </c>
      <c r="O93" s="267" t="s">
        <v>2513</v>
      </c>
      <c r="P93" s="268" t="s">
        <v>447</v>
      </c>
      <c r="Q93" s="269">
        <v>715</v>
      </c>
      <c r="R93" s="269"/>
      <c r="S93" s="270"/>
      <c r="T93" s="182"/>
      <c r="U93" s="182">
        <v>1</v>
      </c>
      <c r="V93" s="408" t="s">
        <v>333</v>
      </c>
      <c r="W93" s="357" t="s">
        <v>204</v>
      </c>
      <c r="X93" s="156">
        <v>2124000000</v>
      </c>
      <c r="Y93" s="417">
        <v>2124000000</v>
      </c>
      <c r="Z93" s="418" t="s">
        <v>359</v>
      </c>
      <c r="AA93" s="271"/>
      <c r="AB93" s="168"/>
      <c r="AC93" s="156"/>
      <c r="AD93" s="156"/>
      <c r="AE93" s="320"/>
      <c r="AF93" s="168"/>
      <c r="AG93" s="156"/>
      <c r="AH93" s="156"/>
      <c r="AI93" s="410"/>
    </row>
    <row r="94" spans="1:35" ht="19.5" hidden="1" customHeight="1">
      <c r="A94" s="137"/>
      <c r="B94" s="197">
        <f t="shared" si="2"/>
        <v>84</v>
      </c>
      <c r="C94" s="30" t="s">
        <v>206</v>
      </c>
      <c r="D94" s="30" t="s">
        <v>225</v>
      </c>
      <c r="E94" s="234" t="s">
        <v>658</v>
      </c>
      <c r="F94" s="235" t="s">
        <v>1301</v>
      </c>
      <c r="G94" s="284">
        <f>IFERROR(VLOOKUP(E94,Assign!$C$2:$J$142,8,FALSE),)</f>
        <v>0</v>
      </c>
      <c r="H94" s="197" t="s">
        <v>4986</v>
      </c>
      <c r="I94" s="324" t="s">
        <v>4993</v>
      </c>
      <c r="J94" s="237">
        <v>1</v>
      </c>
      <c r="K94" s="237">
        <v>7</v>
      </c>
      <c r="L94" s="265" t="s">
        <v>220</v>
      </c>
      <c r="M94" s="266" t="s">
        <v>2184</v>
      </c>
      <c r="N94" s="266" t="s">
        <v>2505</v>
      </c>
      <c r="O94" s="267" t="s">
        <v>2514</v>
      </c>
      <c r="P94" s="268" t="s">
        <v>447</v>
      </c>
      <c r="Q94" s="269">
        <v>1461</v>
      </c>
      <c r="R94" s="269"/>
      <c r="S94" s="270"/>
      <c r="T94" s="182"/>
      <c r="U94" s="182">
        <v>1</v>
      </c>
      <c r="V94" s="408" t="s">
        <v>333</v>
      </c>
      <c r="W94" s="357" t="s">
        <v>204</v>
      </c>
      <c r="X94" s="156">
        <v>2124000000</v>
      </c>
      <c r="Y94" s="417">
        <v>2124000000</v>
      </c>
      <c r="Z94" s="418" t="s">
        <v>359</v>
      </c>
      <c r="AA94" s="271"/>
      <c r="AB94" s="168"/>
      <c r="AC94" s="156"/>
      <c r="AD94" s="156"/>
      <c r="AE94" s="320"/>
      <c r="AF94" s="168"/>
      <c r="AG94" s="156"/>
      <c r="AH94" s="156"/>
      <c r="AI94" s="410"/>
    </row>
    <row r="95" spans="1:35" ht="19.5" hidden="1" customHeight="1">
      <c r="A95" s="137"/>
      <c r="B95" s="197">
        <f t="shared" si="2"/>
        <v>85</v>
      </c>
      <c r="C95" s="30" t="s">
        <v>206</v>
      </c>
      <c r="D95" s="30" t="s">
        <v>225</v>
      </c>
      <c r="E95" s="234" t="s">
        <v>658</v>
      </c>
      <c r="F95" s="235" t="s">
        <v>1301</v>
      </c>
      <c r="G95" s="284">
        <f>IFERROR(VLOOKUP(E95,Assign!$C$2:$J$142,8,FALSE),)</f>
        <v>0</v>
      </c>
      <c r="H95" s="197" t="s">
        <v>4986</v>
      </c>
      <c r="I95" s="324" t="s">
        <v>4994</v>
      </c>
      <c r="J95" s="237">
        <v>1</v>
      </c>
      <c r="K95" s="237">
        <v>8</v>
      </c>
      <c r="L95" s="265" t="s">
        <v>220</v>
      </c>
      <c r="M95" s="266" t="s">
        <v>2184</v>
      </c>
      <c r="N95" s="266" t="s">
        <v>2505</v>
      </c>
      <c r="O95" s="267" t="s">
        <v>2515</v>
      </c>
      <c r="P95" s="268" t="s">
        <v>447</v>
      </c>
      <c r="Q95" s="269">
        <v>236</v>
      </c>
      <c r="R95" s="269"/>
      <c r="S95" s="270"/>
      <c r="T95" s="182"/>
      <c r="U95" s="182">
        <v>1</v>
      </c>
      <c r="V95" s="408" t="s">
        <v>333</v>
      </c>
      <c r="W95" s="357" t="s">
        <v>204</v>
      </c>
      <c r="X95" s="156">
        <v>2124000000</v>
      </c>
      <c r="Y95" s="417">
        <v>2124000000</v>
      </c>
      <c r="Z95" s="418" t="s">
        <v>359</v>
      </c>
      <c r="AA95" s="271"/>
      <c r="AB95" s="168"/>
      <c r="AC95" s="156"/>
      <c r="AD95" s="156"/>
      <c r="AE95" s="320"/>
      <c r="AF95" s="168"/>
      <c r="AG95" s="156"/>
      <c r="AH95" s="156"/>
      <c r="AI95" s="410"/>
    </row>
    <row r="96" spans="1:35" ht="19.5" hidden="1" customHeight="1">
      <c r="A96" s="137"/>
      <c r="B96" s="197">
        <f t="shared" si="2"/>
        <v>86</v>
      </c>
      <c r="C96" s="30" t="s">
        <v>206</v>
      </c>
      <c r="D96" s="30" t="s">
        <v>225</v>
      </c>
      <c r="E96" s="234" t="s">
        <v>658</v>
      </c>
      <c r="F96" s="235" t="s">
        <v>1301</v>
      </c>
      <c r="G96" s="284">
        <f>IFERROR(VLOOKUP(E96,Assign!$C$2:$J$142,8,FALSE),)</f>
        <v>0</v>
      </c>
      <c r="H96" s="197" t="s">
        <v>4986</v>
      </c>
      <c r="I96" s="324" t="s">
        <v>4995</v>
      </c>
      <c r="J96" s="237">
        <v>1</v>
      </c>
      <c r="K96" s="237">
        <v>9</v>
      </c>
      <c r="L96" s="265" t="s">
        <v>220</v>
      </c>
      <c r="M96" s="266" t="s">
        <v>2184</v>
      </c>
      <c r="N96" s="266" t="s">
        <v>2516</v>
      </c>
      <c r="O96" s="267" t="s">
        <v>2517</v>
      </c>
      <c r="P96" s="268" t="s">
        <v>447</v>
      </c>
      <c r="Q96" s="269">
        <v>514</v>
      </c>
      <c r="R96" s="269"/>
      <c r="S96" s="270"/>
      <c r="T96" s="182"/>
      <c r="U96" s="182">
        <v>1</v>
      </c>
      <c r="V96" s="408" t="s">
        <v>333</v>
      </c>
      <c r="W96" s="357" t="s">
        <v>204</v>
      </c>
      <c r="X96" s="156">
        <v>2124000000</v>
      </c>
      <c r="Y96" s="417">
        <v>2124000000</v>
      </c>
      <c r="Z96" s="418" t="s">
        <v>359</v>
      </c>
      <c r="AA96" s="271"/>
      <c r="AB96" s="168"/>
      <c r="AC96" s="156"/>
      <c r="AD96" s="156"/>
      <c r="AE96" s="320"/>
      <c r="AF96" s="168"/>
      <c r="AG96" s="156"/>
      <c r="AH96" s="156"/>
      <c r="AI96" s="410"/>
    </row>
    <row r="97" spans="1:35" ht="19.5" hidden="1" customHeight="1">
      <c r="A97" s="137"/>
      <c r="B97" s="197">
        <f t="shared" si="2"/>
        <v>87</v>
      </c>
      <c r="C97" s="30" t="s">
        <v>206</v>
      </c>
      <c r="D97" s="30" t="s">
        <v>225</v>
      </c>
      <c r="E97" s="234" t="s">
        <v>658</v>
      </c>
      <c r="F97" s="235" t="s">
        <v>1301</v>
      </c>
      <c r="G97" s="284">
        <f>IFERROR(VLOOKUP(E97,Assign!$C$2:$J$142,8,FALSE),)</f>
        <v>0</v>
      </c>
      <c r="H97" s="197" t="s">
        <v>4986</v>
      </c>
      <c r="I97" s="324" t="s">
        <v>4996</v>
      </c>
      <c r="J97" s="237">
        <v>1</v>
      </c>
      <c r="K97" s="237">
        <v>10</v>
      </c>
      <c r="L97" s="265" t="s">
        <v>220</v>
      </c>
      <c r="M97" s="266" t="s">
        <v>2184</v>
      </c>
      <c r="N97" s="266" t="s">
        <v>2505</v>
      </c>
      <c r="O97" s="267" t="s">
        <v>2518</v>
      </c>
      <c r="P97" s="268" t="s">
        <v>2519</v>
      </c>
      <c r="Q97" s="269">
        <v>101</v>
      </c>
      <c r="R97" s="269"/>
      <c r="S97" s="270"/>
      <c r="T97" s="182"/>
      <c r="U97" s="182">
        <f>17/101</f>
        <v>0.16831683168316833</v>
      </c>
      <c r="V97" s="408" t="s">
        <v>333</v>
      </c>
      <c r="W97" s="357" t="s">
        <v>204</v>
      </c>
      <c r="X97" s="156">
        <v>2124000000</v>
      </c>
      <c r="Y97" s="417">
        <v>2124000000</v>
      </c>
      <c r="Z97" s="418" t="s">
        <v>359</v>
      </c>
      <c r="AA97" s="271"/>
      <c r="AB97" s="168"/>
      <c r="AC97" s="156"/>
      <c r="AD97" s="156"/>
      <c r="AE97" s="320"/>
      <c r="AF97" s="168"/>
      <c r="AG97" s="156"/>
      <c r="AH97" s="156"/>
      <c r="AI97" s="410"/>
    </row>
    <row r="98" spans="1:35" ht="19.5" hidden="1" customHeight="1">
      <c r="A98" s="137"/>
      <c r="B98" s="197">
        <f t="shared" si="2"/>
        <v>88</v>
      </c>
      <c r="C98" s="30" t="s">
        <v>206</v>
      </c>
      <c r="D98" s="30" t="s">
        <v>225</v>
      </c>
      <c r="E98" s="234" t="s">
        <v>658</v>
      </c>
      <c r="F98" s="235" t="s">
        <v>1301</v>
      </c>
      <c r="G98" s="284">
        <f>IFERROR(VLOOKUP(E98,Assign!$C$2:$J$142,8,FALSE),)</f>
        <v>0</v>
      </c>
      <c r="H98" s="197" t="s">
        <v>4986</v>
      </c>
      <c r="I98" s="324" t="s">
        <v>4997</v>
      </c>
      <c r="J98" s="237">
        <v>1</v>
      </c>
      <c r="K98" s="237">
        <v>11</v>
      </c>
      <c r="L98" s="265" t="s">
        <v>220</v>
      </c>
      <c r="M98" s="266" t="s">
        <v>2184</v>
      </c>
      <c r="N98" s="266" t="s">
        <v>2516</v>
      </c>
      <c r="O98" s="267" t="s">
        <v>2520</v>
      </c>
      <c r="P98" s="268" t="s">
        <v>2519</v>
      </c>
      <c r="Q98" s="269">
        <v>999</v>
      </c>
      <c r="R98" s="269"/>
      <c r="S98" s="270"/>
      <c r="T98" s="182"/>
      <c r="U98" s="182">
        <f>170/1020</f>
        <v>0.16666666666666666</v>
      </c>
      <c r="V98" s="408" t="s">
        <v>333</v>
      </c>
      <c r="W98" s="357" t="s">
        <v>204</v>
      </c>
      <c r="X98" s="156">
        <v>2124000000</v>
      </c>
      <c r="Y98" s="417">
        <v>2124000000</v>
      </c>
      <c r="Z98" s="418" t="s">
        <v>359</v>
      </c>
      <c r="AA98" s="271"/>
      <c r="AB98" s="168"/>
      <c r="AC98" s="156"/>
      <c r="AD98" s="156"/>
      <c r="AE98" s="320"/>
      <c r="AF98" s="168"/>
      <c r="AG98" s="156"/>
      <c r="AH98" s="156"/>
      <c r="AI98" s="410"/>
    </row>
    <row r="99" spans="1:35" ht="19.5" hidden="1" customHeight="1">
      <c r="A99" s="137"/>
      <c r="B99" s="197">
        <f t="shared" si="2"/>
        <v>89</v>
      </c>
      <c r="C99" s="30" t="s">
        <v>206</v>
      </c>
      <c r="D99" s="30" t="s">
        <v>225</v>
      </c>
      <c r="E99" s="234" t="s">
        <v>658</v>
      </c>
      <c r="F99" s="235" t="s">
        <v>1301</v>
      </c>
      <c r="G99" s="284">
        <f>IFERROR(VLOOKUP(E99,Assign!$C$2:$J$142,8,FALSE),)</f>
        <v>0</v>
      </c>
      <c r="H99" s="197" t="s">
        <v>4998</v>
      </c>
      <c r="I99" s="324" t="s">
        <v>4999</v>
      </c>
      <c r="J99" s="237">
        <v>2</v>
      </c>
      <c r="K99" s="237">
        <v>1</v>
      </c>
      <c r="L99" s="265" t="s">
        <v>220</v>
      </c>
      <c r="M99" s="266" t="s">
        <v>2184</v>
      </c>
      <c r="N99" s="266" t="s">
        <v>2516</v>
      </c>
      <c r="O99" s="267" t="s">
        <v>2521</v>
      </c>
      <c r="P99" s="268" t="s">
        <v>2519</v>
      </c>
      <c r="Q99" s="269">
        <v>168</v>
      </c>
      <c r="R99" s="269"/>
      <c r="S99" s="270"/>
      <c r="T99" s="182"/>
      <c r="U99" s="182">
        <v>1</v>
      </c>
      <c r="V99" s="408" t="s">
        <v>268</v>
      </c>
      <c r="W99" s="357" t="s">
        <v>204</v>
      </c>
      <c r="X99" s="156">
        <v>1944000000</v>
      </c>
      <c r="Y99" s="417">
        <v>1944000000</v>
      </c>
      <c r="Z99" s="418" t="s">
        <v>359</v>
      </c>
      <c r="AA99" s="271"/>
      <c r="AB99" s="168"/>
      <c r="AC99" s="156"/>
      <c r="AD99" s="156"/>
      <c r="AE99" s="320"/>
      <c r="AF99" s="168"/>
      <c r="AG99" s="156"/>
      <c r="AH99" s="156"/>
      <c r="AI99" s="410"/>
    </row>
    <row r="100" spans="1:35" ht="19.5" hidden="1" customHeight="1">
      <c r="A100" s="137"/>
      <c r="B100" s="197">
        <f t="shared" si="2"/>
        <v>90</v>
      </c>
      <c r="C100" s="30" t="s">
        <v>206</v>
      </c>
      <c r="D100" s="30" t="s">
        <v>225</v>
      </c>
      <c r="E100" s="234" t="s">
        <v>658</v>
      </c>
      <c r="F100" s="235" t="s">
        <v>1301</v>
      </c>
      <c r="G100" s="284">
        <f>IFERROR(VLOOKUP(E100,Assign!$C$2:$J$142,8,FALSE),)</f>
        <v>0</v>
      </c>
      <c r="H100" s="197" t="s">
        <v>5000</v>
      </c>
      <c r="I100" s="324" t="s">
        <v>5001</v>
      </c>
      <c r="J100" s="237">
        <v>3</v>
      </c>
      <c r="K100" s="237">
        <v>1</v>
      </c>
      <c r="L100" s="265" t="s">
        <v>220</v>
      </c>
      <c r="M100" s="266" t="s">
        <v>2184</v>
      </c>
      <c r="N100" s="266" t="s">
        <v>2505</v>
      </c>
      <c r="O100" s="267" t="s">
        <v>2522</v>
      </c>
      <c r="P100" s="268" t="s">
        <v>2519</v>
      </c>
      <c r="Q100" s="269">
        <v>90</v>
      </c>
      <c r="R100" s="269"/>
      <c r="S100" s="270"/>
      <c r="T100" s="182"/>
      <c r="U100" s="182">
        <v>1</v>
      </c>
      <c r="V100" s="408" t="s">
        <v>229</v>
      </c>
      <c r="W100" s="357" t="s">
        <v>204</v>
      </c>
      <c r="X100" s="156">
        <v>1200000000</v>
      </c>
      <c r="Y100" s="417">
        <v>1200000000</v>
      </c>
      <c r="Z100" s="418" t="s">
        <v>359</v>
      </c>
      <c r="AA100" s="271"/>
      <c r="AB100" s="168"/>
      <c r="AC100" s="156"/>
      <c r="AD100" s="156"/>
      <c r="AE100" s="320"/>
      <c r="AF100" s="168"/>
      <c r="AG100" s="156"/>
      <c r="AH100" s="156"/>
      <c r="AI100" s="410"/>
    </row>
    <row r="101" spans="1:35" ht="19.5" hidden="1" customHeight="1">
      <c r="A101" s="137"/>
      <c r="B101" s="197">
        <f t="shared" si="2"/>
        <v>91</v>
      </c>
      <c r="C101" s="30" t="s">
        <v>206</v>
      </c>
      <c r="D101" s="30" t="s">
        <v>225</v>
      </c>
      <c r="E101" s="234" t="s">
        <v>658</v>
      </c>
      <c r="F101" s="235" t="s">
        <v>1301</v>
      </c>
      <c r="G101" s="284">
        <f>IFERROR(VLOOKUP(E101,Assign!$C$2:$J$142,8,FALSE),)</f>
        <v>0</v>
      </c>
      <c r="H101" s="197" t="s">
        <v>5002</v>
      </c>
      <c r="I101" s="324" t="s">
        <v>5003</v>
      </c>
      <c r="J101" s="237">
        <v>4</v>
      </c>
      <c r="K101" s="237">
        <v>1</v>
      </c>
      <c r="L101" s="265" t="s">
        <v>220</v>
      </c>
      <c r="M101" s="266" t="s">
        <v>2184</v>
      </c>
      <c r="N101" s="266" t="s">
        <v>2505</v>
      </c>
      <c r="O101" s="267" t="s">
        <v>2523</v>
      </c>
      <c r="P101" s="268" t="s">
        <v>2524</v>
      </c>
      <c r="Q101" s="269"/>
      <c r="R101" s="269">
        <v>60</v>
      </c>
      <c r="S101" s="270"/>
      <c r="T101" s="182"/>
      <c r="U101" s="182">
        <v>1</v>
      </c>
      <c r="V101" s="408" t="s">
        <v>229</v>
      </c>
      <c r="W101" s="357" t="s">
        <v>204</v>
      </c>
      <c r="X101" s="156">
        <v>420000000</v>
      </c>
      <c r="Y101" s="156">
        <v>420000000</v>
      </c>
      <c r="Z101" s="418" t="s">
        <v>359</v>
      </c>
      <c r="AA101" s="271"/>
      <c r="AB101" s="168"/>
      <c r="AC101" s="156"/>
      <c r="AD101" s="156"/>
      <c r="AE101" s="320"/>
      <c r="AF101" s="168"/>
      <c r="AG101" s="156"/>
      <c r="AH101" s="156"/>
      <c r="AI101" s="410"/>
    </row>
    <row r="102" spans="1:35" ht="19.5" customHeight="1">
      <c r="A102" s="137"/>
      <c r="B102" s="197">
        <f t="shared" si="2"/>
        <v>92</v>
      </c>
      <c r="C102" s="30" t="s">
        <v>206</v>
      </c>
      <c r="D102" s="30" t="s">
        <v>225</v>
      </c>
      <c r="E102" s="234" t="s">
        <v>659</v>
      </c>
      <c r="F102" s="235" t="s">
        <v>1218</v>
      </c>
      <c r="G102" s="284" t="str">
        <f>IFERROR(VLOOKUP(E102,Assign!$C$2:$J$142,8,FALSE),)</f>
        <v>문선영</v>
      </c>
      <c r="H102" s="197" t="s">
        <v>5465</v>
      </c>
      <c r="I102" s="324" t="s">
        <v>5466</v>
      </c>
      <c r="J102" s="237">
        <v>1</v>
      </c>
      <c r="K102" s="237">
        <v>1</v>
      </c>
      <c r="L102" s="265" t="s">
        <v>208</v>
      </c>
      <c r="M102" s="266" t="s">
        <v>237</v>
      </c>
      <c r="N102" s="266" t="s">
        <v>238</v>
      </c>
      <c r="O102" s="267" t="s">
        <v>2938</v>
      </c>
      <c r="P102" s="268" t="s">
        <v>2939</v>
      </c>
      <c r="Q102" s="269">
        <v>10886.9</v>
      </c>
      <c r="R102" s="269">
        <v>42.779800000000002</v>
      </c>
      <c r="S102" s="270"/>
      <c r="T102" s="182">
        <f>13.5131/10886.9</f>
        <v>1.241225693264382E-3</v>
      </c>
      <c r="U102" s="182">
        <v>1</v>
      </c>
      <c r="V102" s="408">
        <v>1</v>
      </c>
      <c r="W102" s="357" t="s">
        <v>204</v>
      </c>
      <c r="X102" s="156">
        <v>996000000</v>
      </c>
      <c r="Y102" s="417">
        <v>996000000</v>
      </c>
      <c r="Z102" s="418" t="s">
        <v>359</v>
      </c>
      <c r="AA102" s="271"/>
      <c r="AB102" s="168"/>
      <c r="AC102" s="156"/>
      <c r="AD102" s="156"/>
      <c r="AE102" s="320"/>
      <c r="AF102" s="168"/>
      <c r="AG102" s="156"/>
      <c r="AH102" s="156"/>
      <c r="AI102" s="410"/>
    </row>
    <row r="103" spans="1:35" ht="19.5" customHeight="1">
      <c r="A103" s="137"/>
      <c r="B103" s="197">
        <f t="shared" si="2"/>
        <v>93</v>
      </c>
      <c r="C103" s="30" t="s">
        <v>206</v>
      </c>
      <c r="D103" s="30" t="s">
        <v>225</v>
      </c>
      <c r="E103" s="234" t="s">
        <v>659</v>
      </c>
      <c r="F103" s="235" t="s">
        <v>1218</v>
      </c>
      <c r="G103" s="284" t="str">
        <f>IFERROR(VLOOKUP(E103,Assign!$C$2:$J$142,8,FALSE),)</f>
        <v>문선영</v>
      </c>
      <c r="H103" s="197" t="s">
        <v>5467</v>
      </c>
      <c r="I103" s="324" t="s">
        <v>5468</v>
      </c>
      <c r="J103" s="237">
        <v>2</v>
      </c>
      <c r="K103" s="237">
        <v>1</v>
      </c>
      <c r="L103" s="265" t="s">
        <v>208</v>
      </c>
      <c r="M103" s="266" t="s">
        <v>237</v>
      </c>
      <c r="N103" s="266" t="s">
        <v>238</v>
      </c>
      <c r="O103" s="267" t="s">
        <v>2940</v>
      </c>
      <c r="P103" s="268" t="s">
        <v>2939</v>
      </c>
      <c r="Q103" s="269">
        <v>10886.9</v>
      </c>
      <c r="R103" s="269">
        <v>40.372300000000003</v>
      </c>
      <c r="S103" s="270"/>
      <c r="T103" s="182">
        <f>12.7526/10886.9</f>
        <v>1.171371097373908E-3</v>
      </c>
      <c r="U103" s="182">
        <v>1</v>
      </c>
      <c r="V103" s="408">
        <v>1</v>
      </c>
      <c r="W103" s="357" t="s">
        <v>204</v>
      </c>
      <c r="X103" s="156">
        <v>972000000</v>
      </c>
      <c r="Y103" s="417">
        <v>972000000</v>
      </c>
      <c r="Z103" s="418" t="s">
        <v>359</v>
      </c>
      <c r="AA103" s="271"/>
      <c r="AB103" s="168"/>
      <c r="AC103" s="156"/>
      <c r="AD103" s="156"/>
      <c r="AE103" s="320"/>
      <c r="AF103" s="168"/>
      <c r="AG103" s="156"/>
      <c r="AH103" s="156"/>
      <c r="AI103" s="410"/>
    </row>
    <row r="104" spans="1:35" ht="19.5" hidden="1" customHeight="1">
      <c r="A104" s="137"/>
      <c r="B104" s="197">
        <f t="shared" si="2"/>
        <v>94</v>
      </c>
      <c r="C104" s="30" t="s">
        <v>206</v>
      </c>
      <c r="D104" s="30" t="s">
        <v>225</v>
      </c>
      <c r="E104" s="234" t="s">
        <v>660</v>
      </c>
      <c r="F104" s="235" t="s">
        <v>1221</v>
      </c>
      <c r="G104" s="284">
        <f>IFERROR(VLOOKUP(E104,Assign!$C$2:$J$142,8,FALSE),)</f>
        <v>0</v>
      </c>
      <c r="H104" s="197" t="s">
        <v>4460</v>
      </c>
      <c r="I104" s="324" t="s">
        <v>4461</v>
      </c>
      <c r="J104" s="237">
        <v>1</v>
      </c>
      <c r="K104" s="237">
        <v>1</v>
      </c>
      <c r="L104" s="265" t="s">
        <v>208</v>
      </c>
      <c r="M104" s="266" t="s">
        <v>301</v>
      </c>
      <c r="N104" s="266" t="s">
        <v>2004</v>
      </c>
      <c r="O104" s="267" t="s">
        <v>2005</v>
      </c>
      <c r="P104" s="268" t="s">
        <v>2006</v>
      </c>
      <c r="Q104" s="269"/>
      <c r="R104" s="269">
        <f>19.62+229.92+156.8+56.22+44.41+270.7+167.4+45.38+152.89+24.45</f>
        <v>1167.7900000000002</v>
      </c>
      <c r="S104" s="270"/>
      <c r="T104" s="182"/>
      <c r="U104" s="182">
        <v>1</v>
      </c>
      <c r="V104" s="408">
        <v>1</v>
      </c>
      <c r="W104" s="357" t="s">
        <v>204</v>
      </c>
      <c r="X104" s="156">
        <v>1980000000</v>
      </c>
      <c r="Y104" s="417">
        <v>1980000000</v>
      </c>
      <c r="Z104" s="418" t="s">
        <v>359</v>
      </c>
      <c r="AA104" s="271"/>
      <c r="AB104" s="168"/>
      <c r="AC104" s="156"/>
      <c r="AD104" s="156"/>
      <c r="AE104" s="320"/>
      <c r="AF104" s="168"/>
      <c r="AG104" s="156"/>
      <c r="AH104" s="156"/>
      <c r="AI104" s="410"/>
    </row>
    <row r="105" spans="1:35" ht="19.5" hidden="1" customHeight="1">
      <c r="A105" s="137"/>
      <c r="B105" s="197">
        <f t="shared" si="2"/>
        <v>95</v>
      </c>
      <c r="C105" s="30" t="s">
        <v>206</v>
      </c>
      <c r="D105" s="30" t="s">
        <v>225</v>
      </c>
      <c r="E105" s="234" t="s">
        <v>660</v>
      </c>
      <c r="F105" s="235" t="s">
        <v>1221</v>
      </c>
      <c r="G105" s="284">
        <f>IFERROR(VLOOKUP(E105,Assign!$C$2:$J$142,8,FALSE),)</f>
        <v>0</v>
      </c>
      <c r="H105" s="197" t="s">
        <v>4460</v>
      </c>
      <c r="I105" s="324" t="s">
        <v>4462</v>
      </c>
      <c r="J105" s="237">
        <v>1</v>
      </c>
      <c r="K105" s="237">
        <v>2</v>
      </c>
      <c r="L105" s="265" t="s">
        <v>208</v>
      </c>
      <c r="M105" s="266" t="s">
        <v>301</v>
      </c>
      <c r="N105" s="266" t="s">
        <v>2004</v>
      </c>
      <c r="O105" s="267" t="s">
        <v>2005</v>
      </c>
      <c r="P105" s="268" t="s">
        <v>450</v>
      </c>
      <c r="Q105" s="269">
        <v>1241</v>
      </c>
      <c r="R105" s="269"/>
      <c r="S105" s="270"/>
      <c r="T105" s="182"/>
      <c r="U105" s="182">
        <v>1</v>
      </c>
      <c r="V105" s="408">
        <v>1</v>
      </c>
      <c r="W105" s="357" t="s">
        <v>204</v>
      </c>
      <c r="X105" s="156">
        <v>1980000000</v>
      </c>
      <c r="Y105" s="417">
        <v>1980000000</v>
      </c>
      <c r="Z105" s="418" t="s">
        <v>359</v>
      </c>
      <c r="AA105" s="271"/>
      <c r="AB105" s="168"/>
      <c r="AC105" s="156"/>
      <c r="AD105" s="156"/>
      <c r="AE105" s="320"/>
      <c r="AF105" s="168"/>
      <c r="AG105" s="156"/>
      <c r="AH105" s="156"/>
      <c r="AI105" s="410"/>
    </row>
    <row r="106" spans="1:35" ht="19.5" hidden="1" customHeight="1">
      <c r="A106" s="137"/>
      <c r="B106" s="197">
        <f t="shared" si="2"/>
        <v>96</v>
      </c>
      <c r="C106" s="30" t="s">
        <v>206</v>
      </c>
      <c r="D106" s="30" t="s">
        <v>225</v>
      </c>
      <c r="E106" s="234" t="s">
        <v>660</v>
      </c>
      <c r="F106" s="235" t="s">
        <v>1221</v>
      </c>
      <c r="G106" s="284">
        <f>IFERROR(VLOOKUP(E106,Assign!$C$2:$J$142,8,FALSE),)</f>
        <v>0</v>
      </c>
      <c r="H106" s="197" t="s">
        <v>4460</v>
      </c>
      <c r="I106" s="324" t="s">
        <v>4463</v>
      </c>
      <c r="J106" s="237">
        <v>1</v>
      </c>
      <c r="K106" s="237">
        <v>3</v>
      </c>
      <c r="L106" s="265" t="s">
        <v>208</v>
      </c>
      <c r="M106" s="266" t="s">
        <v>301</v>
      </c>
      <c r="N106" s="266" t="s">
        <v>2004</v>
      </c>
      <c r="O106" s="267" t="s">
        <v>2007</v>
      </c>
      <c r="P106" s="268" t="s">
        <v>447</v>
      </c>
      <c r="Q106" s="269">
        <v>62</v>
      </c>
      <c r="R106" s="269"/>
      <c r="S106" s="270"/>
      <c r="T106" s="182"/>
      <c r="U106" s="182">
        <v>1</v>
      </c>
      <c r="V106" s="408">
        <v>1</v>
      </c>
      <c r="W106" s="357" t="s">
        <v>204</v>
      </c>
      <c r="X106" s="156">
        <v>1980000000</v>
      </c>
      <c r="Y106" s="417">
        <v>1980000000</v>
      </c>
      <c r="Z106" s="418" t="s">
        <v>359</v>
      </c>
      <c r="AA106" s="271"/>
      <c r="AB106" s="168"/>
      <c r="AC106" s="156"/>
      <c r="AD106" s="156"/>
      <c r="AE106" s="320"/>
      <c r="AF106" s="168"/>
      <c r="AG106" s="156"/>
      <c r="AH106" s="156"/>
      <c r="AI106" s="410"/>
    </row>
    <row r="107" spans="1:35" ht="19.5" hidden="1" customHeight="1">
      <c r="A107" s="137"/>
      <c r="B107" s="197">
        <f t="shared" si="2"/>
        <v>97</v>
      </c>
      <c r="C107" s="30" t="s">
        <v>206</v>
      </c>
      <c r="D107" s="30" t="s">
        <v>225</v>
      </c>
      <c r="E107" s="234" t="s">
        <v>660</v>
      </c>
      <c r="F107" s="235" t="s">
        <v>1221</v>
      </c>
      <c r="G107" s="284">
        <f>IFERROR(VLOOKUP(E107,Assign!$C$2:$J$142,8,FALSE),)</f>
        <v>0</v>
      </c>
      <c r="H107" s="197" t="s">
        <v>4460</v>
      </c>
      <c r="I107" s="324" t="s">
        <v>4464</v>
      </c>
      <c r="J107" s="237">
        <v>1</v>
      </c>
      <c r="K107" s="237">
        <v>4</v>
      </c>
      <c r="L107" s="265" t="s">
        <v>208</v>
      </c>
      <c r="M107" s="266" t="s">
        <v>301</v>
      </c>
      <c r="N107" s="266" t="s">
        <v>2004</v>
      </c>
      <c r="O107" s="267" t="s">
        <v>2008</v>
      </c>
      <c r="P107" s="268" t="s">
        <v>447</v>
      </c>
      <c r="Q107" s="269">
        <v>38</v>
      </c>
      <c r="R107" s="269"/>
      <c r="S107" s="270"/>
      <c r="T107" s="182"/>
      <c r="U107" s="182">
        <v>1</v>
      </c>
      <c r="V107" s="408">
        <v>1</v>
      </c>
      <c r="W107" s="357" t="s">
        <v>204</v>
      </c>
      <c r="X107" s="156">
        <v>1980000000</v>
      </c>
      <c r="Y107" s="417">
        <v>1980000000</v>
      </c>
      <c r="Z107" s="418" t="s">
        <v>359</v>
      </c>
      <c r="AA107" s="271"/>
      <c r="AB107" s="168"/>
      <c r="AC107" s="156"/>
      <c r="AD107" s="156"/>
      <c r="AE107" s="320"/>
      <c r="AF107" s="168"/>
      <c r="AG107" s="156"/>
      <c r="AH107" s="156"/>
      <c r="AI107" s="410"/>
    </row>
    <row r="108" spans="1:35" ht="19.5" customHeight="1">
      <c r="A108" s="137"/>
      <c r="B108" s="197">
        <f t="shared" si="2"/>
        <v>98</v>
      </c>
      <c r="C108" s="30" t="s">
        <v>206</v>
      </c>
      <c r="D108" s="30" t="s">
        <v>225</v>
      </c>
      <c r="E108" s="234" t="s">
        <v>661</v>
      </c>
      <c r="F108" s="235" t="s">
        <v>1302</v>
      </c>
      <c r="G108" s="284" t="str">
        <f>IFERROR(VLOOKUP(E108,Assign!$C$2:$J$142,8,FALSE),)</f>
        <v>문선영</v>
      </c>
      <c r="H108" s="197" t="s">
        <v>4957</v>
      </c>
      <c r="I108" s="324" t="s">
        <v>4958</v>
      </c>
      <c r="J108" s="237">
        <v>1</v>
      </c>
      <c r="K108" s="237">
        <v>1</v>
      </c>
      <c r="L108" s="265" t="s">
        <v>213</v>
      </c>
      <c r="M108" s="266" t="s">
        <v>426</v>
      </c>
      <c r="N108" s="266" t="s">
        <v>7487</v>
      </c>
      <c r="O108" s="267" t="s">
        <v>2477</v>
      </c>
      <c r="P108" s="268" t="s">
        <v>447</v>
      </c>
      <c r="Q108" s="269">
        <v>4988.5</v>
      </c>
      <c r="R108" s="269"/>
      <c r="S108" s="270"/>
      <c r="T108" s="182"/>
      <c r="U108" s="182">
        <v>1</v>
      </c>
      <c r="V108" s="408">
        <v>1</v>
      </c>
      <c r="W108" s="357" t="s">
        <v>204</v>
      </c>
      <c r="X108" s="156">
        <v>1824000000</v>
      </c>
      <c r="Y108" s="417">
        <v>1824000000</v>
      </c>
      <c r="Z108" s="418" t="s">
        <v>359</v>
      </c>
      <c r="AA108" s="271"/>
      <c r="AB108" s="168"/>
      <c r="AC108" s="156"/>
      <c r="AD108" s="156"/>
      <c r="AE108" s="320"/>
      <c r="AF108" s="168"/>
      <c r="AG108" s="156"/>
      <c r="AH108" s="156"/>
      <c r="AI108" s="410"/>
    </row>
    <row r="109" spans="1:35" ht="19.5" hidden="1" customHeight="1">
      <c r="A109" s="137"/>
      <c r="B109" s="197">
        <f t="shared" si="2"/>
        <v>99</v>
      </c>
      <c r="C109" s="30" t="s">
        <v>206</v>
      </c>
      <c r="D109" s="30" t="s">
        <v>225</v>
      </c>
      <c r="E109" s="234" t="s">
        <v>662</v>
      </c>
      <c r="F109" s="235" t="s">
        <v>1222</v>
      </c>
      <c r="G109" s="284">
        <f>IFERROR(VLOOKUP(E109,Assign!$C$2:$J$142,8,FALSE),)</f>
        <v>0</v>
      </c>
      <c r="H109" s="197" t="s">
        <v>4896</v>
      </c>
      <c r="I109" s="324" t="s">
        <v>4897</v>
      </c>
      <c r="J109" s="237">
        <v>1</v>
      </c>
      <c r="K109" s="237">
        <v>1</v>
      </c>
      <c r="L109" s="265" t="s">
        <v>208</v>
      </c>
      <c r="M109" s="266" t="s">
        <v>369</v>
      </c>
      <c r="N109" s="266" t="s">
        <v>2415</v>
      </c>
      <c r="O109" s="267" t="s">
        <v>2416</v>
      </c>
      <c r="P109" s="268" t="s">
        <v>2417</v>
      </c>
      <c r="Q109" s="269"/>
      <c r="R109" s="269">
        <f>127.9+59.42+145.83+145.83+145.83+145.83+16.47</f>
        <v>787.11000000000013</v>
      </c>
      <c r="S109" s="270"/>
      <c r="T109" s="182"/>
      <c r="U109" s="182">
        <v>1</v>
      </c>
      <c r="V109" s="408" t="s">
        <v>229</v>
      </c>
      <c r="W109" s="357" t="s">
        <v>204</v>
      </c>
      <c r="X109" s="156">
        <v>1860000000</v>
      </c>
      <c r="Y109" s="417">
        <v>1860000000</v>
      </c>
      <c r="Z109" s="418" t="s">
        <v>359</v>
      </c>
      <c r="AA109" s="271"/>
      <c r="AB109" s="168"/>
      <c r="AC109" s="156"/>
      <c r="AD109" s="156"/>
      <c r="AE109" s="320"/>
      <c r="AF109" s="168"/>
      <c r="AG109" s="156"/>
      <c r="AH109" s="156"/>
      <c r="AI109" s="410"/>
    </row>
    <row r="110" spans="1:35" ht="19.5" hidden="1" customHeight="1">
      <c r="A110" s="137"/>
      <c r="B110" s="197">
        <f t="shared" si="2"/>
        <v>100</v>
      </c>
      <c r="C110" s="30" t="s">
        <v>206</v>
      </c>
      <c r="D110" s="30" t="s">
        <v>225</v>
      </c>
      <c r="E110" s="234" t="s">
        <v>662</v>
      </c>
      <c r="F110" s="235" t="s">
        <v>1222</v>
      </c>
      <c r="G110" s="284">
        <f>IFERROR(VLOOKUP(E110,Assign!$C$2:$J$142,8,FALSE),)</f>
        <v>0</v>
      </c>
      <c r="H110" s="197" t="s">
        <v>4896</v>
      </c>
      <c r="I110" s="324" t="s">
        <v>4898</v>
      </c>
      <c r="J110" s="237">
        <v>1</v>
      </c>
      <c r="K110" s="237">
        <v>2</v>
      </c>
      <c r="L110" s="265" t="s">
        <v>208</v>
      </c>
      <c r="M110" s="266" t="s">
        <v>369</v>
      </c>
      <c r="N110" s="266" t="s">
        <v>2415</v>
      </c>
      <c r="O110" s="267" t="s">
        <v>2418</v>
      </c>
      <c r="P110" s="268" t="s">
        <v>450</v>
      </c>
      <c r="Q110" s="269">
        <v>731</v>
      </c>
      <c r="R110" s="269"/>
      <c r="S110" s="270"/>
      <c r="T110" s="182"/>
      <c r="U110" s="182">
        <v>1</v>
      </c>
      <c r="V110" s="408" t="s">
        <v>229</v>
      </c>
      <c r="W110" s="357" t="s">
        <v>204</v>
      </c>
      <c r="X110" s="156">
        <v>1860000000</v>
      </c>
      <c r="Y110" s="417">
        <v>1860000000</v>
      </c>
      <c r="Z110" s="418" t="s">
        <v>359</v>
      </c>
      <c r="AA110" s="271"/>
      <c r="AB110" s="168"/>
      <c r="AC110" s="156"/>
      <c r="AD110" s="156"/>
      <c r="AE110" s="320"/>
      <c r="AF110" s="168"/>
      <c r="AG110" s="156"/>
      <c r="AH110" s="156"/>
      <c r="AI110" s="410"/>
    </row>
    <row r="111" spans="1:35" ht="19.5" hidden="1" customHeight="1">
      <c r="A111" s="137"/>
      <c r="B111" s="197">
        <f t="shared" si="2"/>
        <v>101</v>
      </c>
      <c r="C111" s="30" t="s">
        <v>206</v>
      </c>
      <c r="D111" s="30" t="s">
        <v>225</v>
      </c>
      <c r="E111" s="234" t="s">
        <v>663</v>
      </c>
      <c r="F111" s="235" t="s">
        <v>1303</v>
      </c>
      <c r="G111" s="284">
        <f>IFERROR(VLOOKUP(E111,Assign!$C$2:$J$142,8,FALSE),)</f>
        <v>0</v>
      </c>
      <c r="H111" s="197" t="s">
        <v>5069</v>
      </c>
      <c r="I111" s="324" t="s">
        <v>5070</v>
      </c>
      <c r="J111" s="237">
        <v>1</v>
      </c>
      <c r="K111" s="237">
        <v>1</v>
      </c>
      <c r="L111" s="265" t="s">
        <v>209</v>
      </c>
      <c r="M111" s="266" t="s">
        <v>291</v>
      </c>
      <c r="N111" s="266" t="s">
        <v>363</v>
      </c>
      <c r="O111" s="267" t="s">
        <v>2582</v>
      </c>
      <c r="P111" s="268" t="s">
        <v>2583</v>
      </c>
      <c r="Q111" s="269">
        <v>22711</v>
      </c>
      <c r="R111" s="269">
        <v>135.34</v>
      </c>
      <c r="S111" s="270"/>
      <c r="T111" s="182">
        <f>29.94/22711</f>
        <v>1.3183039055964072E-3</v>
      </c>
      <c r="U111" s="182">
        <v>1</v>
      </c>
      <c r="V111" s="408">
        <v>1</v>
      </c>
      <c r="W111" s="357" t="s">
        <v>204</v>
      </c>
      <c r="X111" s="156">
        <v>1308000000</v>
      </c>
      <c r="Y111" s="417">
        <v>1308000000</v>
      </c>
      <c r="Z111" s="418" t="s">
        <v>359</v>
      </c>
      <c r="AA111" s="271"/>
      <c r="AB111" s="168"/>
      <c r="AC111" s="156"/>
      <c r="AD111" s="156"/>
      <c r="AE111" s="320"/>
      <c r="AF111" s="168"/>
      <c r="AG111" s="156"/>
      <c r="AH111" s="156"/>
      <c r="AI111" s="410"/>
    </row>
    <row r="112" spans="1:35" ht="19.5" customHeight="1">
      <c r="A112" s="137"/>
      <c r="B112" s="197">
        <f t="shared" si="2"/>
        <v>102</v>
      </c>
      <c r="C112" s="30" t="s">
        <v>206</v>
      </c>
      <c r="D112" s="30" t="s">
        <v>225</v>
      </c>
      <c r="E112" s="234" t="s">
        <v>664</v>
      </c>
      <c r="F112" s="235" t="s">
        <v>1223</v>
      </c>
      <c r="G112" s="284" t="str">
        <f>IFERROR(VLOOKUP(E112,Assign!$C$2:$J$142,8,FALSE),)</f>
        <v>문선영</v>
      </c>
      <c r="H112" s="197" t="s">
        <v>5046</v>
      </c>
      <c r="I112" s="324" t="s">
        <v>5047</v>
      </c>
      <c r="J112" s="237">
        <v>1</v>
      </c>
      <c r="K112" s="237">
        <v>1</v>
      </c>
      <c r="L112" s="265" t="s">
        <v>215</v>
      </c>
      <c r="M112" s="266" t="s">
        <v>307</v>
      </c>
      <c r="N112" s="266" t="s">
        <v>2217</v>
      </c>
      <c r="O112" s="267" t="s">
        <v>2564</v>
      </c>
      <c r="P112" s="268" t="s">
        <v>3538</v>
      </c>
      <c r="Q112" s="269">
        <v>33806</v>
      </c>
      <c r="R112" s="269">
        <v>124.87</v>
      </c>
      <c r="S112" s="270"/>
      <c r="T112" s="182">
        <f>27.319/33806</f>
        <v>8.0811098621546467E-4</v>
      </c>
      <c r="U112" s="182">
        <v>1</v>
      </c>
      <c r="V112" s="408" t="s">
        <v>268</v>
      </c>
      <c r="W112" s="357" t="s">
        <v>204</v>
      </c>
      <c r="X112" s="156">
        <v>924000000</v>
      </c>
      <c r="Y112" s="417">
        <v>924000000</v>
      </c>
      <c r="Z112" s="418" t="s">
        <v>359</v>
      </c>
      <c r="AA112" s="271"/>
      <c r="AB112" s="168"/>
      <c r="AC112" s="156"/>
      <c r="AD112" s="156"/>
      <c r="AE112" s="320"/>
      <c r="AF112" s="168"/>
      <c r="AG112" s="156"/>
      <c r="AH112" s="156"/>
      <c r="AI112" s="410"/>
    </row>
    <row r="113" spans="1:35" ht="19.5" customHeight="1">
      <c r="A113" s="137"/>
      <c r="B113" s="197">
        <f t="shared" si="2"/>
        <v>103</v>
      </c>
      <c r="C113" s="30" t="s">
        <v>206</v>
      </c>
      <c r="D113" s="30" t="s">
        <v>225</v>
      </c>
      <c r="E113" s="234" t="s">
        <v>664</v>
      </c>
      <c r="F113" s="235" t="s">
        <v>1223</v>
      </c>
      <c r="G113" s="284" t="str">
        <f>IFERROR(VLOOKUP(E113,Assign!$C$2:$J$142,8,FALSE),)</f>
        <v>문선영</v>
      </c>
      <c r="H113" s="197" t="s">
        <v>5048</v>
      </c>
      <c r="I113" s="324" t="s">
        <v>5049</v>
      </c>
      <c r="J113" s="237">
        <v>2</v>
      </c>
      <c r="K113" s="237">
        <v>1</v>
      </c>
      <c r="L113" s="265" t="s">
        <v>217</v>
      </c>
      <c r="M113" s="266" t="s">
        <v>545</v>
      </c>
      <c r="N113" s="266" t="s">
        <v>2565</v>
      </c>
      <c r="O113" s="267" t="s">
        <v>2566</v>
      </c>
      <c r="P113" s="268" t="s">
        <v>2567</v>
      </c>
      <c r="Q113" s="269"/>
      <c r="R113" s="269">
        <v>394.8</v>
      </c>
      <c r="S113" s="270"/>
      <c r="T113" s="182"/>
      <c r="U113" s="182">
        <v>1</v>
      </c>
      <c r="V113" s="408">
        <v>1</v>
      </c>
      <c r="W113" s="357" t="s">
        <v>204</v>
      </c>
      <c r="X113" s="156">
        <v>704400000</v>
      </c>
      <c r="Y113" s="417">
        <v>704400000</v>
      </c>
      <c r="Z113" s="418" t="s">
        <v>359</v>
      </c>
      <c r="AA113" s="271"/>
      <c r="AB113" s="168"/>
      <c r="AC113" s="156"/>
      <c r="AD113" s="156"/>
      <c r="AE113" s="320"/>
      <c r="AF113" s="168"/>
      <c r="AG113" s="156"/>
      <c r="AH113" s="156"/>
      <c r="AI113" s="410"/>
    </row>
    <row r="114" spans="1:35" ht="19.5" customHeight="1">
      <c r="A114" s="137"/>
      <c r="B114" s="197">
        <f t="shared" si="2"/>
        <v>104</v>
      </c>
      <c r="C114" s="30" t="s">
        <v>206</v>
      </c>
      <c r="D114" s="30" t="s">
        <v>225</v>
      </c>
      <c r="E114" s="234" t="s">
        <v>664</v>
      </c>
      <c r="F114" s="235" t="s">
        <v>1223</v>
      </c>
      <c r="G114" s="284" t="str">
        <f>IFERROR(VLOOKUP(E114,Assign!$C$2:$J$142,8,FALSE),)</f>
        <v>문선영</v>
      </c>
      <c r="H114" s="197" t="s">
        <v>5048</v>
      </c>
      <c r="I114" s="324" t="s">
        <v>5050</v>
      </c>
      <c r="J114" s="237">
        <v>2</v>
      </c>
      <c r="K114" s="237">
        <v>2</v>
      </c>
      <c r="L114" s="265" t="s">
        <v>217</v>
      </c>
      <c r="M114" s="266" t="s">
        <v>545</v>
      </c>
      <c r="N114" s="266" t="s">
        <v>2565</v>
      </c>
      <c r="O114" s="267" t="s">
        <v>2568</v>
      </c>
      <c r="P114" s="268" t="s">
        <v>447</v>
      </c>
      <c r="Q114" s="269">
        <v>1237</v>
      </c>
      <c r="R114" s="269"/>
      <c r="S114" s="270"/>
      <c r="T114" s="182"/>
      <c r="U114" s="182">
        <v>1</v>
      </c>
      <c r="V114" s="408">
        <v>1</v>
      </c>
      <c r="W114" s="357" t="s">
        <v>204</v>
      </c>
      <c r="X114" s="156">
        <v>704400000</v>
      </c>
      <c r="Y114" s="417">
        <v>704400000</v>
      </c>
      <c r="Z114" s="418" t="s">
        <v>359</v>
      </c>
      <c r="AA114" s="271"/>
      <c r="AB114" s="168"/>
      <c r="AC114" s="156"/>
      <c r="AD114" s="156"/>
      <c r="AE114" s="320"/>
      <c r="AF114" s="168"/>
      <c r="AG114" s="156"/>
      <c r="AH114" s="156"/>
      <c r="AI114" s="410"/>
    </row>
    <row r="115" spans="1:35" ht="19.5" customHeight="1">
      <c r="A115" s="137"/>
      <c r="B115" s="197">
        <f t="shared" si="2"/>
        <v>105</v>
      </c>
      <c r="C115" s="30" t="s">
        <v>206</v>
      </c>
      <c r="D115" s="30" t="s">
        <v>225</v>
      </c>
      <c r="E115" s="234" t="s">
        <v>665</v>
      </c>
      <c r="F115" s="235" t="s">
        <v>1224</v>
      </c>
      <c r="G115" s="284" t="str">
        <f>IFERROR(VLOOKUP(E115,Assign!$C$2:$J$142,8,FALSE),)</f>
        <v>문선영</v>
      </c>
      <c r="H115" s="197" t="s">
        <v>4308</v>
      </c>
      <c r="I115" s="324" t="s">
        <v>4309</v>
      </c>
      <c r="J115" s="237">
        <v>1</v>
      </c>
      <c r="K115" s="237">
        <v>1</v>
      </c>
      <c r="L115" s="265" t="s">
        <v>208</v>
      </c>
      <c r="M115" s="266" t="s">
        <v>385</v>
      </c>
      <c r="N115" s="266" t="s">
        <v>1872</v>
      </c>
      <c r="O115" s="267" t="s">
        <v>1873</v>
      </c>
      <c r="P115" s="268" t="s">
        <v>1874</v>
      </c>
      <c r="Q115" s="269">
        <v>250.4</v>
      </c>
      <c r="R115" s="269">
        <v>25.08</v>
      </c>
      <c r="S115" s="270"/>
      <c r="T115" s="182">
        <f>18.42/250.4</f>
        <v>7.3562300319488821E-2</v>
      </c>
      <c r="U115" s="182">
        <v>1</v>
      </c>
      <c r="V115" s="408">
        <v>1</v>
      </c>
      <c r="W115" s="357" t="s">
        <v>204</v>
      </c>
      <c r="X115" s="156">
        <v>1380000000</v>
      </c>
      <c r="Y115" s="417">
        <v>1380000000</v>
      </c>
      <c r="Z115" s="418" t="s">
        <v>359</v>
      </c>
      <c r="AA115" s="271"/>
      <c r="AB115" s="168"/>
      <c r="AC115" s="156"/>
      <c r="AD115" s="156"/>
      <c r="AE115" s="320"/>
      <c r="AF115" s="168"/>
      <c r="AG115" s="156"/>
      <c r="AH115" s="156"/>
      <c r="AI115" s="410"/>
    </row>
    <row r="116" spans="1:35" ht="19.5" customHeight="1">
      <c r="A116" s="137"/>
      <c r="B116" s="197">
        <f t="shared" si="2"/>
        <v>106</v>
      </c>
      <c r="C116" s="30" t="s">
        <v>206</v>
      </c>
      <c r="D116" s="30" t="s">
        <v>225</v>
      </c>
      <c r="E116" s="234" t="s">
        <v>665</v>
      </c>
      <c r="F116" s="235" t="s">
        <v>1224</v>
      </c>
      <c r="G116" s="284" t="str">
        <f>IFERROR(VLOOKUP(E116,Assign!$C$2:$J$142,8,FALSE),)</f>
        <v>문선영</v>
      </c>
      <c r="H116" s="197" t="s">
        <v>4308</v>
      </c>
      <c r="I116" s="324" t="s">
        <v>4310</v>
      </c>
      <c r="J116" s="237">
        <v>1</v>
      </c>
      <c r="K116" s="237">
        <v>2</v>
      </c>
      <c r="L116" s="265" t="s">
        <v>208</v>
      </c>
      <c r="M116" s="266" t="s">
        <v>385</v>
      </c>
      <c r="N116" s="266" t="s">
        <v>1872</v>
      </c>
      <c r="O116" s="267" t="s">
        <v>1875</v>
      </c>
      <c r="P116" s="268" t="s">
        <v>1874</v>
      </c>
      <c r="Q116" s="269">
        <v>250.4</v>
      </c>
      <c r="R116" s="269">
        <v>29.31</v>
      </c>
      <c r="S116" s="270"/>
      <c r="T116" s="182">
        <f>21.53/250.4</f>
        <v>8.5982428115015982E-2</v>
      </c>
      <c r="U116" s="182">
        <v>1</v>
      </c>
      <c r="V116" s="408">
        <v>1</v>
      </c>
      <c r="W116" s="357" t="s">
        <v>204</v>
      </c>
      <c r="X116" s="156">
        <v>1380000000</v>
      </c>
      <c r="Y116" s="417">
        <v>1380000000</v>
      </c>
      <c r="Z116" s="418" t="s">
        <v>359</v>
      </c>
      <c r="AA116" s="271"/>
      <c r="AB116" s="168"/>
      <c r="AC116" s="156"/>
      <c r="AD116" s="156"/>
      <c r="AE116" s="320"/>
      <c r="AF116" s="168"/>
      <c r="AG116" s="156"/>
      <c r="AH116" s="156"/>
      <c r="AI116" s="410"/>
    </row>
    <row r="117" spans="1:35" ht="19.5" customHeight="1">
      <c r="A117" s="137"/>
      <c r="B117" s="197">
        <f t="shared" si="2"/>
        <v>107</v>
      </c>
      <c r="C117" s="30" t="s">
        <v>206</v>
      </c>
      <c r="D117" s="30" t="s">
        <v>225</v>
      </c>
      <c r="E117" s="234" t="s">
        <v>665</v>
      </c>
      <c r="F117" s="235" t="s">
        <v>1224</v>
      </c>
      <c r="G117" s="284" t="str">
        <f>IFERROR(VLOOKUP(E117,Assign!$C$2:$J$142,8,FALSE),)</f>
        <v>문선영</v>
      </c>
      <c r="H117" s="197" t="s">
        <v>4308</v>
      </c>
      <c r="I117" s="324" t="s">
        <v>4311</v>
      </c>
      <c r="J117" s="237">
        <v>1</v>
      </c>
      <c r="K117" s="237">
        <v>3</v>
      </c>
      <c r="L117" s="265" t="s">
        <v>208</v>
      </c>
      <c r="M117" s="266" t="s">
        <v>385</v>
      </c>
      <c r="N117" s="266" t="s">
        <v>1872</v>
      </c>
      <c r="O117" s="267" t="s">
        <v>1876</v>
      </c>
      <c r="P117" s="268" t="s">
        <v>1874</v>
      </c>
      <c r="Q117" s="269">
        <v>250.4</v>
      </c>
      <c r="R117" s="269">
        <v>29.4</v>
      </c>
      <c r="S117" s="270"/>
      <c r="T117" s="182">
        <f>21.59/250.4</f>
        <v>8.6222044728434505E-2</v>
      </c>
      <c r="U117" s="182">
        <v>1</v>
      </c>
      <c r="V117" s="408">
        <v>1</v>
      </c>
      <c r="W117" s="357" t="s">
        <v>204</v>
      </c>
      <c r="X117" s="156">
        <v>1380000000</v>
      </c>
      <c r="Y117" s="417">
        <v>1380000000</v>
      </c>
      <c r="Z117" s="418" t="s">
        <v>359</v>
      </c>
      <c r="AA117" s="271"/>
      <c r="AB117" s="168"/>
      <c r="AC117" s="156"/>
      <c r="AD117" s="156"/>
      <c r="AE117" s="320"/>
      <c r="AF117" s="168"/>
      <c r="AG117" s="156"/>
      <c r="AH117" s="156"/>
      <c r="AI117" s="410"/>
    </row>
    <row r="118" spans="1:35" ht="19.5" customHeight="1">
      <c r="A118" s="137"/>
      <c r="B118" s="197">
        <f t="shared" si="2"/>
        <v>108</v>
      </c>
      <c r="C118" s="30" t="s">
        <v>206</v>
      </c>
      <c r="D118" s="30" t="s">
        <v>225</v>
      </c>
      <c r="E118" s="234" t="s">
        <v>665</v>
      </c>
      <c r="F118" s="235" t="s">
        <v>1224</v>
      </c>
      <c r="G118" s="284" t="str">
        <f>IFERROR(VLOOKUP(E118,Assign!$C$2:$J$142,8,FALSE),)</f>
        <v>문선영</v>
      </c>
      <c r="H118" s="197" t="s">
        <v>4308</v>
      </c>
      <c r="I118" s="324" t="s">
        <v>4312</v>
      </c>
      <c r="J118" s="237">
        <v>1</v>
      </c>
      <c r="K118" s="237">
        <v>4</v>
      </c>
      <c r="L118" s="265" t="s">
        <v>208</v>
      </c>
      <c r="M118" s="266" t="s">
        <v>385</v>
      </c>
      <c r="N118" s="266" t="s">
        <v>1872</v>
      </c>
      <c r="O118" s="267" t="s">
        <v>1877</v>
      </c>
      <c r="P118" s="268" t="s">
        <v>1874</v>
      </c>
      <c r="Q118" s="269">
        <v>250.4</v>
      </c>
      <c r="R118" s="269">
        <v>29.4</v>
      </c>
      <c r="S118" s="270"/>
      <c r="T118" s="182">
        <f>21.59/250.4</f>
        <v>8.6222044728434505E-2</v>
      </c>
      <c r="U118" s="182">
        <v>1</v>
      </c>
      <c r="V118" s="408">
        <v>1</v>
      </c>
      <c r="W118" s="357" t="s">
        <v>204</v>
      </c>
      <c r="X118" s="156">
        <v>1380000000</v>
      </c>
      <c r="Y118" s="417">
        <v>1380000000</v>
      </c>
      <c r="Z118" s="418" t="s">
        <v>359</v>
      </c>
      <c r="AA118" s="271"/>
      <c r="AB118" s="168"/>
      <c r="AC118" s="156"/>
      <c r="AD118" s="156"/>
      <c r="AE118" s="320"/>
      <c r="AF118" s="168"/>
      <c r="AG118" s="156"/>
      <c r="AH118" s="156"/>
      <c r="AI118" s="410"/>
    </row>
    <row r="119" spans="1:35" ht="19.5" customHeight="1">
      <c r="A119" s="137"/>
      <c r="B119" s="197">
        <f t="shared" si="2"/>
        <v>109</v>
      </c>
      <c r="C119" s="30" t="s">
        <v>206</v>
      </c>
      <c r="D119" s="30" t="s">
        <v>225</v>
      </c>
      <c r="E119" s="234" t="s">
        <v>665</v>
      </c>
      <c r="F119" s="235" t="s">
        <v>1224</v>
      </c>
      <c r="G119" s="284" t="str">
        <f>IFERROR(VLOOKUP(E119,Assign!$C$2:$J$142,8,FALSE),)</f>
        <v>문선영</v>
      </c>
      <c r="H119" s="197" t="s">
        <v>4308</v>
      </c>
      <c r="I119" s="324" t="s">
        <v>4313</v>
      </c>
      <c r="J119" s="237">
        <v>1</v>
      </c>
      <c r="K119" s="237">
        <v>5</v>
      </c>
      <c r="L119" s="265" t="s">
        <v>208</v>
      </c>
      <c r="M119" s="266" t="s">
        <v>385</v>
      </c>
      <c r="N119" s="266" t="s">
        <v>1872</v>
      </c>
      <c r="O119" s="267" t="s">
        <v>1878</v>
      </c>
      <c r="P119" s="268" t="s">
        <v>1874</v>
      </c>
      <c r="Q119" s="269">
        <v>250.4</v>
      </c>
      <c r="R119" s="269">
        <v>25.08</v>
      </c>
      <c r="S119" s="270"/>
      <c r="T119" s="182">
        <f>18.42/250.4</f>
        <v>7.3562300319488821E-2</v>
      </c>
      <c r="U119" s="182">
        <v>1</v>
      </c>
      <c r="V119" s="408">
        <v>1</v>
      </c>
      <c r="W119" s="357" t="s">
        <v>204</v>
      </c>
      <c r="X119" s="156">
        <v>1380000000</v>
      </c>
      <c r="Y119" s="417">
        <v>1380000000</v>
      </c>
      <c r="Z119" s="418" t="s">
        <v>359</v>
      </c>
      <c r="AA119" s="271"/>
      <c r="AB119" s="168"/>
      <c r="AC119" s="156"/>
      <c r="AD119" s="156"/>
      <c r="AE119" s="320"/>
      <c r="AF119" s="168"/>
      <c r="AG119" s="156"/>
      <c r="AH119" s="156"/>
      <c r="AI119" s="410"/>
    </row>
    <row r="120" spans="1:35" ht="19.5" customHeight="1">
      <c r="A120" s="137"/>
      <c r="B120" s="197">
        <f t="shared" si="2"/>
        <v>110</v>
      </c>
      <c r="C120" s="30" t="s">
        <v>206</v>
      </c>
      <c r="D120" s="30" t="s">
        <v>225</v>
      </c>
      <c r="E120" s="234" t="s">
        <v>665</v>
      </c>
      <c r="F120" s="235" t="s">
        <v>1224</v>
      </c>
      <c r="G120" s="284" t="str">
        <f>IFERROR(VLOOKUP(E120,Assign!$C$2:$J$142,8,FALSE),)</f>
        <v>문선영</v>
      </c>
      <c r="H120" s="197" t="s">
        <v>4308</v>
      </c>
      <c r="I120" s="324" t="s">
        <v>4314</v>
      </c>
      <c r="J120" s="237">
        <v>1</v>
      </c>
      <c r="K120" s="237">
        <v>6</v>
      </c>
      <c r="L120" s="265" t="s">
        <v>208</v>
      </c>
      <c r="M120" s="266" t="s">
        <v>385</v>
      </c>
      <c r="N120" s="266" t="s">
        <v>1872</v>
      </c>
      <c r="O120" s="267" t="s">
        <v>1879</v>
      </c>
      <c r="P120" s="268" t="s">
        <v>1874</v>
      </c>
      <c r="Q120" s="269">
        <v>250.4</v>
      </c>
      <c r="R120" s="269">
        <v>29.31</v>
      </c>
      <c r="S120" s="270"/>
      <c r="T120" s="182">
        <f>21.53/250.4</f>
        <v>8.5982428115015982E-2</v>
      </c>
      <c r="U120" s="182">
        <v>1</v>
      </c>
      <c r="V120" s="408">
        <v>1</v>
      </c>
      <c r="W120" s="357" t="s">
        <v>204</v>
      </c>
      <c r="X120" s="156">
        <v>1380000000</v>
      </c>
      <c r="Y120" s="417">
        <v>1380000000</v>
      </c>
      <c r="Z120" s="418" t="s">
        <v>359</v>
      </c>
      <c r="AA120" s="271"/>
      <c r="AB120" s="168"/>
      <c r="AC120" s="156"/>
      <c r="AD120" s="156"/>
      <c r="AE120" s="320"/>
      <c r="AF120" s="168"/>
      <c r="AG120" s="156"/>
      <c r="AH120" s="156"/>
      <c r="AI120" s="410"/>
    </row>
    <row r="121" spans="1:35" ht="19.5" customHeight="1">
      <c r="A121" s="137"/>
      <c r="B121" s="197">
        <f t="shared" si="2"/>
        <v>111</v>
      </c>
      <c r="C121" s="30" t="s">
        <v>206</v>
      </c>
      <c r="D121" s="30" t="s">
        <v>225</v>
      </c>
      <c r="E121" s="234" t="s">
        <v>665</v>
      </c>
      <c r="F121" s="235" t="s">
        <v>1224</v>
      </c>
      <c r="G121" s="284" t="str">
        <f>IFERROR(VLOOKUP(E121,Assign!$C$2:$J$142,8,FALSE),)</f>
        <v>문선영</v>
      </c>
      <c r="H121" s="197" t="s">
        <v>4308</v>
      </c>
      <c r="I121" s="324" t="s">
        <v>4315</v>
      </c>
      <c r="J121" s="237">
        <v>1</v>
      </c>
      <c r="K121" s="237">
        <v>7</v>
      </c>
      <c r="L121" s="265" t="s">
        <v>208</v>
      </c>
      <c r="M121" s="266" t="s">
        <v>385</v>
      </c>
      <c r="N121" s="266" t="s">
        <v>1872</v>
      </c>
      <c r="O121" s="267" t="s">
        <v>1880</v>
      </c>
      <c r="P121" s="268" t="s">
        <v>1874</v>
      </c>
      <c r="Q121" s="269">
        <v>250.4</v>
      </c>
      <c r="R121" s="269">
        <v>29.4</v>
      </c>
      <c r="S121" s="270"/>
      <c r="T121" s="182">
        <f>21.59/250.4</f>
        <v>8.6222044728434505E-2</v>
      </c>
      <c r="U121" s="182">
        <v>1</v>
      </c>
      <c r="V121" s="408">
        <v>1</v>
      </c>
      <c r="W121" s="357" t="s">
        <v>204</v>
      </c>
      <c r="X121" s="156">
        <v>1380000000</v>
      </c>
      <c r="Y121" s="417">
        <v>1380000000</v>
      </c>
      <c r="Z121" s="418" t="s">
        <v>359</v>
      </c>
      <c r="AA121" s="271"/>
      <c r="AB121" s="168"/>
      <c r="AC121" s="156"/>
      <c r="AD121" s="156"/>
      <c r="AE121" s="320"/>
      <c r="AF121" s="168"/>
      <c r="AG121" s="156"/>
      <c r="AH121" s="156"/>
      <c r="AI121" s="410"/>
    </row>
    <row r="122" spans="1:35" ht="19.5" customHeight="1">
      <c r="A122" s="137"/>
      <c r="B122" s="197">
        <f t="shared" si="2"/>
        <v>112</v>
      </c>
      <c r="C122" s="30" t="s">
        <v>206</v>
      </c>
      <c r="D122" s="30" t="s">
        <v>225</v>
      </c>
      <c r="E122" s="234" t="s">
        <v>665</v>
      </c>
      <c r="F122" s="235" t="s">
        <v>1224</v>
      </c>
      <c r="G122" s="284" t="str">
        <f>IFERROR(VLOOKUP(E122,Assign!$C$2:$J$142,8,FALSE),)</f>
        <v>문선영</v>
      </c>
      <c r="H122" s="197" t="s">
        <v>4308</v>
      </c>
      <c r="I122" s="324" t="s">
        <v>4316</v>
      </c>
      <c r="J122" s="237">
        <v>1</v>
      </c>
      <c r="K122" s="237">
        <v>8</v>
      </c>
      <c r="L122" s="265" t="s">
        <v>208</v>
      </c>
      <c r="M122" s="266" t="s">
        <v>385</v>
      </c>
      <c r="N122" s="266" t="s">
        <v>1872</v>
      </c>
      <c r="O122" s="267" t="s">
        <v>1881</v>
      </c>
      <c r="P122" s="268" t="s">
        <v>1874</v>
      </c>
      <c r="Q122" s="269">
        <v>250.4</v>
      </c>
      <c r="R122" s="269">
        <v>29.4</v>
      </c>
      <c r="S122" s="270"/>
      <c r="T122" s="182">
        <f>21.59/250.4</f>
        <v>8.6222044728434505E-2</v>
      </c>
      <c r="U122" s="182">
        <v>1</v>
      </c>
      <c r="V122" s="408">
        <v>1</v>
      </c>
      <c r="W122" s="357" t="s">
        <v>204</v>
      </c>
      <c r="X122" s="156">
        <v>1380000000</v>
      </c>
      <c r="Y122" s="417">
        <v>1380000000</v>
      </c>
      <c r="Z122" s="418" t="s">
        <v>359</v>
      </c>
      <c r="AA122" s="271"/>
      <c r="AB122" s="168"/>
      <c r="AC122" s="156"/>
      <c r="AD122" s="156"/>
      <c r="AE122" s="320"/>
      <c r="AF122" s="168"/>
      <c r="AG122" s="156"/>
      <c r="AH122" s="156"/>
      <c r="AI122" s="410"/>
    </row>
    <row r="123" spans="1:35" ht="19.5" customHeight="1">
      <c r="A123" s="137"/>
      <c r="B123" s="197">
        <f t="shared" si="2"/>
        <v>113</v>
      </c>
      <c r="C123" s="30" t="s">
        <v>206</v>
      </c>
      <c r="D123" s="30" t="s">
        <v>225</v>
      </c>
      <c r="E123" s="234" t="s">
        <v>665</v>
      </c>
      <c r="F123" s="235" t="s">
        <v>1224</v>
      </c>
      <c r="G123" s="284" t="str">
        <f>IFERROR(VLOOKUP(E123,Assign!$C$2:$J$142,8,FALSE),)</f>
        <v>문선영</v>
      </c>
      <c r="H123" s="197" t="s">
        <v>4308</v>
      </c>
      <c r="I123" s="324" t="s">
        <v>4317</v>
      </c>
      <c r="J123" s="237">
        <v>1</v>
      </c>
      <c r="K123" s="237">
        <v>9</v>
      </c>
      <c r="L123" s="265" t="s">
        <v>208</v>
      </c>
      <c r="M123" s="266" t="s">
        <v>385</v>
      </c>
      <c r="N123" s="266" t="s">
        <v>1872</v>
      </c>
      <c r="O123" s="267" t="s">
        <v>1882</v>
      </c>
      <c r="P123" s="268" t="s">
        <v>1874</v>
      </c>
      <c r="Q123" s="269">
        <v>250.4</v>
      </c>
      <c r="R123" s="269">
        <v>34.65</v>
      </c>
      <c r="S123" s="270"/>
      <c r="T123" s="182">
        <f>25.45/250.4</f>
        <v>0.10163738019169329</v>
      </c>
      <c r="U123" s="182">
        <v>1</v>
      </c>
      <c r="V123" s="408">
        <v>1</v>
      </c>
      <c r="W123" s="357" t="s">
        <v>204</v>
      </c>
      <c r="X123" s="156">
        <v>1380000000</v>
      </c>
      <c r="Y123" s="417">
        <v>1380000000</v>
      </c>
      <c r="Z123" s="418" t="s">
        <v>359</v>
      </c>
      <c r="AA123" s="271"/>
      <c r="AB123" s="168"/>
      <c r="AC123" s="156"/>
      <c r="AD123" s="156"/>
      <c r="AE123" s="320"/>
      <c r="AF123" s="168"/>
      <c r="AG123" s="156"/>
      <c r="AH123" s="156"/>
      <c r="AI123" s="410"/>
    </row>
    <row r="124" spans="1:35" ht="19.5" customHeight="1">
      <c r="A124" s="137"/>
      <c r="B124" s="197">
        <f t="shared" si="2"/>
        <v>114</v>
      </c>
      <c r="C124" s="30" t="s">
        <v>206</v>
      </c>
      <c r="D124" s="30" t="s">
        <v>225</v>
      </c>
      <c r="E124" s="234" t="s">
        <v>665</v>
      </c>
      <c r="F124" s="235" t="s">
        <v>1224</v>
      </c>
      <c r="G124" s="284" t="str">
        <f>IFERROR(VLOOKUP(E124,Assign!$C$2:$J$142,8,FALSE),)</f>
        <v>문선영</v>
      </c>
      <c r="H124" s="197" t="s">
        <v>4308</v>
      </c>
      <c r="I124" s="324" t="s">
        <v>4318</v>
      </c>
      <c r="J124" s="237">
        <v>1</v>
      </c>
      <c r="K124" s="237">
        <v>10</v>
      </c>
      <c r="L124" s="265" t="s">
        <v>208</v>
      </c>
      <c r="M124" s="266" t="s">
        <v>385</v>
      </c>
      <c r="N124" s="266" t="s">
        <v>1872</v>
      </c>
      <c r="O124" s="267" t="s">
        <v>1883</v>
      </c>
      <c r="P124" s="268" t="s">
        <v>1874</v>
      </c>
      <c r="Q124" s="269">
        <v>250.4</v>
      </c>
      <c r="R124" s="269">
        <v>29.98</v>
      </c>
      <c r="S124" s="270"/>
      <c r="T124" s="182">
        <f>22.02/250.4</f>
        <v>8.7939297124600635E-2</v>
      </c>
      <c r="U124" s="182">
        <v>1</v>
      </c>
      <c r="V124" s="408">
        <v>1</v>
      </c>
      <c r="W124" s="357" t="s">
        <v>204</v>
      </c>
      <c r="X124" s="156">
        <v>1380000000</v>
      </c>
      <c r="Y124" s="417">
        <v>1380000000</v>
      </c>
      <c r="Z124" s="418" t="s">
        <v>359</v>
      </c>
      <c r="AA124" s="271"/>
      <c r="AB124" s="168"/>
      <c r="AC124" s="156"/>
      <c r="AD124" s="156"/>
      <c r="AE124" s="320"/>
      <c r="AF124" s="168"/>
      <c r="AG124" s="156"/>
      <c r="AH124" s="156"/>
      <c r="AI124" s="410"/>
    </row>
    <row r="125" spans="1:35" ht="19.5" customHeight="1">
      <c r="A125" s="137"/>
      <c r="B125" s="197">
        <f t="shared" si="2"/>
        <v>115</v>
      </c>
      <c r="C125" s="30" t="s">
        <v>206</v>
      </c>
      <c r="D125" s="30" t="s">
        <v>225</v>
      </c>
      <c r="E125" s="234" t="s">
        <v>665</v>
      </c>
      <c r="F125" s="235" t="s">
        <v>1224</v>
      </c>
      <c r="G125" s="284" t="str">
        <f>IFERROR(VLOOKUP(E125,Assign!$C$2:$J$142,8,FALSE),)</f>
        <v>문선영</v>
      </c>
      <c r="H125" s="197" t="s">
        <v>4308</v>
      </c>
      <c r="I125" s="324" t="s">
        <v>4319</v>
      </c>
      <c r="J125" s="237">
        <v>1</v>
      </c>
      <c r="K125" s="237">
        <v>11</v>
      </c>
      <c r="L125" s="265" t="s">
        <v>208</v>
      </c>
      <c r="M125" s="266" t="s">
        <v>385</v>
      </c>
      <c r="N125" s="266" t="s">
        <v>1872</v>
      </c>
      <c r="O125" s="267" t="s">
        <v>1884</v>
      </c>
      <c r="P125" s="268" t="s">
        <v>1874</v>
      </c>
      <c r="Q125" s="269">
        <v>250.4</v>
      </c>
      <c r="R125" s="269">
        <v>49.95</v>
      </c>
      <c r="S125" s="270"/>
      <c r="T125" s="182">
        <f>36.67/250.4</f>
        <v>0.14644568690095847</v>
      </c>
      <c r="U125" s="182">
        <v>1</v>
      </c>
      <c r="V125" s="408">
        <v>1</v>
      </c>
      <c r="W125" s="357" t="s">
        <v>204</v>
      </c>
      <c r="X125" s="156">
        <v>1380000000</v>
      </c>
      <c r="Y125" s="417">
        <v>1380000000</v>
      </c>
      <c r="Z125" s="418" t="s">
        <v>359</v>
      </c>
      <c r="AA125" s="271"/>
      <c r="AB125" s="168"/>
      <c r="AC125" s="156"/>
      <c r="AD125" s="156"/>
      <c r="AE125" s="320"/>
      <c r="AF125" s="168"/>
      <c r="AG125" s="156"/>
      <c r="AH125" s="156"/>
      <c r="AI125" s="410"/>
    </row>
    <row r="126" spans="1:35" ht="19.5" hidden="1" customHeight="1">
      <c r="A126" s="137"/>
      <c r="B126" s="197">
        <f t="shared" si="2"/>
        <v>116</v>
      </c>
      <c r="C126" s="30" t="s">
        <v>206</v>
      </c>
      <c r="D126" s="30" t="s">
        <v>225</v>
      </c>
      <c r="E126" s="234" t="s">
        <v>666</v>
      </c>
      <c r="F126" s="235" t="s">
        <v>1217</v>
      </c>
      <c r="G126" s="284">
        <f>IFERROR(VLOOKUP(E126,Assign!$C$2:$J$142,8,FALSE),)</f>
        <v>0</v>
      </c>
      <c r="H126" s="197" t="s">
        <v>4642</v>
      </c>
      <c r="I126" s="324" t="s">
        <v>4643</v>
      </c>
      <c r="J126" s="237">
        <v>1</v>
      </c>
      <c r="K126" s="237">
        <v>1</v>
      </c>
      <c r="L126" s="265" t="s">
        <v>209</v>
      </c>
      <c r="M126" s="266" t="s">
        <v>247</v>
      </c>
      <c r="N126" s="266" t="s">
        <v>2175</v>
      </c>
      <c r="O126" s="267" t="s">
        <v>2176</v>
      </c>
      <c r="P126" s="268" t="s">
        <v>2177</v>
      </c>
      <c r="Q126" s="269">
        <v>8847.4</v>
      </c>
      <c r="R126" s="269">
        <v>263.20800000000003</v>
      </c>
      <c r="S126" s="270"/>
      <c r="T126" s="182">
        <f>29.66/8847.4</f>
        <v>3.3523973144652668E-3</v>
      </c>
      <c r="U126" s="182">
        <v>1</v>
      </c>
      <c r="V126" s="408">
        <v>1</v>
      </c>
      <c r="W126" s="357" t="s">
        <v>204</v>
      </c>
      <c r="X126" s="156">
        <v>1680000000</v>
      </c>
      <c r="Y126" s="417">
        <v>1680000000</v>
      </c>
      <c r="Z126" s="418" t="s">
        <v>359</v>
      </c>
      <c r="AA126" s="271"/>
      <c r="AB126" s="168"/>
      <c r="AC126" s="156"/>
      <c r="AD126" s="156"/>
      <c r="AE126" s="320"/>
      <c r="AF126" s="168"/>
      <c r="AG126" s="156"/>
      <c r="AH126" s="156"/>
      <c r="AI126" s="410"/>
    </row>
    <row r="127" spans="1:35" ht="19.5" hidden="1" customHeight="1">
      <c r="A127" s="137"/>
      <c r="B127" s="197">
        <f t="shared" si="2"/>
        <v>117</v>
      </c>
      <c r="C127" s="30" t="s">
        <v>206</v>
      </c>
      <c r="D127" s="30" t="s">
        <v>225</v>
      </c>
      <c r="E127" s="234" t="s">
        <v>667</v>
      </c>
      <c r="F127" s="235" t="s">
        <v>1225</v>
      </c>
      <c r="G127" s="284">
        <f>IFERROR(VLOOKUP(E127,Assign!$C$2:$J$142,8,FALSE),)</f>
        <v>0</v>
      </c>
      <c r="H127" s="29" t="s">
        <v>3878</v>
      </c>
      <c r="I127" s="359" t="s">
        <v>3879</v>
      </c>
      <c r="J127" s="237">
        <v>1</v>
      </c>
      <c r="K127" s="237">
        <v>1</v>
      </c>
      <c r="L127" s="265" t="s">
        <v>209</v>
      </c>
      <c r="M127" s="266" t="s">
        <v>248</v>
      </c>
      <c r="N127" s="266" t="s">
        <v>386</v>
      </c>
      <c r="O127" s="267" t="s">
        <v>1446</v>
      </c>
      <c r="P127" s="268" t="s">
        <v>460</v>
      </c>
      <c r="Q127" s="269"/>
      <c r="R127" s="269">
        <v>127.80800000000001</v>
      </c>
      <c r="S127" s="270"/>
      <c r="T127" s="182"/>
      <c r="U127" s="182">
        <v>1</v>
      </c>
      <c r="V127" s="408" t="s">
        <v>333</v>
      </c>
      <c r="W127" s="357" t="s">
        <v>204</v>
      </c>
      <c r="X127" s="156">
        <v>1128000000</v>
      </c>
      <c r="Y127" s="417">
        <v>1128000000</v>
      </c>
      <c r="Z127" s="418" t="s">
        <v>3861</v>
      </c>
      <c r="AA127" s="271"/>
      <c r="AB127" s="168"/>
      <c r="AC127" s="156"/>
      <c r="AD127" s="156"/>
      <c r="AE127" s="320"/>
      <c r="AF127" s="168"/>
      <c r="AG127" s="156"/>
      <c r="AH127" s="156"/>
      <c r="AI127" s="410"/>
    </row>
    <row r="128" spans="1:35" ht="19.5" hidden="1" customHeight="1">
      <c r="A128" s="137"/>
      <c r="B128" s="197">
        <f t="shared" si="2"/>
        <v>118</v>
      </c>
      <c r="C128" s="30" t="s">
        <v>206</v>
      </c>
      <c r="D128" s="30" t="s">
        <v>225</v>
      </c>
      <c r="E128" s="234" t="s">
        <v>667</v>
      </c>
      <c r="F128" s="235" t="s">
        <v>1225</v>
      </c>
      <c r="G128" s="284">
        <f>IFERROR(VLOOKUP(E128,Assign!$C$2:$J$142,8,FALSE),)</f>
        <v>0</v>
      </c>
      <c r="H128" s="29" t="s">
        <v>3878</v>
      </c>
      <c r="I128" s="359" t="s">
        <v>3880</v>
      </c>
      <c r="J128" s="237">
        <v>1</v>
      </c>
      <c r="K128" s="237">
        <v>2</v>
      </c>
      <c r="L128" s="265" t="s">
        <v>209</v>
      </c>
      <c r="M128" s="266" t="s">
        <v>248</v>
      </c>
      <c r="N128" s="266" t="s">
        <v>386</v>
      </c>
      <c r="O128" s="267" t="s">
        <v>1447</v>
      </c>
      <c r="P128" s="268" t="s">
        <v>450</v>
      </c>
      <c r="Q128" s="269">
        <v>59721.7</v>
      </c>
      <c r="R128" s="269"/>
      <c r="S128" s="270"/>
      <c r="T128" s="182"/>
      <c r="U128" s="182">
        <f>75.31/62061.9</f>
        <v>1.213465910647273E-3</v>
      </c>
      <c r="V128" s="408" t="s">
        <v>333</v>
      </c>
      <c r="W128" s="357" t="s">
        <v>204</v>
      </c>
      <c r="X128" s="156">
        <v>1128000000</v>
      </c>
      <c r="Y128" s="417">
        <v>1128000000</v>
      </c>
      <c r="Z128" s="418" t="s">
        <v>3861</v>
      </c>
      <c r="AA128" s="271"/>
      <c r="AB128" s="168"/>
      <c r="AC128" s="156"/>
      <c r="AD128" s="156"/>
      <c r="AE128" s="320"/>
      <c r="AF128" s="168"/>
      <c r="AG128" s="156"/>
      <c r="AH128" s="156"/>
      <c r="AI128" s="410"/>
    </row>
    <row r="129" spans="1:35" ht="19.5" hidden="1" customHeight="1">
      <c r="A129" s="137"/>
      <c r="B129" s="197">
        <f t="shared" si="2"/>
        <v>119</v>
      </c>
      <c r="C129" s="30" t="s">
        <v>206</v>
      </c>
      <c r="D129" s="30" t="s">
        <v>225</v>
      </c>
      <c r="E129" s="234" t="s">
        <v>667</v>
      </c>
      <c r="F129" s="235" t="s">
        <v>1225</v>
      </c>
      <c r="G129" s="284">
        <f>IFERROR(VLOOKUP(E129,Assign!$C$2:$J$142,8,FALSE),)</f>
        <v>0</v>
      </c>
      <c r="H129" s="29" t="s">
        <v>3878</v>
      </c>
      <c r="I129" s="359" t="s">
        <v>3881</v>
      </c>
      <c r="J129" s="237">
        <v>1</v>
      </c>
      <c r="K129" s="237">
        <v>3</v>
      </c>
      <c r="L129" s="265" t="s">
        <v>209</v>
      </c>
      <c r="M129" s="266" t="s">
        <v>248</v>
      </c>
      <c r="N129" s="266" t="s">
        <v>386</v>
      </c>
      <c r="O129" s="267" t="s">
        <v>1448</v>
      </c>
      <c r="P129" s="268" t="s">
        <v>450</v>
      </c>
      <c r="Q129" s="269">
        <v>2338</v>
      </c>
      <c r="R129" s="269"/>
      <c r="S129" s="270"/>
      <c r="T129" s="182"/>
      <c r="U129" s="182">
        <f>75.31/62061.9</f>
        <v>1.213465910647273E-3</v>
      </c>
      <c r="V129" s="408" t="s">
        <v>333</v>
      </c>
      <c r="W129" s="357" t="s">
        <v>204</v>
      </c>
      <c r="X129" s="156">
        <v>1128000000</v>
      </c>
      <c r="Y129" s="417">
        <v>1128000000</v>
      </c>
      <c r="Z129" s="418" t="s">
        <v>3861</v>
      </c>
      <c r="AA129" s="271"/>
      <c r="AB129" s="168"/>
      <c r="AC129" s="156"/>
      <c r="AD129" s="156"/>
      <c r="AE129" s="320"/>
      <c r="AF129" s="168"/>
      <c r="AG129" s="156"/>
      <c r="AH129" s="156"/>
      <c r="AI129" s="410"/>
    </row>
    <row r="130" spans="1:35" ht="19.5" hidden="1" customHeight="1">
      <c r="A130" s="137"/>
      <c r="B130" s="197">
        <f t="shared" si="2"/>
        <v>120</v>
      </c>
      <c r="C130" s="30" t="s">
        <v>206</v>
      </c>
      <c r="D130" s="30" t="s">
        <v>225</v>
      </c>
      <c r="E130" s="234" t="s">
        <v>668</v>
      </c>
      <c r="F130" s="235" t="s">
        <v>1225</v>
      </c>
      <c r="G130" s="284">
        <f>IFERROR(VLOOKUP(E130,Assign!$C$2:$J$142,8,FALSE),)</f>
        <v>0</v>
      </c>
      <c r="H130" s="197" t="s">
        <v>4268</v>
      </c>
      <c r="I130" s="324" t="s">
        <v>4269</v>
      </c>
      <c r="J130" s="237">
        <v>1</v>
      </c>
      <c r="K130" s="237">
        <v>1</v>
      </c>
      <c r="L130" s="265" t="s">
        <v>209</v>
      </c>
      <c r="M130" s="266" t="s">
        <v>226</v>
      </c>
      <c r="N130" s="266" t="s">
        <v>227</v>
      </c>
      <c r="O130" s="267" t="s">
        <v>1837</v>
      </c>
      <c r="P130" s="268" t="s">
        <v>1838</v>
      </c>
      <c r="Q130" s="269">
        <v>13880</v>
      </c>
      <c r="R130" s="269">
        <v>167.79</v>
      </c>
      <c r="S130" s="270"/>
      <c r="T130" s="182">
        <f>49.22/13880</f>
        <v>3.5461095100864553E-3</v>
      </c>
      <c r="U130" s="182">
        <v>1</v>
      </c>
      <c r="V130" s="408" t="s">
        <v>268</v>
      </c>
      <c r="W130" s="357" t="s">
        <v>204</v>
      </c>
      <c r="X130" s="156">
        <v>555000000</v>
      </c>
      <c r="Y130" s="417">
        <v>555000000</v>
      </c>
      <c r="Z130" s="418" t="s">
        <v>359</v>
      </c>
      <c r="AA130" s="271"/>
      <c r="AB130" s="168"/>
      <c r="AC130" s="156"/>
      <c r="AD130" s="156"/>
      <c r="AE130" s="320"/>
      <c r="AF130" s="168"/>
      <c r="AG130" s="156"/>
      <c r="AH130" s="156"/>
      <c r="AI130" s="410"/>
    </row>
    <row r="131" spans="1:35" ht="19.5" hidden="1" customHeight="1">
      <c r="A131" s="137"/>
      <c r="B131" s="197">
        <f t="shared" si="2"/>
        <v>121</v>
      </c>
      <c r="C131" s="30" t="s">
        <v>206</v>
      </c>
      <c r="D131" s="30" t="s">
        <v>225</v>
      </c>
      <c r="E131" s="234" t="s">
        <v>668</v>
      </c>
      <c r="F131" s="235" t="s">
        <v>1225</v>
      </c>
      <c r="G131" s="284">
        <f>IFERROR(VLOOKUP(E131,Assign!$C$2:$J$142,8,FALSE),)</f>
        <v>0</v>
      </c>
      <c r="H131" s="197" t="s">
        <v>4270</v>
      </c>
      <c r="I131" s="324" t="s">
        <v>4271</v>
      </c>
      <c r="J131" s="237">
        <v>2</v>
      </c>
      <c r="K131" s="237">
        <v>1</v>
      </c>
      <c r="L131" s="265" t="s">
        <v>209</v>
      </c>
      <c r="M131" s="266" t="s">
        <v>226</v>
      </c>
      <c r="N131" s="266" t="s">
        <v>227</v>
      </c>
      <c r="O131" s="267" t="s">
        <v>1839</v>
      </c>
      <c r="P131" s="268" t="s">
        <v>1838</v>
      </c>
      <c r="Q131" s="269">
        <v>13880</v>
      </c>
      <c r="R131" s="269">
        <v>136.66999999999999</v>
      </c>
      <c r="S131" s="270"/>
      <c r="T131" s="182">
        <f>40.09/13880</f>
        <v>2.8883285302593663E-3</v>
      </c>
      <c r="U131" s="182">
        <v>1</v>
      </c>
      <c r="V131" s="408" t="s">
        <v>233</v>
      </c>
      <c r="W131" s="357" t="s">
        <v>204</v>
      </c>
      <c r="X131" s="156">
        <v>466200000</v>
      </c>
      <c r="Y131" s="417">
        <v>466200000</v>
      </c>
      <c r="Z131" s="418" t="s">
        <v>359</v>
      </c>
      <c r="AA131" s="271"/>
      <c r="AB131" s="168"/>
      <c r="AC131" s="156"/>
      <c r="AD131" s="156"/>
      <c r="AE131" s="320"/>
      <c r="AF131" s="168"/>
      <c r="AG131" s="156"/>
      <c r="AH131" s="156"/>
      <c r="AI131" s="410"/>
    </row>
    <row r="132" spans="1:35" ht="19.5" customHeight="1">
      <c r="A132" s="137"/>
      <c r="B132" s="197">
        <f t="shared" si="2"/>
        <v>122</v>
      </c>
      <c r="C132" s="30" t="s">
        <v>206</v>
      </c>
      <c r="D132" s="30" t="s">
        <v>225</v>
      </c>
      <c r="E132" s="234" t="s">
        <v>669</v>
      </c>
      <c r="F132" s="235" t="s">
        <v>1226</v>
      </c>
      <c r="G132" s="284" t="str">
        <f>IFERROR(VLOOKUP(E132,Assign!$C$2:$J$142,8,FALSE),)</f>
        <v>문선영</v>
      </c>
      <c r="H132" s="197" t="s">
        <v>4585</v>
      </c>
      <c r="I132" s="324" t="s">
        <v>4586</v>
      </c>
      <c r="J132" s="237">
        <v>1</v>
      </c>
      <c r="K132" s="237">
        <v>1</v>
      </c>
      <c r="L132" s="265" t="s">
        <v>209</v>
      </c>
      <c r="M132" s="266" t="s">
        <v>2121</v>
      </c>
      <c r="N132" s="266" t="s">
        <v>2122</v>
      </c>
      <c r="O132" s="267" t="s">
        <v>2123</v>
      </c>
      <c r="P132" s="268" t="s">
        <v>2124</v>
      </c>
      <c r="Q132" s="269">
        <f>22961.5+892.3</f>
        <v>23853.8</v>
      </c>
      <c r="R132" s="269">
        <v>154.47</v>
      </c>
      <c r="S132" s="270"/>
      <c r="T132" s="182">
        <f>38.77/23853.8</f>
        <v>1.6253175594664164E-3</v>
      </c>
      <c r="U132" s="182">
        <v>1</v>
      </c>
      <c r="V132" s="408">
        <v>1</v>
      </c>
      <c r="W132" s="357" t="s">
        <v>204</v>
      </c>
      <c r="X132" s="156">
        <v>1200000000</v>
      </c>
      <c r="Y132" s="417">
        <v>1200000000</v>
      </c>
      <c r="Z132" s="418" t="s">
        <v>359</v>
      </c>
      <c r="AA132" s="271"/>
      <c r="AB132" s="168"/>
      <c r="AC132" s="156"/>
      <c r="AD132" s="156"/>
      <c r="AE132" s="320"/>
      <c r="AF132" s="168"/>
      <c r="AG132" s="156"/>
      <c r="AH132" s="156"/>
      <c r="AI132" s="410"/>
    </row>
    <row r="133" spans="1:35" ht="19.5" customHeight="1">
      <c r="A133" s="137"/>
      <c r="B133" s="197">
        <f t="shared" si="2"/>
        <v>123</v>
      </c>
      <c r="C133" s="30" t="s">
        <v>206</v>
      </c>
      <c r="D133" s="30" t="s">
        <v>225</v>
      </c>
      <c r="E133" s="234" t="s">
        <v>670</v>
      </c>
      <c r="F133" s="235" t="s">
        <v>1304</v>
      </c>
      <c r="G133" s="284" t="str">
        <f>IFERROR(VLOOKUP(E133,Assign!$C$2:$J$142,8,FALSE),)</f>
        <v>문선영</v>
      </c>
      <c r="H133" s="197" t="s">
        <v>4409</v>
      </c>
      <c r="I133" s="324" t="s">
        <v>4410</v>
      </c>
      <c r="J133" s="237">
        <v>1</v>
      </c>
      <c r="K133" s="237">
        <v>1</v>
      </c>
      <c r="L133" s="265" t="s">
        <v>217</v>
      </c>
      <c r="M133" s="266" t="s">
        <v>1963</v>
      </c>
      <c r="N133" s="266" t="s">
        <v>416</v>
      </c>
      <c r="O133" s="267" t="s">
        <v>1964</v>
      </c>
      <c r="P133" s="268" t="s">
        <v>1965</v>
      </c>
      <c r="Q133" s="269"/>
      <c r="R133" s="269">
        <f>264.37+303.55+192.99+74.05</f>
        <v>834.96</v>
      </c>
      <c r="S133" s="270"/>
      <c r="T133" s="182"/>
      <c r="U133" s="182">
        <v>1</v>
      </c>
      <c r="V133" s="408" t="s">
        <v>229</v>
      </c>
      <c r="W133" s="357" t="s">
        <v>204</v>
      </c>
      <c r="X133" s="156">
        <v>780000000</v>
      </c>
      <c r="Y133" s="417">
        <v>780000000</v>
      </c>
      <c r="Z133" s="418" t="s">
        <v>359</v>
      </c>
      <c r="AA133" s="271"/>
      <c r="AB133" s="168"/>
      <c r="AC133" s="156"/>
      <c r="AD133" s="156"/>
      <c r="AE133" s="320"/>
      <c r="AF133" s="168"/>
      <c r="AG133" s="156"/>
      <c r="AH133" s="156"/>
      <c r="AI133" s="410"/>
    </row>
    <row r="134" spans="1:35" ht="19.5" customHeight="1">
      <c r="A134" s="137"/>
      <c r="B134" s="197">
        <f t="shared" si="2"/>
        <v>124</v>
      </c>
      <c r="C134" s="30" t="s">
        <v>206</v>
      </c>
      <c r="D134" s="30" t="s">
        <v>225</v>
      </c>
      <c r="E134" s="234" t="s">
        <v>670</v>
      </c>
      <c r="F134" s="235" t="s">
        <v>1304</v>
      </c>
      <c r="G134" s="284" t="str">
        <f>IFERROR(VLOOKUP(E134,Assign!$C$2:$J$142,8,FALSE),)</f>
        <v>문선영</v>
      </c>
      <c r="H134" s="197" t="s">
        <v>4409</v>
      </c>
      <c r="I134" s="324" t="s">
        <v>4411</v>
      </c>
      <c r="J134" s="237">
        <v>1</v>
      </c>
      <c r="K134" s="237">
        <v>2</v>
      </c>
      <c r="L134" s="265" t="s">
        <v>217</v>
      </c>
      <c r="M134" s="266" t="s">
        <v>1963</v>
      </c>
      <c r="N134" s="266" t="s">
        <v>416</v>
      </c>
      <c r="O134" s="267" t="s">
        <v>1966</v>
      </c>
      <c r="P134" s="268" t="s">
        <v>450</v>
      </c>
      <c r="Q134" s="269">
        <v>405</v>
      </c>
      <c r="R134" s="269"/>
      <c r="S134" s="270"/>
      <c r="T134" s="182"/>
      <c r="U134" s="182">
        <v>1</v>
      </c>
      <c r="V134" s="408" t="s">
        <v>229</v>
      </c>
      <c r="W134" s="357" t="s">
        <v>204</v>
      </c>
      <c r="X134" s="156">
        <v>780000000</v>
      </c>
      <c r="Y134" s="417">
        <v>780000000</v>
      </c>
      <c r="Z134" s="418" t="s">
        <v>359</v>
      </c>
      <c r="AA134" s="271"/>
      <c r="AB134" s="168"/>
      <c r="AC134" s="156"/>
      <c r="AD134" s="156"/>
      <c r="AE134" s="320"/>
      <c r="AF134" s="168"/>
      <c r="AG134" s="156"/>
      <c r="AH134" s="156"/>
      <c r="AI134" s="410"/>
    </row>
    <row r="135" spans="1:35" ht="19.5" customHeight="1">
      <c r="A135" s="137"/>
      <c r="B135" s="197">
        <f t="shared" si="2"/>
        <v>125</v>
      </c>
      <c r="C135" s="30" t="s">
        <v>206</v>
      </c>
      <c r="D135" s="30" t="s">
        <v>225</v>
      </c>
      <c r="E135" s="234" t="s">
        <v>670</v>
      </c>
      <c r="F135" s="235" t="s">
        <v>1304</v>
      </c>
      <c r="G135" s="284" t="str">
        <f>IFERROR(VLOOKUP(E135,Assign!$C$2:$J$142,8,FALSE),)</f>
        <v>문선영</v>
      </c>
      <c r="H135" s="197" t="s">
        <v>4409</v>
      </c>
      <c r="I135" s="324" t="s">
        <v>4412</v>
      </c>
      <c r="J135" s="237">
        <v>1</v>
      </c>
      <c r="K135" s="237">
        <v>3</v>
      </c>
      <c r="L135" s="265" t="s">
        <v>217</v>
      </c>
      <c r="M135" s="266" t="s">
        <v>1963</v>
      </c>
      <c r="N135" s="266" t="s">
        <v>416</v>
      </c>
      <c r="O135" s="267" t="s">
        <v>1967</v>
      </c>
      <c r="P135" s="268" t="s">
        <v>450</v>
      </c>
      <c r="Q135" s="269">
        <v>104</v>
      </c>
      <c r="R135" s="269"/>
      <c r="S135" s="270"/>
      <c r="T135" s="182"/>
      <c r="U135" s="182">
        <v>1</v>
      </c>
      <c r="V135" s="408" t="s">
        <v>229</v>
      </c>
      <c r="W135" s="357" t="s">
        <v>204</v>
      </c>
      <c r="X135" s="156">
        <v>780000000</v>
      </c>
      <c r="Y135" s="417">
        <v>780000000</v>
      </c>
      <c r="Z135" s="418" t="s">
        <v>359</v>
      </c>
      <c r="AA135" s="271"/>
      <c r="AB135" s="168"/>
      <c r="AC135" s="156"/>
      <c r="AD135" s="156"/>
      <c r="AE135" s="320"/>
      <c r="AF135" s="168"/>
      <c r="AG135" s="156"/>
      <c r="AH135" s="156"/>
      <c r="AI135" s="410"/>
    </row>
    <row r="136" spans="1:35" ht="19.5" hidden="1" customHeight="1">
      <c r="A136" s="137"/>
      <c r="B136" s="197">
        <f t="shared" si="2"/>
        <v>126</v>
      </c>
      <c r="C136" s="30" t="s">
        <v>206</v>
      </c>
      <c r="D136" s="30" t="s">
        <v>225</v>
      </c>
      <c r="E136" s="234" t="s">
        <v>671</v>
      </c>
      <c r="F136" s="235" t="s">
        <v>1227</v>
      </c>
      <c r="G136" s="284">
        <f>IFERROR(VLOOKUP(E136,Assign!$C$2:$J$142,8,FALSE),)</f>
        <v>0</v>
      </c>
      <c r="H136" s="197" t="s">
        <v>5403</v>
      </c>
      <c r="I136" s="324" t="s">
        <v>5404</v>
      </c>
      <c r="J136" s="237">
        <v>1</v>
      </c>
      <c r="K136" s="237">
        <v>1</v>
      </c>
      <c r="L136" s="265" t="s">
        <v>209</v>
      </c>
      <c r="M136" s="266" t="s">
        <v>341</v>
      </c>
      <c r="N136" s="266" t="s">
        <v>342</v>
      </c>
      <c r="O136" s="267" t="s">
        <v>2841</v>
      </c>
      <c r="P136" s="268" t="s">
        <v>1622</v>
      </c>
      <c r="Q136" s="269">
        <v>3041.5</v>
      </c>
      <c r="R136" s="269">
        <f>159.76+49.88</f>
        <v>209.64</v>
      </c>
      <c r="S136" s="270"/>
      <c r="T136" s="182">
        <f>170.26/3041.5</f>
        <v>5.5978957751109649E-2</v>
      </c>
      <c r="U136" s="182">
        <v>1</v>
      </c>
      <c r="V136" s="408" t="s">
        <v>229</v>
      </c>
      <c r="W136" s="357" t="s">
        <v>204</v>
      </c>
      <c r="X136" s="156">
        <v>1150000000</v>
      </c>
      <c r="Y136" s="417">
        <v>1150000000</v>
      </c>
      <c r="Z136" s="418" t="s">
        <v>359</v>
      </c>
      <c r="AA136" s="271"/>
      <c r="AB136" s="168"/>
      <c r="AC136" s="156"/>
      <c r="AD136" s="156"/>
      <c r="AE136" s="320"/>
      <c r="AF136" s="168"/>
      <c r="AG136" s="156"/>
      <c r="AH136" s="156"/>
      <c r="AI136" s="410"/>
    </row>
    <row r="137" spans="1:35" ht="19.5" hidden="1" customHeight="1">
      <c r="A137" s="137"/>
      <c r="B137" s="197">
        <f t="shared" si="2"/>
        <v>127</v>
      </c>
      <c r="C137" s="30" t="s">
        <v>206</v>
      </c>
      <c r="D137" s="30" t="s">
        <v>225</v>
      </c>
      <c r="E137" s="234" t="s">
        <v>672</v>
      </c>
      <c r="F137" s="235" t="s">
        <v>1228</v>
      </c>
      <c r="G137" s="284">
        <f>IFERROR(VLOOKUP(E137,Assign!$C$2:$J$142,8,FALSE),)</f>
        <v>0</v>
      </c>
      <c r="H137" s="197" t="s">
        <v>5172</v>
      </c>
      <c r="I137" s="324" t="s">
        <v>5173</v>
      </c>
      <c r="J137" s="237">
        <v>1</v>
      </c>
      <c r="K137" s="237">
        <v>1</v>
      </c>
      <c r="L137" s="265" t="s">
        <v>214</v>
      </c>
      <c r="M137" s="266" t="s">
        <v>1701</v>
      </c>
      <c r="N137" s="266" t="s">
        <v>2681</v>
      </c>
      <c r="O137" s="267" t="s">
        <v>2682</v>
      </c>
      <c r="P137" s="268" t="s">
        <v>616</v>
      </c>
      <c r="Q137" s="269"/>
      <c r="R137" s="269">
        <v>337.44</v>
      </c>
      <c r="S137" s="270"/>
      <c r="T137" s="182"/>
      <c r="U137" s="182">
        <v>1</v>
      </c>
      <c r="V137" s="408">
        <v>1</v>
      </c>
      <c r="W137" s="357" t="s">
        <v>204</v>
      </c>
      <c r="X137" s="156">
        <v>732000000</v>
      </c>
      <c r="Y137" s="417">
        <v>732000000</v>
      </c>
      <c r="Z137" s="418" t="s">
        <v>359</v>
      </c>
      <c r="AA137" s="271"/>
      <c r="AB137" s="168"/>
      <c r="AC137" s="156"/>
      <c r="AD137" s="156"/>
      <c r="AE137" s="320"/>
      <c r="AF137" s="168"/>
      <c r="AG137" s="156"/>
      <c r="AH137" s="156"/>
      <c r="AI137" s="410"/>
    </row>
    <row r="138" spans="1:35" ht="19.5" hidden="1" customHeight="1">
      <c r="A138" s="137"/>
      <c r="B138" s="197">
        <f t="shared" si="2"/>
        <v>128</v>
      </c>
      <c r="C138" s="30" t="s">
        <v>206</v>
      </c>
      <c r="D138" s="30" t="s">
        <v>225</v>
      </c>
      <c r="E138" s="234" t="s">
        <v>672</v>
      </c>
      <c r="F138" s="235" t="s">
        <v>1228</v>
      </c>
      <c r="G138" s="284">
        <f>IFERROR(VLOOKUP(E138,Assign!$C$2:$J$142,8,FALSE),)</f>
        <v>0</v>
      </c>
      <c r="H138" s="197" t="s">
        <v>5172</v>
      </c>
      <c r="I138" s="324" t="s">
        <v>5174</v>
      </c>
      <c r="J138" s="237">
        <v>1</v>
      </c>
      <c r="K138" s="237">
        <v>2</v>
      </c>
      <c r="L138" s="265" t="s">
        <v>214</v>
      </c>
      <c r="M138" s="266" t="s">
        <v>1701</v>
      </c>
      <c r="N138" s="266" t="s">
        <v>2681</v>
      </c>
      <c r="O138" s="267" t="s">
        <v>2682</v>
      </c>
      <c r="P138" s="268" t="s">
        <v>447</v>
      </c>
      <c r="Q138" s="269">
        <v>846</v>
      </c>
      <c r="R138" s="269"/>
      <c r="S138" s="270"/>
      <c r="T138" s="182"/>
      <c r="U138" s="182">
        <v>1</v>
      </c>
      <c r="V138" s="408">
        <v>1</v>
      </c>
      <c r="W138" s="357" t="s">
        <v>204</v>
      </c>
      <c r="X138" s="156">
        <v>732000000</v>
      </c>
      <c r="Y138" s="417">
        <v>732000000</v>
      </c>
      <c r="Z138" s="418" t="s">
        <v>359</v>
      </c>
      <c r="AA138" s="271"/>
      <c r="AB138" s="168"/>
      <c r="AC138" s="156"/>
      <c r="AD138" s="156"/>
      <c r="AE138" s="320"/>
      <c r="AF138" s="168"/>
      <c r="AG138" s="156"/>
      <c r="AH138" s="156"/>
      <c r="AI138" s="410"/>
    </row>
    <row r="139" spans="1:35" ht="19.5" hidden="1" customHeight="1">
      <c r="A139" s="137"/>
      <c r="B139" s="197">
        <f t="shared" ref="B139:B202" si="3">ROW()-10</f>
        <v>129</v>
      </c>
      <c r="C139" s="30" t="s">
        <v>206</v>
      </c>
      <c r="D139" s="30" t="s">
        <v>225</v>
      </c>
      <c r="E139" s="234" t="s">
        <v>672</v>
      </c>
      <c r="F139" s="235" t="s">
        <v>1228</v>
      </c>
      <c r="G139" s="284">
        <f>IFERROR(VLOOKUP(E139,Assign!$C$2:$J$142,8,FALSE),)</f>
        <v>0</v>
      </c>
      <c r="H139" s="197" t="s">
        <v>5172</v>
      </c>
      <c r="I139" s="324" t="s">
        <v>5175</v>
      </c>
      <c r="J139" s="237">
        <v>1</v>
      </c>
      <c r="K139" s="237">
        <v>3</v>
      </c>
      <c r="L139" s="265" t="s">
        <v>214</v>
      </c>
      <c r="M139" s="266" t="s">
        <v>1701</v>
      </c>
      <c r="N139" s="266" t="s">
        <v>2681</v>
      </c>
      <c r="O139" s="267" t="s">
        <v>2683</v>
      </c>
      <c r="P139" s="268" t="s">
        <v>2684</v>
      </c>
      <c r="Q139" s="269"/>
      <c r="R139" s="269">
        <f>392+382.82</f>
        <v>774.81999999999994</v>
      </c>
      <c r="S139" s="270"/>
      <c r="T139" s="182"/>
      <c r="U139" s="182">
        <v>1</v>
      </c>
      <c r="V139" s="408">
        <v>1</v>
      </c>
      <c r="W139" s="357" t="s">
        <v>204</v>
      </c>
      <c r="X139" s="156">
        <v>732000000</v>
      </c>
      <c r="Y139" s="417">
        <v>732000000</v>
      </c>
      <c r="Z139" s="418" t="s">
        <v>359</v>
      </c>
      <c r="AA139" s="271"/>
      <c r="AB139" s="168"/>
      <c r="AC139" s="156"/>
      <c r="AD139" s="156"/>
      <c r="AE139" s="320"/>
      <c r="AF139" s="168"/>
      <c r="AG139" s="156"/>
      <c r="AH139" s="156"/>
      <c r="AI139" s="410"/>
    </row>
    <row r="140" spans="1:35" ht="19.5" hidden="1" customHeight="1">
      <c r="A140" s="137"/>
      <c r="B140" s="197">
        <f t="shared" si="3"/>
        <v>130</v>
      </c>
      <c r="C140" s="30" t="s">
        <v>206</v>
      </c>
      <c r="D140" s="30" t="s">
        <v>225</v>
      </c>
      <c r="E140" s="234" t="s">
        <v>672</v>
      </c>
      <c r="F140" s="235" t="s">
        <v>1228</v>
      </c>
      <c r="G140" s="284">
        <f>IFERROR(VLOOKUP(E140,Assign!$C$2:$J$142,8,FALSE),)</f>
        <v>0</v>
      </c>
      <c r="H140" s="197" t="s">
        <v>5172</v>
      </c>
      <c r="I140" s="324" t="s">
        <v>5176</v>
      </c>
      <c r="J140" s="237">
        <v>1</v>
      </c>
      <c r="K140" s="237">
        <v>4</v>
      </c>
      <c r="L140" s="265" t="s">
        <v>214</v>
      </c>
      <c r="M140" s="266" t="s">
        <v>1701</v>
      </c>
      <c r="N140" s="266" t="s">
        <v>2681</v>
      </c>
      <c r="O140" s="267" t="s">
        <v>2683</v>
      </c>
      <c r="P140" s="268" t="s">
        <v>450</v>
      </c>
      <c r="Q140" s="269">
        <v>999</v>
      </c>
      <c r="R140" s="269"/>
      <c r="S140" s="270"/>
      <c r="T140" s="182"/>
      <c r="U140" s="182">
        <v>1</v>
      </c>
      <c r="V140" s="408">
        <v>1</v>
      </c>
      <c r="W140" s="357" t="s">
        <v>204</v>
      </c>
      <c r="X140" s="156">
        <v>732000000</v>
      </c>
      <c r="Y140" s="417">
        <v>732000000</v>
      </c>
      <c r="Z140" s="418" t="s">
        <v>359</v>
      </c>
      <c r="AA140" s="271"/>
      <c r="AB140" s="168"/>
      <c r="AC140" s="156"/>
      <c r="AD140" s="156"/>
      <c r="AE140" s="320"/>
      <c r="AF140" s="168"/>
      <c r="AG140" s="156"/>
      <c r="AH140" s="156"/>
      <c r="AI140" s="410"/>
    </row>
    <row r="141" spans="1:35" ht="19.5" hidden="1" customHeight="1">
      <c r="A141" s="137"/>
      <c r="B141" s="197">
        <f t="shared" si="3"/>
        <v>131</v>
      </c>
      <c r="C141" s="30" t="s">
        <v>206</v>
      </c>
      <c r="D141" s="30" t="s">
        <v>225</v>
      </c>
      <c r="E141" s="234" t="s">
        <v>673</v>
      </c>
      <c r="F141" s="235" t="s">
        <v>1229</v>
      </c>
      <c r="G141" s="284">
        <f>IFERROR(VLOOKUP(E141,Assign!$C$2:$J$142,8,FALSE),)</f>
        <v>0</v>
      </c>
      <c r="H141" s="197" t="s">
        <v>4069</v>
      </c>
      <c r="I141" s="324" t="s">
        <v>4070</v>
      </c>
      <c r="J141" s="237">
        <v>1</v>
      </c>
      <c r="K141" s="237">
        <v>1</v>
      </c>
      <c r="L141" s="265" t="s">
        <v>208</v>
      </c>
      <c r="M141" s="266" t="s">
        <v>244</v>
      </c>
      <c r="N141" s="266" t="s">
        <v>278</v>
      </c>
      <c r="O141" s="267" t="s">
        <v>1644</v>
      </c>
      <c r="P141" s="268" t="s">
        <v>1645</v>
      </c>
      <c r="Q141" s="269">
        <f>9225.6+29487.4</f>
        <v>38713</v>
      </c>
      <c r="R141" s="269">
        <v>60.63</v>
      </c>
      <c r="S141" s="270"/>
      <c r="T141" s="182">
        <f>15.456/38713</f>
        <v>3.9924573140805413E-4</v>
      </c>
      <c r="U141" s="182">
        <v>1</v>
      </c>
      <c r="V141" s="408">
        <v>1</v>
      </c>
      <c r="W141" s="357" t="s">
        <v>204</v>
      </c>
      <c r="X141" s="156">
        <v>851000000</v>
      </c>
      <c r="Y141" s="417">
        <v>851000000</v>
      </c>
      <c r="Z141" s="418" t="s">
        <v>359</v>
      </c>
      <c r="AA141" s="271"/>
      <c r="AB141" s="168"/>
      <c r="AC141" s="156"/>
      <c r="AD141" s="156"/>
      <c r="AE141" s="320"/>
      <c r="AF141" s="168"/>
      <c r="AG141" s="156"/>
      <c r="AH141" s="156"/>
      <c r="AI141" s="410"/>
    </row>
    <row r="142" spans="1:35" ht="19.5" hidden="1" customHeight="1">
      <c r="A142" s="137"/>
      <c r="B142" s="197">
        <f t="shared" si="3"/>
        <v>132</v>
      </c>
      <c r="C142" s="30" t="s">
        <v>206</v>
      </c>
      <c r="D142" s="30" t="s">
        <v>225</v>
      </c>
      <c r="E142" s="234" t="s">
        <v>673</v>
      </c>
      <c r="F142" s="235" t="s">
        <v>1229</v>
      </c>
      <c r="G142" s="284">
        <f>IFERROR(VLOOKUP(E142,Assign!$C$2:$J$142,8,FALSE),)</f>
        <v>0</v>
      </c>
      <c r="H142" s="197" t="s">
        <v>4071</v>
      </c>
      <c r="I142" s="324" t="s">
        <v>4072</v>
      </c>
      <c r="J142" s="237">
        <v>2</v>
      </c>
      <c r="K142" s="237">
        <v>1</v>
      </c>
      <c r="L142" s="265" t="s">
        <v>208</v>
      </c>
      <c r="M142" s="266" t="s">
        <v>234</v>
      </c>
      <c r="N142" s="266" t="s">
        <v>1646</v>
      </c>
      <c r="O142" s="267" t="s">
        <v>1647</v>
      </c>
      <c r="P142" s="268" t="s">
        <v>1612</v>
      </c>
      <c r="Q142" s="269">
        <v>66824</v>
      </c>
      <c r="R142" s="269">
        <v>84.912999999999997</v>
      </c>
      <c r="S142" s="270"/>
      <c r="T142" s="182">
        <f>45.022/66824</f>
        <v>6.7373997366215732E-4</v>
      </c>
      <c r="U142" s="182">
        <v>1</v>
      </c>
      <c r="V142" s="408">
        <v>1</v>
      </c>
      <c r="W142" s="357" t="s">
        <v>204</v>
      </c>
      <c r="X142" s="156">
        <v>229000000</v>
      </c>
      <c r="Y142" s="417">
        <v>229000000</v>
      </c>
      <c r="Z142" s="418" t="s">
        <v>359</v>
      </c>
      <c r="AA142" s="271"/>
      <c r="AB142" s="168"/>
      <c r="AC142" s="156"/>
      <c r="AD142" s="156"/>
      <c r="AE142" s="320"/>
      <c r="AF142" s="168"/>
      <c r="AG142" s="156"/>
      <c r="AH142" s="156"/>
      <c r="AI142" s="410"/>
    </row>
    <row r="143" spans="1:35" ht="19.5" hidden="1" customHeight="1">
      <c r="A143" s="137"/>
      <c r="B143" s="197">
        <f t="shared" si="3"/>
        <v>133</v>
      </c>
      <c r="C143" s="30" t="s">
        <v>206</v>
      </c>
      <c r="D143" s="30" t="s">
        <v>225</v>
      </c>
      <c r="E143" s="234" t="s">
        <v>674</v>
      </c>
      <c r="F143" s="235" t="s">
        <v>1225</v>
      </c>
      <c r="G143" s="284">
        <f>IFERROR(VLOOKUP(E143,Assign!$C$2:$J$142,8,FALSE),)</f>
        <v>0</v>
      </c>
      <c r="H143" s="197" t="s">
        <v>4839</v>
      </c>
      <c r="I143" s="324" t="s">
        <v>4840</v>
      </c>
      <c r="J143" s="237">
        <v>1</v>
      </c>
      <c r="K143" s="237">
        <v>1</v>
      </c>
      <c r="L143" s="265" t="s">
        <v>222</v>
      </c>
      <c r="M143" s="266" t="s">
        <v>289</v>
      </c>
      <c r="N143" s="266" t="s">
        <v>2368</v>
      </c>
      <c r="O143" s="267" t="s">
        <v>2369</v>
      </c>
      <c r="P143" s="268" t="s">
        <v>2370</v>
      </c>
      <c r="Q143" s="269">
        <v>14162.2</v>
      </c>
      <c r="R143" s="269">
        <v>76.882499999999993</v>
      </c>
      <c r="S143" s="270"/>
      <c r="T143" s="182">
        <f>20.1006/14162.2</f>
        <v>1.4193133835138608E-3</v>
      </c>
      <c r="U143" s="182">
        <v>1</v>
      </c>
      <c r="V143" s="408" t="s">
        <v>233</v>
      </c>
      <c r="W143" s="357" t="s">
        <v>204</v>
      </c>
      <c r="X143" s="156">
        <v>708000000</v>
      </c>
      <c r="Y143" s="417">
        <v>708000000</v>
      </c>
      <c r="Z143" s="418" t="s">
        <v>359</v>
      </c>
      <c r="AA143" s="271"/>
      <c r="AB143" s="168"/>
      <c r="AC143" s="156"/>
      <c r="AD143" s="156"/>
      <c r="AE143" s="320"/>
      <c r="AF143" s="168"/>
      <c r="AG143" s="156"/>
      <c r="AH143" s="156"/>
      <c r="AI143" s="410"/>
    </row>
    <row r="144" spans="1:35" ht="19.5" hidden="1" customHeight="1">
      <c r="A144" s="137"/>
      <c r="B144" s="197">
        <f t="shared" si="3"/>
        <v>134</v>
      </c>
      <c r="C144" s="30" t="s">
        <v>206</v>
      </c>
      <c r="D144" s="30" t="s">
        <v>225</v>
      </c>
      <c r="E144" s="234" t="s">
        <v>674</v>
      </c>
      <c r="F144" s="235" t="s">
        <v>1225</v>
      </c>
      <c r="G144" s="284">
        <f>IFERROR(VLOOKUP(E144,Assign!$C$2:$J$142,8,FALSE),)</f>
        <v>0</v>
      </c>
      <c r="H144" s="197" t="s">
        <v>4841</v>
      </c>
      <c r="I144" s="324" t="s">
        <v>4842</v>
      </c>
      <c r="J144" s="237">
        <v>2</v>
      </c>
      <c r="K144" s="237">
        <v>1</v>
      </c>
      <c r="L144" s="265" t="s">
        <v>222</v>
      </c>
      <c r="M144" s="266" t="s">
        <v>289</v>
      </c>
      <c r="N144" s="266" t="s">
        <v>2368</v>
      </c>
      <c r="O144" s="267" t="s">
        <v>2371</v>
      </c>
      <c r="P144" s="268" t="s">
        <v>2370</v>
      </c>
      <c r="Q144" s="269">
        <v>14162.2</v>
      </c>
      <c r="R144" s="269">
        <v>94.746399999999994</v>
      </c>
      <c r="S144" s="270"/>
      <c r="T144" s="182">
        <f>24.7711/14162.2</f>
        <v>1.7490997161457966E-3</v>
      </c>
      <c r="U144" s="182">
        <v>1</v>
      </c>
      <c r="V144" s="408" t="s">
        <v>268</v>
      </c>
      <c r="W144" s="357" t="s">
        <v>204</v>
      </c>
      <c r="X144" s="156">
        <v>669600000</v>
      </c>
      <c r="Y144" s="417">
        <v>669600000</v>
      </c>
      <c r="Z144" s="418" t="s">
        <v>359</v>
      </c>
      <c r="AA144" s="271"/>
      <c r="AB144" s="168"/>
      <c r="AC144" s="156"/>
      <c r="AD144" s="156"/>
      <c r="AE144" s="320"/>
      <c r="AF144" s="168"/>
      <c r="AG144" s="156"/>
      <c r="AH144" s="156"/>
      <c r="AI144" s="410"/>
    </row>
    <row r="145" spans="1:35" ht="19.5" hidden="1" customHeight="1">
      <c r="A145" s="137"/>
      <c r="B145" s="197">
        <f t="shared" si="3"/>
        <v>135</v>
      </c>
      <c r="C145" s="30" t="s">
        <v>206</v>
      </c>
      <c r="D145" s="30" t="s">
        <v>225</v>
      </c>
      <c r="E145" s="234" t="s">
        <v>675</v>
      </c>
      <c r="F145" s="235" t="s">
        <v>1226</v>
      </c>
      <c r="G145" s="284">
        <f>IFERROR(VLOOKUP(E145,Assign!$C$2:$J$142,8,FALSE),)</f>
        <v>0</v>
      </c>
      <c r="H145" s="197" t="s">
        <v>5410</v>
      </c>
      <c r="I145" s="324" t="s">
        <v>5411</v>
      </c>
      <c r="J145" s="237">
        <v>1</v>
      </c>
      <c r="K145" s="237">
        <v>1</v>
      </c>
      <c r="L145" s="265" t="s">
        <v>208</v>
      </c>
      <c r="M145" s="266" t="s">
        <v>244</v>
      </c>
      <c r="N145" s="266" t="s">
        <v>278</v>
      </c>
      <c r="O145" s="267" t="s">
        <v>2882</v>
      </c>
      <c r="P145" s="268" t="s">
        <v>2883</v>
      </c>
      <c r="Q145" s="269">
        <v>36987</v>
      </c>
      <c r="R145" s="269">
        <v>34</v>
      </c>
      <c r="S145" s="270"/>
      <c r="T145" s="182">
        <f>13.9564/36987</f>
        <v>3.7733257631059563E-4</v>
      </c>
      <c r="U145" s="182">
        <v>1</v>
      </c>
      <c r="V145" s="408">
        <v>1</v>
      </c>
      <c r="W145" s="357" t="s">
        <v>204</v>
      </c>
      <c r="X145" s="156">
        <v>1056000000</v>
      </c>
      <c r="Y145" s="417">
        <v>1056000000</v>
      </c>
      <c r="Z145" s="418" t="s">
        <v>359</v>
      </c>
      <c r="AA145" s="271"/>
      <c r="AB145" s="168"/>
      <c r="AC145" s="156"/>
      <c r="AD145" s="156"/>
      <c r="AE145" s="320"/>
      <c r="AF145" s="168"/>
      <c r="AG145" s="156"/>
      <c r="AH145" s="156"/>
      <c r="AI145" s="410"/>
    </row>
    <row r="146" spans="1:35" ht="19.5" hidden="1" customHeight="1">
      <c r="A146" s="137"/>
      <c r="B146" s="197">
        <f t="shared" si="3"/>
        <v>136</v>
      </c>
      <c r="C146" s="30" t="s">
        <v>206</v>
      </c>
      <c r="D146" s="30" t="s">
        <v>225</v>
      </c>
      <c r="E146" s="234" t="s">
        <v>676</v>
      </c>
      <c r="F146" s="235" t="s">
        <v>1217</v>
      </c>
      <c r="G146" s="284">
        <f>IFERROR(VLOOKUP(E146,Assign!$C$2:$J$142,8,FALSE),)</f>
        <v>0</v>
      </c>
      <c r="H146" s="197" t="s">
        <v>3952</v>
      </c>
      <c r="I146" s="324" t="s">
        <v>3953</v>
      </c>
      <c r="J146" s="237">
        <v>1</v>
      </c>
      <c r="K146" s="237">
        <v>1</v>
      </c>
      <c r="L146" s="265" t="s">
        <v>208</v>
      </c>
      <c r="M146" s="266" t="s">
        <v>280</v>
      </c>
      <c r="N146" s="266" t="s">
        <v>1527</v>
      </c>
      <c r="O146" s="267" t="s">
        <v>1528</v>
      </c>
      <c r="P146" s="268" t="s">
        <v>471</v>
      </c>
      <c r="Q146" s="269"/>
      <c r="R146" s="269">
        <f>328.88+328.88</f>
        <v>657.76</v>
      </c>
      <c r="S146" s="270"/>
      <c r="T146" s="182"/>
      <c r="U146" s="182">
        <v>1</v>
      </c>
      <c r="V146" s="408">
        <v>2</v>
      </c>
      <c r="W146" s="357" t="s">
        <v>204</v>
      </c>
      <c r="X146" s="156">
        <v>120000000</v>
      </c>
      <c r="Y146" s="417">
        <v>120000000</v>
      </c>
      <c r="Z146" s="418" t="s">
        <v>359</v>
      </c>
      <c r="AA146" s="271">
        <v>1</v>
      </c>
      <c r="AB146" s="168" t="s">
        <v>3206</v>
      </c>
      <c r="AC146" s="156">
        <v>1200000000</v>
      </c>
      <c r="AD146" s="156">
        <v>1200000000</v>
      </c>
      <c r="AE146" s="320"/>
      <c r="AF146" s="168"/>
      <c r="AG146" s="156"/>
      <c r="AH146" s="156"/>
      <c r="AI146" s="410"/>
    </row>
    <row r="147" spans="1:35" ht="19.5" hidden="1" customHeight="1">
      <c r="A147" s="137"/>
      <c r="B147" s="197">
        <f t="shared" si="3"/>
        <v>137</v>
      </c>
      <c r="C147" s="30" t="s">
        <v>206</v>
      </c>
      <c r="D147" s="30" t="s">
        <v>225</v>
      </c>
      <c r="E147" s="234" t="s">
        <v>676</v>
      </c>
      <c r="F147" s="235" t="s">
        <v>1217</v>
      </c>
      <c r="G147" s="284">
        <f>IFERROR(VLOOKUP(E147,Assign!$C$2:$J$142,8,FALSE),)</f>
        <v>0</v>
      </c>
      <c r="H147" s="197" t="s">
        <v>3952</v>
      </c>
      <c r="I147" s="324" t="s">
        <v>3954</v>
      </c>
      <c r="J147" s="237">
        <v>1</v>
      </c>
      <c r="K147" s="237">
        <v>2</v>
      </c>
      <c r="L147" s="265" t="s">
        <v>208</v>
      </c>
      <c r="M147" s="266" t="s">
        <v>280</v>
      </c>
      <c r="N147" s="266" t="s">
        <v>1527</v>
      </c>
      <c r="O147" s="267" t="s">
        <v>1528</v>
      </c>
      <c r="P147" s="268" t="s">
        <v>450</v>
      </c>
      <c r="Q147" s="269">
        <v>1171</v>
      </c>
      <c r="R147" s="269"/>
      <c r="S147" s="270"/>
      <c r="T147" s="182"/>
      <c r="U147" s="182">
        <v>1</v>
      </c>
      <c r="V147" s="408">
        <v>2</v>
      </c>
      <c r="W147" s="357" t="s">
        <v>204</v>
      </c>
      <c r="X147" s="156">
        <v>120000000</v>
      </c>
      <c r="Y147" s="417">
        <v>120000000</v>
      </c>
      <c r="Z147" s="418" t="s">
        <v>359</v>
      </c>
      <c r="AA147" s="271">
        <v>1</v>
      </c>
      <c r="AB147" s="168" t="s">
        <v>3206</v>
      </c>
      <c r="AC147" s="156">
        <v>1200000000</v>
      </c>
      <c r="AD147" s="156">
        <v>1200000000</v>
      </c>
      <c r="AE147" s="320"/>
      <c r="AF147" s="168"/>
      <c r="AG147" s="156"/>
      <c r="AH147" s="156"/>
      <c r="AI147" s="410"/>
    </row>
    <row r="148" spans="1:35" ht="19.5" hidden="1" customHeight="1">
      <c r="A148" s="137"/>
      <c r="B148" s="197">
        <f t="shared" si="3"/>
        <v>138</v>
      </c>
      <c r="C148" s="30" t="s">
        <v>206</v>
      </c>
      <c r="D148" s="30" t="s">
        <v>225</v>
      </c>
      <c r="E148" s="234" t="s">
        <v>676</v>
      </c>
      <c r="F148" s="235" t="s">
        <v>1217</v>
      </c>
      <c r="G148" s="284">
        <f>IFERROR(VLOOKUP(E148,Assign!$C$2:$J$142,8,FALSE),)</f>
        <v>0</v>
      </c>
      <c r="H148" s="197" t="s">
        <v>3952</v>
      </c>
      <c r="I148" s="324" t="s">
        <v>3955</v>
      </c>
      <c r="J148" s="237">
        <v>1</v>
      </c>
      <c r="K148" s="237">
        <v>3</v>
      </c>
      <c r="L148" s="265" t="s">
        <v>208</v>
      </c>
      <c r="M148" s="266" t="s">
        <v>280</v>
      </c>
      <c r="N148" s="266" t="s">
        <v>1527</v>
      </c>
      <c r="O148" s="267" t="s">
        <v>1529</v>
      </c>
      <c r="P148" s="268" t="s">
        <v>1530</v>
      </c>
      <c r="Q148" s="269"/>
      <c r="R148" s="269">
        <f>72.75+26.88</f>
        <v>99.63</v>
      </c>
      <c r="S148" s="270"/>
      <c r="T148" s="182"/>
      <c r="U148" s="182">
        <v>1</v>
      </c>
      <c r="V148" s="408">
        <v>2</v>
      </c>
      <c r="W148" s="357" t="s">
        <v>204</v>
      </c>
      <c r="X148" s="156">
        <v>120000000</v>
      </c>
      <c r="Y148" s="417">
        <v>120000000</v>
      </c>
      <c r="Z148" s="418" t="s">
        <v>359</v>
      </c>
      <c r="AA148" s="271">
        <v>1</v>
      </c>
      <c r="AB148" s="168" t="s">
        <v>3206</v>
      </c>
      <c r="AC148" s="156">
        <v>1200000000</v>
      </c>
      <c r="AD148" s="156">
        <v>1200000000</v>
      </c>
      <c r="AE148" s="320"/>
      <c r="AF148" s="168"/>
      <c r="AG148" s="156"/>
      <c r="AH148" s="156"/>
      <c r="AI148" s="410"/>
    </row>
    <row r="149" spans="1:35" ht="19.5" hidden="1" customHeight="1">
      <c r="A149" s="137"/>
      <c r="B149" s="197">
        <f t="shared" si="3"/>
        <v>139</v>
      </c>
      <c r="C149" s="30" t="s">
        <v>206</v>
      </c>
      <c r="D149" s="30" t="s">
        <v>225</v>
      </c>
      <c r="E149" s="234" t="s">
        <v>676</v>
      </c>
      <c r="F149" s="235" t="s">
        <v>1217</v>
      </c>
      <c r="G149" s="284">
        <f>IFERROR(VLOOKUP(E149,Assign!$C$2:$J$142,8,FALSE),)</f>
        <v>0</v>
      </c>
      <c r="H149" s="197" t="s">
        <v>3952</v>
      </c>
      <c r="I149" s="324" t="s">
        <v>3956</v>
      </c>
      <c r="J149" s="237">
        <v>1</v>
      </c>
      <c r="K149" s="237">
        <v>4</v>
      </c>
      <c r="L149" s="265" t="s">
        <v>208</v>
      </c>
      <c r="M149" s="266" t="s">
        <v>280</v>
      </c>
      <c r="N149" s="266" t="s">
        <v>1527</v>
      </c>
      <c r="O149" s="267" t="s">
        <v>1531</v>
      </c>
      <c r="P149" s="268" t="s">
        <v>1532</v>
      </c>
      <c r="Q149" s="269">
        <v>221</v>
      </c>
      <c r="R149" s="269"/>
      <c r="S149" s="270"/>
      <c r="T149" s="182"/>
      <c r="U149" s="182">
        <v>1</v>
      </c>
      <c r="V149" s="408">
        <v>2</v>
      </c>
      <c r="W149" s="357" t="s">
        <v>204</v>
      </c>
      <c r="X149" s="156">
        <v>120000000</v>
      </c>
      <c r="Y149" s="417">
        <v>120000000</v>
      </c>
      <c r="Z149" s="418" t="s">
        <v>359</v>
      </c>
      <c r="AA149" s="271">
        <v>1</v>
      </c>
      <c r="AB149" s="168" t="s">
        <v>3206</v>
      </c>
      <c r="AC149" s="156">
        <v>1200000000</v>
      </c>
      <c r="AD149" s="156">
        <v>1200000000</v>
      </c>
      <c r="AE149" s="320"/>
      <c r="AF149" s="168"/>
      <c r="AG149" s="156"/>
      <c r="AH149" s="156"/>
      <c r="AI149" s="410"/>
    </row>
    <row r="150" spans="1:35" ht="19.5" hidden="1" customHeight="1">
      <c r="A150" s="137"/>
      <c r="B150" s="197">
        <f t="shared" si="3"/>
        <v>140</v>
      </c>
      <c r="C150" s="30" t="s">
        <v>206</v>
      </c>
      <c r="D150" s="30" t="s">
        <v>225</v>
      </c>
      <c r="E150" s="234" t="s">
        <v>676</v>
      </c>
      <c r="F150" s="235" t="s">
        <v>1217</v>
      </c>
      <c r="G150" s="284">
        <f>IFERROR(VLOOKUP(E150,Assign!$C$2:$J$142,8,FALSE),)</f>
        <v>0</v>
      </c>
      <c r="H150" s="197" t="s">
        <v>3952</v>
      </c>
      <c r="I150" s="324" t="s">
        <v>3957</v>
      </c>
      <c r="J150" s="237">
        <v>1</v>
      </c>
      <c r="K150" s="237">
        <v>5</v>
      </c>
      <c r="L150" s="265" t="s">
        <v>208</v>
      </c>
      <c r="M150" s="266" t="s">
        <v>280</v>
      </c>
      <c r="N150" s="266" t="s">
        <v>1527</v>
      </c>
      <c r="O150" s="267" t="s">
        <v>1533</v>
      </c>
      <c r="P150" s="268" t="s">
        <v>1532</v>
      </c>
      <c r="Q150" s="269">
        <v>595</v>
      </c>
      <c r="R150" s="269"/>
      <c r="S150" s="270"/>
      <c r="T150" s="182"/>
      <c r="U150" s="182">
        <v>1</v>
      </c>
      <c r="V150" s="408">
        <v>2</v>
      </c>
      <c r="W150" s="357" t="s">
        <v>204</v>
      </c>
      <c r="X150" s="156">
        <v>120000000</v>
      </c>
      <c r="Y150" s="417">
        <v>120000000</v>
      </c>
      <c r="Z150" s="418" t="s">
        <v>359</v>
      </c>
      <c r="AA150" s="271">
        <v>1</v>
      </c>
      <c r="AB150" s="168" t="s">
        <v>3206</v>
      </c>
      <c r="AC150" s="156">
        <v>1200000000</v>
      </c>
      <c r="AD150" s="156">
        <v>1200000000</v>
      </c>
      <c r="AE150" s="320"/>
      <c r="AF150" s="168"/>
      <c r="AG150" s="156"/>
      <c r="AH150" s="156"/>
      <c r="AI150" s="410"/>
    </row>
    <row r="151" spans="1:35" ht="19.5" hidden="1" customHeight="1">
      <c r="A151" s="137"/>
      <c r="B151" s="197">
        <f t="shared" si="3"/>
        <v>141</v>
      </c>
      <c r="C151" s="30" t="s">
        <v>206</v>
      </c>
      <c r="D151" s="30" t="s">
        <v>225</v>
      </c>
      <c r="E151" s="234" t="s">
        <v>676</v>
      </c>
      <c r="F151" s="235" t="s">
        <v>1217</v>
      </c>
      <c r="G151" s="284">
        <f>IFERROR(VLOOKUP(E151,Assign!$C$2:$J$142,8,FALSE),)</f>
        <v>0</v>
      </c>
      <c r="H151" s="197" t="s">
        <v>3952</v>
      </c>
      <c r="I151" s="324" t="s">
        <v>3958</v>
      </c>
      <c r="J151" s="237">
        <v>1</v>
      </c>
      <c r="K151" s="237">
        <v>6</v>
      </c>
      <c r="L151" s="265" t="s">
        <v>208</v>
      </c>
      <c r="M151" s="266" t="s">
        <v>280</v>
      </c>
      <c r="N151" s="266" t="s">
        <v>1527</v>
      </c>
      <c r="O151" s="267" t="s">
        <v>1534</v>
      </c>
      <c r="P151" s="268" t="s">
        <v>450</v>
      </c>
      <c r="Q151" s="269">
        <v>7</v>
      </c>
      <c r="R151" s="269"/>
      <c r="S151" s="270"/>
      <c r="T151" s="182"/>
      <c r="U151" s="182">
        <v>1</v>
      </c>
      <c r="V151" s="408">
        <v>2</v>
      </c>
      <c r="W151" s="357" t="s">
        <v>204</v>
      </c>
      <c r="X151" s="156">
        <v>120000000</v>
      </c>
      <c r="Y151" s="417">
        <v>120000000</v>
      </c>
      <c r="Z151" s="418" t="s">
        <v>359</v>
      </c>
      <c r="AA151" s="271">
        <v>1</v>
      </c>
      <c r="AB151" s="168" t="s">
        <v>3206</v>
      </c>
      <c r="AC151" s="156">
        <v>1200000000</v>
      </c>
      <c r="AD151" s="156">
        <v>1200000000</v>
      </c>
      <c r="AE151" s="320"/>
      <c r="AF151" s="168"/>
      <c r="AG151" s="156"/>
      <c r="AH151" s="156"/>
      <c r="AI151" s="410"/>
    </row>
    <row r="152" spans="1:35" ht="19.5" hidden="1" customHeight="1">
      <c r="A152" s="137"/>
      <c r="B152" s="197">
        <f t="shared" si="3"/>
        <v>142</v>
      </c>
      <c r="C152" s="30" t="s">
        <v>206</v>
      </c>
      <c r="D152" s="30" t="s">
        <v>225</v>
      </c>
      <c r="E152" s="234" t="s">
        <v>676</v>
      </c>
      <c r="F152" s="235" t="s">
        <v>1217</v>
      </c>
      <c r="G152" s="284">
        <f>IFERROR(VLOOKUP(E152,Assign!$C$2:$J$142,8,FALSE),)</f>
        <v>0</v>
      </c>
      <c r="H152" s="197" t="s">
        <v>3959</v>
      </c>
      <c r="I152" s="324" t="s">
        <v>3960</v>
      </c>
      <c r="J152" s="237">
        <v>2</v>
      </c>
      <c r="K152" s="237">
        <v>1</v>
      </c>
      <c r="L152" s="265" t="s">
        <v>209</v>
      </c>
      <c r="M152" s="266" t="s">
        <v>286</v>
      </c>
      <c r="N152" s="266" t="s">
        <v>483</v>
      </c>
      <c r="O152" s="267" t="s">
        <v>1535</v>
      </c>
      <c r="P152" s="268" t="s">
        <v>434</v>
      </c>
      <c r="Q152" s="269">
        <v>51768.3</v>
      </c>
      <c r="R152" s="269">
        <v>136.9</v>
      </c>
      <c r="S152" s="270"/>
      <c r="T152" s="182">
        <f>76/51768.6</f>
        <v>1.4680713791757939E-3</v>
      </c>
      <c r="U152" s="182">
        <v>1</v>
      </c>
      <c r="V152" s="408">
        <v>1</v>
      </c>
      <c r="W152" s="357" t="s">
        <v>204</v>
      </c>
      <c r="X152" s="156">
        <v>913000000</v>
      </c>
      <c r="Y152" s="417">
        <v>913000000</v>
      </c>
      <c r="Z152" s="418" t="s">
        <v>359</v>
      </c>
      <c r="AA152" s="271"/>
      <c r="AB152" s="168"/>
      <c r="AC152" s="156"/>
      <c r="AD152" s="156"/>
      <c r="AE152" s="320"/>
      <c r="AF152" s="168"/>
      <c r="AG152" s="156"/>
      <c r="AH152" s="156"/>
      <c r="AI152" s="410"/>
    </row>
    <row r="153" spans="1:35" ht="19.5" hidden="1" customHeight="1">
      <c r="A153" s="137"/>
      <c r="B153" s="197">
        <f t="shared" si="3"/>
        <v>143</v>
      </c>
      <c r="C153" s="30" t="s">
        <v>206</v>
      </c>
      <c r="D153" s="30" t="s">
        <v>225</v>
      </c>
      <c r="E153" s="234" t="s">
        <v>677</v>
      </c>
      <c r="F153" s="235" t="s">
        <v>1221</v>
      </c>
      <c r="G153" s="284">
        <f>IFERROR(VLOOKUP(E153,Assign!$C$2:$J$142,8,FALSE),)</f>
        <v>0</v>
      </c>
      <c r="H153" s="29" t="s">
        <v>3871</v>
      </c>
      <c r="I153" s="359" t="s">
        <v>3872</v>
      </c>
      <c r="J153" s="251">
        <v>1</v>
      </c>
      <c r="K153" s="251">
        <v>1</v>
      </c>
      <c r="L153" s="265" t="s">
        <v>209</v>
      </c>
      <c r="M153" s="266" t="s">
        <v>226</v>
      </c>
      <c r="N153" s="266" t="s">
        <v>1436</v>
      </c>
      <c r="O153" s="267" t="s">
        <v>1437</v>
      </c>
      <c r="P153" s="268" t="s">
        <v>1438</v>
      </c>
      <c r="Q153" s="269"/>
      <c r="R153" s="269">
        <f>11.88+95.96+70.94+70.94+70.94+11.88</f>
        <v>332.53999999999996</v>
      </c>
      <c r="S153" s="270"/>
      <c r="T153" s="182"/>
      <c r="U153" s="182">
        <v>1</v>
      </c>
      <c r="V153" s="408" t="s">
        <v>229</v>
      </c>
      <c r="W153" s="357" t="s">
        <v>204</v>
      </c>
      <c r="X153" s="156">
        <v>1056000000</v>
      </c>
      <c r="Y153" s="417">
        <v>1056000000</v>
      </c>
      <c r="Z153" s="418" t="s">
        <v>3861</v>
      </c>
      <c r="AA153" s="271"/>
      <c r="AB153" s="168"/>
      <c r="AC153" s="156"/>
      <c r="AD153" s="156"/>
      <c r="AE153" s="320"/>
      <c r="AF153" s="168"/>
      <c r="AG153" s="156"/>
      <c r="AH153" s="156"/>
      <c r="AI153" s="409"/>
    </row>
    <row r="154" spans="1:35" ht="19.5" hidden="1" customHeight="1">
      <c r="A154" s="137"/>
      <c r="B154" s="197">
        <f t="shared" si="3"/>
        <v>144</v>
      </c>
      <c r="C154" s="30" t="s">
        <v>206</v>
      </c>
      <c r="D154" s="30" t="s">
        <v>225</v>
      </c>
      <c r="E154" s="234" t="s">
        <v>677</v>
      </c>
      <c r="F154" s="235" t="s">
        <v>1221</v>
      </c>
      <c r="G154" s="284">
        <f>IFERROR(VLOOKUP(E154,Assign!$C$2:$J$142,8,FALSE),)</f>
        <v>0</v>
      </c>
      <c r="H154" s="29" t="s">
        <v>3871</v>
      </c>
      <c r="I154" s="359" t="s">
        <v>3873</v>
      </c>
      <c r="J154" s="251">
        <v>1</v>
      </c>
      <c r="K154" s="251">
        <v>2</v>
      </c>
      <c r="L154" s="265" t="s">
        <v>209</v>
      </c>
      <c r="M154" s="266" t="s">
        <v>226</v>
      </c>
      <c r="N154" s="266" t="s">
        <v>1436</v>
      </c>
      <c r="O154" s="267" t="s">
        <v>1439</v>
      </c>
      <c r="P154" s="268" t="s">
        <v>450</v>
      </c>
      <c r="Q154" s="269">
        <v>160.69999999999999</v>
      </c>
      <c r="R154" s="269"/>
      <c r="S154" s="270"/>
      <c r="T154" s="182"/>
      <c r="U154" s="182">
        <v>1</v>
      </c>
      <c r="V154" s="408" t="s">
        <v>229</v>
      </c>
      <c r="W154" s="357" t="s">
        <v>204</v>
      </c>
      <c r="X154" s="156">
        <v>1056000000</v>
      </c>
      <c r="Y154" s="417">
        <v>1056000000</v>
      </c>
      <c r="Z154" s="418" t="s">
        <v>3861</v>
      </c>
      <c r="AA154" s="271"/>
      <c r="AB154" s="168"/>
      <c r="AC154" s="156"/>
      <c r="AD154" s="156"/>
      <c r="AE154" s="320"/>
      <c r="AF154" s="168"/>
      <c r="AG154" s="156"/>
      <c r="AH154" s="156"/>
      <c r="AI154" s="409"/>
    </row>
    <row r="155" spans="1:35" ht="19.5" hidden="1" customHeight="1">
      <c r="A155" s="137"/>
      <c r="B155" s="197">
        <f t="shared" si="3"/>
        <v>145</v>
      </c>
      <c r="C155" s="30" t="s">
        <v>206</v>
      </c>
      <c r="D155" s="30" t="s">
        <v>225</v>
      </c>
      <c r="E155" s="234" t="s">
        <v>678</v>
      </c>
      <c r="F155" s="235" t="s">
        <v>1230</v>
      </c>
      <c r="G155" s="284">
        <f>IFERROR(VLOOKUP(E155,Assign!$C$2:$J$142,8,FALSE),)</f>
        <v>0</v>
      </c>
      <c r="H155" s="197" t="s">
        <v>5051</v>
      </c>
      <c r="I155" s="324" t="s">
        <v>5052</v>
      </c>
      <c r="J155" s="237">
        <v>1</v>
      </c>
      <c r="K155" s="237">
        <v>1</v>
      </c>
      <c r="L155" s="265" t="s">
        <v>209</v>
      </c>
      <c r="M155" s="266" t="s">
        <v>246</v>
      </c>
      <c r="N155" s="266" t="s">
        <v>253</v>
      </c>
      <c r="O155" s="267" t="s">
        <v>2569</v>
      </c>
      <c r="P155" s="268" t="s">
        <v>3517</v>
      </c>
      <c r="Q155" s="269">
        <v>33854.6</v>
      </c>
      <c r="R155" s="269">
        <v>31.98</v>
      </c>
      <c r="S155" s="270"/>
      <c r="T155" s="182">
        <f>40.3/33854.6</f>
        <v>1.1903847630750327E-3</v>
      </c>
      <c r="U155" s="182">
        <v>1</v>
      </c>
      <c r="V155" s="408" t="s">
        <v>292</v>
      </c>
      <c r="W155" s="357" t="s">
        <v>204</v>
      </c>
      <c r="X155" s="156">
        <v>480000000</v>
      </c>
      <c r="Y155" s="417">
        <v>480000000</v>
      </c>
      <c r="Z155" s="418" t="s">
        <v>359</v>
      </c>
      <c r="AA155" s="271">
        <v>1</v>
      </c>
      <c r="AB155" s="168" t="s">
        <v>204</v>
      </c>
      <c r="AC155" s="156">
        <v>60000000</v>
      </c>
      <c r="AD155" s="156">
        <v>60000000</v>
      </c>
      <c r="AE155" s="320"/>
      <c r="AF155" s="168"/>
      <c r="AG155" s="156"/>
      <c r="AH155" s="156"/>
      <c r="AI155" s="410"/>
    </row>
    <row r="156" spans="1:35" ht="19.5" hidden="1" customHeight="1">
      <c r="A156" s="137"/>
      <c r="B156" s="197">
        <f t="shared" si="3"/>
        <v>146</v>
      </c>
      <c r="C156" s="30" t="s">
        <v>206</v>
      </c>
      <c r="D156" s="30" t="s">
        <v>225</v>
      </c>
      <c r="E156" s="234" t="s">
        <v>678</v>
      </c>
      <c r="F156" s="235" t="s">
        <v>1230</v>
      </c>
      <c r="G156" s="284">
        <f>IFERROR(VLOOKUP(E156,Assign!$C$2:$J$142,8,FALSE),)</f>
        <v>0</v>
      </c>
      <c r="H156" s="197" t="s">
        <v>5053</v>
      </c>
      <c r="I156" s="324" t="s">
        <v>5054</v>
      </c>
      <c r="J156" s="237">
        <v>2</v>
      </c>
      <c r="K156" s="237">
        <v>1</v>
      </c>
      <c r="L156" s="265" t="s">
        <v>209</v>
      </c>
      <c r="M156" s="266" t="s">
        <v>246</v>
      </c>
      <c r="N156" s="266" t="s">
        <v>253</v>
      </c>
      <c r="O156" s="267" t="s">
        <v>2570</v>
      </c>
      <c r="P156" s="268" t="s">
        <v>434</v>
      </c>
      <c r="Q156" s="269">
        <f>90669.6+4477.1</f>
        <v>95146.700000000012</v>
      </c>
      <c r="R156" s="269">
        <v>58.01</v>
      </c>
      <c r="S156" s="270"/>
      <c r="T156" s="182">
        <f>38.4/95146.7</f>
        <v>4.0358730255489678E-4</v>
      </c>
      <c r="U156" s="182">
        <v>1</v>
      </c>
      <c r="V156" s="408" t="s">
        <v>229</v>
      </c>
      <c r="W156" s="357" t="s">
        <v>204</v>
      </c>
      <c r="X156" s="156">
        <v>480000000</v>
      </c>
      <c r="Y156" s="417">
        <v>480000000</v>
      </c>
      <c r="Z156" s="418" t="s">
        <v>359</v>
      </c>
      <c r="AA156" s="271"/>
      <c r="AB156" s="168"/>
      <c r="AC156" s="156"/>
      <c r="AD156" s="156"/>
      <c r="AE156" s="320"/>
      <c r="AF156" s="168"/>
      <c r="AG156" s="156"/>
      <c r="AH156" s="156"/>
      <c r="AI156" s="410"/>
    </row>
    <row r="157" spans="1:35" ht="19.5" hidden="1" customHeight="1">
      <c r="A157" s="137"/>
      <c r="B157" s="197">
        <f t="shared" si="3"/>
        <v>147</v>
      </c>
      <c r="C157" s="30" t="s">
        <v>206</v>
      </c>
      <c r="D157" s="30" t="s">
        <v>225</v>
      </c>
      <c r="E157" s="234" t="s">
        <v>679</v>
      </c>
      <c r="F157" s="235" t="s">
        <v>1229</v>
      </c>
      <c r="G157" s="284">
        <f>IFERROR(VLOOKUP(E157,Assign!$C$2:$J$142,8,FALSE),)</f>
        <v>0</v>
      </c>
      <c r="H157" s="197" t="s">
        <v>4615</v>
      </c>
      <c r="I157" s="324" t="s">
        <v>4616</v>
      </c>
      <c r="J157" s="237">
        <v>1</v>
      </c>
      <c r="K157" s="237">
        <v>1</v>
      </c>
      <c r="L157" s="265" t="s">
        <v>208</v>
      </c>
      <c r="M157" s="266" t="s">
        <v>228</v>
      </c>
      <c r="N157" s="266" t="s">
        <v>2152</v>
      </c>
      <c r="O157" s="267" t="s">
        <v>2153</v>
      </c>
      <c r="P157" s="268" t="s">
        <v>440</v>
      </c>
      <c r="Q157" s="269">
        <v>326</v>
      </c>
      <c r="R157" s="269">
        <v>15.83</v>
      </c>
      <c r="S157" s="270"/>
      <c r="T157" s="182">
        <f>11.2/326</f>
        <v>3.4355828220858892E-2</v>
      </c>
      <c r="U157" s="182">
        <v>1</v>
      </c>
      <c r="V157" s="408">
        <v>1</v>
      </c>
      <c r="W157" s="357" t="s">
        <v>204</v>
      </c>
      <c r="X157" s="156">
        <v>960000000</v>
      </c>
      <c r="Y157" s="417">
        <v>960000000</v>
      </c>
      <c r="Z157" s="418" t="s">
        <v>359</v>
      </c>
      <c r="AA157" s="271"/>
      <c r="AB157" s="168"/>
      <c r="AC157" s="156"/>
      <c r="AD157" s="156"/>
      <c r="AE157" s="320"/>
      <c r="AF157" s="168"/>
      <c r="AG157" s="156"/>
      <c r="AH157" s="156"/>
      <c r="AI157" s="410"/>
    </row>
    <row r="158" spans="1:35" ht="19.5" hidden="1" customHeight="1">
      <c r="A158" s="137"/>
      <c r="B158" s="197">
        <f t="shared" si="3"/>
        <v>148</v>
      </c>
      <c r="C158" s="30" t="s">
        <v>206</v>
      </c>
      <c r="D158" s="30" t="s">
        <v>225</v>
      </c>
      <c r="E158" s="234" t="s">
        <v>679</v>
      </c>
      <c r="F158" s="235" t="s">
        <v>1229</v>
      </c>
      <c r="G158" s="284">
        <f>IFERROR(VLOOKUP(E158,Assign!$C$2:$J$142,8,FALSE),)</f>
        <v>0</v>
      </c>
      <c r="H158" s="197" t="s">
        <v>4615</v>
      </c>
      <c r="I158" s="324" t="s">
        <v>4617</v>
      </c>
      <c r="J158" s="237">
        <v>1</v>
      </c>
      <c r="K158" s="237">
        <v>2</v>
      </c>
      <c r="L158" s="265" t="s">
        <v>208</v>
      </c>
      <c r="M158" s="266" t="s">
        <v>228</v>
      </c>
      <c r="N158" s="266" t="s">
        <v>2152</v>
      </c>
      <c r="O158" s="267" t="s">
        <v>2154</v>
      </c>
      <c r="P158" s="268" t="s">
        <v>440</v>
      </c>
      <c r="Q158" s="269">
        <v>326</v>
      </c>
      <c r="R158" s="269">
        <v>23.51</v>
      </c>
      <c r="S158" s="270"/>
      <c r="T158" s="182">
        <f>16.63/326</f>
        <v>5.1012269938650302E-2</v>
      </c>
      <c r="U158" s="182">
        <v>1</v>
      </c>
      <c r="V158" s="408">
        <v>1</v>
      </c>
      <c r="W158" s="357" t="s">
        <v>204</v>
      </c>
      <c r="X158" s="156">
        <v>960000000</v>
      </c>
      <c r="Y158" s="417">
        <v>960000000</v>
      </c>
      <c r="Z158" s="418" t="s">
        <v>359</v>
      </c>
      <c r="AA158" s="271"/>
      <c r="AB158" s="168"/>
      <c r="AC158" s="156"/>
      <c r="AD158" s="156"/>
      <c r="AE158" s="320"/>
      <c r="AF158" s="168"/>
      <c r="AG158" s="156"/>
      <c r="AH158" s="156"/>
      <c r="AI158" s="410"/>
    </row>
    <row r="159" spans="1:35" ht="19.5" hidden="1" customHeight="1">
      <c r="A159" s="137"/>
      <c r="B159" s="197">
        <f t="shared" si="3"/>
        <v>149</v>
      </c>
      <c r="C159" s="30" t="s">
        <v>206</v>
      </c>
      <c r="D159" s="30" t="s">
        <v>225</v>
      </c>
      <c r="E159" s="234" t="s">
        <v>679</v>
      </c>
      <c r="F159" s="235" t="s">
        <v>1229</v>
      </c>
      <c r="G159" s="284">
        <f>IFERROR(VLOOKUP(E159,Assign!$C$2:$J$142,8,FALSE),)</f>
        <v>0</v>
      </c>
      <c r="H159" s="197" t="s">
        <v>4615</v>
      </c>
      <c r="I159" s="324" t="s">
        <v>4618</v>
      </c>
      <c r="J159" s="237">
        <v>1</v>
      </c>
      <c r="K159" s="237">
        <v>3</v>
      </c>
      <c r="L159" s="265" t="s">
        <v>208</v>
      </c>
      <c r="M159" s="266" t="s">
        <v>228</v>
      </c>
      <c r="N159" s="266" t="s">
        <v>2152</v>
      </c>
      <c r="O159" s="267" t="s">
        <v>2155</v>
      </c>
      <c r="P159" s="268" t="s">
        <v>440</v>
      </c>
      <c r="Q159" s="269">
        <v>326</v>
      </c>
      <c r="R159" s="269">
        <v>37.229999999999997</v>
      </c>
      <c r="S159" s="270"/>
      <c r="T159" s="182">
        <f>26.33/326</f>
        <v>8.0766871165644169E-2</v>
      </c>
      <c r="U159" s="182">
        <v>1</v>
      </c>
      <c r="V159" s="408">
        <v>1</v>
      </c>
      <c r="W159" s="357" t="s">
        <v>204</v>
      </c>
      <c r="X159" s="156">
        <v>960000000</v>
      </c>
      <c r="Y159" s="417">
        <v>960000000</v>
      </c>
      <c r="Z159" s="418" t="s">
        <v>359</v>
      </c>
      <c r="AA159" s="271"/>
      <c r="AB159" s="168"/>
      <c r="AC159" s="156"/>
      <c r="AD159" s="156"/>
      <c r="AE159" s="320"/>
      <c r="AF159" s="168"/>
      <c r="AG159" s="156"/>
      <c r="AH159" s="156"/>
      <c r="AI159" s="410"/>
    </row>
    <row r="160" spans="1:35" ht="19.5" hidden="1" customHeight="1">
      <c r="A160" s="137"/>
      <c r="B160" s="197">
        <f t="shared" si="3"/>
        <v>150</v>
      </c>
      <c r="C160" s="30" t="s">
        <v>206</v>
      </c>
      <c r="D160" s="30" t="s">
        <v>225</v>
      </c>
      <c r="E160" s="234" t="s">
        <v>679</v>
      </c>
      <c r="F160" s="235" t="s">
        <v>1229</v>
      </c>
      <c r="G160" s="284">
        <f>IFERROR(VLOOKUP(E160,Assign!$C$2:$J$142,8,FALSE),)</f>
        <v>0</v>
      </c>
      <c r="H160" s="197" t="s">
        <v>4615</v>
      </c>
      <c r="I160" s="324" t="s">
        <v>4619</v>
      </c>
      <c r="J160" s="237">
        <v>1</v>
      </c>
      <c r="K160" s="237">
        <v>4</v>
      </c>
      <c r="L160" s="265" t="s">
        <v>208</v>
      </c>
      <c r="M160" s="266" t="s">
        <v>228</v>
      </c>
      <c r="N160" s="266" t="s">
        <v>2152</v>
      </c>
      <c r="O160" s="267" t="s">
        <v>2156</v>
      </c>
      <c r="P160" s="268" t="s">
        <v>440</v>
      </c>
      <c r="Q160" s="269">
        <v>326</v>
      </c>
      <c r="R160" s="269">
        <v>21.12</v>
      </c>
      <c r="S160" s="270"/>
      <c r="T160" s="182">
        <f>14.94/326</f>
        <v>4.5828220858895707E-2</v>
      </c>
      <c r="U160" s="182">
        <v>1</v>
      </c>
      <c r="V160" s="408">
        <v>1</v>
      </c>
      <c r="W160" s="357" t="s">
        <v>204</v>
      </c>
      <c r="X160" s="156">
        <v>960000000</v>
      </c>
      <c r="Y160" s="417">
        <v>960000000</v>
      </c>
      <c r="Z160" s="418" t="s">
        <v>359</v>
      </c>
      <c r="AA160" s="271"/>
      <c r="AB160" s="168"/>
      <c r="AC160" s="156"/>
      <c r="AD160" s="156"/>
      <c r="AE160" s="320"/>
      <c r="AF160" s="168"/>
      <c r="AG160" s="156"/>
      <c r="AH160" s="156"/>
      <c r="AI160" s="410"/>
    </row>
    <row r="161" spans="1:35" ht="19.5" hidden="1" customHeight="1">
      <c r="A161" s="137"/>
      <c r="B161" s="197">
        <f t="shared" si="3"/>
        <v>151</v>
      </c>
      <c r="C161" s="30" t="s">
        <v>206</v>
      </c>
      <c r="D161" s="30" t="s">
        <v>225</v>
      </c>
      <c r="E161" s="234" t="s">
        <v>679</v>
      </c>
      <c r="F161" s="235" t="s">
        <v>1229</v>
      </c>
      <c r="G161" s="284">
        <f>IFERROR(VLOOKUP(E161,Assign!$C$2:$J$142,8,FALSE),)</f>
        <v>0</v>
      </c>
      <c r="H161" s="197" t="s">
        <v>4615</v>
      </c>
      <c r="I161" s="324" t="s">
        <v>4620</v>
      </c>
      <c r="J161" s="237">
        <v>1</v>
      </c>
      <c r="K161" s="237">
        <v>5</v>
      </c>
      <c r="L161" s="265" t="s">
        <v>208</v>
      </c>
      <c r="M161" s="266" t="s">
        <v>228</v>
      </c>
      <c r="N161" s="266" t="s">
        <v>2152</v>
      </c>
      <c r="O161" s="267" t="s">
        <v>2157</v>
      </c>
      <c r="P161" s="268" t="s">
        <v>440</v>
      </c>
      <c r="Q161" s="269">
        <v>326</v>
      </c>
      <c r="R161" s="269">
        <v>17.82</v>
      </c>
      <c r="S161" s="270"/>
      <c r="T161" s="182">
        <f>12.6/326</f>
        <v>3.8650306748466257E-2</v>
      </c>
      <c r="U161" s="182">
        <v>1</v>
      </c>
      <c r="V161" s="408">
        <v>1</v>
      </c>
      <c r="W161" s="357" t="s">
        <v>204</v>
      </c>
      <c r="X161" s="156">
        <v>960000000</v>
      </c>
      <c r="Y161" s="417">
        <v>960000000</v>
      </c>
      <c r="Z161" s="418" t="s">
        <v>359</v>
      </c>
      <c r="AA161" s="271"/>
      <c r="AB161" s="168"/>
      <c r="AC161" s="156"/>
      <c r="AD161" s="156"/>
      <c r="AE161" s="320"/>
      <c r="AF161" s="168"/>
      <c r="AG161" s="156"/>
      <c r="AH161" s="156"/>
      <c r="AI161" s="410"/>
    </row>
    <row r="162" spans="1:35" ht="19.5" hidden="1" customHeight="1">
      <c r="A162" s="137"/>
      <c r="B162" s="197">
        <f t="shared" si="3"/>
        <v>152</v>
      </c>
      <c r="C162" s="30" t="s">
        <v>206</v>
      </c>
      <c r="D162" s="30" t="s">
        <v>225</v>
      </c>
      <c r="E162" s="234" t="s">
        <v>679</v>
      </c>
      <c r="F162" s="235" t="s">
        <v>1229</v>
      </c>
      <c r="G162" s="284">
        <f>IFERROR(VLOOKUP(E162,Assign!$C$2:$J$142,8,FALSE),)</f>
        <v>0</v>
      </c>
      <c r="H162" s="197" t="s">
        <v>4615</v>
      </c>
      <c r="I162" s="324" t="s">
        <v>4621</v>
      </c>
      <c r="J162" s="237">
        <v>1</v>
      </c>
      <c r="K162" s="237">
        <v>6</v>
      </c>
      <c r="L162" s="265" t="s">
        <v>208</v>
      </c>
      <c r="M162" s="266" t="s">
        <v>228</v>
      </c>
      <c r="N162" s="266" t="s">
        <v>2152</v>
      </c>
      <c r="O162" s="267" t="s">
        <v>2158</v>
      </c>
      <c r="P162" s="268" t="s">
        <v>440</v>
      </c>
      <c r="Q162" s="269">
        <v>326</v>
      </c>
      <c r="R162" s="269">
        <v>15.83</v>
      </c>
      <c r="S162" s="270"/>
      <c r="T162" s="182">
        <f>11.2/326</f>
        <v>3.4355828220858892E-2</v>
      </c>
      <c r="U162" s="182">
        <v>1</v>
      </c>
      <c r="V162" s="408">
        <v>1</v>
      </c>
      <c r="W162" s="357" t="s">
        <v>204</v>
      </c>
      <c r="X162" s="156">
        <v>960000000</v>
      </c>
      <c r="Y162" s="417">
        <v>960000000</v>
      </c>
      <c r="Z162" s="418" t="s">
        <v>359</v>
      </c>
      <c r="AA162" s="271"/>
      <c r="AB162" s="168"/>
      <c r="AC162" s="156"/>
      <c r="AD162" s="156"/>
      <c r="AE162" s="320"/>
      <c r="AF162" s="168"/>
      <c r="AG162" s="156"/>
      <c r="AH162" s="156"/>
      <c r="AI162" s="410"/>
    </row>
    <row r="163" spans="1:35" ht="19.5" hidden="1" customHeight="1">
      <c r="A163" s="137"/>
      <c r="B163" s="197">
        <f t="shared" si="3"/>
        <v>153</v>
      </c>
      <c r="C163" s="30" t="s">
        <v>206</v>
      </c>
      <c r="D163" s="30" t="s">
        <v>225</v>
      </c>
      <c r="E163" s="234" t="s">
        <v>679</v>
      </c>
      <c r="F163" s="235" t="s">
        <v>1229</v>
      </c>
      <c r="G163" s="284">
        <f>IFERROR(VLOOKUP(E163,Assign!$C$2:$J$142,8,FALSE),)</f>
        <v>0</v>
      </c>
      <c r="H163" s="197" t="s">
        <v>4615</v>
      </c>
      <c r="I163" s="324" t="s">
        <v>4622</v>
      </c>
      <c r="J163" s="237">
        <v>1</v>
      </c>
      <c r="K163" s="237">
        <v>7</v>
      </c>
      <c r="L163" s="265" t="s">
        <v>208</v>
      </c>
      <c r="M163" s="266" t="s">
        <v>228</v>
      </c>
      <c r="N163" s="266" t="s">
        <v>2152</v>
      </c>
      <c r="O163" s="267" t="s">
        <v>2159</v>
      </c>
      <c r="P163" s="268" t="s">
        <v>440</v>
      </c>
      <c r="Q163" s="269">
        <v>326</v>
      </c>
      <c r="R163" s="269">
        <v>23.51</v>
      </c>
      <c r="S163" s="270"/>
      <c r="T163" s="182">
        <f>16.63/326</f>
        <v>5.1012269938650302E-2</v>
      </c>
      <c r="U163" s="182">
        <v>1</v>
      </c>
      <c r="V163" s="408">
        <v>1</v>
      </c>
      <c r="W163" s="357" t="s">
        <v>204</v>
      </c>
      <c r="X163" s="156">
        <v>960000000</v>
      </c>
      <c r="Y163" s="417">
        <v>960000000</v>
      </c>
      <c r="Z163" s="418" t="s">
        <v>359</v>
      </c>
      <c r="AA163" s="271"/>
      <c r="AB163" s="168"/>
      <c r="AC163" s="156"/>
      <c r="AD163" s="156"/>
      <c r="AE163" s="320"/>
      <c r="AF163" s="168"/>
      <c r="AG163" s="156"/>
      <c r="AH163" s="156"/>
      <c r="AI163" s="410"/>
    </row>
    <row r="164" spans="1:35" ht="19.5" hidden="1" customHeight="1">
      <c r="A164" s="137"/>
      <c r="B164" s="197">
        <f t="shared" si="3"/>
        <v>154</v>
      </c>
      <c r="C164" s="30" t="s">
        <v>206</v>
      </c>
      <c r="D164" s="30" t="s">
        <v>225</v>
      </c>
      <c r="E164" s="234" t="s">
        <v>679</v>
      </c>
      <c r="F164" s="235" t="s">
        <v>1229</v>
      </c>
      <c r="G164" s="284">
        <f>IFERROR(VLOOKUP(E164,Assign!$C$2:$J$142,8,FALSE),)</f>
        <v>0</v>
      </c>
      <c r="H164" s="197" t="s">
        <v>4615</v>
      </c>
      <c r="I164" s="324" t="s">
        <v>4623</v>
      </c>
      <c r="J164" s="237">
        <v>1</v>
      </c>
      <c r="K164" s="237">
        <v>8</v>
      </c>
      <c r="L164" s="265" t="s">
        <v>208</v>
      </c>
      <c r="M164" s="266" t="s">
        <v>228</v>
      </c>
      <c r="N164" s="266" t="s">
        <v>2152</v>
      </c>
      <c r="O164" s="267" t="s">
        <v>2160</v>
      </c>
      <c r="P164" s="268" t="s">
        <v>440</v>
      </c>
      <c r="Q164" s="269">
        <v>326</v>
      </c>
      <c r="R164" s="269">
        <v>37.229999999999997</v>
      </c>
      <c r="S164" s="270"/>
      <c r="T164" s="182">
        <f>26.33/326</f>
        <v>8.0766871165644169E-2</v>
      </c>
      <c r="U164" s="182">
        <v>1</v>
      </c>
      <c r="V164" s="408">
        <v>1</v>
      </c>
      <c r="W164" s="357" t="s">
        <v>204</v>
      </c>
      <c r="X164" s="156">
        <v>960000000</v>
      </c>
      <c r="Y164" s="417">
        <v>960000000</v>
      </c>
      <c r="Z164" s="418" t="s">
        <v>359</v>
      </c>
      <c r="AA164" s="271"/>
      <c r="AB164" s="168"/>
      <c r="AC164" s="156"/>
      <c r="AD164" s="156"/>
      <c r="AE164" s="320"/>
      <c r="AF164" s="168"/>
      <c r="AG164" s="156"/>
      <c r="AH164" s="156"/>
      <c r="AI164" s="410"/>
    </row>
    <row r="165" spans="1:35" ht="19.5" hidden="1" customHeight="1">
      <c r="A165" s="137"/>
      <c r="B165" s="197">
        <f t="shared" si="3"/>
        <v>155</v>
      </c>
      <c r="C165" s="30" t="s">
        <v>206</v>
      </c>
      <c r="D165" s="30" t="s">
        <v>225</v>
      </c>
      <c r="E165" s="234" t="s">
        <v>679</v>
      </c>
      <c r="F165" s="235" t="s">
        <v>1229</v>
      </c>
      <c r="G165" s="284">
        <f>IFERROR(VLOOKUP(E165,Assign!$C$2:$J$142,8,FALSE),)</f>
        <v>0</v>
      </c>
      <c r="H165" s="197" t="s">
        <v>4615</v>
      </c>
      <c r="I165" s="324" t="s">
        <v>4624</v>
      </c>
      <c r="J165" s="237">
        <v>1</v>
      </c>
      <c r="K165" s="237">
        <v>9</v>
      </c>
      <c r="L165" s="265" t="s">
        <v>208</v>
      </c>
      <c r="M165" s="266" t="s">
        <v>228</v>
      </c>
      <c r="N165" s="266" t="s">
        <v>2152</v>
      </c>
      <c r="O165" s="267" t="s">
        <v>2161</v>
      </c>
      <c r="P165" s="268" t="s">
        <v>440</v>
      </c>
      <c r="Q165" s="269">
        <v>326</v>
      </c>
      <c r="R165" s="269">
        <v>21.12</v>
      </c>
      <c r="S165" s="270"/>
      <c r="T165" s="182">
        <f>14.94/326</f>
        <v>4.5828220858895707E-2</v>
      </c>
      <c r="U165" s="182">
        <v>1</v>
      </c>
      <c r="V165" s="408">
        <v>1</v>
      </c>
      <c r="W165" s="357" t="s">
        <v>204</v>
      </c>
      <c r="X165" s="156">
        <v>960000000</v>
      </c>
      <c r="Y165" s="417">
        <v>960000000</v>
      </c>
      <c r="Z165" s="418" t="s">
        <v>359</v>
      </c>
      <c r="AA165" s="271"/>
      <c r="AB165" s="168"/>
      <c r="AC165" s="156"/>
      <c r="AD165" s="156"/>
      <c r="AE165" s="320"/>
      <c r="AF165" s="168"/>
      <c r="AG165" s="156"/>
      <c r="AH165" s="156"/>
      <c r="AI165" s="410"/>
    </row>
    <row r="166" spans="1:35" ht="19.5" hidden="1" customHeight="1">
      <c r="A166" s="137"/>
      <c r="B166" s="197">
        <f t="shared" si="3"/>
        <v>156</v>
      </c>
      <c r="C166" s="30" t="s">
        <v>206</v>
      </c>
      <c r="D166" s="30" t="s">
        <v>225</v>
      </c>
      <c r="E166" s="234" t="s">
        <v>679</v>
      </c>
      <c r="F166" s="235" t="s">
        <v>1229</v>
      </c>
      <c r="G166" s="284">
        <f>IFERROR(VLOOKUP(E166,Assign!$C$2:$J$142,8,FALSE),)</f>
        <v>0</v>
      </c>
      <c r="H166" s="197" t="s">
        <v>4615</v>
      </c>
      <c r="I166" s="324" t="s">
        <v>4625</v>
      </c>
      <c r="J166" s="237">
        <v>1</v>
      </c>
      <c r="K166" s="237">
        <v>10</v>
      </c>
      <c r="L166" s="265" t="s">
        <v>208</v>
      </c>
      <c r="M166" s="266" t="s">
        <v>228</v>
      </c>
      <c r="N166" s="266" t="s">
        <v>2152</v>
      </c>
      <c r="O166" s="267" t="s">
        <v>2162</v>
      </c>
      <c r="P166" s="268" t="s">
        <v>440</v>
      </c>
      <c r="Q166" s="269">
        <v>326</v>
      </c>
      <c r="R166" s="269">
        <v>17.82</v>
      </c>
      <c r="S166" s="270"/>
      <c r="T166" s="182">
        <f>12.6/326</f>
        <v>3.8650306748466257E-2</v>
      </c>
      <c r="U166" s="182">
        <v>1</v>
      </c>
      <c r="V166" s="408">
        <v>1</v>
      </c>
      <c r="W166" s="357" t="s">
        <v>204</v>
      </c>
      <c r="X166" s="156">
        <v>960000000</v>
      </c>
      <c r="Y166" s="417">
        <v>960000000</v>
      </c>
      <c r="Z166" s="418" t="s">
        <v>359</v>
      </c>
      <c r="AA166" s="271"/>
      <c r="AB166" s="168"/>
      <c r="AC166" s="156"/>
      <c r="AD166" s="156"/>
      <c r="AE166" s="320"/>
      <c r="AF166" s="168"/>
      <c r="AG166" s="156"/>
      <c r="AH166" s="156"/>
      <c r="AI166" s="410"/>
    </row>
    <row r="167" spans="1:35" ht="19.5" hidden="1" customHeight="1">
      <c r="A167" s="137"/>
      <c r="B167" s="197">
        <f t="shared" si="3"/>
        <v>157</v>
      </c>
      <c r="C167" s="30" t="s">
        <v>206</v>
      </c>
      <c r="D167" s="30" t="s">
        <v>225</v>
      </c>
      <c r="E167" s="234" t="s">
        <v>679</v>
      </c>
      <c r="F167" s="235" t="s">
        <v>1229</v>
      </c>
      <c r="G167" s="284">
        <f>IFERROR(VLOOKUP(E167,Assign!$C$2:$J$142,8,FALSE),)</f>
        <v>0</v>
      </c>
      <c r="H167" s="197" t="s">
        <v>4615</v>
      </c>
      <c r="I167" s="324" t="s">
        <v>4626</v>
      </c>
      <c r="J167" s="237">
        <v>1</v>
      </c>
      <c r="K167" s="237">
        <v>11</v>
      </c>
      <c r="L167" s="265" t="s">
        <v>208</v>
      </c>
      <c r="M167" s="266" t="s">
        <v>228</v>
      </c>
      <c r="N167" s="266" t="s">
        <v>2152</v>
      </c>
      <c r="O167" s="267" t="s">
        <v>2163</v>
      </c>
      <c r="P167" s="268" t="s">
        <v>440</v>
      </c>
      <c r="Q167" s="269">
        <v>326</v>
      </c>
      <c r="R167" s="269">
        <v>15.83</v>
      </c>
      <c r="S167" s="270"/>
      <c r="T167" s="182">
        <f>11.2/326</f>
        <v>3.4355828220858892E-2</v>
      </c>
      <c r="U167" s="182">
        <v>1</v>
      </c>
      <c r="V167" s="408">
        <v>1</v>
      </c>
      <c r="W167" s="357" t="s">
        <v>204</v>
      </c>
      <c r="X167" s="156">
        <v>960000000</v>
      </c>
      <c r="Y167" s="417">
        <v>960000000</v>
      </c>
      <c r="Z167" s="418" t="s">
        <v>359</v>
      </c>
      <c r="AA167" s="271"/>
      <c r="AB167" s="168"/>
      <c r="AC167" s="156"/>
      <c r="AD167" s="156"/>
      <c r="AE167" s="320"/>
      <c r="AF167" s="168"/>
      <c r="AG167" s="156"/>
      <c r="AH167" s="156"/>
      <c r="AI167" s="410"/>
    </row>
    <row r="168" spans="1:35" ht="19.5" hidden="1" customHeight="1">
      <c r="A168" s="137"/>
      <c r="B168" s="197">
        <f t="shared" si="3"/>
        <v>158</v>
      </c>
      <c r="C168" s="30" t="s">
        <v>206</v>
      </c>
      <c r="D168" s="30" t="s">
        <v>225</v>
      </c>
      <c r="E168" s="234" t="s">
        <v>679</v>
      </c>
      <c r="F168" s="235" t="s">
        <v>1229</v>
      </c>
      <c r="G168" s="284">
        <f>IFERROR(VLOOKUP(E168,Assign!$C$2:$J$142,8,FALSE),)</f>
        <v>0</v>
      </c>
      <c r="H168" s="197" t="s">
        <v>4615</v>
      </c>
      <c r="I168" s="324" t="s">
        <v>4627</v>
      </c>
      <c r="J168" s="237">
        <v>1</v>
      </c>
      <c r="K168" s="237">
        <v>12</v>
      </c>
      <c r="L168" s="265" t="s">
        <v>208</v>
      </c>
      <c r="M168" s="266" t="s">
        <v>228</v>
      </c>
      <c r="N168" s="266" t="s">
        <v>2152</v>
      </c>
      <c r="O168" s="267" t="s">
        <v>2164</v>
      </c>
      <c r="P168" s="268" t="s">
        <v>440</v>
      </c>
      <c r="Q168" s="269">
        <v>326</v>
      </c>
      <c r="R168" s="269">
        <v>23.51</v>
      </c>
      <c r="S168" s="270"/>
      <c r="T168" s="182">
        <f>16.63/326</f>
        <v>5.1012269938650302E-2</v>
      </c>
      <c r="U168" s="182">
        <v>1</v>
      </c>
      <c r="V168" s="408">
        <v>1</v>
      </c>
      <c r="W168" s="357" t="s">
        <v>204</v>
      </c>
      <c r="X168" s="156">
        <v>960000000</v>
      </c>
      <c r="Y168" s="417">
        <v>960000000</v>
      </c>
      <c r="Z168" s="418" t="s">
        <v>359</v>
      </c>
      <c r="AA168" s="271"/>
      <c r="AB168" s="168"/>
      <c r="AC168" s="156"/>
      <c r="AD168" s="156"/>
      <c r="AE168" s="320"/>
      <c r="AF168" s="168"/>
      <c r="AG168" s="156"/>
      <c r="AH168" s="156"/>
      <c r="AI168" s="410"/>
    </row>
    <row r="169" spans="1:35" ht="19.5" hidden="1" customHeight="1">
      <c r="A169" s="137"/>
      <c r="B169" s="197">
        <f t="shared" si="3"/>
        <v>159</v>
      </c>
      <c r="C169" s="30" t="s">
        <v>206</v>
      </c>
      <c r="D169" s="30" t="s">
        <v>225</v>
      </c>
      <c r="E169" s="234" t="s">
        <v>679</v>
      </c>
      <c r="F169" s="235" t="s">
        <v>1229</v>
      </c>
      <c r="G169" s="284">
        <f>IFERROR(VLOOKUP(E169,Assign!$C$2:$J$142,8,FALSE),)</f>
        <v>0</v>
      </c>
      <c r="H169" s="197" t="s">
        <v>4615</v>
      </c>
      <c r="I169" s="324" t="s">
        <v>4628</v>
      </c>
      <c r="J169" s="237">
        <v>1</v>
      </c>
      <c r="K169" s="237">
        <v>13</v>
      </c>
      <c r="L169" s="265" t="s">
        <v>208</v>
      </c>
      <c r="M169" s="266" t="s">
        <v>228</v>
      </c>
      <c r="N169" s="266" t="s">
        <v>2152</v>
      </c>
      <c r="O169" s="267" t="s">
        <v>2165</v>
      </c>
      <c r="P169" s="268" t="s">
        <v>440</v>
      </c>
      <c r="Q169" s="269">
        <v>326</v>
      </c>
      <c r="R169" s="269">
        <v>37.229999999999997</v>
      </c>
      <c r="S169" s="270"/>
      <c r="T169" s="182">
        <f>26.33/326</f>
        <v>8.0766871165644169E-2</v>
      </c>
      <c r="U169" s="182">
        <v>1</v>
      </c>
      <c r="V169" s="408">
        <v>1</v>
      </c>
      <c r="W169" s="357" t="s">
        <v>204</v>
      </c>
      <c r="X169" s="156">
        <v>960000000</v>
      </c>
      <c r="Y169" s="417">
        <v>960000000</v>
      </c>
      <c r="Z169" s="418" t="s">
        <v>359</v>
      </c>
      <c r="AA169" s="271"/>
      <c r="AB169" s="168"/>
      <c r="AC169" s="156"/>
      <c r="AD169" s="156"/>
      <c r="AE169" s="320"/>
      <c r="AF169" s="168"/>
      <c r="AG169" s="156"/>
      <c r="AH169" s="156"/>
      <c r="AI169" s="410"/>
    </row>
    <row r="170" spans="1:35" ht="19.5" hidden="1" customHeight="1">
      <c r="A170" s="137"/>
      <c r="B170" s="197">
        <f t="shared" si="3"/>
        <v>160</v>
      </c>
      <c r="C170" s="30" t="s">
        <v>206</v>
      </c>
      <c r="D170" s="30" t="s">
        <v>225</v>
      </c>
      <c r="E170" s="234" t="s">
        <v>679</v>
      </c>
      <c r="F170" s="235" t="s">
        <v>1229</v>
      </c>
      <c r="G170" s="284">
        <f>IFERROR(VLOOKUP(E170,Assign!$C$2:$J$142,8,FALSE),)</f>
        <v>0</v>
      </c>
      <c r="H170" s="197" t="s">
        <v>4615</v>
      </c>
      <c r="I170" s="324" t="s">
        <v>4629</v>
      </c>
      <c r="J170" s="237">
        <v>1</v>
      </c>
      <c r="K170" s="237">
        <v>14</v>
      </c>
      <c r="L170" s="265" t="s">
        <v>208</v>
      </c>
      <c r="M170" s="266" t="s">
        <v>228</v>
      </c>
      <c r="N170" s="266" t="s">
        <v>2152</v>
      </c>
      <c r="O170" s="267" t="s">
        <v>2166</v>
      </c>
      <c r="P170" s="268" t="s">
        <v>440</v>
      </c>
      <c r="Q170" s="269">
        <v>326</v>
      </c>
      <c r="R170" s="269">
        <v>21.12</v>
      </c>
      <c r="S170" s="270"/>
      <c r="T170" s="182">
        <f>14.94/326</f>
        <v>4.5828220858895707E-2</v>
      </c>
      <c r="U170" s="182">
        <v>1</v>
      </c>
      <c r="V170" s="408">
        <v>1</v>
      </c>
      <c r="W170" s="357" t="s">
        <v>204</v>
      </c>
      <c r="X170" s="156">
        <v>960000000</v>
      </c>
      <c r="Y170" s="417">
        <v>960000000</v>
      </c>
      <c r="Z170" s="418" t="s">
        <v>359</v>
      </c>
      <c r="AA170" s="271"/>
      <c r="AB170" s="168"/>
      <c r="AC170" s="156"/>
      <c r="AD170" s="156"/>
      <c r="AE170" s="320"/>
      <c r="AF170" s="168"/>
      <c r="AG170" s="156"/>
      <c r="AH170" s="156"/>
      <c r="AI170" s="410"/>
    </row>
    <row r="171" spans="1:35" ht="19.5" hidden="1" customHeight="1">
      <c r="A171" s="137"/>
      <c r="B171" s="197">
        <f t="shared" si="3"/>
        <v>161</v>
      </c>
      <c r="C171" s="30" t="s">
        <v>206</v>
      </c>
      <c r="D171" s="30" t="s">
        <v>225</v>
      </c>
      <c r="E171" s="234" t="s">
        <v>679</v>
      </c>
      <c r="F171" s="235" t="s">
        <v>1229</v>
      </c>
      <c r="G171" s="284">
        <f>IFERROR(VLOOKUP(E171,Assign!$C$2:$J$142,8,FALSE),)</f>
        <v>0</v>
      </c>
      <c r="H171" s="197" t="s">
        <v>4615</v>
      </c>
      <c r="I171" s="324" t="s">
        <v>4630</v>
      </c>
      <c r="J171" s="237">
        <v>1</v>
      </c>
      <c r="K171" s="237">
        <v>15</v>
      </c>
      <c r="L171" s="265" t="s">
        <v>208</v>
      </c>
      <c r="M171" s="266" t="s">
        <v>228</v>
      </c>
      <c r="N171" s="266" t="s">
        <v>2152</v>
      </c>
      <c r="O171" s="267" t="s">
        <v>2167</v>
      </c>
      <c r="P171" s="268" t="s">
        <v>440</v>
      </c>
      <c r="Q171" s="269">
        <v>326</v>
      </c>
      <c r="R171" s="269">
        <v>17.82</v>
      </c>
      <c r="S171" s="270"/>
      <c r="T171" s="182">
        <f>12.6/326</f>
        <v>3.8650306748466257E-2</v>
      </c>
      <c r="U171" s="182">
        <v>1</v>
      </c>
      <c r="V171" s="408">
        <v>1</v>
      </c>
      <c r="W171" s="357" t="s">
        <v>204</v>
      </c>
      <c r="X171" s="156">
        <v>960000000</v>
      </c>
      <c r="Y171" s="417">
        <v>960000000</v>
      </c>
      <c r="Z171" s="418" t="s">
        <v>359</v>
      </c>
      <c r="AA171" s="271"/>
      <c r="AB171" s="168"/>
      <c r="AC171" s="156"/>
      <c r="AD171" s="156"/>
      <c r="AE171" s="320"/>
      <c r="AF171" s="168"/>
      <c r="AG171" s="156"/>
      <c r="AH171" s="156"/>
      <c r="AI171" s="410"/>
    </row>
    <row r="172" spans="1:35" ht="19.5" hidden="1" customHeight="1">
      <c r="A172" s="137"/>
      <c r="B172" s="197">
        <f t="shared" si="3"/>
        <v>162</v>
      </c>
      <c r="C172" s="30" t="s">
        <v>206</v>
      </c>
      <c r="D172" s="30" t="s">
        <v>225</v>
      </c>
      <c r="E172" s="234" t="s">
        <v>679</v>
      </c>
      <c r="F172" s="235" t="s">
        <v>1229</v>
      </c>
      <c r="G172" s="284">
        <f>IFERROR(VLOOKUP(E172,Assign!$C$2:$J$142,8,FALSE),)</f>
        <v>0</v>
      </c>
      <c r="H172" s="197" t="s">
        <v>4615</v>
      </c>
      <c r="I172" s="324" t="s">
        <v>4631</v>
      </c>
      <c r="J172" s="237">
        <v>1</v>
      </c>
      <c r="K172" s="237">
        <v>16</v>
      </c>
      <c r="L172" s="265" t="s">
        <v>208</v>
      </c>
      <c r="M172" s="266" t="s">
        <v>228</v>
      </c>
      <c r="N172" s="266" t="s">
        <v>2152</v>
      </c>
      <c r="O172" s="267" t="s">
        <v>2168</v>
      </c>
      <c r="P172" s="268" t="s">
        <v>440</v>
      </c>
      <c r="Q172" s="269">
        <v>326</v>
      </c>
      <c r="R172" s="269">
        <v>15.83</v>
      </c>
      <c r="S172" s="270"/>
      <c r="T172" s="182">
        <f>11.2/326</f>
        <v>3.4355828220858892E-2</v>
      </c>
      <c r="U172" s="182">
        <v>1</v>
      </c>
      <c r="V172" s="408">
        <v>1</v>
      </c>
      <c r="W172" s="357" t="s">
        <v>204</v>
      </c>
      <c r="X172" s="417">
        <v>960000000</v>
      </c>
      <c r="Y172" s="417">
        <v>960000000</v>
      </c>
      <c r="Z172" s="418" t="s">
        <v>359</v>
      </c>
      <c r="AA172" s="271"/>
      <c r="AB172" s="168"/>
      <c r="AC172" s="156"/>
      <c r="AD172" s="156"/>
      <c r="AE172" s="320"/>
      <c r="AF172" s="168"/>
      <c r="AG172" s="156"/>
      <c r="AH172" s="156"/>
      <c r="AI172" s="410"/>
    </row>
    <row r="173" spans="1:35" ht="19.5" hidden="1" customHeight="1">
      <c r="A173" s="137"/>
      <c r="B173" s="197">
        <f t="shared" si="3"/>
        <v>163</v>
      </c>
      <c r="C173" s="30" t="s">
        <v>206</v>
      </c>
      <c r="D173" s="30" t="s">
        <v>225</v>
      </c>
      <c r="E173" s="234" t="s">
        <v>679</v>
      </c>
      <c r="F173" s="235" t="s">
        <v>1229</v>
      </c>
      <c r="G173" s="284">
        <f>IFERROR(VLOOKUP(E173,Assign!$C$2:$J$142,8,FALSE),)</f>
        <v>0</v>
      </c>
      <c r="H173" s="197" t="s">
        <v>4615</v>
      </c>
      <c r="I173" s="324" t="s">
        <v>4632</v>
      </c>
      <c r="J173" s="237">
        <v>1</v>
      </c>
      <c r="K173" s="237">
        <v>17</v>
      </c>
      <c r="L173" s="265" t="s">
        <v>208</v>
      </c>
      <c r="M173" s="266" t="s">
        <v>228</v>
      </c>
      <c r="N173" s="266" t="s">
        <v>2152</v>
      </c>
      <c r="O173" s="267" t="s">
        <v>2169</v>
      </c>
      <c r="P173" s="268" t="s">
        <v>440</v>
      </c>
      <c r="Q173" s="269">
        <v>326</v>
      </c>
      <c r="R173" s="269">
        <v>35.25</v>
      </c>
      <c r="S173" s="270"/>
      <c r="T173" s="182">
        <f>24.93/326</f>
        <v>7.6472392638036804E-2</v>
      </c>
      <c r="U173" s="182">
        <v>1</v>
      </c>
      <c r="V173" s="408">
        <v>1</v>
      </c>
      <c r="W173" s="357" t="s">
        <v>204</v>
      </c>
      <c r="X173" s="156">
        <v>960000000</v>
      </c>
      <c r="Y173" s="156">
        <v>960000000</v>
      </c>
      <c r="Z173" s="418" t="s">
        <v>359</v>
      </c>
      <c r="AA173" s="271"/>
      <c r="AB173" s="168"/>
      <c r="AC173" s="156"/>
      <c r="AD173" s="156"/>
      <c r="AE173" s="320"/>
      <c r="AF173" s="168"/>
      <c r="AG173" s="156"/>
      <c r="AH173" s="156"/>
      <c r="AI173" s="410"/>
    </row>
    <row r="174" spans="1:35" ht="19.5" hidden="1" customHeight="1">
      <c r="A174" s="137"/>
      <c r="B174" s="197">
        <f t="shared" si="3"/>
        <v>164</v>
      </c>
      <c r="C174" s="30" t="s">
        <v>206</v>
      </c>
      <c r="D174" s="30" t="s">
        <v>225</v>
      </c>
      <c r="E174" s="234" t="s">
        <v>679</v>
      </c>
      <c r="F174" s="235" t="s">
        <v>1229</v>
      </c>
      <c r="G174" s="284">
        <f>IFERROR(VLOOKUP(E174,Assign!$C$2:$J$142,8,FALSE),)</f>
        <v>0</v>
      </c>
      <c r="H174" s="197" t="s">
        <v>4615</v>
      </c>
      <c r="I174" s="324" t="s">
        <v>4633</v>
      </c>
      <c r="J174" s="237">
        <v>1</v>
      </c>
      <c r="K174" s="237">
        <v>18</v>
      </c>
      <c r="L174" s="265" t="s">
        <v>208</v>
      </c>
      <c r="M174" s="266" t="s">
        <v>228</v>
      </c>
      <c r="N174" s="266" t="s">
        <v>2152</v>
      </c>
      <c r="O174" s="267" t="s">
        <v>2170</v>
      </c>
      <c r="P174" s="268" t="s">
        <v>440</v>
      </c>
      <c r="Q174" s="269">
        <v>326</v>
      </c>
      <c r="R174" s="269">
        <v>63.3</v>
      </c>
      <c r="S174" s="270"/>
      <c r="T174" s="182">
        <f>44.77/326</f>
        <v>0.13733128834355829</v>
      </c>
      <c r="U174" s="182">
        <v>1</v>
      </c>
      <c r="V174" s="408">
        <v>1</v>
      </c>
      <c r="W174" s="357" t="s">
        <v>204</v>
      </c>
      <c r="X174" s="156">
        <v>960000000</v>
      </c>
      <c r="Y174" s="417">
        <v>960000000</v>
      </c>
      <c r="Z174" s="418" t="s">
        <v>359</v>
      </c>
      <c r="AA174" s="271"/>
      <c r="AB174" s="168"/>
      <c r="AC174" s="156"/>
      <c r="AD174" s="156"/>
      <c r="AE174" s="320"/>
      <c r="AF174" s="168"/>
      <c r="AG174" s="156"/>
      <c r="AH174" s="156"/>
      <c r="AI174" s="410"/>
    </row>
    <row r="175" spans="1:35" ht="19.5" hidden="1" customHeight="1">
      <c r="A175" s="137"/>
      <c r="B175" s="197">
        <f t="shared" si="3"/>
        <v>165</v>
      </c>
      <c r="C175" s="30" t="s">
        <v>206</v>
      </c>
      <c r="D175" s="30" t="s">
        <v>225</v>
      </c>
      <c r="E175" s="234" t="s">
        <v>680</v>
      </c>
      <c r="F175" s="235" t="s">
        <v>1231</v>
      </c>
      <c r="G175" s="284">
        <f>IFERROR(VLOOKUP(E175,Assign!$C$2:$J$142,8,FALSE),)</f>
        <v>0</v>
      </c>
      <c r="H175" s="197" t="s">
        <v>4278</v>
      </c>
      <c r="I175" s="324" t="s">
        <v>4279</v>
      </c>
      <c r="J175" s="237">
        <v>1</v>
      </c>
      <c r="K175" s="237">
        <v>1</v>
      </c>
      <c r="L175" s="265" t="s">
        <v>218</v>
      </c>
      <c r="M175" s="266"/>
      <c r="N175" s="266" t="s">
        <v>1847</v>
      </c>
      <c r="O175" s="267" t="s">
        <v>1848</v>
      </c>
      <c r="P175" s="268" t="s">
        <v>3529</v>
      </c>
      <c r="Q175" s="269"/>
      <c r="R175" s="269">
        <v>140</v>
      </c>
      <c r="S175" s="270"/>
      <c r="T175" s="182"/>
      <c r="U175" s="182">
        <v>1</v>
      </c>
      <c r="V175" s="408" t="s">
        <v>233</v>
      </c>
      <c r="W175" s="357" t="s">
        <v>204</v>
      </c>
      <c r="X175" s="156">
        <v>720000000</v>
      </c>
      <c r="Y175" s="417">
        <v>720000000</v>
      </c>
      <c r="Z175" s="418" t="s">
        <v>359</v>
      </c>
      <c r="AA175" s="271"/>
      <c r="AB175" s="168"/>
      <c r="AC175" s="156"/>
      <c r="AD175" s="156"/>
      <c r="AE175" s="320"/>
      <c r="AF175" s="168"/>
      <c r="AG175" s="156"/>
      <c r="AH175" s="156"/>
      <c r="AI175" s="410"/>
    </row>
    <row r="176" spans="1:35" ht="19.5" hidden="1" customHeight="1">
      <c r="A176" s="137"/>
      <c r="B176" s="197">
        <f t="shared" si="3"/>
        <v>166</v>
      </c>
      <c r="C176" s="30" t="s">
        <v>206</v>
      </c>
      <c r="D176" s="30" t="s">
        <v>225</v>
      </c>
      <c r="E176" s="234" t="s">
        <v>680</v>
      </c>
      <c r="F176" s="235" t="s">
        <v>1231</v>
      </c>
      <c r="G176" s="284">
        <f>IFERROR(VLOOKUP(E176,Assign!$C$2:$J$142,8,FALSE),)</f>
        <v>0</v>
      </c>
      <c r="H176" s="197" t="s">
        <v>4278</v>
      </c>
      <c r="I176" s="324" t="s">
        <v>4280</v>
      </c>
      <c r="J176" s="237">
        <v>1</v>
      </c>
      <c r="K176" s="237">
        <v>2</v>
      </c>
      <c r="L176" s="265" t="s">
        <v>218</v>
      </c>
      <c r="M176" s="266"/>
      <c r="N176" s="266" t="s">
        <v>1847</v>
      </c>
      <c r="O176" s="267" t="s">
        <v>1848</v>
      </c>
      <c r="P176" s="268" t="s">
        <v>450</v>
      </c>
      <c r="Q176" s="269">
        <v>702</v>
      </c>
      <c r="R176" s="269"/>
      <c r="S176" s="270"/>
      <c r="T176" s="182"/>
      <c r="U176" s="182">
        <v>1</v>
      </c>
      <c r="V176" s="408" t="s">
        <v>233</v>
      </c>
      <c r="W176" s="357" t="s">
        <v>204</v>
      </c>
      <c r="X176" s="156">
        <v>720000000</v>
      </c>
      <c r="Y176" s="417">
        <v>720000000</v>
      </c>
      <c r="Z176" s="418" t="s">
        <v>359</v>
      </c>
      <c r="AA176" s="271"/>
      <c r="AB176" s="168"/>
      <c r="AC176" s="156"/>
      <c r="AD176" s="156"/>
      <c r="AE176" s="320"/>
      <c r="AF176" s="168"/>
      <c r="AG176" s="156"/>
      <c r="AH176" s="156"/>
      <c r="AI176" s="410"/>
    </row>
    <row r="177" spans="1:35" ht="19.5" hidden="1" customHeight="1">
      <c r="A177" s="137"/>
      <c r="B177" s="197">
        <f t="shared" si="3"/>
        <v>167</v>
      </c>
      <c r="C177" s="30" t="s">
        <v>206</v>
      </c>
      <c r="D177" s="30" t="s">
        <v>225</v>
      </c>
      <c r="E177" s="234" t="s">
        <v>680</v>
      </c>
      <c r="F177" s="235" t="s">
        <v>1231</v>
      </c>
      <c r="G177" s="284">
        <f>IFERROR(VLOOKUP(E177,Assign!$C$2:$J$142,8,FALSE),)</f>
        <v>0</v>
      </c>
      <c r="H177" s="197" t="s">
        <v>4278</v>
      </c>
      <c r="I177" s="324" t="s">
        <v>4281</v>
      </c>
      <c r="J177" s="237">
        <v>1</v>
      </c>
      <c r="K177" s="237">
        <v>3</v>
      </c>
      <c r="L177" s="265" t="s">
        <v>218</v>
      </c>
      <c r="M177" s="266"/>
      <c r="N177" s="266" t="s">
        <v>1847</v>
      </c>
      <c r="O177" s="267" t="s">
        <v>1849</v>
      </c>
      <c r="P177" s="268" t="s">
        <v>1850</v>
      </c>
      <c r="Q177" s="269"/>
      <c r="R177" s="269">
        <v>390</v>
      </c>
      <c r="S177" s="270"/>
      <c r="T177" s="182"/>
      <c r="U177" s="182">
        <v>1</v>
      </c>
      <c r="V177" s="408" t="s">
        <v>233</v>
      </c>
      <c r="W177" s="357" t="s">
        <v>204</v>
      </c>
      <c r="X177" s="156">
        <v>720000000</v>
      </c>
      <c r="Y177" s="417">
        <v>720000000</v>
      </c>
      <c r="Z177" s="418" t="s">
        <v>359</v>
      </c>
      <c r="AA177" s="271"/>
      <c r="AB177" s="168"/>
      <c r="AC177" s="156"/>
      <c r="AD177" s="156"/>
      <c r="AE177" s="320"/>
      <c r="AF177" s="168"/>
      <c r="AG177" s="156"/>
      <c r="AH177" s="156"/>
      <c r="AI177" s="410"/>
    </row>
    <row r="178" spans="1:35" ht="19.5" hidden="1" customHeight="1">
      <c r="A178" s="137"/>
      <c r="B178" s="197">
        <f t="shared" si="3"/>
        <v>168</v>
      </c>
      <c r="C178" s="30" t="s">
        <v>206</v>
      </c>
      <c r="D178" s="30" t="s">
        <v>225</v>
      </c>
      <c r="E178" s="234" t="s">
        <v>680</v>
      </c>
      <c r="F178" s="235" t="s">
        <v>1231</v>
      </c>
      <c r="G178" s="284">
        <f>IFERROR(VLOOKUP(E178,Assign!$C$2:$J$142,8,FALSE),)</f>
        <v>0</v>
      </c>
      <c r="H178" s="197" t="s">
        <v>4278</v>
      </c>
      <c r="I178" s="324" t="s">
        <v>4282</v>
      </c>
      <c r="J178" s="237">
        <v>1</v>
      </c>
      <c r="K178" s="237">
        <v>4</v>
      </c>
      <c r="L178" s="265" t="s">
        <v>218</v>
      </c>
      <c r="M178" s="266"/>
      <c r="N178" s="266" t="s">
        <v>1847</v>
      </c>
      <c r="O178" s="267" t="s">
        <v>1849</v>
      </c>
      <c r="P178" s="268" t="s">
        <v>447</v>
      </c>
      <c r="Q178" s="269">
        <v>998</v>
      </c>
      <c r="R178" s="269"/>
      <c r="S178" s="270"/>
      <c r="T178" s="182"/>
      <c r="U178" s="182">
        <v>1</v>
      </c>
      <c r="V178" s="408" t="s">
        <v>233</v>
      </c>
      <c r="W178" s="357" t="s">
        <v>204</v>
      </c>
      <c r="X178" s="156">
        <v>720000000</v>
      </c>
      <c r="Y178" s="417">
        <v>720000000</v>
      </c>
      <c r="Z178" s="418" t="s">
        <v>359</v>
      </c>
      <c r="AA178" s="271"/>
      <c r="AB178" s="168"/>
      <c r="AC178" s="156"/>
      <c r="AD178" s="156"/>
      <c r="AE178" s="320"/>
      <c r="AF178" s="168"/>
      <c r="AG178" s="156"/>
      <c r="AH178" s="156"/>
      <c r="AI178" s="410"/>
    </row>
    <row r="179" spans="1:35" ht="19.5" hidden="1" customHeight="1">
      <c r="A179" s="137"/>
      <c r="B179" s="197">
        <f t="shared" si="3"/>
        <v>169</v>
      </c>
      <c r="C179" s="30" t="s">
        <v>206</v>
      </c>
      <c r="D179" s="30" t="s">
        <v>225</v>
      </c>
      <c r="E179" s="234" t="s">
        <v>680</v>
      </c>
      <c r="F179" s="235" t="s">
        <v>1231</v>
      </c>
      <c r="G179" s="284">
        <f>IFERROR(VLOOKUP(E179,Assign!$C$2:$J$142,8,FALSE),)</f>
        <v>0</v>
      </c>
      <c r="H179" s="197" t="s">
        <v>4278</v>
      </c>
      <c r="I179" s="324" t="s">
        <v>4283</v>
      </c>
      <c r="J179" s="237">
        <v>1</v>
      </c>
      <c r="K179" s="237">
        <v>5</v>
      </c>
      <c r="L179" s="265" t="s">
        <v>218</v>
      </c>
      <c r="M179" s="266"/>
      <c r="N179" s="266" t="s">
        <v>1847</v>
      </c>
      <c r="O179" s="267" t="s">
        <v>1851</v>
      </c>
      <c r="P179" s="268" t="s">
        <v>456</v>
      </c>
      <c r="Q179" s="269">
        <v>296</v>
      </c>
      <c r="R179" s="269"/>
      <c r="S179" s="270"/>
      <c r="T179" s="182"/>
      <c r="U179" s="182">
        <f>1/2</f>
        <v>0.5</v>
      </c>
      <c r="V179" s="408" t="s">
        <v>233</v>
      </c>
      <c r="W179" s="357" t="s">
        <v>204</v>
      </c>
      <c r="X179" s="156">
        <v>720000000</v>
      </c>
      <c r="Y179" s="417">
        <v>720000000</v>
      </c>
      <c r="Z179" s="418" t="s">
        <v>359</v>
      </c>
      <c r="AA179" s="271"/>
      <c r="AB179" s="168"/>
      <c r="AC179" s="156"/>
      <c r="AD179" s="156"/>
      <c r="AE179" s="320"/>
      <c r="AF179" s="168"/>
      <c r="AG179" s="156"/>
      <c r="AH179" s="156"/>
      <c r="AI179" s="410"/>
    </row>
    <row r="180" spans="1:35" ht="19.5" hidden="1" customHeight="1">
      <c r="A180" s="137"/>
      <c r="B180" s="197">
        <f t="shared" si="3"/>
        <v>170</v>
      </c>
      <c r="C180" s="30" t="s">
        <v>206</v>
      </c>
      <c r="D180" s="30" t="s">
        <v>225</v>
      </c>
      <c r="E180" s="234" t="s">
        <v>681</v>
      </c>
      <c r="F180" s="235" t="s">
        <v>1232</v>
      </c>
      <c r="G180" s="284">
        <f>IFERROR(VLOOKUP(E180,Assign!$C$2:$J$142,8,FALSE),)</f>
        <v>0</v>
      </c>
      <c r="H180" s="197" t="s">
        <v>4961</v>
      </c>
      <c r="I180" s="324" t="s">
        <v>4962</v>
      </c>
      <c r="J180" s="237">
        <v>1</v>
      </c>
      <c r="K180" s="237">
        <v>1</v>
      </c>
      <c r="L180" s="265" t="s">
        <v>212</v>
      </c>
      <c r="M180" s="266" t="s">
        <v>300</v>
      </c>
      <c r="N180" s="266" t="s">
        <v>361</v>
      </c>
      <c r="O180" s="267" t="s">
        <v>2480</v>
      </c>
      <c r="P180" s="268" t="s">
        <v>2481</v>
      </c>
      <c r="Q180" s="269">
        <v>4167.2</v>
      </c>
      <c r="R180" s="269">
        <v>924.84</v>
      </c>
      <c r="S180" s="270"/>
      <c r="T180" s="182">
        <f>219.5/4167.2</f>
        <v>5.2673257822998656E-2</v>
      </c>
      <c r="U180" s="182">
        <v>1</v>
      </c>
      <c r="V180" s="408">
        <v>1</v>
      </c>
      <c r="W180" s="357" t="s">
        <v>204</v>
      </c>
      <c r="X180" s="156">
        <v>780000000</v>
      </c>
      <c r="Y180" s="417">
        <v>780000000</v>
      </c>
      <c r="Z180" s="418" t="s">
        <v>359</v>
      </c>
      <c r="AA180" s="271"/>
      <c r="AB180" s="168"/>
      <c r="AC180" s="156"/>
      <c r="AD180" s="156"/>
      <c r="AE180" s="320"/>
      <c r="AF180" s="168"/>
      <c r="AG180" s="156"/>
      <c r="AH180" s="156"/>
      <c r="AI180" s="410"/>
    </row>
    <row r="181" spans="1:35" ht="19.5" hidden="1" customHeight="1">
      <c r="A181" s="137"/>
      <c r="B181" s="197">
        <f t="shared" si="3"/>
        <v>171</v>
      </c>
      <c r="C181" s="30" t="s">
        <v>206</v>
      </c>
      <c r="D181" s="30" t="s">
        <v>225</v>
      </c>
      <c r="E181" s="234" t="s">
        <v>682</v>
      </c>
      <c r="F181" s="235" t="s">
        <v>1227</v>
      </c>
      <c r="G181" s="284">
        <f>IFERROR(VLOOKUP(E181,Assign!$C$2:$J$142,8,FALSE),)</f>
        <v>0</v>
      </c>
      <c r="H181" s="197" t="s">
        <v>5453</v>
      </c>
      <c r="I181" s="324" t="s">
        <v>5454</v>
      </c>
      <c r="J181" s="237">
        <v>1</v>
      </c>
      <c r="K181" s="237">
        <v>1</v>
      </c>
      <c r="L181" s="265" t="s">
        <v>208</v>
      </c>
      <c r="M181" s="266" t="s">
        <v>385</v>
      </c>
      <c r="N181" s="266" t="s">
        <v>2928</v>
      </c>
      <c r="O181" s="267" t="s">
        <v>2929</v>
      </c>
      <c r="P181" s="268" t="s">
        <v>2930</v>
      </c>
      <c r="Q181" s="269">
        <v>917.7</v>
      </c>
      <c r="R181" s="269">
        <v>101.64</v>
      </c>
      <c r="S181" s="270"/>
      <c r="T181" s="182">
        <f>29.74/917.7</f>
        <v>3.240710471831753E-2</v>
      </c>
      <c r="U181" s="182">
        <v>1</v>
      </c>
      <c r="V181" s="408">
        <v>1</v>
      </c>
      <c r="W181" s="357" t="s">
        <v>204</v>
      </c>
      <c r="X181" s="156">
        <v>720000000</v>
      </c>
      <c r="Y181" s="417">
        <v>720000000</v>
      </c>
      <c r="Z181" s="418" t="s">
        <v>359</v>
      </c>
      <c r="AA181" s="271"/>
      <c r="AB181" s="168"/>
      <c r="AC181" s="156"/>
      <c r="AD181" s="156"/>
      <c r="AE181" s="320"/>
      <c r="AF181" s="168"/>
      <c r="AG181" s="156"/>
      <c r="AH181" s="156"/>
      <c r="AI181" s="410"/>
    </row>
    <row r="182" spans="1:35" ht="19.5" hidden="1" customHeight="1">
      <c r="A182" s="137"/>
      <c r="B182" s="197">
        <f t="shared" si="3"/>
        <v>172</v>
      </c>
      <c r="C182" s="30" t="s">
        <v>206</v>
      </c>
      <c r="D182" s="30" t="s">
        <v>225</v>
      </c>
      <c r="E182" s="234" t="s">
        <v>683</v>
      </c>
      <c r="F182" s="235" t="s">
        <v>1223</v>
      </c>
      <c r="G182" s="284">
        <f>IFERROR(VLOOKUP(E182,Assign!$C$2:$J$142,8,FALSE),)</f>
        <v>0</v>
      </c>
      <c r="H182" s="197" t="s">
        <v>4376</v>
      </c>
      <c r="I182" s="324" t="s">
        <v>4377</v>
      </c>
      <c r="J182" s="237">
        <v>1</v>
      </c>
      <c r="K182" s="237">
        <v>1</v>
      </c>
      <c r="L182" s="265" t="s">
        <v>208</v>
      </c>
      <c r="M182" s="266" t="s">
        <v>369</v>
      </c>
      <c r="N182" s="266" t="s">
        <v>1931</v>
      </c>
      <c r="O182" s="267" t="s">
        <v>1932</v>
      </c>
      <c r="P182" s="268" t="s">
        <v>1933</v>
      </c>
      <c r="Q182" s="269">
        <v>554</v>
      </c>
      <c r="R182" s="269">
        <v>72.16</v>
      </c>
      <c r="S182" s="270"/>
      <c r="T182" s="182">
        <f>35.784/554</f>
        <v>6.4592057761732852E-2</v>
      </c>
      <c r="U182" s="182">
        <v>1</v>
      </c>
      <c r="V182" s="408">
        <v>1</v>
      </c>
      <c r="W182" s="357" t="s">
        <v>204</v>
      </c>
      <c r="X182" s="156">
        <v>756000000</v>
      </c>
      <c r="Y182" s="417">
        <v>756000000</v>
      </c>
      <c r="Z182" s="418" t="s">
        <v>359</v>
      </c>
      <c r="AA182" s="271"/>
      <c r="AB182" s="168"/>
      <c r="AC182" s="156"/>
      <c r="AD182" s="156"/>
      <c r="AE182" s="320"/>
      <c r="AF182" s="168"/>
      <c r="AG182" s="156"/>
      <c r="AH182" s="156"/>
      <c r="AI182" s="410"/>
    </row>
    <row r="183" spans="1:35" ht="19.5" hidden="1" customHeight="1">
      <c r="A183" s="137"/>
      <c r="B183" s="197">
        <f t="shared" si="3"/>
        <v>173</v>
      </c>
      <c r="C183" s="30" t="s">
        <v>206</v>
      </c>
      <c r="D183" s="30" t="s">
        <v>225</v>
      </c>
      <c r="E183" s="234" t="s">
        <v>684</v>
      </c>
      <c r="F183" s="235" t="s">
        <v>1305</v>
      </c>
      <c r="G183" s="284">
        <f>IFERROR(VLOOKUP(E183,Assign!$C$2:$J$142,8,FALSE),)</f>
        <v>0</v>
      </c>
      <c r="H183" s="197" t="s">
        <v>5577</v>
      </c>
      <c r="I183" s="324" t="s">
        <v>5578</v>
      </c>
      <c r="J183" s="237">
        <v>1</v>
      </c>
      <c r="K183" s="237">
        <v>1</v>
      </c>
      <c r="L183" s="265" t="s">
        <v>214</v>
      </c>
      <c r="M183" s="266" t="s">
        <v>303</v>
      </c>
      <c r="N183" s="266" t="s">
        <v>3043</v>
      </c>
      <c r="O183" s="267" t="s">
        <v>596</v>
      </c>
      <c r="P183" s="268" t="s">
        <v>447</v>
      </c>
      <c r="Q183" s="269">
        <v>2937</v>
      </c>
      <c r="R183" s="269"/>
      <c r="S183" s="270" t="s">
        <v>335</v>
      </c>
      <c r="T183" s="182"/>
      <c r="U183" s="182">
        <v>1</v>
      </c>
      <c r="V183" s="408">
        <v>1</v>
      </c>
      <c r="W183" s="357" t="s">
        <v>204</v>
      </c>
      <c r="X183" s="156">
        <v>960000000</v>
      </c>
      <c r="Y183" s="417">
        <v>960000000</v>
      </c>
      <c r="Z183" s="418" t="s">
        <v>359</v>
      </c>
      <c r="AA183" s="271"/>
      <c r="AB183" s="168"/>
      <c r="AC183" s="156"/>
      <c r="AD183" s="156"/>
      <c r="AE183" s="320"/>
      <c r="AF183" s="168"/>
      <c r="AG183" s="156"/>
      <c r="AH183" s="156"/>
      <c r="AI183" s="410"/>
    </row>
    <row r="184" spans="1:35" ht="19.5" hidden="1" customHeight="1">
      <c r="A184" s="137"/>
      <c r="B184" s="197">
        <f t="shared" si="3"/>
        <v>174</v>
      </c>
      <c r="C184" s="30" t="s">
        <v>206</v>
      </c>
      <c r="D184" s="30" t="s">
        <v>225</v>
      </c>
      <c r="E184" s="234" t="s">
        <v>685</v>
      </c>
      <c r="F184" s="235" t="s">
        <v>1221</v>
      </c>
      <c r="G184" s="284">
        <f>IFERROR(VLOOKUP(E184,Assign!$C$2:$J$142,8,FALSE),)</f>
        <v>0</v>
      </c>
      <c r="H184" s="197" t="s">
        <v>4013</v>
      </c>
      <c r="I184" s="324" t="s">
        <v>4014</v>
      </c>
      <c r="J184" s="237">
        <v>1</v>
      </c>
      <c r="K184" s="237">
        <v>1</v>
      </c>
      <c r="L184" s="265" t="s">
        <v>208</v>
      </c>
      <c r="M184" s="266" t="s">
        <v>280</v>
      </c>
      <c r="N184" s="266" t="s">
        <v>1587</v>
      </c>
      <c r="O184" s="267" t="s">
        <v>1588</v>
      </c>
      <c r="P184" s="268" t="s">
        <v>1589</v>
      </c>
      <c r="Q184" s="269">
        <v>52860</v>
      </c>
      <c r="R184" s="269">
        <v>105.97750000000001</v>
      </c>
      <c r="S184" s="270"/>
      <c r="T184" s="182">
        <f>58.8983/52860</f>
        <v>1.1142319334090049E-3</v>
      </c>
      <c r="U184" s="182">
        <v>1</v>
      </c>
      <c r="V184" s="408">
        <v>1</v>
      </c>
      <c r="W184" s="357" t="s">
        <v>204</v>
      </c>
      <c r="X184" s="156">
        <v>390000000</v>
      </c>
      <c r="Y184" s="417">
        <v>390000000</v>
      </c>
      <c r="Z184" s="418" t="s">
        <v>359</v>
      </c>
      <c r="AA184" s="271"/>
      <c r="AB184" s="168"/>
      <c r="AC184" s="156"/>
      <c r="AD184" s="156"/>
      <c r="AE184" s="320"/>
      <c r="AF184" s="168"/>
      <c r="AG184" s="156"/>
      <c r="AH184" s="156"/>
      <c r="AI184" s="410"/>
    </row>
    <row r="185" spans="1:35" ht="19.5" hidden="1" customHeight="1">
      <c r="A185" s="137"/>
      <c r="B185" s="197">
        <f t="shared" si="3"/>
        <v>175</v>
      </c>
      <c r="C185" s="30" t="s">
        <v>206</v>
      </c>
      <c r="D185" s="30" t="s">
        <v>225</v>
      </c>
      <c r="E185" s="234" t="s">
        <v>685</v>
      </c>
      <c r="F185" s="235" t="s">
        <v>1221</v>
      </c>
      <c r="G185" s="284">
        <f>IFERROR(VLOOKUP(E185,Assign!$C$2:$J$142,8,FALSE),)</f>
        <v>0</v>
      </c>
      <c r="H185" s="197" t="s">
        <v>4015</v>
      </c>
      <c r="I185" s="324" t="s">
        <v>4016</v>
      </c>
      <c r="J185" s="237">
        <v>2</v>
      </c>
      <c r="K185" s="237">
        <v>1</v>
      </c>
      <c r="L185" s="265" t="s">
        <v>208</v>
      </c>
      <c r="M185" s="266" t="s">
        <v>280</v>
      </c>
      <c r="N185" s="266" t="s">
        <v>290</v>
      </c>
      <c r="O185" s="267" t="s">
        <v>1590</v>
      </c>
      <c r="P185" s="268" t="s">
        <v>1591</v>
      </c>
      <c r="Q185" s="269">
        <v>3625</v>
      </c>
      <c r="R185" s="269">
        <v>48.23</v>
      </c>
      <c r="S185" s="270"/>
      <c r="T185" s="182">
        <f>55.81/3625</f>
        <v>1.5395862068965517E-2</v>
      </c>
      <c r="U185" s="182">
        <v>1</v>
      </c>
      <c r="V185" s="408" t="s">
        <v>229</v>
      </c>
      <c r="W185" s="357" t="s">
        <v>204</v>
      </c>
      <c r="X185" s="156">
        <v>394800000</v>
      </c>
      <c r="Y185" s="417">
        <v>394800000</v>
      </c>
      <c r="Z185" s="418" t="s">
        <v>359</v>
      </c>
      <c r="AA185" s="271"/>
      <c r="AB185" s="168"/>
      <c r="AC185" s="156"/>
      <c r="AD185" s="156"/>
      <c r="AE185" s="320"/>
      <c r="AF185" s="168"/>
      <c r="AG185" s="156"/>
      <c r="AH185" s="156"/>
      <c r="AI185" s="410"/>
    </row>
    <row r="186" spans="1:35" ht="19.5" hidden="1" customHeight="1">
      <c r="A186" s="137"/>
      <c r="B186" s="197">
        <f t="shared" si="3"/>
        <v>176</v>
      </c>
      <c r="C186" s="30" t="s">
        <v>206</v>
      </c>
      <c r="D186" s="30" t="s">
        <v>225</v>
      </c>
      <c r="E186" s="234" t="s">
        <v>686</v>
      </c>
      <c r="F186" s="235" t="s">
        <v>1217</v>
      </c>
      <c r="G186" s="284">
        <f>IFERROR(VLOOKUP(E186,Assign!$C$2:$J$142,8,FALSE),)</f>
        <v>0</v>
      </c>
      <c r="H186" s="197" t="s">
        <v>4144</v>
      </c>
      <c r="I186" s="324" t="s">
        <v>4145</v>
      </c>
      <c r="J186" s="237">
        <v>1</v>
      </c>
      <c r="K186" s="237">
        <v>1</v>
      </c>
      <c r="L186" s="265" t="s">
        <v>208</v>
      </c>
      <c r="M186" s="266" t="s">
        <v>369</v>
      </c>
      <c r="N186" s="266" t="s">
        <v>1719</v>
      </c>
      <c r="O186" s="267" t="s">
        <v>1720</v>
      </c>
      <c r="P186" s="268" t="s">
        <v>3512</v>
      </c>
      <c r="Q186" s="269">
        <f>38233.6+18853.7</f>
        <v>57087.3</v>
      </c>
      <c r="R186" s="269">
        <v>101.76</v>
      </c>
      <c r="S186" s="270"/>
      <c r="T186" s="182">
        <f>64.826/57087.3</f>
        <v>1.1355590472837214E-3</v>
      </c>
      <c r="U186" s="182">
        <v>1</v>
      </c>
      <c r="V186" s="408" t="s">
        <v>233</v>
      </c>
      <c r="W186" s="357" t="s">
        <v>204</v>
      </c>
      <c r="X186" s="156">
        <v>729100000</v>
      </c>
      <c r="Y186" s="417">
        <v>729100000</v>
      </c>
      <c r="Z186" s="418" t="s">
        <v>359</v>
      </c>
      <c r="AA186" s="271"/>
      <c r="AB186" s="168"/>
      <c r="AC186" s="156"/>
      <c r="AD186" s="156"/>
      <c r="AE186" s="320"/>
      <c r="AF186" s="168"/>
      <c r="AG186" s="156"/>
      <c r="AH186" s="156"/>
      <c r="AI186" s="410"/>
    </row>
    <row r="187" spans="1:35" ht="19.5" hidden="1" customHeight="1">
      <c r="A187" s="137"/>
      <c r="B187" s="197">
        <f t="shared" si="3"/>
        <v>177</v>
      </c>
      <c r="C187" s="30" t="s">
        <v>206</v>
      </c>
      <c r="D187" s="30" t="s">
        <v>225</v>
      </c>
      <c r="E187" s="234" t="s">
        <v>687</v>
      </c>
      <c r="F187" s="235" t="s">
        <v>1233</v>
      </c>
      <c r="G187" s="284">
        <f>IFERROR(VLOOKUP(E187,Assign!$C$2:$J$142,8,FALSE),)</f>
        <v>0</v>
      </c>
      <c r="H187" s="197" t="s">
        <v>4250</v>
      </c>
      <c r="I187" s="324" t="s">
        <v>4251</v>
      </c>
      <c r="J187" s="237">
        <v>1</v>
      </c>
      <c r="K187" s="237">
        <v>1</v>
      </c>
      <c r="L187" s="265" t="s">
        <v>212</v>
      </c>
      <c r="M187" s="266" t="s">
        <v>294</v>
      </c>
      <c r="N187" s="266" t="s">
        <v>569</v>
      </c>
      <c r="O187" s="267" t="s">
        <v>1819</v>
      </c>
      <c r="P187" s="268" t="s">
        <v>3532</v>
      </c>
      <c r="Q187" s="269">
        <f>863+671+995+1368+378+270+37</f>
        <v>4582</v>
      </c>
      <c r="R187" s="269">
        <v>308.10000000000002</v>
      </c>
      <c r="S187" s="270"/>
      <c r="T187" s="182">
        <f>330.31/4582</f>
        <v>7.208860759493671E-2</v>
      </c>
      <c r="U187" s="182">
        <v>1</v>
      </c>
      <c r="V187" s="408">
        <v>1</v>
      </c>
      <c r="W187" s="357" t="s">
        <v>204</v>
      </c>
      <c r="X187" s="156">
        <v>730800000</v>
      </c>
      <c r="Y187" s="417">
        <v>730800000</v>
      </c>
      <c r="Z187" s="418" t="s">
        <v>359</v>
      </c>
      <c r="AA187" s="271"/>
      <c r="AB187" s="168"/>
      <c r="AC187" s="156"/>
      <c r="AD187" s="156"/>
      <c r="AE187" s="320"/>
      <c r="AF187" s="168"/>
      <c r="AG187" s="156"/>
      <c r="AH187" s="156"/>
      <c r="AI187" s="410"/>
    </row>
    <row r="188" spans="1:35" ht="19.5" customHeight="1">
      <c r="A188" s="137"/>
      <c r="B188" s="197">
        <f t="shared" si="3"/>
        <v>178</v>
      </c>
      <c r="C188" s="30" t="s">
        <v>206</v>
      </c>
      <c r="D188" s="30" t="s">
        <v>225</v>
      </c>
      <c r="E188" s="234" t="s">
        <v>688</v>
      </c>
      <c r="F188" s="235" t="s">
        <v>1306</v>
      </c>
      <c r="G188" s="284" t="str">
        <f>IFERROR(VLOOKUP(E188,Assign!$C$2:$J$142,8,FALSE),)</f>
        <v>문선영</v>
      </c>
      <c r="H188" s="197" t="s">
        <v>5300</v>
      </c>
      <c r="I188" s="324" t="s">
        <v>5301</v>
      </c>
      <c r="J188" s="237">
        <v>1</v>
      </c>
      <c r="K188" s="237">
        <v>1</v>
      </c>
      <c r="L188" s="265" t="s">
        <v>211</v>
      </c>
      <c r="M188" s="266" t="s">
        <v>251</v>
      </c>
      <c r="N188" s="266" t="s">
        <v>2783</v>
      </c>
      <c r="O188" s="267" t="s">
        <v>2784</v>
      </c>
      <c r="P188" s="268" t="s">
        <v>449</v>
      </c>
      <c r="Q188" s="269">
        <v>26713.8</v>
      </c>
      <c r="R188" s="269">
        <v>84.863299999999995</v>
      </c>
      <c r="S188" s="270"/>
      <c r="T188" s="182">
        <f>39.6681/26713.8</f>
        <v>1.4849291377490288E-3</v>
      </c>
      <c r="U188" s="182">
        <v>1</v>
      </c>
      <c r="V188" s="408">
        <v>1</v>
      </c>
      <c r="W188" s="357" t="s">
        <v>204</v>
      </c>
      <c r="X188" s="156">
        <v>648000000</v>
      </c>
      <c r="Y188" s="417">
        <v>648000000</v>
      </c>
      <c r="Z188" s="418" t="s">
        <v>359</v>
      </c>
      <c r="AA188" s="271"/>
      <c r="AB188" s="168"/>
      <c r="AC188" s="156"/>
      <c r="AD188" s="156"/>
      <c r="AE188" s="320"/>
      <c r="AF188" s="168"/>
      <c r="AG188" s="156"/>
      <c r="AH188" s="156"/>
      <c r="AI188" s="410"/>
    </row>
    <row r="189" spans="1:35" ht="19.5" hidden="1" customHeight="1">
      <c r="A189" s="137"/>
      <c r="B189" s="197">
        <f t="shared" si="3"/>
        <v>179</v>
      </c>
      <c r="C189" s="30" t="s">
        <v>206</v>
      </c>
      <c r="D189" s="30" t="s">
        <v>225</v>
      </c>
      <c r="E189" s="234" t="s">
        <v>689</v>
      </c>
      <c r="F189" s="235" t="s">
        <v>1234</v>
      </c>
      <c r="G189" s="284">
        <f>IFERROR(VLOOKUP(E189,Assign!$C$2:$J$142,8,FALSE),)</f>
        <v>0</v>
      </c>
      <c r="H189" s="29" t="s">
        <v>3884</v>
      </c>
      <c r="I189" s="359" t="s">
        <v>3885</v>
      </c>
      <c r="J189" s="237">
        <v>1</v>
      </c>
      <c r="K189" s="237">
        <v>1</v>
      </c>
      <c r="L189" s="265" t="s">
        <v>208</v>
      </c>
      <c r="M189" s="266" t="s">
        <v>398</v>
      </c>
      <c r="N189" s="266" t="s">
        <v>399</v>
      </c>
      <c r="O189" s="267" t="s">
        <v>1450</v>
      </c>
      <c r="P189" s="268" t="s">
        <v>480</v>
      </c>
      <c r="Q189" s="269">
        <f>88078.8+38925.1+713+140.1+335.5+58.6+108.7</f>
        <v>128359.8</v>
      </c>
      <c r="R189" s="269">
        <v>126.66</v>
      </c>
      <c r="S189" s="270"/>
      <c r="T189" s="182">
        <f>57.661/128359.8</f>
        <v>4.4921385044227244E-4</v>
      </c>
      <c r="U189" s="182">
        <v>1</v>
      </c>
      <c r="V189" s="408" t="s">
        <v>229</v>
      </c>
      <c r="W189" s="357" t="s">
        <v>204</v>
      </c>
      <c r="X189" s="156">
        <v>626400000</v>
      </c>
      <c r="Y189" s="417">
        <v>626400000</v>
      </c>
      <c r="Z189" s="418" t="s">
        <v>359</v>
      </c>
      <c r="AA189" s="271"/>
      <c r="AB189" s="168"/>
      <c r="AC189" s="156"/>
      <c r="AD189" s="156"/>
      <c r="AE189" s="320"/>
      <c r="AF189" s="168"/>
      <c r="AG189" s="156"/>
      <c r="AH189" s="156"/>
      <c r="AI189" s="410"/>
    </row>
    <row r="190" spans="1:35" ht="19.5" hidden="1" customHeight="1">
      <c r="A190" s="137"/>
      <c r="B190" s="197">
        <f t="shared" si="3"/>
        <v>180</v>
      </c>
      <c r="C190" s="30" t="s">
        <v>206</v>
      </c>
      <c r="D190" s="30" t="s">
        <v>225</v>
      </c>
      <c r="E190" s="234" t="s">
        <v>690</v>
      </c>
      <c r="F190" s="235" t="s">
        <v>1307</v>
      </c>
      <c r="G190" s="284">
        <f>IFERROR(VLOOKUP(E190,Assign!$C$2:$J$142,8,FALSE),)</f>
        <v>0</v>
      </c>
      <c r="H190" s="197" t="s">
        <v>5179</v>
      </c>
      <c r="I190" s="324" t="s">
        <v>5180</v>
      </c>
      <c r="J190" s="237">
        <v>1</v>
      </c>
      <c r="K190" s="237">
        <v>1</v>
      </c>
      <c r="L190" s="265" t="s">
        <v>209</v>
      </c>
      <c r="M190" s="266" t="s">
        <v>286</v>
      </c>
      <c r="N190" s="266" t="s">
        <v>1660</v>
      </c>
      <c r="O190" s="267" t="s">
        <v>1661</v>
      </c>
      <c r="P190" s="268" t="s">
        <v>469</v>
      </c>
      <c r="Q190" s="269"/>
      <c r="R190" s="269">
        <f>410.73+420.31+413.97+413.97+379.49</f>
        <v>2038.47</v>
      </c>
      <c r="S190" s="270"/>
      <c r="T190" s="182"/>
      <c r="U190" s="182">
        <v>1</v>
      </c>
      <c r="V190" s="408">
        <v>5</v>
      </c>
      <c r="W190" s="357" t="s">
        <v>204</v>
      </c>
      <c r="X190" s="156">
        <v>600000000</v>
      </c>
      <c r="Y190" s="417">
        <v>600000000</v>
      </c>
      <c r="Z190" s="418" t="s">
        <v>359</v>
      </c>
      <c r="AA190" s="271" t="s">
        <v>268</v>
      </c>
      <c r="AB190" s="168" t="s">
        <v>204</v>
      </c>
      <c r="AC190" s="156">
        <v>14880000000</v>
      </c>
      <c r="AD190" s="156">
        <v>14880000000</v>
      </c>
      <c r="AE190" s="320"/>
      <c r="AF190" s="168"/>
      <c r="AG190" s="156"/>
      <c r="AH190" s="156"/>
      <c r="AI190" s="410"/>
    </row>
    <row r="191" spans="1:35" ht="19.5" hidden="1" customHeight="1">
      <c r="A191" s="137"/>
      <c r="B191" s="197">
        <f t="shared" si="3"/>
        <v>181</v>
      </c>
      <c r="C191" s="30" t="s">
        <v>206</v>
      </c>
      <c r="D191" s="30" t="s">
        <v>225</v>
      </c>
      <c r="E191" s="234" t="s">
        <v>690</v>
      </c>
      <c r="F191" s="235" t="s">
        <v>1307</v>
      </c>
      <c r="G191" s="284">
        <f>IFERROR(VLOOKUP(E191,Assign!$C$2:$J$142,8,FALSE),)</f>
        <v>0</v>
      </c>
      <c r="H191" s="197" t="s">
        <v>5179</v>
      </c>
      <c r="I191" s="324" t="s">
        <v>5181</v>
      </c>
      <c r="J191" s="237">
        <v>1</v>
      </c>
      <c r="K191" s="237">
        <v>2</v>
      </c>
      <c r="L191" s="265" t="s">
        <v>209</v>
      </c>
      <c r="M191" s="266" t="s">
        <v>286</v>
      </c>
      <c r="N191" s="266" t="s">
        <v>1660</v>
      </c>
      <c r="O191" s="267" t="s">
        <v>1661</v>
      </c>
      <c r="P191" s="268" t="s">
        <v>450</v>
      </c>
      <c r="Q191" s="269">
        <v>834.9</v>
      </c>
      <c r="R191" s="269"/>
      <c r="S191" s="270"/>
      <c r="T191" s="182"/>
      <c r="U191" s="182">
        <v>1</v>
      </c>
      <c r="V191" s="408">
        <v>5</v>
      </c>
      <c r="W191" s="357" t="s">
        <v>204</v>
      </c>
      <c r="X191" s="156">
        <v>600000000</v>
      </c>
      <c r="Y191" s="417">
        <v>600000000</v>
      </c>
      <c r="Z191" s="418" t="s">
        <v>359</v>
      </c>
      <c r="AA191" s="271" t="s">
        <v>268</v>
      </c>
      <c r="AB191" s="168" t="s">
        <v>204</v>
      </c>
      <c r="AC191" s="156">
        <v>14880000000</v>
      </c>
      <c r="AD191" s="156">
        <v>14880000000</v>
      </c>
      <c r="AE191" s="320"/>
      <c r="AF191" s="168"/>
      <c r="AG191" s="156"/>
      <c r="AH191" s="156"/>
      <c r="AI191" s="410"/>
    </row>
    <row r="192" spans="1:35" ht="19.5" hidden="1" customHeight="1">
      <c r="A192" s="137"/>
      <c r="B192" s="197">
        <f t="shared" si="3"/>
        <v>182</v>
      </c>
      <c r="C192" s="30" t="s">
        <v>206</v>
      </c>
      <c r="D192" s="30" t="s">
        <v>225</v>
      </c>
      <c r="E192" s="234" t="s">
        <v>691</v>
      </c>
      <c r="F192" s="235" t="s">
        <v>1308</v>
      </c>
      <c r="G192" s="284">
        <f>IFERROR(VLOOKUP(E192,Assign!$C$2:$J$142,8,FALSE),)</f>
        <v>0</v>
      </c>
      <c r="H192" s="197" t="s">
        <v>5405</v>
      </c>
      <c r="I192" s="324" t="s">
        <v>5406</v>
      </c>
      <c r="J192" s="237">
        <v>1</v>
      </c>
      <c r="K192" s="237">
        <v>1</v>
      </c>
      <c r="L192" s="265" t="s">
        <v>209</v>
      </c>
      <c r="M192" s="266" t="s">
        <v>341</v>
      </c>
      <c r="N192" s="266" t="s">
        <v>342</v>
      </c>
      <c r="O192" s="267" t="s">
        <v>2841</v>
      </c>
      <c r="P192" s="268" t="s">
        <v>1622</v>
      </c>
      <c r="Q192" s="269">
        <v>3041.5</v>
      </c>
      <c r="R192" s="269">
        <f>159.76+49.88</f>
        <v>209.64</v>
      </c>
      <c r="S192" s="270"/>
      <c r="T192" s="182">
        <f>170.26/3041.5</f>
        <v>5.5978957751109649E-2</v>
      </c>
      <c r="U192" s="182">
        <v>1</v>
      </c>
      <c r="V192" s="408" t="s">
        <v>1396</v>
      </c>
      <c r="W192" s="357" t="s">
        <v>204</v>
      </c>
      <c r="X192" s="156">
        <v>597600000</v>
      </c>
      <c r="Y192" s="417">
        <v>597600000</v>
      </c>
      <c r="Z192" s="418" t="s">
        <v>534</v>
      </c>
      <c r="AA192" s="271" t="s">
        <v>229</v>
      </c>
      <c r="AB192" s="168" t="s">
        <v>204</v>
      </c>
      <c r="AC192" s="156">
        <v>1150000000</v>
      </c>
      <c r="AD192" s="156">
        <v>1150000000</v>
      </c>
      <c r="AE192" s="320">
        <v>4</v>
      </c>
      <c r="AF192" s="168" t="s">
        <v>204</v>
      </c>
      <c r="AG192" s="156">
        <v>120000000</v>
      </c>
      <c r="AH192" s="156">
        <v>120000000</v>
      </c>
      <c r="AI192" s="410"/>
    </row>
    <row r="193" spans="1:35" ht="19.5" hidden="1" customHeight="1">
      <c r="A193" s="137"/>
      <c r="B193" s="197">
        <f t="shared" si="3"/>
        <v>183</v>
      </c>
      <c r="C193" s="30" t="s">
        <v>206</v>
      </c>
      <c r="D193" s="30" t="s">
        <v>225</v>
      </c>
      <c r="E193" s="234" t="s">
        <v>692</v>
      </c>
      <c r="F193" s="235" t="s">
        <v>1309</v>
      </c>
      <c r="G193" s="284">
        <f>IFERROR(VLOOKUP(E193,Assign!$C$2:$J$142,8,FALSE),)</f>
        <v>0</v>
      </c>
      <c r="H193" s="197" t="s">
        <v>5084</v>
      </c>
      <c r="I193" s="324" t="s">
        <v>5085</v>
      </c>
      <c r="J193" s="237">
        <v>1</v>
      </c>
      <c r="K193" s="237">
        <v>1</v>
      </c>
      <c r="L193" s="265" t="s">
        <v>209</v>
      </c>
      <c r="M193" s="266" t="s">
        <v>294</v>
      </c>
      <c r="N193" s="266" t="s">
        <v>2597</v>
      </c>
      <c r="O193" s="267" t="s">
        <v>2598</v>
      </c>
      <c r="P193" s="268" t="s">
        <v>2599</v>
      </c>
      <c r="Q193" s="269">
        <f>3424+3495.6+0.4</f>
        <v>6920</v>
      </c>
      <c r="R193" s="269">
        <v>109.146</v>
      </c>
      <c r="S193" s="270"/>
      <c r="T193" s="182">
        <f>18.6205/6920</f>
        <v>2.6908236994219654E-3</v>
      </c>
      <c r="U193" s="182">
        <v>1</v>
      </c>
      <c r="V193" s="408">
        <v>1</v>
      </c>
      <c r="W193" s="357" t="s">
        <v>204</v>
      </c>
      <c r="X193" s="156">
        <v>600000000</v>
      </c>
      <c r="Y193" s="417">
        <v>600000000</v>
      </c>
      <c r="Z193" s="418" t="s">
        <v>359</v>
      </c>
      <c r="AA193" s="271"/>
      <c r="AB193" s="168"/>
      <c r="AC193" s="156"/>
      <c r="AD193" s="156"/>
      <c r="AE193" s="320"/>
      <c r="AF193" s="168"/>
      <c r="AG193" s="156"/>
      <c r="AH193" s="156"/>
      <c r="AI193" s="410"/>
    </row>
    <row r="194" spans="1:35" ht="19.5" hidden="1" customHeight="1">
      <c r="A194" s="137"/>
      <c r="B194" s="197">
        <f t="shared" si="3"/>
        <v>184</v>
      </c>
      <c r="C194" s="30" t="s">
        <v>206</v>
      </c>
      <c r="D194" s="30" t="s">
        <v>225</v>
      </c>
      <c r="E194" s="234" t="s">
        <v>693</v>
      </c>
      <c r="F194" s="235" t="s">
        <v>1310</v>
      </c>
      <c r="G194" s="284">
        <f>IFERROR(VLOOKUP(E194,Assign!$C$2:$J$142,8,FALSE),)</f>
        <v>0</v>
      </c>
      <c r="H194" s="197" t="s">
        <v>4905</v>
      </c>
      <c r="I194" s="324" t="s">
        <v>4906</v>
      </c>
      <c r="J194" s="237">
        <v>1</v>
      </c>
      <c r="K194" s="237">
        <v>1</v>
      </c>
      <c r="L194" s="265" t="s">
        <v>209</v>
      </c>
      <c r="M194" s="266" t="s">
        <v>226</v>
      </c>
      <c r="N194" s="266" t="s">
        <v>227</v>
      </c>
      <c r="O194" s="267" t="s">
        <v>2424</v>
      </c>
      <c r="P194" s="268" t="s">
        <v>2425</v>
      </c>
      <c r="Q194" s="269">
        <v>30180</v>
      </c>
      <c r="R194" s="269">
        <v>91.98</v>
      </c>
      <c r="S194" s="270"/>
      <c r="T194" s="182">
        <f>21.7483/30180</f>
        <v>7.2061961563949634E-4</v>
      </c>
      <c r="U194" s="182">
        <v>1</v>
      </c>
      <c r="V194" s="408">
        <v>1</v>
      </c>
      <c r="W194" s="357" t="s">
        <v>204</v>
      </c>
      <c r="X194" s="156">
        <v>586800000</v>
      </c>
      <c r="Y194" s="417">
        <v>586800000</v>
      </c>
      <c r="Z194" s="418" t="s">
        <v>359</v>
      </c>
      <c r="AA194" s="271"/>
      <c r="AB194" s="168"/>
      <c r="AC194" s="156"/>
      <c r="AD194" s="156"/>
      <c r="AE194" s="320"/>
      <c r="AF194" s="168"/>
      <c r="AG194" s="156"/>
      <c r="AH194" s="156"/>
      <c r="AI194" s="410"/>
    </row>
    <row r="195" spans="1:35" ht="19.5" customHeight="1">
      <c r="A195" s="137"/>
      <c r="B195" s="197">
        <f t="shared" si="3"/>
        <v>185</v>
      </c>
      <c r="C195" s="30" t="s">
        <v>206</v>
      </c>
      <c r="D195" s="30" t="s">
        <v>225</v>
      </c>
      <c r="E195" s="234" t="s">
        <v>694</v>
      </c>
      <c r="F195" s="235" t="s">
        <v>1235</v>
      </c>
      <c r="G195" s="284" t="str">
        <f>IFERROR(VLOOKUP(E195,Assign!$C$2:$J$142,8,FALSE),)</f>
        <v>문선영</v>
      </c>
      <c r="H195" s="197" t="s">
        <v>4805</v>
      </c>
      <c r="I195" s="324" t="s">
        <v>4806</v>
      </c>
      <c r="J195" s="237">
        <v>1</v>
      </c>
      <c r="K195" s="237">
        <v>1</v>
      </c>
      <c r="L195" s="265" t="s">
        <v>215</v>
      </c>
      <c r="M195" s="266" t="s">
        <v>232</v>
      </c>
      <c r="N195" s="266" t="s">
        <v>2333</v>
      </c>
      <c r="O195" s="267" t="s">
        <v>2334</v>
      </c>
      <c r="P195" s="268" t="s">
        <v>2335</v>
      </c>
      <c r="Q195" s="269">
        <v>11820</v>
      </c>
      <c r="R195" s="269">
        <v>146.16</v>
      </c>
      <c r="S195" s="270"/>
      <c r="T195" s="182">
        <f>39.48/11820</f>
        <v>3.3401015228426392E-3</v>
      </c>
      <c r="U195" s="182">
        <v>1</v>
      </c>
      <c r="V195" s="408">
        <v>1</v>
      </c>
      <c r="W195" s="357" t="s">
        <v>204</v>
      </c>
      <c r="X195" s="156">
        <v>552000000</v>
      </c>
      <c r="Y195" s="417">
        <v>552000000</v>
      </c>
      <c r="Z195" s="418" t="s">
        <v>359</v>
      </c>
      <c r="AA195" s="271"/>
      <c r="AB195" s="168"/>
      <c r="AC195" s="156"/>
      <c r="AD195" s="156"/>
      <c r="AE195" s="320"/>
      <c r="AF195" s="168"/>
      <c r="AG195" s="156"/>
      <c r="AH195" s="156"/>
      <c r="AI195" s="410"/>
    </row>
    <row r="196" spans="1:35" ht="19.5" customHeight="1">
      <c r="A196" s="137"/>
      <c r="B196" s="197">
        <f t="shared" si="3"/>
        <v>186</v>
      </c>
      <c r="C196" s="30" t="s">
        <v>206</v>
      </c>
      <c r="D196" s="30" t="s">
        <v>225</v>
      </c>
      <c r="E196" s="234" t="s">
        <v>695</v>
      </c>
      <c r="F196" s="235" t="s">
        <v>1236</v>
      </c>
      <c r="G196" s="284" t="str">
        <f>IFERROR(VLOOKUP(E196,Assign!$C$2:$J$142,8,FALSE),)</f>
        <v>문선영</v>
      </c>
      <c r="H196" s="197" t="s">
        <v>3997</v>
      </c>
      <c r="I196" s="324" t="s">
        <v>3998</v>
      </c>
      <c r="J196" s="237">
        <v>1</v>
      </c>
      <c r="K196" s="237">
        <v>1</v>
      </c>
      <c r="L196" s="265" t="s">
        <v>212</v>
      </c>
      <c r="M196" s="266" t="s">
        <v>232</v>
      </c>
      <c r="N196" s="266" t="s">
        <v>547</v>
      </c>
      <c r="O196" s="267" t="s">
        <v>1573</v>
      </c>
      <c r="P196" s="268" t="s">
        <v>451</v>
      </c>
      <c r="Q196" s="269">
        <v>76618</v>
      </c>
      <c r="R196" s="269">
        <v>102.85760000000001</v>
      </c>
      <c r="S196" s="270"/>
      <c r="T196" s="182">
        <f>70.9593/76618</f>
        <v>9.2614398705265081E-4</v>
      </c>
      <c r="U196" s="182">
        <v>1</v>
      </c>
      <c r="V196" s="408">
        <v>1</v>
      </c>
      <c r="W196" s="357" t="s">
        <v>204</v>
      </c>
      <c r="X196" s="156">
        <v>528000000</v>
      </c>
      <c r="Y196" s="417">
        <v>528000000</v>
      </c>
      <c r="Z196" s="418" t="s">
        <v>359</v>
      </c>
      <c r="AA196" s="271"/>
      <c r="AB196" s="168"/>
      <c r="AC196" s="156"/>
      <c r="AD196" s="156"/>
      <c r="AE196" s="320"/>
      <c r="AF196" s="168"/>
      <c r="AG196" s="156"/>
      <c r="AH196" s="156"/>
      <c r="AI196" s="410"/>
    </row>
    <row r="197" spans="1:35" ht="19.5" hidden="1" customHeight="1">
      <c r="A197" s="137"/>
      <c r="B197" s="197">
        <f t="shared" si="3"/>
        <v>187</v>
      </c>
      <c r="C197" s="30" t="s">
        <v>206</v>
      </c>
      <c r="D197" s="30" t="s">
        <v>225</v>
      </c>
      <c r="E197" s="234" t="s">
        <v>696</v>
      </c>
      <c r="F197" s="235" t="s">
        <v>1234</v>
      </c>
      <c r="G197" s="284">
        <f>IFERROR(VLOOKUP(E197,Assign!$C$2:$J$142,8,FALSE),)</f>
        <v>0</v>
      </c>
      <c r="H197" s="197" t="s">
        <v>4599</v>
      </c>
      <c r="I197" s="324" t="s">
        <v>4600</v>
      </c>
      <c r="J197" s="237">
        <v>1</v>
      </c>
      <c r="K197" s="237">
        <v>1</v>
      </c>
      <c r="L197" s="265" t="s">
        <v>208</v>
      </c>
      <c r="M197" s="266" t="s">
        <v>228</v>
      </c>
      <c r="N197" s="266" t="s">
        <v>330</v>
      </c>
      <c r="O197" s="267" t="s">
        <v>2137</v>
      </c>
      <c r="P197" s="268" t="s">
        <v>2138</v>
      </c>
      <c r="Q197" s="269"/>
      <c r="R197" s="269">
        <f>237.31+261.12+201.96</f>
        <v>700.39</v>
      </c>
      <c r="S197" s="270"/>
      <c r="T197" s="182"/>
      <c r="U197" s="182">
        <v>1</v>
      </c>
      <c r="V197" s="408">
        <v>1</v>
      </c>
      <c r="W197" s="357" t="s">
        <v>204</v>
      </c>
      <c r="X197" s="156">
        <v>534500000</v>
      </c>
      <c r="Y197" s="417">
        <v>534500000</v>
      </c>
      <c r="Z197" s="418" t="s">
        <v>359</v>
      </c>
      <c r="AA197" s="271"/>
      <c r="AB197" s="168"/>
      <c r="AC197" s="156"/>
      <c r="AD197" s="156"/>
      <c r="AE197" s="320"/>
      <c r="AF197" s="168"/>
      <c r="AG197" s="156"/>
      <c r="AH197" s="156"/>
      <c r="AI197" s="410"/>
    </row>
    <row r="198" spans="1:35" ht="19.5" hidden="1" customHeight="1">
      <c r="A198" s="137"/>
      <c r="B198" s="197">
        <f t="shared" si="3"/>
        <v>188</v>
      </c>
      <c r="C198" s="30" t="s">
        <v>206</v>
      </c>
      <c r="D198" s="30" t="s">
        <v>225</v>
      </c>
      <c r="E198" s="234" t="s">
        <v>696</v>
      </c>
      <c r="F198" s="235" t="s">
        <v>1234</v>
      </c>
      <c r="G198" s="284">
        <f>IFERROR(VLOOKUP(E198,Assign!$C$2:$J$142,8,FALSE),)</f>
        <v>0</v>
      </c>
      <c r="H198" s="197" t="s">
        <v>4599</v>
      </c>
      <c r="I198" s="324" t="s">
        <v>4601</v>
      </c>
      <c r="J198" s="237">
        <v>1</v>
      </c>
      <c r="K198" s="237">
        <v>2</v>
      </c>
      <c r="L198" s="265" t="s">
        <v>208</v>
      </c>
      <c r="M198" s="266" t="s">
        <v>228</v>
      </c>
      <c r="N198" s="266" t="s">
        <v>330</v>
      </c>
      <c r="O198" s="267" t="s">
        <v>2137</v>
      </c>
      <c r="P198" s="268" t="s">
        <v>450</v>
      </c>
      <c r="Q198" s="269">
        <v>435.8</v>
      </c>
      <c r="R198" s="269"/>
      <c r="S198" s="270"/>
      <c r="T198" s="182"/>
      <c r="U198" s="182">
        <v>1</v>
      </c>
      <c r="V198" s="408">
        <v>1</v>
      </c>
      <c r="W198" s="357" t="s">
        <v>204</v>
      </c>
      <c r="X198" s="156">
        <v>534500000</v>
      </c>
      <c r="Y198" s="417">
        <v>534500000</v>
      </c>
      <c r="Z198" s="418" t="s">
        <v>359</v>
      </c>
      <c r="AA198" s="271"/>
      <c r="AB198" s="168"/>
      <c r="AC198" s="156"/>
      <c r="AD198" s="156"/>
      <c r="AE198" s="320"/>
      <c r="AF198" s="168"/>
      <c r="AG198" s="156"/>
      <c r="AH198" s="156"/>
      <c r="AI198" s="410"/>
    </row>
    <row r="199" spans="1:35" ht="19.5" hidden="1" customHeight="1">
      <c r="A199" s="137"/>
      <c r="B199" s="197">
        <f t="shared" si="3"/>
        <v>189</v>
      </c>
      <c r="C199" s="30" t="s">
        <v>206</v>
      </c>
      <c r="D199" s="30" t="s">
        <v>225</v>
      </c>
      <c r="E199" s="234" t="s">
        <v>697</v>
      </c>
      <c r="F199" s="235" t="s">
        <v>1229</v>
      </c>
      <c r="G199" s="284">
        <f>IFERROR(VLOOKUP(E199,Assign!$C$2:$J$142,8,FALSE),)</f>
        <v>0</v>
      </c>
      <c r="H199" s="197" t="s">
        <v>3916</v>
      </c>
      <c r="I199" s="324" t="s">
        <v>3917</v>
      </c>
      <c r="J199" s="237">
        <v>1</v>
      </c>
      <c r="K199" s="237">
        <v>1</v>
      </c>
      <c r="L199" s="265" t="s">
        <v>224</v>
      </c>
      <c r="M199" s="266" t="s">
        <v>428</v>
      </c>
      <c r="N199" s="266" t="s">
        <v>1486</v>
      </c>
      <c r="O199" s="267" t="s">
        <v>1487</v>
      </c>
      <c r="P199" s="268" t="s">
        <v>468</v>
      </c>
      <c r="Q199" s="269">
        <f>34701+254.6+263.4+124.5</f>
        <v>35343.5</v>
      </c>
      <c r="R199" s="269">
        <v>84.981300000000005</v>
      </c>
      <c r="S199" s="270"/>
      <c r="T199" s="182">
        <f>51.1184/35343.5</f>
        <v>1.4463310085305644E-3</v>
      </c>
      <c r="U199" s="182">
        <v>1</v>
      </c>
      <c r="V199" s="408" t="s">
        <v>3067</v>
      </c>
      <c r="W199" s="357" t="s">
        <v>204</v>
      </c>
      <c r="X199" s="156">
        <v>540000000</v>
      </c>
      <c r="Y199" s="417">
        <v>540000000</v>
      </c>
      <c r="Z199" s="418" t="s">
        <v>534</v>
      </c>
      <c r="AA199" s="271"/>
      <c r="AB199" s="168"/>
      <c r="AC199" s="156"/>
      <c r="AD199" s="156"/>
      <c r="AE199" s="320">
        <v>2</v>
      </c>
      <c r="AF199" s="168" t="s">
        <v>204</v>
      </c>
      <c r="AG199" s="156">
        <v>60000000</v>
      </c>
      <c r="AH199" s="156">
        <v>60000000</v>
      </c>
      <c r="AI199" s="410"/>
    </row>
    <row r="200" spans="1:35" ht="19.5" customHeight="1">
      <c r="A200" s="137"/>
      <c r="B200" s="197">
        <f t="shared" si="3"/>
        <v>190</v>
      </c>
      <c r="C200" s="30" t="s">
        <v>206</v>
      </c>
      <c r="D200" s="30" t="s">
        <v>225</v>
      </c>
      <c r="E200" s="234" t="s">
        <v>698</v>
      </c>
      <c r="F200" s="235" t="s">
        <v>1231</v>
      </c>
      <c r="G200" s="284" t="str">
        <f>IFERROR(VLOOKUP(E200,Assign!$C$2:$J$142,8,FALSE),)</f>
        <v>문선영</v>
      </c>
      <c r="H200" s="197" t="s">
        <v>4949</v>
      </c>
      <c r="I200" s="324" t="s">
        <v>4950</v>
      </c>
      <c r="J200" s="237">
        <v>1</v>
      </c>
      <c r="K200" s="237">
        <v>1</v>
      </c>
      <c r="L200" s="265" t="s">
        <v>211</v>
      </c>
      <c r="M200" s="266" t="s">
        <v>251</v>
      </c>
      <c r="N200" s="266" t="s">
        <v>2469</v>
      </c>
      <c r="O200" s="267" t="s">
        <v>2470</v>
      </c>
      <c r="P200" s="268" t="s">
        <v>2471</v>
      </c>
      <c r="Q200" s="269">
        <v>26474.6</v>
      </c>
      <c r="R200" s="269">
        <v>31.96</v>
      </c>
      <c r="S200" s="270"/>
      <c r="T200" s="182">
        <f>17.75/26474.6</f>
        <v>6.7045394453551707E-4</v>
      </c>
      <c r="U200" s="182">
        <v>1</v>
      </c>
      <c r="V200" s="408">
        <v>1</v>
      </c>
      <c r="W200" s="357" t="s">
        <v>204</v>
      </c>
      <c r="X200" s="156">
        <v>530400000</v>
      </c>
      <c r="Y200" s="417">
        <v>530400000</v>
      </c>
      <c r="Z200" s="418" t="s">
        <v>359</v>
      </c>
      <c r="AA200" s="271"/>
      <c r="AB200" s="168"/>
      <c r="AC200" s="156"/>
      <c r="AD200" s="156"/>
      <c r="AE200" s="320"/>
      <c r="AF200" s="168"/>
      <c r="AG200" s="156"/>
      <c r="AH200" s="156"/>
      <c r="AI200" s="410"/>
    </row>
    <row r="201" spans="1:35" ht="19.5" hidden="1" customHeight="1">
      <c r="A201" s="137"/>
      <c r="B201" s="197">
        <f t="shared" si="3"/>
        <v>191</v>
      </c>
      <c r="C201" s="30" t="s">
        <v>206</v>
      </c>
      <c r="D201" s="30" t="s">
        <v>225</v>
      </c>
      <c r="E201" s="234" t="s">
        <v>699</v>
      </c>
      <c r="F201" s="235" t="s">
        <v>1225</v>
      </c>
      <c r="G201" s="284">
        <f>IFERROR(VLOOKUP(E201,Assign!$C$2:$J$142,8,FALSE),)</f>
        <v>0</v>
      </c>
      <c r="H201" s="197" t="s">
        <v>4761</v>
      </c>
      <c r="I201" s="324" t="s">
        <v>4762</v>
      </c>
      <c r="J201" s="237">
        <v>1</v>
      </c>
      <c r="K201" s="237">
        <v>1</v>
      </c>
      <c r="L201" s="265" t="s">
        <v>209</v>
      </c>
      <c r="M201" s="266" t="s">
        <v>286</v>
      </c>
      <c r="N201" s="266" t="s">
        <v>2288</v>
      </c>
      <c r="O201" s="267" t="s">
        <v>2293</v>
      </c>
      <c r="P201" s="268" t="s">
        <v>2294</v>
      </c>
      <c r="Q201" s="269">
        <v>1496</v>
      </c>
      <c r="R201" s="269">
        <v>40.825000000000003</v>
      </c>
      <c r="S201" s="270"/>
      <c r="T201" s="182">
        <f>15.2351/1496</f>
        <v>1.0183890374331551E-2</v>
      </c>
      <c r="U201" s="182">
        <v>1</v>
      </c>
      <c r="V201" s="408">
        <v>1</v>
      </c>
      <c r="W201" s="357" t="s">
        <v>204</v>
      </c>
      <c r="X201" s="156">
        <v>540000000</v>
      </c>
      <c r="Y201" s="417">
        <v>540000000</v>
      </c>
      <c r="Z201" s="418" t="s">
        <v>359</v>
      </c>
      <c r="AA201" s="271"/>
      <c r="AB201" s="168"/>
      <c r="AC201" s="156"/>
      <c r="AD201" s="156"/>
      <c r="AE201" s="320"/>
      <c r="AF201" s="168"/>
      <c r="AG201" s="156"/>
      <c r="AH201" s="156"/>
      <c r="AI201" s="410"/>
    </row>
    <row r="202" spans="1:35" ht="19.5" customHeight="1">
      <c r="A202" s="137"/>
      <c r="B202" s="197">
        <f t="shared" si="3"/>
        <v>192</v>
      </c>
      <c r="C202" s="30" t="s">
        <v>206</v>
      </c>
      <c r="D202" s="30" t="s">
        <v>225</v>
      </c>
      <c r="E202" s="234" t="s">
        <v>700</v>
      </c>
      <c r="F202" s="235" t="s">
        <v>1311</v>
      </c>
      <c r="G202" s="284" t="str">
        <f>IFERROR(VLOOKUP(E202,Assign!$C$2:$J$142,8,FALSE),)</f>
        <v>문선영</v>
      </c>
      <c r="H202" s="197" t="s">
        <v>5310</v>
      </c>
      <c r="I202" s="324" t="s">
        <v>5311</v>
      </c>
      <c r="J202" s="237">
        <v>1</v>
      </c>
      <c r="K202" s="237">
        <v>1</v>
      </c>
      <c r="L202" s="265" t="s">
        <v>210</v>
      </c>
      <c r="M202" s="266" t="s">
        <v>232</v>
      </c>
      <c r="N202" s="266" t="s">
        <v>2338</v>
      </c>
      <c r="O202" s="267" t="s">
        <v>2791</v>
      </c>
      <c r="P202" s="268" t="s">
        <v>442</v>
      </c>
      <c r="Q202" s="269">
        <v>150985.29999999999</v>
      </c>
      <c r="R202" s="269">
        <v>158.37</v>
      </c>
      <c r="S202" s="270"/>
      <c r="T202" s="182">
        <f>74.4254/150985.3</f>
        <v>4.9293143107309123E-4</v>
      </c>
      <c r="U202" s="182">
        <v>1</v>
      </c>
      <c r="V202" s="408" t="s">
        <v>3066</v>
      </c>
      <c r="W202" s="357" t="s">
        <v>204</v>
      </c>
      <c r="X202" s="156">
        <v>516000000</v>
      </c>
      <c r="Y202" s="417">
        <v>516000000</v>
      </c>
      <c r="Z202" s="418" t="s">
        <v>359</v>
      </c>
      <c r="AA202" s="271" t="s">
        <v>229</v>
      </c>
      <c r="AB202" s="168" t="s">
        <v>204</v>
      </c>
      <c r="AC202" s="156">
        <v>350000000</v>
      </c>
      <c r="AD202" s="156">
        <v>350000000</v>
      </c>
      <c r="AE202" s="320"/>
      <c r="AF202" s="168"/>
      <c r="AG202" s="156"/>
      <c r="AH202" s="156"/>
      <c r="AI202" s="410"/>
    </row>
    <row r="203" spans="1:35" ht="19.5" hidden="1" customHeight="1">
      <c r="A203" s="137"/>
      <c r="B203" s="197">
        <f t="shared" ref="B203:B266" si="4">ROW()-10</f>
        <v>193</v>
      </c>
      <c r="C203" s="30" t="s">
        <v>206</v>
      </c>
      <c r="D203" s="30" t="s">
        <v>225</v>
      </c>
      <c r="E203" s="234" t="s">
        <v>701</v>
      </c>
      <c r="F203" s="235" t="s">
        <v>1237</v>
      </c>
      <c r="G203" s="284">
        <f>IFERROR(VLOOKUP(E203,Assign!$C$2:$J$142,8,FALSE),)</f>
        <v>0</v>
      </c>
      <c r="H203" s="197" t="s">
        <v>5128</v>
      </c>
      <c r="I203" s="324" t="s">
        <v>5129</v>
      </c>
      <c r="J203" s="237">
        <v>1</v>
      </c>
      <c r="K203" s="237">
        <v>1</v>
      </c>
      <c r="L203" s="265" t="s">
        <v>208</v>
      </c>
      <c r="M203" s="266" t="s">
        <v>394</v>
      </c>
      <c r="N203" s="266" t="s">
        <v>2640</v>
      </c>
      <c r="O203" s="267" t="s">
        <v>2641</v>
      </c>
      <c r="P203" s="268" t="s">
        <v>2642</v>
      </c>
      <c r="Q203" s="269">
        <v>8582.2000000000007</v>
      </c>
      <c r="R203" s="269">
        <v>189.17</v>
      </c>
      <c r="S203" s="270"/>
      <c r="T203" s="182">
        <f>56.29/8582.2</f>
        <v>6.5589242851483293E-3</v>
      </c>
      <c r="U203" s="182">
        <v>1</v>
      </c>
      <c r="V203" s="408">
        <v>1</v>
      </c>
      <c r="W203" s="357" t="s">
        <v>204</v>
      </c>
      <c r="X203" s="156">
        <v>492000000</v>
      </c>
      <c r="Y203" s="417">
        <v>492000000</v>
      </c>
      <c r="Z203" s="418" t="s">
        <v>359</v>
      </c>
      <c r="AA203" s="271"/>
      <c r="AB203" s="168"/>
      <c r="AC203" s="156"/>
      <c r="AD203" s="156"/>
      <c r="AE203" s="320"/>
      <c r="AF203" s="168"/>
      <c r="AG203" s="156"/>
      <c r="AH203" s="156"/>
      <c r="AI203" s="410"/>
    </row>
    <row r="204" spans="1:35" ht="19.5" hidden="1" customHeight="1">
      <c r="A204" s="137"/>
      <c r="B204" s="197">
        <f t="shared" si="4"/>
        <v>194</v>
      </c>
      <c r="C204" s="30" t="s">
        <v>206</v>
      </c>
      <c r="D204" s="30" t="s">
        <v>225</v>
      </c>
      <c r="E204" s="234" t="s">
        <v>702</v>
      </c>
      <c r="F204" s="235" t="s">
        <v>1238</v>
      </c>
      <c r="G204" s="284">
        <f>IFERROR(VLOOKUP(E204,Assign!$C$2:$J$142,8,FALSE),)</f>
        <v>0</v>
      </c>
      <c r="H204" s="197" t="s">
        <v>4665</v>
      </c>
      <c r="I204" s="324" t="s">
        <v>4666</v>
      </c>
      <c r="J204" s="237">
        <v>1</v>
      </c>
      <c r="K204" s="237">
        <v>1</v>
      </c>
      <c r="L204" s="265" t="s">
        <v>209</v>
      </c>
      <c r="M204" s="266" t="s">
        <v>286</v>
      </c>
      <c r="N204" s="266" t="s">
        <v>2201</v>
      </c>
      <c r="O204" s="267" t="s">
        <v>2202</v>
      </c>
      <c r="P204" s="268" t="s">
        <v>2203</v>
      </c>
      <c r="Q204" s="269">
        <v>33696.1</v>
      </c>
      <c r="R204" s="269">
        <v>110.01</v>
      </c>
      <c r="S204" s="270"/>
      <c r="T204" s="182">
        <f>17.39/33696.1</f>
        <v>5.1608346366493454E-4</v>
      </c>
      <c r="U204" s="182">
        <v>1</v>
      </c>
      <c r="V204" s="408" t="s">
        <v>229</v>
      </c>
      <c r="W204" s="357" t="s">
        <v>204</v>
      </c>
      <c r="X204" s="156">
        <v>636000000</v>
      </c>
      <c r="Y204" s="417">
        <v>636000000</v>
      </c>
      <c r="Z204" s="418" t="s">
        <v>359</v>
      </c>
      <c r="AA204" s="271"/>
      <c r="AB204" s="168"/>
      <c r="AC204" s="156"/>
      <c r="AD204" s="156"/>
      <c r="AE204" s="320"/>
      <c r="AF204" s="168"/>
      <c r="AG204" s="156"/>
      <c r="AH204" s="156"/>
      <c r="AI204" s="410"/>
    </row>
    <row r="205" spans="1:35" ht="19.5" hidden="1" customHeight="1">
      <c r="A205" s="137"/>
      <c r="B205" s="197">
        <f t="shared" si="4"/>
        <v>195</v>
      </c>
      <c r="C205" s="30" t="s">
        <v>206</v>
      </c>
      <c r="D205" s="30" t="s">
        <v>225</v>
      </c>
      <c r="E205" s="234" t="s">
        <v>703</v>
      </c>
      <c r="F205" s="235" t="s">
        <v>1239</v>
      </c>
      <c r="G205" s="284">
        <f>IFERROR(VLOOKUP(E205,Assign!$C$2:$J$142,8,FALSE),)</f>
        <v>0</v>
      </c>
      <c r="H205" s="197" t="s">
        <v>4644</v>
      </c>
      <c r="I205" s="324" t="s">
        <v>4645</v>
      </c>
      <c r="J205" s="237">
        <v>1</v>
      </c>
      <c r="K205" s="237">
        <v>1</v>
      </c>
      <c r="L205" s="265" t="s">
        <v>209</v>
      </c>
      <c r="M205" s="266" t="s">
        <v>380</v>
      </c>
      <c r="N205" s="266" t="s">
        <v>1597</v>
      </c>
      <c r="O205" s="267" t="s">
        <v>2178</v>
      </c>
      <c r="P205" s="268" t="s">
        <v>437</v>
      </c>
      <c r="Q205" s="269">
        <v>10384.5</v>
      </c>
      <c r="R205" s="269">
        <v>84.973100000000002</v>
      </c>
      <c r="S205" s="270"/>
      <c r="T205" s="182">
        <f>46.8543/10384.5</f>
        <v>4.5119456882854259E-3</v>
      </c>
      <c r="U205" s="182">
        <v>1</v>
      </c>
      <c r="V205" s="408">
        <v>1</v>
      </c>
      <c r="W205" s="357" t="s">
        <v>204</v>
      </c>
      <c r="X205" s="156">
        <v>500400000</v>
      </c>
      <c r="Y205" s="417">
        <v>500400000</v>
      </c>
      <c r="Z205" s="418" t="s">
        <v>359</v>
      </c>
      <c r="AA205" s="271"/>
      <c r="AB205" s="168"/>
      <c r="AC205" s="156"/>
      <c r="AD205" s="156"/>
      <c r="AE205" s="320"/>
      <c r="AF205" s="168"/>
      <c r="AG205" s="156"/>
      <c r="AH205" s="156"/>
      <c r="AI205" s="410"/>
    </row>
    <row r="206" spans="1:35" ht="19.5" customHeight="1">
      <c r="A206" s="137"/>
      <c r="B206" s="197">
        <f t="shared" si="4"/>
        <v>196</v>
      </c>
      <c r="C206" s="30" t="s">
        <v>206</v>
      </c>
      <c r="D206" s="30" t="s">
        <v>225</v>
      </c>
      <c r="E206" s="234" t="s">
        <v>704</v>
      </c>
      <c r="F206" s="235" t="s">
        <v>1312</v>
      </c>
      <c r="G206" s="284" t="str">
        <f>IFERROR(VLOOKUP(E206,Assign!$C$2:$J$142,8,FALSE),)</f>
        <v>문선영</v>
      </c>
      <c r="H206" s="197" t="s">
        <v>5579</v>
      </c>
      <c r="I206" s="324" t="s">
        <v>5580</v>
      </c>
      <c r="J206" s="237">
        <v>1</v>
      </c>
      <c r="K206" s="237">
        <v>1</v>
      </c>
      <c r="L206" s="265" t="s">
        <v>208</v>
      </c>
      <c r="M206" s="266" t="s">
        <v>228</v>
      </c>
      <c r="N206" s="266" t="s">
        <v>3044</v>
      </c>
      <c r="O206" s="267" t="s">
        <v>3045</v>
      </c>
      <c r="P206" s="268" t="s">
        <v>485</v>
      </c>
      <c r="Q206" s="269"/>
      <c r="R206" s="269">
        <f>95.91+95.91</f>
        <v>191.82</v>
      </c>
      <c r="S206" s="270"/>
      <c r="T206" s="182"/>
      <c r="U206" s="182">
        <v>1</v>
      </c>
      <c r="V206" s="408">
        <v>1</v>
      </c>
      <c r="W206" s="357" t="s">
        <v>204</v>
      </c>
      <c r="X206" s="156">
        <v>474000000</v>
      </c>
      <c r="Y206" s="417">
        <v>474000000</v>
      </c>
      <c r="Z206" s="418" t="s">
        <v>359</v>
      </c>
      <c r="AA206" s="271"/>
      <c r="AB206" s="168"/>
      <c r="AC206" s="156"/>
      <c r="AD206" s="156"/>
      <c r="AE206" s="320"/>
      <c r="AF206" s="168"/>
      <c r="AG206" s="156"/>
      <c r="AH206" s="156"/>
      <c r="AI206" s="410"/>
    </row>
    <row r="207" spans="1:35" ht="19.5" customHeight="1">
      <c r="A207" s="137"/>
      <c r="B207" s="197">
        <f t="shared" si="4"/>
        <v>197</v>
      </c>
      <c r="C207" s="30" t="s">
        <v>206</v>
      </c>
      <c r="D207" s="30" t="s">
        <v>225</v>
      </c>
      <c r="E207" s="234" t="s">
        <v>704</v>
      </c>
      <c r="F207" s="235" t="s">
        <v>1312</v>
      </c>
      <c r="G207" s="284" t="str">
        <f>IFERROR(VLOOKUP(E207,Assign!$C$2:$J$142,8,FALSE),)</f>
        <v>문선영</v>
      </c>
      <c r="H207" s="197" t="s">
        <v>5579</v>
      </c>
      <c r="I207" s="324" t="s">
        <v>5581</v>
      </c>
      <c r="J207" s="237">
        <v>1</v>
      </c>
      <c r="K207" s="237">
        <v>2</v>
      </c>
      <c r="L207" s="265" t="s">
        <v>208</v>
      </c>
      <c r="M207" s="266" t="s">
        <v>228</v>
      </c>
      <c r="N207" s="266" t="s">
        <v>3044</v>
      </c>
      <c r="O207" s="267" t="s">
        <v>3045</v>
      </c>
      <c r="P207" s="268" t="s">
        <v>450</v>
      </c>
      <c r="Q207" s="269">
        <v>655</v>
      </c>
      <c r="R207" s="269"/>
      <c r="S207" s="270"/>
      <c r="T207" s="182"/>
      <c r="U207" s="182">
        <v>1</v>
      </c>
      <c r="V207" s="408">
        <v>1</v>
      </c>
      <c r="W207" s="357" t="s">
        <v>204</v>
      </c>
      <c r="X207" s="156">
        <v>474000000</v>
      </c>
      <c r="Y207" s="417">
        <v>474000000</v>
      </c>
      <c r="Z207" s="418" t="s">
        <v>359</v>
      </c>
      <c r="AA207" s="271"/>
      <c r="AB207" s="168"/>
      <c r="AC207" s="156"/>
      <c r="AD207" s="156"/>
      <c r="AE207" s="320"/>
      <c r="AF207" s="168"/>
      <c r="AG207" s="156"/>
      <c r="AH207" s="156"/>
      <c r="AI207" s="410"/>
    </row>
    <row r="208" spans="1:35" ht="19.5" customHeight="1">
      <c r="A208" s="137"/>
      <c r="B208" s="197">
        <f t="shared" si="4"/>
        <v>198</v>
      </c>
      <c r="C208" s="30" t="s">
        <v>206</v>
      </c>
      <c r="D208" s="30" t="s">
        <v>225</v>
      </c>
      <c r="E208" s="234" t="s">
        <v>705</v>
      </c>
      <c r="F208" s="235" t="s">
        <v>1236</v>
      </c>
      <c r="G208" s="284" t="str">
        <f>IFERROR(VLOOKUP(E208,Assign!$C$2:$J$142,8,FALSE),)</f>
        <v>문선영</v>
      </c>
      <c r="H208" s="197" t="s">
        <v>4815</v>
      </c>
      <c r="I208" s="324" t="s">
        <v>4816</v>
      </c>
      <c r="J208" s="237">
        <v>1</v>
      </c>
      <c r="K208" s="237">
        <v>1</v>
      </c>
      <c r="L208" s="265" t="s">
        <v>208</v>
      </c>
      <c r="M208" s="266" t="s">
        <v>244</v>
      </c>
      <c r="N208" s="266" t="s">
        <v>417</v>
      </c>
      <c r="O208" s="267" t="s">
        <v>2344</v>
      </c>
      <c r="P208" s="268" t="s">
        <v>2345</v>
      </c>
      <c r="Q208" s="269">
        <f>8495.4+86.4+89.3</f>
        <v>8671.0999999999985</v>
      </c>
      <c r="R208" s="269">
        <v>153.66999999999999</v>
      </c>
      <c r="S208" s="270"/>
      <c r="T208" s="182">
        <f>23.88/8671.1</f>
        <v>2.7539758508147755E-3</v>
      </c>
      <c r="U208" s="182">
        <v>1</v>
      </c>
      <c r="V208" s="408">
        <v>1</v>
      </c>
      <c r="W208" s="357" t="s">
        <v>204</v>
      </c>
      <c r="X208" s="156">
        <v>571200000</v>
      </c>
      <c r="Y208" s="417">
        <v>571200000</v>
      </c>
      <c r="Z208" s="418" t="s">
        <v>359</v>
      </c>
      <c r="AA208" s="271"/>
      <c r="AB208" s="168"/>
      <c r="AC208" s="156"/>
      <c r="AD208" s="156"/>
      <c r="AE208" s="320"/>
      <c r="AF208" s="168"/>
      <c r="AG208" s="156"/>
      <c r="AH208" s="156"/>
      <c r="AI208" s="410"/>
    </row>
    <row r="209" spans="1:35" ht="19.5" hidden="1" customHeight="1">
      <c r="A209" s="137"/>
      <c r="B209" s="197">
        <f t="shared" si="4"/>
        <v>199</v>
      </c>
      <c r="C209" s="30" t="s">
        <v>206</v>
      </c>
      <c r="D209" s="30" t="s">
        <v>225</v>
      </c>
      <c r="E209" s="234" t="s">
        <v>706</v>
      </c>
      <c r="F209" s="235" t="s">
        <v>1236</v>
      </c>
      <c r="G209" s="284">
        <f>IFERROR(VLOOKUP(E209,Assign!$C$2:$J$142,8,FALSE),)</f>
        <v>0</v>
      </c>
      <c r="H209" s="197" t="s">
        <v>4667</v>
      </c>
      <c r="I209" s="324" t="s">
        <v>4668</v>
      </c>
      <c r="J209" s="237">
        <v>1</v>
      </c>
      <c r="K209" s="237">
        <v>1</v>
      </c>
      <c r="L209" s="265" t="s">
        <v>209</v>
      </c>
      <c r="M209" s="266" t="s">
        <v>364</v>
      </c>
      <c r="N209" s="266" t="s">
        <v>343</v>
      </c>
      <c r="O209" s="267" t="s">
        <v>2204</v>
      </c>
      <c r="P209" s="268" t="s">
        <v>2205</v>
      </c>
      <c r="Q209" s="269"/>
      <c r="R209" s="269">
        <f>11.63+61.91+61.91+41.56</f>
        <v>177.01</v>
      </c>
      <c r="S209" s="270"/>
      <c r="T209" s="182"/>
      <c r="U209" s="182">
        <v>1</v>
      </c>
      <c r="V209" s="408" t="s">
        <v>229</v>
      </c>
      <c r="W209" s="357" t="s">
        <v>204</v>
      </c>
      <c r="X209" s="156">
        <v>456000000</v>
      </c>
      <c r="Y209" s="417">
        <v>456000000</v>
      </c>
      <c r="Z209" s="418" t="s">
        <v>359</v>
      </c>
      <c r="AA209" s="271"/>
      <c r="AB209" s="168"/>
      <c r="AC209" s="156"/>
      <c r="AD209" s="156"/>
      <c r="AE209" s="320"/>
      <c r="AF209" s="168"/>
      <c r="AG209" s="156"/>
      <c r="AH209" s="156"/>
      <c r="AI209" s="410"/>
    </row>
    <row r="210" spans="1:35" ht="19.5" hidden="1" customHeight="1">
      <c r="A210" s="137"/>
      <c r="B210" s="197">
        <f t="shared" si="4"/>
        <v>200</v>
      </c>
      <c r="C210" s="30" t="s">
        <v>206</v>
      </c>
      <c r="D210" s="30" t="s">
        <v>225</v>
      </c>
      <c r="E210" s="234" t="s">
        <v>706</v>
      </c>
      <c r="F210" s="235" t="s">
        <v>1236</v>
      </c>
      <c r="G210" s="284">
        <f>IFERROR(VLOOKUP(E210,Assign!$C$2:$J$142,8,FALSE),)</f>
        <v>0</v>
      </c>
      <c r="H210" s="197" t="s">
        <v>4667</v>
      </c>
      <c r="I210" s="324" t="s">
        <v>4669</v>
      </c>
      <c r="J210" s="237">
        <v>1</v>
      </c>
      <c r="K210" s="237">
        <v>2</v>
      </c>
      <c r="L210" s="265" t="s">
        <v>209</v>
      </c>
      <c r="M210" s="266" t="s">
        <v>364</v>
      </c>
      <c r="N210" s="266" t="s">
        <v>343</v>
      </c>
      <c r="O210" s="267" t="s">
        <v>2204</v>
      </c>
      <c r="P210" s="268" t="s">
        <v>450</v>
      </c>
      <c r="Q210" s="269">
        <v>103.2</v>
      </c>
      <c r="R210" s="269"/>
      <c r="S210" s="270"/>
      <c r="T210" s="182"/>
      <c r="U210" s="182">
        <v>1</v>
      </c>
      <c r="V210" s="408" t="s">
        <v>229</v>
      </c>
      <c r="W210" s="357" t="s">
        <v>204</v>
      </c>
      <c r="X210" s="156">
        <v>456000000</v>
      </c>
      <c r="Y210" s="417">
        <v>456000000</v>
      </c>
      <c r="Z210" s="418" t="s">
        <v>359</v>
      </c>
      <c r="AA210" s="271"/>
      <c r="AB210" s="168"/>
      <c r="AC210" s="156"/>
      <c r="AD210" s="156"/>
      <c r="AE210" s="320"/>
      <c r="AF210" s="168"/>
      <c r="AG210" s="156"/>
      <c r="AH210" s="156"/>
      <c r="AI210" s="410"/>
    </row>
    <row r="211" spans="1:35" ht="19.5" hidden="1" customHeight="1">
      <c r="A211" s="137"/>
      <c r="B211" s="197">
        <f t="shared" si="4"/>
        <v>201</v>
      </c>
      <c r="C211" s="30" t="s">
        <v>206</v>
      </c>
      <c r="D211" s="30" t="s">
        <v>225</v>
      </c>
      <c r="E211" s="234" t="s">
        <v>707</v>
      </c>
      <c r="F211" s="235" t="s">
        <v>1225</v>
      </c>
      <c r="G211" s="284">
        <f>IFERROR(VLOOKUP(E211,Assign!$C$2:$J$142,8,FALSE),)</f>
        <v>0</v>
      </c>
      <c r="H211" s="197" t="s">
        <v>5370</v>
      </c>
      <c r="I211" s="324" t="s">
        <v>5371</v>
      </c>
      <c r="J211" s="237">
        <v>1</v>
      </c>
      <c r="K211" s="237">
        <v>1</v>
      </c>
      <c r="L211" s="265" t="s">
        <v>208</v>
      </c>
      <c r="M211" s="266" t="s">
        <v>258</v>
      </c>
      <c r="N211" s="266" t="s">
        <v>327</v>
      </c>
      <c r="O211" s="267" t="s">
        <v>2846</v>
      </c>
      <c r="P211" s="268" t="s">
        <v>451</v>
      </c>
      <c r="Q211" s="269">
        <v>78236</v>
      </c>
      <c r="R211" s="269">
        <v>84.895700000000005</v>
      </c>
      <c r="S211" s="270"/>
      <c r="T211" s="182">
        <f>48.8179/78236</f>
        <v>6.2398256557083694E-4</v>
      </c>
      <c r="U211" s="182">
        <v>1</v>
      </c>
      <c r="V211" s="408">
        <v>1</v>
      </c>
      <c r="W211" s="357" t="s">
        <v>204</v>
      </c>
      <c r="X211" s="156">
        <v>440000000</v>
      </c>
      <c r="Y211" s="417">
        <v>440000000</v>
      </c>
      <c r="Z211" s="418" t="s">
        <v>359</v>
      </c>
      <c r="AA211" s="271"/>
      <c r="AB211" s="168"/>
      <c r="AC211" s="156"/>
      <c r="AD211" s="156"/>
      <c r="AE211" s="320"/>
      <c r="AF211" s="168"/>
      <c r="AG211" s="156"/>
      <c r="AH211" s="156"/>
      <c r="AI211" s="410"/>
    </row>
    <row r="212" spans="1:35" ht="19.5" hidden="1" customHeight="1">
      <c r="A212" s="137"/>
      <c r="B212" s="197">
        <f t="shared" si="4"/>
        <v>202</v>
      </c>
      <c r="C212" s="30" t="s">
        <v>206</v>
      </c>
      <c r="D212" s="30" t="s">
        <v>225</v>
      </c>
      <c r="E212" s="234" t="s">
        <v>708</v>
      </c>
      <c r="F212" s="235" t="s">
        <v>1231</v>
      </c>
      <c r="G212" s="284">
        <f>IFERROR(VLOOKUP(E212,Assign!$C$2:$J$142,8,FALSE),)</f>
        <v>0</v>
      </c>
      <c r="H212" s="197" t="s">
        <v>4380</v>
      </c>
      <c r="I212" s="324" t="s">
        <v>4381</v>
      </c>
      <c r="J212" s="237">
        <v>1</v>
      </c>
      <c r="K212" s="237">
        <v>1</v>
      </c>
      <c r="L212" s="265" t="s">
        <v>208</v>
      </c>
      <c r="M212" s="266" t="s">
        <v>242</v>
      </c>
      <c r="N212" s="266" t="s">
        <v>243</v>
      </c>
      <c r="O212" s="267" t="s">
        <v>1937</v>
      </c>
      <c r="P212" s="268" t="s">
        <v>3535</v>
      </c>
      <c r="Q212" s="269">
        <v>142970.9</v>
      </c>
      <c r="R212" s="269">
        <v>133.6079</v>
      </c>
      <c r="S212" s="270"/>
      <c r="T212" s="182" t="s">
        <v>273</v>
      </c>
      <c r="U212" s="182">
        <v>1</v>
      </c>
      <c r="V212" s="408">
        <v>1</v>
      </c>
      <c r="W212" s="357" t="s">
        <v>204</v>
      </c>
      <c r="X212" s="156">
        <v>448600000</v>
      </c>
      <c r="Y212" s="417">
        <v>448600000</v>
      </c>
      <c r="Z212" s="418" t="s">
        <v>359</v>
      </c>
      <c r="AA212" s="271"/>
      <c r="AB212" s="168"/>
      <c r="AC212" s="156"/>
      <c r="AD212" s="156"/>
      <c r="AE212" s="320"/>
      <c r="AF212" s="168"/>
      <c r="AG212" s="156"/>
      <c r="AH212" s="156"/>
      <c r="AI212" s="410"/>
    </row>
    <row r="213" spans="1:35" ht="19.5" hidden="1" customHeight="1">
      <c r="A213" s="137"/>
      <c r="B213" s="197">
        <f t="shared" si="4"/>
        <v>203</v>
      </c>
      <c r="C213" s="30" t="s">
        <v>206</v>
      </c>
      <c r="D213" s="30" t="s">
        <v>225</v>
      </c>
      <c r="E213" s="234" t="s">
        <v>709</v>
      </c>
      <c r="F213" s="235" t="s">
        <v>1240</v>
      </c>
      <c r="G213" s="284">
        <f>IFERROR(VLOOKUP(E213,Assign!$C$2:$J$142,8,FALSE),)</f>
        <v>0</v>
      </c>
      <c r="H213" s="197" t="s">
        <v>5434</v>
      </c>
      <c r="I213" s="324" t="s">
        <v>5435</v>
      </c>
      <c r="J213" s="237">
        <v>1</v>
      </c>
      <c r="K213" s="237">
        <v>1</v>
      </c>
      <c r="L213" s="265" t="s">
        <v>208</v>
      </c>
      <c r="M213" s="266" t="s">
        <v>234</v>
      </c>
      <c r="N213" s="266" t="s">
        <v>235</v>
      </c>
      <c r="O213" s="267" t="s">
        <v>2909</v>
      </c>
      <c r="P213" s="268" t="s">
        <v>2910</v>
      </c>
      <c r="Q213" s="269">
        <v>63852</v>
      </c>
      <c r="R213" s="269">
        <v>44.55</v>
      </c>
      <c r="S213" s="270"/>
      <c r="T213" s="182">
        <f>95.7536/63852</f>
        <v>1.4996178663158556E-3</v>
      </c>
      <c r="U213" s="182">
        <v>1</v>
      </c>
      <c r="V213" s="408">
        <v>1</v>
      </c>
      <c r="W213" s="357" t="s">
        <v>204</v>
      </c>
      <c r="X213" s="156">
        <v>448800000</v>
      </c>
      <c r="Y213" s="417">
        <v>448800000</v>
      </c>
      <c r="Z213" s="418" t="s">
        <v>359</v>
      </c>
      <c r="AA213" s="271"/>
      <c r="AB213" s="168"/>
      <c r="AC213" s="156"/>
      <c r="AD213" s="156"/>
      <c r="AE213" s="320"/>
      <c r="AF213" s="168"/>
      <c r="AG213" s="156"/>
      <c r="AH213" s="156"/>
      <c r="AI213" s="410"/>
    </row>
    <row r="214" spans="1:35" ht="19.5" hidden="1" customHeight="1">
      <c r="A214" s="137"/>
      <c r="B214" s="197">
        <f t="shared" si="4"/>
        <v>204</v>
      </c>
      <c r="C214" s="30" t="s">
        <v>206</v>
      </c>
      <c r="D214" s="30" t="s">
        <v>225</v>
      </c>
      <c r="E214" s="234" t="s">
        <v>710</v>
      </c>
      <c r="F214" s="235" t="s">
        <v>1226</v>
      </c>
      <c r="G214" s="284">
        <f>IFERROR(VLOOKUP(E214,Assign!$C$2:$J$142,8,FALSE),)</f>
        <v>0</v>
      </c>
      <c r="H214" s="197" t="s">
        <v>4104</v>
      </c>
      <c r="I214" s="324" t="s">
        <v>4105</v>
      </c>
      <c r="J214" s="237">
        <v>1</v>
      </c>
      <c r="K214" s="237">
        <v>1</v>
      </c>
      <c r="L214" s="265" t="s">
        <v>208</v>
      </c>
      <c r="M214" s="266" t="s">
        <v>242</v>
      </c>
      <c r="N214" s="266" t="s">
        <v>1680</v>
      </c>
      <c r="O214" s="267" t="s">
        <v>1681</v>
      </c>
      <c r="P214" s="268" t="s">
        <v>1682</v>
      </c>
      <c r="Q214" s="269">
        <f>3019.2+3003.6</f>
        <v>6022.7999999999993</v>
      </c>
      <c r="R214" s="269">
        <v>146.43</v>
      </c>
      <c r="S214" s="270"/>
      <c r="T214" s="182">
        <f>22.26/6022.8</f>
        <v>3.6959553695955372E-3</v>
      </c>
      <c r="U214" s="182">
        <v>1</v>
      </c>
      <c r="V214" s="408">
        <v>1</v>
      </c>
      <c r="W214" s="357" t="s">
        <v>204</v>
      </c>
      <c r="X214" s="156">
        <v>456000000</v>
      </c>
      <c r="Y214" s="417">
        <v>456000000</v>
      </c>
      <c r="Z214" s="418" t="s">
        <v>359</v>
      </c>
      <c r="AA214" s="271"/>
      <c r="AB214" s="168"/>
      <c r="AC214" s="156"/>
      <c r="AD214" s="156"/>
      <c r="AE214" s="320"/>
      <c r="AF214" s="168"/>
      <c r="AG214" s="156"/>
      <c r="AH214" s="156"/>
      <c r="AI214" s="410"/>
    </row>
    <row r="215" spans="1:35" ht="19.5" customHeight="1">
      <c r="A215" s="137"/>
      <c r="B215" s="197">
        <f t="shared" si="4"/>
        <v>205</v>
      </c>
      <c r="C215" s="30" t="s">
        <v>206</v>
      </c>
      <c r="D215" s="30" t="s">
        <v>225</v>
      </c>
      <c r="E215" s="234" t="s">
        <v>711</v>
      </c>
      <c r="F215" s="235" t="s">
        <v>1313</v>
      </c>
      <c r="G215" s="284" t="str">
        <f>IFERROR(VLOOKUP(E215,Assign!$C$2:$J$142,8,FALSE),)</f>
        <v>문선영</v>
      </c>
      <c r="H215" s="197" t="s">
        <v>5407</v>
      </c>
      <c r="I215" s="487" t="s">
        <v>5408</v>
      </c>
      <c r="J215" s="237">
        <v>1</v>
      </c>
      <c r="K215" s="237">
        <v>1</v>
      </c>
      <c r="L215" s="265" t="s">
        <v>221</v>
      </c>
      <c r="M215" s="266" t="s">
        <v>2878</v>
      </c>
      <c r="N215" s="266" t="s">
        <v>2879</v>
      </c>
      <c r="O215" s="267" t="s">
        <v>2880</v>
      </c>
      <c r="P215" s="268" t="s">
        <v>2881</v>
      </c>
      <c r="Q215" s="269"/>
      <c r="R215" s="269">
        <f>485.98+80.56</f>
        <v>566.54</v>
      </c>
      <c r="S215" s="270"/>
      <c r="T215" s="182"/>
      <c r="U215" s="182">
        <v>1</v>
      </c>
      <c r="V215" s="408">
        <v>1</v>
      </c>
      <c r="W215" s="357" t="s">
        <v>204</v>
      </c>
      <c r="X215" s="156">
        <v>336000000</v>
      </c>
      <c r="Y215" s="417">
        <v>336000000</v>
      </c>
      <c r="Z215" s="418" t="s">
        <v>359</v>
      </c>
      <c r="AA215" s="271"/>
      <c r="AB215" s="168"/>
      <c r="AC215" s="156"/>
      <c r="AD215" s="156"/>
      <c r="AE215" s="320"/>
      <c r="AF215" s="168"/>
      <c r="AG215" s="156"/>
      <c r="AH215" s="156"/>
      <c r="AI215" s="410"/>
    </row>
    <row r="216" spans="1:35" ht="19.5" customHeight="1">
      <c r="A216" s="137"/>
      <c r="B216" s="197">
        <f t="shared" si="4"/>
        <v>206</v>
      </c>
      <c r="C216" s="30" t="s">
        <v>206</v>
      </c>
      <c r="D216" s="30" t="s">
        <v>225</v>
      </c>
      <c r="E216" s="234" t="s">
        <v>711</v>
      </c>
      <c r="F216" s="235" t="s">
        <v>1313</v>
      </c>
      <c r="G216" s="284" t="str">
        <f>IFERROR(VLOOKUP(E216,Assign!$C$2:$J$142,8,FALSE),)</f>
        <v>문선영</v>
      </c>
      <c r="H216" s="197" t="s">
        <v>5407</v>
      </c>
      <c r="I216" s="324" t="s">
        <v>5409</v>
      </c>
      <c r="J216" s="237">
        <v>1</v>
      </c>
      <c r="K216" s="237">
        <v>2</v>
      </c>
      <c r="L216" s="265" t="s">
        <v>221</v>
      </c>
      <c r="M216" s="266" t="s">
        <v>2878</v>
      </c>
      <c r="N216" s="266" t="s">
        <v>2879</v>
      </c>
      <c r="O216" s="267" t="s">
        <v>2880</v>
      </c>
      <c r="P216" s="268" t="s">
        <v>447</v>
      </c>
      <c r="Q216" s="269">
        <v>1517</v>
      </c>
      <c r="R216" s="269"/>
      <c r="S216" s="270"/>
      <c r="T216" s="182"/>
      <c r="U216" s="182">
        <v>1</v>
      </c>
      <c r="V216" s="408">
        <v>1</v>
      </c>
      <c r="W216" s="357" t="s">
        <v>204</v>
      </c>
      <c r="X216" s="156">
        <v>336000000</v>
      </c>
      <c r="Y216" s="417">
        <v>336000000</v>
      </c>
      <c r="Z216" s="418" t="s">
        <v>359</v>
      </c>
      <c r="AA216" s="271"/>
      <c r="AB216" s="168"/>
      <c r="AC216" s="156"/>
      <c r="AD216" s="156"/>
      <c r="AE216" s="320"/>
      <c r="AF216" s="168"/>
      <c r="AG216" s="156"/>
      <c r="AH216" s="156"/>
      <c r="AI216" s="410"/>
    </row>
    <row r="217" spans="1:35" ht="19.5" hidden="1" customHeight="1">
      <c r="A217" s="137"/>
      <c r="B217" s="197">
        <f t="shared" si="4"/>
        <v>207</v>
      </c>
      <c r="C217" s="30" t="s">
        <v>206</v>
      </c>
      <c r="D217" s="30" t="s">
        <v>225</v>
      </c>
      <c r="E217" s="234" t="s">
        <v>712</v>
      </c>
      <c r="F217" s="235" t="s">
        <v>1226</v>
      </c>
      <c r="G217" s="284">
        <f>IFERROR(VLOOKUP(E217,Assign!$C$2:$J$142,8,FALSE),)</f>
        <v>0</v>
      </c>
      <c r="H217" s="197" t="s">
        <v>4092</v>
      </c>
      <c r="I217" s="324" t="s">
        <v>4093</v>
      </c>
      <c r="J217" s="237">
        <v>1</v>
      </c>
      <c r="K217" s="237">
        <v>1</v>
      </c>
      <c r="L217" s="265" t="s">
        <v>208</v>
      </c>
      <c r="M217" s="266" t="s">
        <v>365</v>
      </c>
      <c r="N217" s="266" t="s">
        <v>1667</v>
      </c>
      <c r="O217" s="267" t="s">
        <v>1668</v>
      </c>
      <c r="P217" s="268" t="s">
        <v>3507</v>
      </c>
      <c r="Q217" s="269">
        <f>2626.9+2628.9</f>
        <v>5255.8</v>
      </c>
      <c r="R217" s="269">
        <v>31.61</v>
      </c>
      <c r="S217" s="270"/>
      <c r="T217" s="182">
        <f>10.2798/5255.8</f>
        <v>1.9558963430876364E-3</v>
      </c>
      <c r="U217" s="182">
        <v>1</v>
      </c>
      <c r="V217" s="408">
        <v>1</v>
      </c>
      <c r="W217" s="357" t="s">
        <v>204</v>
      </c>
      <c r="X217" s="156">
        <v>432000000</v>
      </c>
      <c r="Y217" s="417">
        <v>432000000</v>
      </c>
      <c r="Z217" s="418" t="s">
        <v>359</v>
      </c>
      <c r="AA217" s="271"/>
      <c r="AB217" s="168"/>
      <c r="AC217" s="156"/>
      <c r="AD217" s="156"/>
      <c r="AE217" s="320"/>
      <c r="AF217" s="168"/>
      <c r="AG217" s="156"/>
      <c r="AH217" s="156"/>
      <c r="AI217" s="410"/>
    </row>
    <row r="218" spans="1:35" ht="19.5" customHeight="1">
      <c r="A218" s="137"/>
      <c r="B218" s="197">
        <f t="shared" si="4"/>
        <v>208</v>
      </c>
      <c r="C218" s="30" t="s">
        <v>206</v>
      </c>
      <c r="D218" s="30" t="s">
        <v>225</v>
      </c>
      <c r="E218" s="234" t="s">
        <v>713</v>
      </c>
      <c r="F218" s="235" t="s">
        <v>1231</v>
      </c>
      <c r="G218" s="284" t="str">
        <f>IFERROR(VLOOKUP(E218,Assign!$C$2:$J$142,8,FALSE),)</f>
        <v>문선영</v>
      </c>
      <c r="H218" s="197" t="s">
        <v>4423</v>
      </c>
      <c r="I218" s="324" t="s">
        <v>4424</v>
      </c>
      <c r="J218" s="237">
        <v>1</v>
      </c>
      <c r="K218" s="237">
        <v>1</v>
      </c>
      <c r="L218" s="265" t="s">
        <v>216</v>
      </c>
      <c r="M218" s="266" t="s">
        <v>277</v>
      </c>
      <c r="N218" s="266" t="s">
        <v>1757</v>
      </c>
      <c r="O218" s="267" t="s">
        <v>1978</v>
      </c>
      <c r="P218" s="268" t="s">
        <v>484</v>
      </c>
      <c r="Q218" s="269"/>
      <c r="R218" s="269">
        <f>194.865+149.6</f>
        <v>344.46500000000003</v>
      </c>
      <c r="S218" s="270"/>
      <c r="T218" s="182"/>
      <c r="U218" s="182">
        <v>1</v>
      </c>
      <c r="V218" s="408" t="s">
        <v>3061</v>
      </c>
      <c r="W218" s="357" t="s">
        <v>204</v>
      </c>
      <c r="X218" s="156">
        <v>432000000</v>
      </c>
      <c r="Y218" s="417">
        <v>432000000</v>
      </c>
      <c r="Z218" s="418" t="s">
        <v>534</v>
      </c>
      <c r="AA218" s="271"/>
      <c r="AB218" s="168"/>
      <c r="AC218" s="156"/>
      <c r="AD218" s="156"/>
      <c r="AE218" s="320" t="s">
        <v>292</v>
      </c>
      <c r="AF218" s="168" t="s">
        <v>204</v>
      </c>
      <c r="AG218" s="156">
        <v>432000000</v>
      </c>
      <c r="AH218" s="156">
        <v>432000000</v>
      </c>
      <c r="AI218" s="410"/>
    </row>
    <row r="219" spans="1:35" ht="19.5" customHeight="1">
      <c r="A219" s="137"/>
      <c r="B219" s="197">
        <f t="shared" si="4"/>
        <v>209</v>
      </c>
      <c r="C219" s="30" t="s">
        <v>206</v>
      </c>
      <c r="D219" s="30" t="s">
        <v>225</v>
      </c>
      <c r="E219" s="234" t="s">
        <v>713</v>
      </c>
      <c r="F219" s="235" t="s">
        <v>1231</v>
      </c>
      <c r="G219" s="284" t="str">
        <f>IFERROR(VLOOKUP(E219,Assign!$C$2:$J$142,8,FALSE),)</f>
        <v>문선영</v>
      </c>
      <c r="H219" s="197" t="s">
        <v>4423</v>
      </c>
      <c r="I219" s="324" t="s">
        <v>4425</v>
      </c>
      <c r="J219" s="237">
        <v>1</v>
      </c>
      <c r="K219" s="237">
        <v>2</v>
      </c>
      <c r="L219" s="265" t="s">
        <v>216</v>
      </c>
      <c r="M219" s="266" t="s">
        <v>277</v>
      </c>
      <c r="N219" s="266" t="s">
        <v>1757</v>
      </c>
      <c r="O219" s="267" t="s">
        <v>1978</v>
      </c>
      <c r="P219" s="268" t="s">
        <v>450</v>
      </c>
      <c r="Q219" s="269">
        <v>327</v>
      </c>
      <c r="R219" s="269"/>
      <c r="S219" s="270"/>
      <c r="T219" s="182"/>
      <c r="U219" s="182">
        <v>1</v>
      </c>
      <c r="V219" s="408" t="s">
        <v>3061</v>
      </c>
      <c r="W219" s="357" t="s">
        <v>204</v>
      </c>
      <c r="X219" s="156">
        <v>432000000</v>
      </c>
      <c r="Y219" s="417">
        <v>432000000</v>
      </c>
      <c r="Z219" s="418" t="s">
        <v>534</v>
      </c>
      <c r="AA219" s="271"/>
      <c r="AB219" s="168"/>
      <c r="AC219" s="156"/>
      <c r="AD219" s="156"/>
      <c r="AE219" s="320" t="s">
        <v>292</v>
      </c>
      <c r="AF219" s="168" t="s">
        <v>204</v>
      </c>
      <c r="AG219" s="156">
        <v>432000000</v>
      </c>
      <c r="AH219" s="156">
        <v>432000000</v>
      </c>
      <c r="AI219" s="410"/>
    </row>
    <row r="220" spans="1:35" ht="19.5" customHeight="1">
      <c r="A220" s="137"/>
      <c r="B220" s="197">
        <f t="shared" si="4"/>
        <v>210</v>
      </c>
      <c r="C220" s="30" t="s">
        <v>206</v>
      </c>
      <c r="D220" s="30" t="s">
        <v>225</v>
      </c>
      <c r="E220" s="234" t="s">
        <v>714</v>
      </c>
      <c r="F220" s="235" t="s">
        <v>1229</v>
      </c>
      <c r="G220" s="284" t="str">
        <f>IFERROR(VLOOKUP(E220,Assign!$C$2:$J$142,8,FALSE),)</f>
        <v>문선영</v>
      </c>
      <c r="H220" s="197" t="s">
        <v>4067</v>
      </c>
      <c r="I220" s="324" t="s">
        <v>4068</v>
      </c>
      <c r="J220" s="237">
        <v>1</v>
      </c>
      <c r="K220" s="237">
        <v>1</v>
      </c>
      <c r="L220" s="265" t="s">
        <v>208</v>
      </c>
      <c r="M220" s="266" t="s">
        <v>297</v>
      </c>
      <c r="N220" s="266" t="s">
        <v>1642</v>
      </c>
      <c r="O220" s="267" t="s">
        <v>1643</v>
      </c>
      <c r="P220" s="268" t="s">
        <v>455</v>
      </c>
      <c r="Q220" s="269">
        <v>172101.8</v>
      </c>
      <c r="R220" s="269">
        <v>205.32730000000001</v>
      </c>
      <c r="S220" s="270"/>
      <c r="T220" s="182">
        <f>180.9/172101.8</f>
        <v>1.0511220684501848E-3</v>
      </c>
      <c r="U220" s="182">
        <v>1</v>
      </c>
      <c r="V220" s="408">
        <v>1</v>
      </c>
      <c r="W220" s="357" t="s">
        <v>204</v>
      </c>
      <c r="X220" s="156">
        <v>504000000</v>
      </c>
      <c r="Y220" s="417">
        <v>504000000</v>
      </c>
      <c r="Z220" s="418" t="s">
        <v>359</v>
      </c>
      <c r="AA220" s="271"/>
      <c r="AB220" s="168"/>
      <c r="AC220" s="156"/>
      <c r="AD220" s="156"/>
      <c r="AE220" s="320"/>
      <c r="AF220" s="168"/>
      <c r="AG220" s="156"/>
      <c r="AH220" s="156"/>
      <c r="AI220" s="410"/>
    </row>
    <row r="221" spans="1:35" ht="19.5" hidden="1" customHeight="1">
      <c r="A221" s="137"/>
      <c r="B221" s="197">
        <f t="shared" si="4"/>
        <v>211</v>
      </c>
      <c r="C221" s="30" t="s">
        <v>206</v>
      </c>
      <c r="D221" s="30" t="s">
        <v>225</v>
      </c>
      <c r="E221" s="234" t="s">
        <v>715</v>
      </c>
      <c r="F221" s="235" t="s">
        <v>1223</v>
      </c>
      <c r="G221" s="284">
        <f>IFERROR(VLOOKUP(E221,Assign!$C$2:$J$142,8,FALSE),)</f>
        <v>0</v>
      </c>
      <c r="H221" s="197" t="s">
        <v>4342</v>
      </c>
      <c r="I221" s="324" t="s">
        <v>4343</v>
      </c>
      <c r="J221" s="237">
        <v>1</v>
      </c>
      <c r="K221" s="237">
        <v>1</v>
      </c>
      <c r="L221" s="265" t="s">
        <v>208</v>
      </c>
      <c r="M221" s="266" t="s">
        <v>280</v>
      </c>
      <c r="N221" s="266" t="s">
        <v>1903</v>
      </c>
      <c r="O221" s="267" t="s">
        <v>1904</v>
      </c>
      <c r="P221" s="268" t="s">
        <v>3534</v>
      </c>
      <c r="Q221" s="269">
        <v>72736.3</v>
      </c>
      <c r="R221" s="269">
        <v>84.979399999999998</v>
      </c>
      <c r="S221" s="270"/>
      <c r="T221" s="182">
        <f>52.2856/72736.3</f>
        <v>7.1883777426126985E-4</v>
      </c>
      <c r="U221" s="182">
        <v>1</v>
      </c>
      <c r="V221" s="408">
        <v>1</v>
      </c>
      <c r="W221" s="357" t="s">
        <v>204</v>
      </c>
      <c r="X221" s="156">
        <v>363000000</v>
      </c>
      <c r="Y221" s="417">
        <v>363000000</v>
      </c>
      <c r="Z221" s="418" t="s">
        <v>359</v>
      </c>
      <c r="AA221" s="271"/>
      <c r="AB221" s="168"/>
      <c r="AC221" s="156"/>
      <c r="AD221" s="156"/>
      <c r="AE221" s="320"/>
      <c r="AF221" s="168"/>
      <c r="AG221" s="156"/>
      <c r="AH221" s="156"/>
      <c r="AI221" s="410"/>
    </row>
    <row r="222" spans="1:35" ht="19.5" hidden="1" customHeight="1">
      <c r="A222" s="137"/>
      <c r="B222" s="197">
        <f t="shared" si="4"/>
        <v>212</v>
      </c>
      <c r="C222" s="30" t="s">
        <v>206</v>
      </c>
      <c r="D222" s="30" t="s">
        <v>225</v>
      </c>
      <c r="E222" s="234" t="s">
        <v>716</v>
      </c>
      <c r="F222" s="235" t="s">
        <v>1225</v>
      </c>
      <c r="G222" s="284">
        <f>IFERROR(VLOOKUP(E222,Assign!$C$2:$J$142,8,FALSE),)</f>
        <v>0</v>
      </c>
      <c r="H222" s="197" t="s">
        <v>4469</v>
      </c>
      <c r="I222" s="324" t="s">
        <v>4470</v>
      </c>
      <c r="J222" s="237">
        <v>1</v>
      </c>
      <c r="K222" s="237">
        <v>1</v>
      </c>
      <c r="L222" s="265" t="s">
        <v>208</v>
      </c>
      <c r="M222" s="266" t="s">
        <v>234</v>
      </c>
      <c r="N222" s="266" t="s">
        <v>317</v>
      </c>
      <c r="O222" s="267" t="s">
        <v>2013</v>
      </c>
      <c r="P222" s="268" t="s">
        <v>2014</v>
      </c>
      <c r="Q222" s="269">
        <v>17786.900000000001</v>
      </c>
      <c r="R222" s="269">
        <v>54.6</v>
      </c>
      <c r="S222" s="270"/>
      <c r="T222" s="182">
        <f>16.6466/17786.9</f>
        <v>9.3589102091989039E-4</v>
      </c>
      <c r="U222" s="182">
        <v>1</v>
      </c>
      <c r="V222" s="408">
        <v>1</v>
      </c>
      <c r="W222" s="357" t="s">
        <v>204</v>
      </c>
      <c r="X222" s="156">
        <v>300000000</v>
      </c>
      <c r="Y222" s="417">
        <v>300000000</v>
      </c>
      <c r="Z222" s="418" t="s">
        <v>359</v>
      </c>
      <c r="AA222" s="271"/>
      <c r="AB222" s="168"/>
      <c r="AC222" s="156"/>
      <c r="AD222" s="156"/>
      <c r="AE222" s="320"/>
      <c r="AF222" s="168"/>
      <c r="AG222" s="156"/>
      <c r="AH222" s="156"/>
      <c r="AI222" s="410"/>
    </row>
    <row r="223" spans="1:35" ht="19.5" hidden="1" customHeight="1">
      <c r="A223" s="137"/>
      <c r="B223" s="197">
        <f t="shared" si="4"/>
        <v>213</v>
      </c>
      <c r="C223" s="30" t="s">
        <v>206</v>
      </c>
      <c r="D223" s="30" t="s">
        <v>225</v>
      </c>
      <c r="E223" s="234" t="s">
        <v>716</v>
      </c>
      <c r="F223" s="235" t="s">
        <v>1225</v>
      </c>
      <c r="G223" s="284">
        <f>IFERROR(VLOOKUP(E223,Assign!$C$2:$J$142,8,FALSE),)</f>
        <v>0</v>
      </c>
      <c r="H223" s="197" t="s">
        <v>4469</v>
      </c>
      <c r="I223" s="324" t="s">
        <v>4471</v>
      </c>
      <c r="J223" s="237">
        <v>1</v>
      </c>
      <c r="K223" s="237">
        <v>2</v>
      </c>
      <c r="L223" s="265" t="s">
        <v>208</v>
      </c>
      <c r="M223" s="266" t="s">
        <v>234</v>
      </c>
      <c r="N223" s="266" t="s">
        <v>317</v>
      </c>
      <c r="O223" s="267" t="s">
        <v>2015</v>
      </c>
      <c r="P223" s="268" t="s">
        <v>2014</v>
      </c>
      <c r="Q223" s="269">
        <v>17786.900000000001</v>
      </c>
      <c r="R223" s="269">
        <v>54.6</v>
      </c>
      <c r="S223" s="270"/>
      <c r="T223" s="182">
        <f>16.6466/17786.9</f>
        <v>9.3589102091989039E-4</v>
      </c>
      <c r="U223" s="182">
        <v>1</v>
      </c>
      <c r="V223" s="408">
        <v>1</v>
      </c>
      <c r="W223" s="357" t="s">
        <v>204</v>
      </c>
      <c r="X223" s="156">
        <v>300000000</v>
      </c>
      <c r="Y223" s="417">
        <v>300000000</v>
      </c>
      <c r="Z223" s="418" t="s">
        <v>359</v>
      </c>
      <c r="AA223" s="271"/>
      <c r="AB223" s="168"/>
      <c r="AC223" s="156"/>
      <c r="AD223" s="156"/>
      <c r="AE223" s="320"/>
      <c r="AF223" s="168"/>
      <c r="AG223" s="156"/>
      <c r="AH223" s="156"/>
      <c r="AI223" s="410"/>
    </row>
    <row r="224" spans="1:35" ht="19.5" hidden="1" customHeight="1">
      <c r="A224" s="137"/>
      <c r="B224" s="197">
        <f t="shared" si="4"/>
        <v>214</v>
      </c>
      <c r="C224" s="30" t="s">
        <v>206</v>
      </c>
      <c r="D224" s="30" t="s">
        <v>225</v>
      </c>
      <c r="E224" s="234" t="s">
        <v>716</v>
      </c>
      <c r="F224" s="235" t="s">
        <v>1225</v>
      </c>
      <c r="G224" s="284">
        <f>IFERROR(VLOOKUP(E224,Assign!$C$2:$J$142,8,FALSE),)</f>
        <v>0</v>
      </c>
      <c r="H224" s="197" t="s">
        <v>4472</v>
      </c>
      <c r="I224" s="324" t="s">
        <v>4473</v>
      </c>
      <c r="J224" s="237">
        <v>2</v>
      </c>
      <c r="K224" s="237">
        <v>1</v>
      </c>
      <c r="L224" s="265" t="s">
        <v>208</v>
      </c>
      <c r="M224" s="266" t="s">
        <v>236</v>
      </c>
      <c r="N224" s="266" t="s">
        <v>267</v>
      </c>
      <c r="O224" s="267" t="s">
        <v>2016</v>
      </c>
      <c r="P224" s="268" t="s">
        <v>439</v>
      </c>
      <c r="Q224" s="269">
        <v>17056</v>
      </c>
      <c r="R224" s="269">
        <v>134.63999999999999</v>
      </c>
      <c r="S224" s="270"/>
      <c r="T224" s="182">
        <f>49.121/17056</f>
        <v>2.8799835834896811E-3</v>
      </c>
      <c r="U224" s="182">
        <v>1</v>
      </c>
      <c r="V224" s="408">
        <v>3</v>
      </c>
      <c r="W224" s="357" t="s">
        <v>204</v>
      </c>
      <c r="X224" s="156">
        <v>80400000</v>
      </c>
      <c r="Y224" s="417">
        <v>80400000</v>
      </c>
      <c r="Z224" s="418" t="s">
        <v>359</v>
      </c>
      <c r="AA224" s="271" t="s">
        <v>229</v>
      </c>
      <c r="AB224" s="168" t="s">
        <v>204</v>
      </c>
      <c r="AC224" s="156">
        <v>444000000</v>
      </c>
      <c r="AD224" s="156">
        <v>444000000</v>
      </c>
      <c r="AE224" s="320"/>
      <c r="AF224" s="168"/>
      <c r="AG224" s="156"/>
      <c r="AH224" s="156"/>
      <c r="AI224" s="410"/>
    </row>
    <row r="225" spans="1:35" ht="19.5" hidden="1" customHeight="1">
      <c r="A225" s="137"/>
      <c r="B225" s="197">
        <f t="shared" si="4"/>
        <v>215</v>
      </c>
      <c r="C225" s="30" t="s">
        <v>206</v>
      </c>
      <c r="D225" s="30" t="s">
        <v>225</v>
      </c>
      <c r="E225" s="234" t="s">
        <v>717</v>
      </c>
      <c r="F225" s="235" t="s">
        <v>1225</v>
      </c>
      <c r="G225" s="284">
        <f>IFERROR(VLOOKUP(E225,Assign!$C$2:$J$142,8,FALSE),)</f>
        <v>0</v>
      </c>
      <c r="H225" s="197" t="s">
        <v>4797</v>
      </c>
      <c r="I225" s="324" t="s">
        <v>4798</v>
      </c>
      <c r="J225" s="237">
        <v>1</v>
      </c>
      <c r="K225" s="237">
        <v>1</v>
      </c>
      <c r="L225" s="265" t="s">
        <v>209</v>
      </c>
      <c r="M225" s="266" t="s">
        <v>305</v>
      </c>
      <c r="N225" s="266" t="s">
        <v>306</v>
      </c>
      <c r="O225" s="267" t="s">
        <v>2328</v>
      </c>
      <c r="P225" s="268" t="s">
        <v>2329</v>
      </c>
      <c r="Q225" s="269">
        <v>450.5</v>
      </c>
      <c r="R225" s="269">
        <v>55.94</v>
      </c>
      <c r="S225" s="270"/>
      <c r="T225" s="182">
        <f>33.05/450.5</f>
        <v>7.3362930077691443E-2</v>
      </c>
      <c r="U225" s="182">
        <v>1</v>
      </c>
      <c r="V225" s="408">
        <v>1</v>
      </c>
      <c r="W225" s="357" t="s">
        <v>204</v>
      </c>
      <c r="X225" s="156">
        <v>236400000</v>
      </c>
      <c r="Y225" s="417">
        <v>236400000</v>
      </c>
      <c r="Z225" s="418" t="s">
        <v>359</v>
      </c>
      <c r="AA225" s="271"/>
      <c r="AB225" s="168"/>
      <c r="AC225" s="156"/>
      <c r="AD225" s="156"/>
      <c r="AE225" s="320"/>
      <c r="AF225" s="168"/>
      <c r="AG225" s="156"/>
      <c r="AH225" s="156"/>
      <c r="AI225" s="410"/>
    </row>
    <row r="226" spans="1:35" ht="19.5" hidden="1" customHeight="1">
      <c r="A226" s="137"/>
      <c r="B226" s="197">
        <f t="shared" si="4"/>
        <v>216</v>
      </c>
      <c r="C226" s="30" t="s">
        <v>206</v>
      </c>
      <c r="D226" s="30" t="s">
        <v>225</v>
      </c>
      <c r="E226" s="234" t="s">
        <v>717</v>
      </c>
      <c r="F226" s="235" t="s">
        <v>1225</v>
      </c>
      <c r="G226" s="284">
        <f>IFERROR(VLOOKUP(E226,Assign!$C$2:$J$142,8,FALSE),)</f>
        <v>0</v>
      </c>
      <c r="H226" s="197" t="s">
        <v>4799</v>
      </c>
      <c r="I226" s="324" t="s">
        <v>4800</v>
      </c>
      <c r="J226" s="237">
        <v>2</v>
      </c>
      <c r="K226" s="237">
        <v>1</v>
      </c>
      <c r="L226" s="265" t="s">
        <v>209</v>
      </c>
      <c r="M226" s="266" t="s">
        <v>305</v>
      </c>
      <c r="N226" s="266" t="s">
        <v>306</v>
      </c>
      <c r="O226" s="267" t="s">
        <v>3730</v>
      </c>
      <c r="P226" s="268" t="s">
        <v>3732</v>
      </c>
      <c r="Q226" s="269"/>
      <c r="R226" s="269"/>
      <c r="S226" s="270"/>
      <c r="T226" s="182"/>
      <c r="U226" s="182">
        <v>1</v>
      </c>
      <c r="V226" s="408">
        <v>1</v>
      </c>
      <c r="W226" s="357" t="s">
        <v>204</v>
      </c>
      <c r="X226" s="156">
        <v>600000000</v>
      </c>
      <c r="Y226" s="417">
        <v>600000000</v>
      </c>
      <c r="Z226" s="418" t="s">
        <v>359</v>
      </c>
      <c r="AA226" s="271"/>
      <c r="AB226" s="168"/>
      <c r="AC226" s="156"/>
      <c r="AD226" s="156"/>
      <c r="AE226" s="320"/>
      <c r="AF226" s="168"/>
      <c r="AG226" s="156"/>
      <c r="AH226" s="156"/>
      <c r="AI226" s="410"/>
    </row>
    <row r="227" spans="1:35" ht="19.5" customHeight="1">
      <c r="A227" s="137"/>
      <c r="B227" s="197">
        <f t="shared" si="4"/>
        <v>217</v>
      </c>
      <c r="C227" s="30" t="s">
        <v>206</v>
      </c>
      <c r="D227" s="30" t="s">
        <v>225</v>
      </c>
      <c r="E227" s="234" t="s">
        <v>718</v>
      </c>
      <c r="F227" s="235" t="s">
        <v>1229</v>
      </c>
      <c r="G227" s="284" t="str">
        <f>IFERROR(VLOOKUP(E227,Assign!$C$2:$J$142,8,FALSE),)</f>
        <v>문선영</v>
      </c>
      <c r="H227" s="197" t="s">
        <v>4370</v>
      </c>
      <c r="I227" s="324" t="s">
        <v>4371</v>
      </c>
      <c r="J227" s="237">
        <v>1</v>
      </c>
      <c r="K227" s="237">
        <v>1</v>
      </c>
      <c r="L227" s="265" t="s">
        <v>208</v>
      </c>
      <c r="M227" s="266" t="s">
        <v>228</v>
      </c>
      <c r="N227" s="266" t="s">
        <v>1925</v>
      </c>
      <c r="O227" s="267" t="s">
        <v>1926</v>
      </c>
      <c r="P227" s="268" t="s">
        <v>588</v>
      </c>
      <c r="Q227" s="269">
        <f>1379+65+68</f>
        <v>1512</v>
      </c>
      <c r="R227" s="269">
        <v>76.655000000000001</v>
      </c>
      <c r="S227" s="270"/>
      <c r="T227" s="182">
        <f>108/1512</f>
        <v>7.1428571428571425E-2</v>
      </c>
      <c r="U227" s="182">
        <v>1</v>
      </c>
      <c r="V227" s="408">
        <v>1</v>
      </c>
      <c r="W227" s="357" t="s">
        <v>204</v>
      </c>
      <c r="X227" s="156">
        <v>630000000</v>
      </c>
      <c r="Y227" s="417">
        <v>630000000</v>
      </c>
      <c r="Z227" s="418" t="s">
        <v>359</v>
      </c>
      <c r="AA227" s="271"/>
      <c r="AB227" s="168"/>
      <c r="AC227" s="156"/>
      <c r="AD227" s="156"/>
      <c r="AE227" s="320"/>
      <c r="AF227" s="168"/>
      <c r="AG227" s="156"/>
      <c r="AH227" s="156"/>
      <c r="AI227" s="410"/>
    </row>
    <row r="228" spans="1:35" ht="19.5" customHeight="1">
      <c r="A228" s="137"/>
      <c r="B228" s="197">
        <f t="shared" si="4"/>
        <v>218</v>
      </c>
      <c r="C228" s="30" t="s">
        <v>206</v>
      </c>
      <c r="D228" s="30" t="s">
        <v>225</v>
      </c>
      <c r="E228" s="234" t="s">
        <v>718</v>
      </c>
      <c r="F228" s="235" t="s">
        <v>1229</v>
      </c>
      <c r="G228" s="284" t="str">
        <f>IFERROR(VLOOKUP(E228,Assign!$C$2:$J$142,8,FALSE),)</f>
        <v>문선영</v>
      </c>
      <c r="H228" s="197" t="s">
        <v>4372</v>
      </c>
      <c r="I228" s="324" t="s">
        <v>4373</v>
      </c>
      <c r="J228" s="237">
        <v>2</v>
      </c>
      <c r="K228" s="237">
        <v>1</v>
      </c>
      <c r="L228" s="265" t="s">
        <v>208</v>
      </c>
      <c r="M228" s="266" t="s">
        <v>228</v>
      </c>
      <c r="N228" s="266" t="s">
        <v>1925</v>
      </c>
      <c r="O228" s="267" t="s">
        <v>1927</v>
      </c>
      <c r="P228" s="268" t="s">
        <v>588</v>
      </c>
      <c r="Q228" s="269">
        <f>1379+65+68</f>
        <v>1512</v>
      </c>
      <c r="R228" s="269">
        <v>76.655000000000001</v>
      </c>
      <c r="S228" s="270"/>
      <c r="T228" s="182">
        <f>108/1512</f>
        <v>7.1428571428571425E-2</v>
      </c>
      <c r="U228" s="182">
        <v>1</v>
      </c>
      <c r="V228" s="408">
        <v>1</v>
      </c>
      <c r="W228" s="357" t="s">
        <v>204</v>
      </c>
      <c r="X228" s="156">
        <v>630000000</v>
      </c>
      <c r="Y228" s="417">
        <v>630000000</v>
      </c>
      <c r="Z228" s="418" t="s">
        <v>359</v>
      </c>
      <c r="AA228" s="271"/>
      <c r="AB228" s="168"/>
      <c r="AC228" s="156"/>
      <c r="AD228" s="156"/>
      <c r="AE228" s="320"/>
      <c r="AF228" s="168"/>
      <c r="AG228" s="156"/>
      <c r="AH228" s="156"/>
      <c r="AI228" s="410"/>
    </row>
    <row r="229" spans="1:35" ht="19.5" customHeight="1">
      <c r="A229" s="137"/>
      <c r="B229" s="197">
        <f t="shared" si="4"/>
        <v>219</v>
      </c>
      <c r="C229" s="30" t="s">
        <v>206</v>
      </c>
      <c r="D229" s="30" t="s">
        <v>225</v>
      </c>
      <c r="E229" s="234" t="s">
        <v>719</v>
      </c>
      <c r="F229" s="235" t="s">
        <v>1225</v>
      </c>
      <c r="G229" s="284" t="str">
        <f>IFERROR(VLOOKUP(E229,Assign!$C$2:$J$142,8,FALSE),)</f>
        <v>문선영</v>
      </c>
      <c r="H229" s="197" t="s">
        <v>4183</v>
      </c>
      <c r="I229" s="324" t="s">
        <v>4184</v>
      </c>
      <c r="J229" s="237">
        <v>1</v>
      </c>
      <c r="K229" s="237">
        <v>1</v>
      </c>
      <c r="L229" s="265" t="s">
        <v>208</v>
      </c>
      <c r="M229" s="266" t="s">
        <v>394</v>
      </c>
      <c r="N229" s="266" t="s">
        <v>1757</v>
      </c>
      <c r="O229" s="267" t="s">
        <v>1758</v>
      </c>
      <c r="P229" s="268" t="s">
        <v>1759</v>
      </c>
      <c r="Q229" s="269">
        <v>8482.9</v>
      </c>
      <c r="R229" s="269">
        <v>36.426000000000002</v>
      </c>
      <c r="S229" s="270"/>
      <c r="T229" s="182">
        <f>11.1551/8482.9</f>
        <v>1.3150101969845217E-3</v>
      </c>
      <c r="U229" s="182">
        <v>1</v>
      </c>
      <c r="V229" s="408">
        <v>1</v>
      </c>
      <c r="W229" s="357" t="s">
        <v>204</v>
      </c>
      <c r="X229" s="156">
        <v>157500000</v>
      </c>
      <c r="Y229" s="417">
        <v>157500000</v>
      </c>
      <c r="Z229" s="418" t="s">
        <v>359</v>
      </c>
      <c r="AA229" s="271"/>
      <c r="AB229" s="168"/>
      <c r="AC229" s="156"/>
      <c r="AD229" s="156"/>
      <c r="AE229" s="320"/>
      <c r="AF229" s="168"/>
      <c r="AG229" s="156"/>
      <c r="AH229" s="156"/>
      <c r="AI229" s="410"/>
    </row>
    <row r="230" spans="1:35" ht="19.5" customHeight="1">
      <c r="A230" s="137"/>
      <c r="B230" s="197">
        <f t="shared" si="4"/>
        <v>220</v>
      </c>
      <c r="C230" s="30" t="s">
        <v>206</v>
      </c>
      <c r="D230" s="30" t="s">
        <v>225</v>
      </c>
      <c r="E230" s="234" t="s">
        <v>719</v>
      </c>
      <c r="F230" s="235" t="s">
        <v>1225</v>
      </c>
      <c r="G230" s="284" t="str">
        <f>IFERROR(VLOOKUP(E230,Assign!$C$2:$J$142,8,FALSE),)</f>
        <v>문선영</v>
      </c>
      <c r="H230" s="197" t="s">
        <v>4185</v>
      </c>
      <c r="I230" s="324" t="s">
        <v>4186</v>
      </c>
      <c r="J230" s="237">
        <v>2</v>
      </c>
      <c r="K230" s="237">
        <v>1</v>
      </c>
      <c r="L230" s="265" t="s">
        <v>208</v>
      </c>
      <c r="M230" s="266" t="s">
        <v>394</v>
      </c>
      <c r="N230" s="266" t="s">
        <v>1757</v>
      </c>
      <c r="O230" s="267" t="s">
        <v>1760</v>
      </c>
      <c r="P230" s="268" t="s">
        <v>1759</v>
      </c>
      <c r="Q230" s="269">
        <v>8482.9</v>
      </c>
      <c r="R230" s="269">
        <v>36.426000000000002</v>
      </c>
      <c r="S230" s="270"/>
      <c r="T230" s="182">
        <f>11.1551/8482.9</f>
        <v>1.3150101969845217E-3</v>
      </c>
      <c r="U230" s="182">
        <v>1</v>
      </c>
      <c r="V230" s="408">
        <v>1</v>
      </c>
      <c r="W230" s="357" t="s">
        <v>204</v>
      </c>
      <c r="X230" s="156">
        <v>157500000</v>
      </c>
      <c r="Y230" s="417">
        <v>157500000</v>
      </c>
      <c r="Z230" s="418" t="s">
        <v>359</v>
      </c>
      <c r="AA230" s="271"/>
      <c r="AB230" s="168"/>
      <c r="AC230" s="156"/>
      <c r="AD230" s="156"/>
      <c r="AE230" s="320"/>
      <c r="AF230" s="168"/>
      <c r="AG230" s="156"/>
      <c r="AH230" s="156"/>
      <c r="AI230" s="410"/>
    </row>
    <row r="231" spans="1:35" ht="19.5" hidden="1" customHeight="1">
      <c r="A231" s="137"/>
      <c r="B231" s="197">
        <f t="shared" si="4"/>
        <v>221</v>
      </c>
      <c r="C231" s="30" t="s">
        <v>206</v>
      </c>
      <c r="D231" s="30" t="s">
        <v>225</v>
      </c>
      <c r="E231" s="234" t="s">
        <v>720</v>
      </c>
      <c r="F231" s="235" t="s">
        <v>1225</v>
      </c>
      <c r="G231" s="284">
        <f>IFERROR(VLOOKUP(E231,Assign!$C$2:$J$142,8,FALSE),)</f>
        <v>0</v>
      </c>
      <c r="H231" s="197" t="s">
        <v>4382</v>
      </c>
      <c r="I231" s="324" t="s">
        <v>4383</v>
      </c>
      <c r="J231" s="237">
        <v>1</v>
      </c>
      <c r="K231" s="237">
        <v>1</v>
      </c>
      <c r="L231" s="265" t="s">
        <v>209</v>
      </c>
      <c r="M231" s="266" t="s">
        <v>305</v>
      </c>
      <c r="N231" s="266" t="s">
        <v>306</v>
      </c>
      <c r="O231" s="267" t="s">
        <v>1938</v>
      </c>
      <c r="P231" s="268" t="s">
        <v>445</v>
      </c>
      <c r="Q231" s="269">
        <f>46282.6+15123.4</f>
        <v>61406</v>
      </c>
      <c r="R231" s="269">
        <v>84.99</v>
      </c>
      <c r="S231" s="270"/>
      <c r="T231" s="182">
        <f>49.75/61406</f>
        <v>8.1018141549685696E-4</v>
      </c>
      <c r="U231" s="182">
        <v>1</v>
      </c>
      <c r="V231" s="408" t="s">
        <v>229</v>
      </c>
      <c r="W231" s="357" t="s">
        <v>204</v>
      </c>
      <c r="X231" s="156">
        <v>442600000</v>
      </c>
      <c r="Y231" s="417">
        <v>442600000</v>
      </c>
      <c r="Z231" s="418" t="s">
        <v>359</v>
      </c>
      <c r="AA231" s="271"/>
      <c r="AB231" s="168"/>
      <c r="AC231" s="156"/>
      <c r="AD231" s="156"/>
      <c r="AE231" s="320"/>
      <c r="AF231" s="168"/>
      <c r="AG231" s="156"/>
      <c r="AH231" s="156"/>
      <c r="AI231" s="410"/>
    </row>
    <row r="232" spans="1:35" ht="19.5" hidden="1" customHeight="1">
      <c r="A232" s="137"/>
      <c r="B232" s="197">
        <f t="shared" si="4"/>
        <v>222</v>
      </c>
      <c r="C232" s="30" t="s">
        <v>206</v>
      </c>
      <c r="D232" s="30" t="s">
        <v>225</v>
      </c>
      <c r="E232" s="234" t="s">
        <v>721</v>
      </c>
      <c r="F232" s="235" t="s">
        <v>1236</v>
      </c>
      <c r="G232" s="284">
        <f>IFERROR(VLOOKUP(E232,Assign!$C$2:$J$142,8,FALSE),)</f>
        <v>0</v>
      </c>
      <c r="H232" s="197" t="s">
        <v>4648</v>
      </c>
      <c r="I232" s="324" t="s">
        <v>4649</v>
      </c>
      <c r="J232" s="237">
        <v>1</v>
      </c>
      <c r="K232" s="237">
        <v>1</v>
      </c>
      <c r="L232" s="265" t="s">
        <v>209</v>
      </c>
      <c r="M232" s="266" t="s">
        <v>231</v>
      </c>
      <c r="N232" s="266" t="s">
        <v>2181</v>
      </c>
      <c r="O232" s="267" t="s">
        <v>2182</v>
      </c>
      <c r="P232" s="268" t="s">
        <v>471</v>
      </c>
      <c r="Q232" s="269">
        <v>23637</v>
      </c>
      <c r="R232" s="269">
        <v>37.56</v>
      </c>
      <c r="S232" s="270"/>
      <c r="T232" s="182">
        <f>5.88/23637</f>
        <v>2.487625333164107E-4</v>
      </c>
      <c r="U232" s="182">
        <v>1</v>
      </c>
      <c r="V232" s="408">
        <v>1</v>
      </c>
      <c r="W232" s="357" t="s">
        <v>204</v>
      </c>
      <c r="X232" s="156">
        <v>360000000</v>
      </c>
      <c r="Y232" s="417">
        <v>360000000</v>
      </c>
      <c r="Z232" s="418" t="s">
        <v>359</v>
      </c>
      <c r="AA232" s="271"/>
      <c r="AB232" s="168"/>
      <c r="AC232" s="156"/>
      <c r="AD232" s="156"/>
      <c r="AE232" s="320"/>
      <c r="AF232" s="168"/>
      <c r="AG232" s="156"/>
      <c r="AH232" s="156"/>
      <c r="AI232" s="410"/>
    </row>
    <row r="233" spans="1:35" ht="19.5" hidden="1" customHeight="1">
      <c r="A233" s="137"/>
      <c r="B233" s="197">
        <f t="shared" si="4"/>
        <v>223</v>
      </c>
      <c r="C233" s="30" t="s">
        <v>206</v>
      </c>
      <c r="D233" s="30" t="s">
        <v>225</v>
      </c>
      <c r="E233" s="234" t="s">
        <v>722</v>
      </c>
      <c r="F233" s="235" t="s">
        <v>1220</v>
      </c>
      <c r="G233" s="284">
        <f>IFERROR(VLOOKUP(E233,Assign!$C$2:$J$142,8,FALSE),)</f>
        <v>0</v>
      </c>
      <c r="H233" s="197" t="s">
        <v>4364</v>
      </c>
      <c r="I233" s="324" t="s">
        <v>4365</v>
      </c>
      <c r="J233" s="237">
        <v>1</v>
      </c>
      <c r="K233" s="237">
        <v>1</v>
      </c>
      <c r="L233" s="265" t="s">
        <v>219</v>
      </c>
      <c r="M233" s="266" t="s">
        <v>313</v>
      </c>
      <c r="N233" s="266" t="s">
        <v>1921</v>
      </c>
      <c r="O233" s="267" t="s">
        <v>1922</v>
      </c>
      <c r="P233" s="268" t="s">
        <v>430</v>
      </c>
      <c r="Q233" s="269">
        <v>42494</v>
      </c>
      <c r="R233" s="269">
        <v>84.983599999999996</v>
      </c>
      <c r="S233" s="270"/>
      <c r="T233" s="182">
        <f>47.6707/42494</f>
        <v>1.1218219042688378E-3</v>
      </c>
      <c r="U233" s="182">
        <v>1</v>
      </c>
      <c r="V233" s="408">
        <v>1</v>
      </c>
      <c r="W233" s="357" t="s">
        <v>204</v>
      </c>
      <c r="X233" s="156">
        <v>346500000</v>
      </c>
      <c r="Y233" s="417">
        <v>346500000</v>
      </c>
      <c r="Z233" s="418" t="s">
        <v>359</v>
      </c>
      <c r="AA233" s="271"/>
      <c r="AB233" s="168"/>
      <c r="AC233" s="156"/>
      <c r="AD233" s="156"/>
      <c r="AE233" s="320"/>
      <c r="AF233" s="168"/>
      <c r="AG233" s="156"/>
      <c r="AH233" s="156"/>
      <c r="AI233" s="410"/>
    </row>
    <row r="234" spans="1:35" ht="19.5" customHeight="1">
      <c r="A234" s="137"/>
      <c r="B234" s="197">
        <f t="shared" si="4"/>
        <v>224</v>
      </c>
      <c r="C234" s="30" t="s">
        <v>206</v>
      </c>
      <c r="D234" s="30" t="s">
        <v>225</v>
      </c>
      <c r="E234" s="234" t="s">
        <v>723</v>
      </c>
      <c r="F234" s="235" t="s">
        <v>1314</v>
      </c>
      <c r="G234" s="284" t="str">
        <f>IFERROR(VLOOKUP(E234,Assign!$C$2:$J$142,8,FALSE),)</f>
        <v>문선영</v>
      </c>
      <c r="H234" s="197" t="s">
        <v>5548</v>
      </c>
      <c r="I234" s="324" t="s">
        <v>5549</v>
      </c>
      <c r="J234" s="237">
        <v>1</v>
      </c>
      <c r="K234" s="237">
        <v>1</v>
      </c>
      <c r="L234" s="265" t="s">
        <v>215</v>
      </c>
      <c r="M234" s="266" t="s">
        <v>277</v>
      </c>
      <c r="N234" s="266" t="s">
        <v>3019</v>
      </c>
      <c r="O234" s="267" t="s">
        <v>3020</v>
      </c>
      <c r="P234" s="268" t="s">
        <v>451</v>
      </c>
      <c r="Q234" s="269">
        <v>51597.9</v>
      </c>
      <c r="R234" s="269">
        <v>84.95</v>
      </c>
      <c r="S234" s="270"/>
      <c r="T234" s="182">
        <f>53.14/51597.9</f>
        <v>1.0298868752410466E-3</v>
      </c>
      <c r="U234" s="182">
        <v>1</v>
      </c>
      <c r="V234" s="408">
        <v>1</v>
      </c>
      <c r="W234" s="357" t="s">
        <v>204</v>
      </c>
      <c r="X234" s="156">
        <v>414000000</v>
      </c>
      <c r="Y234" s="417">
        <v>414000000</v>
      </c>
      <c r="Z234" s="418" t="s">
        <v>359</v>
      </c>
      <c r="AA234" s="271"/>
      <c r="AB234" s="168"/>
      <c r="AC234" s="156"/>
      <c r="AD234" s="156"/>
      <c r="AE234" s="320"/>
      <c r="AF234" s="168"/>
      <c r="AG234" s="156"/>
      <c r="AH234" s="156"/>
      <c r="AI234" s="410"/>
    </row>
    <row r="235" spans="1:35" ht="19.5" hidden="1" customHeight="1">
      <c r="A235" s="137"/>
      <c r="B235" s="197">
        <f t="shared" si="4"/>
        <v>225</v>
      </c>
      <c r="C235" s="30" t="s">
        <v>206</v>
      </c>
      <c r="D235" s="30" t="s">
        <v>225</v>
      </c>
      <c r="E235" s="234" t="s">
        <v>724</v>
      </c>
      <c r="F235" s="235" t="s">
        <v>1229</v>
      </c>
      <c r="G235" s="284">
        <f>IFERROR(VLOOKUP(E235,Assign!$C$2:$J$142,8,FALSE),)</f>
        <v>0</v>
      </c>
      <c r="H235" s="197" t="s">
        <v>4654</v>
      </c>
      <c r="I235" s="324" t="s">
        <v>4655</v>
      </c>
      <c r="J235" s="237">
        <v>1</v>
      </c>
      <c r="K235" s="237">
        <v>1</v>
      </c>
      <c r="L235" s="265" t="s">
        <v>208</v>
      </c>
      <c r="M235" s="266" t="s">
        <v>2188</v>
      </c>
      <c r="N235" s="266" t="s">
        <v>2189</v>
      </c>
      <c r="O235" s="267" t="s">
        <v>2190</v>
      </c>
      <c r="P235" s="268" t="s">
        <v>2191</v>
      </c>
      <c r="Q235" s="269">
        <v>2857.1</v>
      </c>
      <c r="R235" s="269">
        <v>23.8</v>
      </c>
      <c r="S235" s="270"/>
      <c r="T235" s="182" t="s">
        <v>273</v>
      </c>
      <c r="U235" s="182">
        <v>1</v>
      </c>
      <c r="V235" s="408">
        <v>1</v>
      </c>
      <c r="W235" s="357" t="s">
        <v>204</v>
      </c>
      <c r="X235" s="156">
        <v>366000000</v>
      </c>
      <c r="Y235" s="417">
        <v>366000000</v>
      </c>
      <c r="Z235" s="418" t="s">
        <v>359</v>
      </c>
      <c r="AA235" s="271"/>
      <c r="AB235" s="168"/>
      <c r="AC235" s="156"/>
      <c r="AD235" s="156"/>
      <c r="AE235" s="320"/>
      <c r="AF235" s="168"/>
      <c r="AG235" s="156"/>
      <c r="AH235" s="156"/>
      <c r="AI235" s="410"/>
    </row>
    <row r="236" spans="1:35" ht="19.5" customHeight="1">
      <c r="A236" s="137"/>
      <c r="B236" s="197">
        <f t="shared" si="4"/>
        <v>226</v>
      </c>
      <c r="C236" s="30" t="s">
        <v>206</v>
      </c>
      <c r="D236" s="30" t="s">
        <v>225</v>
      </c>
      <c r="E236" s="234" t="s">
        <v>725</v>
      </c>
      <c r="F236" s="235" t="s">
        <v>1229</v>
      </c>
      <c r="G236" s="284" t="str">
        <f>IFERROR(VLOOKUP(E236,Assign!$C$2:$J$142,8,FALSE),)</f>
        <v>문선영</v>
      </c>
      <c r="H236" s="197" t="s">
        <v>4817</v>
      </c>
      <c r="I236" s="324" t="s">
        <v>4818</v>
      </c>
      <c r="J236" s="237">
        <v>1</v>
      </c>
      <c r="K236" s="237">
        <v>1</v>
      </c>
      <c r="L236" s="265" t="s">
        <v>212</v>
      </c>
      <c r="M236" s="266" t="s">
        <v>294</v>
      </c>
      <c r="N236" s="266" t="s">
        <v>2346</v>
      </c>
      <c r="O236" s="267" t="s">
        <v>2347</v>
      </c>
      <c r="P236" s="268" t="s">
        <v>2348</v>
      </c>
      <c r="Q236" s="269">
        <v>9117.7999999999993</v>
      </c>
      <c r="R236" s="269">
        <v>56.1965</v>
      </c>
      <c r="S236" s="270"/>
      <c r="T236" s="182">
        <f>13.0318/9117.8</f>
        <v>1.429270218693106E-3</v>
      </c>
      <c r="U236" s="182">
        <v>1</v>
      </c>
      <c r="V236" s="408">
        <v>1</v>
      </c>
      <c r="W236" s="357" t="s">
        <v>204</v>
      </c>
      <c r="X236" s="156">
        <v>316800000</v>
      </c>
      <c r="Y236" s="417">
        <v>316800000</v>
      </c>
      <c r="Z236" s="418" t="s">
        <v>359</v>
      </c>
      <c r="AA236" s="271"/>
      <c r="AB236" s="168"/>
      <c r="AC236" s="156"/>
      <c r="AD236" s="156"/>
      <c r="AE236" s="320"/>
      <c r="AF236" s="168"/>
      <c r="AG236" s="156"/>
      <c r="AH236" s="156"/>
      <c r="AI236" s="410"/>
    </row>
    <row r="237" spans="1:35" ht="19.5" hidden="1" customHeight="1">
      <c r="A237" s="137"/>
      <c r="B237" s="197">
        <f t="shared" si="4"/>
        <v>227</v>
      </c>
      <c r="C237" s="30" t="s">
        <v>206</v>
      </c>
      <c r="D237" s="30" t="s">
        <v>225</v>
      </c>
      <c r="E237" s="234" t="s">
        <v>726</v>
      </c>
      <c r="F237" s="235" t="s">
        <v>1241</v>
      </c>
      <c r="G237" s="284">
        <f>IFERROR(VLOOKUP(E237,Assign!$C$2:$J$142,8,FALSE),)</f>
        <v>0</v>
      </c>
      <c r="H237" s="197" t="s">
        <v>4205</v>
      </c>
      <c r="I237" s="324" t="s">
        <v>4206</v>
      </c>
      <c r="J237" s="237">
        <v>1</v>
      </c>
      <c r="K237" s="237">
        <v>1</v>
      </c>
      <c r="L237" s="265" t="s">
        <v>208</v>
      </c>
      <c r="M237" s="266" t="s">
        <v>237</v>
      </c>
      <c r="N237" s="266" t="s">
        <v>1782</v>
      </c>
      <c r="O237" s="267" t="s">
        <v>1783</v>
      </c>
      <c r="P237" s="268" t="s">
        <v>1784</v>
      </c>
      <c r="Q237" s="269">
        <v>328</v>
      </c>
      <c r="R237" s="269">
        <v>116.79</v>
      </c>
      <c r="S237" s="270"/>
      <c r="T237" s="182">
        <f>1/3</f>
        <v>0.33333333333333331</v>
      </c>
      <c r="U237" s="182">
        <v>1</v>
      </c>
      <c r="V237" s="408">
        <v>1</v>
      </c>
      <c r="W237" s="357" t="s">
        <v>204</v>
      </c>
      <c r="X237" s="156">
        <v>436800000</v>
      </c>
      <c r="Y237" s="417">
        <v>436800000</v>
      </c>
      <c r="Z237" s="418" t="s">
        <v>359</v>
      </c>
      <c r="AA237" s="271"/>
      <c r="AB237" s="168"/>
      <c r="AC237" s="156"/>
      <c r="AD237" s="156"/>
      <c r="AE237" s="320"/>
      <c r="AF237" s="168"/>
      <c r="AG237" s="156"/>
      <c r="AH237" s="156"/>
      <c r="AI237" s="410"/>
    </row>
    <row r="238" spans="1:35" ht="19.5" hidden="1" customHeight="1">
      <c r="A238" s="137"/>
      <c r="B238" s="197">
        <f t="shared" si="4"/>
        <v>228</v>
      </c>
      <c r="C238" s="30" t="s">
        <v>206</v>
      </c>
      <c r="D238" s="30" t="s">
        <v>225</v>
      </c>
      <c r="E238" s="234" t="s">
        <v>726</v>
      </c>
      <c r="F238" s="235" t="s">
        <v>1241</v>
      </c>
      <c r="G238" s="284">
        <f>IFERROR(VLOOKUP(E238,Assign!$C$2:$J$142,8,FALSE),)</f>
        <v>0</v>
      </c>
      <c r="H238" s="197" t="s">
        <v>4205</v>
      </c>
      <c r="I238" s="324" t="s">
        <v>4207</v>
      </c>
      <c r="J238" s="237">
        <v>1</v>
      </c>
      <c r="K238" s="237">
        <v>2</v>
      </c>
      <c r="L238" s="265" t="s">
        <v>208</v>
      </c>
      <c r="M238" s="266" t="s">
        <v>237</v>
      </c>
      <c r="N238" s="266" t="s">
        <v>1782</v>
      </c>
      <c r="O238" s="267" t="s">
        <v>1785</v>
      </c>
      <c r="P238" s="268" t="s">
        <v>456</v>
      </c>
      <c r="Q238" s="269">
        <v>44</v>
      </c>
      <c r="R238" s="269"/>
      <c r="S238" s="270"/>
      <c r="T238" s="182">
        <f>1/3</f>
        <v>0.33333333333333331</v>
      </c>
      <c r="U238" s="182">
        <v>1</v>
      </c>
      <c r="V238" s="408">
        <v>1</v>
      </c>
      <c r="W238" s="357" t="s">
        <v>204</v>
      </c>
      <c r="X238" s="156">
        <v>436800000</v>
      </c>
      <c r="Y238" s="417">
        <v>436800000</v>
      </c>
      <c r="Z238" s="418" t="s">
        <v>359</v>
      </c>
      <c r="AA238" s="271"/>
      <c r="AB238" s="168"/>
      <c r="AC238" s="156"/>
      <c r="AD238" s="156"/>
      <c r="AE238" s="320"/>
      <c r="AF238" s="168"/>
      <c r="AG238" s="156"/>
      <c r="AH238" s="156"/>
      <c r="AI238" s="410"/>
    </row>
    <row r="239" spans="1:35" ht="19.5" hidden="1" customHeight="1">
      <c r="A239" s="137"/>
      <c r="B239" s="197">
        <f t="shared" si="4"/>
        <v>229</v>
      </c>
      <c r="C239" s="30" t="s">
        <v>206</v>
      </c>
      <c r="D239" s="30" t="s">
        <v>225</v>
      </c>
      <c r="E239" s="234" t="s">
        <v>726</v>
      </c>
      <c r="F239" s="235" t="s">
        <v>1241</v>
      </c>
      <c r="G239" s="284">
        <f>IFERROR(VLOOKUP(E239,Assign!$C$2:$J$142,8,FALSE),)</f>
        <v>0</v>
      </c>
      <c r="H239" s="197" t="s">
        <v>4205</v>
      </c>
      <c r="I239" s="324" t="s">
        <v>4208</v>
      </c>
      <c r="J239" s="237">
        <v>1</v>
      </c>
      <c r="K239" s="237">
        <v>3</v>
      </c>
      <c r="L239" s="265" t="s">
        <v>208</v>
      </c>
      <c r="M239" s="266" t="s">
        <v>237</v>
      </c>
      <c r="N239" s="266" t="s">
        <v>1782</v>
      </c>
      <c r="O239" s="267" t="s">
        <v>1786</v>
      </c>
      <c r="P239" s="268" t="s">
        <v>456</v>
      </c>
      <c r="Q239" s="269">
        <v>71</v>
      </c>
      <c r="R239" s="269"/>
      <c r="S239" s="270"/>
      <c r="T239" s="182">
        <f>1/3</f>
        <v>0.33333333333333331</v>
      </c>
      <c r="U239" s="182">
        <v>1</v>
      </c>
      <c r="V239" s="408">
        <v>1</v>
      </c>
      <c r="W239" s="357" t="s">
        <v>204</v>
      </c>
      <c r="X239" s="156">
        <v>436800000</v>
      </c>
      <c r="Y239" s="417">
        <v>436800000</v>
      </c>
      <c r="Z239" s="418" t="s">
        <v>359</v>
      </c>
      <c r="AA239" s="271"/>
      <c r="AB239" s="168"/>
      <c r="AC239" s="156"/>
      <c r="AD239" s="156"/>
      <c r="AE239" s="320"/>
      <c r="AF239" s="168"/>
      <c r="AG239" s="156"/>
      <c r="AH239" s="156"/>
      <c r="AI239" s="410"/>
    </row>
    <row r="240" spans="1:35" ht="19.5" hidden="1" customHeight="1">
      <c r="A240" s="137"/>
      <c r="B240" s="197">
        <f t="shared" si="4"/>
        <v>230</v>
      </c>
      <c r="C240" s="30" t="s">
        <v>206</v>
      </c>
      <c r="D240" s="30" t="s">
        <v>225</v>
      </c>
      <c r="E240" s="234" t="s">
        <v>727</v>
      </c>
      <c r="F240" s="235" t="s">
        <v>1242</v>
      </c>
      <c r="G240" s="284">
        <f>IFERROR(VLOOKUP(E240,Assign!$C$2:$J$142,8,FALSE),)</f>
        <v>0</v>
      </c>
      <c r="H240" s="197" t="s">
        <v>5190</v>
      </c>
      <c r="I240" s="324" t="s">
        <v>5191</v>
      </c>
      <c r="J240" s="237">
        <v>1</v>
      </c>
      <c r="K240" s="237">
        <v>1</v>
      </c>
      <c r="L240" s="265" t="s">
        <v>208</v>
      </c>
      <c r="M240" s="266" t="s">
        <v>236</v>
      </c>
      <c r="N240" s="266" t="s">
        <v>2694</v>
      </c>
      <c r="O240" s="267" t="s">
        <v>2695</v>
      </c>
      <c r="P240" s="268" t="s">
        <v>2696</v>
      </c>
      <c r="Q240" s="269">
        <v>998</v>
      </c>
      <c r="R240" s="269">
        <v>49.64</v>
      </c>
      <c r="S240" s="270"/>
      <c r="T240" s="182">
        <f>6.45/998</f>
        <v>6.462925851703407E-3</v>
      </c>
      <c r="U240" s="182">
        <v>1</v>
      </c>
      <c r="V240" s="408">
        <v>1</v>
      </c>
      <c r="W240" s="357" t="s">
        <v>204</v>
      </c>
      <c r="X240" s="156">
        <v>336000000</v>
      </c>
      <c r="Y240" s="417">
        <v>336000000</v>
      </c>
      <c r="Z240" s="418" t="s">
        <v>359</v>
      </c>
      <c r="AA240" s="271"/>
      <c r="AB240" s="168"/>
      <c r="AC240" s="156"/>
      <c r="AD240" s="156"/>
      <c r="AE240" s="320"/>
      <c r="AF240" s="168"/>
      <c r="AG240" s="156"/>
      <c r="AH240" s="156"/>
      <c r="AI240" s="410"/>
    </row>
    <row r="241" spans="1:35" ht="19.5" customHeight="1">
      <c r="A241" s="137"/>
      <c r="B241" s="197">
        <f t="shared" si="4"/>
        <v>231</v>
      </c>
      <c r="C241" s="30" t="s">
        <v>206</v>
      </c>
      <c r="D241" s="30" t="s">
        <v>225</v>
      </c>
      <c r="E241" s="234" t="s">
        <v>728</v>
      </c>
      <c r="F241" s="235" t="s">
        <v>1225</v>
      </c>
      <c r="G241" s="284" t="str">
        <f>IFERROR(VLOOKUP(E241,Assign!$C$2:$J$142,8,FALSE),)</f>
        <v>문선영</v>
      </c>
      <c r="H241" s="197" t="s">
        <v>5205</v>
      </c>
      <c r="I241" s="324" t="s">
        <v>5206</v>
      </c>
      <c r="J241" s="237">
        <v>1</v>
      </c>
      <c r="K241" s="237">
        <v>1</v>
      </c>
      <c r="L241" s="265" t="s">
        <v>208</v>
      </c>
      <c r="M241" s="266" t="s">
        <v>237</v>
      </c>
      <c r="N241" s="266" t="s">
        <v>2697</v>
      </c>
      <c r="O241" s="267" t="s">
        <v>2698</v>
      </c>
      <c r="P241" s="268" t="s">
        <v>2699</v>
      </c>
      <c r="Q241" s="269">
        <v>617</v>
      </c>
      <c r="R241" s="269">
        <v>63.86</v>
      </c>
      <c r="S241" s="270"/>
      <c r="T241" s="182">
        <f>64.42/617</f>
        <v>0.10440842787682335</v>
      </c>
      <c r="U241" s="182">
        <v>1</v>
      </c>
      <c r="V241" s="408">
        <v>1</v>
      </c>
      <c r="W241" s="357" t="s">
        <v>204</v>
      </c>
      <c r="X241" s="156">
        <v>308000000</v>
      </c>
      <c r="Y241" s="417">
        <v>308000000</v>
      </c>
      <c r="Z241" s="418" t="s">
        <v>359</v>
      </c>
      <c r="AA241" s="271"/>
      <c r="AB241" s="168"/>
      <c r="AC241" s="156"/>
      <c r="AD241" s="156"/>
      <c r="AE241" s="320"/>
      <c r="AF241" s="168"/>
      <c r="AG241" s="156"/>
      <c r="AH241" s="156"/>
      <c r="AI241" s="410"/>
    </row>
    <row r="242" spans="1:35" ht="19.5" hidden="1" customHeight="1">
      <c r="A242" s="137"/>
      <c r="B242" s="197">
        <f t="shared" si="4"/>
        <v>232</v>
      </c>
      <c r="C242" s="30" t="s">
        <v>206</v>
      </c>
      <c r="D242" s="30" t="s">
        <v>225</v>
      </c>
      <c r="E242" s="234" t="s">
        <v>729</v>
      </c>
      <c r="F242" s="235" t="s">
        <v>1218</v>
      </c>
      <c r="G242" s="284">
        <f>IFERROR(VLOOKUP(E242,Assign!$C$2:$J$142,8,FALSE),)</f>
        <v>0</v>
      </c>
      <c r="H242" s="197" t="s">
        <v>4551</v>
      </c>
      <c r="I242" s="324" t="s">
        <v>4552</v>
      </c>
      <c r="J242" s="237">
        <v>1</v>
      </c>
      <c r="K242" s="237">
        <v>1</v>
      </c>
      <c r="L242" s="265" t="s">
        <v>209</v>
      </c>
      <c r="M242" s="266" t="s">
        <v>319</v>
      </c>
      <c r="N242" s="266" t="s">
        <v>1928</v>
      </c>
      <c r="O242" s="267" t="s">
        <v>2093</v>
      </c>
      <c r="P242" s="268" t="s">
        <v>449</v>
      </c>
      <c r="Q242" s="269">
        <v>124980.4</v>
      </c>
      <c r="R242" s="269">
        <v>84.99</v>
      </c>
      <c r="S242" s="270"/>
      <c r="T242" s="182">
        <f>42.569/124980.4</f>
        <v>3.4060540692780629E-4</v>
      </c>
      <c r="U242" s="182">
        <v>1</v>
      </c>
      <c r="V242" s="408">
        <v>1</v>
      </c>
      <c r="W242" s="357" t="s">
        <v>204</v>
      </c>
      <c r="X242" s="156">
        <v>384000000</v>
      </c>
      <c r="Y242" s="417">
        <v>384000000</v>
      </c>
      <c r="Z242" s="418" t="s">
        <v>359</v>
      </c>
      <c r="AA242" s="271"/>
      <c r="AB242" s="168"/>
      <c r="AC242" s="156"/>
      <c r="AD242" s="156"/>
      <c r="AE242" s="320"/>
      <c r="AF242" s="168"/>
      <c r="AG242" s="156"/>
      <c r="AH242" s="156"/>
      <c r="AI242" s="410"/>
    </row>
    <row r="243" spans="1:35" ht="19.5" customHeight="1">
      <c r="A243" s="137"/>
      <c r="B243" s="197">
        <f t="shared" si="4"/>
        <v>233</v>
      </c>
      <c r="C243" s="30" t="s">
        <v>206</v>
      </c>
      <c r="D243" s="30" t="s">
        <v>225</v>
      </c>
      <c r="E243" s="234" t="s">
        <v>730</v>
      </c>
      <c r="F243" s="235" t="s">
        <v>611</v>
      </c>
      <c r="G243" s="284" t="str">
        <f>IFERROR(VLOOKUP(E243,Assign!$C$2:$J$142,8,FALSE),)</f>
        <v>문선영</v>
      </c>
      <c r="H243" s="197" t="s">
        <v>4835</v>
      </c>
      <c r="I243" s="324" t="s">
        <v>4836</v>
      </c>
      <c r="J243" s="237">
        <v>1</v>
      </c>
      <c r="K243" s="237">
        <v>1</v>
      </c>
      <c r="L243" s="265" t="s">
        <v>212</v>
      </c>
      <c r="M243" s="266" t="s">
        <v>389</v>
      </c>
      <c r="N243" s="266" t="s">
        <v>379</v>
      </c>
      <c r="O243" s="267" t="s">
        <v>2365</v>
      </c>
      <c r="P243" s="268" t="s">
        <v>2043</v>
      </c>
      <c r="Q243" s="269">
        <v>57682</v>
      </c>
      <c r="R243" s="269">
        <v>121.51</v>
      </c>
      <c r="S243" s="270"/>
      <c r="T243" s="182">
        <f>60.32/57681.41</f>
        <v>1.0457442007745649E-3</v>
      </c>
      <c r="U243" s="182">
        <v>1</v>
      </c>
      <c r="V243" s="408">
        <v>1</v>
      </c>
      <c r="W243" s="357" t="s">
        <v>204</v>
      </c>
      <c r="X243" s="156">
        <v>297000000</v>
      </c>
      <c r="Y243" s="417">
        <v>297000000</v>
      </c>
      <c r="Z243" s="418" t="s">
        <v>359</v>
      </c>
      <c r="AA243" s="271"/>
      <c r="AB243" s="168"/>
      <c r="AC243" s="156"/>
      <c r="AD243" s="156"/>
      <c r="AE243" s="320"/>
      <c r="AF243" s="168"/>
      <c r="AG243" s="156"/>
      <c r="AH243" s="156"/>
      <c r="AI243" s="410"/>
    </row>
    <row r="244" spans="1:35" ht="19.5" hidden="1" customHeight="1">
      <c r="A244" s="137"/>
      <c r="B244" s="197">
        <f t="shared" si="4"/>
        <v>234</v>
      </c>
      <c r="C244" s="30" t="s">
        <v>206</v>
      </c>
      <c r="D244" s="30" t="s">
        <v>225</v>
      </c>
      <c r="E244" s="234" t="s">
        <v>731</v>
      </c>
      <c r="F244" s="235" t="s">
        <v>1229</v>
      </c>
      <c r="G244" s="284">
        <f>IFERROR(VLOOKUP(E244,Assign!$C$2:$J$142,8,FALSE),)</f>
        <v>0</v>
      </c>
      <c r="H244" s="197" t="s">
        <v>4440</v>
      </c>
      <c r="I244" s="324" t="s">
        <v>4441</v>
      </c>
      <c r="J244" s="237">
        <v>1</v>
      </c>
      <c r="K244" s="237">
        <v>1</v>
      </c>
      <c r="L244" s="265" t="s">
        <v>212</v>
      </c>
      <c r="M244" s="266" t="s">
        <v>232</v>
      </c>
      <c r="N244" s="266" t="s">
        <v>367</v>
      </c>
      <c r="O244" s="267" t="s">
        <v>1989</v>
      </c>
      <c r="P244" s="268" t="s">
        <v>3052</v>
      </c>
      <c r="Q244" s="269">
        <v>5586.8</v>
      </c>
      <c r="R244" s="269">
        <v>74.150000000000006</v>
      </c>
      <c r="S244" s="270"/>
      <c r="T244" s="182">
        <f>16.408/5586.8</f>
        <v>2.9369227464738313E-3</v>
      </c>
      <c r="U244" s="182">
        <v>1</v>
      </c>
      <c r="V244" s="408">
        <v>1</v>
      </c>
      <c r="W244" s="357" t="s">
        <v>204</v>
      </c>
      <c r="X244" s="156">
        <v>336000000</v>
      </c>
      <c r="Y244" s="417">
        <v>336000000</v>
      </c>
      <c r="Z244" s="418" t="s">
        <v>359</v>
      </c>
      <c r="AA244" s="271"/>
      <c r="AB244" s="168"/>
      <c r="AC244" s="156"/>
      <c r="AD244" s="156"/>
      <c r="AE244" s="320"/>
      <c r="AF244" s="168"/>
      <c r="AG244" s="156"/>
      <c r="AH244" s="156"/>
      <c r="AI244" s="410"/>
    </row>
    <row r="245" spans="1:35" ht="19.5" hidden="1" customHeight="1">
      <c r="A245" s="137"/>
      <c r="B245" s="197">
        <f t="shared" si="4"/>
        <v>235</v>
      </c>
      <c r="C245" s="30" t="s">
        <v>206</v>
      </c>
      <c r="D245" s="30" t="s">
        <v>225</v>
      </c>
      <c r="E245" s="234" t="s">
        <v>732</v>
      </c>
      <c r="F245" s="235" t="s">
        <v>1315</v>
      </c>
      <c r="G245" s="284">
        <f>IFERROR(VLOOKUP(E245,Assign!$C$2:$J$142,8,FALSE),)</f>
        <v>0</v>
      </c>
      <c r="H245" s="197" t="s">
        <v>5261</v>
      </c>
      <c r="I245" s="324" t="s">
        <v>5262</v>
      </c>
      <c r="J245" s="237">
        <v>1</v>
      </c>
      <c r="K245" s="237">
        <v>1</v>
      </c>
      <c r="L245" s="265" t="s">
        <v>208</v>
      </c>
      <c r="M245" s="266" t="s">
        <v>280</v>
      </c>
      <c r="N245" s="266" t="s">
        <v>323</v>
      </c>
      <c r="O245" s="267" t="s">
        <v>2751</v>
      </c>
      <c r="P245" s="268" t="s">
        <v>433</v>
      </c>
      <c r="Q245" s="269">
        <v>148592</v>
      </c>
      <c r="R245" s="269">
        <v>84.987300000000005</v>
      </c>
      <c r="S245" s="270"/>
      <c r="T245" s="182">
        <f>56.6212/148592</f>
        <v>3.8105146979648972E-4</v>
      </c>
      <c r="U245" s="182">
        <v>1</v>
      </c>
      <c r="V245" s="408" t="s">
        <v>292</v>
      </c>
      <c r="W245" s="357" t="s">
        <v>204</v>
      </c>
      <c r="X245" s="156">
        <v>600000000</v>
      </c>
      <c r="Y245" s="417">
        <v>600000000</v>
      </c>
      <c r="Z245" s="418" t="s">
        <v>359</v>
      </c>
      <c r="AA245" s="271">
        <v>1</v>
      </c>
      <c r="AB245" s="168" t="s">
        <v>204</v>
      </c>
      <c r="AC245" s="156">
        <v>254400000</v>
      </c>
      <c r="AD245" s="156">
        <v>254400000</v>
      </c>
      <c r="AE245" s="320"/>
      <c r="AF245" s="168"/>
      <c r="AG245" s="156"/>
      <c r="AH245" s="156"/>
      <c r="AI245" s="410"/>
    </row>
    <row r="246" spans="1:35" ht="19.5" hidden="1" customHeight="1">
      <c r="A246" s="137"/>
      <c r="B246" s="197">
        <f t="shared" si="4"/>
        <v>236</v>
      </c>
      <c r="C246" s="30" t="s">
        <v>206</v>
      </c>
      <c r="D246" s="30" t="s">
        <v>225</v>
      </c>
      <c r="E246" s="234" t="s">
        <v>732</v>
      </c>
      <c r="F246" s="235" t="s">
        <v>1315</v>
      </c>
      <c r="G246" s="284">
        <f>IFERROR(VLOOKUP(E246,Assign!$C$2:$J$142,8,FALSE),)</f>
        <v>0</v>
      </c>
      <c r="H246" s="197" t="s">
        <v>5263</v>
      </c>
      <c r="I246" s="324" t="s">
        <v>5264</v>
      </c>
      <c r="J246" s="237">
        <v>2</v>
      </c>
      <c r="K246" s="237">
        <v>1</v>
      </c>
      <c r="L246" s="265" t="s">
        <v>209</v>
      </c>
      <c r="M246" s="266" t="s">
        <v>226</v>
      </c>
      <c r="N246" s="266" t="s">
        <v>409</v>
      </c>
      <c r="O246" s="267" t="s">
        <v>2752</v>
      </c>
      <c r="P246" s="268" t="s">
        <v>591</v>
      </c>
      <c r="Q246" s="269">
        <f>181.8+172.1+190.7</f>
        <v>544.59999999999991</v>
      </c>
      <c r="R246" s="269">
        <v>42</v>
      </c>
      <c r="S246" s="270"/>
      <c r="T246" s="182">
        <f>27.09/544.6</f>
        <v>4.9742930591259636E-2</v>
      </c>
      <c r="U246" s="182">
        <v>1</v>
      </c>
      <c r="V246" s="408">
        <v>1</v>
      </c>
      <c r="W246" s="357" t="s">
        <v>204</v>
      </c>
      <c r="X246" s="156">
        <v>360000000</v>
      </c>
      <c r="Y246" s="417">
        <v>360000000</v>
      </c>
      <c r="Z246" s="418" t="s">
        <v>359</v>
      </c>
      <c r="AA246" s="271"/>
      <c r="AB246" s="168"/>
      <c r="AC246" s="156"/>
      <c r="AD246" s="156"/>
      <c r="AE246" s="320"/>
      <c r="AF246" s="168"/>
      <c r="AG246" s="156"/>
      <c r="AH246" s="156"/>
      <c r="AI246" s="410"/>
    </row>
    <row r="247" spans="1:35" ht="19.5" hidden="1" customHeight="1">
      <c r="A247" s="137"/>
      <c r="B247" s="197">
        <f t="shared" si="4"/>
        <v>237</v>
      </c>
      <c r="C247" s="30" t="s">
        <v>206</v>
      </c>
      <c r="D247" s="30" t="s">
        <v>225</v>
      </c>
      <c r="E247" s="234" t="s">
        <v>733</v>
      </c>
      <c r="F247" s="235" t="s">
        <v>1238</v>
      </c>
      <c r="G247" s="284">
        <f>IFERROR(VLOOKUP(E247,Assign!$C$2:$J$142,8,FALSE),)</f>
        <v>0</v>
      </c>
      <c r="H247" s="197" t="s">
        <v>5396</v>
      </c>
      <c r="I247" s="324" t="s">
        <v>5397</v>
      </c>
      <c r="J247" s="237">
        <v>1</v>
      </c>
      <c r="K247" s="237">
        <v>1</v>
      </c>
      <c r="L247" s="265" t="s">
        <v>221</v>
      </c>
      <c r="M247" s="266" t="s">
        <v>2529</v>
      </c>
      <c r="N247" s="266" t="s">
        <v>2872</v>
      </c>
      <c r="O247" s="267" t="s">
        <v>2873</v>
      </c>
      <c r="P247" s="268" t="s">
        <v>451</v>
      </c>
      <c r="Q247" s="269">
        <v>23130.3</v>
      </c>
      <c r="R247" s="269">
        <v>84.84</v>
      </c>
      <c r="S247" s="270"/>
      <c r="T247" s="182">
        <f>50.5702/23130.3</f>
        <v>2.1863183789228849E-3</v>
      </c>
      <c r="U247" s="182">
        <v>1</v>
      </c>
      <c r="V247" s="408">
        <v>1</v>
      </c>
      <c r="W247" s="357" t="s">
        <v>204</v>
      </c>
      <c r="X247" s="156">
        <v>284900000</v>
      </c>
      <c r="Y247" s="417">
        <v>284900000</v>
      </c>
      <c r="Z247" s="418" t="s">
        <v>359</v>
      </c>
      <c r="AA247" s="271"/>
      <c r="AB247" s="168"/>
      <c r="AC247" s="156"/>
      <c r="AD247" s="156"/>
      <c r="AE247" s="320"/>
      <c r="AF247" s="168"/>
      <c r="AG247" s="156"/>
      <c r="AH247" s="156"/>
      <c r="AI247" s="410"/>
    </row>
    <row r="248" spans="1:35" ht="19.5" hidden="1" customHeight="1">
      <c r="A248" s="137"/>
      <c r="B248" s="197">
        <f t="shared" si="4"/>
        <v>238</v>
      </c>
      <c r="C248" s="30" t="s">
        <v>206</v>
      </c>
      <c r="D248" s="30" t="s">
        <v>225</v>
      </c>
      <c r="E248" s="234" t="s">
        <v>734</v>
      </c>
      <c r="F248" s="235" t="s">
        <v>1316</v>
      </c>
      <c r="G248" s="284">
        <f>IFERROR(VLOOKUP(E248,Assign!$C$2:$J$142,8,FALSE),)</f>
        <v>0</v>
      </c>
      <c r="H248" s="197" t="s">
        <v>5255</v>
      </c>
      <c r="I248" s="324" t="s">
        <v>5256</v>
      </c>
      <c r="J248" s="237">
        <v>1</v>
      </c>
      <c r="K248" s="237">
        <v>1</v>
      </c>
      <c r="L248" s="265" t="s">
        <v>212</v>
      </c>
      <c r="M248" s="266" t="s">
        <v>304</v>
      </c>
      <c r="N248" s="266" t="s">
        <v>270</v>
      </c>
      <c r="O248" s="267" t="s">
        <v>2747</v>
      </c>
      <c r="P248" s="268" t="s">
        <v>597</v>
      </c>
      <c r="Q248" s="269">
        <v>6601.1</v>
      </c>
      <c r="R248" s="269">
        <v>102.38</v>
      </c>
      <c r="S248" s="270"/>
      <c r="T248" s="182">
        <f>27.0133/6601.1</f>
        <v>4.0922422020572332E-3</v>
      </c>
      <c r="U248" s="182">
        <v>1</v>
      </c>
      <c r="V248" s="408">
        <v>1</v>
      </c>
      <c r="W248" s="357" t="s">
        <v>204</v>
      </c>
      <c r="X248" s="156">
        <v>294720000</v>
      </c>
      <c r="Y248" s="417">
        <v>294720000</v>
      </c>
      <c r="Z248" s="418" t="s">
        <v>359</v>
      </c>
      <c r="AA248" s="271"/>
      <c r="AB248" s="168"/>
      <c r="AC248" s="156"/>
      <c r="AD248" s="156"/>
      <c r="AE248" s="320"/>
      <c r="AF248" s="168"/>
      <c r="AG248" s="156"/>
      <c r="AH248" s="156"/>
      <c r="AI248" s="410"/>
    </row>
    <row r="249" spans="1:35" ht="19.5" hidden="1" customHeight="1">
      <c r="A249" s="137"/>
      <c r="B249" s="197">
        <f t="shared" si="4"/>
        <v>239</v>
      </c>
      <c r="C249" s="30" t="s">
        <v>206</v>
      </c>
      <c r="D249" s="30" t="s">
        <v>225</v>
      </c>
      <c r="E249" s="234" t="s">
        <v>735</v>
      </c>
      <c r="F249" s="235" t="s">
        <v>1243</v>
      </c>
      <c r="G249" s="284">
        <f>IFERROR(VLOOKUP(E249,Assign!$C$2:$J$142,8,FALSE),)</f>
        <v>0</v>
      </c>
      <c r="H249" s="197" t="s">
        <v>5366</v>
      </c>
      <c r="I249" s="324" t="s">
        <v>5367</v>
      </c>
      <c r="J249" s="237">
        <v>1</v>
      </c>
      <c r="K249" s="237">
        <v>1</v>
      </c>
      <c r="L249" s="265" t="s">
        <v>208</v>
      </c>
      <c r="M249" s="266" t="s">
        <v>250</v>
      </c>
      <c r="N249" s="266" t="s">
        <v>264</v>
      </c>
      <c r="O249" s="267" t="s">
        <v>2842</v>
      </c>
      <c r="P249" s="268" t="s">
        <v>2843</v>
      </c>
      <c r="Q249" s="269">
        <v>10577.2</v>
      </c>
      <c r="R249" s="269">
        <v>35.06</v>
      </c>
      <c r="S249" s="270"/>
      <c r="T249" s="182">
        <f>11.11/10577.2</f>
        <v>1.050372499338199E-3</v>
      </c>
      <c r="U249" s="182">
        <v>1</v>
      </c>
      <c r="V249" s="408">
        <v>1</v>
      </c>
      <c r="W249" s="357" t="s">
        <v>204</v>
      </c>
      <c r="X249" s="156">
        <v>294000000</v>
      </c>
      <c r="Y249" s="417">
        <v>294000000</v>
      </c>
      <c r="Z249" s="418" t="s">
        <v>359</v>
      </c>
      <c r="AA249" s="271"/>
      <c r="AB249" s="168"/>
      <c r="AC249" s="156"/>
      <c r="AD249" s="156"/>
      <c r="AE249" s="320"/>
      <c r="AF249" s="168"/>
      <c r="AG249" s="156"/>
      <c r="AH249" s="156"/>
      <c r="AI249" s="410"/>
    </row>
    <row r="250" spans="1:35" ht="19.5" hidden="1" customHeight="1">
      <c r="A250" s="137"/>
      <c r="B250" s="197">
        <f t="shared" si="4"/>
        <v>240</v>
      </c>
      <c r="C250" s="30" t="s">
        <v>206</v>
      </c>
      <c r="D250" s="30" t="s">
        <v>225</v>
      </c>
      <c r="E250" s="234" t="s">
        <v>735</v>
      </c>
      <c r="F250" s="235" t="s">
        <v>1243</v>
      </c>
      <c r="G250" s="284">
        <f>IFERROR(VLOOKUP(E250,Assign!$C$2:$J$142,8,FALSE),)</f>
        <v>0</v>
      </c>
      <c r="H250" s="197" t="s">
        <v>5366</v>
      </c>
      <c r="I250" s="324" t="s">
        <v>5368</v>
      </c>
      <c r="J250" s="237">
        <v>1</v>
      </c>
      <c r="K250" s="237">
        <v>2</v>
      </c>
      <c r="L250" s="265" t="s">
        <v>208</v>
      </c>
      <c r="M250" s="266" t="s">
        <v>250</v>
      </c>
      <c r="N250" s="266" t="s">
        <v>264</v>
      </c>
      <c r="O250" s="267" t="s">
        <v>2844</v>
      </c>
      <c r="P250" s="268" t="s">
        <v>2843</v>
      </c>
      <c r="Q250" s="269">
        <v>10577.2</v>
      </c>
      <c r="R250" s="269">
        <v>28.35</v>
      </c>
      <c r="S250" s="270"/>
      <c r="T250" s="182">
        <f>8.99/10577.2</f>
        <v>8.4994138335287212E-4</v>
      </c>
      <c r="U250" s="182">
        <v>1</v>
      </c>
      <c r="V250" s="408">
        <v>1</v>
      </c>
      <c r="W250" s="357" t="s">
        <v>204</v>
      </c>
      <c r="X250" s="156">
        <v>294000000</v>
      </c>
      <c r="Y250" s="417">
        <v>294000000</v>
      </c>
      <c r="Z250" s="418" t="s">
        <v>359</v>
      </c>
      <c r="AA250" s="271"/>
      <c r="AB250" s="168"/>
      <c r="AC250" s="156"/>
      <c r="AD250" s="156"/>
      <c r="AE250" s="320"/>
      <c r="AF250" s="168"/>
      <c r="AG250" s="156"/>
      <c r="AH250" s="156"/>
      <c r="AI250" s="410"/>
    </row>
    <row r="251" spans="1:35" ht="19.5" hidden="1" customHeight="1">
      <c r="A251" s="137"/>
      <c r="B251" s="197">
        <f t="shared" si="4"/>
        <v>241</v>
      </c>
      <c r="C251" s="30" t="s">
        <v>206</v>
      </c>
      <c r="D251" s="30" t="s">
        <v>225</v>
      </c>
      <c r="E251" s="234" t="s">
        <v>735</v>
      </c>
      <c r="F251" s="235" t="s">
        <v>1243</v>
      </c>
      <c r="G251" s="284">
        <f>IFERROR(VLOOKUP(E251,Assign!$C$2:$J$142,8,FALSE),)</f>
        <v>0</v>
      </c>
      <c r="H251" s="197" t="s">
        <v>5366</v>
      </c>
      <c r="I251" s="324" t="s">
        <v>5369</v>
      </c>
      <c r="J251" s="237">
        <v>1</v>
      </c>
      <c r="K251" s="237">
        <v>3</v>
      </c>
      <c r="L251" s="265" t="s">
        <v>208</v>
      </c>
      <c r="M251" s="266" t="s">
        <v>250</v>
      </c>
      <c r="N251" s="266" t="s">
        <v>264</v>
      </c>
      <c r="O251" s="267" t="s">
        <v>2845</v>
      </c>
      <c r="P251" s="268" t="s">
        <v>2843</v>
      </c>
      <c r="Q251" s="269">
        <v>10577.2</v>
      </c>
      <c r="R251" s="269">
        <v>28.35</v>
      </c>
      <c r="S251" s="270"/>
      <c r="T251" s="182">
        <f>8.99/10577.2</f>
        <v>8.4994138335287212E-4</v>
      </c>
      <c r="U251" s="182">
        <v>1</v>
      </c>
      <c r="V251" s="408">
        <v>1</v>
      </c>
      <c r="W251" s="357" t="s">
        <v>204</v>
      </c>
      <c r="X251" s="156">
        <v>294000000</v>
      </c>
      <c r="Y251" s="417">
        <v>294000000</v>
      </c>
      <c r="Z251" s="418" t="s">
        <v>359</v>
      </c>
      <c r="AA251" s="271"/>
      <c r="AB251" s="168"/>
      <c r="AC251" s="156"/>
      <c r="AD251" s="156"/>
      <c r="AE251" s="320"/>
      <c r="AF251" s="168"/>
      <c r="AG251" s="156"/>
      <c r="AH251" s="156"/>
      <c r="AI251" s="410"/>
    </row>
    <row r="252" spans="1:35" ht="19.5" hidden="1" customHeight="1">
      <c r="A252" s="137"/>
      <c r="B252" s="197">
        <f t="shared" si="4"/>
        <v>242</v>
      </c>
      <c r="C252" s="30" t="s">
        <v>206</v>
      </c>
      <c r="D252" s="30" t="s">
        <v>225</v>
      </c>
      <c r="E252" s="234" t="s">
        <v>736</v>
      </c>
      <c r="F252" s="235" t="s">
        <v>1235</v>
      </c>
      <c r="G252" s="284">
        <f>IFERROR(VLOOKUP(E252,Assign!$C$2:$J$142,8,FALSE),)</f>
        <v>0</v>
      </c>
      <c r="H252" s="197" t="s">
        <v>4169</v>
      </c>
      <c r="I252" s="324" t="s">
        <v>4170</v>
      </c>
      <c r="J252" s="237">
        <v>1</v>
      </c>
      <c r="K252" s="237">
        <v>1</v>
      </c>
      <c r="L252" s="265" t="s">
        <v>208</v>
      </c>
      <c r="M252" s="266" t="s">
        <v>301</v>
      </c>
      <c r="N252" s="266" t="s">
        <v>1743</v>
      </c>
      <c r="O252" s="267" t="s">
        <v>1744</v>
      </c>
      <c r="P252" s="268" t="s">
        <v>588</v>
      </c>
      <c r="Q252" s="269">
        <v>540</v>
      </c>
      <c r="R252" s="269">
        <v>57.384</v>
      </c>
      <c r="S252" s="270"/>
      <c r="T252" s="182">
        <f>67.5/540</f>
        <v>0.125</v>
      </c>
      <c r="U252" s="182">
        <v>1</v>
      </c>
      <c r="V252" s="408">
        <v>1</v>
      </c>
      <c r="W252" s="357" t="s">
        <v>204</v>
      </c>
      <c r="X252" s="156">
        <v>292800000</v>
      </c>
      <c r="Y252" s="417">
        <v>292800000</v>
      </c>
      <c r="Z252" s="418" t="s">
        <v>359</v>
      </c>
      <c r="AA252" s="271"/>
      <c r="AB252" s="168"/>
      <c r="AC252" s="156"/>
      <c r="AD252" s="156"/>
      <c r="AE252" s="320"/>
      <c r="AF252" s="168"/>
      <c r="AG252" s="156"/>
      <c r="AH252" s="156"/>
      <c r="AI252" s="410"/>
    </row>
    <row r="253" spans="1:35" ht="19.5" customHeight="1">
      <c r="A253" s="137"/>
      <c r="B253" s="197">
        <f t="shared" si="4"/>
        <v>243</v>
      </c>
      <c r="C253" s="30" t="s">
        <v>206</v>
      </c>
      <c r="D253" s="30" t="s">
        <v>225</v>
      </c>
      <c r="E253" s="234" t="s">
        <v>737</v>
      </c>
      <c r="F253" s="235" t="s">
        <v>1245</v>
      </c>
      <c r="G253" s="284" t="str">
        <f>IFERROR(VLOOKUP(E253,Assign!$C$2:$J$142,8,FALSE),)</f>
        <v>문선영</v>
      </c>
      <c r="H253" s="197" t="s">
        <v>5328</v>
      </c>
      <c r="I253" s="487" t="s">
        <v>5329</v>
      </c>
      <c r="J253" s="237">
        <v>1</v>
      </c>
      <c r="K253" s="237">
        <v>1</v>
      </c>
      <c r="L253" s="265" t="s">
        <v>220</v>
      </c>
      <c r="M253" s="266" t="s">
        <v>2574</v>
      </c>
      <c r="N253" s="266" t="s">
        <v>2809</v>
      </c>
      <c r="O253" s="267" t="s">
        <v>2810</v>
      </c>
      <c r="P253" s="268" t="s">
        <v>2811</v>
      </c>
      <c r="Q253" s="269"/>
      <c r="R253" s="269">
        <v>137</v>
      </c>
      <c r="S253" s="270"/>
      <c r="T253" s="182"/>
      <c r="U253" s="182">
        <v>1</v>
      </c>
      <c r="V253" s="408">
        <v>1</v>
      </c>
      <c r="W253" s="357" t="s">
        <v>204</v>
      </c>
      <c r="X253" s="156">
        <v>288000000</v>
      </c>
      <c r="Y253" s="417">
        <v>288000000</v>
      </c>
      <c r="Z253" s="418" t="s">
        <v>359</v>
      </c>
      <c r="AA253" s="271"/>
      <c r="AB253" s="168"/>
      <c r="AC253" s="156"/>
      <c r="AD253" s="156"/>
      <c r="AE253" s="320"/>
      <c r="AF253" s="168"/>
      <c r="AG253" s="156"/>
      <c r="AH253" s="156"/>
      <c r="AI253" s="410"/>
    </row>
    <row r="254" spans="1:35" ht="19.5" customHeight="1">
      <c r="A254" s="137"/>
      <c r="B254" s="197">
        <f t="shared" si="4"/>
        <v>244</v>
      </c>
      <c r="C254" s="30" t="s">
        <v>206</v>
      </c>
      <c r="D254" s="30" t="s">
        <v>225</v>
      </c>
      <c r="E254" s="234" t="s">
        <v>737</v>
      </c>
      <c r="F254" s="235" t="s">
        <v>1245</v>
      </c>
      <c r="G254" s="284" t="str">
        <f>IFERROR(VLOOKUP(E254,Assign!$C$2:$J$142,8,FALSE),)</f>
        <v>문선영</v>
      </c>
      <c r="H254" s="197" t="s">
        <v>5328</v>
      </c>
      <c r="I254" s="324" t="s">
        <v>5330</v>
      </c>
      <c r="J254" s="237">
        <v>1</v>
      </c>
      <c r="K254" s="237">
        <v>2</v>
      </c>
      <c r="L254" s="265" t="s">
        <v>220</v>
      </c>
      <c r="M254" s="266" t="s">
        <v>2574</v>
      </c>
      <c r="N254" s="266" t="s">
        <v>2809</v>
      </c>
      <c r="O254" s="267" t="s">
        <v>2812</v>
      </c>
      <c r="P254" s="268" t="s">
        <v>593</v>
      </c>
      <c r="Q254" s="269"/>
      <c r="R254" s="269">
        <v>332.76</v>
      </c>
      <c r="S254" s="270"/>
      <c r="T254" s="182"/>
      <c r="U254" s="182">
        <v>1</v>
      </c>
      <c r="V254" s="408">
        <v>1</v>
      </c>
      <c r="W254" s="357" t="s">
        <v>204</v>
      </c>
      <c r="X254" s="156">
        <v>288000000</v>
      </c>
      <c r="Y254" s="417">
        <v>288000000</v>
      </c>
      <c r="Z254" s="418" t="s">
        <v>359</v>
      </c>
      <c r="AA254" s="271"/>
      <c r="AB254" s="168"/>
      <c r="AC254" s="156"/>
      <c r="AD254" s="156"/>
      <c r="AE254" s="320"/>
      <c r="AF254" s="168"/>
      <c r="AG254" s="156"/>
      <c r="AH254" s="156"/>
      <c r="AI254" s="410"/>
    </row>
    <row r="255" spans="1:35" ht="19.5" customHeight="1">
      <c r="A255" s="137"/>
      <c r="B255" s="197">
        <f t="shared" si="4"/>
        <v>245</v>
      </c>
      <c r="C255" s="30" t="s">
        <v>206</v>
      </c>
      <c r="D255" s="30" t="s">
        <v>225</v>
      </c>
      <c r="E255" s="234" t="s">
        <v>737</v>
      </c>
      <c r="F255" s="235" t="s">
        <v>1245</v>
      </c>
      <c r="G255" s="284" t="str">
        <f>IFERROR(VLOOKUP(E255,Assign!$C$2:$J$142,8,FALSE),)</f>
        <v>문선영</v>
      </c>
      <c r="H255" s="197" t="s">
        <v>5328</v>
      </c>
      <c r="I255" s="324" t="s">
        <v>5331</v>
      </c>
      <c r="J255" s="237">
        <v>1</v>
      </c>
      <c r="K255" s="237">
        <v>3</v>
      </c>
      <c r="L255" s="265" t="s">
        <v>220</v>
      </c>
      <c r="M255" s="266" t="s">
        <v>2574</v>
      </c>
      <c r="N255" s="266" t="s">
        <v>2809</v>
      </c>
      <c r="O255" s="267" t="s">
        <v>2812</v>
      </c>
      <c r="P255" s="268" t="s">
        <v>593</v>
      </c>
      <c r="Q255" s="269"/>
      <c r="R255" s="269">
        <v>330</v>
      </c>
      <c r="S255" s="270"/>
      <c r="T255" s="182"/>
      <c r="U255" s="182">
        <v>1</v>
      </c>
      <c r="V255" s="408">
        <v>1</v>
      </c>
      <c r="W255" s="357" t="s">
        <v>204</v>
      </c>
      <c r="X255" s="156">
        <v>288000000</v>
      </c>
      <c r="Y255" s="417">
        <v>288000000</v>
      </c>
      <c r="Z255" s="418" t="s">
        <v>359</v>
      </c>
      <c r="AA255" s="271"/>
      <c r="AB255" s="168"/>
      <c r="AC255" s="156"/>
      <c r="AD255" s="156"/>
      <c r="AE255" s="320"/>
      <c r="AF255" s="168"/>
      <c r="AG255" s="156"/>
      <c r="AH255" s="156"/>
      <c r="AI255" s="410"/>
    </row>
    <row r="256" spans="1:35" ht="19.5" customHeight="1">
      <c r="A256" s="137"/>
      <c r="B256" s="197">
        <f t="shared" si="4"/>
        <v>246</v>
      </c>
      <c r="C256" s="30" t="s">
        <v>206</v>
      </c>
      <c r="D256" s="30" t="s">
        <v>225</v>
      </c>
      <c r="E256" s="234" t="s">
        <v>737</v>
      </c>
      <c r="F256" s="235" t="s">
        <v>1245</v>
      </c>
      <c r="G256" s="284" t="str">
        <f>IFERROR(VLOOKUP(E256,Assign!$C$2:$J$142,8,FALSE),)</f>
        <v>문선영</v>
      </c>
      <c r="H256" s="197" t="s">
        <v>5328</v>
      </c>
      <c r="I256" s="324" t="s">
        <v>5332</v>
      </c>
      <c r="J256" s="237">
        <v>1</v>
      </c>
      <c r="K256" s="237">
        <v>4</v>
      </c>
      <c r="L256" s="265" t="s">
        <v>220</v>
      </c>
      <c r="M256" s="266" t="s">
        <v>2574</v>
      </c>
      <c r="N256" s="266" t="s">
        <v>2809</v>
      </c>
      <c r="O256" s="267" t="s">
        <v>2810</v>
      </c>
      <c r="P256" s="268" t="s">
        <v>447</v>
      </c>
      <c r="Q256" s="269">
        <v>5372</v>
      </c>
      <c r="R256" s="269"/>
      <c r="S256" s="270"/>
      <c r="T256" s="182"/>
      <c r="U256" s="182">
        <v>1</v>
      </c>
      <c r="V256" s="408">
        <v>1</v>
      </c>
      <c r="W256" s="357" t="s">
        <v>204</v>
      </c>
      <c r="X256" s="156">
        <v>288000000</v>
      </c>
      <c r="Y256" s="417">
        <v>288000000</v>
      </c>
      <c r="Z256" s="418" t="s">
        <v>359</v>
      </c>
      <c r="AA256" s="271"/>
      <c r="AB256" s="168"/>
      <c r="AC256" s="156"/>
      <c r="AD256" s="156"/>
      <c r="AE256" s="320"/>
      <c r="AF256" s="168"/>
      <c r="AG256" s="156"/>
      <c r="AH256" s="156"/>
      <c r="AI256" s="410"/>
    </row>
    <row r="257" spans="1:35" ht="19.5" customHeight="1">
      <c r="A257" s="137"/>
      <c r="B257" s="197">
        <f t="shared" si="4"/>
        <v>247</v>
      </c>
      <c r="C257" s="30" t="s">
        <v>206</v>
      </c>
      <c r="D257" s="30" t="s">
        <v>225</v>
      </c>
      <c r="E257" s="234" t="s">
        <v>737</v>
      </c>
      <c r="F257" s="235" t="s">
        <v>1245</v>
      </c>
      <c r="G257" s="284" t="str">
        <f>IFERROR(VLOOKUP(E257,Assign!$C$2:$J$142,8,FALSE),)</f>
        <v>문선영</v>
      </c>
      <c r="H257" s="197" t="s">
        <v>5328</v>
      </c>
      <c r="I257" s="324" t="s">
        <v>5333</v>
      </c>
      <c r="J257" s="237">
        <v>1</v>
      </c>
      <c r="K257" s="237">
        <v>5</v>
      </c>
      <c r="L257" s="265" t="s">
        <v>220</v>
      </c>
      <c r="M257" s="266" t="s">
        <v>2574</v>
      </c>
      <c r="N257" s="266" t="s">
        <v>2809</v>
      </c>
      <c r="O257" s="267" t="s">
        <v>2813</v>
      </c>
      <c r="P257" s="268" t="s">
        <v>447</v>
      </c>
      <c r="Q257" s="269">
        <v>423</v>
      </c>
      <c r="R257" s="269"/>
      <c r="S257" s="270"/>
      <c r="T257" s="182"/>
      <c r="U257" s="182">
        <v>1</v>
      </c>
      <c r="V257" s="408">
        <v>1</v>
      </c>
      <c r="W257" s="357" t="s">
        <v>204</v>
      </c>
      <c r="X257" s="156">
        <v>288000000</v>
      </c>
      <c r="Y257" s="417">
        <v>288000000</v>
      </c>
      <c r="Z257" s="418" t="s">
        <v>359</v>
      </c>
      <c r="AA257" s="271"/>
      <c r="AB257" s="168"/>
      <c r="AC257" s="156"/>
      <c r="AD257" s="156"/>
      <c r="AE257" s="320"/>
      <c r="AF257" s="168"/>
      <c r="AG257" s="156"/>
      <c r="AH257" s="156"/>
      <c r="AI257" s="410"/>
    </row>
    <row r="258" spans="1:35" ht="19.5" customHeight="1">
      <c r="A258" s="137"/>
      <c r="B258" s="197">
        <f t="shared" si="4"/>
        <v>248</v>
      </c>
      <c r="C258" s="30" t="s">
        <v>206</v>
      </c>
      <c r="D258" s="30" t="s">
        <v>225</v>
      </c>
      <c r="E258" s="234" t="s">
        <v>737</v>
      </c>
      <c r="F258" s="235" t="s">
        <v>1245</v>
      </c>
      <c r="G258" s="284" t="str">
        <f>IFERROR(VLOOKUP(E258,Assign!$C$2:$J$142,8,FALSE),)</f>
        <v>문선영</v>
      </c>
      <c r="H258" s="197" t="s">
        <v>5328</v>
      </c>
      <c r="I258" s="324" t="s">
        <v>5334</v>
      </c>
      <c r="J258" s="237">
        <v>1</v>
      </c>
      <c r="K258" s="237">
        <v>6</v>
      </c>
      <c r="L258" s="265" t="s">
        <v>220</v>
      </c>
      <c r="M258" s="266" t="s">
        <v>2574</v>
      </c>
      <c r="N258" s="266" t="s">
        <v>2809</v>
      </c>
      <c r="O258" s="267" t="s">
        <v>2814</v>
      </c>
      <c r="P258" s="268" t="s">
        <v>447</v>
      </c>
      <c r="Q258" s="269">
        <v>92</v>
      </c>
      <c r="R258" s="269"/>
      <c r="S258" s="270"/>
      <c r="T258" s="182"/>
      <c r="U258" s="182">
        <v>1</v>
      </c>
      <c r="V258" s="408">
        <v>1</v>
      </c>
      <c r="W258" s="357" t="s">
        <v>204</v>
      </c>
      <c r="X258" s="156">
        <v>288000000</v>
      </c>
      <c r="Y258" s="417">
        <v>288000000</v>
      </c>
      <c r="Z258" s="418" t="s">
        <v>359</v>
      </c>
      <c r="AA258" s="271"/>
      <c r="AB258" s="168"/>
      <c r="AC258" s="156"/>
      <c r="AD258" s="156"/>
      <c r="AE258" s="320"/>
      <c r="AF258" s="168"/>
      <c r="AG258" s="156"/>
      <c r="AH258" s="156"/>
      <c r="AI258" s="410"/>
    </row>
    <row r="259" spans="1:35" ht="19.5" customHeight="1">
      <c r="A259" s="137"/>
      <c r="B259" s="197">
        <f t="shared" si="4"/>
        <v>249</v>
      </c>
      <c r="C259" s="30" t="s">
        <v>206</v>
      </c>
      <c r="D259" s="30" t="s">
        <v>225</v>
      </c>
      <c r="E259" s="234" t="s">
        <v>737</v>
      </c>
      <c r="F259" s="235" t="s">
        <v>1245</v>
      </c>
      <c r="G259" s="284" t="str">
        <f>IFERROR(VLOOKUP(E259,Assign!$C$2:$J$142,8,FALSE),)</f>
        <v>문선영</v>
      </c>
      <c r="H259" s="197" t="s">
        <v>5328</v>
      </c>
      <c r="I259" s="324" t="s">
        <v>5335</v>
      </c>
      <c r="J259" s="237">
        <v>1</v>
      </c>
      <c r="K259" s="237">
        <v>7</v>
      </c>
      <c r="L259" s="265" t="s">
        <v>220</v>
      </c>
      <c r="M259" s="266" t="s">
        <v>2574</v>
      </c>
      <c r="N259" s="266" t="s">
        <v>2809</v>
      </c>
      <c r="O259" s="267" t="s">
        <v>2815</v>
      </c>
      <c r="P259" s="268" t="s">
        <v>2519</v>
      </c>
      <c r="Q259" s="269">
        <v>760</v>
      </c>
      <c r="R259" s="269"/>
      <c r="S259" s="270"/>
      <c r="T259" s="182"/>
      <c r="U259" s="182">
        <v>1</v>
      </c>
      <c r="V259" s="408">
        <v>1</v>
      </c>
      <c r="W259" s="357" t="s">
        <v>204</v>
      </c>
      <c r="X259" s="156">
        <v>288000000</v>
      </c>
      <c r="Y259" s="417">
        <v>288000000</v>
      </c>
      <c r="Z259" s="418" t="s">
        <v>359</v>
      </c>
      <c r="AA259" s="271"/>
      <c r="AB259" s="168"/>
      <c r="AC259" s="156"/>
      <c r="AD259" s="156"/>
      <c r="AE259" s="320"/>
      <c r="AF259" s="168"/>
      <c r="AG259" s="156"/>
      <c r="AH259" s="156"/>
      <c r="AI259" s="410"/>
    </row>
    <row r="260" spans="1:35" ht="19.5" customHeight="1">
      <c r="A260" s="137"/>
      <c r="B260" s="197">
        <f t="shared" si="4"/>
        <v>250</v>
      </c>
      <c r="C260" s="30" t="s">
        <v>206</v>
      </c>
      <c r="D260" s="30" t="s">
        <v>225</v>
      </c>
      <c r="E260" s="234" t="s">
        <v>737</v>
      </c>
      <c r="F260" s="235" t="s">
        <v>1245</v>
      </c>
      <c r="G260" s="284" t="str">
        <f>IFERROR(VLOOKUP(E260,Assign!$C$2:$J$142,8,FALSE),)</f>
        <v>문선영</v>
      </c>
      <c r="H260" s="197" t="s">
        <v>5328</v>
      </c>
      <c r="I260" s="324" t="s">
        <v>5336</v>
      </c>
      <c r="J260" s="237">
        <v>1</v>
      </c>
      <c r="K260" s="237">
        <v>8</v>
      </c>
      <c r="L260" s="265" t="s">
        <v>220</v>
      </c>
      <c r="M260" s="266" t="s">
        <v>2574</v>
      </c>
      <c r="N260" s="266" t="s">
        <v>2809</v>
      </c>
      <c r="O260" s="267" t="s">
        <v>2816</v>
      </c>
      <c r="P260" s="268" t="s">
        <v>2519</v>
      </c>
      <c r="Q260" s="269">
        <v>744</v>
      </c>
      <c r="R260" s="269"/>
      <c r="S260" s="270"/>
      <c r="T260" s="182"/>
      <c r="U260" s="182">
        <v>1</v>
      </c>
      <c r="V260" s="408">
        <v>1</v>
      </c>
      <c r="W260" s="357" t="s">
        <v>204</v>
      </c>
      <c r="X260" s="156">
        <v>288000000</v>
      </c>
      <c r="Y260" s="417">
        <v>288000000</v>
      </c>
      <c r="Z260" s="418" t="s">
        <v>359</v>
      </c>
      <c r="AA260" s="271"/>
      <c r="AB260" s="168"/>
      <c r="AC260" s="156"/>
      <c r="AD260" s="156"/>
      <c r="AE260" s="320"/>
      <c r="AF260" s="168"/>
      <c r="AG260" s="156"/>
      <c r="AH260" s="156"/>
      <c r="AI260" s="410"/>
    </row>
    <row r="261" spans="1:35" ht="19.5" hidden="1" customHeight="1">
      <c r="A261" s="137"/>
      <c r="B261" s="197">
        <f t="shared" si="4"/>
        <v>251</v>
      </c>
      <c r="C261" s="30" t="s">
        <v>206</v>
      </c>
      <c r="D261" s="30" t="s">
        <v>225</v>
      </c>
      <c r="E261" s="234" t="s">
        <v>738</v>
      </c>
      <c r="F261" s="235" t="s">
        <v>1226</v>
      </c>
      <c r="G261" s="284">
        <f>IFERROR(VLOOKUP(E261,Assign!$C$2:$J$142,8,FALSE),)</f>
        <v>0</v>
      </c>
      <c r="H261" s="197" t="s">
        <v>4509</v>
      </c>
      <c r="I261" s="324" t="s">
        <v>4510</v>
      </c>
      <c r="J261" s="237">
        <v>1</v>
      </c>
      <c r="K261" s="237">
        <v>1</v>
      </c>
      <c r="L261" s="265" t="s">
        <v>208</v>
      </c>
      <c r="M261" s="266" t="s">
        <v>324</v>
      </c>
      <c r="N261" s="266" t="s">
        <v>2051</v>
      </c>
      <c r="O261" s="267" t="s">
        <v>2052</v>
      </c>
      <c r="P261" s="268" t="s">
        <v>434</v>
      </c>
      <c r="Q261" s="269">
        <v>29403.5</v>
      </c>
      <c r="R261" s="269">
        <v>83.806600000000003</v>
      </c>
      <c r="S261" s="270"/>
      <c r="T261" s="182">
        <f>66.8965/29403.5</f>
        <v>2.2751203088067747E-3</v>
      </c>
      <c r="U261" s="182">
        <v>1</v>
      </c>
      <c r="V261" s="408">
        <v>1</v>
      </c>
      <c r="W261" s="357" t="s">
        <v>204</v>
      </c>
      <c r="X261" s="156">
        <v>249700000</v>
      </c>
      <c r="Y261" s="417">
        <v>249700000</v>
      </c>
      <c r="Z261" s="418" t="s">
        <v>359</v>
      </c>
      <c r="AA261" s="271"/>
      <c r="AB261" s="168"/>
      <c r="AC261" s="156"/>
      <c r="AD261" s="156"/>
      <c r="AE261" s="320"/>
      <c r="AF261" s="168"/>
      <c r="AG261" s="156"/>
      <c r="AH261" s="156"/>
      <c r="AI261" s="410"/>
    </row>
    <row r="262" spans="1:35" ht="19.5" hidden="1" customHeight="1">
      <c r="A262" s="137"/>
      <c r="B262" s="197">
        <f t="shared" si="4"/>
        <v>252</v>
      </c>
      <c r="C262" s="30" t="s">
        <v>206</v>
      </c>
      <c r="D262" s="30" t="s">
        <v>225</v>
      </c>
      <c r="E262" s="234" t="s">
        <v>739</v>
      </c>
      <c r="F262" s="235" t="s">
        <v>1246</v>
      </c>
      <c r="G262" s="284">
        <f>IFERROR(VLOOKUP(E262,Assign!$C$2:$J$142,8,FALSE),)</f>
        <v>0</v>
      </c>
      <c r="H262" s="197" t="s">
        <v>4559</v>
      </c>
      <c r="I262" s="324" t="s">
        <v>4560</v>
      </c>
      <c r="J262" s="237">
        <v>1</v>
      </c>
      <c r="K262" s="237">
        <v>1</v>
      </c>
      <c r="L262" s="265" t="s">
        <v>208</v>
      </c>
      <c r="M262" s="266" t="s">
        <v>280</v>
      </c>
      <c r="N262" s="266" t="s">
        <v>2098</v>
      </c>
      <c r="O262" s="267" t="s">
        <v>2099</v>
      </c>
      <c r="P262" s="268" t="s">
        <v>467</v>
      </c>
      <c r="Q262" s="269">
        <v>26427.599999999999</v>
      </c>
      <c r="R262" s="269">
        <v>84.62</v>
      </c>
      <c r="S262" s="270"/>
      <c r="T262" s="182">
        <f>40.3164/26427.6</f>
        <v>1.5255414793624849E-3</v>
      </c>
      <c r="U262" s="182">
        <v>1</v>
      </c>
      <c r="V262" s="408" t="s">
        <v>229</v>
      </c>
      <c r="W262" s="357" t="s">
        <v>204</v>
      </c>
      <c r="X262" s="156">
        <v>259600000</v>
      </c>
      <c r="Y262" s="417">
        <v>259600000</v>
      </c>
      <c r="Z262" s="418" t="s">
        <v>359</v>
      </c>
      <c r="AA262" s="271"/>
      <c r="AB262" s="168"/>
      <c r="AC262" s="156"/>
      <c r="AD262" s="156"/>
      <c r="AE262" s="320"/>
      <c r="AF262" s="168"/>
      <c r="AG262" s="156"/>
      <c r="AH262" s="156"/>
      <c r="AI262" s="410"/>
    </row>
    <row r="263" spans="1:35" ht="19.5" hidden="1" customHeight="1">
      <c r="A263" s="137"/>
      <c r="B263" s="197">
        <f t="shared" si="4"/>
        <v>253</v>
      </c>
      <c r="C263" s="30" t="s">
        <v>206</v>
      </c>
      <c r="D263" s="30" t="s">
        <v>225</v>
      </c>
      <c r="E263" s="234" t="s">
        <v>740</v>
      </c>
      <c r="F263" s="235" t="s">
        <v>1217</v>
      </c>
      <c r="G263" s="284">
        <f>IFERROR(VLOOKUP(E263,Assign!$C$2:$J$142,8,FALSE),)</f>
        <v>0</v>
      </c>
      <c r="H263" s="197" t="s">
        <v>4845</v>
      </c>
      <c r="I263" s="324" t="s">
        <v>4846</v>
      </c>
      <c r="J263" s="237">
        <v>1</v>
      </c>
      <c r="K263" s="237">
        <v>1</v>
      </c>
      <c r="L263" s="265" t="s">
        <v>208</v>
      </c>
      <c r="M263" s="266" t="s">
        <v>258</v>
      </c>
      <c r="N263" s="266" t="s">
        <v>327</v>
      </c>
      <c r="O263" s="267" t="s">
        <v>2373</v>
      </c>
      <c r="P263" s="268" t="s">
        <v>444</v>
      </c>
      <c r="Q263" s="269">
        <v>70930</v>
      </c>
      <c r="R263" s="269">
        <v>65.049000000000007</v>
      </c>
      <c r="S263" s="270"/>
      <c r="T263" s="182">
        <f>43.383/70930</f>
        <v>6.1163118567601868E-4</v>
      </c>
      <c r="U263" s="182">
        <v>1</v>
      </c>
      <c r="V263" s="408">
        <v>1</v>
      </c>
      <c r="W263" s="357" t="s">
        <v>204</v>
      </c>
      <c r="X263" s="156">
        <v>264000000</v>
      </c>
      <c r="Y263" s="417">
        <v>264000000</v>
      </c>
      <c r="Z263" s="418" t="s">
        <v>359</v>
      </c>
      <c r="AA263" s="271"/>
      <c r="AB263" s="168"/>
      <c r="AC263" s="156"/>
      <c r="AD263" s="156"/>
      <c r="AE263" s="320"/>
      <c r="AF263" s="168"/>
      <c r="AG263" s="156"/>
      <c r="AH263" s="156"/>
      <c r="AI263" s="410"/>
    </row>
    <row r="264" spans="1:35" ht="19.5" customHeight="1">
      <c r="A264" s="137"/>
      <c r="B264" s="197">
        <f t="shared" si="4"/>
        <v>254</v>
      </c>
      <c r="C264" s="30" t="s">
        <v>206</v>
      </c>
      <c r="D264" s="30" t="s">
        <v>225</v>
      </c>
      <c r="E264" s="234" t="s">
        <v>741</v>
      </c>
      <c r="F264" s="235" t="s">
        <v>1218</v>
      </c>
      <c r="G264" s="284" t="str">
        <f>IFERROR(VLOOKUP(E264,Assign!$C$2:$J$142,8,FALSE),)</f>
        <v>문선영</v>
      </c>
      <c r="H264" s="197" t="s">
        <v>4751</v>
      </c>
      <c r="I264" s="324" t="s">
        <v>4752</v>
      </c>
      <c r="J264" s="237">
        <v>1</v>
      </c>
      <c r="K264" s="237">
        <v>1</v>
      </c>
      <c r="L264" s="265" t="s">
        <v>214</v>
      </c>
      <c r="M264" s="266" t="s">
        <v>338</v>
      </c>
      <c r="N264" s="266" t="s">
        <v>1627</v>
      </c>
      <c r="O264" s="267" t="s">
        <v>2283</v>
      </c>
      <c r="P264" s="268" t="s">
        <v>2284</v>
      </c>
      <c r="Q264" s="269">
        <v>42690</v>
      </c>
      <c r="R264" s="269">
        <v>84.957599999999999</v>
      </c>
      <c r="S264" s="270"/>
      <c r="T264" s="182">
        <f>45.9464/42690</f>
        <v>1.0762801592878893E-3</v>
      </c>
      <c r="U264" s="182">
        <v>1</v>
      </c>
      <c r="V264" s="408">
        <v>1</v>
      </c>
      <c r="W264" s="357" t="s">
        <v>204</v>
      </c>
      <c r="X264" s="156">
        <v>242000000</v>
      </c>
      <c r="Y264" s="417">
        <v>242000000</v>
      </c>
      <c r="Z264" s="418" t="s">
        <v>359</v>
      </c>
      <c r="AA264" s="271"/>
      <c r="AB264" s="168"/>
      <c r="AC264" s="156"/>
      <c r="AD264" s="156"/>
      <c r="AE264" s="320"/>
      <c r="AF264" s="168"/>
      <c r="AG264" s="156"/>
      <c r="AH264" s="156"/>
      <c r="AI264" s="410"/>
    </row>
    <row r="265" spans="1:35" ht="19.5" hidden="1" customHeight="1">
      <c r="A265" s="137"/>
      <c r="B265" s="197">
        <f t="shared" si="4"/>
        <v>255</v>
      </c>
      <c r="C265" s="30" t="s">
        <v>206</v>
      </c>
      <c r="D265" s="30" t="s">
        <v>225</v>
      </c>
      <c r="E265" s="234" t="s">
        <v>742</v>
      </c>
      <c r="F265" s="235" t="s">
        <v>1225</v>
      </c>
      <c r="G265" s="284">
        <f>IFERROR(VLOOKUP(E265,Assign!$C$2:$J$142,8,FALSE),)</f>
        <v>0</v>
      </c>
      <c r="H265" s="197" t="s">
        <v>4771</v>
      </c>
      <c r="I265" s="324" t="s">
        <v>4772</v>
      </c>
      <c r="J265" s="237">
        <v>1</v>
      </c>
      <c r="K265" s="237">
        <v>1</v>
      </c>
      <c r="L265" s="265" t="s">
        <v>210</v>
      </c>
      <c r="M265" s="266" t="s">
        <v>232</v>
      </c>
      <c r="N265" s="266" t="s">
        <v>2303</v>
      </c>
      <c r="O265" s="267" t="s">
        <v>2304</v>
      </c>
      <c r="P265" s="268" t="s">
        <v>3508</v>
      </c>
      <c r="Q265" s="269">
        <f>51382.8+14403.6+16533</f>
        <v>82319.400000000009</v>
      </c>
      <c r="R265" s="269">
        <v>162.02500000000001</v>
      </c>
      <c r="S265" s="270"/>
      <c r="T265" s="182">
        <f>75.897/82319.4</f>
        <v>9.2198193864386781E-4</v>
      </c>
      <c r="U265" s="182">
        <v>1</v>
      </c>
      <c r="V265" s="408">
        <v>1</v>
      </c>
      <c r="W265" s="357" t="s">
        <v>204</v>
      </c>
      <c r="X265" s="156">
        <v>261600000</v>
      </c>
      <c r="Y265" s="417">
        <v>261600000</v>
      </c>
      <c r="Z265" s="418" t="s">
        <v>359</v>
      </c>
      <c r="AA265" s="271"/>
      <c r="AB265" s="168"/>
      <c r="AC265" s="156"/>
      <c r="AD265" s="156"/>
      <c r="AE265" s="320"/>
      <c r="AF265" s="168"/>
      <c r="AG265" s="156"/>
      <c r="AH265" s="156"/>
      <c r="AI265" s="410"/>
    </row>
    <row r="266" spans="1:35" ht="19.5" customHeight="1">
      <c r="A266" s="137"/>
      <c r="B266" s="197">
        <f t="shared" si="4"/>
        <v>256</v>
      </c>
      <c r="C266" s="30" t="s">
        <v>206</v>
      </c>
      <c r="D266" s="30" t="s">
        <v>225</v>
      </c>
      <c r="E266" s="234" t="s">
        <v>743</v>
      </c>
      <c r="F266" s="235" t="s">
        <v>1229</v>
      </c>
      <c r="G266" s="284" t="str">
        <f>IFERROR(VLOOKUP(E266,Assign!$C$2:$J$142,8,FALSE),)</f>
        <v>문선영</v>
      </c>
      <c r="H266" s="197" t="s">
        <v>5207</v>
      </c>
      <c r="I266" s="324" t="s">
        <v>5208</v>
      </c>
      <c r="J266" s="237">
        <v>1</v>
      </c>
      <c r="K266" s="237">
        <v>1</v>
      </c>
      <c r="L266" s="265" t="s">
        <v>215</v>
      </c>
      <c r="M266" s="266" t="s">
        <v>311</v>
      </c>
      <c r="N266" s="266" t="s">
        <v>1624</v>
      </c>
      <c r="O266" s="267" t="s">
        <v>2700</v>
      </c>
      <c r="P266" s="268" t="s">
        <v>2701</v>
      </c>
      <c r="Q266" s="269">
        <v>7218.8</v>
      </c>
      <c r="R266" s="269">
        <v>84.96</v>
      </c>
      <c r="S266" s="270"/>
      <c r="T266" s="182">
        <f>15.0743/7218.8</f>
        <v>2.0882002548900094E-3</v>
      </c>
      <c r="U266" s="182">
        <v>1</v>
      </c>
      <c r="V266" s="408">
        <v>1</v>
      </c>
      <c r="W266" s="357" t="s">
        <v>204</v>
      </c>
      <c r="X266" s="156">
        <v>242000000</v>
      </c>
      <c r="Y266" s="417">
        <v>242000000</v>
      </c>
      <c r="Z266" s="418" t="s">
        <v>359</v>
      </c>
      <c r="AA266" s="271"/>
      <c r="AB266" s="168"/>
      <c r="AC266" s="156"/>
      <c r="AD266" s="156"/>
      <c r="AE266" s="320"/>
      <c r="AF266" s="168"/>
      <c r="AG266" s="156"/>
      <c r="AH266" s="156"/>
      <c r="AI266" s="410"/>
    </row>
    <row r="267" spans="1:35" ht="19.5" hidden="1" customHeight="1">
      <c r="A267" s="137"/>
      <c r="B267" s="197">
        <f t="shared" ref="B267:B330" si="5">ROW()-10</f>
        <v>257</v>
      </c>
      <c r="C267" s="30" t="s">
        <v>206</v>
      </c>
      <c r="D267" s="30" t="s">
        <v>225</v>
      </c>
      <c r="E267" s="234" t="s">
        <v>744</v>
      </c>
      <c r="F267" s="235" t="s">
        <v>1225</v>
      </c>
      <c r="G267" s="284">
        <f>IFERROR(VLOOKUP(E267,Assign!$C$2:$J$142,8,FALSE),)</f>
        <v>0</v>
      </c>
      <c r="H267" s="197" t="s">
        <v>4096</v>
      </c>
      <c r="I267" s="324" t="s">
        <v>4097</v>
      </c>
      <c r="J267" s="237">
        <v>1</v>
      </c>
      <c r="K267" s="237">
        <v>1</v>
      </c>
      <c r="L267" s="265" t="s">
        <v>208</v>
      </c>
      <c r="M267" s="266" t="s">
        <v>234</v>
      </c>
      <c r="N267" s="266" t="s">
        <v>1670</v>
      </c>
      <c r="O267" s="267" t="s">
        <v>1671</v>
      </c>
      <c r="P267" s="268" t="s">
        <v>1672</v>
      </c>
      <c r="Q267" s="269">
        <f>1142+155+21+10</f>
        <v>1328</v>
      </c>
      <c r="R267" s="269">
        <f>45.89+38.79</f>
        <v>84.68</v>
      </c>
      <c r="S267" s="270"/>
      <c r="T267" s="182">
        <f>165.97/1328</f>
        <v>0.12497740963855422</v>
      </c>
      <c r="U267" s="182">
        <v>1</v>
      </c>
      <c r="V267" s="408">
        <v>1</v>
      </c>
      <c r="W267" s="357" t="s">
        <v>204</v>
      </c>
      <c r="X267" s="156">
        <v>285600000</v>
      </c>
      <c r="Y267" s="417">
        <v>285600000</v>
      </c>
      <c r="Z267" s="418" t="s">
        <v>359</v>
      </c>
      <c r="AA267" s="271"/>
      <c r="AB267" s="168"/>
      <c r="AC267" s="156"/>
      <c r="AD267" s="156"/>
      <c r="AE267" s="320"/>
      <c r="AF267" s="168"/>
      <c r="AG267" s="156"/>
      <c r="AH267" s="156"/>
      <c r="AI267" s="410"/>
    </row>
    <row r="268" spans="1:35" ht="19.5" hidden="1" customHeight="1">
      <c r="A268" s="137"/>
      <c r="B268" s="197">
        <f t="shared" si="5"/>
        <v>258</v>
      </c>
      <c r="C268" s="30" t="s">
        <v>206</v>
      </c>
      <c r="D268" s="30" t="s">
        <v>225</v>
      </c>
      <c r="E268" s="234" t="s">
        <v>745</v>
      </c>
      <c r="F268" s="235" t="s">
        <v>1225</v>
      </c>
      <c r="G268" s="284">
        <f>IFERROR(VLOOKUP(E268,Assign!$C$2:$J$142,8,FALSE),)</f>
        <v>0</v>
      </c>
      <c r="H268" s="197" t="s">
        <v>4753</v>
      </c>
      <c r="I268" s="324" t="s">
        <v>4754</v>
      </c>
      <c r="J268" s="237">
        <v>1</v>
      </c>
      <c r="K268" s="237">
        <v>1</v>
      </c>
      <c r="L268" s="265" t="s">
        <v>220</v>
      </c>
      <c r="M268" s="266" t="s">
        <v>412</v>
      </c>
      <c r="N268" s="266" t="s">
        <v>2285</v>
      </c>
      <c r="O268" s="267" t="s">
        <v>2286</v>
      </c>
      <c r="P268" s="268" t="s">
        <v>538</v>
      </c>
      <c r="Q268" s="269">
        <v>957</v>
      </c>
      <c r="R268" s="269"/>
      <c r="S268" s="270" t="s">
        <v>335</v>
      </c>
      <c r="T268" s="182"/>
      <c r="U268" s="182">
        <v>1</v>
      </c>
      <c r="V268" s="408">
        <v>1</v>
      </c>
      <c r="W268" s="357" t="s">
        <v>204</v>
      </c>
      <c r="X268" s="156">
        <v>243600000</v>
      </c>
      <c r="Y268" s="417">
        <v>243600000</v>
      </c>
      <c r="Z268" s="418" t="s">
        <v>359</v>
      </c>
      <c r="AA268" s="271"/>
      <c r="AB268" s="168"/>
      <c r="AC268" s="156"/>
      <c r="AD268" s="156"/>
      <c r="AE268" s="320"/>
      <c r="AF268" s="168"/>
      <c r="AG268" s="156"/>
      <c r="AH268" s="156"/>
      <c r="AI268" s="410"/>
    </row>
    <row r="269" spans="1:35" ht="19.5" hidden="1" customHeight="1">
      <c r="A269" s="137"/>
      <c r="B269" s="197">
        <f t="shared" si="5"/>
        <v>259</v>
      </c>
      <c r="C269" s="30" t="s">
        <v>206</v>
      </c>
      <c r="D269" s="30" t="s">
        <v>225</v>
      </c>
      <c r="E269" s="234" t="s">
        <v>745</v>
      </c>
      <c r="F269" s="235" t="s">
        <v>1225</v>
      </c>
      <c r="G269" s="284">
        <f>IFERROR(VLOOKUP(E269,Assign!$C$2:$J$142,8,FALSE),)</f>
        <v>0</v>
      </c>
      <c r="H269" s="197" t="s">
        <v>4753</v>
      </c>
      <c r="I269" s="324" t="s">
        <v>4755</v>
      </c>
      <c r="J269" s="237">
        <v>1</v>
      </c>
      <c r="K269" s="237">
        <v>2</v>
      </c>
      <c r="L269" s="265" t="s">
        <v>220</v>
      </c>
      <c r="M269" s="266" t="s">
        <v>412</v>
      </c>
      <c r="N269" s="266" t="s">
        <v>2285</v>
      </c>
      <c r="O269" s="267" t="s">
        <v>2287</v>
      </c>
      <c r="P269" s="268" t="s">
        <v>538</v>
      </c>
      <c r="Q269" s="269">
        <v>1890</v>
      </c>
      <c r="R269" s="269"/>
      <c r="S269" s="270" t="s">
        <v>335</v>
      </c>
      <c r="T269" s="182"/>
      <c r="U269" s="182">
        <v>1</v>
      </c>
      <c r="V269" s="408">
        <v>1</v>
      </c>
      <c r="W269" s="357" t="s">
        <v>204</v>
      </c>
      <c r="X269" s="156">
        <v>243600000</v>
      </c>
      <c r="Y269" s="417">
        <v>243600000</v>
      </c>
      <c r="Z269" s="418" t="s">
        <v>359</v>
      </c>
      <c r="AA269" s="271"/>
      <c r="AB269" s="168"/>
      <c r="AC269" s="156"/>
      <c r="AD269" s="156"/>
      <c r="AE269" s="320"/>
      <c r="AF269" s="168"/>
      <c r="AG269" s="156"/>
      <c r="AH269" s="156"/>
      <c r="AI269" s="410"/>
    </row>
    <row r="270" spans="1:35" ht="19.5" hidden="1" customHeight="1">
      <c r="A270" s="137"/>
      <c r="B270" s="197">
        <f t="shared" si="5"/>
        <v>260</v>
      </c>
      <c r="C270" s="30" t="s">
        <v>206</v>
      </c>
      <c r="D270" s="30" t="s">
        <v>225</v>
      </c>
      <c r="E270" s="234" t="s">
        <v>746</v>
      </c>
      <c r="F270" s="235" t="s">
        <v>1247</v>
      </c>
      <c r="G270" s="284">
        <f>IFERROR(VLOOKUP(E270,Assign!$C$2:$J$142,8,FALSE),)</f>
        <v>0</v>
      </c>
      <c r="H270" s="197" t="s">
        <v>5078</v>
      </c>
      <c r="I270" s="324" t="s">
        <v>5079</v>
      </c>
      <c r="J270" s="237">
        <v>1</v>
      </c>
      <c r="K270" s="237">
        <v>1</v>
      </c>
      <c r="L270" s="265" t="s">
        <v>208</v>
      </c>
      <c r="M270" s="266" t="s">
        <v>254</v>
      </c>
      <c r="N270" s="266" t="s">
        <v>2591</v>
      </c>
      <c r="O270" s="267" t="s">
        <v>2592</v>
      </c>
      <c r="P270" s="268" t="s">
        <v>2593</v>
      </c>
      <c r="Q270" s="269">
        <v>366</v>
      </c>
      <c r="R270" s="269">
        <v>38.840000000000003</v>
      </c>
      <c r="S270" s="270"/>
      <c r="T270" s="182">
        <f>23.52/366</f>
        <v>6.4262295081967208E-2</v>
      </c>
      <c r="U270" s="182">
        <v>1</v>
      </c>
      <c r="V270" s="408">
        <v>1</v>
      </c>
      <c r="W270" s="357" t="s">
        <v>204</v>
      </c>
      <c r="X270" s="156">
        <v>144000000</v>
      </c>
      <c r="Y270" s="417">
        <v>144000000</v>
      </c>
      <c r="Z270" s="418" t="s">
        <v>359</v>
      </c>
      <c r="AA270" s="271"/>
      <c r="AB270" s="168"/>
      <c r="AC270" s="156"/>
      <c r="AD270" s="156"/>
      <c r="AE270" s="320"/>
      <c r="AF270" s="168"/>
      <c r="AG270" s="156"/>
      <c r="AH270" s="156"/>
      <c r="AI270" s="410"/>
    </row>
    <row r="271" spans="1:35" ht="19.5" hidden="1" customHeight="1">
      <c r="A271" s="137"/>
      <c r="B271" s="197">
        <f t="shared" si="5"/>
        <v>261</v>
      </c>
      <c r="C271" s="30" t="s">
        <v>206</v>
      </c>
      <c r="D271" s="30" t="s">
        <v>225</v>
      </c>
      <c r="E271" s="234" t="s">
        <v>746</v>
      </c>
      <c r="F271" s="235" t="s">
        <v>1247</v>
      </c>
      <c r="G271" s="284">
        <f>IFERROR(VLOOKUP(E271,Assign!$C$2:$J$142,8,FALSE),)</f>
        <v>0</v>
      </c>
      <c r="H271" s="197" t="s">
        <v>5080</v>
      </c>
      <c r="I271" s="324" t="s">
        <v>5081</v>
      </c>
      <c r="J271" s="237">
        <v>2</v>
      </c>
      <c r="K271" s="237">
        <v>1</v>
      </c>
      <c r="L271" s="265" t="s">
        <v>208</v>
      </c>
      <c r="M271" s="266" t="s">
        <v>228</v>
      </c>
      <c r="N271" s="266" t="s">
        <v>2318</v>
      </c>
      <c r="O271" s="267" t="s">
        <v>2594</v>
      </c>
      <c r="P271" s="268" t="s">
        <v>2595</v>
      </c>
      <c r="Q271" s="269">
        <v>3960</v>
      </c>
      <c r="R271" s="269">
        <v>28.290400000000002</v>
      </c>
      <c r="S271" s="270"/>
      <c r="T271" s="182">
        <f>5.0179/3960</f>
        <v>1.2671464646464646E-3</v>
      </c>
      <c r="U271" s="182">
        <v>1</v>
      </c>
      <c r="V271" s="408">
        <v>1</v>
      </c>
      <c r="W271" s="357" t="s">
        <v>204</v>
      </c>
      <c r="X271" s="156">
        <v>120000000</v>
      </c>
      <c r="Y271" s="417">
        <v>120000000</v>
      </c>
      <c r="Z271" s="418" t="s">
        <v>359</v>
      </c>
      <c r="AA271" s="271"/>
      <c r="AB271" s="168"/>
      <c r="AC271" s="156"/>
      <c r="AD271" s="156"/>
      <c r="AE271" s="320"/>
      <c r="AF271" s="168"/>
      <c r="AG271" s="156"/>
      <c r="AH271" s="156"/>
      <c r="AI271" s="410"/>
    </row>
    <row r="272" spans="1:35" ht="19.5" hidden="1" customHeight="1">
      <c r="A272" s="137"/>
      <c r="B272" s="197">
        <f t="shared" si="5"/>
        <v>262</v>
      </c>
      <c r="C272" s="30" t="s">
        <v>206</v>
      </c>
      <c r="D272" s="30" t="s">
        <v>225</v>
      </c>
      <c r="E272" s="234" t="s">
        <v>746</v>
      </c>
      <c r="F272" s="235" t="s">
        <v>1247</v>
      </c>
      <c r="G272" s="284">
        <f>IFERROR(VLOOKUP(E272,Assign!$C$2:$J$142,8,FALSE),)</f>
        <v>0</v>
      </c>
      <c r="H272" s="197" t="s">
        <v>5082</v>
      </c>
      <c r="I272" s="324" t="s">
        <v>5083</v>
      </c>
      <c r="J272" s="237">
        <v>3</v>
      </c>
      <c r="K272" s="237">
        <v>1</v>
      </c>
      <c r="L272" s="265" t="s">
        <v>208</v>
      </c>
      <c r="M272" s="266" t="s">
        <v>228</v>
      </c>
      <c r="N272" s="266" t="s">
        <v>2318</v>
      </c>
      <c r="O272" s="267" t="s">
        <v>2596</v>
      </c>
      <c r="P272" s="268" t="s">
        <v>2595</v>
      </c>
      <c r="Q272" s="269">
        <v>3960</v>
      </c>
      <c r="R272" s="269">
        <v>28.290400000000002</v>
      </c>
      <c r="S272" s="270"/>
      <c r="T272" s="182">
        <f>5.0179/3960</f>
        <v>1.2671464646464646E-3</v>
      </c>
      <c r="U272" s="182">
        <v>1</v>
      </c>
      <c r="V272" s="408">
        <v>1</v>
      </c>
      <c r="W272" s="357" t="s">
        <v>204</v>
      </c>
      <c r="X272" s="156">
        <v>120000000</v>
      </c>
      <c r="Y272" s="417">
        <v>120000000</v>
      </c>
      <c r="Z272" s="418" t="s">
        <v>359</v>
      </c>
      <c r="AA272" s="271"/>
      <c r="AB272" s="168"/>
      <c r="AC272" s="156"/>
      <c r="AD272" s="156"/>
      <c r="AE272" s="320"/>
      <c r="AF272" s="168"/>
      <c r="AG272" s="156"/>
      <c r="AH272" s="156"/>
      <c r="AI272" s="410"/>
    </row>
    <row r="273" spans="1:35" ht="19.5" hidden="1" customHeight="1">
      <c r="A273" s="137"/>
      <c r="B273" s="197">
        <f t="shared" si="5"/>
        <v>263</v>
      </c>
      <c r="C273" s="30" t="s">
        <v>206</v>
      </c>
      <c r="D273" s="30" t="s">
        <v>225</v>
      </c>
      <c r="E273" s="234" t="s">
        <v>747</v>
      </c>
      <c r="F273" s="235" t="s">
        <v>1217</v>
      </c>
      <c r="G273" s="284">
        <f>IFERROR(VLOOKUP(E273,Assign!$C$2:$J$142,8,FALSE),)</f>
        <v>0</v>
      </c>
      <c r="H273" s="197" t="s">
        <v>4569</v>
      </c>
      <c r="I273" s="324" t="s">
        <v>4570</v>
      </c>
      <c r="J273" s="237">
        <v>1</v>
      </c>
      <c r="K273" s="237">
        <v>1</v>
      </c>
      <c r="L273" s="265" t="s">
        <v>209</v>
      </c>
      <c r="M273" s="266" t="s">
        <v>305</v>
      </c>
      <c r="N273" s="266" t="s">
        <v>2107</v>
      </c>
      <c r="O273" s="267" t="s">
        <v>2108</v>
      </c>
      <c r="P273" s="268" t="s">
        <v>465</v>
      </c>
      <c r="Q273" s="269">
        <f>3024.6+5269.6+7.3</f>
        <v>8301.5</v>
      </c>
      <c r="R273" s="269">
        <v>84.96</v>
      </c>
      <c r="S273" s="270"/>
      <c r="T273" s="182">
        <f>34.774/8301.5</f>
        <v>4.1888815274348009E-3</v>
      </c>
      <c r="U273" s="182">
        <v>1</v>
      </c>
      <c r="V273" s="408">
        <v>1</v>
      </c>
      <c r="W273" s="357" t="s">
        <v>204</v>
      </c>
      <c r="X273" s="156">
        <v>231000000</v>
      </c>
      <c r="Y273" s="417">
        <v>231000000</v>
      </c>
      <c r="Z273" s="418" t="s">
        <v>359</v>
      </c>
      <c r="AA273" s="271"/>
      <c r="AB273" s="168"/>
      <c r="AC273" s="156"/>
      <c r="AD273" s="156"/>
      <c r="AE273" s="320"/>
      <c r="AF273" s="168"/>
      <c r="AG273" s="156"/>
      <c r="AH273" s="156"/>
      <c r="AI273" s="410"/>
    </row>
    <row r="274" spans="1:35" ht="19.5" hidden="1" customHeight="1">
      <c r="A274" s="137"/>
      <c r="B274" s="197">
        <f t="shared" si="5"/>
        <v>264</v>
      </c>
      <c r="C274" s="30" t="s">
        <v>206</v>
      </c>
      <c r="D274" s="30" t="s">
        <v>225</v>
      </c>
      <c r="E274" s="234" t="s">
        <v>748</v>
      </c>
      <c r="F274" s="235" t="s">
        <v>1226</v>
      </c>
      <c r="G274" s="284">
        <f>IFERROR(VLOOKUP(E274,Assign!$C$2:$J$142,8,FALSE),)</f>
        <v>0</v>
      </c>
      <c r="H274" s="197" t="s">
        <v>4240</v>
      </c>
      <c r="I274" s="324" t="s">
        <v>4241</v>
      </c>
      <c r="J274" s="237">
        <v>1</v>
      </c>
      <c r="K274" s="237">
        <v>1</v>
      </c>
      <c r="L274" s="265" t="s">
        <v>208</v>
      </c>
      <c r="M274" s="266" t="s">
        <v>301</v>
      </c>
      <c r="N274" s="266" t="s">
        <v>400</v>
      </c>
      <c r="O274" s="267" t="s">
        <v>1811</v>
      </c>
      <c r="P274" s="268" t="s">
        <v>3543</v>
      </c>
      <c r="Q274" s="269">
        <v>42157.1</v>
      </c>
      <c r="R274" s="269">
        <v>84.89</v>
      </c>
      <c r="S274" s="270"/>
      <c r="T274" s="182">
        <f>62.205/42157.1</f>
        <v>1.4755521608459784E-3</v>
      </c>
      <c r="U274" s="182">
        <v>1</v>
      </c>
      <c r="V274" s="408">
        <v>1</v>
      </c>
      <c r="W274" s="357" t="s">
        <v>204</v>
      </c>
      <c r="X274" s="156">
        <v>222500000</v>
      </c>
      <c r="Y274" s="417">
        <v>222500000</v>
      </c>
      <c r="Z274" s="418" t="s">
        <v>359</v>
      </c>
      <c r="AA274" s="271"/>
      <c r="AB274" s="168"/>
      <c r="AC274" s="156"/>
      <c r="AD274" s="156"/>
      <c r="AE274" s="320"/>
      <c r="AF274" s="168"/>
      <c r="AG274" s="156"/>
      <c r="AH274" s="156"/>
      <c r="AI274" s="410"/>
    </row>
    <row r="275" spans="1:35" ht="19.5" hidden="1" customHeight="1">
      <c r="A275" s="137"/>
      <c r="B275" s="197">
        <f t="shared" si="5"/>
        <v>265</v>
      </c>
      <c r="C275" s="30" t="s">
        <v>206</v>
      </c>
      <c r="D275" s="30" t="s">
        <v>225</v>
      </c>
      <c r="E275" s="234" t="s">
        <v>749</v>
      </c>
      <c r="F275" s="235" t="s">
        <v>1225</v>
      </c>
      <c r="G275" s="284">
        <f>IFERROR(VLOOKUP(E275,Assign!$C$2:$J$142,8,FALSE),)</f>
        <v>0</v>
      </c>
      <c r="H275" s="197" t="s">
        <v>4430</v>
      </c>
      <c r="I275" s="324" t="s">
        <v>4431</v>
      </c>
      <c r="J275" s="237">
        <v>1</v>
      </c>
      <c r="K275" s="237">
        <v>1</v>
      </c>
      <c r="L275" s="265" t="s">
        <v>210</v>
      </c>
      <c r="M275" s="266" t="s">
        <v>252</v>
      </c>
      <c r="N275" s="266" t="s">
        <v>401</v>
      </c>
      <c r="O275" s="267" t="s">
        <v>1981</v>
      </c>
      <c r="P275" s="268" t="s">
        <v>444</v>
      </c>
      <c r="Q275" s="269">
        <v>142605</v>
      </c>
      <c r="R275" s="269">
        <v>101.92</v>
      </c>
      <c r="S275" s="270"/>
      <c r="T275" s="182">
        <f>63.2124/142605</f>
        <v>4.4326917008520041E-4</v>
      </c>
      <c r="U275" s="182">
        <v>1</v>
      </c>
      <c r="V275" s="408" t="s">
        <v>292</v>
      </c>
      <c r="W275" s="357" t="s">
        <v>204</v>
      </c>
      <c r="X275" s="156">
        <v>240000000</v>
      </c>
      <c r="Y275" s="417">
        <v>240000000</v>
      </c>
      <c r="Z275" s="418" t="s">
        <v>359</v>
      </c>
      <c r="AA275" s="271">
        <v>1</v>
      </c>
      <c r="AB275" s="168" t="s">
        <v>204</v>
      </c>
      <c r="AC275" s="156">
        <v>654500000</v>
      </c>
      <c r="AD275" s="156">
        <v>654500000</v>
      </c>
      <c r="AE275" s="320"/>
      <c r="AF275" s="168"/>
      <c r="AG275" s="156"/>
      <c r="AH275" s="156"/>
      <c r="AI275" s="410"/>
    </row>
    <row r="276" spans="1:35" ht="19.5" customHeight="1">
      <c r="A276" s="137"/>
      <c r="B276" s="197">
        <f t="shared" si="5"/>
        <v>266</v>
      </c>
      <c r="C276" s="30" t="s">
        <v>206</v>
      </c>
      <c r="D276" s="30" t="s">
        <v>225</v>
      </c>
      <c r="E276" s="234" t="s">
        <v>750</v>
      </c>
      <c r="F276" s="235" t="s">
        <v>7155</v>
      </c>
      <c r="G276" s="284" t="str">
        <f>IFERROR(VLOOKUP(E276,Assign!$C$2:$J$142,8,FALSE),)</f>
        <v>문선영</v>
      </c>
      <c r="H276" s="197" t="s">
        <v>5451</v>
      </c>
      <c r="I276" s="324" t="s">
        <v>5452</v>
      </c>
      <c r="J276" s="237">
        <v>1</v>
      </c>
      <c r="K276" s="237">
        <v>1</v>
      </c>
      <c r="L276" s="265" t="s">
        <v>208</v>
      </c>
      <c r="M276" s="266" t="s">
        <v>372</v>
      </c>
      <c r="N276" s="266" t="s">
        <v>373</v>
      </c>
      <c r="O276" s="267" t="s">
        <v>2927</v>
      </c>
      <c r="P276" s="268" t="s">
        <v>460</v>
      </c>
      <c r="Q276" s="269">
        <v>64514.1</v>
      </c>
      <c r="R276" s="269">
        <v>49.99</v>
      </c>
      <c r="S276" s="270"/>
      <c r="T276" s="182">
        <f>42.32/64514.1</f>
        <v>6.5598063059083207E-4</v>
      </c>
      <c r="U276" s="182">
        <v>1</v>
      </c>
      <c r="V276" s="408">
        <v>1</v>
      </c>
      <c r="W276" s="357" t="s">
        <v>204</v>
      </c>
      <c r="X276" s="156">
        <v>217800000</v>
      </c>
      <c r="Y276" s="417">
        <v>217800000</v>
      </c>
      <c r="Z276" s="418" t="s">
        <v>359</v>
      </c>
      <c r="AA276" s="271"/>
      <c r="AB276" s="168"/>
      <c r="AC276" s="156"/>
      <c r="AD276" s="156"/>
      <c r="AE276" s="320"/>
      <c r="AF276" s="168"/>
      <c r="AG276" s="156"/>
      <c r="AH276" s="156"/>
      <c r="AI276" s="410"/>
    </row>
    <row r="277" spans="1:35" ht="19.5" hidden="1" customHeight="1">
      <c r="A277" s="137"/>
      <c r="B277" s="197">
        <f t="shared" si="5"/>
        <v>267</v>
      </c>
      <c r="C277" s="30" t="s">
        <v>206</v>
      </c>
      <c r="D277" s="30" t="s">
        <v>225</v>
      </c>
      <c r="E277" s="234" t="s">
        <v>751</v>
      </c>
      <c r="F277" s="235" t="s">
        <v>1231</v>
      </c>
      <c r="G277" s="284">
        <f>IFERROR(VLOOKUP(E277,Assign!$C$2:$J$142,8,FALSE),)</f>
        <v>0</v>
      </c>
      <c r="H277" s="197" t="s">
        <v>4304</v>
      </c>
      <c r="I277" s="324" t="s">
        <v>4305</v>
      </c>
      <c r="J277" s="237">
        <v>1</v>
      </c>
      <c r="K277" s="237">
        <v>1</v>
      </c>
      <c r="L277" s="265" t="s">
        <v>208</v>
      </c>
      <c r="M277" s="266" t="s">
        <v>228</v>
      </c>
      <c r="N277" s="266" t="s">
        <v>343</v>
      </c>
      <c r="O277" s="267" t="s">
        <v>1870</v>
      </c>
      <c r="P277" s="268" t="s">
        <v>449</v>
      </c>
      <c r="Q277" s="269">
        <v>49151.199999999997</v>
      </c>
      <c r="R277" s="269">
        <v>74.98</v>
      </c>
      <c r="S277" s="270"/>
      <c r="T277" s="182" t="s">
        <v>273</v>
      </c>
      <c r="U277" s="182">
        <v>1</v>
      </c>
      <c r="V277" s="408">
        <v>1</v>
      </c>
      <c r="W277" s="357" t="s">
        <v>204</v>
      </c>
      <c r="X277" s="156">
        <v>273600000</v>
      </c>
      <c r="Y277" s="417">
        <v>273600000</v>
      </c>
      <c r="Z277" s="418" t="s">
        <v>359</v>
      </c>
      <c r="AA277" s="271"/>
      <c r="AB277" s="168"/>
      <c r="AC277" s="156"/>
      <c r="AD277" s="156"/>
      <c r="AE277" s="320"/>
      <c r="AF277" s="168"/>
      <c r="AG277" s="156"/>
      <c r="AH277" s="156"/>
      <c r="AI277" s="410"/>
    </row>
    <row r="278" spans="1:35" ht="19.5" hidden="1" customHeight="1">
      <c r="A278" s="137"/>
      <c r="B278" s="197">
        <f t="shared" si="5"/>
        <v>268</v>
      </c>
      <c r="C278" s="30" t="s">
        <v>206</v>
      </c>
      <c r="D278" s="30" t="s">
        <v>225</v>
      </c>
      <c r="E278" s="234" t="s">
        <v>752</v>
      </c>
      <c r="F278" s="235" t="s">
        <v>1217</v>
      </c>
      <c r="G278" s="284">
        <f>IFERROR(VLOOKUP(E278,Assign!$C$2:$J$142,8,FALSE),)</f>
        <v>0</v>
      </c>
      <c r="H278" s="197" t="s">
        <v>3969</v>
      </c>
      <c r="I278" s="324" t="s">
        <v>3970</v>
      </c>
      <c r="J278" s="237">
        <v>1</v>
      </c>
      <c r="K278" s="237">
        <v>1</v>
      </c>
      <c r="L278" s="265" t="s">
        <v>209</v>
      </c>
      <c r="M278" s="266" t="s">
        <v>1546</v>
      </c>
      <c r="N278" s="266" t="s">
        <v>1547</v>
      </c>
      <c r="O278" s="267" t="s">
        <v>1548</v>
      </c>
      <c r="P278" s="268" t="s">
        <v>1549</v>
      </c>
      <c r="Q278" s="269">
        <v>48552</v>
      </c>
      <c r="R278" s="269">
        <v>177.12</v>
      </c>
      <c r="S278" s="270"/>
      <c r="T278" s="182">
        <f>128/48652</f>
        <v>2.630929869275672E-3</v>
      </c>
      <c r="U278" s="182">
        <v>1</v>
      </c>
      <c r="V278" s="408">
        <v>1</v>
      </c>
      <c r="W278" s="357" t="s">
        <v>204</v>
      </c>
      <c r="X278" s="156">
        <v>325000000</v>
      </c>
      <c r="Y278" s="417">
        <v>325000000</v>
      </c>
      <c r="Z278" s="418" t="s">
        <v>359</v>
      </c>
      <c r="AA278" s="271"/>
      <c r="AB278" s="168"/>
      <c r="AC278" s="156"/>
      <c r="AD278" s="156"/>
      <c r="AE278" s="320"/>
      <c r="AF278" s="168"/>
      <c r="AG278" s="156"/>
      <c r="AH278" s="156"/>
      <c r="AI278" s="410"/>
    </row>
    <row r="279" spans="1:35" ht="19.5" customHeight="1">
      <c r="A279" s="137"/>
      <c r="B279" s="197">
        <f t="shared" si="5"/>
        <v>269</v>
      </c>
      <c r="C279" s="30" t="s">
        <v>206</v>
      </c>
      <c r="D279" s="30" t="s">
        <v>225</v>
      </c>
      <c r="E279" s="234" t="s">
        <v>753</v>
      </c>
      <c r="F279" s="235" t="s">
        <v>1221</v>
      </c>
      <c r="G279" s="284" t="str">
        <f>IFERROR(VLOOKUP(E279,Assign!$C$2:$J$142,8,FALSE),)</f>
        <v>문선영</v>
      </c>
      <c r="H279" s="197" t="s">
        <v>3984</v>
      </c>
      <c r="I279" s="324" t="s">
        <v>3985</v>
      </c>
      <c r="J279" s="237">
        <v>1</v>
      </c>
      <c r="K279" s="237">
        <v>1</v>
      </c>
      <c r="L279" s="265" t="s">
        <v>220</v>
      </c>
      <c r="M279" s="266" t="s">
        <v>384</v>
      </c>
      <c r="N279" s="266" t="s">
        <v>1525</v>
      </c>
      <c r="O279" s="267" t="s">
        <v>1560</v>
      </c>
      <c r="P279" s="268" t="s">
        <v>451</v>
      </c>
      <c r="Q279" s="269">
        <v>33245.9</v>
      </c>
      <c r="R279" s="269">
        <v>84.995400000000004</v>
      </c>
      <c r="S279" s="270"/>
      <c r="T279" s="182">
        <f>51.9816/33245.9</f>
        <v>1.5635491895241217E-3</v>
      </c>
      <c r="U279" s="182">
        <v>1</v>
      </c>
      <c r="V279" s="408">
        <v>1</v>
      </c>
      <c r="W279" s="357" t="s">
        <v>204</v>
      </c>
      <c r="X279" s="156">
        <v>260400000</v>
      </c>
      <c r="Y279" s="417">
        <v>260400000</v>
      </c>
      <c r="Z279" s="418" t="s">
        <v>359</v>
      </c>
      <c r="AA279" s="271"/>
      <c r="AB279" s="168"/>
      <c r="AC279" s="156"/>
      <c r="AD279" s="156"/>
      <c r="AE279" s="320"/>
      <c r="AF279" s="168"/>
      <c r="AG279" s="156"/>
      <c r="AH279" s="156"/>
      <c r="AI279" s="410"/>
    </row>
    <row r="280" spans="1:35" ht="19.5" hidden="1" customHeight="1">
      <c r="A280" s="137"/>
      <c r="B280" s="197">
        <f t="shared" si="5"/>
        <v>270</v>
      </c>
      <c r="C280" s="30" t="s">
        <v>206</v>
      </c>
      <c r="D280" s="30" t="s">
        <v>225</v>
      </c>
      <c r="E280" s="234" t="s">
        <v>754</v>
      </c>
      <c r="F280" s="235" t="s">
        <v>1229</v>
      </c>
      <c r="G280" s="284">
        <f>IFERROR(VLOOKUP(E280,Assign!$C$2:$J$142,8,FALSE),)</f>
        <v>0</v>
      </c>
      <c r="H280" s="197" t="s">
        <v>5188</v>
      </c>
      <c r="I280" s="324" t="s">
        <v>5189</v>
      </c>
      <c r="J280" s="237">
        <v>1</v>
      </c>
      <c r="K280" s="237">
        <v>1</v>
      </c>
      <c r="L280" s="265" t="s">
        <v>208</v>
      </c>
      <c r="M280" s="266" t="s">
        <v>228</v>
      </c>
      <c r="N280" s="266" t="s">
        <v>2692</v>
      </c>
      <c r="O280" s="267" t="s">
        <v>2693</v>
      </c>
      <c r="P280" s="268" t="s">
        <v>433</v>
      </c>
      <c r="Q280" s="269">
        <f>45153.4+6818.3</f>
        <v>51971.700000000004</v>
      </c>
      <c r="R280" s="269">
        <v>59.975700000000003</v>
      </c>
      <c r="S280" s="270"/>
      <c r="T280" s="182">
        <f>38.5977/51971.7</f>
        <v>7.4266764412170478E-4</v>
      </c>
      <c r="U280" s="182">
        <v>1</v>
      </c>
      <c r="V280" s="408">
        <v>1</v>
      </c>
      <c r="W280" s="357" t="s">
        <v>204</v>
      </c>
      <c r="X280" s="156">
        <v>235200000</v>
      </c>
      <c r="Y280" s="417">
        <v>235200000</v>
      </c>
      <c r="Z280" s="418" t="s">
        <v>359</v>
      </c>
      <c r="AA280" s="271"/>
      <c r="AB280" s="168"/>
      <c r="AC280" s="156"/>
      <c r="AD280" s="156"/>
      <c r="AE280" s="320"/>
      <c r="AF280" s="168"/>
      <c r="AG280" s="156"/>
      <c r="AH280" s="156"/>
      <c r="AI280" s="410"/>
    </row>
    <row r="281" spans="1:35" ht="19.5" customHeight="1">
      <c r="A281" s="137"/>
      <c r="B281" s="197">
        <f t="shared" si="5"/>
        <v>271</v>
      </c>
      <c r="C281" s="30" t="s">
        <v>206</v>
      </c>
      <c r="D281" s="30" t="s">
        <v>225</v>
      </c>
      <c r="E281" s="234" t="s">
        <v>755</v>
      </c>
      <c r="F281" s="235" t="s">
        <v>1226</v>
      </c>
      <c r="G281" s="284" t="str">
        <f>IFERROR(VLOOKUP(E281,Assign!$C$2:$J$142,8,FALSE),)</f>
        <v>문선영</v>
      </c>
      <c r="H281" s="197" t="s">
        <v>4149</v>
      </c>
      <c r="I281" s="324" t="s">
        <v>4150</v>
      </c>
      <c r="J281" s="237">
        <v>1</v>
      </c>
      <c r="K281" s="237">
        <v>1</v>
      </c>
      <c r="L281" s="265" t="s">
        <v>208</v>
      </c>
      <c r="M281" s="266" t="s">
        <v>365</v>
      </c>
      <c r="N281" s="266" t="s">
        <v>366</v>
      </c>
      <c r="O281" s="267" t="s">
        <v>1724</v>
      </c>
      <c r="P281" s="268" t="s">
        <v>467</v>
      </c>
      <c r="Q281" s="269">
        <v>38579.1</v>
      </c>
      <c r="R281" s="269">
        <v>127.22</v>
      </c>
      <c r="S281" s="270"/>
      <c r="T281" s="182">
        <f>67.7/38579.1</f>
        <v>1.7548361677695956E-3</v>
      </c>
      <c r="U281" s="182">
        <v>1</v>
      </c>
      <c r="V281" s="408">
        <v>1</v>
      </c>
      <c r="W281" s="357" t="s">
        <v>204</v>
      </c>
      <c r="X281" s="156">
        <v>223500000</v>
      </c>
      <c r="Y281" s="417">
        <v>223500000</v>
      </c>
      <c r="Z281" s="418" t="s">
        <v>359</v>
      </c>
      <c r="AA281" s="271"/>
      <c r="AB281" s="168"/>
      <c r="AC281" s="156"/>
      <c r="AD281" s="156"/>
      <c r="AE281" s="320"/>
      <c r="AF281" s="168"/>
      <c r="AG281" s="156"/>
      <c r="AH281" s="156"/>
      <c r="AI281" s="410"/>
    </row>
    <row r="282" spans="1:35" ht="19.5" customHeight="1">
      <c r="A282" s="137"/>
      <c r="B282" s="197">
        <f t="shared" si="5"/>
        <v>272</v>
      </c>
      <c r="C282" s="30" t="s">
        <v>206</v>
      </c>
      <c r="D282" s="30" t="s">
        <v>225</v>
      </c>
      <c r="E282" s="234" t="s">
        <v>756</v>
      </c>
      <c r="F282" s="235" t="s">
        <v>1229</v>
      </c>
      <c r="G282" s="284" t="str">
        <f>IFERROR(VLOOKUP(E282,Assign!$C$2:$J$142,8,FALSE),)</f>
        <v>문선영</v>
      </c>
      <c r="H282" s="197" t="s">
        <v>5126</v>
      </c>
      <c r="I282" s="324" t="s">
        <v>5127</v>
      </c>
      <c r="J282" s="237">
        <v>1</v>
      </c>
      <c r="K282" s="237">
        <v>1</v>
      </c>
      <c r="L282" s="265" t="s">
        <v>211</v>
      </c>
      <c r="M282" s="266" t="s">
        <v>310</v>
      </c>
      <c r="N282" s="266" t="s">
        <v>2638</v>
      </c>
      <c r="O282" s="267" t="s">
        <v>2639</v>
      </c>
      <c r="P282" s="268" t="s">
        <v>433</v>
      </c>
      <c r="Q282" s="269">
        <v>34333.800000000003</v>
      </c>
      <c r="R282" s="269">
        <v>84.938100000000006</v>
      </c>
      <c r="S282" s="270"/>
      <c r="T282" s="182">
        <f>35.5254/34333.8</f>
        <v>1.0347063243800567E-3</v>
      </c>
      <c r="U282" s="182">
        <v>1</v>
      </c>
      <c r="V282" s="408">
        <v>1</v>
      </c>
      <c r="W282" s="357" t="s">
        <v>204</v>
      </c>
      <c r="X282" s="156">
        <v>252000000</v>
      </c>
      <c r="Y282" s="417">
        <v>252000000</v>
      </c>
      <c r="Z282" s="418" t="s">
        <v>359</v>
      </c>
      <c r="AA282" s="271"/>
      <c r="AB282" s="168"/>
      <c r="AC282" s="156"/>
      <c r="AD282" s="156"/>
      <c r="AE282" s="320"/>
      <c r="AF282" s="168"/>
      <c r="AG282" s="156"/>
      <c r="AH282" s="156"/>
      <c r="AI282" s="410"/>
    </row>
    <row r="283" spans="1:35" ht="19.5" hidden="1" customHeight="1">
      <c r="A283" s="137"/>
      <c r="B283" s="197">
        <f t="shared" si="5"/>
        <v>273</v>
      </c>
      <c r="C283" s="30" t="s">
        <v>206</v>
      </c>
      <c r="D283" s="30" t="s">
        <v>225</v>
      </c>
      <c r="E283" s="234" t="s">
        <v>757</v>
      </c>
      <c r="F283" s="235" t="s">
        <v>1317</v>
      </c>
      <c r="G283" s="284">
        <f>IFERROR(VLOOKUP(E283,Assign!$C$2:$J$142,8,FALSE),)</f>
        <v>0</v>
      </c>
      <c r="H283" s="197" t="s">
        <v>5546</v>
      </c>
      <c r="I283" s="324" t="s">
        <v>5547</v>
      </c>
      <c r="J283" s="237">
        <v>1</v>
      </c>
      <c r="K283" s="237">
        <v>1</v>
      </c>
      <c r="L283" s="265" t="s">
        <v>208</v>
      </c>
      <c r="M283" s="266" t="s">
        <v>369</v>
      </c>
      <c r="N283" s="266" t="s">
        <v>1719</v>
      </c>
      <c r="O283" s="267" t="s">
        <v>3018</v>
      </c>
      <c r="P283" s="268" t="s">
        <v>1622</v>
      </c>
      <c r="Q283" s="269">
        <v>54938.1</v>
      </c>
      <c r="R283" s="269">
        <v>161.88999999999999</v>
      </c>
      <c r="S283" s="270"/>
      <c r="T283" s="182">
        <f>197.465/54938.1</f>
        <v>3.594317968768487E-3</v>
      </c>
      <c r="U283" s="182">
        <v>1</v>
      </c>
      <c r="V283" s="408" t="s">
        <v>3665</v>
      </c>
      <c r="W283" s="357" t="s">
        <v>204</v>
      </c>
      <c r="X283" s="156">
        <v>216000000</v>
      </c>
      <c r="Y283" s="417">
        <v>216000000</v>
      </c>
      <c r="Z283" s="418" t="s">
        <v>359</v>
      </c>
      <c r="AA283" s="271">
        <v>1</v>
      </c>
      <c r="AB283" s="168" t="s">
        <v>204</v>
      </c>
      <c r="AC283" s="156">
        <v>420000000</v>
      </c>
      <c r="AD283" s="156">
        <v>420000000</v>
      </c>
      <c r="AE283" s="320"/>
      <c r="AF283" s="168"/>
      <c r="AG283" s="156"/>
      <c r="AH283" s="156"/>
      <c r="AI283" s="410"/>
    </row>
    <row r="284" spans="1:35" ht="19.5" customHeight="1">
      <c r="A284" s="137"/>
      <c r="B284" s="197">
        <f t="shared" si="5"/>
        <v>274</v>
      </c>
      <c r="C284" s="30" t="s">
        <v>206</v>
      </c>
      <c r="D284" s="30" t="s">
        <v>225</v>
      </c>
      <c r="E284" s="234" t="s">
        <v>758</v>
      </c>
      <c r="F284" s="235" t="s">
        <v>1234</v>
      </c>
      <c r="G284" s="284" t="str">
        <f>IFERROR(VLOOKUP(E284,Assign!$C$2:$J$142,8,FALSE),)</f>
        <v>문선영</v>
      </c>
      <c r="H284" s="197" t="s">
        <v>4511</v>
      </c>
      <c r="I284" s="487" t="s">
        <v>4512</v>
      </c>
      <c r="J284" s="237">
        <v>1</v>
      </c>
      <c r="K284" s="237">
        <v>1</v>
      </c>
      <c r="L284" s="265" t="s">
        <v>209</v>
      </c>
      <c r="M284" s="266" t="s">
        <v>282</v>
      </c>
      <c r="N284" s="266" t="s">
        <v>2053</v>
      </c>
      <c r="O284" s="267" t="s">
        <v>2054</v>
      </c>
      <c r="P284" s="268" t="s">
        <v>441</v>
      </c>
      <c r="Q284" s="269">
        <v>260.39999999999998</v>
      </c>
      <c r="R284" s="269">
        <v>42.4</v>
      </c>
      <c r="S284" s="270"/>
      <c r="T284" s="182">
        <f>26.04/260.4</f>
        <v>0.1</v>
      </c>
      <c r="U284" s="182">
        <v>1</v>
      </c>
      <c r="V284" s="408">
        <v>1</v>
      </c>
      <c r="W284" s="357" t="s">
        <v>204</v>
      </c>
      <c r="X284" s="156">
        <v>252000000</v>
      </c>
      <c r="Y284" s="156">
        <v>252000000</v>
      </c>
      <c r="Z284" s="418" t="s">
        <v>359</v>
      </c>
      <c r="AA284" s="271"/>
      <c r="AB284" s="168"/>
      <c r="AC284" s="156"/>
      <c r="AD284" s="156"/>
      <c r="AE284" s="320"/>
      <c r="AF284" s="168"/>
      <c r="AG284" s="156"/>
      <c r="AH284" s="156"/>
      <c r="AI284" s="410"/>
    </row>
    <row r="285" spans="1:35" ht="19.5" hidden="1" customHeight="1">
      <c r="A285" s="137"/>
      <c r="B285" s="197">
        <f t="shared" si="5"/>
        <v>275</v>
      </c>
      <c r="C285" s="30" t="s">
        <v>206</v>
      </c>
      <c r="D285" s="30" t="s">
        <v>225</v>
      </c>
      <c r="E285" s="234" t="s">
        <v>759</v>
      </c>
      <c r="F285" s="235" t="s">
        <v>1229</v>
      </c>
      <c r="G285" s="284">
        <f>IFERROR(VLOOKUP(E285,Assign!$C$2:$J$142,8,FALSE),)</f>
        <v>0</v>
      </c>
      <c r="H285" s="197" t="s">
        <v>4234</v>
      </c>
      <c r="I285" s="324" t="s">
        <v>4235</v>
      </c>
      <c r="J285" s="237">
        <v>1</v>
      </c>
      <c r="K285" s="237">
        <v>1</v>
      </c>
      <c r="L285" s="265" t="s">
        <v>208</v>
      </c>
      <c r="M285" s="266" t="s">
        <v>280</v>
      </c>
      <c r="N285" s="266" t="s">
        <v>281</v>
      </c>
      <c r="O285" s="267" t="s">
        <v>1807</v>
      </c>
      <c r="P285" s="268" t="s">
        <v>1808</v>
      </c>
      <c r="Q285" s="269">
        <v>1722.5</v>
      </c>
      <c r="R285" s="269">
        <v>20.2881</v>
      </c>
      <c r="S285" s="270"/>
      <c r="T285" s="182">
        <f>5.94/1722.5</f>
        <v>3.4484760522496376E-3</v>
      </c>
      <c r="U285" s="182">
        <v>1</v>
      </c>
      <c r="V285" s="408">
        <v>1</v>
      </c>
      <c r="W285" s="357" t="s">
        <v>204</v>
      </c>
      <c r="X285" s="156">
        <v>111600000</v>
      </c>
      <c r="Y285" s="417">
        <v>111600000</v>
      </c>
      <c r="Z285" s="418" t="s">
        <v>359</v>
      </c>
      <c r="AA285" s="271"/>
      <c r="AB285" s="168"/>
      <c r="AC285" s="156"/>
      <c r="AD285" s="156"/>
      <c r="AE285" s="320"/>
      <c r="AF285" s="168"/>
      <c r="AG285" s="156"/>
      <c r="AH285" s="156"/>
      <c r="AI285" s="410"/>
    </row>
    <row r="286" spans="1:35" ht="19.5" hidden="1" customHeight="1">
      <c r="A286" s="137"/>
      <c r="B286" s="197">
        <f t="shared" si="5"/>
        <v>276</v>
      </c>
      <c r="C286" s="30" t="s">
        <v>206</v>
      </c>
      <c r="D286" s="30" t="s">
        <v>225</v>
      </c>
      <c r="E286" s="234" t="s">
        <v>759</v>
      </c>
      <c r="F286" s="235" t="s">
        <v>1229</v>
      </c>
      <c r="G286" s="284">
        <f>IFERROR(VLOOKUP(E286,Assign!$C$2:$J$142,8,FALSE),)</f>
        <v>0</v>
      </c>
      <c r="H286" s="197" t="s">
        <v>4236</v>
      </c>
      <c r="I286" s="324" t="s">
        <v>4237</v>
      </c>
      <c r="J286" s="237">
        <v>2</v>
      </c>
      <c r="K286" s="237">
        <v>1</v>
      </c>
      <c r="L286" s="265" t="s">
        <v>208</v>
      </c>
      <c r="M286" s="266" t="s">
        <v>280</v>
      </c>
      <c r="N286" s="266" t="s">
        <v>281</v>
      </c>
      <c r="O286" s="267" t="s">
        <v>1809</v>
      </c>
      <c r="P286" s="268" t="s">
        <v>1808</v>
      </c>
      <c r="Q286" s="269">
        <v>1722.5</v>
      </c>
      <c r="R286" s="269">
        <v>20.2881</v>
      </c>
      <c r="S286" s="270"/>
      <c r="T286" s="182">
        <f>5.94/1722.5</f>
        <v>3.4484760522496376E-3</v>
      </c>
      <c r="U286" s="182">
        <v>1</v>
      </c>
      <c r="V286" s="408">
        <v>1</v>
      </c>
      <c r="W286" s="357" t="s">
        <v>204</v>
      </c>
      <c r="X286" s="156">
        <v>106800000</v>
      </c>
      <c r="Y286" s="417">
        <v>106800000</v>
      </c>
      <c r="Z286" s="418" t="s">
        <v>359</v>
      </c>
      <c r="AA286" s="271"/>
      <c r="AB286" s="168"/>
      <c r="AC286" s="156"/>
      <c r="AD286" s="156"/>
      <c r="AE286" s="320"/>
      <c r="AF286" s="168"/>
      <c r="AG286" s="156"/>
      <c r="AH286" s="156"/>
      <c r="AI286" s="410"/>
    </row>
    <row r="287" spans="1:35" ht="19.5" customHeight="1">
      <c r="A287" s="137"/>
      <c r="B287" s="197">
        <f t="shared" si="5"/>
        <v>277</v>
      </c>
      <c r="C287" s="30" t="s">
        <v>206</v>
      </c>
      <c r="D287" s="30" t="s">
        <v>225</v>
      </c>
      <c r="E287" s="234" t="s">
        <v>760</v>
      </c>
      <c r="F287" s="235" t="s">
        <v>1225</v>
      </c>
      <c r="G287" s="284" t="str">
        <f>IFERROR(VLOOKUP(E287,Assign!$C$2:$J$142,8,FALSE),)</f>
        <v>문선영</v>
      </c>
      <c r="H287" s="197" t="s">
        <v>4021</v>
      </c>
      <c r="I287" s="324" t="s">
        <v>4022</v>
      </c>
      <c r="J287" s="237">
        <v>1</v>
      </c>
      <c r="K287" s="237">
        <v>1</v>
      </c>
      <c r="L287" s="265" t="s">
        <v>211</v>
      </c>
      <c r="M287" s="266" t="s">
        <v>299</v>
      </c>
      <c r="N287" s="266" t="s">
        <v>1595</v>
      </c>
      <c r="O287" s="267" t="s">
        <v>1596</v>
      </c>
      <c r="P287" s="268" t="s">
        <v>449</v>
      </c>
      <c r="Q287" s="269">
        <v>106791.8</v>
      </c>
      <c r="R287" s="269">
        <v>99.686300000000003</v>
      </c>
      <c r="S287" s="270"/>
      <c r="T287" s="182">
        <f>76.91/106791.8</f>
        <v>7.2018638135137706E-4</v>
      </c>
      <c r="U287" s="182">
        <v>1</v>
      </c>
      <c r="V287" s="408">
        <v>1</v>
      </c>
      <c r="W287" s="357" t="s">
        <v>204</v>
      </c>
      <c r="X287" s="156">
        <v>255600000</v>
      </c>
      <c r="Y287" s="417">
        <v>255600000</v>
      </c>
      <c r="Z287" s="418" t="s">
        <v>359</v>
      </c>
      <c r="AA287" s="271"/>
      <c r="AB287" s="168"/>
      <c r="AC287" s="156"/>
      <c r="AD287" s="156"/>
      <c r="AE287" s="320"/>
      <c r="AF287" s="168"/>
      <c r="AG287" s="156"/>
      <c r="AH287" s="156"/>
      <c r="AI287" s="410"/>
    </row>
    <row r="288" spans="1:35" ht="19.5" customHeight="1">
      <c r="A288" s="137"/>
      <c r="B288" s="197">
        <f t="shared" si="5"/>
        <v>278</v>
      </c>
      <c r="C288" s="30" t="s">
        <v>206</v>
      </c>
      <c r="D288" s="30" t="s">
        <v>225</v>
      </c>
      <c r="E288" s="234" t="s">
        <v>761</v>
      </c>
      <c r="F288" s="235" t="s">
        <v>1239</v>
      </c>
      <c r="G288" s="284" t="str">
        <f>IFERROR(VLOOKUP(E288,Assign!$C$2:$J$142,8,FALSE),)</f>
        <v>문선영</v>
      </c>
      <c r="H288" s="197" t="s">
        <v>4003</v>
      </c>
      <c r="I288" s="324" t="s">
        <v>4004</v>
      </c>
      <c r="J288" s="237">
        <v>1</v>
      </c>
      <c r="K288" s="237">
        <v>1</v>
      </c>
      <c r="L288" s="265" t="s">
        <v>213</v>
      </c>
      <c r="M288" s="266" t="s">
        <v>256</v>
      </c>
      <c r="N288" s="266" t="s">
        <v>407</v>
      </c>
      <c r="O288" s="267" t="s">
        <v>1577</v>
      </c>
      <c r="P288" s="268" t="s">
        <v>1578</v>
      </c>
      <c r="Q288" s="269">
        <v>21485.7</v>
      </c>
      <c r="R288" s="269">
        <v>59.585000000000001</v>
      </c>
      <c r="S288" s="270"/>
      <c r="T288" s="182">
        <f>26.8734/21485.7</f>
        <v>1.2507574805568353E-3</v>
      </c>
      <c r="U288" s="182">
        <v>1</v>
      </c>
      <c r="V288" s="408" t="s">
        <v>3068</v>
      </c>
      <c r="W288" s="357" t="s">
        <v>204</v>
      </c>
      <c r="X288" s="156">
        <v>336600000</v>
      </c>
      <c r="Y288" s="417">
        <v>336600000</v>
      </c>
      <c r="Z288" s="418" t="s">
        <v>359</v>
      </c>
      <c r="AA288" s="271"/>
      <c r="AB288" s="168"/>
      <c r="AC288" s="156"/>
      <c r="AD288" s="156"/>
      <c r="AE288" s="320"/>
      <c r="AF288" s="168"/>
      <c r="AG288" s="156"/>
      <c r="AH288" s="156"/>
      <c r="AI288" s="410"/>
    </row>
    <row r="289" spans="1:35" ht="19.5" hidden="1" customHeight="1">
      <c r="A289" s="137"/>
      <c r="B289" s="197">
        <f t="shared" si="5"/>
        <v>279</v>
      </c>
      <c r="C289" s="30" t="s">
        <v>206</v>
      </c>
      <c r="D289" s="30" t="s">
        <v>225</v>
      </c>
      <c r="E289" s="234" t="s">
        <v>762</v>
      </c>
      <c r="F289" s="235" t="s">
        <v>1235</v>
      </c>
      <c r="G289" s="284">
        <f>IFERROR(VLOOKUP(E289,Assign!$C$2:$J$142,8,FALSE),)</f>
        <v>0</v>
      </c>
      <c r="H289" s="197" t="s">
        <v>4903</v>
      </c>
      <c r="I289" s="324" t="s">
        <v>4904</v>
      </c>
      <c r="J289" s="237">
        <v>1</v>
      </c>
      <c r="K289" s="237">
        <v>1</v>
      </c>
      <c r="L289" s="265" t="s">
        <v>208</v>
      </c>
      <c r="M289" s="266" t="s">
        <v>261</v>
      </c>
      <c r="N289" s="266" t="s">
        <v>392</v>
      </c>
      <c r="O289" s="267" t="s">
        <v>2422</v>
      </c>
      <c r="P289" s="268" t="s">
        <v>2423</v>
      </c>
      <c r="Q289" s="269">
        <v>1827</v>
      </c>
      <c r="R289" s="269">
        <v>49.9724</v>
      </c>
      <c r="S289" s="270"/>
      <c r="T289" s="182">
        <f>10.6185/1827</f>
        <v>5.811986863711001E-3</v>
      </c>
      <c r="U289" s="182">
        <v>1</v>
      </c>
      <c r="V289" s="408">
        <v>1</v>
      </c>
      <c r="W289" s="357" t="s">
        <v>204</v>
      </c>
      <c r="X289" s="156">
        <v>188100000</v>
      </c>
      <c r="Y289" s="417">
        <v>188100000</v>
      </c>
      <c r="Z289" s="418" t="s">
        <v>359</v>
      </c>
      <c r="AA289" s="271"/>
      <c r="AB289" s="168"/>
      <c r="AC289" s="156"/>
      <c r="AD289" s="156"/>
      <c r="AE289" s="320"/>
      <c r="AF289" s="168"/>
      <c r="AG289" s="156"/>
      <c r="AH289" s="156"/>
      <c r="AI289" s="410"/>
    </row>
    <row r="290" spans="1:35" ht="19.5" hidden="1" customHeight="1">
      <c r="A290" s="137"/>
      <c r="B290" s="197">
        <f t="shared" si="5"/>
        <v>280</v>
      </c>
      <c r="C290" s="30" t="s">
        <v>206</v>
      </c>
      <c r="D290" s="30" t="s">
        <v>225</v>
      </c>
      <c r="E290" s="234" t="s">
        <v>763</v>
      </c>
      <c r="F290" s="235" t="s">
        <v>1221</v>
      </c>
      <c r="G290" s="284">
        <f>IFERROR(VLOOKUP(E290,Assign!$C$2:$J$142,8,FALSE),)</f>
        <v>0</v>
      </c>
      <c r="H290" s="197" t="s">
        <v>4019</v>
      </c>
      <c r="I290" s="324" t="s">
        <v>4020</v>
      </c>
      <c r="J290" s="237">
        <v>1</v>
      </c>
      <c r="K290" s="237">
        <v>1</v>
      </c>
      <c r="L290" s="265" t="s">
        <v>208</v>
      </c>
      <c r="M290" s="266" t="s">
        <v>556</v>
      </c>
      <c r="N290" s="266" t="s">
        <v>557</v>
      </c>
      <c r="O290" s="267" t="s">
        <v>1593</v>
      </c>
      <c r="P290" s="268" t="s">
        <v>1594</v>
      </c>
      <c r="Q290" s="269">
        <v>977</v>
      </c>
      <c r="R290" s="269">
        <v>55.58</v>
      </c>
      <c r="S290" s="270"/>
      <c r="T290" s="182">
        <f>47.98/979</f>
        <v>4.9009193054136868E-2</v>
      </c>
      <c r="U290" s="182">
        <v>1</v>
      </c>
      <c r="V290" s="408">
        <v>1</v>
      </c>
      <c r="W290" s="357" t="s">
        <v>204</v>
      </c>
      <c r="X290" s="156">
        <v>230400000</v>
      </c>
      <c r="Y290" s="417">
        <v>230400000</v>
      </c>
      <c r="Z290" s="418" t="s">
        <v>359</v>
      </c>
      <c r="AA290" s="271"/>
      <c r="AB290" s="168"/>
      <c r="AC290" s="156"/>
      <c r="AD290" s="156"/>
      <c r="AE290" s="320"/>
      <c r="AF290" s="168"/>
      <c r="AG290" s="156"/>
      <c r="AH290" s="156"/>
      <c r="AI290" s="410"/>
    </row>
    <row r="291" spans="1:35" ht="19.5" hidden="1" customHeight="1">
      <c r="A291" s="137"/>
      <c r="B291" s="197">
        <f t="shared" si="5"/>
        <v>281</v>
      </c>
      <c r="C291" s="30" t="s">
        <v>206</v>
      </c>
      <c r="D291" s="30" t="s">
        <v>225</v>
      </c>
      <c r="E291" s="234" t="s">
        <v>764</v>
      </c>
      <c r="F291" s="235" t="s">
        <v>1217</v>
      </c>
      <c r="G291" s="284">
        <f>IFERROR(VLOOKUP(E291,Assign!$C$2:$J$142,8,FALSE),)</f>
        <v>0</v>
      </c>
      <c r="H291" s="197" t="s">
        <v>4783</v>
      </c>
      <c r="I291" s="324" t="s">
        <v>4784</v>
      </c>
      <c r="J291" s="237">
        <v>1</v>
      </c>
      <c r="K291" s="237">
        <v>1</v>
      </c>
      <c r="L291" s="265" t="s">
        <v>208</v>
      </c>
      <c r="M291" s="266" t="s">
        <v>316</v>
      </c>
      <c r="N291" s="266" t="s">
        <v>1686</v>
      </c>
      <c r="O291" s="267" t="s">
        <v>2312</v>
      </c>
      <c r="P291" s="268" t="s">
        <v>1463</v>
      </c>
      <c r="Q291" s="269">
        <v>540</v>
      </c>
      <c r="R291" s="269">
        <v>61.05</v>
      </c>
      <c r="S291" s="270"/>
      <c r="T291" s="182">
        <f>57.65/540</f>
        <v>0.10675925925925926</v>
      </c>
      <c r="U291" s="182">
        <v>1</v>
      </c>
      <c r="V291" s="408">
        <v>1</v>
      </c>
      <c r="W291" s="357" t="s">
        <v>204</v>
      </c>
      <c r="X291" s="156">
        <v>226800000</v>
      </c>
      <c r="Y291" s="417">
        <v>226800000</v>
      </c>
      <c r="Z291" s="418" t="s">
        <v>359</v>
      </c>
      <c r="AA291" s="271"/>
      <c r="AB291" s="168"/>
      <c r="AC291" s="156"/>
      <c r="AD291" s="156"/>
      <c r="AE291" s="320"/>
      <c r="AF291" s="168"/>
      <c r="AG291" s="156"/>
      <c r="AH291" s="156"/>
      <c r="AI291" s="410"/>
    </row>
    <row r="292" spans="1:35" ht="19.5" customHeight="1">
      <c r="A292" s="137"/>
      <c r="B292" s="197">
        <f t="shared" si="5"/>
        <v>282</v>
      </c>
      <c r="C292" s="30" t="s">
        <v>206</v>
      </c>
      <c r="D292" s="30" t="s">
        <v>225</v>
      </c>
      <c r="E292" s="234" t="s">
        <v>765</v>
      </c>
      <c r="F292" s="235" t="s">
        <v>1223</v>
      </c>
      <c r="G292" s="284" t="str">
        <f>IFERROR(VLOOKUP(E292,Assign!$C$2:$J$142,8,FALSE),)</f>
        <v>문선영</v>
      </c>
      <c r="H292" s="197" t="s">
        <v>4787</v>
      </c>
      <c r="I292" s="324" t="s">
        <v>4788</v>
      </c>
      <c r="J292" s="237">
        <v>1</v>
      </c>
      <c r="K292" s="237">
        <v>1</v>
      </c>
      <c r="L292" s="265" t="s">
        <v>208</v>
      </c>
      <c r="M292" s="266" t="s">
        <v>261</v>
      </c>
      <c r="N292" s="266" t="s">
        <v>1822</v>
      </c>
      <c r="O292" s="267" t="s">
        <v>2316</v>
      </c>
      <c r="P292" s="268" t="s">
        <v>2317</v>
      </c>
      <c r="Q292" s="269">
        <v>36730.5</v>
      </c>
      <c r="R292" s="269">
        <v>59.906700000000001</v>
      </c>
      <c r="S292" s="270"/>
      <c r="T292" s="182">
        <f>40.6609/36730.5</f>
        <v>1.1070064387906507E-3</v>
      </c>
      <c r="U292" s="182">
        <v>1</v>
      </c>
      <c r="V292" s="408">
        <v>1</v>
      </c>
      <c r="W292" s="357" t="s">
        <v>204</v>
      </c>
      <c r="X292" s="156">
        <v>187000000</v>
      </c>
      <c r="Y292" s="417">
        <v>187000000</v>
      </c>
      <c r="Z292" s="418" t="s">
        <v>359</v>
      </c>
      <c r="AA292" s="271"/>
      <c r="AB292" s="168"/>
      <c r="AC292" s="156"/>
      <c r="AD292" s="156"/>
      <c r="AE292" s="320"/>
      <c r="AF292" s="168"/>
      <c r="AG292" s="156"/>
      <c r="AH292" s="156"/>
      <c r="AI292" s="410"/>
    </row>
    <row r="293" spans="1:35" ht="19.5" customHeight="1">
      <c r="A293" s="137"/>
      <c r="B293" s="197">
        <f t="shared" si="5"/>
        <v>283</v>
      </c>
      <c r="C293" s="30" t="s">
        <v>206</v>
      </c>
      <c r="D293" s="30" t="s">
        <v>225</v>
      </c>
      <c r="E293" s="234" t="s">
        <v>766</v>
      </c>
      <c r="F293" s="235" t="s">
        <v>1229</v>
      </c>
      <c r="G293" s="284" t="str">
        <f>IFERROR(VLOOKUP(E293,Assign!$C$2:$J$142,8,FALSE),)</f>
        <v>문선영</v>
      </c>
      <c r="H293" s="197" t="s">
        <v>4567</v>
      </c>
      <c r="I293" s="324" t="s">
        <v>4568</v>
      </c>
      <c r="J293" s="237">
        <v>1</v>
      </c>
      <c r="K293" s="237">
        <v>1</v>
      </c>
      <c r="L293" s="265" t="s">
        <v>215</v>
      </c>
      <c r="M293" s="266" t="s">
        <v>311</v>
      </c>
      <c r="N293" s="266" t="s">
        <v>2105</v>
      </c>
      <c r="O293" s="267" t="s">
        <v>2106</v>
      </c>
      <c r="P293" s="268" t="s">
        <v>449</v>
      </c>
      <c r="Q293" s="269">
        <v>40267</v>
      </c>
      <c r="R293" s="269">
        <v>84.98</v>
      </c>
      <c r="S293" s="270"/>
      <c r="T293" s="182">
        <f>34.1395/40267</f>
        <v>8.4782824645491346E-4</v>
      </c>
      <c r="U293" s="182">
        <v>1</v>
      </c>
      <c r="V293" s="408">
        <v>1</v>
      </c>
      <c r="W293" s="357" t="s">
        <v>204</v>
      </c>
      <c r="X293" s="156">
        <v>271200000</v>
      </c>
      <c r="Y293" s="417">
        <v>271200000</v>
      </c>
      <c r="Z293" s="418" t="s">
        <v>359</v>
      </c>
      <c r="AA293" s="271"/>
      <c r="AB293" s="168"/>
      <c r="AC293" s="156"/>
      <c r="AD293" s="156"/>
      <c r="AE293" s="320"/>
      <c r="AF293" s="168"/>
      <c r="AG293" s="156"/>
      <c r="AH293" s="156"/>
      <c r="AI293" s="410"/>
    </row>
    <row r="294" spans="1:35" ht="19.5" customHeight="1">
      <c r="A294" s="137"/>
      <c r="B294" s="197">
        <f t="shared" si="5"/>
        <v>284</v>
      </c>
      <c r="C294" s="30" t="s">
        <v>206</v>
      </c>
      <c r="D294" s="30" t="s">
        <v>225</v>
      </c>
      <c r="E294" s="234" t="s">
        <v>767</v>
      </c>
      <c r="F294" s="235" t="s">
        <v>1225</v>
      </c>
      <c r="G294" s="284" t="str">
        <f>IFERROR(VLOOKUP(E294,Assign!$C$2:$J$142,8,FALSE),)</f>
        <v>문선영</v>
      </c>
      <c r="H294" s="197" t="s">
        <v>4146</v>
      </c>
      <c r="I294" s="324" t="s">
        <v>4147</v>
      </c>
      <c r="J294" s="237">
        <v>1</v>
      </c>
      <c r="K294" s="237">
        <v>1</v>
      </c>
      <c r="L294" s="265" t="s">
        <v>213</v>
      </c>
      <c r="M294" s="266" t="s">
        <v>319</v>
      </c>
      <c r="N294" s="266" t="s">
        <v>1721</v>
      </c>
      <c r="O294" s="267" t="s">
        <v>1722</v>
      </c>
      <c r="P294" s="268" t="s">
        <v>1723</v>
      </c>
      <c r="Q294" s="269"/>
      <c r="R294" s="269">
        <v>125.9</v>
      </c>
      <c r="S294" s="270"/>
      <c r="T294" s="182"/>
      <c r="U294" s="182">
        <v>1</v>
      </c>
      <c r="V294" s="408">
        <v>1</v>
      </c>
      <c r="W294" s="357" t="s">
        <v>204</v>
      </c>
      <c r="X294" s="156">
        <v>187000000</v>
      </c>
      <c r="Y294" s="417">
        <v>187000000</v>
      </c>
      <c r="Z294" s="418" t="s">
        <v>359</v>
      </c>
      <c r="AA294" s="271"/>
      <c r="AB294" s="168"/>
      <c r="AC294" s="156"/>
      <c r="AD294" s="156"/>
      <c r="AE294" s="320"/>
      <c r="AF294" s="168"/>
      <c r="AG294" s="156"/>
      <c r="AH294" s="156"/>
      <c r="AI294" s="410"/>
    </row>
    <row r="295" spans="1:35" ht="19.5" customHeight="1">
      <c r="A295" s="137"/>
      <c r="B295" s="197">
        <f t="shared" si="5"/>
        <v>285</v>
      </c>
      <c r="C295" s="30" t="s">
        <v>206</v>
      </c>
      <c r="D295" s="30" t="s">
        <v>225</v>
      </c>
      <c r="E295" s="234" t="s">
        <v>767</v>
      </c>
      <c r="F295" s="235" t="s">
        <v>1225</v>
      </c>
      <c r="G295" s="284" t="str">
        <f>IFERROR(VLOOKUP(E295,Assign!$C$2:$J$142,8,FALSE),)</f>
        <v>문선영</v>
      </c>
      <c r="H295" s="197" t="s">
        <v>4146</v>
      </c>
      <c r="I295" s="324" t="s">
        <v>4148</v>
      </c>
      <c r="J295" s="237">
        <v>1</v>
      </c>
      <c r="K295" s="237">
        <v>2</v>
      </c>
      <c r="L295" s="265" t="s">
        <v>213</v>
      </c>
      <c r="M295" s="266" t="s">
        <v>319</v>
      </c>
      <c r="N295" s="266" t="s">
        <v>1721</v>
      </c>
      <c r="O295" s="267" t="s">
        <v>1722</v>
      </c>
      <c r="P295" s="268" t="s">
        <v>450</v>
      </c>
      <c r="Q295" s="269">
        <v>331</v>
      </c>
      <c r="R295" s="269"/>
      <c r="S295" s="270"/>
      <c r="T295" s="182"/>
      <c r="U295" s="182">
        <v>1</v>
      </c>
      <c r="V295" s="408">
        <v>1</v>
      </c>
      <c r="W295" s="357" t="s">
        <v>204</v>
      </c>
      <c r="X295" s="156">
        <v>187000000</v>
      </c>
      <c r="Y295" s="417">
        <v>187000000</v>
      </c>
      <c r="Z295" s="418" t="s">
        <v>359</v>
      </c>
      <c r="AA295" s="271"/>
      <c r="AB295" s="168"/>
      <c r="AC295" s="156"/>
      <c r="AD295" s="156"/>
      <c r="AE295" s="320"/>
      <c r="AF295" s="168"/>
      <c r="AG295" s="156"/>
      <c r="AH295" s="156"/>
      <c r="AI295" s="410"/>
    </row>
    <row r="296" spans="1:35" ht="19.5" hidden="1" customHeight="1">
      <c r="A296" s="137"/>
      <c r="B296" s="197">
        <f t="shared" si="5"/>
        <v>286</v>
      </c>
      <c r="C296" s="30" t="s">
        <v>206</v>
      </c>
      <c r="D296" s="30" t="s">
        <v>225</v>
      </c>
      <c r="E296" s="234" t="s">
        <v>768</v>
      </c>
      <c r="F296" s="235" t="s">
        <v>1226</v>
      </c>
      <c r="G296" s="284">
        <f>IFERROR(VLOOKUP(E296,Assign!$C$2:$J$142,8,FALSE),)</f>
        <v>0</v>
      </c>
      <c r="H296" s="197" t="s">
        <v>4499</v>
      </c>
      <c r="I296" s="324" t="s">
        <v>4500</v>
      </c>
      <c r="J296" s="237">
        <v>1</v>
      </c>
      <c r="K296" s="237">
        <v>1</v>
      </c>
      <c r="L296" s="265" t="s">
        <v>208</v>
      </c>
      <c r="M296" s="266" t="s">
        <v>259</v>
      </c>
      <c r="N296" s="266" t="s">
        <v>260</v>
      </c>
      <c r="O296" s="267" t="s">
        <v>2044</v>
      </c>
      <c r="P296" s="268" t="s">
        <v>477</v>
      </c>
      <c r="Q296" s="269">
        <v>64857.5</v>
      </c>
      <c r="R296" s="269">
        <v>60</v>
      </c>
      <c r="S296" s="270"/>
      <c r="T296" s="182">
        <f>33.6/64857.5</f>
        <v>5.1805882126199749E-4</v>
      </c>
      <c r="U296" s="182">
        <v>1</v>
      </c>
      <c r="V296" s="408">
        <v>1</v>
      </c>
      <c r="W296" s="357" t="s">
        <v>204</v>
      </c>
      <c r="X296" s="156">
        <v>176000000</v>
      </c>
      <c r="Y296" s="417">
        <v>176000000</v>
      </c>
      <c r="Z296" s="418" t="s">
        <v>359</v>
      </c>
      <c r="AA296" s="271"/>
      <c r="AB296" s="168"/>
      <c r="AC296" s="156"/>
      <c r="AD296" s="156"/>
      <c r="AE296" s="320"/>
      <c r="AF296" s="168"/>
      <c r="AG296" s="156"/>
      <c r="AH296" s="156"/>
      <c r="AI296" s="410"/>
    </row>
    <row r="297" spans="1:35" ht="19.5" hidden="1" customHeight="1">
      <c r="A297" s="137"/>
      <c r="B297" s="197">
        <f t="shared" si="5"/>
        <v>287</v>
      </c>
      <c r="C297" s="30" t="s">
        <v>206</v>
      </c>
      <c r="D297" s="30" t="s">
        <v>225</v>
      </c>
      <c r="E297" s="234" t="s">
        <v>769</v>
      </c>
      <c r="F297" s="235" t="s">
        <v>1238</v>
      </c>
      <c r="G297" s="284">
        <f>IFERROR(VLOOKUP(E297,Assign!$C$2:$J$142,8,FALSE),)</f>
        <v>0</v>
      </c>
      <c r="H297" s="197" t="s">
        <v>4602</v>
      </c>
      <c r="I297" s="324" t="s">
        <v>4603</v>
      </c>
      <c r="J297" s="237">
        <v>1</v>
      </c>
      <c r="K297" s="237">
        <v>1</v>
      </c>
      <c r="L297" s="265" t="s">
        <v>208</v>
      </c>
      <c r="M297" s="266" t="s">
        <v>1703</v>
      </c>
      <c r="N297" s="266" t="s">
        <v>2139</v>
      </c>
      <c r="O297" s="267" t="s">
        <v>2140</v>
      </c>
      <c r="P297" s="268" t="s">
        <v>3508</v>
      </c>
      <c r="Q297" s="269">
        <v>13691.4</v>
      </c>
      <c r="R297" s="269">
        <v>84.986999999999995</v>
      </c>
      <c r="S297" s="270"/>
      <c r="T297" s="182">
        <f>52.562/13691.4</f>
        <v>3.8390522517784886E-3</v>
      </c>
      <c r="U297" s="182">
        <v>1</v>
      </c>
      <c r="V297" s="408">
        <v>1</v>
      </c>
      <c r="W297" s="357" t="s">
        <v>204</v>
      </c>
      <c r="X297" s="156">
        <v>176000000</v>
      </c>
      <c r="Y297" s="417">
        <v>176000000</v>
      </c>
      <c r="Z297" s="418" t="s">
        <v>359</v>
      </c>
      <c r="AA297" s="271"/>
      <c r="AB297" s="168"/>
      <c r="AC297" s="156"/>
      <c r="AD297" s="156"/>
      <c r="AE297" s="320"/>
      <c r="AF297" s="168"/>
      <c r="AG297" s="156"/>
      <c r="AH297" s="156"/>
      <c r="AI297" s="410"/>
    </row>
    <row r="298" spans="1:35" ht="19.5" hidden="1" customHeight="1">
      <c r="A298" s="137"/>
      <c r="B298" s="197">
        <f t="shared" si="5"/>
        <v>288</v>
      </c>
      <c r="C298" s="30" t="s">
        <v>206</v>
      </c>
      <c r="D298" s="30" t="s">
        <v>225</v>
      </c>
      <c r="E298" s="234" t="s">
        <v>770</v>
      </c>
      <c r="F298" s="235" t="s">
        <v>1217</v>
      </c>
      <c r="G298" s="284">
        <f>IFERROR(VLOOKUP(E298,Assign!$C$2:$J$142,8,FALSE),)</f>
        <v>0</v>
      </c>
      <c r="H298" s="197" t="s">
        <v>4476</v>
      </c>
      <c r="I298" s="324" t="s">
        <v>4477</v>
      </c>
      <c r="J298" s="237">
        <v>1</v>
      </c>
      <c r="K298" s="237">
        <v>1</v>
      </c>
      <c r="L298" s="265" t="s">
        <v>208</v>
      </c>
      <c r="M298" s="266" t="s">
        <v>250</v>
      </c>
      <c r="N298" s="266" t="s">
        <v>2020</v>
      </c>
      <c r="O298" s="267" t="s">
        <v>2021</v>
      </c>
      <c r="P298" s="268" t="s">
        <v>434</v>
      </c>
      <c r="Q298" s="269">
        <v>29085.8</v>
      </c>
      <c r="R298" s="269">
        <v>84.93</v>
      </c>
      <c r="S298" s="270"/>
      <c r="T298" s="182">
        <f>42.347/29085.8</f>
        <v>1.4559338233777308E-3</v>
      </c>
      <c r="U298" s="182">
        <v>1</v>
      </c>
      <c r="V298" s="408" t="s">
        <v>229</v>
      </c>
      <c r="W298" s="357" t="s">
        <v>204</v>
      </c>
      <c r="X298" s="156">
        <v>201000000</v>
      </c>
      <c r="Y298" s="417">
        <v>201000000</v>
      </c>
      <c r="Z298" s="418" t="s">
        <v>359</v>
      </c>
      <c r="AA298" s="271"/>
      <c r="AB298" s="168"/>
      <c r="AC298" s="156"/>
      <c r="AD298" s="156"/>
      <c r="AE298" s="320"/>
      <c r="AF298" s="168"/>
      <c r="AG298" s="156"/>
      <c r="AH298" s="156"/>
      <c r="AI298" s="410"/>
    </row>
    <row r="299" spans="1:35" ht="19.5" hidden="1" customHeight="1">
      <c r="A299" s="137"/>
      <c r="B299" s="197">
        <f t="shared" si="5"/>
        <v>289</v>
      </c>
      <c r="C299" s="30" t="s">
        <v>206</v>
      </c>
      <c r="D299" s="30" t="s">
        <v>225</v>
      </c>
      <c r="E299" s="234" t="s">
        <v>771</v>
      </c>
      <c r="F299" s="235" t="s">
        <v>1229</v>
      </c>
      <c r="G299" s="284">
        <f>IFERROR(VLOOKUP(E299,Assign!$C$2:$J$142,8,FALSE),)</f>
        <v>0</v>
      </c>
      <c r="H299" s="197" t="s">
        <v>4679</v>
      </c>
      <c r="I299" s="324" t="s">
        <v>4680</v>
      </c>
      <c r="J299" s="237">
        <v>1</v>
      </c>
      <c r="K299" s="237">
        <v>1</v>
      </c>
      <c r="L299" s="265" t="s">
        <v>212</v>
      </c>
      <c r="M299" s="266" t="s">
        <v>304</v>
      </c>
      <c r="N299" s="266" t="s">
        <v>314</v>
      </c>
      <c r="O299" s="267" t="s">
        <v>2216</v>
      </c>
      <c r="P299" s="268" t="s">
        <v>478</v>
      </c>
      <c r="Q299" s="269">
        <v>52887.4</v>
      </c>
      <c r="R299" s="269">
        <v>84.94</v>
      </c>
      <c r="S299" s="270"/>
      <c r="T299" s="182">
        <f>59.4972/52887.4</f>
        <v>1.1249787283927741E-3</v>
      </c>
      <c r="U299" s="182">
        <v>1</v>
      </c>
      <c r="V299" s="408">
        <v>1</v>
      </c>
      <c r="W299" s="357" t="s">
        <v>204</v>
      </c>
      <c r="X299" s="156">
        <v>236400000</v>
      </c>
      <c r="Y299" s="417">
        <v>236400000</v>
      </c>
      <c r="Z299" s="418" t="s">
        <v>359</v>
      </c>
      <c r="AA299" s="271"/>
      <c r="AB299" s="168"/>
      <c r="AC299" s="156"/>
      <c r="AD299" s="156"/>
      <c r="AE299" s="320"/>
      <c r="AF299" s="168"/>
      <c r="AG299" s="156"/>
      <c r="AH299" s="156"/>
      <c r="AI299" s="410"/>
    </row>
    <row r="300" spans="1:35" ht="19.5" customHeight="1">
      <c r="A300" s="137"/>
      <c r="B300" s="197">
        <f t="shared" si="5"/>
        <v>290</v>
      </c>
      <c r="C300" s="30" t="s">
        <v>206</v>
      </c>
      <c r="D300" s="30" t="s">
        <v>225</v>
      </c>
      <c r="E300" s="234" t="s">
        <v>772</v>
      </c>
      <c r="F300" s="235" t="s">
        <v>1229</v>
      </c>
      <c r="G300" s="284" t="str">
        <f>IFERROR(VLOOKUP(E300,Assign!$C$2:$J$142,8,FALSE),)</f>
        <v>문선영</v>
      </c>
      <c r="H300" s="197" t="s">
        <v>4254</v>
      </c>
      <c r="I300" s="324" t="s">
        <v>4255</v>
      </c>
      <c r="J300" s="237">
        <v>1</v>
      </c>
      <c r="K300" s="237">
        <v>1</v>
      </c>
      <c r="L300" s="265" t="s">
        <v>208</v>
      </c>
      <c r="M300" s="266" t="s">
        <v>261</v>
      </c>
      <c r="N300" s="266" t="s">
        <v>1822</v>
      </c>
      <c r="O300" s="267" t="s">
        <v>1823</v>
      </c>
      <c r="P300" s="268" t="s">
        <v>452</v>
      </c>
      <c r="Q300" s="269">
        <v>36730.5</v>
      </c>
      <c r="R300" s="269">
        <v>84.9345</v>
      </c>
      <c r="S300" s="270"/>
      <c r="T300" s="182">
        <f>57.6482/36730.5</f>
        <v>1.5694912947005896E-3</v>
      </c>
      <c r="U300" s="182">
        <v>1</v>
      </c>
      <c r="V300" s="408">
        <v>1</v>
      </c>
      <c r="W300" s="357" t="s">
        <v>204</v>
      </c>
      <c r="X300" s="156">
        <v>198000000</v>
      </c>
      <c r="Y300" s="417">
        <v>198000000</v>
      </c>
      <c r="Z300" s="418" t="s">
        <v>359</v>
      </c>
      <c r="AA300" s="271"/>
      <c r="AB300" s="168"/>
      <c r="AC300" s="156"/>
      <c r="AD300" s="156"/>
      <c r="AE300" s="320"/>
      <c r="AF300" s="168"/>
      <c r="AG300" s="156"/>
      <c r="AH300" s="156"/>
      <c r="AI300" s="410"/>
    </row>
    <row r="301" spans="1:35" ht="19.5" hidden="1" customHeight="1">
      <c r="A301" s="137"/>
      <c r="B301" s="197">
        <f t="shared" si="5"/>
        <v>291</v>
      </c>
      <c r="C301" s="30" t="s">
        <v>206</v>
      </c>
      <c r="D301" s="30" t="s">
        <v>225</v>
      </c>
      <c r="E301" s="234" t="s">
        <v>773</v>
      </c>
      <c r="F301" s="235" t="s">
        <v>1229</v>
      </c>
      <c r="G301" s="284">
        <f>IFERROR(VLOOKUP(E301,Assign!$C$2:$J$142,8,FALSE),)</f>
        <v>0</v>
      </c>
      <c r="H301" s="197" t="s">
        <v>4831</v>
      </c>
      <c r="I301" s="324" t="s">
        <v>4832</v>
      </c>
      <c r="J301" s="237">
        <v>1</v>
      </c>
      <c r="K301" s="237">
        <v>1</v>
      </c>
      <c r="L301" s="265" t="s">
        <v>214</v>
      </c>
      <c r="M301" s="266" t="s">
        <v>349</v>
      </c>
      <c r="N301" s="266" t="s">
        <v>351</v>
      </c>
      <c r="O301" s="267" t="s">
        <v>2361</v>
      </c>
      <c r="P301" s="268" t="s">
        <v>434</v>
      </c>
      <c r="Q301" s="269">
        <v>19473</v>
      </c>
      <c r="R301" s="269">
        <v>84.885999999999996</v>
      </c>
      <c r="S301" s="270"/>
      <c r="T301" s="182">
        <f>44.1182/19473</f>
        <v>2.2656087916602475E-3</v>
      </c>
      <c r="U301" s="182">
        <v>1</v>
      </c>
      <c r="V301" s="408" t="s">
        <v>229</v>
      </c>
      <c r="W301" s="357" t="s">
        <v>204</v>
      </c>
      <c r="X301" s="156">
        <v>184800000</v>
      </c>
      <c r="Y301" s="417">
        <v>184800000</v>
      </c>
      <c r="Z301" s="418" t="s">
        <v>359</v>
      </c>
      <c r="AA301" s="271"/>
      <c r="AB301" s="168"/>
      <c r="AC301" s="156"/>
      <c r="AD301" s="156"/>
      <c r="AE301" s="320"/>
      <c r="AF301" s="168"/>
      <c r="AG301" s="156"/>
      <c r="AH301" s="156"/>
      <c r="AI301" s="410"/>
    </row>
    <row r="302" spans="1:35" ht="19.5" hidden="1" customHeight="1">
      <c r="A302" s="137"/>
      <c r="B302" s="197">
        <f t="shared" si="5"/>
        <v>292</v>
      </c>
      <c r="C302" s="30" t="s">
        <v>206</v>
      </c>
      <c r="D302" s="30" t="s">
        <v>225</v>
      </c>
      <c r="E302" s="234" t="s">
        <v>774</v>
      </c>
      <c r="F302" s="235" t="s">
        <v>1217</v>
      </c>
      <c r="G302" s="284">
        <f>IFERROR(VLOOKUP(E302,Assign!$C$2:$J$142,8,FALSE),)</f>
        <v>0</v>
      </c>
      <c r="H302" s="197" t="s">
        <v>4153</v>
      </c>
      <c r="I302" s="324" t="s">
        <v>4154</v>
      </c>
      <c r="J302" s="237">
        <v>1</v>
      </c>
      <c r="K302" s="237">
        <v>1</v>
      </c>
      <c r="L302" s="265" t="s">
        <v>221</v>
      </c>
      <c r="M302" s="266" t="s">
        <v>1727</v>
      </c>
      <c r="N302" s="266" t="s">
        <v>1728</v>
      </c>
      <c r="O302" s="267" t="s">
        <v>1729</v>
      </c>
      <c r="P302" s="268" t="s">
        <v>1730</v>
      </c>
      <c r="Q302" s="269">
        <v>33274.9</v>
      </c>
      <c r="R302" s="269">
        <v>84.72</v>
      </c>
      <c r="S302" s="270"/>
      <c r="T302" s="182">
        <f>60.7596/33274.9</f>
        <v>1.8259889586445038E-3</v>
      </c>
      <c r="U302" s="182">
        <v>1</v>
      </c>
      <c r="V302" s="408">
        <v>1</v>
      </c>
      <c r="W302" s="357" t="s">
        <v>204</v>
      </c>
      <c r="X302" s="156">
        <v>185280000</v>
      </c>
      <c r="Y302" s="417">
        <v>185280000</v>
      </c>
      <c r="Z302" s="418" t="s">
        <v>359</v>
      </c>
      <c r="AA302" s="271"/>
      <c r="AB302" s="168"/>
      <c r="AC302" s="156"/>
      <c r="AD302" s="156"/>
      <c r="AE302" s="320"/>
      <c r="AF302" s="168"/>
      <c r="AG302" s="156"/>
      <c r="AH302" s="156"/>
      <c r="AI302" s="410"/>
    </row>
    <row r="303" spans="1:35" ht="19.5" hidden="1" customHeight="1">
      <c r="A303" s="137"/>
      <c r="B303" s="197">
        <f t="shared" si="5"/>
        <v>293</v>
      </c>
      <c r="C303" s="30" t="s">
        <v>206</v>
      </c>
      <c r="D303" s="30" t="s">
        <v>225</v>
      </c>
      <c r="E303" s="234" t="s">
        <v>775</v>
      </c>
      <c r="F303" s="235" t="s">
        <v>1238</v>
      </c>
      <c r="G303" s="284">
        <f>IFERROR(VLOOKUP(E303,Assign!$C$2:$J$142,8,FALSE),)</f>
        <v>0</v>
      </c>
      <c r="H303" s="29" t="s">
        <v>3886</v>
      </c>
      <c r="I303" s="359" t="s">
        <v>3887</v>
      </c>
      <c r="J303" s="237">
        <v>1</v>
      </c>
      <c r="K303" s="237">
        <v>1</v>
      </c>
      <c r="L303" s="265" t="s">
        <v>208</v>
      </c>
      <c r="M303" s="266" t="s">
        <v>398</v>
      </c>
      <c r="N303" s="266" t="s">
        <v>1451</v>
      </c>
      <c r="O303" s="267" t="s">
        <v>1452</v>
      </c>
      <c r="P303" s="268" t="s">
        <v>1453</v>
      </c>
      <c r="Q303" s="269">
        <v>297.60000000000002</v>
      </c>
      <c r="R303" s="269">
        <v>70</v>
      </c>
      <c r="S303" s="270"/>
      <c r="T303" s="182">
        <f>37.59/297.6</f>
        <v>0.12631048387096774</v>
      </c>
      <c r="U303" s="182">
        <v>1</v>
      </c>
      <c r="V303" s="408">
        <v>1</v>
      </c>
      <c r="W303" s="357" t="s">
        <v>204</v>
      </c>
      <c r="X303" s="156">
        <v>222000000</v>
      </c>
      <c r="Y303" s="417">
        <v>222000000</v>
      </c>
      <c r="Z303" s="418" t="s">
        <v>359</v>
      </c>
      <c r="AA303" s="271"/>
      <c r="AB303" s="168"/>
      <c r="AC303" s="156"/>
      <c r="AD303" s="156"/>
      <c r="AE303" s="320"/>
      <c r="AF303" s="168"/>
      <c r="AG303" s="156"/>
      <c r="AH303" s="156"/>
      <c r="AI303" s="410"/>
    </row>
    <row r="304" spans="1:35" ht="19.5" hidden="1" customHeight="1">
      <c r="A304" s="137"/>
      <c r="B304" s="197">
        <f t="shared" si="5"/>
        <v>294</v>
      </c>
      <c r="C304" s="30" t="s">
        <v>206</v>
      </c>
      <c r="D304" s="30" t="s">
        <v>225</v>
      </c>
      <c r="E304" s="234" t="s">
        <v>776</v>
      </c>
      <c r="F304" s="235" t="s">
        <v>1248</v>
      </c>
      <c r="G304" s="284">
        <f>IFERROR(VLOOKUP(E304,Assign!$C$2:$J$142,8,FALSE),)</f>
        <v>0</v>
      </c>
      <c r="H304" s="197" t="s">
        <v>4009</v>
      </c>
      <c r="I304" s="324" t="s">
        <v>4010</v>
      </c>
      <c r="J304" s="237">
        <v>1</v>
      </c>
      <c r="K304" s="237">
        <v>1</v>
      </c>
      <c r="L304" s="265" t="s">
        <v>212</v>
      </c>
      <c r="M304" s="266" t="s">
        <v>309</v>
      </c>
      <c r="N304" s="266" t="s">
        <v>1582</v>
      </c>
      <c r="O304" s="267" t="s">
        <v>1583</v>
      </c>
      <c r="P304" s="268" t="s">
        <v>1584</v>
      </c>
      <c r="Q304" s="269">
        <v>1072.8</v>
      </c>
      <c r="R304" s="269">
        <v>167.15</v>
      </c>
      <c r="S304" s="270"/>
      <c r="T304" s="182">
        <f>34.37/1072.8</f>
        <v>3.2037658463832962E-2</v>
      </c>
      <c r="U304" s="182">
        <v>1</v>
      </c>
      <c r="V304" s="408">
        <v>1</v>
      </c>
      <c r="W304" s="357" t="s">
        <v>204</v>
      </c>
      <c r="X304" s="156">
        <v>180000000</v>
      </c>
      <c r="Y304" s="417">
        <v>180000000</v>
      </c>
      <c r="Z304" s="418" t="s">
        <v>359</v>
      </c>
      <c r="AA304" s="271"/>
      <c r="AB304" s="168"/>
      <c r="AC304" s="156"/>
      <c r="AD304" s="156"/>
      <c r="AE304" s="320"/>
      <c r="AF304" s="168"/>
      <c r="AG304" s="156"/>
      <c r="AH304" s="156"/>
      <c r="AI304" s="410"/>
    </row>
    <row r="305" spans="1:35" ht="19.5" customHeight="1">
      <c r="A305" s="137"/>
      <c r="B305" s="197">
        <f t="shared" si="5"/>
        <v>295</v>
      </c>
      <c r="C305" s="30" t="s">
        <v>206</v>
      </c>
      <c r="D305" s="30" t="s">
        <v>225</v>
      </c>
      <c r="E305" s="234" t="s">
        <v>777</v>
      </c>
      <c r="F305" s="235" t="s">
        <v>1217</v>
      </c>
      <c r="G305" s="284" t="str">
        <f>IFERROR(VLOOKUP(E305,Assign!$C$2:$J$142,8,FALSE),)</f>
        <v>문선영</v>
      </c>
      <c r="H305" s="29" t="s">
        <v>3894</v>
      </c>
      <c r="I305" s="359" t="s">
        <v>3895</v>
      </c>
      <c r="J305" s="237">
        <v>1</v>
      </c>
      <c r="K305" s="237">
        <v>1</v>
      </c>
      <c r="L305" s="265" t="s">
        <v>208</v>
      </c>
      <c r="M305" s="266" t="s">
        <v>316</v>
      </c>
      <c r="N305" s="266" t="s">
        <v>1461</v>
      </c>
      <c r="O305" s="267" t="s">
        <v>1462</v>
      </c>
      <c r="P305" s="268" t="s">
        <v>1463</v>
      </c>
      <c r="Q305" s="269">
        <v>787</v>
      </c>
      <c r="R305" s="269">
        <v>57.23</v>
      </c>
      <c r="S305" s="270"/>
      <c r="T305" s="182">
        <f>80.4/787</f>
        <v>0.10216010165184244</v>
      </c>
      <c r="U305" s="182">
        <v>1</v>
      </c>
      <c r="V305" s="408">
        <v>1</v>
      </c>
      <c r="W305" s="357" t="s">
        <v>204</v>
      </c>
      <c r="X305" s="156">
        <v>204000000</v>
      </c>
      <c r="Y305" s="417">
        <v>204000000</v>
      </c>
      <c r="Z305" s="418" t="s">
        <v>359</v>
      </c>
      <c r="AA305" s="271"/>
      <c r="AB305" s="168"/>
      <c r="AC305" s="156"/>
      <c r="AD305" s="156"/>
      <c r="AE305" s="320"/>
      <c r="AF305" s="168"/>
      <c r="AG305" s="156"/>
      <c r="AH305" s="156"/>
      <c r="AI305" s="410"/>
    </row>
    <row r="306" spans="1:35" ht="19.5" customHeight="1">
      <c r="A306" s="137"/>
      <c r="B306" s="197">
        <f t="shared" si="5"/>
        <v>296</v>
      </c>
      <c r="C306" s="30" t="s">
        <v>206</v>
      </c>
      <c r="D306" s="30" t="s">
        <v>225</v>
      </c>
      <c r="E306" s="234" t="s">
        <v>778</v>
      </c>
      <c r="F306" s="235" t="s">
        <v>1229</v>
      </c>
      <c r="G306" s="284" t="str">
        <f>IFERROR(VLOOKUP(E306,Assign!$C$2:$J$142,8,FALSE),)</f>
        <v>문선영</v>
      </c>
      <c r="H306" s="197" t="s">
        <v>4767</v>
      </c>
      <c r="I306" s="324" t="s">
        <v>4768</v>
      </c>
      <c r="J306" s="237">
        <v>1</v>
      </c>
      <c r="K306" s="237">
        <v>1</v>
      </c>
      <c r="L306" s="265" t="s">
        <v>208</v>
      </c>
      <c r="M306" s="266" t="s">
        <v>316</v>
      </c>
      <c r="N306" s="266" t="s">
        <v>2299</v>
      </c>
      <c r="O306" s="267" t="s">
        <v>2300</v>
      </c>
      <c r="P306" s="268" t="s">
        <v>1463</v>
      </c>
      <c r="Q306" s="269">
        <v>515</v>
      </c>
      <c r="R306" s="269">
        <v>56.28</v>
      </c>
      <c r="S306" s="270"/>
      <c r="T306" s="182">
        <f>64.375/515</f>
        <v>0.125</v>
      </c>
      <c r="U306" s="182">
        <v>1</v>
      </c>
      <c r="V306" s="408">
        <v>1</v>
      </c>
      <c r="W306" s="357" t="s">
        <v>204</v>
      </c>
      <c r="X306" s="156">
        <v>186000000</v>
      </c>
      <c r="Y306" s="417">
        <v>186000000</v>
      </c>
      <c r="Z306" s="418" t="s">
        <v>359</v>
      </c>
      <c r="AA306" s="271"/>
      <c r="AB306" s="168"/>
      <c r="AC306" s="156"/>
      <c r="AD306" s="156"/>
      <c r="AE306" s="320"/>
      <c r="AF306" s="168"/>
      <c r="AG306" s="156"/>
      <c r="AH306" s="156"/>
      <c r="AI306" s="410"/>
    </row>
    <row r="307" spans="1:35" ht="19.5" customHeight="1">
      <c r="A307" s="137"/>
      <c r="B307" s="197">
        <f t="shared" si="5"/>
        <v>297</v>
      </c>
      <c r="C307" s="30" t="s">
        <v>206</v>
      </c>
      <c r="D307" s="30" t="s">
        <v>225</v>
      </c>
      <c r="E307" s="234" t="s">
        <v>779</v>
      </c>
      <c r="F307" s="235" t="s">
        <v>1229</v>
      </c>
      <c r="G307" s="284" t="str">
        <f>IFERROR(VLOOKUP(E307,Assign!$C$2:$J$142,8,FALSE),)</f>
        <v>문선영</v>
      </c>
      <c r="H307" s="197" t="s">
        <v>4201</v>
      </c>
      <c r="I307" s="324" t="s">
        <v>4202</v>
      </c>
      <c r="J307" s="237">
        <v>1</v>
      </c>
      <c r="K307" s="237">
        <v>1</v>
      </c>
      <c r="L307" s="265" t="s">
        <v>209</v>
      </c>
      <c r="M307" s="266" t="s">
        <v>226</v>
      </c>
      <c r="N307" s="266" t="s">
        <v>409</v>
      </c>
      <c r="O307" s="267" t="s">
        <v>1777</v>
      </c>
      <c r="P307" s="268" t="s">
        <v>1778</v>
      </c>
      <c r="Q307" s="269">
        <v>805.9</v>
      </c>
      <c r="R307" s="269">
        <v>37.96</v>
      </c>
      <c r="S307" s="270"/>
      <c r="T307" s="182">
        <f>18.01/805.9</f>
        <v>2.2347685817098898E-2</v>
      </c>
      <c r="U307" s="182">
        <v>1</v>
      </c>
      <c r="V307" s="408">
        <v>1</v>
      </c>
      <c r="W307" s="357" t="s">
        <v>204</v>
      </c>
      <c r="X307" s="156">
        <v>188400000</v>
      </c>
      <c r="Y307" s="417">
        <v>188400000</v>
      </c>
      <c r="Z307" s="418" t="s">
        <v>359</v>
      </c>
      <c r="AA307" s="271"/>
      <c r="AB307" s="168"/>
      <c r="AC307" s="156"/>
      <c r="AD307" s="156"/>
      <c r="AE307" s="320"/>
      <c r="AF307" s="168"/>
      <c r="AG307" s="156"/>
      <c r="AH307" s="156"/>
      <c r="AI307" s="410"/>
    </row>
    <row r="308" spans="1:35" ht="19.5" hidden="1" customHeight="1">
      <c r="A308" s="137"/>
      <c r="B308" s="197">
        <f t="shared" si="5"/>
        <v>298</v>
      </c>
      <c r="C308" s="30" t="s">
        <v>206</v>
      </c>
      <c r="D308" s="30" t="s">
        <v>225</v>
      </c>
      <c r="E308" s="234" t="s">
        <v>780</v>
      </c>
      <c r="F308" s="235" t="s">
        <v>1229</v>
      </c>
      <c r="G308" s="284">
        <f>IFERROR(VLOOKUP(E308,Assign!$C$2:$J$142,8,FALSE),)</f>
        <v>0</v>
      </c>
      <c r="H308" s="197" t="s">
        <v>4001</v>
      </c>
      <c r="I308" s="324" t="s">
        <v>4002</v>
      </c>
      <c r="J308" s="237">
        <v>1</v>
      </c>
      <c r="K308" s="237">
        <v>1</v>
      </c>
      <c r="L308" s="265" t="s">
        <v>208</v>
      </c>
      <c r="M308" s="266" t="s">
        <v>280</v>
      </c>
      <c r="N308" s="266" t="s">
        <v>573</v>
      </c>
      <c r="O308" s="267" t="s">
        <v>1575</v>
      </c>
      <c r="P308" s="268" t="s">
        <v>1576</v>
      </c>
      <c r="Q308" s="269">
        <f>195+148</f>
        <v>343</v>
      </c>
      <c r="R308" s="269">
        <v>74.12</v>
      </c>
      <c r="S308" s="270"/>
      <c r="T308" s="182">
        <f>15.13/343</f>
        <v>4.4110787172011667E-2</v>
      </c>
      <c r="U308" s="182">
        <v>1</v>
      </c>
      <c r="V308" s="408">
        <v>1</v>
      </c>
      <c r="W308" s="357" t="s">
        <v>204</v>
      </c>
      <c r="X308" s="156">
        <v>180000000</v>
      </c>
      <c r="Y308" s="417">
        <v>180000000</v>
      </c>
      <c r="Z308" s="418" t="s">
        <v>359</v>
      </c>
      <c r="AA308" s="271"/>
      <c r="AB308" s="168"/>
      <c r="AC308" s="156"/>
      <c r="AD308" s="156"/>
      <c r="AE308" s="320"/>
      <c r="AF308" s="168"/>
      <c r="AG308" s="156"/>
      <c r="AH308" s="156"/>
      <c r="AI308" s="410"/>
    </row>
    <row r="309" spans="1:35" ht="19.5" hidden="1" customHeight="1">
      <c r="A309" s="137"/>
      <c r="B309" s="197">
        <f t="shared" si="5"/>
        <v>299</v>
      </c>
      <c r="C309" s="30" t="s">
        <v>206</v>
      </c>
      <c r="D309" s="30" t="s">
        <v>225</v>
      </c>
      <c r="E309" s="234" t="s">
        <v>781</v>
      </c>
      <c r="F309" s="235" t="s">
        <v>1318</v>
      </c>
      <c r="G309" s="284">
        <f>IFERROR(VLOOKUP(E309,Assign!$C$2:$J$142,8,FALSE),)</f>
        <v>0</v>
      </c>
      <c r="H309" s="197" t="s">
        <v>5279</v>
      </c>
      <c r="I309" s="324" t="s">
        <v>5280</v>
      </c>
      <c r="J309" s="237">
        <v>1</v>
      </c>
      <c r="K309" s="237">
        <v>1</v>
      </c>
      <c r="L309" s="265" t="s">
        <v>208</v>
      </c>
      <c r="M309" s="266" t="s">
        <v>397</v>
      </c>
      <c r="N309" s="266" t="s">
        <v>2766</v>
      </c>
      <c r="O309" s="267" t="s">
        <v>2767</v>
      </c>
      <c r="P309" s="268" t="s">
        <v>440</v>
      </c>
      <c r="Q309" s="269">
        <v>1338</v>
      </c>
      <c r="R309" s="269">
        <v>50.24</v>
      </c>
      <c r="S309" s="270"/>
      <c r="T309" s="182">
        <f>38.81/1338</f>
        <v>2.9005979073243648E-2</v>
      </c>
      <c r="U309" s="182">
        <v>1</v>
      </c>
      <c r="V309" s="408" t="s">
        <v>229</v>
      </c>
      <c r="W309" s="357" t="s">
        <v>204</v>
      </c>
      <c r="X309" s="156">
        <v>189600000</v>
      </c>
      <c r="Y309" s="417">
        <v>189600000</v>
      </c>
      <c r="Z309" s="418" t="s">
        <v>359</v>
      </c>
      <c r="AA309" s="271"/>
      <c r="AB309" s="168"/>
      <c r="AC309" s="156"/>
      <c r="AD309" s="156"/>
      <c r="AE309" s="320"/>
      <c r="AF309" s="168"/>
      <c r="AG309" s="156"/>
      <c r="AH309" s="156"/>
      <c r="AI309" s="410"/>
    </row>
    <row r="310" spans="1:35" ht="19.5" customHeight="1">
      <c r="A310" s="137"/>
      <c r="B310" s="197">
        <f t="shared" si="5"/>
        <v>300</v>
      </c>
      <c r="C310" s="30" t="s">
        <v>206</v>
      </c>
      <c r="D310" s="30" t="s">
        <v>225</v>
      </c>
      <c r="E310" s="234" t="s">
        <v>782</v>
      </c>
      <c r="F310" s="235" t="s">
        <v>1236</v>
      </c>
      <c r="G310" s="284" t="str">
        <f>IFERROR(VLOOKUP(E310,Assign!$C$2:$J$142,8,FALSE),)</f>
        <v>문선영</v>
      </c>
      <c r="H310" s="197" t="s">
        <v>4098</v>
      </c>
      <c r="I310" s="324" t="s">
        <v>4099</v>
      </c>
      <c r="J310" s="237">
        <v>1</v>
      </c>
      <c r="K310" s="237">
        <v>1</v>
      </c>
      <c r="L310" s="265" t="s">
        <v>214</v>
      </c>
      <c r="M310" s="266" t="s">
        <v>1673</v>
      </c>
      <c r="N310" s="266" t="s">
        <v>1674</v>
      </c>
      <c r="O310" s="267" t="s">
        <v>1675</v>
      </c>
      <c r="P310" s="268" t="s">
        <v>445</v>
      </c>
      <c r="Q310" s="269">
        <v>21157.8</v>
      </c>
      <c r="R310" s="269">
        <v>84.63</v>
      </c>
      <c r="S310" s="270"/>
      <c r="T310" s="182">
        <f>48.6877/21157.8</f>
        <v>2.3011702539961622E-3</v>
      </c>
      <c r="U310" s="182">
        <v>1</v>
      </c>
      <c r="V310" s="408">
        <v>1</v>
      </c>
      <c r="W310" s="357" t="s">
        <v>204</v>
      </c>
      <c r="X310" s="156">
        <v>214800000</v>
      </c>
      <c r="Y310" s="417">
        <v>214800000</v>
      </c>
      <c r="Z310" s="418" t="s">
        <v>359</v>
      </c>
      <c r="AA310" s="271"/>
      <c r="AB310" s="168"/>
      <c r="AC310" s="156"/>
      <c r="AD310" s="156"/>
      <c r="AE310" s="320"/>
      <c r="AF310" s="168"/>
      <c r="AG310" s="156"/>
      <c r="AH310" s="156"/>
      <c r="AI310" s="410"/>
    </row>
    <row r="311" spans="1:35" ht="19.5" hidden="1" customHeight="1">
      <c r="A311" s="137"/>
      <c r="B311" s="197">
        <f t="shared" si="5"/>
        <v>301</v>
      </c>
      <c r="C311" s="30" t="s">
        <v>206</v>
      </c>
      <c r="D311" s="30" t="s">
        <v>225</v>
      </c>
      <c r="E311" s="234" t="s">
        <v>783</v>
      </c>
      <c r="F311" s="235" t="s">
        <v>1249</v>
      </c>
      <c r="G311" s="284">
        <f>IFERROR(VLOOKUP(E311,Assign!$C$2:$J$142,8,FALSE),)</f>
        <v>0</v>
      </c>
      <c r="H311" s="197" t="s">
        <v>4573</v>
      </c>
      <c r="I311" s="324" t="s">
        <v>4574</v>
      </c>
      <c r="J311" s="237">
        <v>1</v>
      </c>
      <c r="K311" s="237">
        <v>1</v>
      </c>
      <c r="L311" s="265" t="s">
        <v>208</v>
      </c>
      <c r="M311" s="266" t="s">
        <v>228</v>
      </c>
      <c r="N311" s="266" t="s">
        <v>340</v>
      </c>
      <c r="O311" s="267" t="s">
        <v>2110</v>
      </c>
      <c r="P311" s="268" t="s">
        <v>2111</v>
      </c>
      <c r="Q311" s="269">
        <v>2661.5</v>
      </c>
      <c r="R311" s="269">
        <v>34.68</v>
      </c>
      <c r="S311" s="270"/>
      <c r="T311" s="182">
        <f>14.38/2661.5</f>
        <v>5.4029682509862866E-3</v>
      </c>
      <c r="U311" s="182">
        <v>1</v>
      </c>
      <c r="V311" s="408">
        <v>1</v>
      </c>
      <c r="W311" s="357" t="s">
        <v>204</v>
      </c>
      <c r="X311" s="156">
        <v>187017600</v>
      </c>
      <c r="Y311" s="417">
        <v>187017600</v>
      </c>
      <c r="Z311" s="418" t="s">
        <v>359</v>
      </c>
      <c r="AA311" s="271"/>
      <c r="AB311" s="168"/>
      <c r="AC311" s="156"/>
      <c r="AD311" s="156"/>
      <c r="AE311" s="320"/>
      <c r="AF311" s="168"/>
      <c r="AG311" s="156"/>
      <c r="AH311" s="156"/>
      <c r="AI311" s="410"/>
    </row>
    <row r="312" spans="1:35" ht="19.5" hidden="1" customHeight="1">
      <c r="A312" s="137"/>
      <c r="B312" s="197">
        <f t="shared" si="5"/>
        <v>302</v>
      </c>
      <c r="C312" s="30" t="s">
        <v>206</v>
      </c>
      <c r="D312" s="30" t="s">
        <v>225</v>
      </c>
      <c r="E312" s="234" t="s">
        <v>783</v>
      </c>
      <c r="F312" s="235" t="s">
        <v>1249</v>
      </c>
      <c r="G312" s="284">
        <f>IFERROR(VLOOKUP(E312,Assign!$C$2:$J$142,8,FALSE),)</f>
        <v>0</v>
      </c>
      <c r="H312" s="197" t="s">
        <v>4573</v>
      </c>
      <c r="I312" s="324" t="s">
        <v>4575</v>
      </c>
      <c r="J312" s="237">
        <v>1</v>
      </c>
      <c r="K312" s="237">
        <v>2</v>
      </c>
      <c r="L312" s="265" t="s">
        <v>208</v>
      </c>
      <c r="M312" s="266" t="s">
        <v>228</v>
      </c>
      <c r="N312" s="266" t="s">
        <v>340</v>
      </c>
      <c r="O312" s="267" t="s">
        <v>2112</v>
      </c>
      <c r="P312" s="268" t="s">
        <v>2111</v>
      </c>
      <c r="Q312" s="269">
        <v>2661.5</v>
      </c>
      <c r="R312" s="269">
        <v>34.68</v>
      </c>
      <c r="S312" s="270"/>
      <c r="T312" s="182">
        <f>14.38/2661.5</f>
        <v>5.4029682509862866E-3</v>
      </c>
      <c r="U312" s="182">
        <v>1</v>
      </c>
      <c r="V312" s="408">
        <v>1</v>
      </c>
      <c r="W312" s="357" t="s">
        <v>204</v>
      </c>
      <c r="X312" s="156">
        <v>187017600</v>
      </c>
      <c r="Y312" s="417">
        <v>187017600</v>
      </c>
      <c r="Z312" s="418" t="s">
        <v>359</v>
      </c>
      <c r="AA312" s="271"/>
      <c r="AB312" s="168"/>
      <c r="AC312" s="156"/>
      <c r="AD312" s="156"/>
      <c r="AE312" s="320"/>
      <c r="AF312" s="168"/>
      <c r="AG312" s="156"/>
      <c r="AH312" s="156"/>
      <c r="AI312" s="410"/>
    </row>
    <row r="313" spans="1:35" ht="19.5" hidden="1" customHeight="1">
      <c r="A313" s="137"/>
      <c r="B313" s="197">
        <f t="shared" si="5"/>
        <v>303</v>
      </c>
      <c r="C313" s="30" t="s">
        <v>206</v>
      </c>
      <c r="D313" s="30" t="s">
        <v>225</v>
      </c>
      <c r="E313" s="234" t="s">
        <v>784</v>
      </c>
      <c r="F313" s="235" t="s">
        <v>1229</v>
      </c>
      <c r="G313" s="284">
        <f>IFERROR(VLOOKUP(E313,Assign!$C$2:$J$142,8,FALSE),)</f>
        <v>0</v>
      </c>
      <c r="H313" s="197" t="s">
        <v>3986</v>
      </c>
      <c r="I313" s="324" t="s">
        <v>3987</v>
      </c>
      <c r="J313" s="237">
        <v>1</v>
      </c>
      <c r="K313" s="237">
        <v>1</v>
      </c>
      <c r="L313" s="265" t="s">
        <v>208</v>
      </c>
      <c r="M313" s="266" t="s">
        <v>372</v>
      </c>
      <c r="N313" s="266" t="s">
        <v>1561</v>
      </c>
      <c r="O313" s="267" t="s">
        <v>1562</v>
      </c>
      <c r="P313" s="268" t="s">
        <v>1563</v>
      </c>
      <c r="Q313" s="269">
        <v>631</v>
      </c>
      <c r="R313" s="269">
        <v>118.8</v>
      </c>
      <c r="S313" s="270"/>
      <c r="T313" s="182">
        <f>40.56/631</f>
        <v>6.4278922345483366E-2</v>
      </c>
      <c r="U313" s="182">
        <v>1</v>
      </c>
      <c r="V313" s="408" t="s">
        <v>229</v>
      </c>
      <c r="W313" s="357" t="s">
        <v>204</v>
      </c>
      <c r="X313" s="156">
        <v>338000000</v>
      </c>
      <c r="Y313" s="417">
        <v>338000000</v>
      </c>
      <c r="Z313" s="418" t="s">
        <v>359</v>
      </c>
      <c r="AA313" s="271"/>
      <c r="AB313" s="168"/>
      <c r="AC313" s="156"/>
      <c r="AD313" s="156"/>
      <c r="AE313" s="320"/>
      <c r="AF313" s="168"/>
      <c r="AG313" s="156"/>
      <c r="AH313" s="156"/>
      <c r="AI313" s="410"/>
    </row>
    <row r="314" spans="1:35" ht="19.5" hidden="1" customHeight="1">
      <c r="A314" s="137"/>
      <c r="B314" s="197">
        <f t="shared" si="5"/>
        <v>304</v>
      </c>
      <c r="C314" s="30" t="s">
        <v>206</v>
      </c>
      <c r="D314" s="30" t="s">
        <v>225</v>
      </c>
      <c r="E314" s="234" t="s">
        <v>784</v>
      </c>
      <c r="F314" s="235" t="s">
        <v>1229</v>
      </c>
      <c r="G314" s="284">
        <f>IFERROR(VLOOKUP(E314,Assign!$C$2:$J$142,8,FALSE),)</f>
        <v>0</v>
      </c>
      <c r="H314" s="197" t="s">
        <v>3986</v>
      </c>
      <c r="I314" s="324" t="s">
        <v>3988</v>
      </c>
      <c r="J314" s="237">
        <v>1</v>
      </c>
      <c r="K314" s="237">
        <v>2</v>
      </c>
      <c r="L314" s="265" t="s">
        <v>208</v>
      </c>
      <c r="M314" s="266" t="s">
        <v>372</v>
      </c>
      <c r="N314" s="266" t="s">
        <v>1561</v>
      </c>
      <c r="O314" s="267" t="s">
        <v>1564</v>
      </c>
      <c r="P314" s="268" t="s">
        <v>1563</v>
      </c>
      <c r="Q314" s="269">
        <v>631</v>
      </c>
      <c r="R314" s="269">
        <v>118.8</v>
      </c>
      <c r="S314" s="270"/>
      <c r="T314" s="182">
        <f>40.56/631</f>
        <v>6.4278922345483366E-2</v>
      </c>
      <c r="U314" s="182">
        <v>1</v>
      </c>
      <c r="V314" s="408" t="s">
        <v>229</v>
      </c>
      <c r="W314" s="357" t="s">
        <v>204</v>
      </c>
      <c r="X314" s="156">
        <v>338000000</v>
      </c>
      <c r="Y314" s="417">
        <v>338000000</v>
      </c>
      <c r="Z314" s="418" t="s">
        <v>359</v>
      </c>
      <c r="AA314" s="271"/>
      <c r="AB314" s="168"/>
      <c r="AC314" s="156"/>
      <c r="AD314" s="156"/>
      <c r="AE314" s="320"/>
      <c r="AF314" s="168"/>
      <c r="AG314" s="156"/>
      <c r="AH314" s="156"/>
      <c r="AI314" s="410"/>
    </row>
    <row r="315" spans="1:35" ht="19.5" hidden="1" customHeight="1">
      <c r="A315" s="137"/>
      <c r="B315" s="197">
        <f t="shared" si="5"/>
        <v>305</v>
      </c>
      <c r="C315" s="30" t="s">
        <v>206</v>
      </c>
      <c r="D315" s="30" t="s">
        <v>225</v>
      </c>
      <c r="E315" s="234" t="s">
        <v>784</v>
      </c>
      <c r="F315" s="235" t="s">
        <v>1229</v>
      </c>
      <c r="G315" s="284">
        <f>IFERROR(VLOOKUP(E315,Assign!$C$2:$J$142,8,FALSE),)</f>
        <v>0</v>
      </c>
      <c r="H315" s="197" t="s">
        <v>3986</v>
      </c>
      <c r="I315" s="324" t="s">
        <v>3989</v>
      </c>
      <c r="J315" s="237">
        <v>1</v>
      </c>
      <c r="K315" s="237">
        <v>3</v>
      </c>
      <c r="L315" s="265" t="s">
        <v>208</v>
      </c>
      <c r="M315" s="266" t="s">
        <v>372</v>
      </c>
      <c r="N315" s="266" t="s">
        <v>1561</v>
      </c>
      <c r="O315" s="267" t="s">
        <v>1565</v>
      </c>
      <c r="P315" s="268" t="s">
        <v>1563</v>
      </c>
      <c r="Q315" s="269">
        <v>631</v>
      </c>
      <c r="R315" s="269">
        <v>58.54</v>
      </c>
      <c r="S315" s="270"/>
      <c r="T315" s="182">
        <f>19.857/631</f>
        <v>3.1469096671949283E-2</v>
      </c>
      <c r="U315" s="182">
        <v>1</v>
      </c>
      <c r="V315" s="408" t="s">
        <v>229</v>
      </c>
      <c r="W315" s="357" t="s">
        <v>204</v>
      </c>
      <c r="X315" s="156">
        <v>338000000</v>
      </c>
      <c r="Y315" s="156">
        <v>338000000</v>
      </c>
      <c r="Z315" s="418" t="s">
        <v>359</v>
      </c>
      <c r="AA315" s="271"/>
      <c r="AB315" s="168"/>
      <c r="AC315" s="156"/>
      <c r="AD315" s="156"/>
      <c r="AE315" s="320"/>
      <c r="AF315" s="168"/>
      <c r="AG315" s="156"/>
      <c r="AH315" s="156"/>
      <c r="AI315" s="410"/>
    </row>
    <row r="316" spans="1:35" ht="19.5" hidden="1" customHeight="1">
      <c r="A316" s="137"/>
      <c r="B316" s="197">
        <f t="shared" si="5"/>
        <v>306</v>
      </c>
      <c r="C316" s="30" t="s">
        <v>206</v>
      </c>
      <c r="D316" s="30" t="s">
        <v>225</v>
      </c>
      <c r="E316" s="234" t="s">
        <v>784</v>
      </c>
      <c r="F316" s="235" t="s">
        <v>1229</v>
      </c>
      <c r="G316" s="284">
        <f>IFERROR(VLOOKUP(E316,Assign!$C$2:$J$142,8,FALSE),)</f>
        <v>0</v>
      </c>
      <c r="H316" s="197" t="s">
        <v>3986</v>
      </c>
      <c r="I316" s="324" t="s">
        <v>3990</v>
      </c>
      <c r="J316" s="237">
        <v>1</v>
      </c>
      <c r="K316" s="237">
        <v>4</v>
      </c>
      <c r="L316" s="265" t="s">
        <v>208</v>
      </c>
      <c r="M316" s="266" t="s">
        <v>372</v>
      </c>
      <c r="N316" s="266" t="s">
        <v>1561</v>
      </c>
      <c r="O316" s="267" t="s">
        <v>1566</v>
      </c>
      <c r="P316" s="268" t="s">
        <v>1563</v>
      </c>
      <c r="Q316" s="269">
        <v>631</v>
      </c>
      <c r="R316" s="269">
        <v>99.81</v>
      </c>
      <c r="S316" s="270"/>
      <c r="T316" s="182">
        <f>33.84/631</f>
        <v>5.3629160063391447E-2</v>
      </c>
      <c r="U316" s="182">
        <v>1</v>
      </c>
      <c r="V316" s="408" t="s">
        <v>229</v>
      </c>
      <c r="W316" s="357" t="s">
        <v>204</v>
      </c>
      <c r="X316" s="156">
        <v>338000000</v>
      </c>
      <c r="Y316" s="417">
        <v>338000000</v>
      </c>
      <c r="Z316" s="418" t="s">
        <v>359</v>
      </c>
      <c r="AA316" s="271"/>
      <c r="AB316" s="168"/>
      <c r="AC316" s="156"/>
      <c r="AD316" s="156"/>
      <c r="AE316" s="320"/>
      <c r="AF316" s="168"/>
      <c r="AG316" s="156"/>
      <c r="AH316" s="156"/>
      <c r="AI316" s="410"/>
    </row>
    <row r="317" spans="1:35" ht="19.5" customHeight="1">
      <c r="A317" s="137"/>
      <c r="B317" s="197">
        <f t="shared" si="5"/>
        <v>307</v>
      </c>
      <c r="C317" s="30" t="s">
        <v>206</v>
      </c>
      <c r="D317" s="30" t="s">
        <v>225</v>
      </c>
      <c r="E317" s="234" t="s">
        <v>785</v>
      </c>
      <c r="F317" s="235" t="s">
        <v>1250</v>
      </c>
      <c r="G317" s="284" t="str">
        <f>IFERROR(VLOOKUP(E317,Assign!$C$2:$J$142,8,FALSE),)</f>
        <v>문선영</v>
      </c>
      <c r="H317" s="197" t="s">
        <v>4513</v>
      </c>
      <c r="I317" s="324" t="s">
        <v>4514</v>
      </c>
      <c r="J317" s="237">
        <v>1</v>
      </c>
      <c r="K317" s="237">
        <v>1</v>
      </c>
      <c r="L317" s="265" t="s">
        <v>212</v>
      </c>
      <c r="M317" s="266" t="s">
        <v>389</v>
      </c>
      <c r="N317" s="266" t="s">
        <v>2055</v>
      </c>
      <c r="O317" s="267" t="s">
        <v>2056</v>
      </c>
      <c r="P317" s="268" t="s">
        <v>462</v>
      </c>
      <c r="Q317" s="269">
        <f>42390.5+188.9+20158.2+236.3</f>
        <v>62973.900000000009</v>
      </c>
      <c r="R317" s="269">
        <v>59.965200000000003</v>
      </c>
      <c r="S317" s="270"/>
      <c r="T317" s="182">
        <f>31.6578/62973.9</f>
        <v>5.0271302873095046E-4</v>
      </c>
      <c r="U317" s="182">
        <v>1</v>
      </c>
      <c r="V317" s="408">
        <v>1</v>
      </c>
      <c r="W317" s="357" t="s">
        <v>204</v>
      </c>
      <c r="X317" s="156">
        <v>172060000</v>
      </c>
      <c r="Y317" s="417">
        <v>172060000</v>
      </c>
      <c r="Z317" s="418" t="s">
        <v>359</v>
      </c>
      <c r="AA317" s="271"/>
      <c r="AB317" s="168"/>
      <c r="AC317" s="156"/>
      <c r="AD317" s="156"/>
      <c r="AE317" s="320"/>
      <c r="AF317" s="168"/>
      <c r="AG317" s="156"/>
      <c r="AH317" s="156"/>
      <c r="AI317" s="410"/>
    </row>
    <row r="318" spans="1:35" ht="19.5" hidden="1" customHeight="1">
      <c r="A318" s="137"/>
      <c r="B318" s="197">
        <f t="shared" si="5"/>
        <v>308</v>
      </c>
      <c r="C318" s="30" t="s">
        <v>206</v>
      </c>
      <c r="D318" s="30" t="s">
        <v>225</v>
      </c>
      <c r="E318" s="234" t="s">
        <v>786</v>
      </c>
      <c r="F318" s="235" t="s">
        <v>1225</v>
      </c>
      <c r="G318" s="284">
        <f>IFERROR(VLOOKUP(E318,Assign!$C$2:$J$142,8,FALSE),)</f>
        <v>0</v>
      </c>
      <c r="H318" s="197" t="s">
        <v>4553</v>
      </c>
      <c r="I318" s="324" t="s">
        <v>4554</v>
      </c>
      <c r="J318" s="237">
        <v>1</v>
      </c>
      <c r="K318" s="237">
        <v>1</v>
      </c>
      <c r="L318" s="265" t="s">
        <v>212</v>
      </c>
      <c r="M318" s="266" t="s">
        <v>300</v>
      </c>
      <c r="N318" s="266" t="s">
        <v>361</v>
      </c>
      <c r="O318" s="267" t="s">
        <v>2094</v>
      </c>
      <c r="P318" s="268" t="s">
        <v>431</v>
      </c>
      <c r="Q318" s="269">
        <f>11517+4498+8064+24220+520</f>
        <v>48819</v>
      </c>
      <c r="R318" s="269">
        <v>84.944999999999993</v>
      </c>
      <c r="S318" s="270"/>
      <c r="T318" s="182">
        <f>37.492/48819</f>
        <v>7.6797968004260633E-4</v>
      </c>
      <c r="U318" s="182">
        <v>1</v>
      </c>
      <c r="V318" s="408">
        <v>2</v>
      </c>
      <c r="W318" s="357" t="s">
        <v>204</v>
      </c>
      <c r="X318" s="156">
        <v>168000000</v>
      </c>
      <c r="Y318" s="417">
        <v>168000000</v>
      </c>
      <c r="Z318" s="418" t="s">
        <v>359</v>
      </c>
      <c r="AA318" s="271">
        <v>1</v>
      </c>
      <c r="AB318" s="168" t="s">
        <v>204</v>
      </c>
      <c r="AC318" s="156">
        <v>181100000</v>
      </c>
      <c r="AD318" s="156">
        <v>181100000</v>
      </c>
      <c r="AE318" s="320"/>
      <c r="AF318" s="168"/>
      <c r="AG318" s="156"/>
      <c r="AH318" s="156"/>
      <c r="AI318" s="410"/>
    </row>
    <row r="319" spans="1:35" ht="19.5" hidden="1" customHeight="1">
      <c r="A319" s="137"/>
      <c r="B319" s="197">
        <f t="shared" si="5"/>
        <v>309</v>
      </c>
      <c r="C319" s="30" t="s">
        <v>206</v>
      </c>
      <c r="D319" s="30" t="s">
        <v>225</v>
      </c>
      <c r="E319" s="234" t="s">
        <v>787</v>
      </c>
      <c r="F319" s="235" t="s">
        <v>1217</v>
      </c>
      <c r="G319" s="284">
        <f>IFERROR(VLOOKUP(E319,Assign!$C$2:$J$142,8,FALSE),)</f>
        <v>0</v>
      </c>
      <c r="H319" s="197" t="s">
        <v>5304</v>
      </c>
      <c r="I319" s="324" t="s">
        <v>5305</v>
      </c>
      <c r="J319" s="237">
        <v>1</v>
      </c>
      <c r="K319" s="237">
        <v>1</v>
      </c>
      <c r="L319" s="265" t="s">
        <v>208</v>
      </c>
      <c r="M319" s="266" t="s">
        <v>280</v>
      </c>
      <c r="N319" s="266" t="s">
        <v>2786</v>
      </c>
      <c r="O319" s="267" t="s">
        <v>2787</v>
      </c>
      <c r="P319" s="268" t="s">
        <v>588</v>
      </c>
      <c r="Q319" s="269">
        <v>1287</v>
      </c>
      <c r="R319" s="269">
        <v>66.41</v>
      </c>
      <c r="S319" s="270"/>
      <c r="T319" s="182">
        <f>80.44/1287</f>
        <v>6.2501942501942506E-2</v>
      </c>
      <c r="U319" s="182">
        <v>1</v>
      </c>
      <c r="V319" s="408">
        <v>1</v>
      </c>
      <c r="W319" s="357" t="s">
        <v>204</v>
      </c>
      <c r="X319" s="156">
        <v>172800000</v>
      </c>
      <c r="Y319" s="417">
        <v>172800000</v>
      </c>
      <c r="Z319" s="418" t="s">
        <v>359</v>
      </c>
      <c r="AA319" s="271"/>
      <c r="AB319" s="168"/>
      <c r="AC319" s="156"/>
      <c r="AD319" s="156"/>
      <c r="AE319" s="320"/>
      <c r="AF319" s="168"/>
      <c r="AG319" s="156"/>
      <c r="AH319" s="156"/>
      <c r="AI319" s="410"/>
    </row>
    <row r="320" spans="1:35" ht="19.5" hidden="1" customHeight="1">
      <c r="A320" s="137"/>
      <c r="B320" s="197">
        <f t="shared" si="5"/>
        <v>310</v>
      </c>
      <c r="C320" s="30" t="s">
        <v>206</v>
      </c>
      <c r="D320" s="30" t="s">
        <v>225</v>
      </c>
      <c r="E320" s="234" t="s">
        <v>788</v>
      </c>
      <c r="F320" s="235" t="s">
        <v>1238</v>
      </c>
      <c r="G320" s="284">
        <f>IFERROR(VLOOKUP(E320,Assign!$C$2:$J$142,8,FALSE),)</f>
        <v>0</v>
      </c>
      <c r="H320" s="197" t="s">
        <v>4395</v>
      </c>
      <c r="I320" s="324" t="s">
        <v>4396</v>
      </c>
      <c r="J320" s="237">
        <v>1</v>
      </c>
      <c r="K320" s="237">
        <v>1</v>
      </c>
      <c r="L320" s="265" t="s">
        <v>212</v>
      </c>
      <c r="M320" s="266" t="s">
        <v>241</v>
      </c>
      <c r="N320" s="266" t="s">
        <v>1678</v>
      </c>
      <c r="O320" s="267" t="s">
        <v>1953</v>
      </c>
      <c r="P320" s="268" t="s">
        <v>3508</v>
      </c>
      <c r="Q320" s="269">
        <f>63920+2754+5889</f>
        <v>72563</v>
      </c>
      <c r="R320" s="269">
        <v>73.959999999999994</v>
      </c>
      <c r="S320" s="270"/>
      <c r="T320" s="182">
        <f>34.256/72563</f>
        <v>4.7208632498656341E-4</v>
      </c>
      <c r="U320" s="182">
        <v>1</v>
      </c>
      <c r="V320" s="408">
        <v>1</v>
      </c>
      <c r="W320" s="357" t="s">
        <v>204</v>
      </c>
      <c r="X320" s="156">
        <v>199200000</v>
      </c>
      <c r="Y320" s="417">
        <v>199200000</v>
      </c>
      <c r="Z320" s="418" t="s">
        <v>359</v>
      </c>
      <c r="AA320" s="271"/>
      <c r="AB320" s="168"/>
      <c r="AC320" s="156"/>
      <c r="AD320" s="156"/>
      <c r="AE320" s="320"/>
      <c r="AF320" s="168"/>
      <c r="AG320" s="156"/>
      <c r="AH320" s="156"/>
      <c r="AI320" s="410"/>
    </row>
    <row r="321" spans="1:35" ht="19.5" hidden="1" customHeight="1">
      <c r="A321" s="137"/>
      <c r="B321" s="197">
        <f t="shared" si="5"/>
        <v>311</v>
      </c>
      <c r="C321" s="30" t="s">
        <v>206</v>
      </c>
      <c r="D321" s="30" t="s">
        <v>225</v>
      </c>
      <c r="E321" s="234" t="s">
        <v>789</v>
      </c>
      <c r="F321" s="235" t="s">
        <v>1225</v>
      </c>
      <c r="G321" s="284">
        <f>IFERROR(VLOOKUP(E321,Assign!$C$2:$J$142,8,FALSE),)</f>
        <v>0</v>
      </c>
      <c r="H321" s="197" t="s">
        <v>5298</v>
      </c>
      <c r="I321" s="324" t="s">
        <v>5299</v>
      </c>
      <c r="J321" s="237">
        <v>1</v>
      </c>
      <c r="K321" s="237">
        <v>1</v>
      </c>
      <c r="L321" s="265" t="s">
        <v>208</v>
      </c>
      <c r="M321" s="266" t="s">
        <v>234</v>
      </c>
      <c r="N321" s="266" t="s">
        <v>2387</v>
      </c>
      <c r="O321" s="267" t="s">
        <v>2782</v>
      </c>
      <c r="P321" s="268" t="s">
        <v>431</v>
      </c>
      <c r="Q321" s="269">
        <v>29243</v>
      </c>
      <c r="R321" s="269">
        <v>84.92</v>
      </c>
      <c r="S321" s="270"/>
      <c r="T321" s="182">
        <f>42.413/29243</f>
        <v>1.4503641897206168E-3</v>
      </c>
      <c r="U321" s="182">
        <v>1</v>
      </c>
      <c r="V321" s="408">
        <v>1</v>
      </c>
      <c r="W321" s="357" t="s">
        <v>204</v>
      </c>
      <c r="X321" s="156">
        <v>154000000</v>
      </c>
      <c r="Y321" s="417">
        <v>154000000</v>
      </c>
      <c r="Z321" s="418" t="s">
        <v>359</v>
      </c>
      <c r="AA321" s="271"/>
      <c r="AB321" s="168"/>
      <c r="AC321" s="156"/>
      <c r="AD321" s="156"/>
      <c r="AE321" s="320"/>
      <c r="AF321" s="168"/>
      <c r="AG321" s="156"/>
      <c r="AH321" s="156"/>
      <c r="AI321" s="410"/>
    </row>
    <row r="322" spans="1:35" ht="19.5" customHeight="1">
      <c r="A322" s="137"/>
      <c r="B322" s="197">
        <f t="shared" si="5"/>
        <v>312</v>
      </c>
      <c r="C322" s="30" t="s">
        <v>206</v>
      </c>
      <c r="D322" s="30" t="s">
        <v>225</v>
      </c>
      <c r="E322" s="234" t="s">
        <v>790</v>
      </c>
      <c r="F322" s="235" t="s">
        <v>1229</v>
      </c>
      <c r="G322" s="284" t="str">
        <f>IFERROR(VLOOKUP(E322,Assign!$C$2:$J$142,8,FALSE),)</f>
        <v>문선영</v>
      </c>
      <c r="H322" s="197" t="s">
        <v>4458</v>
      </c>
      <c r="I322" s="324" t="s">
        <v>4459</v>
      </c>
      <c r="J322" s="237">
        <v>1</v>
      </c>
      <c r="K322" s="237">
        <v>1</v>
      </c>
      <c r="L322" s="265" t="s">
        <v>208</v>
      </c>
      <c r="M322" s="266" t="s">
        <v>254</v>
      </c>
      <c r="N322" s="266" t="s">
        <v>562</v>
      </c>
      <c r="O322" s="267" t="s">
        <v>2003</v>
      </c>
      <c r="P322" s="268" t="s">
        <v>1958</v>
      </c>
      <c r="Q322" s="269">
        <v>397.9</v>
      </c>
      <c r="R322" s="269">
        <v>62.87</v>
      </c>
      <c r="S322" s="270"/>
      <c r="T322" s="182">
        <f>43.6/397.9</f>
        <v>0.10957527016838403</v>
      </c>
      <c r="U322" s="182">
        <v>1</v>
      </c>
      <c r="V322" s="408">
        <v>1</v>
      </c>
      <c r="W322" s="357" t="s">
        <v>204</v>
      </c>
      <c r="X322" s="156">
        <v>180000000</v>
      </c>
      <c r="Y322" s="417">
        <v>180000000</v>
      </c>
      <c r="Z322" s="418" t="s">
        <v>359</v>
      </c>
      <c r="AA322" s="271"/>
      <c r="AB322" s="168"/>
      <c r="AC322" s="156"/>
      <c r="AD322" s="156"/>
      <c r="AE322" s="320"/>
      <c r="AF322" s="168"/>
      <c r="AG322" s="156"/>
      <c r="AH322" s="156"/>
      <c r="AI322" s="410"/>
    </row>
    <row r="323" spans="1:35" ht="19.5" hidden="1" customHeight="1">
      <c r="A323" s="137"/>
      <c r="B323" s="197">
        <f t="shared" si="5"/>
        <v>313</v>
      </c>
      <c r="C323" s="30" t="s">
        <v>206</v>
      </c>
      <c r="D323" s="30" t="s">
        <v>225</v>
      </c>
      <c r="E323" s="234" t="s">
        <v>791</v>
      </c>
      <c r="F323" s="235" t="s">
        <v>1251</v>
      </c>
      <c r="G323" s="284">
        <f>IFERROR(VLOOKUP(E323,Assign!$C$2:$J$142,8,FALSE),)</f>
        <v>0</v>
      </c>
      <c r="H323" s="197" t="s">
        <v>5271</v>
      </c>
      <c r="I323" s="324" t="s">
        <v>5272</v>
      </c>
      <c r="J323" s="237">
        <v>1</v>
      </c>
      <c r="K323" s="237">
        <v>1</v>
      </c>
      <c r="L323" s="265" t="s">
        <v>209</v>
      </c>
      <c r="M323" s="266" t="s">
        <v>231</v>
      </c>
      <c r="N323" s="266" t="s">
        <v>1488</v>
      </c>
      <c r="O323" s="267" t="s">
        <v>2758</v>
      </c>
      <c r="P323" s="268" t="s">
        <v>1622</v>
      </c>
      <c r="Q323" s="269">
        <v>2319</v>
      </c>
      <c r="R323" s="269">
        <f>59.28+19.29</f>
        <v>78.569999999999993</v>
      </c>
      <c r="S323" s="270"/>
      <c r="T323" s="182">
        <f>70.27/2319</f>
        <v>3.0301854247520483E-2</v>
      </c>
      <c r="U323" s="182">
        <v>1</v>
      </c>
      <c r="V323" s="408" t="s">
        <v>229</v>
      </c>
      <c r="W323" s="357" t="s">
        <v>204</v>
      </c>
      <c r="X323" s="156">
        <v>180000000</v>
      </c>
      <c r="Y323" s="417">
        <v>180000000</v>
      </c>
      <c r="Z323" s="418" t="s">
        <v>359</v>
      </c>
      <c r="AA323" s="271"/>
      <c r="AB323" s="168"/>
      <c r="AC323" s="156"/>
      <c r="AD323" s="156"/>
      <c r="AE323" s="320"/>
      <c r="AF323" s="168"/>
      <c r="AG323" s="156"/>
      <c r="AH323" s="156"/>
      <c r="AI323" s="410"/>
    </row>
    <row r="324" spans="1:35" ht="19.5" hidden="1" customHeight="1">
      <c r="A324" s="137"/>
      <c r="B324" s="197">
        <f t="shared" si="5"/>
        <v>314</v>
      </c>
      <c r="C324" s="30" t="s">
        <v>206</v>
      </c>
      <c r="D324" s="30" t="s">
        <v>225</v>
      </c>
      <c r="E324" s="234" t="s">
        <v>792</v>
      </c>
      <c r="F324" s="235" t="s">
        <v>1229</v>
      </c>
      <c r="G324" s="284">
        <f>IFERROR(VLOOKUP(E324,Assign!$C$2:$J$142,8,FALSE),)</f>
        <v>0</v>
      </c>
      <c r="H324" s="197" t="s">
        <v>4193</v>
      </c>
      <c r="I324" s="324" t="s">
        <v>4194</v>
      </c>
      <c r="J324" s="237">
        <v>1</v>
      </c>
      <c r="K324" s="237">
        <v>1</v>
      </c>
      <c r="L324" s="265" t="s">
        <v>210</v>
      </c>
      <c r="M324" s="266" t="s">
        <v>252</v>
      </c>
      <c r="N324" s="266" t="s">
        <v>1768</v>
      </c>
      <c r="O324" s="267" t="s">
        <v>1769</v>
      </c>
      <c r="P324" s="268" t="s">
        <v>434</v>
      </c>
      <c r="Q324" s="269">
        <v>86018.3</v>
      </c>
      <c r="R324" s="269">
        <v>59.914000000000001</v>
      </c>
      <c r="S324" s="270"/>
      <c r="T324" s="182">
        <f>37.3382/86018.3</f>
        <v>4.3407274963583331E-4</v>
      </c>
      <c r="U324" s="182">
        <v>1</v>
      </c>
      <c r="V324" s="408">
        <v>1</v>
      </c>
      <c r="W324" s="357" t="s">
        <v>204</v>
      </c>
      <c r="X324" s="156">
        <v>147400000</v>
      </c>
      <c r="Y324" s="417">
        <v>147400000</v>
      </c>
      <c r="Z324" s="418" t="s">
        <v>359</v>
      </c>
      <c r="AA324" s="271"/>
      <c r="AB324" s="168"/>
      <c r="AC324" s="156"/>
      <c r="AD324" s="156"/>
      <c r="AE324" s="320"/>
      <c r="AF324" s="168"/>
      <c r="AG324" s="156"/>
      <c r="AH324" s="156"/>
      <c r="AI324" s="410"/>
    </row>
    <row r="325" spans="1:35" ht="19.5" customHeight="1">
      <c r="A325" s="137"/>
      <c r="B325" s="197">
        <f t="shared" si="5"/>
        <v>315</v>
      </c>
      <c r="C325" s="30" t="s">
        <v>206</v>
      </c>
      <c r="D325" s="30" t="s">
        <v>225</v>
      </c>
      <c r="E325" s="234" t="s">
        <v>793</v>
      </c>
      <c r="F325" s="235" t="s">
        <v>1231</v>
      </c>
      <c r="G325" s="284" t="str">
        <f>IFERROR(VLOOKUP(E325,Assign!$C$2:$J$142,8,FALSE),)</f>
        <v>문선영</v>
      </c>
      <c r="H325" s="197" t="s">
        <v>4075</v>
      </c>
      <c r="I325" s="487" t="s">
        <v>4076</v>
      </c>
      <c r="J325" s="237">
        <v>1</v>
      </c>
      <c r="K325" s="237">
        <v>1</v>
      </c>
      <c r="L325" s="265" t="s">
        <v>208</v>
      </c>
      <c r="M325" s="266" t="s">
        <v>297</v>
      </c>
      <c r="N325" s="266" t="s">
        <v>1650</v>
      </c>
      <c r="O325" s="267" t="s">
        <v>1651</v>
      </c>
      <c r="P325" s="268" t="s">
        <v>3510</v>
      </c>
      <c r="Q325" s="269">
        <v>26276</v>
      </c>
      <c r="R325" s="269">
        <v>84.918400000000005</v>
      </c>
      <c r="S325" s="270"/>
      <c r="T325" s="182">
        <f>55.3167/26276</f>
        <v>2.1052176891459885E-3</v>
      </c>
      <c r="U325" s="182">
        <v>1</v>
      </c>
      <c r="V325" s="408">
        <v>1</v>
      </c>
      <c r="W325" s="357" t="s">
        <v>204</v>
      </c>
      <c r="X325" s="156">
        <v>177600000</v>
      </c>
      <c r="Y325" s="417">
        <v>177600000</v>
      </c>
      <c r="Z325" s="418" t="s">
        <v>359</v>
      </c>
      <c r="AA325" s="271"/>
      <c r="AB325" s="168"/>
      <c r="AC325" s="156"/>
      <c r="AD325" s="156"/>
      <c r="AE325" s="320"/>
      <c r="AF325" s="168"/>
      <c r="AG325" s="156"/>
      <c r="AH325" s="156"/>
      <c r="AI325" s="410"/>
    </row>
    <row r="326" spans="1:35" ht="19.5" hidden="1" customHeight="1">
      <c r="A326" s="137"/>
      <c r="B326" s="197">
        <f t="shared" si="5"/>
        <v>316</v>
      </c>
      <c r="C326" s="30" t="s">
        <v>206</v>
      </c>
      <c r="D326" s="30" t="s">
        <v>225</v>
      </c>
      <c r="E326" s="234" t="s">
        <v>794</v>
      </c>
      <c r="F326" s="235" t="s">
        <v>1223</v>
      </c>
      <c r="G326" s="284">
        <f>IFERROR(VLOOKUP(E326,Assign!$C$2:$J$142,8,FALSE),)</f>
        <v>0</v>
      </c>
      <c r="H326" s="197" t="s">
        <v>4501</v>
      </c>
      <c r="I326" s="324" t="s">
        <v>4502</v>
      </c>
      <c r="J326" s="237">
        <v>1</v>
      </c>
      <c r="K326" s="237">
        <v>1</v>
      </c>
      <c r="L326" s="265" t="s">
        <v>208</v>
      </c>
      <c r="M326" s="266" t="s">
        <v>228</v>
      </c>
      <c r="N326" s="266" t="s">
        <v>374</v>
      </c>
      <c r="O326" s="267" t="s">
        <v>2045</v>
      </c>
      <c r="P326" s="268" t="s">
        <v>431</v>
      </c>
      <c r="Q326" s="269">
        <v>40090.5</v>
      </c>
      <c r="R326" s="269">
        <v>83.557299999999998</v>
      </c>
      <c r="S326" s="270"/>
      <c r="T326" s="182">
        <f>74.1689/40090.5</f>
        <v>1.8500367917586458E-3</v>
      </c>
      <c r="U326" s="182">
        <v>1</v>
      </c>
      <c r="V326" s="408">
        <v>1</v>
      </c>
      <c r="W326" s="357" t="s">
        <v>204</v>
      </c>
      <c r="X326" s="156">
        <v>223200000</v>
      </c>
      <c r="Y326" s="417">
        <v>223200000</v>
      </c>
      <c r="Z326" s="418" t="s">
        <v>359</v>
      </c>
      <c r="AA326" s="271"/>
      <c r="AB326" s="168"/>
      <c r="AC326" s="156"/>
      <c r="AD326" s="156"/>
      <c r="AE326" s="320"/>
      <c r="AF326" s="168"/>
      <c r="AG326" s="156"/>
      <c r="AH326" s="156"/>
      <c r="AI326" s="410"/>
    </row>
    <row r="327" spans="1:35" ht="19.5" customHeight="1">
      <c r="A327" s="137"/>
      <c r="B327" s="197">
        <f t="shared" si="5"/>
        <v>317</v>
      </c>
      <c r="C327" s="30" t="s">
        <v>206</v>
      </c>
      <c r="D327" s="30" t="s">
        <v>225</v>
      </c>
      <c r="E327" s="234" t="s">
        <v>795</v>
      </c>
      <c r="F327" s="235" t="s">
        <v>1252</v>
      </c>
      <c r="G327" s="284" t="str">
        <f>IFERROR(VLOOKUP(E327,Assign!$C$2:$J$142,8,FALSE),)</f>
        <v>문선영</v>
      </c>
      <c r="H327" s="197" t="s">
        <v>4579</v>
      </c>
      <c r="I327" s="324" t="s">
        <v>4580</v>
      </c>
      <c r="J327" s="237">
        <v>1</v>
      </c>
      <c r="K327" s="237">
        <v>1</v>
      </c>
      <c r="L327" s="265" t="s">
        <v>224</v>
      </c>
      <c r="M327" s="266" t="s">
        <v>428</v>
      </c>
      <c r="N327" s="266" t="s">
        <v>2116</v>
      </c>
      <c r="O327" s="267" t="s">
        <v>2117</v>
      </c>
      <c r="P327" s="268" t="s">
        <v>450</v>
      </c>
      <c r="Q327" s="269">
        <v>120.3</v>
      </c>
      <c r="R327" s="269"/>
      <c r="S327" s="270" t="s">
        <v>335</v>
      </c>
      <c r="T327" s="182"/>
      <c r="U327" s="182">
        <v>1</v>
      </c>
      <c r="V327" s="408">
        <v>1</v>
      </c>
      <c r="W327" s="357" t="s">
        <v>204</v>
      </c>
      <c r="X327" s="156">
        <v>156000000</v>
      </c>
      <c r="Y327" s="417">
        <v>156000000</v>
      </c>
      <c r="Z327" s="418" t="s">
        <v>359</v>
      </c>
      <c r="AA327" s="271"/>
      <c r="AB327" s="168"/>
      <c r="AC327" s="156"/>
      <c r="AD327" s="156"/>
      <c r="AE327" s="320"/>
      <c r="AF327" s="168"/>
      <c r="AG327" s="156"/>
      <c r="AH327" s="156"/>
      <c r="AI327" s="410"/>
    </row>
    <row r="328" spans="1:35" ht="19.5" hidden="1" customHeight="1">
      <c r="A328" s="137"/>
      <c r="B328" s="197">
        <f t="shared" si="5"/>
        <v>318</v>
      </c>
      <c r="C328" s="30" t="s">
        <v>206</v>
      </c>
      <c r="D328" s="30" t="s">
        <v>225</v>
      </c>
      <c r="E328" s="234" t="s">
        <v>796</v>
      </c>
      <c r="F328" s="235" t="s">
        <v>1231</v>
      </c>
      <c r="G328" s="284">
        <f>IFERROR(VLOOKUP(E328,Assign!$C$2:$J$142,8,FALSE),)</f>
        <v>0</v>
      </c>
      <c r="H328" s="197" t="s">
        <v>4127</v>
      </c>
      <c r="I328" s="324" t="s">
        <v>4128</v>
      </c>
      <c r="J328" s="237">
        <v>1</v>
      </c>
      <c r="K328" s="237">
        <v>1</v>
      </c>
      <c r="L328" s="265" t="s">
        <v>208</v>
      </c>
      <c r="M328" s="266" t="s">
        <v>1703</v>
      </c>
      <c r="N328" s="266" t="s">
        <v>1704</v>
      </c>
      <c r="O328" s="267" t="s">
        <v>1705</v>
      </c>
      <c r="P328" s="268" t="s">
        <v>482</v>
      </c>
      <c r="Q328" s="269"/>
      <c r="R328" s="269">
        <f>118.84+38.97</f>
        <v>157.81</v>
      </c>
      <c r="S328" s="270"/>
      <c r="T328" s="182"/>
      <c r="U328" s="182">
        <v>1</v>
      </c>
      <c r="V328" s="408">
        <v>1</v>
      </c>
      <c r="W328" s="357" t="s">
        <v>204</v>
      </c>
      <c r="X328" s="156">
        <v>177600000</v>
      </c>
      <c r="Y328" s="417">
        <v>177600000</v>
      </c>
      <c r="Z328" s="418" t="s">
        <v>359</v>
      </c>
      <c r="AA328" s="271"/>
      <c r="AB328" s="168"/>
      <c r="AC328" s="156"/>
      <c r="AD328" s="156"/>
      <c r="AE328" s="320"/>
      <c r="AF328" s="168"/>
      <c r="AG328" s="156"/>
      <c r="AH328" s="156"/>
      <c r="AI328" s="410"/>
    </row>
    <row r="329" spans="1:35" ht="19.5" hidden="1" customHeight="1">
      <c r="A329" s="137"/>
      <c r="B329" s="197">
        <f t="shared" si="5"/>
        <v>319</v>
      </c>
      <c r="C329" s="30" t="s">
        <v>206</v>
      </c>
      <c r="D329" s="30" t="s">
        <v>225</v>
      </c>
      <c r="E329" s="234" t="s">
        <v>796</v>
      </c>
      <c r="F329" s="235" t="s">
        <v>1231</v>
      </c>
      <c r="G329" s="284">
        <f>IFERROR(VLOOKUP(E329,Assign!$C$2:$J$142,8,FALSE),)</f>
        <v>0</v>
      </c>
      <c r="H329" s="197" t="s">
        <v>4127</v>
      </c>
      <c r="I329" s="324" t="s">
        <v>4129</v>
      </c>
      <c r="J329" s="237">
        <v>1</v>
      </c>
      <c r="K329" s="237">
        <v>2</v>
      </c>
      <c r="L329" s="265" t="s">
        <v>208</v>
      </c>
      <c r="M329" s="266" t="s">
        <v>1703</v>
      </c>
      <c r="N329" s="266" t="s">
        <v>1704</v>
      </c>
      <c r="O329" s="267" t="s">
        <v>1705</v>
      </c>
      <c r="P329" s="268" t="s">
        <v>450</v>
      </c>
      <c r="Q329" s="269">
        <v>736</v>
      </c>
      <c r="R329" s="269"/>
      <c r="S329" s="270"/>
      <c r="T329" s="182"/>
      <c r="U329" s="182">
        <v>1</v>
      </c>
      <c r="V329" s="408">
        <v>1</v>
      </c>
      <c r="W329" s="357" t="s">
        <v>204</v>
      </c>
      <c r="X329" s="156">
        <v>177600000</v>
      </c>
      <c r="Y329" s="417">
        <v>177600000</v>
      </c>
      <c r="Z329" s="418" t="s">
        <v>359</v>
      </c>
      <c r="AA329" s="271"/>
      <c r="AB329" s="168"/>
      <c r="AC329" s="156"/>
      <c r="AD329" s="156"/>
      <c r="AE329" s="320"/>
      <c r="AF329" s="168"/>
      <c r="AG329" s="156"/>
      <c r="AH329" s="156"/>
      <c r="AI329" s="410"/>
    </row>
    <row r="330" spans="1:35" ht="19.5" hidden="1" customHeight="1">
      <c r="A330" s="137"/>
      <c r="B330" s="197">
        <f t="shared" si="5"/>
        <v>320</v>
      </c>
      <c r="C330" s="30" t="s">
        <v>206</v>
      </c>
      <c r="D330" s="30" t="s">
        <v>225</v>
      </c>
      <c r="E330" s="234" t="s">
        <v>797</v>
      </c>
      <c r="F330" s="235" t="s">
        <v>1253</v>
      </c>
      <c r="G330" s="284">
        <f>IFERROR(VLOOKUP(E330,Assign!$C$2:$J$142,8,FALSE),)</f>
        <v>0</v>
      </c>
      <c r="H330" s="197" t="s">
        <v>4058</v>
      </c>
      <c r="I330" s="324" t="s">
        <v>4059</v>
      </c>
      <c r="J330" s="237">
        <v>1</v>
      </c>
      <c r="K330" s="237">
        <v>1</v>
      </c>
      <c r="L330" s="265" t="s">
        <v>208</v>
      </c>
      <c r="M330" s="266" t="s">
        <v>254</v>
      </c>
      <c r="N330" s="266" t="s">
        <v>1632</v>
      </c>
      <c r="O330" s="267" t="s">
        <v>1633</v>
      </c>
      <c r="P330" s="268" t="s">
        <v>1634</v>
      </c>
      <c r="Q330" s="269">
        <v>853.8</v>
      </c>
      <c r="R330" s="269">
        <v>47.89</v>
      </c>
      <c r="S330" s="270"/>
      <c r="T330" s="182">
        <f>13.7219/853.8</f>
        <v>1.6071562426797845E-2</v>
      </c>
      <c r="U330" s="182">
        <v>1</v>
      </c>
      <c r="V330" s="408">
        <v>1</v>
      </c>
      <c r="W330" s="357" t="s">
        <v>204</v>
      </c>
      <c r="X330" s="156">
        <v>143000000</v>
      </c>
      <c r="Y330" s="417">
        <v>143000000</v>
      </c>
      <c r="Z330" s="418" t="s">
        <v>359</v>
      </c>
      <c r="AA330" s="271"/>
      <c r="AB330" s="168"/>
      <c r="AC330" s="156"/>
      <c r="AD330" s="156"/>
      <c r="AE330" s="320"/>
      <c r="AF330" s="168"/>
      <c r="AG330" s="156"/>
      <c r="AH330" s="156"/>
      <c r="AI330" s="410"/>
    </row>
    <row r="331" spans="1:35" ht="19.5" customHeight="1">
      <c r="A331" s="137"/>
      <c r="B331" s="197">
        <f t="shared" ref="B331:B394" si="6">ROW()-10</f>
        <v>321</v>
      </c>
      <c r="C331" s="30" t="s">
        <v>206</v>
      </c>
      <c r="D331" s="30" t="s">
        <v>225</v>
      </c>
      <c r="E331" s="234" t="s">
        <v>798</v>
      </c>
      <c r="F331" s="235" t="s">
        <v>1231</v>
      </c>
      <c r="G331" s="284" t="str">
        <f>IFERROR(VLOOKUP(E331,Assign!$C$2:$J$142,8,FALSE),)</f>
        <v>문선영</v>
      </c>
      <c r="H331" s="197" t="s">
        <v>4209</v>
      </c>
      <c r="I331" s="487" t="s">
        <v>4210</v>
      </c>
      <c r="J331" s="237">
        <v>1</v>
      </c>
      <c r="K331" s="237">
        <v>1</v>
      </c>
      <c r="L331" s="265" t="s">
        <v>214</v>
      </c>
      <c r="M331" s="266" t="s">
        <v>338</v>
      </c>
      <c r="N331" s="266" t="s">
        <v>1787</v>
      </c>
      <c r="O331" s="267" t="s">
        <v>1788</v>
      </c>
      <c r="P331" s="268" t="s">
        <v>437</v>
      </c>
      <c r="Q331" s="269">
        <v>16267.5</v>
      </c>
      <c r="R331" s="269">
        <v>84.898300000000006</v>
      </c>
      <c r="S331" s="270"/>
      <c r="T331" s="182">
        <f>55.336/16267.5</f>
        <v>3.4016290149070233E-3</v>
      </c>
      <c r="U331" s="182">
        <v>1</v>
      </c>
      <c r="V331" s="408">
        <v>1</v>
      </c>
      <c r="W331" s="357" t="s">
        <v>204</v>
      </c>
      <c r="X331" s="156">
        <v>142670000</v>
      </c>
      <c r="Y331" s="417">
        <v>142670000</v>
      </c>
      <c r="Z331" s="418" t="s">
        <v>359</v>
      </c>
      <c r="AA331" s="271"/>
      <c r="AB331" s="168"/>
      <c r="AC331" s="156"/>
      <c r="AD331" s="156"/>
      <c r="AE331" s="320"/>
      <c r="AF331" s="168"/>
      <c r="AG331" s="156"/>
      <c r="AH331" s="156"/>
      <c r="AI331" s="410"/>
    </row>
    <row r="332" spans="1:35" ht="19.5" hidden="1" customHeight="1">
      <c r="A332" s="137"/>
      <c r="B332" s="197">
        <f t="shared" si="6"/>
        <v>322</v>
      </c>
      <c r="C332" s="30" t="s">
        <v>206</v>
      </c>
      <c r="D332" s="30" t="s">
        <v>225</v>
      </c>
      <c r="E332" s="234" t="s">
        <v>799</v>
      </c>
      <c r="F332" s="235" t="s">
        <v>1229</v>
      </c>
      <c r="G332" s="284">
        <f>IFERROR(VLOOKUP(E332,Assign!$C$2:$J$142,8,FALSE),)</f>
        <v>0</v>
      </c>
      <c r="H332" s="197" t="s">
        <v>4959</v>
      </c>
      <c r="I332" s="324" t="s">
        <v>4960</v>
      </c>
      <c r="J332" s="237">
        <v>1</v>
      </c>
      <c r="K332" s="237">
        <v>1</v>
      </c>
      <c r="L332" s="265" t="s">
        <v>212</v>
      </c>
      <c r="M332" s="266" t="s">
        <v>232</v>
      </c>
      <c r="N332" s="266" t="s">
        <v>2478</v>
      </c>
      <c r="O332" s="267" t="s">
        <v>2479</v>
      </c>
      <c r="P332" s="268" t="s">
        <v>431</v>
      </c>
      <c r="Q332" s="269">
        <f>7157.1+7191+7166</f>
        <v>21514.1</v>
      </c>
      <c r="R332" s="269">
        <v>84.06</v>
      </c>
      <c r="S332" s="270"/>
      <c r="T332" s="182">
        <f>28.675/21514.1</f>
        <v>1.3328468306831336E-3</v>
      </c>
      <c r="U332" s="182">
        <v>1</v>
      </c>
      <c r="V332" s="408">
        <v>1</v>
      </c>
      <c r="W332" s="357" t="s">
        <v>204</v>
      </c>
      <c r="X332" s="156">
        <v>171600000</v>
      </c>
      <c r="Y332" s="417">
        <v>171600000</v>
      </c>
      <c r="Z332" s="418" t="s">
        <v>359</v>
      </c>
      <c r="AA332" s="271"/>
      <c r="AB332" s="168"/>
      <c r="AC332" s="156"/>
      <c r="AD332" s="156"/>
      <c r="AE332" s="320"/>
      <c r="AF332" s="168"/>
      <c r="AG332" s="156"/>
      <c r="AH332" s="156"/>
      <c r="AI332" s="410"/>
    </row>
    <row r="333" spans="1:35" ht="19.5" hidden="1" customHeight="1">
      <c r="A333" s="137"/>
      <c r="B333" s="197">
        <f t="shared" si="6"/>
        <v>323</v>
      </c>
      <c r="C333" s="30" t="s">
        <v>206</v>
      </c>
      <c r="D333" s="30" t="s">
        <v>225</v>
      </c>
      <c r="E333" s="234" t="s">
        <v>800</v>
      </c>
      <c r="F333" s="235" t="s">
        <v>1226</v>
      </c>
      <c r="G333" s="284">
        <f>IFERROR(VLOOKUP(E333,Assign!$C$2:$J$142,8,FALSE),)</f>
        <v>0</v>
      </c>
      <c r="H333" s="197" t="s">
        <v>4374</v>
      </c>
      <c r="I333" s="324" t="s">
        <v>4375</v>
      </c>
      <c r="J333" s="237">
        <v>1</v>
      </c>
      <c r="K333" s="237">
        <v>1</v>
      </c>
      <c r="L333" s="265" t="s">
        <v>209</v>
      </c>
      <c r="M333" s="266" t="s">
        <v>319</v>
      </c>
      <c r="N333" s="266" t="s">
        <v>1928</v>
      </c>
      <c r="O333" s="267" t="s">
        <v>1929</v>
      </c>
      <c r="P333" s="268" t="s">
        <v>1930</v>
      </c>
      <c r="Q333" s="269">
        <v>955</v>
      </c>
      <c r="R333" s="269">
        <v>59.24</v>
      </c>
      <c r="S333" s="270"/>
      <c r="T333" s="182">
        <f>34.12/955</f>
        <v>3.5727748691099473E-2</v>
      </c>
      <c r="U333" s="182">
        <v>1</v>
      </c>
      <c r="V333" s="408">
        <v>1</v>
      </c>
      <c r="W333" s="357" t="s">
        <v>204</v>
      </c>
      <c r="X333" s="156">
        <v>145200000</v>
      </c>
      <c r="Y333" s="417">
        <v>145200000</v>
      </c>
      <c r="Z333" s="418" t="s">
        <v>359</v>
      </c>
      <c r="AA333" s="271"/>
      <c r="AB333" s="168"/>
      <c r="AC333" s="156"/>
      <c r="AD333" s="156"/>
      <c r="AE333" s="320"/>
      <c r="AF333" s="168"/>
      <c r="AG333" s="156"/>
      <c r="AH333" s="156"/>
      <c r="AI333" s="410"/>
    </row>
    <row r="334" spans="1:35" ht="19.5" hidden="1" customHeight="1">
      <c r="A334" s="137"/>
      <c r="B334" s="197">
        <f t="shared" si="6"/>
        <v>324</v>
      </c>
      <c r="C334" s="30" t="s">
        <v>206</v>
      </c>
      <c r="D334" s="30" t="s">
        <v>225</v>
      </c>
      <c r="E334" s="234" t="s">
        <v>801</v>
      </c>
      <c r="F334" s="235" t="s">
        <v>1254</v>
      </c>
      <c r="G334" s="284">
        <f>IFERROR(VLOOKUP(E334,Assign!$C$2:$J$142,8,FALSE),)</f>
        <v>0</v>
      </c>
      <c r="H334" s="197" t="s">
        <v>4886</v>
      </c>
      <c r="I334" s="324" t="s">
        <v>4887</v>
      </c>
      <c r="J334" s="237">
        <v>1</v>
      </c>
      <c r="K334" s="237">
        <v>1</v>
      </c>
      <c r="L334" s="265" t="s">
        <v>208</v>
      </c>
      <c r="M334" s="266" t="s">
        <v>269</v>
      </c>
      <c r="N334" s="266" t="s">
        <v>2407</v>
      </c>
      <c r="O334" s="267" t="s">
        <v>2408</v>
      </c>
      <c r="P334" s="268" t="s">
        <v>2409</v>
      </c>
      <c r="Q334" s="269">
        <v>668.5</v>
      </c>
      <c r="R334" s="269">
        <v>46.31</v>
      </c>
      <c r="S334" s="270"/>
      <c r="T334" s="182">
        <f>35.5793/668.5</f>
        <v>5.322258788332087E-2</v>
      </c>
      <c r="U334" s="182">
        <v>1</v>
      </c>
      <c r="V334" s="408">
        <v>1</v>
      </c>
      <c r="W334" s="357" t="s">
        <v>204</v>
      </c>
      <c r="X334" s="156">
        <v>168000000</v>
      </c>
      <c r="Y334" s="417">
        <v>168000000</v>
      </c>
      <c r="Z334" s="418" t="s">
        <v>359</v>
      </c>
      <c r="AA334" s="271"/>
      <c r="AB334" s="168"/>
      <c r="AC334" s="156"/>
      <c r="AD334" s="156"/>
      <c r="AE334" s="320"/>
      <c r="AF334" s="168"/>
      <c r="AG334" s="156"/>
      <c r="AH334" s="156"/>
      <c r="AI334" s="410"/>
    </row>
    <row r="335" spans="1:35" ht="19.5" hidden="1" customHeight="1">
      <c r="A335" s="137"/>
      <c r="B335" s="197">
        <f t="shared" si="6"/>
        <v>325</v>
      </c>
      <c r="C335" s="30" t="s">
        <v>206</v>
      </c>
      <c r="D335" s="30" t="s">
        <v>225</v>
      </c>
      <c r="E335" s="234" t="s">
        <v>802</v>
      </c>
      <c r="F335" s="235" t="s">
        <v>1217</v>
      </c>
      <c r="G335" s="284">
        <f>IFERROR(VLOOKUP(E335,Assign!$C$2:$J$142,8,FALSE),)</f>
        <v>0</v>
      </c>
      <c r="H335" s="197" t="s">
        <v>4328</v>
      </c>
      <c r="I335" s="324" t="s">
        <v>4329</v>
      </c>
      <c r="J335" s="237">
        <v>1</v>
      </c>
      <c r="K335" s="237">
        <v>1</v>
      </c>
      <c r="L335" s="265" t="s">
        <v>208</v>
      </c>
      <c r="M335" s="266" t="s">
        <v>261</v>
      </c>
      <c r="N335" s="266" t="s">
        <v>392</v>
      </c>
      <c r="O335" s="267" t="s">
        <v>1890</v>
      </c>
      <c r="P335" s="268" t="s">
        <v>1891</v>
      </c>
      <c r="Q335" s="269">
        <f>311+932</f>
        <v>1243</v>
      </c>
      <c r="R335" s="269">
        <v>66.845500000000001</v>
      </c>
      <c r="S335" s="270"/>
      <c r="T335" s="182">
        <f>37.7985/1243</f>
        <v>3.0409090909090906E-2</v>
      </c>
      <c r="U335" s="182">
        <v>1</v>
      </c>
      <c r="V335" s="408">
        <v>1</v>
      </c>
      <c r="W335" s="357" t="s">
        <v>204</v>
      </c>
      <c r="X335" s="156">
        <v>162000000</v>
      </c>
      <c r="Y335" s="417">
        <v>162000000</v>
      </c>
      <c r="Z335" s="418" t="s">
        <v>359</v>
      </c>
      <c r="AA335" s="271"/>
      <c r="AB335" s="168"/>
      <c r="AC335" s="156"/>
      <c r="AD335" s="156"/>
      <c r="AE335" s="320"/>
      <c r="AF335" s="168"/>
      <c r="AG335" s="156"/>
      <c r="AH335" s="156"/>
      <c r="AI335" s="410"/>
    </row>
    <row r="336" spans="1:35" ht="19.5" hidden="1" customHeight="1">
      <c r="A336" s="137"/>
      <c r="B336" s="197">
        <f t="shared" si="6"/>
        <v>326</v>
      </c>
      <c r="C336" s="30" t="s">
        <v>206</v>
      </c>
      <c r="D336" s="30" t="s">
        <v>225</v>
      </c>
      <c r="E336" s="234" t="s">
        <v>803</v>
      </c>
      <c r="F336" s="235" t="s">
        <v>1319</v>
      </c>
      <c r="G336" s="284">
        <f>IFERROR(VLOOKUP(E336,Assign!$C$2:$J$142,8,FALSE),)</f>
        <v>0</v>
      </c>
      <c r="H336" s="197" t="s">
        <v>5286</v>
      </c>
      <c r="I336" s="324" t="s">
        <v>5287</v>
      </c>
      <c r="J336" s="237">
        <v>1</v>
      </c>
      <c r="K336" s="237">
        <v>1</v>
      </c>
      <c r="L336" s="265" t="s">
        <v>208</v>
      </c>
      <c r="M336" s="266" t="s">
        <v>280</v>
      </c>
      <c r="N336" s="266" t="s">
        <v>290</v>
      </c>
      <c r="O336" s="267" t="s">
        <v>2773</v>
      </c>
      <c r="P336" s="268" t="s">
        <v>3540</v>
      </c>
      <c r="Q336" s="269">
        <v>35576.6</v>
      </c>
      <c r="R336" s="269">
        <v>122.61</v>
      </c>
      <c r="S336" s="270"/>
      <c r="T336" s="182">
        <f>79.68/35576.6</f>
        <v>2.2396743927188098E-3</v>
      </c>
      <c r="U336" s="182">
        <v>1</v>
      </c>
      <c r="V336" s="408">
        <v>2</v>
      </c>
      <c r="W336" s="357" t="s">
        <v>204</v>
      </c>
      <c r="X336" s="156">
        <v>180000000</v>
      </c>
      <c r="Y336" s="417">
        <v>180000000</v>
      </c>
      <c r="Z336" s="418" t="s">
        <v>359</v>
      </c>
      <c r="AA336" s="271">
        <v>1</v>
      </c>
      <c r="AB336" s="168" t="s">
        <v>204</v>
      </c>
      <c r="AC336" s="156">
        <v>198000000</v>
      </c>
      <c r="AD336" s="156">
        <v>198000000</v>
      </c>
      <c r="AE336" s="320"/>
      <c r="AF336" s="168"/>
      <c r="AG336" s="156"/>
      <c r="AH336" s="156"/>
      <c r="AI336" s="410"/>
    </row>
    <row r="337" spans="1:35" ht="19.5" hidden="1" customHeight="1">
      <c r="A337" s="137"/>
      <c r="B337" s="197">
        <f t="shared" si="6"/>
        <v>327</v>
      </c>
      <c r="C337" s="30" t="s">
        <v>206</v>
      </c>
      <c r="D337" s="30" t="s">
        <v>225</v>
      </c>
      <c r="E337" s="234" t="s">
        <v>804</v>
      </c>
      <c r="F337" s="235" t="s">
        <v>1225</v>
      </c>
      <c r="G337" s="284">
        <f>IFERROR(VLOOKUP(E337,Assign!$C$2:$J$142,8,FALSE),)</f>
        <v>0</v>
      </c>
      <c r="H337" s="197" t="s">
        <v>5220</v>
      </c>
      <c r="I337" s="324" t="s">
        <v>5221</v>
      </c>
      <c r="J337" s="237">
        <v>1</v>
      </c>
      <c r="K337" s="237">
        <v>1</v>
      </c>
      <c r="L337" s="265" t="s">
        <v>208</v>
      </c>
      <c r="M337" s="266" t="s">
        <v>316</v>
      </c>
      <c r="N337" s="266" t="s">
        <v>2712</v>
      </c>
      <c r="O337" s="267" t="s">
        <v>2713</v>
      </c>
      <c r="P337" s="268" t="s">
        <v>3527</v>
      </c>
      <c r="Q337" s="269">
        <v>540</v>
      </c>
      <c r="R337" s="269">
        <v>58.2</v>
      </c>
      <c r="S337" s="270"/>
      <c r="T337" s="182">
        <f>67.5/540</f>
        <v>0.125</v>
      </c>
      <c r="U337" s="182">
        <v>1</v>
      </c>
      <c r="V337" s="408">
        <v>1</v>
      </c>
      <c r="W337" s="357" t="s">
        <v>204</v>
      </c>
      <c r="X337" s="156">
        <v>162000000</v>
      </c>
      <c r="Y337" s="417">
        <v>162000000</v>
      </c>
      <c r="Z337" s="418" t="s">
        <v>359</v>
      </c>
      <c r="AA337" s="271"/>
      <c r="AB337" s="168"/>
      <c r="AC337" s="156"/>
      <c r="AD337" s="156"/>
      <c r="AE337" s="320"/>
      <c r="AF337" s="168"/>
      <c r="AG337" s="156"/>
      <c r="AH337" s="156"/>
      <c r="AI337" s="410"/>
    </row>
    <row r="338" spans="1:35" ht="19.5" hidden="1" customHeight="1">
      <c r="A338" s="137"/>
      <c r="B338" s="197">
        <f t="shared" si="6"/>
        <v>328</v>
      </c>
      <c r="C338" s="30" t="s">
        <v>206</v>
      </c>
      <c r="D338" s="30" t="s">
        <v>225</v>
      </c>
      <c r="E338" s="234" t="s">
        <v>805</v>
      </c>
      <c r="F338" s="235" t="s">
        <v>1231</v>
      </c>
      <c r="G338" s="284">
        <f>IFERROR(VLOOKUP(E338,Assign!$C$2:$J$142,8,FALSE),)</f>
        <v>0</v>
      </c>
      <c r="H338" s="197" t="s">
        <v>4175</v>
      </c>
      <c r="I338" s="324" t="s">
        <v>4176</v>
      </c>
      <c r="J338" s="237">
        <v>1</v>
      </c>
      <c r="K338" s="237">
        <v>1</v>
      </c>
      <c r="L338" s="265" t="s">
        <v>208</v>
      </c>
      <c r="M338" s="266" t="s">
        <v>365</v>
      </c>
      <c r="N338" s="266" t="s">
        <v>1750</v>
      </c>
      <c r="O338" s="267" t="s">
        <v>1751</v>
      </c>
      <c r="P338" s="268" t="s">
        <v>440</v>
      </c>
      <c r="Q338" s="269">
        <v>197.3</v>
      </c>
      <c r="R338" s="269">
        <v>39.44</v>
      </c>
      <c r="S338" s="270"/>
      <c r="T338" s="182">
        <f>25.115/197.3</f>
        <v>0.12729346173340089</v>
      </c>
      <c r="U338" s="182">
        <v>1</v>
      </c>
      <c r="V338" s="408">
        <v>1</v>
      </c>
      <c r="W338" s="357" t="s">
        <v>204</v>
      </c>
      <c r="X338" s="156">
        <v>159600000</v>
      </c>
      <c r="Y338" s="417">
        <v>159600000</v>
      </c>
      <c r="Z338" s="418" t="s">
        <v>359</v>
      </c>
      <c r="AA338" s="271"/>
      <c r="AB338" s="168"/>
      <c r="AC338" s="156"/>
      <c r="AD338" s="156"/>
      <c r="AE338" s="320"/>
      <c r="AF338" s="168"/>
      <c r="AG338" s="156"/>
      <c r="AH338" s="156"/>
      <c r="AI338" s="410"/>
    </row>
    <row r="339" spans="1:35" ht="19.5" hidden="1" customHeight="1">
      <c r="A339" s="137"/>
      <c r="B339" s="197">
        <f t="shared" si="6"/>
        <v>329</v>
      </c>
      <c r="C339" s="30" t="s">
        <v>206</v>
      </c>
      <c r="D339" s="30" t="s">
        <v>225</v>
      </c>
      <c r="E339" s="234" t="s">
        <v>806</v>
      </c>
      <c r="F339" s="235" t="s">
        <v>1229</v>
      </c>
      <c r="G339" s="284">
        <f>IFERROR(VLOOKUP(E339,Assign!$C$2:$J$142,8,FALSE),)</f>
        <v>0</v>
      </c>
      <c r="H339" s="197" t="s">
        <v>4073</v>
      </c>
      <c r="I339" s="324" t="s">
        <v>4074</v>
      </c>
      <c r="J339" s="237">
        <v>1</v>
      </c>
      <c r="K339" s="237">
        <v>1</v>
      </c>
      <c r="L339" s="265" t="s">
        <v>208</v>
      </c>
      <c r="M339" s="266" t="s">
        <v>316</v>
      </c>
      <c r="N339" s="266" t="s">
        <v>1648</v>
      </c>
      <c r="O339" s="267" t="s">
        <v>1649</v>
      </c>
      <c r="P339" s="268" t="s">
        <v>1463</v>
      </c>
      <c r="Q339" s="269">
        <f>553+313</f>
        <v>866</v>
      </c>
      <c r="R339" s="269">
        <v>76.2</v>
      </c>
      <c r="S339" s="270"/>
      <c r="T339" s="182">
        <f>88.042/866</f>
        <v>0.10166512702078521</v>
      </c>
      <c r="U339" s="182">
        <v>1</v>
      </c>
      <c r="V339" s="408">
        <v>1</v>
      </c>
      <c r="W339" s="357" t="s">
        <v>204</v>
      </c>
      <c r="X339" s="156">
        <v>163800000</v>
      </c>
      <c r="Y339" s="417">
        <v>163800000</v>
      </c>
      <c r="Z339" s="418" t="s">
        <v>359</v>
      </c>
      <c r="AA339" s="271"/>
      <c r="AB339" s="168"/>
      <c r="AC339" s="156"/>
      <c r="AD339" s="156"/>
      <c r="AE339" s="320"/>
      <c r="AF339" s="168"/>
      <c r="AG339" s="156"/>
      <c r="AH339" s="156"/>
      <c r="AI339" s="410"/>
    </row>
    <row r="340" spans="1:35" ht="19.5" hidden="1" customHeight="1">
      <c r="A340" s="137"/>
      <c r="B340" s="197">
        <f t="shared" si="6"/>
        <v>330</v>
      </c>
      <c r="C340" s="30" t="s">
        <v>206</v>
      </c>
      <c r="D340" s="30" t="s">
        <v>225</v>
      </c>
      <c r="E340" s="234" t="s">
        <v>807</v>
      </c>
      <c r="F340" s="235" t="s">
        <v>1229</v>
      </c>
      <c r="G340" s="284">
        <f>IFERROR(VLOOKUP(E340,Assign!$C$2:$J$142,8,FALSE),)</f>
        <v>0</v>
      </c>
      <c r="H340" s="197" t="s">
        <v>5372</v>
      </c>
      <c r="I340" s="324" t="s">
        <v>5373</v>
      </c>
      <c r="J340" s="237">
        <v>1</v>
      </c>
      <c r="K340" s="237">
        <v>1</v>
      </c>
      <c r="L340" s="265" t="s">
        <v>208</v>
      </c>
      <c r="M340" s="266" t="s">
        <v>316</v>
      </c>
      <c r="N340" s="266" t="s">
        <v>2847</v>
      </c>
      <c r="O340" s="267" t="s">
        <v>2848</v>
      </c>
      <c r="P340" s="268" t="s">
        <v>1463</v>
      </c>
      <c r="Q340" s="269">
        <v>549</v>
      </c>
      <c r="R340" s="269">
        <v>64.3</v>
      </c>
      <c r="S340" s="270"/>
      <c r="T340" s="182">
        <f>70.94/549</f>
        <v>0.12921675774134789</v>
      </c>
      <c r="U340" s="182">
        <v>1</v>
      </c>
      <c r="V340" s="408">
        <v>1</v>
      </c>
      <c r="W340" s="357" t="s">
        <v>204</v>
      </c>
      <c r="X340" s="156">
        <v>132000000</v>
      </c>
      <c r="Y340" s="417">
        <v>132000000</v>
      </c>
      <c r="Z340" s="418" t="s">
        <v>359</v>
      </c>
      <c r="AA340" s="271"/>
      <c r="AB340" s="168"/>
      <c r="AC340" s="156"/>
      <c r="AD340" s="156"/>
      <c r="AE340" s="320"/>
      <c r="AF340" s="168"/>
      <c r="AG340" s="156"/>
      <c r="AH340" s="156"/>
      <c r="AI340" s="410"/>
    </row>
    <row r="341" spans="1:35" ht="19.5" customHeight="1">
      <c r="A341" s="137"/>
      <c r="B341" s="197">
        <f t="shared" si="6"/>
        <v>331</v>
      </c>
      <c r="C341" s="30" t="s">
        <v>206</v>
      </c>
      <c r="D341" s="30" t="s">
        <v>225</v>
      </c>
      <c r="E341" s="234" t="s">
        <v>808</v>
      </c>
      <c r="F341" s="235" t="s">
        <v>1225</v>
      </c>
      <c r="G341" s="284" t="str">
        <f>IFERROR(VLOOKUP(E341,Assign!$C$2:$J$142,8,FALSE),)</f>
        <v>문선영</v>
      </c>
      <c r="H341" s="197" t="s">
        <v>4646</v>
      </c>
      <c r="I341" s="324" t="s">
        <v>4647</v>
      </c>
      <c r="J341" s="237">
        <v>1</v>
      </c>
      <c r="K341" s="237">
        <v>1</v>
      </c>
      <c r="L341" s="265" t="s">
        <v>216</v>
      </c>
      <c r="M341" s="266" t="s">
        <v>294</v>
      </c>
      <c r="N341" s="266" t="s">
        <v>2179</v>
      </c>
      <c r="O341" s="267" t="s">
        <v>2180</v>
      </c>
      <c r="P341" s="268" t="s">
        <v>472</v>
      </c>
      <c r="Q341" s="269">
        <v>26555</v>
      </c>
      <c r="R341" s="269">
        <v>112.6387</v>
      </c>
      <c r="S341" s="270"/>
      <c r="T341" s="182">
        <f>102.4637/26555</f>
        <v>3.8585464131048767E-3</v>
      </c>
      <c r="U341" s="182">
        <v>1</v>
      </c>
      <c r="V341" s="408">
        <v>1</v>
      </c>
      <c r="W341" s="357" t="s">
        <v>204</v>
      </c>
      <c r="X341" s="156">
        <v>240000000</v>
      </c>
      <c r="Y341" s="417">
        <v>240000000</v>
      </c>
      <c r="Z341" s="418" t="s">
        <v>359</v>
      </c>
      <c r="AA341" s="271"/>
      <c r="AB341" s="168"/>
      <c r="AC341" s="156"/>
      <c r="AD341" s="156"/>
      <c r="AE341" s="320"/>
      <c r="AF341" s="168"/>
      <c r="AG341" s="156"/>
      <c r="AH341" s="156"/>
      <c r="AI341" s="410"/>
    </row>
    <row r="342" spans="1:35" ht="19.5" hidden="1" customHeight="1">
      <c r="A342" s="137"/>
      <c r="B342" s="197">
        <f t="shared" si="6"/>
        <v>332</v>
      </c>
      <c r="C342" s="30" t="s">
        <v>206</v>
      </c>
      <c r="D342" s="30" t="s">
        <v>225</v>
      </c>
      <c r="E342" s="234" t="s">
        <v>809</v>
      </c>
      <c r="F342" s="235" t="s">
        <v>1224</v>
      </c>
      <c r="G342" s="284">
        <f>IFERROR(VLOOKUP(E342,Assign!$C$2:$J$142,8,FALSE),)</f>
        <v>0</v>
      </c>
      <c r="H342" s="197" t="s">
        <v>4892</v>
      </c>
      <c r="I342" s="324" t="s">
        <v>4893</v>
      </c>
      <c r="J342" s="237">
        <v>1</v>
      </c>
      <c r="K342" s="237">
        <v>1</v>
      </c>
      <c r="L342" s="265" t="s">
        <v>208</v>
      </c>
      <c r="M342" s="266" t="s">
        <v>259</v>
      </c>
      <c r="N342" s="266" t="s">
        <v>387</v>
      </c>
      <c r="O342" s="267" t="s">
        <v>2413</v>
      </c>
      <c r="P342" s="268" t="s">
        <v>441</v>
      </c>
      <c r="Q342" s="269">
        <v>895</v>
      </c>
      <c r="R342" s="269">
        <v>48.264000000000003</v>
      </c>
      <c r="S342" s="270"/>
      <c r="T342" s="182">
        <f>22.37/895</f>
        <v>2.4994413407821232E-2</v>
      </c>
      <c r="U342" s="182">
        <v>1</v>
      </c>
      <c r="V342" s="408">
        <v>1</v>
      </c>
      <c r="W342" s="357" t="s">
        <v>204</v>
      </c>
      <c r="X342" s="156">
        <v>156000000</v>
      </c>
      <c r="Y342" s="417">
        <v>156000000</v>
      </c>
      <c r="Z342" s="418" t="s">
        <v>359</v>
      </c>
      <c r="AA342" s="271"/>
      <c r="AB342" s="168"/>
      <c r="AC342" s="156"/>
      <c r="AD342" s="156"/>
      <c r="AE342" s="320"/>
      <c r="AF342" s="168"/>
      <c r="AG342" s="156"/>
      <c r="AH342" s="156"/>
      <c r="AI342" s="410"/>
    </row>
    <row r="343" spans="1:35" ht="19.5" hidden="1" customHeight="1">
      <c r="A343" s="137"/>
      <c r="B343" s="197">
        <f t="shared" si="6"/>
        <v>333</v>
      </c>
      <c r="C343" s="30" t="s">
        <v>206</v>
      </c>
      <c r="D343" s="30" t="s">
        <v>225</v>
      </c>
      <c r="E343" s="234" t="s">
        <v>810</v>
      </c>
      <c r="F343" s="235" t="s">
        <v>1229</v>
      </c>
      <c r="G343" s="284">
        <f>IFERROR(VLOOKUP(E343,Assign!$C$2:$J$142,8,FALSE),)</f>
        <v>0</v>
      </c>
      <c r="H343" s="197" t="s">
        <v>4338</v>
      </c>
      <c r="I343" s="324" t="s">
        <v>4339</v>
      </c>
      <c r="J343" s="237">
        <v>1</v>
      </c>
      <c r="K343" s="237">
        <v>1</v>
      </c>
      <c r="L343" s="265" t="s">
        <v>214</v>
      </c>
      <c r="M343" s="266" t="s">
        <v>303</v>
      </c>
      <c r="N343" s="266" t="s">
        <v>1900</v>
      </c>
      <c r="O343" s="267" t="s">
        <v>1901</v>
      </c>
      <c r="P343" s="268" t="s">
        <v>3533</v>
      </c>
      <c r="Q343" s="269">
        <v>1718</v>
      </c>
      <c r="R343" s="269">
        <v>16.257400000000001</v>
      </c>
      <c r="S343" s="270"/>
      <c r="T343" s="182">
        <f>10.6019/1718</f>
        <v>6.1710710128055884E-3</v>
      </c>
      <c r="U343" s="182">
        <v>1</v>
      </c>
      <c r="V343" s="408" t="s">
        <v>229</v>
      </c>
      <c r="W343" s="357" t="s">
        <v>204</v>
      </c>
      <c r="X343" s="156">
        <v>98400000</v>
      </c>
      <c r="Y343" s="417">
        <v>98400000</v>
      </c>
      <c r="Z343" s="418" t="s">
        <v>359</v>
      </c>
      <c r="AA343" s="271"/>
      <c r="AB343" s="168"/>
      <c r="AC343" s="156"/>
      <c r="AD343" s="156"/>
      <c r="AE343" s="320"/>
      <c r="AF343" s="168"/>
      <c r="AG343" s="156"/>
      <c r="AH343" s="156"/>
      <c r="AI343" s="410"/>
    </row>
    <row r="344" spans="1:35" ht="19.5" hidden="1" customHeight="1">
      <c r="A344" s="137"/>
      <c r="B344" s="197">
        <f t="shared" si="6"/>
        <v>334</v>
      </c>
      <c r="C344" s="30" t="s">
        <v>206</v>
      </c>
      <c r="D344" s="30" t="s">
        <v>225</v>
      </c>
      <c r="E344" s="234" t="s">
        <v>810</v>
      </c>
      <c r="F344" s="235" t="s">
        <v>1229</v>
      </c>
      <c r="G344" s="284">
        <f>IFERROR(VLOOKUP(E344,Assign!$C$2:$J$142,8,FALSE),)</f>
        <v>0</v>
      </c>
      <c r="H344" s="197" t="s">
        <v>4340</v>
      </c>
      <c r="I344" s="324" t="s">
        <v>4341</v>
      </c>
      <c r="J344" s="237">
        <v>2</v>
      </c>
      <c r="K344" s="237">
        <v>1</v>
      </c>
      <c r="L344" s="265" t="s">
        <v>214</v>
      </c>
      <c r="M344" s="266" t="s">
        <v>303</v>
      </c>
      <c r="N344" s="266" t="s">
        <v>1900</v>
      </c>
      <c r="O344" s="267" t="s">
        <v>1902</v>
      </c>
      <c r="P344" s="268" t="s">
        <v>3533</v>
      </c>
      <c r="Q344" s="269">
        <v>1718</v>
      </c>
      <c r="R344" s="269">
        <v>16.257400000000001</v>
      </c>
      <c r="S344" s="270"/>
      <c r="T344" s="182">
        <f>10.6019/1718</f>
        <v>6.1710710128055884E-3</v>
      </c>
      <c r="U344" s="182">
        <v>1</v>
      </c>
      <c r="V344" s="408" t="s">
        <v>229</v>
      </c>
      <c r="W344" s="357" t="s">
        <v>204</v>
      </c>
      <c r="X344" s="156">
        <v>98400000</v>
      </c>
      <c r="Y344" s="417">
        <v>98400000</v>
      </c>
      <c r="Z344" s="418" t="s">
        <v>359</v>
      </c>
      <c r="AA344" s="271"/>
      <c r="AB344" s="168"/>
      <c r="AC344" s="156"/>
      <c r="AD344" s="156"/>
      <c r="AE344" s="320"/>
      <c r="AF344" s="168"/>
      <c r="AG344" s="156"/>
      <c r="AH344" s="156"/>
      <c r="AI344" s="410"/>
    </row>
    <row r="345" spans="1:35" ht="19.5" customHeight="1">
      <c r="A345" s="137"/>
      <c r="B345" s="197">
        <f t="shared" si="6"/>
        <v>335</v>
      </c>
      <c r="C345" s="30" t="s">
        <v>206</v>
      </c>
      <c r="D345" s="30" t="s">
        <v>225</v>
      </c>
      <c r="E345" s="234" t="s">
        <v>811</v>
      </c>
      <c r="F345" s="235" t="s">
        <v>1255</v>
      </c>
      <c r="G345" s="284" t="str">
        <f>IFERROR(VLOOKUP(E345,Assign!$C$2:$J$142,8,FALSE),)</f>
        <v>문선영</v>
      </c>
      <c r="H345" s="197" t="s">
        <v>4227</v>
      </c>
      <c r="I345" s="324" t="s">
        <v>4228</v>
      </c>
      <c r="J345" s="237">
        <v>1</v>
      </c>
      <c r="K345" s="237">
        <v>1</v>
      </c>
      <c r="L345" s="265" t="s">
        <v>211</v>
      </c>
      <c r="M345" s="266" t="s">
        <v>255</v>
      </c>
      <c r="N345" s="266" t="s">
        <v>1802</v>
      </c>
      <c r="O345" s="267" t="s">
        <v>1803</v>
      </c>
      <c r="P345" s="268" t="s">
        <v>352</v>
      </c>
      <c r="Q345" s="269">
        <v>616</v>
      </c>
      <c r="R345" s="269"/>
      <c r="S345" s="270"/>
      <c r="T345" s="182"/>
      <c r="U345" s="182">
        <v>1</v>
      </c>
      <c r="V345" s="408">
        <v>1</v>
      </c>
      <c r="W345" s="357" t="s">
        <v>204</v>
      </c>
      <c r="X345" s="156">
        <v>120000000</v>
      </c>
      <c r="Y345" s="417">
        <v>120000000</v>
      </c>
      <c r="Z345" s="418" t="s">
        <v>359</v>
      </c>
      <c r="AA345" s="271"/>
      <c r="AB345" s="168"/>
      <c r="AC345" s="156"/>
      <c r="AD345" s="156"/>
      <c r="AE345" s="320"/>
      <c r="AF345" s="168"/>
      <c r="AG345" s="156"/>
      <c r="AH345" s="156"/>
      <c r="AI345" s="410"/>
    </row>
    <row r="346" spans="1:35" ht="19.5" hidden="1" customHeight="1">
      <c r="A346" s="137"/>
      <c r="B346" s="197">
        <f t="shared" si="6"/>
        <v>336</v>
      </c>
      <c r="C346" s="30" t="s">
        <v>206</v>
      </c>
      <c r="D346" s="30" t="s">
        <v>225</v>
      </c>
      <c r="E346" s="234" t="s">
        <v>812</v>
      </c>
      <c r="F346" s="235" t="s">
        <v>1235</v>
      </c>
      <c r="G346" s="284">
        <f>IFERROR(VLOOKUP(E346,Assign!$C$2:$J$142,8,FALSE),)</f>
        <v>0</v>
      </c>
      <c r="H346" s="197" t="s">
        <v>4593</v>
      </c>
      <c r="I346" s="324" t="s">
        <v>4594</v>
      </c>
      <c r="J346" s="237">
        <v>1</v>
      </c>
      <c r="K346" s="237">
        <v>1</v>
      </c>
      <c r="L346" s="265" t="s">
        <v>212</v>
      </c>
      <c r="M346" s="266" t="s">
        <v>309</v>
      </c>
      <c r="N346" s="266" t="s">
        <v>1812</v>
      </c>
      <c r="O346" s="267" t="s">
        <v>2132</v>
      </c>
      <c r="P346" s="268" t="s">
        <v>3518</v>
      </c>
      <c r="Q346" s="269">
        <v>30962</v>
      </c>
      <c r="R346" s="269">
        <v>84.6</v>
      </c>
      <c r="S346" s="270"/>
      <c r="T346" s="182">
        <f>52.76/30969</f>
        <v>1.7036391229939617E-3</v>
      </c>
      <c r="U346" s="182">
        <v>1</v>
      </c>
      <c r="V346" s="408">
        <v>1</v>
      </c>
      <c r="W346" s="357" t="s">
        <v>204</v>
      </c>
      <c r="X346" s="156">
        <v>133000000</v>
      </c>
      <c r="Y346" s="417">
        <v>133000000</v>
      </c>
      <c r="Z346" s="418" t="s">
        <v>359</v>
      </c>
      <c r="AA346" s="271"/>
      <c r="AB346" s="168"/>
      <c r="AC346" s="156"/>
      <c r="AD346" s="156"/>
      <c r="AE346" s="320"/>
      <c r="AF346" s="168"/>
      <c r="AG346" s="156"/>
      <c r="AH346" s="156"/>
      <c r="AI346" s="410"/>
    </row>
    <row r="347" spans="1:35" ht="19.5" hidden="1" customHeight="1">
      <c r="A347" s="137"/>
      <c r="B347" s="197">
        <f t="shared" si="6"/>
        <v>337</v>
      </c>
      <c r="C347" s="30" t="s">
        <v>206</v>
      </c>
      <c r="D347" s="30" t="s">
        <v>225</v>
      </c>
      <c r="E347" s="234" t="s">
        <v>813</v>
      </c>
      <c r="F347" s="235" t="s">
        <v>1225</v>
      </c>
      <c r="G347" s="284">
        <f>IFERROR(VLOOKUP(E347,Assign!$C$2:$J$142,8,FALSE),)</f>
        <v>0</v>
      </c>
      <c r="H347" s="197" t="s">
        <v>4118</v>
      </c>
      <c r="I347" s="324" t="s">
        <v>4119</v>
      </c>
      <c r="J347" s="237">
        <v>1</v>
      </c>
      <c r="K347" s="237">
        <v>1</v>
      </c>
      <c r="L347" s="265" t="s">
        <v>212</v>
      </c>
      <c r="M347" s="266" t="s">
        <v>304</v>
      </c>
      <c r="N347" s="266" t="s">
        <v>356</v>
      </c>
      <c r="O347" s="267" t="s">
        <v>1692</v>
      </c>
      <c r="P347" s="268" t="s">
        <v>1693</v>
      </c>
      <c r="Q347" s="269">
        <f>13977.2+1511.5</f>
        <v>15488.7</v>
      </c>
      <c r="R347" s="269">
        <v>132.81</v>
      </c>
      <c r="S347" s="270"/>
      <c r="T347" s="182">
        <f>55.575/15488.7</f>
        <v>3.5880997114025063E-3</v>
      </c>
      <c r="U347" s="182">
        <v>1</v>
      </c>
      <c r="V347" s="408" t="s">
        <v>229</v>
      </c>
      <c r="W347" s="357" t="s">
        <v>204</v>
      </c>
      <c r="X347" s="156">
        <v>194400000</v>
      </c>
      <c r="Y347" s="417">
        <v>194400000</v>
      </c>
      <c r="Z347" s="418" t="s">
        <v>359</v>
      </c>
      <c r="AA347" s="271"/>
      <c r="AB347" s="168"/>
      <c r="AC347" s="156"/>
      <c r="AD347" s="156"/>
      <c r="AE347" s="320"/>
      <c r="AF347" s="168"/>
      <c r="AG347" s="156"/>
      <c r="AH347" s="156"/>
      <c r="AI347" s="410"/>
    </row>
    <row r="348" spans="1:35" ht="19.5" hidden="1" customHeight="1">
      <c r="A348" s="137"/>
      <c r="B348" s="197">
        <f t="shared" si="6"/>
        <v>338</v>
      </c>
      <c r="C348" s="30" t="s">
        <v>206</v>
      </c>
      <c r="D348" s="30" t="s">
        <v>225</v>
      </c>
      <c r="E348" s="234" t="s">
        <v>814</v>
      </c>
      <c r="F348" s="235" t="s">
        <v>1217</v>
      </c>
      <c r="G348" s="284">
        <f>IFERROR(VLOOKUP(E348,Assign!$C$2:$J$142,8,FALSE),)</f>
        <v>0</v>
      </c>
      <c r="H348" s="197" t="s">
        <v>4130</v>
      </c>
      <c r="I348" s="324" t="s">
        <v>4131</v>
      </c>
      <c r="J348" s="237">
        <v>1</v>
      </c>
      <c r="K348" s="237">
        <v>1</v>
      </c>
      <c r="L348" s="265" t="s">
        <v>212</v>
      </c>
      <c r="M348" s="266" t="s">
        <v>232</v>
      </c>
      <c r="N348" s="266" t="s">
        <v>367</v>
      </c>
      <c r="O348" s="267" t="s">
        <v>1706</v>
      </c>
      <c r="P348" s="268" t="s">
        <v>1707</v>
      </c>
      <c r="Q348" s="269">
        <v>2801.6</v>
      </c>
      <c r="R348" s="269">
        <v>21.22</v>
      </c>
      <c r="S348" s="270"/>
      <c r="T348" s="182">
        <f>4.7/2801.6</f>
        <v>1.6776127926898916E-3</v>
      </c>
      <c r="U348" s="182">
        <v>1</v>
      </c>
      <c r="V348" s="408">
        <v>1</v>
      </c>
      <c r="W348" s="357" t="s">
        <v>204</v>
      </c>
      <c r="X348" s="156">
        <v>136800000</v>
      </c>
      <c r="Y348" s="417">
        <v>136800000</v>
      </c>
      <c r="Z348" s="418" t="s">
        <v>359</v>
      </c>
      <c r="AA348" s="271"/>
      <c r="AB348" s="168"/>
      <c r="AC348" s="156"/>
      <c r="AD348" s="156"/>
      <c r="AE348" s="320"/>
      <c r="AF348" s="168"/>
      <c r="AG348" s="156"/>
      <c r="AH348" s="156"/>
      <c r="AI348" s="410"/>
    </row>
    <row r="349" spans="1:35" ht="19.5" customHeight="1">
      <c r="A349" s="137"/>
      <c r="B349" s="197">
        <f t="shared" si="6"/>
        <v>339</v>
      </c>
      <c r="C349" s="30" t="s">
        <v>206</v>
      </c>
      <c r="D349" s="30" t="s">
        <v>225</v>
      </c>
      <c r="E349" s="234" t="s">
        <v>815</v>
      </c>
      <c r="F349" s="235" t="s">
        <v>1249</v>
      </c>
      <c r="G349" s="284" t="str">
        <f>IFERROR(VLOOKUP(E349,Assign!$C$2:$J$142,8,FALSE),)</f>
        <v>문선영</v>
      </c>
      <c r="H349" s="29" t="s">
        <v>3888</v>
      </c>
      <c r="I349" s="359" t="s">
        <v>3889</v>
      </c>
      <c r="J349" s="237">
        <v>1</v>
      </c>
      <c r="K349" s="237">
        <v>1</v>
      </c>
      <c r="L349" s="265" t="s">
        <v>208</v>
      </c>
      <c r="M349" s="266" t="s">
        <v>391</v>
      </c>
      <c r="N349" s="266" t="s">
        <v>1454</v>
      </c>
      <c r="O349" s="267" t="s">
        <v>1455</v>
      </c>
      <c r="P349" s="268" t="s">
        <v>1456</v>
      </c>
      <c r="Q349" s="269">
        <v>38327</v>
      </c>
      <c r="R349" s="269">
        <v>72.737799999999993</v>
      </c>
      <c r="S349" s="270"/>
      <c r="T349" s="182">
        <f>44.311/38327</f>
        <v>1.1561301432410573E-3</v>
      </c>
      <c r="U349" s="182">
        <v>1</v>
      </c>
      <c r="V349" s="408">
        <v>1</v>
      </c>
      <c r="W349" s="357" t="s">
        <v>204</v>
      </c>
      <c r="X349" s="156">
        <v>140400000</v>
      </c>
      <c r="Y349" s="417">
        <v>140400000</v>
      </c>
      <c r="Z349" s="418" t="s">
        <v>359</v>
      </c>
      <c r="AA349" s="271"/>
      <c r="AB349" s="168"/>
      <c r="AC349" s="156"/>
      <c r="AD349" s="156"/>
      <c r="AE349" s="320"/>
      <c r="AF349" s="168"/>
      <c r="AG349" s="156"/>
      <c r="AH349" s="156"/>
      <c r="AI349" s="410"/>
    </row>
    <row r="350" spans="1:35" ht="19.5" hidden="1" customHeight="1">
      <c r="A350" s="137"/>
      <c r="B350" s="197">
        <f t="shared" si="6"/>
        <v>340</v>
      </c>
      <c r="C350" s="30" t="s">
        <v>206</v>
      </c>
      <c r="D350" s="30" t="s">
        <v>225</v>
      </c>
      <c r="E350" s="234" t="s">
        <v>816</v>
      </c>
      <c r="F350" s="235" t="s">
        <v>1249</v>
      </c>
      <c r="G350" s="284">
        <f>IFERROR(VLOOKUP(E350,Assign!$C$2:$J$142,8,FALSE),)</f>
        <v>0</v>
      </c>
      <c r="H350" s="197" t="s">
        <v>5119</v>
      </c>
      <c r="I350" s="324" t="s">
        <v>5120</v>
      </c>
      <c r="J350" s="237">
        <v>1</v>
      </c>
      <c r="K350" s="237">
        <v>1</v>
      </c>
      <c r="L350" s="265" t="s">
        <v>209</v>
      </c>
      <c r="M350" s="266" t="s">
        <v>226</v>
      </c>
      <c r="N350" s="266" t="s">
        <v>1436</v>
      </c>
      <c r="O350" s="267" t="s">
        <v>2633</v>
      </c>
      <c r="P350" s="268" t="s">
        <v>2634</v>
      </c>
      <c r="Q350" s="269">
        <f>212+251.1</f>
        <v>463.1</v>
      </c>
      <c r="R350" s="269">
        <v>38.97</v>
      </c>
      <c r="S350" s="270"/>
      <c r="T350" s="182">
        <f>22.88/463.1</f>
        <v>4.940617577197149E-2</v>
      </c>
      <c r="U350" s="182">
        <v>1</v>
      </c>
      <c r="V350" s="408">
        <v>1</v>
      </c>
      <c r="W350" s="357" t="s">
        <v>204</v>
      </c>
      <c r="X350" s="156">
        <v>151200000</v>
      </c>
      <c r="Y350" s="417">
        <v>151200000</v>
      </c>
      <c r="Z350" s="418" t="s">
        <v>359</v>
      </c>
      <c r="AA350" s="271"/>
      <c r="AB350" s="168"/>
      <c r="AC350" s="156"/>
      <c r="AD350" s="156"/>
      <c r="AE350" s="320"/>
      <c r="AF350" s="168"/>
      <c r="AG350" s="156"/>
      <c r="AH350" s="156"/>
      <c r="AI350" s="410"/>
    </row>
    <row r="351" spans="1:35" ht="19.5" hidden="1" customHeight="1">
      <c r="A351" s="137"/>
      <c r="B351" s="197">
        <f t="shared" si="6"/>
        <v>341</v>
      </c>
      <c r="C351" s="30" t="s">
        <v>206</v>
      </c>
      <c r="D351" s="30" t="s">
        <v>225</v>
      </c>
      <c r="E351" s="234" t="s">
        <v>817</v>
      </c>
      <c r="F351" s="235" t="s">
        <v>1256</v>
      </c>
      <c r="G351" s="284">
        <f>IFERROR(VLOOKUP(E351,Assign!$C$2:$J$142,8,FALSE),)</f>
        <v>0</v>
      </c>
      <c r="H351" s="197" t="s">
        <v>4843</v>
      </c>
      <c r="I351" s="324" t="s">
        <v>4844</v>
      </c>
      <c r="J351" s="237">
        <v>1</v>
      </c>
      <c r="K351" s="237">
        <v>1</v>
      </c>
      <c r="L351" s="265" t="s">
        <v>212</v>
      </c>
      <c r="M351" s="266" t="s">
        <v>309</v>
      </c>
      <c r="N351" s="266" t="s">
        <v>328</v>
      </c>
      <c r="O351" s="267" t="s">
        <v>2372</v>
      </c>
      <c r="P351" s="268" t="s">
        <v>444</v>
      </c>
      <c r="Q351" s="269">
        <v>32130.3</v>
      </c>
      <c r="R351" s="269">
        <v>111.6523</v>
      </c>
      <c r="S351" s="270"/>
      <c r="T351" s="182">
        <f>71.0563/32130.3</f>
        <v>2.2115044054988593E-3</v>
      </c>
      <c r="U351" s="182">
        <v>1</v>
      </c>
      <c r="V351" s="408">
        <v>1</v>
      </c>
      <c r="W351" s="357" t="s">
        <v>204</v>
      </c>
      <c r="X351" s="156">
        <v>128400000</v>
      </c>
      <c r="Y351" s="417">
        <v>128400000</v>
      </c>
      <c r="Z351" s="418" t="s">
        <v>359</v>
      </c>
      <c r="AA351" s="271"/>
      <c r="AB351" s="168"/>
      <c r="AC351" s="156"/>
      <c r="AD351" s="156"/>
      <c r="AE351" s="320"/>
      <c r="AF351" s="168"/>
      <c r="AG351" s="156"/>
      <c r="AH351" s="156"/>
      <c r="AI351" s="410"/>
    </row>
    <row r="352" spans="1:35" ht="19.5" customHeight="1">
      <c r="A352" s="137"/>
      <c r="B352" s="197">
        <f t="shared" si="6"/>
        <v>342</v>
      </c>
      <c r="C352" s="30" t="s">
        <v>206</v>
      </c>
      <c r="D352" s="30" t="s">
        <v>225</v>
      </c>
      <c r="E352" s="234" t="s">
        <v>818</v>
      </c>
      <c r="F352" s="235" t="s">
        <v>1244</v>
      </c>
      <c r="G352" s="284" t="str">
        <f>IFERROR(VLOOKUP(E352,Assign!$C$2:$J$142,8,FALSE),)</f>
        <v>문선영</v>
      </c>
      <c r="H352" s="197" t="s">
        <v>4306</v>
      </c>
      <c r="I352" s="324" t="s">
        <v>4307</v>
      </c>
      <c r="J352" s="237">
        <v>1</v>
      </c>
      <c r="K352" s="237">
        <v>1</v>
      </c>
      <c r="L352" s="265" t="s">
        <v>208</v>
      </c>
      <c r="M352" s="266" t="s">
        <v>269</v>
      </c>
      <c r="N352" s="266" t="s">
        <v>554</v>
      </c>
      <c r="O352" s="267" t="s">
        <v>1871</v>
      </c>
      <c r="P352" s="268" t="s">
        <v>1463</v>
      </c>
      <c r="Q352" s="269">
        <v>309.3</v>
      </c>
      <c r="R352" s="269">
        <v>83.61</v>
      </c>
      <c r="S352" s="270"/>
      <c r="T352" s="182">
        <f>44.13/309.3</f>
        <v>0.14267701260911736</v>
      </c>
      <c r="U352" s="182">
        <v>1</v>
      </c>
      <c r="V352" s="408">
        <v>1</v>
      </c>
      <c r="W352" s="357" t="s">
        <v>204</v>
      </c>
      <c r="X352" s="156">
        <v>144000000</v>
      </c>
      <c r="Y352" s="417">
        <v>144000000</v>
      </c>
      <c r="Z352" s="418" t="s">
        <v>359</v>
      </c>
      <c r="AA352" s="271"/>
      <c r="AB352" s="168"/>
      <c r="AC352" s="156"/>
      <c r="AD352" s="156"/>
      <c r="AE352" s="320"/>
      <c r="AF352" s="168"/>
      <c r="AG352" s="156"/>
      <c r="AH352" s="156"/>
      <c r="AI352" s="410"/>
    </row>
    <row r="353" spans="1:35" ht="19.5" hidden="1" customHeight="1">
      <c r="A353" s="137"/>
      <c r="B353" s="197">
        <f t="shared" si="6"/>
        <v>343</v>
      </c>
      <c r="C353" s="30" t="s">
        <v>206</v>
      </c>
      <c r="D353" s="30" t="s">
        <v>225</v>
      </c>
      <c r="E353" s="234" t="s">
        <v>819</v>
      </c>
      <c r="F353" s="235" t="s">
        <v>1231</v>
      </c>
      <c r="G353" s="284">
        <f>IFERROR(VLOOKUP(E353,Assign!$C$2:$J$142,8,FALSE),)</f>
        <v>0</v>
      </c>
      <c r="H353" s="197" t="s">
        <v>4290</v>
      </c>
      <c r="I353" s="324" t="s">
        <v>4291</v>
      </c>
      <c r="J353" s="237">
        <v>1</v>
      </c>
      <c r="K353" s="237">
        <v>1</v>
      </c>
      <c r="L353" s="265" t="s">
        <v>208</v>
      </c>
      <c r="M353" s="266" t="s">
        <v>413</v>
      </c>
      <c r="N353" s="266" t="s">
        <v>1858</v>
      </c>
      <c r="O353" s="267" t="s">
        <v>1859</v>
      </c>
      <c r="P353" s="268" t="s">
        <v>588</v>
      </c>
      <c r="Q353" s="269">
        <v>660</v>
      </c>
      <c r="R353" s="269">
        <v>50.37</v>
      </c>
      <c r="S353" s="270"/>
      <c r="T353" s="182">
        <f>55.061/660</f>
        <v>8.342575757575757E-2</v>
      </c>
      <c r="U353" s="182">
        <v>1</v>
      </c>
      <c r="V353" s="408">
        <v>1</v>
      </c>
      <c r="W353" s="357" t="s">
        <v>204</v>
      </c>
      <c r="X353" s="156">
        <v>138840000</v>
      </c>
      <c r="Y353" s="417">
        <v>138840000</v>
      </c>
      <c r="Z353" s="418" t="s">
        <v>359</v>
      </c>
      <c r="AA353" s="271"/>
      <c r="AB353" s="168"/>
      <c r="AC353" s="156"/>
      <c r="AD353" s="156"/>
      <c r="AE353" s="320"/>
      <c r="AF353" s="168"/>
      <c r="AG353" s="156"/>
      <c r="AH353" s="156"/>
      <c r="AI353" s="410"/>
    </row>
    <row r="354" spans="1:35" ht="19.5" hidden="1" customHeight="1">
      <c r="A354" s="137"/>
      <c r="B354" s="197">
        <f t="shared" si="6"/>
        <v>344</v>
      </c>
      <c r="C354" s="30" t="s">
        <v>206</v>
      </c>
      <c r="D354" s="30" t="s">
        <v>225</v>
      </c>
      <c r="E354" s="234" t="s">
        <v>820</v>
      </c>
      <c r="F354" s="235" t="s">
        <v>1229</v>
      </c>
      <c r="G354" s="284">
        <f>IFERROR(VLOOKUP(E354,Assign!$C$2:$J$142,8,FALSE),)</f>
        <v>0</v>
      </c>
      <c r="H354" s="197" t="s">
        <v>4491</v>
      </c>
      <c r="I354" s="324" t="s">
        <v>4492</v>
      </c>
      <c r="J354" s="237">
        <v>1</v>
      </c>
      <c r="K354" s="237">
        <v>1</v>
      </c>
      <c r="L354" s="265" t="s">
        <v>224</v>
      </c>
      <c r="M354" s="266" t="s">
        <v>1458</v>
      </c>
      <c r="N354" s="266" t="s">
        <v>2034</v>
      </c>
      <c r="O354" s="267" t="s">
        <v>2035</v>
      </c>
      <c r="P354" s="268" t="s">
        <v>441</v>
      </c>
      <c r="Q354" s="269">
        <f>11134+311+597+137</f>
        <v>12179</v>
      </c>
      <c r="R354" s="269">
        <v>22.5</v>
      </c>
      <c r="S354" s="270"/>
      <c r="T354" s="182">
        <f>14.03/12179</f>
        <v>1.15198292142212E-3</v>
      </c>
      <c r="U354" s="182">
        <v>1</v>
      </c>
      <c r="V354" s="408">
        <v>1</v>
      </c>
      <c r="W354" s="357" t="s">
        <v>204</v>
      </c>
      <c r="X354" s="156">
        <v>144000000</v>
      </c>
      <c r="Y354" s="417">
        <v>144000000</v>
      </c>
      <c r="Z354" s="418" t="s">
        <v>359</v>
      </c>
      <c r="AA354" s="271"/>
      <c r="AB354" s="168"/>
      <c r="AC354" s="156"/>
      <c r="AD354" s="156"/>
      <c r="AE354" s="320"/>
      <c r="AF354" s="168"/>
      <c r="AG354" s="156"/>
      <c r="AH354" s="156"/>
      <c r="AI354" s="410"/>
    </row>
    <row r="355" spans="1:35" ht="19.5" hidden="1" customHeight="1">
      <c r="A355" s="137"/>
      <c r="B355" s="197">
        <f t="shared" si="6"/>
        <v>345</v>
      </c>
      <c r="C355" s="30" t="s">
        <v>206</v>
      </c>
      <c r="D355" s="30" t="s">
        <v>225</v>
      </c>
      <c r="E355" s="234" t="s">
        <v>821</v>
      </c>
      <c r="F355" s="235" t="s">
        <v>611</v>
      </c>
      <c r="G355" s="284">
        <f>IFERROR(VLOOKUP(E355,Assign!$C$2:$J$142,8,FALSE),)</f>
        <v>0</v>
      </c>
      <c r="H355" s="197" t="s">
        <v>4362</v>
      </c>
      <c r="I355" s="324" t="s">
        <v>4363</v>
      </c>
      <c r="J355" s="237">
        <v>1</v>
      </c>
      <c r="K355" s="237">
        <v>1</v>
      </c>
      <c r="L355" s="265" t="s">
        <v>209</v>
      </c>
      <c r="M355" s="266" t="s">
        <v>1546</v>
      </c>
      <c r="N355" s="266" t="s">
        <v>1919</v>
      </c>
      <c r="O355" s="267" t="s">
        <v>1920</v>
      </c>
      <c r="P355" s="268" t="s">
        <v>1791</v>
      </c>
      <c r="Q355" s="269">
        <v>30465</v>
      </c>
      <c r="R355" s="269">
        <v>120</v>
      </c>
      <c r="S355" s="270"/>
      <c r="T355" s="182">
        <f>61.08/30465</f>
        <v>2.0049236829148202E-3</v>
      </c>
      <c r="U355" s="182">
        <v>1</v>
      </c>
      <c r="V355" s="408">
        <v>3</v>
      </c>
      <c r="W355" s="357" t="s">
        <v>204</v>
      </c>
      <c r="X355" s="156">
        <v>120000000</v>
      </c>
      <c r="Y355" s="417">
        <v>120000000</v>
      </c>
      <c r="Z355" s="418" t="s">
        <v>359</v>
      </c>
      <c r="AA355" s="271" t="s">
        <v>229</v>
      </c>
      <c r="AB355" s="168" t="s">
        <v>204</v>
      </c>
      <c r="AC355" s="156">
        <v>261600000</v>
      </c>
      <c r="AD355" s="156">
        <v>261600000</v>
      </c>
      <c r="AE355" s="320"/>
      <c r="AF355" s="168"/>
      <c r="AG355" s="156"/>
      <c r="AH355" s="156"/>
      <c r="AI355" s="410"/>
    </row>
    <row r="356" spans="1:35" ht="19.5" hidden="1" customHeight="1">
      <c r="A356" s="137"/>
      <c r="B356" s="197">
        <f t="shared" si="6"/>
        <v>346</v>
      </c>
      <c r="C356" s="30" t="s">
        <v>206</v>
      </c>
      <c r="D356" s="30" t="s">
        <v>225</v>
      </c>
      <c r="E356" s="234" t="s">
        <v>822</v>
      </c>
      <c r="F356" s="235" t="s">
        <v>1225</v>
      </c>
      <c r="G356" s="284">
        <f>IFERROR(VLOOKUP(E356,Assign!$C$2:$J$142,8,FALSE),)</f>
        <v>0</v>
      </c>
      <c r="H356" s="197" t="s">
        <v>4426</v>
      </c>
      <c r="I356" s="324" t="s">
        <v>4427</v>
      </c>
      <c r="J356" s="237">
        <v>1</v>
      </c>
      <c r="K356" s="237">
        <v>1</v>
      </c>
      <c r="L356" s="265" t="s">
        <v>208</v>
      </c>
      <c r="M356" s="266" t="s">
        <v>228</v>
      </c>
      <c r="N356" s="266" t="s">
        <v>1925</v>
      </c>
      <c r="O356" s="267" t="s">
        <v>1979</v>
      </c>
      <c r="P356" s="268" t="s">
        <v>1980</v>
      </c>
      <c r="Q356" s="269">
        <v>60586</v>
      </c>
      <c r="R356" s="269">
        <v>84.96</v>
      </c>
      <c r="S356" s="270"/>
      <c r="T356" s="182">
        <f>63.3896/60586</f>
        <v>1.0462747169313043E-3</v>
      </c>
      <c r="U356" s="182">
        <v>1</v>
      </c>
      <c r="V356" s="408">
        <v>3</v>
      </c>
      <c r="W356" s="357" t="s">
        <v>204</v>
      </c>
      <c r="X356" s="156">
        <v>120000000</v>
      </c>
      <c r="Y356" s="417">
        <v>120000000</v>
      </c>
      <c r="Z356" s="418" t="s">
        <v>359</v>
      </c>
      <c r="AA356" s="271" t="s">
        <v>3862</v>
      </c>
      <c r="AB356" s="168" t="s">
        <v>3855</v>
      </c>
      <c r="AC356" s="156">
        <v>147600000</v>
      </c>
      <c r="AD356" s="156">
        <v>147600000</v>
      </c>
      <c r="AE356" s="320"/>
      <c r="AF356" s="168"/>
      <c r="AG356" s="156"/>
      <c r="AH356" s="156"/>
      <c r="AI356" s="410"/>
    </row>
    <row r="357" spans="1:35" ht="19.5" hidden="1" customHeight="1">
      <c r="A357" s="137"/>
      <c r="B357" s="197">
        <f t="shared" si="6"/>
        <v>347</v>
      </c>
      <c r="C357" s="30" t="s">
        <v>206</v>
      </c>
      <c r="D357" s="30" t="s">
        <v>225</v>
      </c>
      <c r="E357" s="234" t="s">
        <v>823</v>
      </c>
      <c r="F357" s="235" t="s">
        <v>1257</v>
      </c>
      <c r="G357" s="284">
        <f>IFERROR(VLOOKUP(E357,Assign!$C$2:$J$142,8,FALSE),)</f>
        <v>0</v>
      </c>
      <c r="H357" s="197" t="s">
        <v>4810</v>
      </c>
      <c r="I357" s="324" t="s">
        <v>4811</v>
      </c>
      <c r="J357" s="237">
        <v>1</v>
      </c>
      <c r="K357" s="237">
        <v>1</v>
      </c>
      <c r="L357" s="265" t="s">
        <v>210</v>
      </c>
      <c r="M357" s="266" t="s">
        <v>232</v>
      </c>
      <c r="N357" s="266" t="s">
        <v>2338</v>
      </c>
      <c r="O357" s="267" t="s">
        <v>2339</v>
      </c>
      <c r="P357" s="268" t="s">
        <v>460</v>
      </c>
      <c r="Q357" s="269">
        <v>56174.6</v>
      </c>
      <c r="R357" s="269">
        <v>59.54</v>
      </c>
      <c r="S357" s="270"/>
      <c r="T357" s="182">
        <f>39.024/56174.6</f>
        <v>6.9469119495287914E-4</v>
      </c>
      <c r="U357" s="182">
        <v>1</v>
      </c>
      <c r="V357" s="408">
        <v>2</v>
      </c>
      <c r="W357" s="357" t="s">
        <v>204</v>
      </c>
      <c r="X357" s="156">
        <v>120000000</v>
      </c>
      <c r="Y357" s="417">
        <v>120000000</v>
      </c>
      <c r="Z357" s="418" t="s">
        <v>359</v>
      </c>
      <c r="AA357" s="271">
        <v>1</v>
      </c>
      <c r="AB357" s="168" t="s">
        <v>204</v>
      </c>
      <c r="AC357" s="156">
        <v>151200000</v>
      </c>
      <c r="AD357" s="156">
        <v>151200000</v>
      </c>
      <c r="AE357" s="320"/>
      <c r="AF357" s="168"/>
      <c r="AG357" s="156"/>
      <c r="AH357" s="156"/>
      <c r="AI357" s="410"/>
    </row>
    <row r="358" spans="1:35" ht="19.5" hidden="1" customHeight="1">
      <c r="A358" s="137"/>
      <c r="B358" s="197">
        <f t="shared" si="6"/>
        <v>348</v>
      </c>
      <c r="C358" s="30" t="s">
        <v>206</v>
      </c>
      <c r="D358" s="30" t="s">
        <v>225</v>
      </c>
      <c r="E358" s="234" t="s">
        <v>824</v>
      </c>
      <c r="F358" s="235" t="s">
        <v>1258</v>
      </c>
      <c r="G358" s="284">
        <f>IFERROR(VLOOKUP(E358,Assign!$C$2:$J$142,8,FALSE),)</f>
        <v>0</v>
      </c>
      <c r="H358" s="197" t="s">
        <v>5364</v>
      </c>
      <c r="I358" s="324" t="s">
        <v>5365</v>
      </c>
      <c r="J358" s="237">
        <v>1</v>
      </c>
      <c r="K358" s="237">
        <v>1</v>
      </c>
      <c r="L358" s="265" t="s">
        <v>209</v>
      </c>
      <c r="M358" s="266" t="s">
        <v>341</v>
      </c>
      <c r="N358" s="266" t="s">
        <v>342</v>
      </c>
      <c r="O358" s="267" t="s">
        <v>2841</v>
      </c>
      <c r="P358" s="268" t="s">
        <v>1622</v>
      </c>
      <c r="Q358" s="269">
        <v>3041.5</v>
      </c>
      <c r="R358" s="269">
        <f>159.76+49.88</f>
        <v>209.64</v>
      </c>
      <c r="S358" s="270"/>
      <c r="T358" s="182">
        <f>170.26/3041.5</f>
        <v>5.5978957751109649E-2</v>
      </c>
      <c r="U358" s="182">
        <v>1</v>
      </c>
      <c r="V358" s="408">
        <v>4</v>
      </c>
      <c r="W358" s="357" t="s">
        <v>204</v>
      </c>
      <c r="X358" s="156">
        <v>120000000</v>
      </c>
      <c r="Y358" s="417">
        <v>120000000</v>
      </c>
      <c r="Z358" s="418" t="s">
        <v>359</v>
      </c>
      <c r="AA358" s="271" t="s">
        <v>233</v>
      </c>
      <c r="AB358" s="168" t="s">
        <v>204</v>
      </c>
      <c r="AC358" s="156">
        <v>1510000000</v>
      </c>
      <c r="AD358" s="156">
        <v>1510000000</v>
      </c>
      <c r="AE358" s="320"/>
      <c r="AF358" s="168"/>
      <c r="AG358" s="156"/>
      <c r="AH358" s="156"/>
      <c r="AI358" s="410"/>
    </row>
    <row r="359" spans="1:35" ht="19.5" hidden="1" customHeight="1">
      <c r="A359" s="137"/>
      <c r="B359" s="197">
        <f t="shared" si="6"/>
        <v>349</v>
      </c>
      <c r="C359" s="30" t="s">
        <v>206</v>
      </c>
      <c r="D359" s="30" t="s">
        <v>225</v>
      </c>
      <c r="E359" s="234" t="s">
        <v>825</v>
      </c>
      <c r="F359" s="235" t="s">
        <v>1221</v>
      </c>
      <c r="G359" s="284">
        <f>IFERROR(VLOOKUP(E359,Assign!$C$2:$J$142,8,FALSE),)</f>
        <v>0</v>
      </c>
      <c r="H359" s="197" t="s">
        <v>4851</v>
      </c>
      <c r="I359" s="324" t="s">
        <v>4852</v>
      </c>
      <c r="J359" s="237">
        <v>1</v>
      </c>
      <c r="K359" s="237">
        <v>1</v>
      </c>
      <c r="L359" s="265" t="s">
        <v>208</v>
      </c>
      <c r="M359" s="266" t="s">
        <v>234</v>
      </c>
      <c r="N359" s="266" t="s">
        <v>235</v>
      </c>
      <c r="O359" s="267" t="s">
        <v>2376</v>
      </c>
      <c r="P359" s="268" t="s">
        <v>2377</v>
      </c>
      <c r="Q359" s="269">
        <v>2478.1</v>
      </c>
      <c r="R359" s="269">
        <v>19.6645</v>
      </c>
      <c r="S359" s="270"/>
      <c r="T359" s="182">
        <f>4.2731/2478.1</f>
        <v>1.7243452645171707E-3</v>
      </c>
      <c r="U359" s="182">
        <v>1</v>
      </c>
      <c r="V359" s="408">
        <v>1</v>
      </c>
      <c r="W359" s="357" t="s">
        <v>204</v>
      </c>
      <c r="X359" s="156">
        <v>120000000</v>
      </c>
      <c r="Y359" s="417">
        <v>120000000</v>
      </c>
      <c r="Z359" s="418" t="s">
        <v>359</v>
      </c>
      <c r="AA359" s="271"/>
      <c r="AB359" s="168"/>
      <c r="AC359" s="156"/>
      <c r="AD359" s="156"/>
      <c r="AE359" s="320"/>
      <c r="AF359" s="168"/>
      <c r="AG359" s="156"/>
      <c r="AH359" s="156"/>
      <c r="AI359" s="410"/>
    </row>
    <row r="360" spans="1:35" ht="19.5" hidden="1" customHeight="1">
      <c r="A360" s="137"/>
      <c r="B360" s="197">
        <f t="shared" si="6"/>
        <v>350</v>
      </c>
      <c r="C360" s="30" t="s">
        <v>206</v>
      </c>
      <c r="D360" s="30" t="s">
        <v>225</v>
      </c>
      <c r="E360" s="234" t="s">
        <v>826</v>
      </c>
      <c r="F360" s="235" t="s">
        <v>1217</v>
      </c>
      <c r="G360" s="284">
        <f>IFERROR(VLOOKUP(E360,Assign!$C$2:$J$142,8,FALSE),)</f>
        <v>0</v>
      </c>
      <c r="H360" s="197" t="s">
        <v>4638</v>
      </c>
      <c r="I360" s="324" t="s">
        <v>4639</v>
      </c>
      <c r="J360" s="237">
        <v>1</v>
      </c>
      <c r="K360" s="237">
        <v>1</v>
      </c>
      <c r="L360" s="265" t="s">
        <v>208</v>
      </c>
      <c r="M360" s="266" t="s">
        <v>261</v>
      </c>
      <c r="N360" s="266" t="s">
        <v>1822</v>
      </c>
      <c r="O360" s="267" t="s">
        <v>2173</v>
      </c>
      <c r="P360" s="268" t="s">
        <v>3508</v>
      </c>
      <c r="Q360" s="269">
        <v>30071</v>
      </c>
      <c r="R360" s="269">
        <v>83.21</v>
      </c>
      <c r="S360" s="270"/>
      <c r="T360" s="182">
        <f>59.18/30071</f>
        <v>1.9680090452595523E-3</v>
      </c>
      <c r="U360" s="182">
        <v>1</v>
      </c>
      <c r="V360" s="408">
        <v>1</v>
      </c>
      <c r="W360" s="357" t="s">
        <v>204</v>
      </c>
      <c r="X360" s="156">
        <v>110000000</v>
      </c>
      <c r="Y360" s="417">
        <v>110000000</v>
      </c>
      <c r="Z360" s="418" t="s">
        <v>359</v>
      </c>
      <c r="AA360" s="271"/>
      <c r="AB360" s="168"/>
      <c r="AC360" s="156"/>
      <c r="AD360" s="156"/>
      <c r="AE360" s="320"/>
      <c r="AF360" s="168"/>
      <c r="AG360" s="156"/>
      <c r="AH360" s="156"/>
      <c r="AI360" s="410"/>
    </row>
    <row r="361" spans="1:35" ht="19.5" customHeight="1">
      <c r="A361" s="137"/>
      <c r="B361" s="197">
        <f t="shared" si="6"/>
        <v>351</v>
      </c>
      <c r="C361" s="30" t="s">
        <v>206</v>
      </c>
      <c r="D361" s="30" t="s">
        <v>225</v>
      </c>
      <c r="E361" s="234" t="s">
        <v>827</v>
      </c>
      <c r="F361" s="235" t="s">
        <v>1225</v>
      </c>
      <c r="G361" s="284" t="str">
        <f>IFERROR(VLOOKUP(E361,Assign!$C$2:$J$142,8,FALSE),)</f>
        <v>문선영</v>
      </c>
      <c r="H361" s="197" t="s">
        <v>4978</v>
      </c>
      <c r="I361" s="324" t="s">
        <v>4979</v>
      </c>
      <c r="J361" s="237">
        <v>1</v>
      </c>
      <c r="K361" s="237">
        <v>1</v>
      </c>
      <c r="L361" s="265" t="s">
        <v>213</v>
      </c>
      <c r="M361" s="266" t="s">
        <v>2451</v>
      </c>
      <c r="N361" s="266" t="s">
        <v>2452</v>
      </c>
      <c r="O361" s="267" t="s">
        <v>2496</v>
      </c>
      <c r="P361" s="268" t="s">
        <v>2497</v>
      </c>
      <c r="Q361" s="269">
        <v>744.5</v>
      </c>
      <c r="R361" s="269">
        <v>41.88</v>
      </c>
      <c r="S361" s="270"/>
      <c r="T361" s="182">
        <f>41.88/4578.4</f>
        <v>9.1473003669404179E-3</v>
      </c>
      <c r="U361" s="182">
        <v>1</v>
      </c>
      <c r="V361" s="408">
        <v>1</v>
      </c>
      <c r="W361" s="357" t="s">
        <v>204</v>
      </c>
      <c r="X361" s="156">
        <v>141600000</v>
      </c>
      <c r="Y361" s="417">
        <v>141600000</v>
      </c>
      <c r="Z361" s="418" t="s">
        <v>359</v>
      </c>
      <c r="AA361" s="271"/>
      <c r="AB361" s="168"/>
      <c r="AC361" s="156"/>
      <c r="AD361" s="156"/>
      <c r="AE361" s="320"/>
      <c r="AF361" s="168"/>
      <c r="AG361" s="156"/>
      <c r="AH361" s="156"/>
      <c r="AI361" s="410"/>
    </row>
    <row r="362" spans="1:35" ht="19.5" hidden="1" customHeight="1">
      <c r="A362" s="137"/>
      <c r="B362" s="197">
        <f t="shared" si="6"/>
        <v>352</v>
      </c>
      <c r="C362" s="30" t="s">
        <v>206</v>
      </c>
      <c r="D362" s="30" t="s">
        <v>225</v>
      </c>
      <c r="E362" s="234" t="s">
        <v>828</v>
      </c>
      <c r="F362" s="235" t="s">
        <v>1229</v>
      </c>
      <c r="G362" s="284">
        <f>IFERROR(VLOOKUP(E362,Assign!$C$2:$J$142,8,FALSE),)</f>
        <v>0</v>
      </c>
      <c r="H362" s="197" t="s">
        <v>4419</v>
      </c>
      <c r="I362" s="324" t="s">
        <v>4420</v>
      </c>
      <c r="J362" s="237">
        <v>1</v>
      </c>
      <c r="K362" s="237">
        <v>1</v>
      </c>
      <c r="L362" s="265" t="s">
        <v>208</v>
      </c>
      <c r="M362" s="266" t="s">
        <v>322</v>
      </c>
      <c r="N362" s="266" t="s">
        <v>395</v>
      </c>
      <c r="O362" s="267" t="s">
        <v>1975</v>
      </c>
      <c r="P362" s="268" t="s">
        <v>453</v>
      </c>
      <c r="Q362" s="366" t="s">
        <v>265</v>
      </c>
      <c r="R362" s="269">
        <v>129.79</v>
      </c>
      <c r="S362" s="270"/>
      <c r="T362" s="182" t="s">
        <v>265</v>
      </c>
      <c r="U362" s="182">
        <v>1</v>
      </c>
      <c r="V362" s="408">
        <v>1</v>
      </c>
      <c r="W362" s="357" t="s">
        <v>204</v>
      </c>
      <c r="X362" s="156">
        <v>144000000</v>
      </c>
      <c r="Y362" s="417">
        <v>144000000</v>
      </c>
      <c r="Z362" s="418" t="s">
        <v>359</v>
      </c>
      <c r="AA362" s="271"/>
      <c r="AB362" s="168"/>
      <c r="AC362" s="156"/>
      <c r="AD362" s="156"/>
      <c r="AE362" s="320"/>
      <c r="AF362" s="168"/>
      <c r="AG362" s="156"/>
      <c r="AH362" s="156"/>
      <c r="AI362" s="410"/>
    </row>
    <row r="363" spans="1:35" ht="19.5" hidden="1" customHeight="1">
      <c r="A363" s="137"/>
      <c r="B363" s="197">
        <f t="shared" si="6"/>
        <v>353</v>
      </c>
      <c r="C363" s="30" t="s">
        <v>206</v>
      </c>
      <c r="D363" s="30" t="s">
        <v>225</v>
      </c>
      <c r="E363" s="234" t="s">
        <v>829</v>
      </c>
      <c r="F363" s="235" t="s">
        <v>1217</v>
      </c>
      <c r="G363" s="284">
        <f>IFERROR(VLOOKUP(E363,Assign!$C$2:$J$142,8,FALSE),)</f>
        <v>0</v>
      </c>
      <c r="H363" s="197" t="s">
        <v>4829</v>
      </c>
      <c r="I363" s="324" t="s">
        <v>4830</v>
      </c>
      <c r="J363" s="237">
        <v>1</v>
      </c>
      <c r="K363" s="237">
        <v>1</v>
      </c>
      <c r="L363" s="265" t="s">
        <v>208</v>
      </c>
      <c r="M363" s="266" t="s">
        <v>250</v>
      </c>
      <c r="N363" s="266" t="s">
        <v>568</v>
      </c>
      <c r="O363" s="267" t="s">
        <v>2359</v>
      </c>
      <c r="P363" s="268" t="s">
        <v>2360</v>
      </c>
      <c r="Q363" s="269">
        <v>406</v>
      </c>
      <c r="R363" s="269">
        <v>51.65</v>
      </c>
      <c r="S363" s="270"/>
      <c r="T363" s="182">
        <f>27.26/406</f>
        <v>6.7142857142857143E-2</v>
      </c>
      <c r="U363" s="182">
        <v>1</v>
      </c>
      <c r="V363" s="408">
        <v>1</v>
      </c>
      <c r="W363" s="357" t="s">
        <v>204</v>
      </c>
      <c r="X363" s="156">
        <v>134400000</v>
      </c>
      <c r="Y363" s="417">
        <v>134400000</v>
      </c>
      <c r="Z363" s="418" t="s">
        <v>359</v>
      </c>
      <c r="AA363" s="271"/>
      <c r="AB363" s="168"/>
      <c r="AC363" s="156"/>
      <c r="AD363" s="156"/>
      <c r="AE363" s="320"/>
      <c r="AF363" s="168"/>
      <c r="AG363" s="156"/>
      <c r="AH363" s="156"/>
      <c r="AI363" s="410"/>
    </row>
    <row r="364" spans="1:35" ht="19.5" hidden="1" customHeight="1">
      <c r="A364" s="137"/>
      <c r="B364" s="197">
        <f t="shared" si="6"/>
        <v>354</v>
      </c>
      <c r="C364" s="30" t="s">
        <v>206</v>
      </c>
      <c r="D364" s="30" t="s">
        <v>225</v>
      </c>
      <c r="E364" s="234" t="s">
        <v>830</v>
      </c>
      <c r="F364" s="235" t="s">
        <v>1229</v>
      </c>
      <c r="G364" s="284">
        <f>IFERROR(VLOOKUP(E364,Assign!$C$2:$J$142,8,FALSE),)</f>
        <v>0</v>
      </c>
      <c r="H364" s="197" t="s">
        <v>4789</v>
      </c>
      <c r="I364" s="324" t="s">
        <v>4790</v>
      </c>
      <c r="J364" s="237">
        <v>1</v>
      </c>
      <c r="K364" s="237">
        <v>1</v>
      </c>
      <c r="L364" s="265" t="s">
        <v>208</v>
      </c>
      <c r="M364" s="266" t="s">
        <v>228</v>
      </c>
      <c r="N364" s="266" t="s">
        <v>2318</v>
      </c>
      <c r="O364" s="267" t="s">
        <v>2319</v>
      </c>
      <c r="P364" s="268" t="s">
        <v>2320</v>
      </c>
      <c r="Q364" s="269">
        <v>3960</v>
      </c>
      <c r="R364" s="269">
        <v>24.12</v>
      </c>
      <c r="S364" s="270"/>
      <c r="T364" s="182">
        <f>4.2782/3960</f>
        <v>1.0803535353535354E-3</v>
      </c>
      <c r="U364" s="182">
        <v>1</v>
      </c>
      <c r="V364" s="408">
        <v>1</v>
      </c>
      <c r="W364" s="357" t="s">
        <v>204</v>
      </c>
      <c r="X364" s="156">
        <v>120000000</v>
      </c>
      <c r="Y364" s="417">
        <v>120000000</v>
      </c>
      <c r="Z364" s="418" t="s">
        <v>359</v>
      </c>
      <c r="AA364" s="271"/>
      <c r="AB364" s="168"/>
      <c r="AC364" s="156"/>
      <c r="AD364" s="156"/>
      <c r="AE364" s="320"/>
      <c r="AF364" s="168"/>
      <c r="AG364" s="156"/>
      <c r="AH364" s="156"/>
      <c r="AI364" s="410"/>
    </row>
    <row r="365" spans="1:35" ht="19.5" hidden="1" customHeight="1">
      <c r="A365" s="137"/>
      <c r="B365" s="197">
        <f t="shared" si="6"/>
        <v>355</v>
      </c>
      <c r="C365" s="30" t="s">
        <v>206</v>
      </c>
      <c r="D365" s="30" t="s">
        <v>225</v>
      </c>
      <c r="E365" s="234" t="s">
        <v>831</v>
      </c>
      <c r="F365" s="235" t="s">
        <v>1223</v>
      </c>
      <c r="G365" s="284">
        <f>IFERROR(VLOOKUP(E365,Assign!$C$2:$J$142,8,FALSE),)</f>
        <v>0</v>
      </c>
      <c r="H365" s="197" t="s">
        <v>5337</v>
      </c>
      <c r="I365" s="324" t="s">
        <v>5338</v>
      </c>
      <c r="J365" s="237">
        <v>1</v>
      </c>
      <c r="K365" s="237">
        <v>1</v>
      </c>
      <c r="L365" s="265" t="s">
        <v>209</v>
      </c>
      <c r="M365" s="266" t="s">
        <v>341</v>
      </c>
      <c r="N365" s="266" t="s">
        <v>1511</v>
      </c>
      <c r="O365" s="267" t="s">
        <v>1512</v>
      </c>
      <c r="P365" s="268" t="s">
        <v>3508</v>
      </c>
      <c r="Q365" s="269">
        <v>18181.599999999999</v>
      </c>
      <c r="R365" s="269">
        <v>84.53</v>
      </c>
      <c r="S365" s="270"/>
      <c r="T365" s="182">
        <f>39.23/18205.37</f>
        <v>2.1548587037780609E-3</v>
      </c>
      <c r="U365" s="182">
        <v>1</v>
      </c>
      <c r="V365" s="408">
        <v>6</v>
      </c>
      <c r="W365" s="357" t="s">
        <v>204</v>
      </c>
      <c r="X365" s="156">
        <v>110000000</v>
      </c>
      <c r="Y365" s="417">
        <v>110000000</v>
      </c>
      <c r="Z365" s="418" t="s">
        <v>359</v>
      </c>
      <c r="AA365" s="271" t="s">
        <v>333</v>
      </c>
      <c r="AB365" s="168" t="s">
        <v>204</v>
      </c>
      <c r="AC365" s="156">
        <v>450000000</v>
      </c>
      <c r="AD365" s="156">
        <v>450000000</v>
      </c>
      <c r="AE365" s="320"/>
      <c r="AF365" s="168"/>
      <c r="AG365" s="156"/>
      <c r="AH365" s="156"/>
      <c r="AI365" s="410"/>
    </row>
    <row r="366" spans="1:35" ht="19.5" customHeight="1">
      <c r="A366" s="137"/>
      <c r="B366" s="197">
        <f t="shared" si="6"/>
        <v>356</v>
      </c>
      <c r="C366" s="30" t="s">
        <v>206</v>
      </c>
      <c r="D366" s="30" t="s">
        <v>225</v>
      </c>
      <c r="E366" s="234" t="s">
        <v>832</v>
      </c>
      <c r="F366" s="235" t="s">
        <v>1259</v>
      </c>
      <c r="G366" s="284" t="str">
        <f>IFERROR(VLOOKUP(E366,Assign!$C$2:$J$142,8,FALSE),)</f>
        <v>문선영</v>
      </c>
      <c r="H366" s="197" t="s">
        <v>4324</v>
      </c>
      <c r="I366" s="324" t="s">
        <v>4325</v>
      </c>
      <c r="J366" s="237">
        <v>1</v>
      </c>
      <c r="K366" s="237">
        <v>1</v>
      </c>
      <c r="L366" s="265" t="s">
        <v>213</v>
      </c>
      <c r="M366" s="266" t="s">
        <v>275</v>
      </c>
      <c r="N366" s="266" t="s">
        <v>276</v>
      </c>
      <c r="O366" s="267" t="s">
        <v>1889</v>
      </c>
      <c r="P366" s="268" t="s">
        <v>457</v>
      </c>
      <c r="Q366" s="269">
        <v>6005</v>
      </c>
      <c r="R366" s="269">
        <v>73.22</v>
      </c>
      <c r="S366" s="270"/>
      <c r="T366" s="182">
        <f>2894/600500</f>
        <v>4.8193172356369692E-3</v>
      </c>
      <c r="U366" s="182">
        <v>1</v>
      </c>
      <c r="V366" s="408">
        <v>1</v>
      </c>
      <c r="W366" s="357" t="s">
        <v>204</v>
      </c>
      <c r="X366" s="156">
        <v>121200000</v>
      </c>
      <c r="Y366" s="417">
        <v>121200000</v>
      </c>
      <c r="Z366" s="418" t="s">
        <v>359</v>
      </c>
      <c r="AA366" s="271"/>
      <c r="AB366" s="168"/>
      <c r="AC366" s="156"/>
      <c r="AD366" s="156"/>
      <c r="AE366" s="320"/>
      <c r="AF366" s="168"/>
      <c r="AG366" s="156"/>
      <c r="AH366" s="156"/>
      <c r="AI366" s="410"/>
    </row>
    <row r="367" spans="1:35" ht="19.5" hidden="1" customHeight="1">
      <c r="A367" s="137"/>
      <c r="B367" s="197">
        <f t="shared" si="6"/>
        <v>357</v>
      </c>
      <c r="C367" s="30" t="s">
        <v>206</v>
      </c>
      <c r="D367" s="30" t="s">
        <v>225</v>
      </c>
      <c r="E367" s="234" t="s">
        <v>833</v>
      </c>
      <c r="F367" s="235" t="s">
        <v>1217</v>
      </c>
      <c r="G367" s="284">
        <f>IFERROR(VLOOKUP(E367,Assign!$C$2:$J$142,8,FALSE),)</f>
        <v>0</v>
      </c>
      <c r="H367" s="197" t="s">
        <v>4982</v>
      </c>
      <c r="I367" s="324" t="s">
        <v>4983</v>
      </c>
      <c r="J367" s="237">
        <v>1</v>
      </c>
      <c r="K367" s="237">
        <v>1</v>
      </c>
      <c r="L367" s="265" t="s">
        <v>208</v>
      </c>
      <c r="M367" s="266" t="s">
        <v>316</v>
      </c>
      <c r="N367" s="266" t="s">
        <v>2500</v>
      </c>
      <c r="O367" s="267" t="s">
        <v>2501</v>
      </c>
      <c r="P367" s="268" t="s">
        <v>1463</v>
      </c>
      <c r="Q367" s="269">
        <f>337+1</f>
        <v>338</v>
      </c>
      <c r="R367" s="269">
        <v>55.027000000000001</v>
      </c>
      <c r="S367" s="270"/>
      <c r="T367" s="182">
        <f>42.25/338</f>
        <v>0.125</v>
      </c>
      <c r="U367" s="182">
        <v>1</v>
      </c>
      <c r="V367" s="408">
        <v>1</v>
      </c>
      <c r="W367" s="357" t="s">
        <v>204</v>
      </c>
      <c r="X367" s="156">
        <v>105600000</v>
      </c>
      <c r="Y367" s="417">
        <v>105600000</v>
      </c>
      <c r="Z367" s="418" t="s">
        <v>359</v>
      </c>
      <c r="AA367" s="271"/>
      <c r="AB367" s="168"/>
      <c r="AC367" s="156"/>
      <c r="AD367" s="156"/>
      <c r="AE367" s="320"/>
      <c r="AF367" s="168"/>
      <c r="AG367" s="156"/>
      <c r="AH367" s="156"/>
      <c r="AI367" s="410"/>
    </row>
    <row r="368" spans="1:35" ht="19.5" hidden="1" customHeight="1">
      <c r="A368" s="137"/>
      <c r="B368" s="197">
        <f t="shared" si="6"/>
        <v>358</v>
      </c>
      <c r="C368" s="30" t="s">
        <v>206</v>
      </c>
      <c r="D368" s="30" t="s">
        <v>225</v>
      </c>
      <c r="E368" s="234" t="s">
        <v>834</v>
      </c>
      <c r="F368" s="235" t="s">
        <v>1219</v>
      </c>
      <c r="G368" s="284">
        <f>IFERROR(VLOOKUP(E368,Assign!$C$2:$J$142,8,FALSE),)</f>
        <v>0</v>
      </c>
      <c r="H368" s="197" t="s">
        <v>4853</v>
      </c>
      <c r="I368" s="324" t="s">
        <v>4854</v>
      </c>
      <c r="J368" s="237">
        <v>1</v>
      </c>
      <c r="K368" s="237">
        <v>1</v>
      </c>
      <c r="L368" s="265" t="s">
        <v>223</v>
      </c>
      <c r="M368" s="266" t="s">
        <v>410</v>
      </c>
      <c r="N368" s="266" t="s">
        <v>2378</v>
      </c>
      <c r="O368" s="267" t="s">
        <v>2379</v>
      </c>
      <c r="P368" s="268" t="s">
        <v>434</v>
      </c>
      <c r="Q368" s="269">
        <v>31843.9</v>
      </c>
      <c r="R368" s="269">
        <v>84.920599999999993</v>
      </c>
      <c r="S368" s="270"/>
      <c r="T368" s="182">
        <f>51.6784/31843.9</f>
        <v>1.6228665458690675E-3</v>
      </c>
      <c r="U368" s="182">
        <v>1</v>
      </c>
      <c r="V368" s="408">
        <v>1</v>
      </c>
      <c r="W368" s="357" t="s">
        <v>204</v>
      </c>
      <c r="X368" s="156">
        <v>142800000</v>
      </c>
      <c r="Y368" s="417">
        <v>142800000</v>
      </c>
      <c r="Z368" s="418" t="s">
        <v>359</v>
      </c>
      <c r="AA368" s="271"/>
      <c r="AB368" s="168"/>
      <c r="AC368" s="156"/>
      <c r="AD368" s="156"/>
      <c r="AE368" s="320"/>
      <c r="AF368" s="168"/>
      <c r="AG368" s="156"/>
      <c r="AH368" s="156"/>
      <c r="AI368" s="410"/>
    </row>
    <row r="369" spans="1:35" ht="19.5" hidden="1" customHeight="1">
      <c r="A369" s="137"/>
      <c r="B369" s="197">
        <f t="shared" si="6"/>
        <v>359</v>
      </c>
      <c r="C369" s="30" t="s">
        <v>206</v>
      </c>
      <c r="D369" s="30" t="s">
        <v>225</v>
      </c>
      <c r="E369" s="234" t="s">
        <v>835</v>
      </c>
      <c r="F369" s="235" t="s">
        <v>1225</v>
      </c>
      <c r="G369" s="284">
        <f>IFERROR(VLOOKUP(E369,Assign!$C$2:$J$142,8,FALSE),)</f>
        <v>0</v>
      </c>
      <c r="H369" s="197" t="s">
        <v>4732</v>
      </c>
      <c r="I369" s="324" t="s">
        <v>4733</v>
      </c>
      <c r="J369" s="237">
        <v>1</v>
      </c>
      <c r="K369" s="237">
        <v>1</v>
      </c>
      <c r="L369" s="265" t="s">
        <v>208</v>
      </c>
      <c r="M369" s="266" t="s">
        <v>383</v>
      </c>
      <c r="N369" s="266" t="s">
        <v>2269</v>
      </c>
      <c r="O369" s="267" t="s">
        <v>2270</v>
      </c>
      <c r="P369" s="268" t="s">
        <v>482</v>
      </c>
      <c r="Q369" s="269"/>
      <c r="R369" s="269">
        <f>32.8+16.4</f>
        <v>49.199999999999996</v>
      </c>
      <c r="S369" s="270"/>
      <c r="T369" s="182"/>
      <c r="U369" s="182">
        <v>1</v>
      </c>
      <c r="V369" s="408">
        <v>1</v>
      </c>
      <c r="W369" s="357" t="s">
        <v>204</v>
      </c>
      <c r="X369" s="156">
        <v>109320000</v>
      </c>
      <c r="Y369" s="417">
        <v>109320000</v>
      </c>
      <c r="Z369" s="418" t="s">
        <v>359</v>
      </c>
      <c r="AA369" s="271"/>
      <c r="AB369" s="168"/>
      <c r="AC369" s="156"/>
      <c r="AD369" s="156"/>
      <c r="AE369" s="320"/>
      <c r="AF369" s="168"/>
      <c r="AG369" s="156"/>
      <c r="AH369" s="156"/>
      <c r="AI369" s="410"/>
    </row>
    <row r="370" spans="1:35" ht="19.5" hidden="1" customHeight="1">
      <c r="A370" s="137"/>
      <c r="B370" s="197">
        <f t="shared" si="6"/>
        <v>360</v>
      </c>
      <c r="C370" s="30" t="s">
        <v>206</v>
      </c>
      <c r="D370" s="30" t="s">
        <v>225</v>
      </c>
      <c r="E370" s="234" t="s">
        <v>835</v>
      </c>
      <c r="F370" s="235" t="s">
        <v>1225</v>
      </c>
      <c r="G370" s="284">
        <f>IFERROR(VLOOKUP(E370,Assign!$C$2:$J$142,8,FALSE),)</f>
        <v>0</v>
      </c>
      <c r="H370" s="197" t="s">
        <v>4732</v>
      </c>
      <c r="I370" s="324" t="s">
        <v>4734</v>
      </c>
      <c r="J370" s="237">
        <v>1</v>
      </c>
      <c r="K370" s="237">
        <v>2</v>
      </c>
      <c r="L370" s="265" t="s">
        <v>208</v>
      </c>
      <c r="M370" s="266" t="s">
        <v>383</v>
      </c>
      <c r="N370" s="266" t="s">
        <v>2269</v>
      </c>
      <c r="O370" s="267" t="s">
        <v>2271</v>
      </c>
      <c r="P370" s="268" t="s">
        <v>450</v>
      </c>
      <c r="Q370" s="269">
        <v>113</v>
      </c>
      <c r="R370" s="269"/>
      <c r="S370" s="270"/>
      <c r="T370" s="182"/>
      <c r="U370" s="182">
        <v>1</v>
      </c>
      <c r="V370" s="408">
        <v>1</v>
      </c>
      <c r="W370" s="357" t="s">
        <v>204</v>
      </c>
      <c r="X370" s="156">
        <v>109320000</v>
      </c>
      <c r="Y370" s="417">
        <v>109320000</v>
      </c>
      <c r="Z370" s="418" t="s">
        <v>359</v>
      </c>
      <c r="AA370" s="271"/>
      <c r="AB370" s="168"/>
      <c r="AC370" s="156"/>
      <c r="AD370" s="156"/>
      <c r="AE370" s="320"/>
      <c r="AF370" s="168"/>
      <c r="AG370" s="156"/>
      <c r="AH370" s="156"/>
      <c r="AI370" s="410"/>
    </row>
    <row r="371" spans="1:35" ht="19.5" hidden="1" customHeight="1">
      <c r="A371" s="137"/>
      <c r="B371" s="197">
        <f t="shared" si="6"/>
        <v>361</v>
      </c>
      <c r="C371" s="30" t="s">
        <v>206</v>
      </c>
      <c r="D371" s="30" t="s">
        <v>225</v>
      </c>
      <c r="E371" s="234" t="s">
        <v>835</v>
      </c>
      <c r="F371" s="235" t="s">
        <v>1225</v>
      </c>
      <c r="G371" s="284">
        <f>IFERROR(VLOOKUP(E371,Assign!$C$2:$J$142,8,FALSE),)</f>
        <v>0</v>
      </c>
      <c r="H371" s="197" t="s">
        <v>4732</v>
      </c>
      <c r="I371" s="324" t="s">
        <v>4735</v>
      </c>
      <c r="J371" s="237">
        <v>1</v>
      </c>
      <c r="K371" s="237">
        <v>3</v>
      </c>
      <c r="L371" s="265" t="s">
        <v>208</v>
      </c>
      <c r="M371" s="266" t="s">
        <v>383</v>
      </c>
      <c r="N371" s="266" t="s">
        <v>2269</v>
      </c>
      <c r="O371" s="267" t="s">
        <v>2272</v>
      </c>
      <c r="P371" s="268" t="s">
        <v>450</v>
      </c>
      <c r="Q371" s="269">
        <v>2</v>
      </c>
      <c r="R371" s="269"/>
      <c r="S371" s="270"/>
      <c r="T371" s="182"/>
      <c r="U371" s="182">
        <v>1</v>
      </c>
      <c r="V371" s="408">
        <v>1</v>
      </c>
      <c r="W371" s="357" t="s">
        <v>204</v>
      </c>
      <c r="X371" s="156">
        <v>109320000</v>
      </c>
      <c r="Y371" s="417">
        <v>109320000</v>
      </c>
      <c r="Z371" s="418" t="s">
        <v>359</v>
      </c>
      <c r="AA371" s="271"/>
      <c r="AB371" s="168"/>
      <c r="AC371" s="156"/>
      <c r="AD371" s="156"/>
      <c r="AE371" s="320"/>
      <c r="AF371" s="168"/>
      <c r="AG371" s="156"/>
      <c r="AH371" s="156"/>
      <c r="AI371" s="410"/>
    </row>
    <row r="372" spans="1:35" ht="19.5" hidden="1" customHeight="1">
      <c r="A372" s="137"/>
      <c r="B372" s="197">
        <f t="shared" si="6"/>
        <v>362</v>
      </c>
      <c r="C372" s="30" t="s">
        <v>206</v>
      </c>
      <c r="D372" s="30" t="s">
        <v>225</v>
      </c>
      <c r="E372" s="234" t="s">
        <v>835</v>
      </c>
      <c r="F372" s="235" t="s">
        <v>1225</v>
      </c>
      <c r="G372" s="284">
        <f>IFERROR(VLOOKUP(E372,Assign!$C$2:$J$142,8,FALSE),)</f>
        <v>0</v>
      </c>
      <c r="H372" s="197" t="s">
        <v>4732</v>
      </c>
      <c r="I372" s="324" t="s">
        <v>4736</v>
      </c>
      <c r="J372" s="237">
        <v>1</v>
      </c>
      <c r="K372" s="237">
        <v>4</v>
      </c>
      <c r="L372" s="265" t="s">
        <v>208</v>
      </c>
      <c r="M372" s="266" t="s">
        <v>383</v>
      </c>
      <c r="N372" s="266" t="s">
        <v>2269</v>
      </c>
      <c r="O372" s="267" t="s">
        <v>2273</v>
      </c>
      <c r="P372" s="268" t="s">
        <v>456</v>
      </c>
      <c r="Q372" s="269">
        <v>791</v>
      </c>
      <c r="R372" s="269"/>
      <c r="S372" s="270"/>
      <c r="T372" s="182"/>
      <c r="U372" s="182">
        <f>50/791</f>
        <v>6.3211125158027806E-2</v>
      </c>
      <c r="V372" s="408">
        <v>1</v>
      </c>
      <c r="W372" s="357" t="s">
        <v>204</v>
      </c>
      <c r="X372" s="156">
        <v>109320000</v>
      </c>
      <c r="Y372" s="417">
        <v>109320000</v>
      </c>
      <c r="Z372" s="418" t="s">
        <v>359</v>
      </c>
      <c r="AA372" s="271"/>
      <c r="AB372" s="168"/>
      <c r="AC372" s="156"/>
      <c r="AD372" s="156"/>
      <c r="AE372" s="320"/>
      <c r="AF372" s="168"/>
      <c r="AG372" s="156"/>
      <c r="AH372" s="156"/>
      <c r="AI372" s="410"/>
    </row>
    <row r="373" spans="1:35" ht="19.5" hidden="1" customHeight="1">
      <c r="A373" s="137"/>
      <c r="B373" s="197">
        <f t="shared" si="6"/>
        <v>363</v>
      </c>
      <c r="C373" s="30" t="s">
        <v>206</v>
      </c>
      <c r="D373" s="30" t="s">
        <v>225</v>
      </c>
      <c r="E373" s="234" t="s">
        <v>836</v>
      </c>
      <c r="F373" s="235" t="s">
        <v>1231</v>
      </c>
      <c r="G373" s="284">
        <f>IFERROR(VLOOKUP(E373,Assign!$C$2:$J$142,8,FALSE),)</f>
        <v>0</v>
      </c>
      <c r="H373" s="197" t="s">
        <v>4555</v>
      </c>
      <c r="I373" s="324" t="s">
        <v>4556</v>
      </c>
      <c r="J373" s="237">
        <v>1</v>
      </c>
      <c r="K373" s="237">
        <v>1</v>
      </c>
      <c r="L373" s="265" t="s">
        <v>214</v>
      </c>
      <c r="M373" s="266" t="s">
        <v>338</v>
      </c>
      <c r="N373" s="266" t="s">
        <v>1765</v>
      </c>
      <c r="O373" s="267" t="s">
        <v>2095</v>
      </c>
      <c r="P373" s="268" t="s">
        <v>2096</v>
      </c>
      <c r="Q373" s="269">
        <v>1550.4</v>
      </c>
      <c r="R373" s="269">
        <v>18.64</v>
      </c>
      <c r="S373" s="270"/>
      <c r="T373" s="182">
        <f>4.29/1550.4</f>
        <v>2.7670278637770898E-3</v>
      </c>
      <c r="U373" s="182">
        <v>1</v>
      </c>
      <c r="V373" s="408">
        <v>1</v>
      </c>
      <c r="W373" s="357" t="s">
        <v>204</v>
      </c>
      <c r="X373" s="156">
        <v>55200000</v>
      </c>
      <c r="Y373" s="417">
        <v>55200000</v>
      </c>
      <c r="Z373" s="418" t="s">
        <v>359</v>
      </c>
      <c r="AA373" s="271"/>
      <c r="AB373" s="168"/>
      <c r="AC373" s="156"/>
      <c r="AD373" s="156"/>
      <c r="AE373" s="320"/>
      <c r="AF373" s="168"/>
      <c r="AG373" s="156"/>
      <c r="AH373" s="156"/>
      <c r="AI373" s="410"/>
    </row>
    <row r="374" spans="1:35" ht="19.5" hidden="1" customHeight="1">
      <c r="A374" s="137"/>
      <c r="B374" s="197">
        <f t="shared" si="6"/>
        <v>364</v>
      </c>
      <c r="C374" s="30" t="s">
        <v>206</v>
      </c>
      <c r="D374" s="30" t="s">
        <v>225</v>
      </c>
      <c r="E374" s="234" t="s">
        <v>836</v>
      </c>
      <c r="F374" s="235" t="s">
        <v>1231</v>
      </c>
      <c r="G374" s="284">
        <f>IFERROR(VLOOKUP(E374,Assign!$C$2:$J$142,8,FALSE),)</f>
        <v>0</v>
      </c>
      <c r="H374" s="197" t="s">
        <v>4557</v>
      </c>
      <c r="I374" s="324" t="s">
        <v>4558</v>
      </c>
      <c r="J374" s="237">
        <v>2</v>
      </c>
      <c r="K374" s="237">
        <v>1</v>
      </c>
      <c r="L374" s="265" t="s">
        <v>214</v>
      </c>
      <c r="M374" s="266" t="s">
        <v>338</v>
      </c>
      <c r="N374" s="266" t="s">
        <v>1765</v>
      </c>
      <c r="O374" s="267" t="s">
        <v>2097</v>
      </c>
      <c r="P374" s="268" t="s">
        <v>2096</v>
      </c>
      <c r="Q374" s="269">
        <v>1550.4</v>
      </c>
      <c r="R374" s="269">
        <v>18.64</v>
      </c>
      <c r="S374" s="270"/>
      <c r="T374" s="182">
        <f>4.29/1550.4</f>
        <v>2.7670278637770898E-3</v>
      </c>
      <c r="U374" s="182">
        <v>1</v>
      </c>
      <c r="V374" s="408">
        <v>1</v>
      </c>
      <c r="W374" s="357" t="s">
        <v>204</v>
      </c>
      <c r="X374" s="156">
        <v>55200000</v>
      </c>
      <c r="Y374" s="417">
        <v>55200000</v>
      </c>
      <c r="Z374" s="418" t="s">
        <v>359</v>
      </c>
      <c r="AA374" s="271"/>
      <c r="AB374" s="168"/>
      <c r="AC374" s="156"/>
      <c r="AD374" s="156"/>
      <c r="AE374" s="320"/>
      <c r="AF374" s="168"/>
      <c r="AG374" s="156"/>
      <c r="AH374" s="156"/>
      <c r="AI374" s="410"/>
    </row>
    <row r="375" spans="1:35" ht="19.5" hidden="1" customHeight="1">
      <c r="A375" s="137"/>
      <c r="B375" s="197">
        <f t="shared" si="6"/>
        <v>365</v>
      </c>
      <c r="C375" s="30" t="s">
        <v>206</v>
      </c>
      <c r="D375" s="30" t="s">
        <v>225</v>
      </c>
      <c r="E375" s="234" t="s">
        <v>837</v>
      </c>
      <c r="F375" s="235" t="s">
        <v>1218</v>
      </c>
      <c r="G375" s="284">
        <f>IFERROR(VLOOKUP(E375,Assign!$C$2:$J$142,8,FALSE),)</f>
        <v>0</v>
      </c>
      <c r="H375" s="197" t="s">
        <v>4604</v>
      </c>
      <c r="I375" s="324" t="s">
        <v>4605</v>
      </c>
      <c r="J375" s="237">
        <v>1</v>
      </c>
      <c r="K375" s="237">
        <v>1</v>
      </c>
      <c r="L375" s="265" t="s">
        <v>224</v>
      </c>
      <c r="M375" s="266" t="s">
        <v>428</v>
      </c>
      <c r="N375" s="266" t="s">
        <v>2141</v>
      </c>
      <c r="O375" s="267" t="s">
        <v>2142</v>
      </c>
      <c r="P375" s="268" t="s">
        <v>458</v>
      </c>
      <c r="Q375" s="269">
        <v>437.8</v>
      </c>
      <c r="R375" s="269">
        <v>76.98</v>
      </c>
      <c r="S375" s="270"/>
      <c r="T375" s="182">
        <f>54.725/437.8</f>
        <v>0.125</v>
      </c>
      <c r="U375" s="182">
        <v>1</v>
      </c>
      <c r="V375" s="408">
        <v>1</v>
      </c>
      <c r="W375" s="357" t="s">
        <v>204</v>
      </c>
      <c r="X375" s="156">
        <v>126000000</v>
      </c>
      <c r="Y375" s="417">
        <v>126000000</v>
      </c>
      <c r="Z375" s="418" t="s">
        <v>359</v>
      </c>
      <c r="AA375" s="271"/>
      <c r="AB375" s="168"/>
      <c r="AC375" s="156"/>
      <c r="AD375" s="156"/>
      <c r="AE375" s="320"/>
      <c r="AF375" s="168"/>
      <c r="AG375" s="156"/>
      <c r="AH375" s="156"/>
      <c r="AI375" s="410"/>
    </row>
    <row r="376" spans="1:35" ht="19.5" hidden="1" customHeight="1">
      <c r="A376" s="137"/>
      <c r="B376" s="197">
        <f t="shared" si="6"/>
        <v>366</v>
      </c>
      <c r="C376" s="30" t="s">
        <v>206</v>
      </c>
      <c r="D376" s="30" t="s">
        <v>225</v>
      </c>
      <c r="E376" s="234" t="s">
        <v>838</v>
      </c>
      <c r="F376" s="235" t="s">
        <v>1223</v>
      </c>
      <c r="G376" s="284">
        <f>IFERROR(VLOOKUP(E376,Assign!$C$2:$J$142,8,FALSE),)</f>
        <v>0</v>
      </c>
      <c r="H376" s="197" t="s">
        <v>4857</v>
      </c>
      <c r="I376" s="324" t="s">
        <v>4858</v>
      </c>
      <c r="J376" s="237">
        <v>1</v>
      </c>
      <c r="K376" s="237">
        <v>1</v>
      </c>
      <c r="L376" s="265" t="s">
        <v>212</v>
      </c>
      <c r="M376" s="266" t="s">
        <v>304</v>
      </c>
      <c r="N376" s="266" t="s">
        <v>2382</v>
      </c>
      <c r="O376" s="267" t="s">
        <v>2383</v>
      </c>
      <c r="P376" s="268" t="s">
        <v>1958</v>
      </c>
      <c r="Q376" s="269">
        <v>266.8</v>
      </c>
      <c r="R376" s="269">
        <v>59.41</v>
      </c>
      <c r="S376" s="270"/>
      <c r="T376" s="182">
        <f>33.4/266.8</f>
        <v>0.12518740629685157</v>
      </c>
      <c r="U376" s="182">
        <v>1</v>
      </c>
      <c r="V376" s="408">
        <v>1</v>
      </c>
      <c r="W376" s="357" t="s">
        <v>204</v>
      </c>
      <c r="X376" s="156">
        <v>122400000</v>
      </c>
      <c r="Y376" s="417">
        <v>122400000</v>
      </c>
      <c r="Z376" s="418" t="s">
        <v>359</v>
      </c>
      <c r="AA376" s="271"/>
      <c r="AB376" s="168"/>
      <c r="AC376" s="156"/>
      <c r="AD376" s="156"/>
      <c r="AE376" s="320"/>
      <c r="AF376" s="168"/>
      <c r="AG376" s="156"/>
      <c r="AH376" s="156"/>
      <c r="AI376" s="410"/>
    </row>
    <row r="377" spans="1:35" ht="19.5" hidden="1" customHeight="1">
      <c r="A377" s="137"/>
      <c r="B377" s="197">
        <f t="shared" si="6"/>
        <v>367</v>
      </c>
      <c r="C377" s="30" t="s">
        <v>206</v>
      </c>
      <c r="D377" s="30" t="s">
        <v>225</v>
      </c>
      <c r="E377" s="234" t="s">
        <v>839</v>
      </c>
      <c r="F377" s="235" t="s">
        <v>1260</v>
      </c>
      <c r="G377" s="284">
        <f>IFERROR(VLOOKUP(E377,Assign!$C$2:$J$142,8,FALSE),)</f>
        <v>0</v>
      </c>
      <c r="H377" s="197" t="s">
        <v>5166</v>
      </c>
      <c r="I377" s="324" t="s">
        <v>5167</v>
      </c>
      <c r="J377" s="237">
        <v>1</v>
      </c>
      <c r="K377" s="237">
        <v>1</v>
      </c>
      <c r="L377" s="265" t="s">
        <v>208</v>
      </c>
      <c r="M377" s="266" t="s">
        <v>365</v>
      </c>
      <c r="N377" s="266" t="s">
        <v>366</v>
      </c>
      <c r="O377" s="267" t="s">
        <v>2678</v>
      </c>
      <c r="P377" s="268" t="s">
        <v>1958</v>
      </c>
      <c r="Q377" s="269">
        <v>301</v>
      </c>
      <c r="R377" s="269">
        <v>58.59</v>
      </c>
      <c r="S377" s="270"/>
      <c r="T377" s="182">
        <f>30.45/301</f>
        <v>0.10116279069767442</v>
      </c>
      <c r="U377" s="182">
        <v>1</v>
      </c>
      <c r="V377" s="408">
        <v>1</v>
      </c>
      <c r="W377" s="357" t="s">
        <v>204</v>
      </c>
      <c r="X377" s="156">
        <v>117600000</v>
      </c>
      <c r="Y377" s="417">
        <v>117600000</v>
      </c>
      <c r="Z377" s="418" t="s">
        <v>359</v>
      </c>
      <c r="AA377" s="271"/>
      <c r="AB377" s="168"/>
      <c r="AC377" s="156"/>
      <c r="AD377" s="156"/>
      <c r="AE377" s="320"/>
      <c r="AF377" s="168"/>
      <c r="AG377" s="156"/>
      <c r="AH377" s="156"/>
      <c r="AI377" s="410"/>
    </row>
    <row r="378" spans="1:35" ht="19.5" customHeight="1">
      <c r="A378" s="137"/>
      <c r="B378" s="197">
        <f t="shared" si="6"/>
        <v>368</v>
      </c>
      <c r="C378" s="30" t="s">
        <v>206</v>
      </c>
      <c r="D378" s="30" t="s">
        <v>225</v>
      </c>
      <c r="E378" s="234" t="s">
        <v>840</v>
      </c>
      <c r="F378" s="235" t="s">
        <v>1219</v>
      </c>
      <c r="G378" s="284" t="str">
        <f>IFERROR(VLOOKUP(E378,Assign!$C$2:$J$142,8,FALSE),)</f>
        <v>문선영</v>
      </c>
      <c r="H378" s="197" t="s">
        <v>4507</v>
      </c>
      <c r="I378" s="324" t="s">
        <v>4508</v>
      </c>
      <c r="J378" s="237">
        <v>1</v>
      </c>
      <c r="K378" s="237">
        <v>1</v>
      </c>
      <c r="L378" s="265" t="s">
        <v>219</v>
      </c>
      <c r="M378" s="266" t="s">
        <v>313</v>
      </c>
      <c r="N378" s="266" t="s">
        <v>2049</v>
      </c>
      <c r="O378" s="267" t="s">
        <v>2050</v>
      </c>
      <c r="P378" s="268" t="s">
        <v>475</v>
      </c>
      <c r="Q378" s="269">
        <v>37065.1</v>
      </c>
      <c r="R378" s="269">
        <v>84.696200000000005</v>
      </c>
      <c r="S378" s="270"/>
      <c r="T378" s="182">
        <f>57.6807/37065.1</f>
        <v>1.5561997674362136E-3</v>
      </c>
      <c r="U378" s="182">
        <v>1</v>
      </c>
      <c r="V378" s="408" t="s">
        <v>292</v>
      </c>
      <c r="W378" s="357" t="s">
        <v>204</v>
      </c>
      <c r="X378" s="156">
        <v>102000000</v>
      </c>
      <c r="Y378" s="417">
        <v>102000000</v>
      </c>
      <c r="Z378" s="418" t="s">
        <v>359</v>
      </c>
      <c r="AA378" s="271">
        <v>1</v>
      </c>
      <c r="AB378" s="168" t="s">
        <v>204</v>
      </c>
      <c r="AC378" s="156">
        <v>168300000</v>
      </c>
      <c r="AD378" s="156">
        <v>168300000</v>
      </c>
      <c r="AE378" s="320"/>
      <c r="AF378" s="168"/>
      <c r="AG378" s="156"/>
      <c r="AH378" s="156"/>
      <c r="AI378" s="410"/>
    </row>
    <row r="379" spans="1:35" ht="19.5" customHeight="1">
      <c r="A379" s="137"/>
      <c r="B379" s="197">
        <f t="shared" si="6"/>
        <v>369</v>
      </c>
      <c r="C379" s="30" t="s">
        <v>206</v>
      </c>
      <c r="D379" s="30" t="s">
        <v>225</v>
      </c>
      <c r="E379" s="234" t="s">
        <v>841</v>
      </c>
      <c r="F379" s="235" t="s">
        <v>1217</v>
      </c>
      <c r="G379" s="284" t="str">
        <f>IFERROR(VLOOKUP(E379,Assign!$C$2:$J$142,8,FALSE),)</f>
        <v>문선영</v>
      </c>
      <c r="H379" s="197" t="s">
        <v>4864</v>
      </c>
      <c r="I379" s="324" t="s">
        <v>4865</v>
      </c>
      <c r="J379" s="237">
        <v>1</v>
      </c>
      <c r="K379" s="237">
        <v>1</v>
      </c>
      <c r="L379" s="265" t="s">
        <v>217</v>
      </c>
      <c r="M379" s="266" t="s">
        <v>2010</v>
      </c>
      <c r="N379" s="266" t="s">
        <v>2390</v>
      </c>
      <c r="O379" s="267" t="s">
        <v>2391</v>
      </c>
      <c r="P379" s="268" t="s">
        <v>430</v>
      </c>
      <c r="Q379" s="269">
        <v>63818.8</v>
      </c>
      <c r="R379" s="269">
        <v>74.993899999999996</v>
      </c>
      <c r="S379" s="270"/>
      <c r="T379" s="182">
        <f>37.0045/63818.8</f>
        <v>5.7983697593812483E-4</v>
      </c>
      <c r="U379" s="182">
        <v>1</v>
      </c>
      <c r="V379" s="408">
        <v>2</v>
      </c>
      <c r="W379" s="357" t="s">
        <v>204</v>
      </c>
      <c r="X379" s="156">
        <v>99000000</v>
      </c>
      <c r="Y379" s="417">
        <v>99000000</v>
      </c>
      <c r="Z379" s="418" t="s">
        <v>359</v>
      </c>
      <c r="AA379" s="271">
        <v>1</v>
      </c>
      <c r="AB379" s="168" t="s">
        <v>204</v>
      </c>
      <c r="AC379" s="156">
        <v>158400000</v>
      </c>
      <c r="AD379" s="156">
        <v>158400000</v>
      </c>
      <c r="AE379" s="320"/>
      <c r="AF379" s="168"/>
      <c r="AG379" s="156"/>
      <c r="AH379" s="156"/>
      <c r="AI379" s="410"/>
    </row>
    <row r="380" spans="1:35" ht="19.5" hidden="1" customHeight="1">
      <c r="A380" s="137"/>
      <c r="B380" s="197">
        <f t="shared" si="6"/>
        <v>370</v>
      </c>
      <c r="C380" s="30" t="s">
        <v>206</v>
      </c>
      <c r="D380" s="30" t="s">
        <v>225</v>
      </c>
      <c r="E380" s="234" t="s">
        <v>842</v>
      </c>
      <c r="F380" s="235" t="s">
        <v>1238</v>
      </c>
      <c r="G380" s="284">
        <f>IFERROR(VLOOKUP(E380,Assign!$C$2:$J$142,8,FALSE),)</f>
        <v>0</v>
      </c>
      <c r="H380" s="197" t="s">
        <v>4413</v>
      </c>
      <c r="I380" s="324" t="s">
        <v>4414</v>
      </c>
      <c r="J380" s="237">
        <v>1</v>
      </c>
      <c r="K380" s="237">
        <v>1</v>
      </c>
      <c r="L380" s="265" t="s">
        <v>219</v>
      </c>
      <c r="M380" s="266" t="s">
        <v>1934</v>
      </c>
      <c r="N380" s="266" t="s">
        <v>1968</v>
      </c>
      <c r="O380" s="267" t="s">
        <v>1969</v>
      </c>
      <c r="P380" s="268" t="s">
        <v>3517</v>
      </c>
      <c r="Q380" s="269">
        <v>26354</v>
      </c>
      <c r="R380" s="269">
        <v>84.915000000000006</v>
      </c>
      <c r="S380" s="270"/>
      <c r="T380" s="182">
        <f>74.731/26354</f>
        <v>2.8356606207786293E-3</v>
      </c>
      <c r="U380" s="182">
        <v>1</v>
      </c>
      <c r="V380" s="408">
        <v>1</v>
      </c>
      <c r="W380" s="357" t="s">
        <v>204</v>
      </c>
      <c r="X380" s="156">
        <v>103200000</v>
      </c>
      <c r="Y380" s="417">
        <v>103200000</v>
      </c>
      <c r="Z380" s="418" t="s">
        <v>359</v>
      </c>
      <c r="AA380" s="271"/>
      <c r="AB380" s="168"/>
      <c r="AC380" s="156"/>
      <c r="AD380" s="156"/>
      <c r="AE380" s="320"/>
      <c r="AF380" s="168"/>
      <c r="AG380" s="156"/>
      <c r="AH380" s="156"/>
      <c r="AI380" s="410"/>
    </row>
    <row r="381" spans="1:35" ht="19.5" hidden="1" customHeight="1">
      <c r="A381" s="137"/>
      <c r="B381" s="197">
        <f t="shared" si="6"/>
        <v>371</v>
      </c>
      <c r="C381" s="30" t="s">
        <v>206</v>
      </c>
      <c r="D381" s="30" t="s">
        <v>225</v>
      </c>
      <c r="E381" s="234" t="s">
        <v>843</v>
      </c>
      <c r="F381" s="235" t="s">
        <v>1257</v>
      </c>
      <c r="G381" s="284">
        <f>IFERROR(VLOOKUP(E381,Assign!$C$2:$J$142,8,FALSE),)</f>
        <v>0</v>
      </c>
      <c r="H381" s="197" t="s">
        <v>4062</v>
      </c>
      <c r="I381" s="324" t="s">
        <v>4063</v>
      </c>
      <c r="J381" s="237">
        <v>1</v>
      </c>
      <c r="K381" s="237">
        <v>1</v>
      </c>
      <c r="L381" s="265" t="s">
        <v>224</v>
      </c>
      <c r="M381" s="266" t="s">
        <v>428</v>
      </c>
      <c r="N381" s="266" t="s">
        <v>1637</v>
      </c>
      <c r="O381" s="267" t="s">
        <v>1638</v>
      </c>
      <c r="P381" s="268" t="s">
        <v>1639</v>
      </c>
      <c r="Q381" s="269"/>
      <c r="R381" s="269">
        <f>69.88+37.36+1</f>
        <v>108.24</v>
      </c>
      <c r="S381" s="270"/>
      <c r="T381" s="182"/>
      <c r="U381" s="182">
        <v>1</v>
      </c>
      <c r="V381" s="408">
        <v>1</v>
      </c>
      <c r="W381" s="357" t="s">
        <v>204</v>
      </c>
      <c r="X381" s="156">
        <v>98000000</v>
      </c>
      <c r="Y381" s="417">
        <v>98000000</v>
      </c>
      <c r="Z381" s="418" t="s">
        <v>359</v>
      </c>
      <c r="AA381" s="271"/>
      <c r="AB381" s="168"/>
      <c r="AC381" s="156"/>
      <c r="AD381" s="156"/>
      <c r="AE381" s="320"/>
      <c r="AF381" s="168"/>
      <c r="AG381" s="156"/>
      <c r="AH381" s="156"/>
      <c r="AI381" s="410"/>
    </row>
    <row r="382" spans="1:35" ht="19.5" hidden="1" customHeight="1">
      <c r="A382" s="137"/>
      <c r="B382" s="197">
        <f t="shared" si="6"/>
        <v>372</v>
      </c>
      <c r="C382" s="30" t="s">
        <v>206</v>
      </c>
      <c r="D382" s="30" t="s">
        <v>225</v>
      </c>
      <c r="E382" s="234" t="s">
        <v>843</v>
      </c>
      <c r="F382" s="235" t="s">
        <v>1257</v>
      </c>
      <c r="G382" s="284">
        <f>IFERROR(VLOOKUP(E382,Assign!$C$2:$J$142,8,FALSE),)</f>
        <v>0</v>
      </c>
      <c r="H382" s="197" t="s">
        <v>4062</v>
      </c>
      <c r="I382" s="324" t="s">
        <v>4064</v>
      </c>
      <c r="J382" s="237">
        <v>1</v>
      </c>
      <c r="K382" s="237">
        <v>2</v>
      </c>
      <c r="L382" s="265" t="s">
        <v>224</v>
      </c>
      <c r="M382" s="266" t="s">
        <v>428</v>
      </c>
      <c r="N382" s="266" t="s">
        <v>1637</v>
      </c>
      <c r="O382" s="267" t="s">
        <v>1638</v>
      </c>
      <c r="P382" s="268" t="s">
        <v>450</v>
      </c>
      <c r="Q382" s="269">
        <v>188.5</v>
      </c>
      <c r="R382" s="269"/>
      <c r="S382" s="270"/>
      <c r="T382" s="182"/>
      <c r="U382" s="182">
        <v>1</v>
      </c>
      <c r="V382" s="408">
        <v>1</v>
      </c>
      <c r="W382" s="357" t="s">
        <v>204</v>
      </c>
      <c r="X382" s="156">
        <v>98000000</v>
      </c>
      <c r="Y382" s="417">
        <v>98000000</v>
      </c>
      <c r="Z382" s="418" t="s">
        <v>359</v>
      </c>
      <c r="AA382" s="271"/>
      <c r="AB382" s="168"/>
      <c r="AC382" s="156"/>
      <c r="AD382" s="156"/>
      <c r="AE382" s="320"/>
      <c r="AF382" s="168"/>
      <c r="AG382" s="156"/>
      <c r="AH382" s="156"/>
      <c r="AI382" s="410"/>
    </row>
    <row r="383" spans="1:35" ht="19.5" hidden="1" customHeight="1">
      <c r="A383" s="137"/>
      <c r="B383" s="197">
        <f t="shared" si="6"/>
        <v>373</v>
      </c>
      <c r="C383" s="30" t="s">
        <v>206</v>
      </c>
      <c r="D383" s="30" t="s">
        <v>225</v>
      </c>
      <c r="E383" s="234" t="s">
        <v>844</v>
      </c>
      <c r="F383" s="235" t="s">
        <v>1261</v>
      </c>
      <c r="G383" s="284">
        <f>IFERROR(VLOOKUP(E383,Assign!$C$2:$J$142,8,FALSE),)</f>
        <v>0</v>
      </c>
      <c r="H383" s="197" t="s">
        <v>4505</v>
      </c>
      <c r="I383" s="324" t="s">
        <v>4506</v>
      </c>
      <c r="J383" s="237">
        <v>1</v>
      </c>
      <c r="K383" s="237">
        <v>1</v>
      </c>
      <c r="L383" s="265" t="s">
        <v>208</v>
      </c>
      <c r="M383" s="266" t="s">
        <v>259</v>
      </c>
      <c r="N383" s="266" t="s">
        <v>1678</v>
      </c>
      <c r="O383" s="267" t="s">
        <v>2047</v>
      </c>
      <c r="P383" s="268" t="s">
        <v>2048</v>
      </c>
      <c r="Q383" s="269">
        <v>1284</v>
      </c>
      <c r="R383" s="269">
        <v>38.5</v>
      </c>
      <c r="S383" s="270"/>
      <c r="T383" s="182">
        <f>8.758/1284</f>
        <v>6.8208722741433013E-3</v>
      </c>
      <c r="U383" s="182">
        <v>1</v>
      </c>
      <c r="V383" s="408">
        <v>1</v>
      </c>
      <c r="W383" s="357" t="s">
        <v>204</v>
      </c>
      <c r="X383" s="156">
        <v>99600000</v>
      </c>
      <c r="Y383" s="417">
        <v>99600000</v>
      </c>
      <c r="Z383" s="418" t="s">
        <v>359</v>
      </c>
      <c r="AA383" s="271"/>
      <c r="AB383" s="168"/>
      <c r="AC383" s="156"/>
      <c r="AD383" s="156"/>
      <c r="AE383" s="320"/>
      <c r="AF383" s="168"/>
      <c r="AG383" s="156"/>
      <c r="AH383" s="156"/>
      <c r="AI383" s="410"/>
    </row>
    <row r="384" spans="1:35" ht="19.5" hidden="1" customHeight="1">
      <c r="A384" s="137"/>
      <c r="B384" s="197">
        <f t="shared" si="6"/>
        <v>374</v>
      </c>
      <c r="C384" s="30" t="s">
        <v>206</v>
      </c>
      <c r="D384" s="30" t="s">
        <v>225</v>
      </c>
      <c r="E384" s="234" t="s">
        <v>845</v>
      </c>
      <c r="F384" s="235" t="s">
        <v>1262</v>
      </c>
      <c r="G384" s="284">
        <f>IFERROR(VLOOKUP(E384,Assign!$C$2:$J$142,8,FALSE),)</f>
        <v>0</v>
      </c>
      <c r="H384" s="197" t="s">
        <v>4930</v>
      </c>
      <c r="I384" s="324" t="s">
        <v>4931</v>
      </c>
      <c r="J384" s="237">
        <v>1</v>
      </c>
      <c r="K384" s="237">
        <v>1</v>
      </c>
      <c r="L384" s="265" t="s">
        <v>209</v>
      </c>
      <c r="M384" s="266" t="s">
        <v>291</v>
      </c>
      <c r="N384" s="266" t="s">
        <v>293</v>
      </c>
      <c r="O384" s="267" t="s">
        <v>2449</v>
      </c>
      <c r="P384" s="268" t="s">
        <v>2450</v>
      </c>
      <c r="Q384" s="269">
        <v>260</v>
      </c>
      <c r="R384" s="269">
        <v>55.2</v>
      </c>
      <c r="S384" s="270"/>
      <c r="T384" s="182">
        <f>31.925/260</f>
        <v>0.12278846153846154</v>
      </c>
      <c r="U384" s="182">
        <v>1</v>
      </c>
      <c r="V384" s="408">
        <v>1</v>
      </c>
      <c r="W384" s="357" t="s">
        <v>204</v>
      </c>
      <c r="X384" s="156">
        <v>168000000</v>
      </c>
      <c r="Y384" s="417">
        <v>168000000</v>
      </c>
      <c r="Z384" s="418" t="s">
        <v>359</v>
      </c>
      <c r="AA384" s="271"/>
      <c r="AB384" s="168"/>
      <c r="AC384" s="156"/>
      <c r="AD384" s="156"/>
      <c r="AE384" s="320"/>
      <c r="AF384" s="168"/>
      <c r="AG384" s="156"/>
      <c r="AH384" s="156"/>
      <c r="AI384" s="410"/>
    </row>
    <row r="385" spans="1:35" ht="19.5" hidden="1" customHeight="1">
      <c r="A385" s="137"/>
      <c r="B385" s="197">
        <f t="shared" si="6"/>
        <v>375</v>
      </c>
      <c r="C385" s="30" t="s">
        <v>206</v>
      </c>
      <c r="D385" s="30" t="s">
        <v>225</v>
      </c>
      <c r="E385" s="234" t="s">
        <v>846</v>
      </c>
      <c r="F385" s="235" t="s">
        <v>1217</v>
      </c>
      <c r="G385" s="284">
        <f>IFERROR(VLOOKUP(E385,Assign!$C$2:$J$142,8,FALSE),)</f>
        <v>0</v>
      </c>
      <c r="H385" s="197" t="s">
        <v>4928</v>
      </c>
      <c r="I385" s="324" t="s">
        <v>4929</v>
      </c>
      <c r="J385" s="237">
        <v>1</v>
      </c>
      <c r="K385" s="237">
        <v>1</v>
      </c>
      <c r="L385" s="265" t="s">
        <v>209</v>
      </c>
      <c r="M385" s="266" t="s">
        <v>287</v>
      </c>
      <c r="N385" s="266" t="s">
        <v>388</v>
      </c>
      <c r="O385" s="267" t="s">
        <v>2448</v>
      </c>
      <c r="P385" s="268" t="s">
        <v>440</v>
      </c>
      <c r="Q385" s="269">
        <v>297</v>
      </c>
      <c r="R385" s="269">
        <v>80.05</v>
      </c>
      <c r="S385" s="270"/>
      <c r="T385" s="182">
        <f>39.4534/297</f>
        <v>0.13283973063973065</v>
      </c>
      <c r="U385" s="182">
        <v>1</v>
      </c>
      <c r="V385" s="408" t="s">
        <v>292</v>
      </c>
      <c r="W385" s="357" t="s">
        <v>204</v>
      </c>
      <c r="X385" s="156">
        <v>120000000</v>
      </c>
      <c r="Y385" s="417">
        <v>120000000</v>
      </c>
      <c r="Z385" s="418" t="s">
        <v>359</v>
      </c>
      <c r="AA385" s="271">
        <v>1</v>
      </c>
      <c r="AB385" s="168" t="s">
        <v>204</v>
      </c>
      <c r="AC385" s="156">
        <v>162800000</v>
      </c>
      <c r="AD385" s="156">
        <v>162800000</v>
      </c>
      <c r="AE385" s="320"/>
      <c r="AF385" s="168"/>
      <c r="AG385" s="156"/>
      <c r="AH385" s="156"/>
      <c r="AI385" s="410"/>
    </row>
    <row r="386" spans="1:35" ht="19.5" hidden="1" customHeight="1">
      <c r="A386" s="137"/>
      <c r="B386" s="197">
        <f t="shared" si="6"/>
        <v>376</v>
      </c>
      <c r="C386" s="30" t="s">
        <v>206</v>
      </c>
      <c r="D386" s="30" t="s">
        <v>225</v>
      </c>
      <c r="E386" s="234" t="s">
        <v>847</v>
      </c>
      <c r="F386" s="235" t="s">
        <v>1232</v>
      </c>
      <c r="G386" s="284">
        <f>IFERROR(VLOOKUP(E386,Assign!$C$2:$J$142,8,FALSE),)</f>
        <v>0</v>
      </c>
      <c r="H386" s="197" t="s">
        <v>4730</v>
      </c>
      <c r="I386" s="324" t="s">
        <v>4731</v>
      </c>
      <c r="J386" s="237">
        <v>1</v>
      </c>
      <c r="K386" s="237">
        <v>1</v>
      </c>
      <c r="L386" s="265" t="s">
        <v>208</v>
      </c>
      <c r="M386" s="266" t="s">
        <v>280</v>
      </c>
      <c r="N386" s="266" t="s">
        <v>2265</v>
      </c>
      <c r="O386" s="267" t="s">
        <v>2266</v>
      </c>
      <c r="P386" s="268" t="s">
        <v>2267</v>
      </c>
      <c r="Q386" s="269">
        <v>1870</v>
      </c>
      <c r="R386" s="269">
        <v>6.6</v>
      </c>
      <c r="S386" s="270"/>
      <c r="T386" s="182">
        <f>5.7385/1870</f>
        <v>3.0687165775401069E-3</v>
      </c>
      <c r="U386" s="182">
        <v>1</v>
      </c>
      <c r="V386" s="408">
        <v>1</v>
      </c>
      <c r="W386" s="357" t="s">
        <v>204</v>
      </c>
      <c r="X386" s="156">
        <v>118800000</v>
      </c>
      <c r="Y386" s="417">
        <v>118800000</v>
      </c>
      <c r="Z386" s="418" t="s">
        <v>359</v>
      </c>
      <c r="AA386" s="271"/>
      <c r="AB386" s="168"/>
      <c r="AC386" s="156"/>
      <c r="AD386" s="156"/>
      <c r="AE386" s="320"/>
      <c r="AF386" s="168"/>
      <c r="AG386" s="156"/>
      <c r="AH386" s="156"/>
      <c r="AI386" s="410"/>
    </row>
    <row r="387" spans="1:35" ht="19.5" hidden="1" customHeight="1">
      <c r="A387" s="137"/>
      <c r="B387" s="197">
        <f t="shared" si="6"/>
        <v>377</v>
      </c>
      <c r="C387" s="30" t="s">
        <v>206</v>
      </c>
      <c r="D387" s="30" t="s">
        <v>225</v>
      </c>
      <c r="E387" s="234" t="s">
        <v>848</v>
      </c>
      <c r="F387" s="235" t="s">
        <v>1231</v>
      </c>
      <c r="G387" s="284">
        <f>IFERROR(VLOOKUP(E387,Assign!$C$2:$J$142,8,FALSE),)</f>
        <v>0</v>
      </c>
      <c r="H387" s="197" t="s">
        <v>3982</v>
      </c>
      <c r="I387" s="324" t="s">
        <v>3983</v>
      </c>
      <c r="J387" s="237">
        <v>1</v>
      </c>
      <c r="K387" s="237">
        <v>1</v>
      </c>
      <c r="L387" s="265" t="s">
        <v>208</v>
      </c>
      <c r="M387" s="266" t="s">
        <v>259</v>
      </c>
      <c r="N387" s="266" t="s">
        <v>387</v>
      </c>
      <c r="O387" s="267" t="s">
        <v>1559</v>
      </c>
      <c r="P387" s="268" t="s">
        <v>443</v>
      </c>
      <c r="Q387" s="269">
        <v>6741.2</v>
      </c>
      <c r="R387" s="269">
        <v>84.7</v>
      </c>
      <c r="S387" s="270"/>
      <c r="T387" s="182">
        <f>31.612/6741.2</f>
        <v>4.689372811962262E-3</v>
      </c>
      <c r="U387" s="182">
        <v>1</v>
      </c>
      <c r="V387" s="408" t="s">
        <v>229</v>
      </c>
      <c r="W387" s="357" t="s">
        <v>204</v>
      </c>
      <c r="X387" s="156">
        <v>180000000</v>
      </c>
      <c r="Y387" s="417">
        <v>180000000</v>
      </c>
      <c r="Z387" s="418" t="s">
        <v>359</v>
      </c>
      <c r="AA387" s="271"/>
      <c r="AB387" s="168"/>
      <c r="AC387" s="156"/>
      <c r="AD387" s="156"/>
      <c r="AE387" s="320"/>
      <c r="AF387" s="168"/>
      <c r="AG387" s="156"/>
      <c r="AH387" s="156"/>
      <c r="AI387" s="410"/>
    </row>
    <row r="388" spans="1:35" ht="19.5" customHeight="1">
      <c r="A388" s="137"/>
      <c r="B388" s="197">
        <f t="shared" si="6"/>
        <v>378</v>
      </c>
      <c r="C388" s="30" t="s">
        <v>206</v>
      </c>
      <c r="D388" s="30" t="s">
        <v>225</v>
      </c>
      <c r="E388" s="234" t="s">
        <v>849</v>
      </c>
      <c r="F388" s="235" t="s">
        <v>1217</v>
      </c>
      <c r="G388" s="284" t="str">
        <f>IFERROR(VLOOKUP(E388,Assign!$C$2:$J$142,8,FALSE),)</f>
        <v>문선영</v>
      </c>
      <c r="H388" s="197" t="s">
        <v>4544</v>
      </c>
      <c r="I388" s="324" t="s">
        <v>4545</v>
      </c>
      <c r="J388" s="237">
        <v>1</v>
      </c>
      <c r="K388" s="237">
        <v>1</v>
      </c>
      <c r="L388" s="265" t="s">
        <v>214</v>
      </c>
      <c r="M388" s="266" t="s">
        <v>2085</v>
      </c>
      <c r="N388" s="266" t="s">
        <v>2086</v>
      </c>
      <c r="O388" s="267" t="s">
        <v>2087</v>
      </c>
      <c r="P388" s="268" t="s">
        <v>1723</v>
      </c>
      <c r="Q388" s="269"/>
      <c r="R388" s="269">
        <v>85.23</v>
      </c>
      <c r="S388" s="270"/>
      <c r="T388" s="182"/>
      <c r="U388" s="182">
        <v>1</v>
      </c>
      <c r="V388" s="408">
        <v>1</v>
      </c>
      <c r="W388" s="357" t="s">
        <v>204</v>
      </c>
      <c r="X388" s="156">
        <v>65000000</v>
      </c>
      <c r="Y388" s="417">
        <v>65000000</v>
      </c>
      <c r="Z388" s="418" t="s">
        <v>359</v>
      </c>
      <c r="AA388" s="271"/>
      <c r="AB388" s="168"/>
      <c r="AC388" s="156"/>
      <c r="AD388" s="156"/>
      <c r="AE388" s="320"/>
      <c r="AF388" s="168"/>
      <c r="AG388" s="156"/>
      <c r="AH388" s="156"/>
      <c r="AI388" s="410"/>
    </row>
    <row r="389" spans="1:35" ht="19.5" customHeight="1">
      <c r="A389" s="137"/>
      <c r="B389" s="197">
        <f t="shared" si="6"/>
        <v>379</v>
      </c>
      <c r="C389" s="30" t="s">
        <v>206</v>
      </c>
      <c r="D389" s="30" t="s">
        <v>225</v>
      </c>
      <c r="E389" s="234" t="s">
        <v>849</v>
      </c>
      <c r="F389" s="235" t="s">
        <v>1217</v>
      </c>
      <c r="G389" s="284" t="str">
        <f>IFERROR(VLOOKUP(E389,Assign!$C$2:$J$142,8,FALSE),)</f>
        <v>문선영</v>
      </c>
      <c r="H389" s="197" t="s">
        <v>4544</v>
      </c>
      <c r="I389" s="324" t="s">
        <v>4546</v>
      </c>
      <c r="J389" s="237">
        <v>1</v>
      </c>
      <c r="K389" s="237">
        <v>2</v>
      </c>
      <c r="L389" s="265" t="s">
        <v>214</v>
      </c>
      <c r="M389" s="266" t="s">
        <v>2085</v>
      </c>
      <c r="N389" s="266" t="s">
        <v>2086</v>
      </c>
      <c r="O389" s="267" t="s">
        <v>2087</v>
      </c>
      <c r="P389" s="268" t="s">
        <v>450</v>
      </c>
      <c r="Q389" s="269">
        <v>330</v>
      </c>
      <c r="R389" s="269"/>
      <c r="S389" s="270"/>
      <c r="T389" s="182"/>
      <c r="U389" s="182">
        <v>1</v>
      </c>
      <c r="V389" s="408">
        <v>1</v>
      </c>
      <c r="W389" s="357" t="s">
        <v>204</v>
      </c>
      <c r="X389" s="156">
        <v>65000000</v>
      </c>
      <c r="Y389" s="417">
        <v>65000000</v>
      </c>
      <c r="Z389" s="418" t="s">
        <v>359</v>
      </c>
      <c r="AA389" s="271"/>
      <c r="AB389" s="168"/>
      <c r="AC389" s="156"/>
      <c r="AD389" s="156"/>
      <c r="AE389" s="320"/>
      <c r="AF389" s="168"/>
      <c r="AG389" s="156"/>
      <c r="AH389" s="156"/>
      <c r="AI389" s="410"/>
    </row>
    <row r="390" spans="1:35" ht="19.5" hidden="1" customHeight="1">
      <c r="A390" s="137"/>
      <c r="B390" s="197">
        <f t="shared" si="6"/>
        <v>380</v>
      </c>
      <c r="C390" s="30" t="s">
        <v>206</v>
      </c>
      <c r="D390" s="30" t="s">
        <v>225</v>
      </c>
      <c r="E390" s="234" t="s">
        <v>850</v>
      </c>
      <c r="F390" s="235" t="s">
        <v>1229</v>
      </c>
      <c r="G390" s="284">
        <f>IFERROR(VLOOKUP(E390,Assign!$C$2:$J$142,8,FALSE),)</f>
        <v>0</v>
      </c>
      <c r="H390" s="197" t="s">
        <v>4415</v>
      </c>
      <c r="I390" s="324" t="s">
        <v>4416</v>
      </c>
      <c r="J390" s="237">
        <v>1</v>
      </c>
      <c r="K390" s="237">
        <v>1</v>
      </c>
      <c r="L390" s="265" t="s">
        <v>221</v>
      </c>
      <c r="M390" s="266" t="s">
        <v>405</v>
      </c>
      <c r="N390" s="266" t="s">
        <v>1970</v>
      </c>
      <c r="O390" s="267" t="s">
        <v>1971</v>
      </c>
      <c r="P390" s="268" t="s">
        <v>1972</v>
      </c>
      <c r="Q390" s="269">
        <v>26274.2</v>
      </c>
      <c r="R390" s="269">
        <v>82.600999999999999</v>
      </c>
      <c r="S390" s="270"/>
      <c r="T390" s="182">
        <f>51.7626/26274.2</f>
        <v>1.9700923339245344E-3</v>
      </c>
      <c r="U390" s="182">
        <v>1</v>
      </c>
      <c r="V390" s="408">
        <v>1</v>
      </c>
      <c r="W390" s="357" t="s">
        <v>204</v>
      </c>
      <c r="X390" s="156">
        <v>123600000</v>
      </c>
      <c r="Y390" s="417">
        <v>123600000</v>
      </c>
      <c r="Z390" s="418" t="s">
        <v>359</v>
      </c>
      <c r="AA390" s="271"/>
      <c r="AB390" s="168"/>
      <c r="AC390" s="156"/>
      <c r="AD390" s="156"/>
      <c r="AE390" s="320"/>
      <c r="AF390" s="168"/>
      <c r="AG390" s="156"/>
      <c r="AH390" s="156"/>
      <c r="AI390" s="410"/>
    </row>
    <row r="391" spans="1:35" ht="19.5" customHeight="1">
      <c r="A391" s="137"/>
      <c r="B391" s="197">
        <f t="shared" si="6"/>
        <v>381</v>
      </c>
      <c r="C391" s="30" t="s">
        <v>206</v>
      </c>
      <c r="D391" s="30" t="s">
        <v>225</v>
      </c>
      <c r="E391" s="234" t="s">
        <v>851</v>
      </c>
      <c r="F391" s="235" t="s">
        <v>1225</v>
      </c>
      <c r="G391" s="284" t="str">
        <f>IFERROR(VLOOKUP(E391,Assign!$C$2:$J$142,8,FALSE),)</f>
        <v>문선영</v>
      </c>
      <c r="H391" s="197" t="s">
        <v>4134</v>
      </c>
      <c r="I391" s="324" t="s">
        <v>4135</v>
      </c>
      <c r="J391" s="237">
        <v>1</v>
      </c>
      <c r="K391" s="237">
        <v>1</v>
      </c>
      <c r="L391" s="265" t="s">
        <v>211</v>
      </c>
      <c r="M391" s="266" t="s">
        <v>299</v>
      </c>
      <c r="N391" s="266" t="s">
        <v>1710</v>
      </c>
      <c r="O391" s="267" t="s">
        <v>1711</v>
      </c>
      <c r="P391" s="268" t="s">
        <v>3511</v>
      </c>
      <c r="Q391" s="269">
        <v>51827.9</v>
      </c>
      <c r="R391" s="269">
        <v>75.493399999999994</v>
      </c>
      <c r="S391" s="270"/>
      <c r="T391" s="182">
        <f>45.82/51827.9</f>
        <v>8.8407981029522704E-4</v>
      </c>
      <c r="U391" s="182">
        <v>1</v>
      </c>
      <c r="V391" s="408">
        <v>2</v>
      </c>
      <c r="W391" s="357" t="s">
        <v>204</v>
      </c>
      <c r="X391" s="156">
        <v>126000000</v>
      </c>
      <c r="Y391" s="417">
        <v>126000000</v>
      </c>
      <c r="Z391" s="418" t="s">
        <v>359</v>
      </c>
      <c r="AA391" s="271">
        <v>1</v>
      </c>
      <c r="AB391" s="168" t="s">
        <v>204</v>
      </c>
      <c r="AC391" s="156">
        <v>155100000</v>
      </c>
      <c r="AD391" s="156">
        <v>155100000</v>
      </c>
      <c r="AE391" s="320"/>
      <c r="AF391" s="168"/>
      <c r="AG391" s="156"/>
      <c r="AH391" s="156"/>
      <c r="AI391" s="410"/>
    </row>
    <row r="392" spans="1:35" ht="19.5" customHeight="1">
      <c r="A392" s="137"/>
      <c r="B392" s="197">
        <f t="shared" si="6"/>
        <v>382</v>
      </c>
      <c r="C392" s="30" t="s">
        <v>206</v>
      </c>
      <c r="D392" s="30" t="s">
        <v>225</v>
      </c>
      <c r="E392" s="234" t="s">
        <v>851</v>
      </c>
      <c r="F392" s="235" t="s">
        <v>1225</v>
      </c>
      <c r="G392" s="284" t="str">
        <f>IFERROR(VLOOKUP(E392,Assign!$C$2:$J$142,8,FALSE),)</f>
        <v>문선영</v>
      </c>
      <c r="H392" s="197" t="s">
        <v>4136</v>
      </c>
      <c r="I392" s="324" t="s">
        <v>4137</v>
      </c>
      <c r="J392" s="237">
        <v>2</v>
      </c>
      <c r="K392" s="237">
        <v>1</v>
      </c>
      <c r="L392" s="265" t="s">
        <v>211</v>
      </c>
      <c r="M392" s="266" t="s">
        <v>299</v>
      </c>
      <c r="N392" s="266" t="s">
        <v>1712</v>
      </c>
      <c r="O392" s="267" t="s">
        <v>1713</v>
      </c>
      <c r="P392" s="268" t="s">
        <v>437</v>
      </c>
      <c r="Q392" s="269">
        <v>52755.199999999997</v>
      </c>
      <c r="R392" s="269">
        <v>59.63</v>
      </c>
      <c r="S392" s="270"/>
      <c r="T392" s="182">
        <f>32.862/52755.2</f>
        <v>6.2291489748877841E-4</v>
      </c>
      <c r="U392" s="182">
        <v>1</v>
      </c>
      <c r="V392" s="408">
        <v>2</v>
      </c>
      <c r="W392" s="357" t="s">
        <v>204</v>
      </c>
      <c r="X392" s="156">
        <v>126000000</v>
      </c>
      <c r="Y392" s="417">
        <v>126000000</v>
      </c>
      <c r="Z392" s="418" t="s">
        <v>359</v>
      </c>
      <c r="AA392" s="271">
        <v>1</v>
      </c>
      <c r="AB392" s="168" t="s">
        <v>204</v>
      </c>
      <c r="AC392" s="156">
        <v>42000000</v>
      </c>
      <c r="AD392" s="156">
        <v>42000000</v>
      </c>
      <c r="AE392" s="320"/>
      <c r="AF392" s="168"/>
      <c r="AG392" s="156"/>
      <c r="AH392" s="156"/>
      <c r="AI392" s="410"/>
    </row>
    <row r="393" spans="1:35" ht="19.5" hidden="1" customHeight="1">
      <c r="A393" s="137"/>
      <c r="B393" s="197">
        <f t="shared" si="6"/>
        <v>383</v>
      </c>
      <c r="C393" s="30" t="s">
        <v>206</v>
      </c>
      <c r="D393" s="30" t="s">
        <v>225</v>
      </c>
      <c r="E393" s="234" t="s">
        <v>852</v>
      </c>
      <c r="F393" s="235" t="s">
        <v>1263</v>
      </c>
      <c r="G393" s="284">
        <f>IFERROR(VLOOKUP(E393,Assign!$C$2:$J$142,8,FALSE),)</f>
        <v>0</v>
      </c>
      <c r="H393" s="197" t="s">
        <v>4238</v>
      </c>
      <c r="I393" s="324" t="s">
        <v>4239</v>
      </c>
      <c r="J393" s="237">
        <v>1</v>
      </c>
      <c r="K393" s="237">
        <v>1</v>
      </c>
      <c r="L393" s="265" t="s">
        <v>208</v>
      </c>
      <c r="M393" s="266" t="s">
        <v>234</v>
      </c>
      <c r="N393" s="266" t="s">
        <v>411</v>
      </c>
      <c r="O393" s="267" t="s">
        <v>1810</v>
      </c>
      <c r="P393" s="268" t="s">
        <v>588</v>
      </c>
      <c r="Q393" s="269">
        <v>418</v>
      </c>
      <c r="R393" s="269">
        <v>50.16</v>
      </c>
      <c r="S393" s="270"/>
      <c r="T393" s="182">
        <f>37.17/418</f>
        <v>8.8923444976076557E-2</v>
      </c>
      <c r="U393" s="182">
        <v>1</v>
      </c>
      <c r="V393" s="408">
        <v>1</v>
      </c>
      <c r="W393" s="357" t="s">
        <v>204</v>
      </c>
      <c r="X393" s="156">
        <v>109200000</v>
      </c>
      <c r="Y393" s="417">
        <v>109200000</v>
      </c>
      <c r="Z393" s="418" t="s">
        <v>359</v>
      </c>
      <c r="AA393" s="271"/>
      <c r="AB393" s="168"/>
      <c r="AC393" s="156"/>
      <c r="AD393" s="156"/>
      <c r="AE393" s="320"/>
      <c r="AF393" s="168"/>
      <c r="AG393" s="156"/>
      <c r="AH393" s="156"/>
      <c r="AI393" s="410"/>
    </row>
    <row r="394" spans="1:35" ht="19.5" customHeight="1">
      <c r="A394" s="137"/>
      <c r="B394" s="197">
        <f t="shared" si="6"/>
        <v>384</v>
      </c>
      <c r="C394" s="30" t="s">
        <v>206</v>
      </c>
      <c r="D394" s="30" t="s">
        <v>225</v>
      </c>
      <c r="E394" s="234" t="s">
        <v>853</v>
      </c>
      <c r="F394" s="235" t="s">
        <v>1264</v>
      </c>
      <c r="G394" s="284" t="str">
        <f>IFERROR(VLOOKUP(E394,Assign!$C$2:$J$142,8,FALSE),)</f>
        <v>문선영</v>
      </c>
      <c r="H394" s="197" t="s">
        <v>4181</v>
      </c>
      <c r="I394" s="324" t="s">
        <v>4182</v>
      </c>
      <c r="J394" s="237">
        <v>1</v>
      </c>
      <c r="K394" s="237">
        <v>1</v>
      </c>
      <c r="L394" s="265" t="s">
        <v>209</v>
      </c>
      <c r="M394" s="266" t="s">
        <v>246</v>
      </c>
      <c r="N394" s="266" t="s">
        <v>253</v>
      </c>
      <c r="O394" s="267" t="s">
        <v>1756</v>
      </c>
      <c r="P394" s="268" t="s">
        <v>434</v>
      </c>
      <c r="Q394" s="269">
        <f>90669.6+4477.1</f>
        <v>95146.700000000012</v>
      </c>
      <c r="R394" s="269">
        <v>41.3</v>
      </c>
      <c r="S394" s="270"/>
      <c r="T394" s="182">
        <f>28.04/95146.7</f>
        <v>2.9470281155310693E-4</v>
      </c>
      <c r="U394" s="182">
        <v>1</v>
      </c>
      <c r="V394" s="408" t="s">
        <v>233</v>
      </c>
      <c r="W394" s="357" t="s">
        <v>204</v>
      </c>
      <c r="X394" s="156">
        <v>86400000</v>
      </c>
      <c r="Y394" s="417">
        <v>86400000</v>
      </c>
      <c r="Z394" s="418" t="s">
        <v>359</v>
      </c>
      <c r="AA394" s="271"/>
      <c r="AB394" s="168"/>
      <c r="AC394" s="156"/>
      <c r="AD394" s="156"/>
      <c r="AE394" s="320"/>
      <c r="AF394" s="168"/>
      <c r="AG394" s="156"/>
      <c r="AH394" s="156"/>
      <c r="AI394" s="410"/>
    </row>
    <row r="395" spans="1:35" ht="19.5" hidden="1" customHeight="1">
      <c r="A395" s="137"/>
      <c r="B395" s="197">
        <f t="shared" ref="B395:B458" si="7">ROW()-10</f>
        <v>385</v>
      </c>
      <c r="C395" s="30" t="s">
        <v>206</v>
      </c>
      <c r="D395" s="30" t="s">
        <v>225</v>
      </c>
      <c r="E395" s="234" t="s">
        <v>854</v>
      </c>
      <c r="F395" s="235" t="s">
        <v>1229</v>
      </c>
      <c r="G395" s="284">
        <f>IFERROR(VLOOKUP(E395,Assign!$C$2:$J$142,8,FALSE),)</f>
        <v>0</v>
      </c>
      <c r="H395" s="197" t="s">
        <v>4032</v>
      </c>
      <c r="I395" s="324" t="s">
        <v>4033</v>
      </c>
      <c r="J395" s="237">
        <v>1</v>
      </c>
      <c r="K395" s="237">
        <v>1</v>
      </c>
      <c r="L395" s="265" t="s">
        <v>214</v>
      </c>
      <c r="M395" s="266" t="s">
        <v>349</v>
      </c>
      <c r="N395" s="266" t="s">
        <v>351</v>
      </c>
      <c r="O395" s="267" t="s">
        <v>1606</v>
      </c>
      <c r="P395" s="268" t="s">
        <v>1607</v>
      </c>
      <c r="Q395" s="269">
        <v>6715.1</v>
      </c>
      <c r="R395" s="269">
        <v>20.96</v>
      </c>
      <c r="S395" s="270"/>
      <c r="T395" s="182">
        <f>9.9426/6715.1</f>
        <v>1.480633199803428E-3</v>
      </c>
      <c r="U395" s="182">
        <v>1</v>
      </c>
      <c r="V395" s="408">
        <v>1</v>
      </c>
      <c r="W395" s="357" t="s">
        <v>204</v>
      </c>
      <c r="X395" s="156">
        <v>84000000</v>
      </c>
      <c r="Y395" s="417">
        <v>84000000</v>
      </c>
      <c r="Z395" s="418" t="s">
        <v>359</v>
      </c>
      <c r="AA395" s="271"/>
      <c r="AB395" s="168"/>
      <c r="AC395" s="156"/>
      <c r="AD395" s="156"/>
      <c r="AE395" s="320"/>
      <c r="AF395" s="168"/>
      <c r="AG395" s="156"/>
      <c r="AH395" s="156"/>
      <c r="AI395" s="410"/>
    </row>
    <row r="396" spans="1:35" ht="19.5" hidden="1" customHeight="1">
      <c r="A396" s="137"/>
      <c r="B396" s="197">
        <f t="shared" si="7"/>
        <v>386</v>
      </c>
      <c r="C396" s="30" t="s">
        <v>206</v>
      </c>
      <c r="D396" s="30" t="s">
        <v>225</v>
      </c>
      <c r="E396" s="234" t="s">
        <v>855</v>
      </c>
      <c r="F396" s="235" t="s">
        <v>1235</v>
      </c>
      <c r="G396" s="284">
        <f>IFERROR(VLOOKUP(E396,Assign!$C$2:$J$142,8,FALSE),)</f>
        <v>0</v>
      </c>
      <c r="H396" s="197" t="s">
        <v>4515</v>
      </c>
      <c r="I396" s="324" t="s">
        <v>4516</v>
      </c>
      <c r="J396" s="237">
        <v>1</v>
      </c>
      <c r="K396" s="237">
        <v>1</v>
      </c>
      <c r="L396" s="265" t="s">
        <v>214</v>
      </c>
      <c r="M396" s="266" t="s">
        <v>349</v>
      </c>
      <c r="N396" s="266" t="s">
        <v>351</v>
      </c>
      <c r="O396" s="267" t="s">
        <v>2057</v>
      </c>
      <c r="P396" s="268" t="s">
        <v>1607</v>
      </c>
      <c r="Q396" s="269">
        <v>6715.1</v>
      </c>
      <c r="R396" s="269">
        <v>20.93</v>
      </c>
      <c r="S396" s="270"/>
      <c r="T396" s="182">
        <f>9.9283/6715.1</f>
        <v>1.4785036708314097E-3</v>
      </c>
      <c r="U396" s="182">
        <v>1</v>
      </c>
      <c r="V396" s="408">
        <v>1</v>
      </c>
      <c r="W396" s="357" t="s">
        <v>204</v>
      </c>
      <c r="X396" s="156">
        <v>84000000</v>
      </c>
      <c r="Y396" s="417">
        <v>84000000</v>
      </c>
      <c r="Z396" s="418" t="s">
        <v>359</v>
      </c>
      <c r="AA396" s="271"/>
      <c r="AB396" s="168"/>
      <c r="AC396" s="156"/>
      <c r="AD396" s="156"/>
      <c r="AE396" s="320"/>
      <c r="AF396" s="168"/>
      <c r="AG396" s="156"/>
      <c r="AH396" s="156"/>
      <c r="AI396" s="410"/>
    </row>
    <row r="397" spans="1:35" ht="19.5" hidden="1" customHeight="1">
      <c r="A397" s="137"/>
      <c r="B397" s="197">
        <f t="shared" si="7"/>
        <v>387</v>
      </c>
      <c r="C397" s="30" t="s">
        <v>206</v>
      </c>
      <c r="D397" s="30" t="s">
        <v>225</v>
      </c>
      <c r="E397" s="234" t="s">
        <v>856</v>
      </c>
      <c r="F397" s="235" t="s">
        <v>1263</v>
      </c>
      <c r="G397" s="284">
        <f>IFERROR(VLOOKUP(E397,Assign!$C$2:$J$142,8,FALSE),)</f>
        <v>0</v>
      </c>
      <c r="H397" s="197" t="s">
        <v>5029</v>
      </c>
      <c r="I397" s="324" t="s">
        <v>5030</v>
      </c>
      <c r="J397" s="237">
        <v>1</v>
      </c>
      <c r="K397" s="237">
        <v>1</v>
      </c>
      <c r="L397" s="265" t="s">
        <v>208</v>
      </c>
      <c r="M397" s="266" t="s">
        <v>391</v>
      </c>
      <c r="N397" s="266" t="s">
        <v>2547</v>
      </c>
      <c r="O397" s="267" t="s">
        <v>2548</v>
      </c>
      <c r="P397" s="268" t="s">
        <v>458</v>
      </c>
      <c r="Q397" s="269">
        <v>1071</v>
      </c>
      <c r="R397" s="269">
        <v>64.7881</v>
      </c>
      <c r="S397" s="270"/>
      <c r="T397" s="182">
        <f>66.93/1071</f>
        <v>6.249299719887956E-2</v>
      </c>
      <c r="U397" s="182">
        <v>1</v>
      </c>
      <c r="V397" s="408">
        <v>1</v>
      </c>
      <c r="W397" s="357" t="s">
        <v>204</v>
      </c>
      <c r="X397" s="156">
        <v>120000000</v>
      </c>
      <c r="Y397" s="417">
        <v>120000000</v>
      </c>
      <c r="Z397" s="418" t="s">
        <v>359</v>
      </c>
      <c r="AA397" s="271"/>
      <c r="AB397" s="168"/>
      <c r="AC397" s="156"/>
      <c r="AD397" s="156"/>
      <c r="AE397" s="320"/>
      <c r="AF397" s="168"/>
      <c r="AG397" s="156"/>
      <c r="AH397" s="156"/>
      <c r="AI397" s="410"/>
    </row>
    <row r="398" spans="1:35" ht="19.5" hidden="1" customHeight="1">
      <c r="A398" s="137"/>
      <c r="B398" s="197">
        <f t="shared" si="7"/>
        <v>388</v>
      </c>
      <c r="C398" s="30" t="s">
        <v>206</v>
      </c>
      <c r="D398" s="30" t="s">
        <v>225</v>
      </c>
      <c r="E398" s="234" t="s">
        <v>857</v>
      </c>
      <c r="F398" s="235" t="s">
        <v>1251</v>
      </c>
      <c r="G398" s="284">
        <f>IFERROR(VLOOKUP(E398,Assign!$C$2:$J$142,8,FALSE),)</f>
        <v>0</v>
      </c>
      <c r="H398" s="197" t="s">
        <v>4944</v>
      </c>
      <c r="I398" s="324" t="s">
        <v>4945</v>
      </c>
      <c r="J398" s="237">
        <v>1</v>
      </c>
      <c r="K398" s="237">
        <v>1</v>
      </c>
      <c r="L398" s="265" t="s">
        <v>208</v>
      </c>
      <c r="M398" s="266" t="s">
        <v>413</v>
      </c>
      <c r="N398" s="266" t="s">
        <v>2465</v>
      </c>
      <c r="O398" s="267" t="s">
        <v>2466</v>
      </c>
      <c r="P398" s="268" t="s">
        <v>3525</v>
      </c>
      <c r="Q398" s="269">
        <v>1337</v>
      </c>
      <c r="R398" s="269">
        <v>38.286999999999999</v>
      </c>
      <c r="S398" s="270"/>
      <c r="T398" s="182">
        <f>46.692/1337</f>
        <v>3.4922961854899029E-2</v>
      </c>
      <c r="U398" s="182">
        <v>1</v>
      </c>
      <c r="V398" s="408">
        <v>1</v>
      </c>
      <c r="W398" s="357" t="s">
        <v>204</v>
      </c>
      <c r="X398" s="156">
        <v>79800000</v>
      </c>
      <c r="Y398" s="417">
        <v>79800000</v>
      </c>
      <c r="Z398" s="418" t="s">
        <v>359</v>
      </c>
      <c r="AA398" s="271"/>
      <c r="AB398" s="168"/>
      <c r="AC398" s="156"/>
      <c r="AD398" s="156"/>
      <c r="AE398" s="320"/>
      <c r="AF398" s="168"/>
      <c r="AG398" s="156"/>
      <c r="AH398" s="156"/>
      <c r="AI398" s="410"/>
    </row>
    <row r="399" spans="1:35" ht="19.5" hidden="1" customHeight="1">
      <c r="A399" s="137"/>
      <c r="B399" s="197">
        <f t="shared" si="7"/>
        <v>389</v>
      </c>
      <c r="C399" s="30" t="s">
        <v>206</v>
      </c>
      <c r="D399" s="30" t="s">
        <v>225</v>
      </c>
      <c r="E399" s="234" t="s">
        <v>858</v>
      </c>
      <c r="F399" s="235" t="s">
        <v>1225</v>
      </c>
      <c r="G399" s="284">
        <f>IFERROR(VLOOKUP(E399,Assign!$C$2:$J$142,8,FALSE),)</f>
        <v>0</v>
      </c>
      <c r="H399" s="197" t="s">
        <v>4060</v>
      </c>
      <c r="I399" s="324" t="s">
        <v>4061</v>
      </c>
      <c r="J399" s="237">
        <v>1</v>
      </c>
      <c r="K399" s="237">
        <v>1</v>
      </c>
      <c r="L399" s="265" t="s">
        <v>208</v>
      </c>
      <c r="M399" s="266" t="s">
        <v>413</v>
      </c>
      <c r="N399" s="266" t="s">
        <v>1635</v>
      </c>
      <c r="O399" s="267" t="s">
        <v>1636</v>
      </c>
      <c r="P399" s="268" t="s">
        <v>440</v>
      </c>
      <c r="Q399" s="269">
        <v>1052</v>
      </c>
      <c r="R399" s="269">
        <v>71.400000000000006</v>
      </c>
      <c r="S399" s="270"/>
      <c r="T399" s="182">
        <f>66.5/1052</f>
        <v>6.3212927756653992E-2</v>
      </c>
      <c r="U399" s="182">
        <v>1</v>
      </c>
      <c r="V399" s="408">
        <v>1</v>
      </c>
      <c r="W399" s="357" t="s">
        <v>204</v>
      </c>
      <c r="X399" s="156">
        <v>77990000</v>
      </c>
      <c r="Y399" s="417">
        <v>77990000</v>
      </c>
      <c r="Z399" s="418" t="s">
        <v>359</v>
      </c>
      <c r="AA399" s="271"/>
      <c r="AB399" s="168"/>
      <c r="AC399" s="156"/>
      <c r="AD399" s="156"/>
      <c r="AE399" s="320"/>
      <c r="AF399" s="168"/>
      <c r="AG399" s="156"/>
      <c r="AH399" s="156"/>
      <c r="AI399" s="410"/>
    </row>
    <row r="400" spans="1:35" ht="19.5" hidden="1" customHeight="1">
      <c r="A400" s="137"/>
      <c r="B400" s="197">
        <f t="shared" si="7"/>
        <v>390</v>
      </c>
      <c r="C400" s="30" t="s">
        <v>206</v>
      </c>
      <c r="D400" s="30" t="s">
        <v>225</v>
      </c>
      <c r="E400" s="234" t="s">
        <v>859</v>
      </c>
      <c r="F400" s="235" t="s">
        <v>1223</v>
      </c>
      <c r="G400" s="284">
        <f>IFERROR(VLOOKUP(E400,Assign!$C$2:$J$142,8,FALSE),)</f>
        <v>0</v>
      </c>
      <c r="H400" s="197" t="s">
        <v>3938</v>
      </c>
      <c r="I400" s="324" t="s">
        <v>3939</v>
      </c>
      <c r="J400" s="237">
        <v>1</v>
      </c>
      <c r="K400" s="237">
        <v>1</v>
      </c>
      <c r="L400" s="265" t="s">
        <v>209</v>
      </c>
      <c r="M400" s="266" t="s">
        <v>341</v>
      </c>
      <c r="N400" s="266" t="s">
        <v>1511</v>
      </c>
      <c r="O400" s="267" t="s">
        <v>1512</v>
      </c>
      <c r="P400" s="268" t="s">
        <v>3508</v>
      </c>
      <c r="Q400" s="269">
        <v>18181.599999999999</v>
      </c>
      <c r="R400" s="269">
        <v>84.53</v>
      </c>
      <c r="S400" s="270"/>
      <c r="T400" s="182">
        <f>39.23/18205.37</f>
        <v>2.1548587037780609E-3</v>
      </c>
      <c r="U400" s="182">
        <v>1</v>
      </c>
      <c r="V400" s="408">
        <v>4</v>
      </c>
      <c r="W400" s="357" t="s">
        <v>204</v>
      </c>
      <c r="X400" s="156">
        <v>120000000</v>
      </c>
      <c r="Y400" s="417">
        <v>120000000</v>
      </c>
      <c r="Z400" s="418" t="s">
        <v>359</v>
      </c>
      <c r="AA400" s="271" t="s">
        <v>233</v>
      </c>
      <c r="AB400" s="168" t="s">
        <v>204</v>
      </c>
      <c r="AC400" s="156">
        <v>150000000</v>
      </c>
      <c r="AD400" s="156">
        <v>150000000</v>
      </c>
      <c r="AE400" s="320"/>
      <c r="AF400" s="168"/>
      <c r="AG400" s="156"/>
      <c r="AH400" s="156"/>
      <c r="AI400" s="410"/>
    </row>
    <row r="401" spans="1:35" ht="19.5" hidden="1" customHeight="1">
      <c r="A401" s="137"/>
      <c r="B401" s="197">
        <f t="shared" si="7"/>
        <v>391</v>
      </c>
      <c r="C401" s="30" t="s">
        <v>206</v>
      </c>
      <c r="D401" s="30" t="s">
        <v>225</v>
      </c>
      <c r="E401" s="234" t="s">
        <v>860</v>
      </c>
      <c r="F401" s="235" t="s">
        <v>1229</v>
      </c>
      <c r="G401" s="284">
        <f>IFERROR(VLOOKUP(E401,Assign!$C$2:$J$142,8,FALSE),)</f>
        <v>0</v>
      </c>
      <c r="H401" s="197" t="s">
        <v>4225</v>
      </c>
      <c r="I401" s="324" t="s">
        <v>4226</v>
      </c>
      <c r="J401" s="237">
        <v>1</v>
      </c>
      <c r="K401" s="237">
        <v>1</v>
      </c>
      <c r="L401" s="265" t="s">
        <v>208</v>
      </c>
      <c r="M401" s="266" t="s">
        <v>236</v>
      </c>
      <c r="N401" s="266" t="s">
        <v>267</v>
      </c>
      <c r="O401" s="267" t="s">
        <v>1801</v>
      </c>
      <c r="P401" s="268" t="s">
        <v>3514</v>
      </c>
      <c r="Q401" s="269">
        <v>170</v>
      </c>
      <c r="R401" s="269">
        <v>35.49</v>
      </c>
      <c r="S401" s="270"/>
      <c r="T401" s="182">
        <f>21.19/170</f>
        <v>0.12464705882352942</v>
      </c>
      <c r="U401" s="182">
        <v>1</v>
      </c>
      <c r="V401" s="408">
        <v>1</v>
      </c>
      <c r="W401" s="357" t="s">
        <v>204</v>
      </c>
      <c r="X401" s="156">
        <v>76000000</v>
      </c>
      <c r="Y401" s="417">
        <v>76000000</v>
      </c>
      <c r="Z401" s="418" t="s">
        <v>359</v>
      </c>
      <c r="AA401" s="271"/>
      <c r="AB401" s="168"/>
      <c r="AC401" s="156"/>
      <c r="AD401" s="156"/>
      <c r="AE401" s="320"/>
      <c r="AF401" s="168"/>
      <c r="AG401" s="156"/>
      <c r="AH401" s="156"/>
      <c r="AI401" s="410"/>
    </row>
    <row r="402" spans="1:35" ht="19.5" hidden="1" customHeight="1">
      <c r="A402" s="137"/>
      <c r="B402" s="197">
        <f t="shared" si="7"/>
        <v>392</v>
      </c>
      <c r="C402" s="30" t="s">
        <v>206</v>
      </c>
      <c r="D402" s="30" t="s">
        <v>225</v>
      </c>
      <c r="E402" s="234" t="s">
        <v>861</v>
      </c>
      <c r="F402" s="235" t="s">
        <v>1229</v>
      </c>
      <c r="G402" s="284">
        <f>IFERROR(VLOOKUP(E402,Assign!$C$2:$J$142,8,FALSE),)</f>
        <v>0</v>
      </c>
      <c r="H402" s="197" t="s">
        <v>5209</v>
      </c>
      <c r="I402" s="324" t="s">
        <v>5210</v>
      </c>
      <c r="J402" s="237">
        <v>1</v>
      </c>
      <c r="K402" s="237">
        <v>1</v>
      </c>
      <c r="L402" s="265" t="s">
        <v>208</v>
      </c>
      <c r="M402" s="266" t="s">
        <v>237</v>
      </c>
      <c r="N402" s="266" t="s">
        <v>1804</v>
      </c>
      <c r="O402" s="267" t="s">
        <v>2702</v>
      </c>
      <c r="P402" s="268" t="s">
        <v>3508</v>
      </c>
      <c r="Q402" s="269">
        <v>50073.3</v>
      </c>
      <c r="R402" s="269">
        <v>49.77</v>
      </c>
      <c r="S402" s="270"/>
      <c r="T402" s="182">
        <f>27.56852/50073.3</f>
        <v>5.5056327423996419E-4</v>
      </c>
      <c r="U402" s="182">
        <v>1</v>
      </c>
      <c r="V402" s="408">
        <v>1</v>
      </c>
      <c r="W402" s="357" t="s">
        <v>204</v>
      </c>
      <c r="X402" s="156">
        <v>84000000</v>
      </c>
      <c r="Y402" s="417">
        <v>84000000</v>
      </c>
      <c r="Z402" s="418" t="s">
        <v>359</v>
      </c>
      <c r="AA402" s="271"/>
      <c r="AB402" s="168"/>
      <c r="AC402" s="156"/>
      <c r="AD402" s="156"/>
      <c r="AE402" s="320"/>
      <c r="AF402" s="168"/>
      <c r="AG402" s="156"/>
      <c r="AH402" s="156"/>
      <c r="AI402" s="410"/>
    </row>
    <row r="403" spans="1:35" ht="19.5" customHeight="1">
      <c r="A403" s="137"/>
      <c r="B403" s="197">
        <f t="shared" si="7"/>
        <v>393</v>
      </c>
      <c r="C403" s="30" t="s">
        <v>206</v>
      </c>
      <c r="D403" s="30" t="s">
        <v>225</v>
      </c>
      <c r="E403" s="234" t="s">
        <v>862</v>
      </c>
      <c r="F403" s="235" t="s">
        <v>1231</v>
      </c>
      <c r="G403" s="284" t="str">
        <f>IFERROR(VLOOKUP(E403,Assign!$C$2:$J$142,8,FALSE),)</f>
        <v>문선영</v>
      </c>
      <c r="H403" s="197" t="s">
        <v>4870</v>
      </c>
      <c r="I403" s="324" t="s">
        <v>4871</v>
      </c>
      <c r="J403" s="237">
        <v>1</v>
      </c>
      <c r="K403" s="237">
        <v>1</v>
      </c>
      <c r="L403" s="265" t="s">
        <v>215</v>
      </c>
      <c r="M403" s="266" t="s">
        <v>294</v>
      </c>
      <c r="N403" s="266" t="s">
        <v>2394</v>
      </c>
      <c r="O403" s="267" t="s">
        <v>2395</v>
      </c>
      <c r="P403" s="268" t="s">
        <v>1479</v>
      </c>
      <c r="Q403" s="269">
        <v>25484.3</v>
      </c>
      <c r="R403" s="269">
        <v>82.139899999999997</v>
      </c>
      <c r="S403" s="270"/>
      <c r="T403" s="182">
        <f>23.017/25484.3</f>
        <v>9.0318352868236525E-4</v>
      </c>
      <c r="U403" s="182">
        <v>1</v>
      </c>
      <c r="V403" s="408">
        <v>1</v>
      </c>
      <c r="W403" s="357" t="s">
        <v>204</v>
      </c>
      <c r="X403" s="156">
        <v>148320000</v>
      </c>
      <c r="Y403" s="417">
        <v>148320000</v>
      </c>
      <c r="Z403" s="418" t="s">
        <v>359</v>
      </c>
      <c r="AA403" s="271"/>
      <c r="AB403" s="168"/>
      <c r="AC403" s="156"/>
      <c r="AD403" s="156"/>
      <c r="AE403" s="320"/>
      <c r="AF403" s="168"/>
      <c r="AG403" s="156"/>
      <c r="AH403" s="156"/>
      <c r="AI403" s="410"/>
    </row>
    <row r="404" spans="1:35" ht="19.5" customHeight="1">
      <c r="A404" s="137"/>
      <c r="B404" s="197">
        <f t="shared" si="7"/>
        <v>394</v>
      </c>
      <c r="C404" s="30" t="s">
        <v>206</v>
      </c>
      <c r="D404" s="30" t="s">
        <v>225</v>
      </c>
      <c r="E404" s="234" t="s">
        <v>863</v>
      </c>
      <c r="F404" s="235" t="s">
        <v>1265</v>
      </c>
      <c r="G404" s="284" t="str">
        <f>IFERROR(VLOOKUP(E404,Assign!$C$2:$J$142,8,FALSE),)</f>
        <v>문선영</v>
      </c>
      <c r="H404" s="197" t="s">
        <v>4450</v>
      </c>
      <c r="I404" s="324" t="s">
        <v>4451</v>
      </c>
      <c r="J404" s="237">
        <v>1</v>
      </c>
      <c r="K404" s="237">
        <v>1</v>
      </c>
      <c r="L404" s="265" t="s">
        <v>216</v>
      </c>
      <c r="M404" s="266" t="s">
        <v>312</v>
      </c>
      <c r="N404" s="266" t="s">
        <v>1997</v>
      </c>
      <c r="O404" s="267" t="s">
        <v>1998</v>
      </c>
      <c r="P404" s="268" t="s">
        <v>479</v>
      </c>
      <c r="Q404" s="269">
        <v>61825.2</v>
      </c>
      <c r="R404" s="269">
        <v>45.245699999999999</v>
      </c>
      <c r="S404" s="270"/>
      <c r="T404" s="182">
        <f>36.8544/61825.1</f>
        <v>5.9610740621527498E-4</v>
      </c>
      <c r="U404" s="182">
        <v>1</v>
      </c>
      <c r="V404" s="408">
        <v>1</v>
      </c>
      <c r="W404" s="357" t="s">
        <v>204</v>
      </c>
      <c r="X404" s="156">
        <v>77280000</v>
      </c>
      <c r="Y404" s="417">
        <v>77280000</v>
      </c>
      <c r="Z404" s="418" t="s">
        <v>359</v>
      </c>
      <c r="AA404" s="271"/>
      <c r="AB404" s="168"/>
      <c r="AC404" s="156"/>
      <c r="AD404" s="156"/>
      <c r="AE404" s="320"/>
      <c r="AF404" s="168"/>
      <c r="AG404" s="156"/>
      <c r="AH404" s="156"/>
      <c r="AI404" s="410"/>
    </row>
    <row r="405" spans="1:35" ht="19.5" hidden="1" customHeight="1">
      <c r="A405" s="137"/>
      <c r="B405" s="197">
        <f t="shared" si="7"/>
        <v>395</v>
      </c>
      <c r="C405" s="30" t="s">
        <v>206</v>
      </c>
      <c r="D405" s="30" t="s">
        <v>225</v>
      </c>
      <c r="E405" s="234" t="s">
        <v>864</v>
      </c>
      <c r="F405" s="235" t="s">
        <v>1244</v>
      </c>
      <c r="G405" s="284">
        <f>IFERROR(VLOOKUP(E405,Assign!$C$2:$J$142,8,FALSE),)</f>
        <v>0</v>
      </c>
      <c r="H405" s="197" t="s">
        <v>4179</v>
      </c>
      <c r="I405" s="324" t="s">
        <v>4180</v>
      </c>
      <c r="J405" s="237">
        <v>1</v>
      </c>
      <c r="K405" s="237">
        <v>1</v>
      </c>
      <c r="L405" s="265" t="s">
        <v>222</v>
      </c>
      <c r="M405" s="266" t="s">
        <v>232</v>
      </c>
      <c r="N405" s="266" t="s">
        <v>1753</v>
      </c>
      <c r="O405" s="267" t="s">
        <v>1754</v>
      </c>
      <c r="P405" s="268" t="s">
        <v>1755</v>
      </c>
      <c r="Q405" s="269">
        <v>2697.9</v>
      </c>
      <c r="R405" s="269">
        <v>119.39</v>
      </c>
      <c r="S405" s="270"/>
      <c r="T405" s="182">
        <f>26.814/2697.9</f>
        <v>9.9388413210274654E-3</v>
      </c>
      <c r="U405" s="182">
        <v>1</v>
      </c>
      <c r="V405" s="408">
        <v>1</v>
      </c>
      <c r="W405" s="357" t="s">
        <v>204</v>
      </c>
      <c r="X405" s="156">
        <v>81600000</v>
      </c>
      <c r="Y405" s="417">
        <v>81600000</v>
      </c>
      <c r="Z405" s="418" t="s">
        <v>359</v>
      </c>
      <c r="AA405" s="271"/>
      <c r="AB405" s="168"/>
      <c r="AC405" s="156"/>
      <c r="AD405" s="156"/>
      <c r="AE405" s="320"/>
      <c r="AF405" s="168"/>
      <c r="AG405" s="156"/>
      <c r="AH405" s="156"/>
      <c r="AI405" s="410"/>
    </row>
    <row r="406" spans="1:35" ht="19.5" customHeight="1">
      <c r="A406" s="137"/>
      <c r="B406" s="197">
        <f t="shared" si="7"/>
        <v>396</v>
      </c>
      <c r="C406" s="30" t="s">
        <v>206</v>
      </c>
      <c r="D406" s="30" t="s">
        <v>225</v>
      </c>
      <c r="E406" s="234" t="s">
        <v>865</v>
      </c>
      <c r="F406" s="235" t="s">
        <v>1235</v>
      </c>
      <c r="G406" s="284" t="str">
        <f>IFERROR(VLOOKUP(E406,Assign!$C$2:$J$142,8,FALSE),)</f>
        <v>문선영</v>
      </c>
      <c r="H406" s="197" t="s">
        <v>4445</v>
      </c>
      <c r="I406" s="487" t="s">
        <v>4446</v>
      </c>
      <c r="J406" s="237">
        <v>1</v>
      </c>
      <c r="K406" s="237">
        <v>1</v>
      </c>
      <c r="L406" s="265" t="s">
        <v>224</v>
      </c>
      <c r="M406" s="266" t="s">
        <v>428</v>
      </c>
      <c r="N406" s="266" t="s">
        <v>1992</v>
      </c>
      <c r="O406" s="267" t="s">
        <v>1993</v>
      </c>
      <c r="P406" s="268" t="s">
        <v>1994</v>
      </c>
      <c r="Q406" s="269"/>
      <c r="R406" s="269">
        <f>87.7+94.9+94.9</f>
        <v>277.5</v>
      </c>
      <c r="S406" s="270"/>
      <c r="T406" s="182"/>
      <c r="U406" s="182">
        <v>1</v>
      </c>
      <c r="V406" s="408" t="s">
        <v>229</v>
      </c>
      <c r="W406" s="357" t="s">
        <v>204</v>
      </c>
      <c r="X406" s="156">
        <v>108000000</v>
      </c>
      <c r="Y406" s="417">
        <v>108000000</v>
      </c>
      <c r="Z406" s="418" t="s">
        <v>359</v>
      </c>
      <c r="AA406" s="271"/>
      <c r="AB406" s="168"/>
      <c r="AC406" s="156"/>
      <c r="AD406" s="156"/>
      <c r="AE406" s="320"/>
      <c r="AF406" s="168"/>
      <c r="AG406" s="156"/>
      <c r="AH406" s="156"/>
      <c r="AI406" s="410"/>
    </row>
    <row r="407" spans="1:35" ht="19.5" customHeight="1">
      <c r="A407" s="137"/>
      <c r="B407" s="197">
        <f t="shared" si="7"/>
        <v>397</v>
      </c>
      <c r="C407" s="30" t="s">
        <v>206</v>
      </c>
      <c r="D407" s="30" t="s">
        <v>225</v>
      </c>
      <c r="E407" s="234" t="s">
        <v>865</v>
      </c>
      <c r="F407" s="235" t="s">
        <v>1235</v>
      </c>
      <c r="G407" s="284" t="str">
        <f>IFERROR(VLOOKUP(E407,Assign!$C$2:$J$142,8,FALSE),)</f>
        <v>문선영</v>
      </c>
      <c r="H407" s="197" t="s">
        <v>4445</v>
      </c>
      <c r="I407" s="324" t="s">
        <v>4447</v>
      </c>
      <c r="J407" s="237">
        <v>1</v>
      </c>
      <c r="K407" s="237">
        <v>2</v>
      </c>
      <c r="L407" s="265" t="s">
        <v>224</v>
      </c>
      <c r="M407" s="266" t="s">
        <v>428</v>
      </c>
      <c r="N407" s="266" t="s">
        <v>1992</v>
      </c>
      <c r="O407" s="267" t="s">
        <v>1993</v>
      </c>
      <c r="P407" s="268" t="s">
        <v>450</v>
      </c>
      <c r="Q407" s="269">
        <v>185.1</v>
      </c>
      <c r="R407" s="269"/>
      <c r="S407" s="270"/>
      <c r="T407" s="182"/>
      <c r="U407" s="182">
        <v>1</v>
      </c>
      <c r="V407" s="408" t="s">
        <v>229</v>
      </c>
      <c r="W407" s="357" t="s">
        <v>204</v>
      </c>
      <c r="X407" s="156">
        <v>108000000</v>
      </c>
      <c r="Y407" s="417">
        <v>108000000</v>
      </c>
      <c r="Z407" s="418" t="s">
        <v>359</v>
      </c>
      <c r="AA407" s="271"/>
      <c r="AB407" s="168"/>
      <c r="AC407" s="156"/>
      <c r="AD407" s="156"/>
      <c r="AE407" s="320"/>
      <c r="AF407" s="168"/>
      <c r="AG407" s="156"/>
      <c r="AH407" s="156"/>
      <c r="AI407" s="410"/>
    </row>
    <row r="408" spans="1:35" ht="19.5" hidden="1" customHeight="1">
      <c r="A408" s="137"/>
      <c r="B408" s="197">
        <f t="shared" si="7"/>
        <v>398</v>
      </c>
      <c r="C408" s="30" t="s">
        <v>206</v>
      </c>
      <c r="D408" s="30" t="s">
        <v>225</v>
      </c>
      <c r="E408" s="234" t="s">
        <v>866</v>
      </c>
      <c r="F408" s="235" t="s">
        <v>1252</v>
      </c>
      <c r="G408" s="284">
        <f>IFERROR(VLOOKUP(E408,Assign!$C$2:$J$142,8,FALSE),)</f>
        <v>0</v>
      </c>
      <c r="H408" s="197" t="s">
        <v>4984</v>
      </c>
      <c r="I408" s="324" t="s">
        <v>4985</v>
      </c>
      <c r="J408" s="237">
        <v>1</v>
      </c>
      <c r="K408" s="237">
        <v>1</v>
      </c>
      <c r="L408" s="265" t="s">
        <v>210</v>
      </c>
      <c r="M408" s="266" t="s">
        <v>252</v>
      </c>
      <c r="N408" s="266" t="s">
        <v>2502</v>
      </c>
      <c r="O408" s="267" t="s">
        <v>2503</v>
      </c>
      <c r="P408" s="268" t="s">
        <v>2504</v>
      </c>
      <c r="Q408" s="269">
        <v>33598</v>
      </c>
      <c r="R408" s="269">
        <v>99.006299999999996</v>
      </c>
      <c r="S408" s="270"/>
      <c r="T408" s="182">
        <f>55.8006/33598</f>
        <v>1.6608310018453481E-3</v>
      </c>
      <c r="U408" s="182">
        <v>1</v>
      </c>
      <c r="V408" s="408">
        <v>1</v>
      </c>
      <c r="W408" s="357" t="s">
        <v>204</v>
      </c>
      <c r="X408" s="156">
        <v>120000000</v>
      </c>
      <c r="Y408" s="417">
        <v>120000000</v>
      </c>
      <c r="Z408" s="418" t="s">
        <v>359</v>
      </c>
      <c r="AA408" s="271"/>
      <c r="AB408" s="168"/>
      <c r="AC408" s="156"/>
      <c r="AD408" s="156"/>
      <c r="AE408" s="320"/>
      <c r="AF408" s="168"/>
      <c r="AG408" s="156"/>
      <c r="AH408" s="156"/>
      <c r="AI408" s="410"/>
    </row>
    <row r="409" spans="1:35" ht="19.5" hidden="1" customHeight="1">
      <c r="A409" s="137"/>
      <c r="B409" s="197">
        <f t="shared" si="7"/>
        <v>399</v>
      </c>
      <c r="C409" s="30" t="s">
        <v>206</v>
      </c>
      <c r="D409" s="30" t="s">
        <v>225</v>
      </c>
      <c r="E409" s="234" t="s">
        <v>867</v>
      </c>
      <c r="F409" s="235" t="s">
        <v>1249</v>
      </c>
      <c r="G409" s="284">
        <f>IFERROR(VLOOKUP(E409,Assign!$C$2:$J$142,8,FALSE),)</f>
        <v>0</v>
      </c>
      <c r="H409" s="197" t="s">
        <v>4833</v>
      </c>
      <c r="I409" s="324" t="s">
        <v>4834</v>
      </c>
      <c r="J409" s="237">
        <v>1</v>
      </c>
      <c r="K409" s="237">
        <v>1</v>
      </c>
      <c r="L409" s="265" t="s">
        <v>209</v>
      </c>
      <c r="M409" s="266" t="s">
        <v>481</v>
      </c>
      <c r="N409" s="266" t="s">
        <v>2362</v>
      </c>
      <c r="O409" s="267" t="s">
        <v>2363</v>
      </c>
      <c r="P409" s="268" t="s">
        <v>2364</v>
      </c>
      <c r="Q409" s="269">
        <f>5674.8+85.2+6.5</f>
        <v>5766.5</v>
      </c>
      <c r="R409" s="269">
        <v>8.41</v>
      </c>
      <c r="S409" s="270"/>
      <c r="T409" s="182">
        <f>1.89/5413</f>
        <v>3.4915943099944575E-4</v>
      </c>
      <c r="U409" s="182">
        <v>1</v>
      </c>
      <c r="V409" s="408">
        <v>1</v>
      </c>
      <c r="W409" s="357" t="s">
        <v>204</v>
      </c>
      <c r="X409" s="156">
        <v>75600000</v>
      </c>
      <c r="Y409" s="417">
        <v>75600000</v>
      </c>
      <c r="Z409" s="418" t="s">
        <v>359</v>
      </c>
      <c r="AA409" s="271"/>
      <c r="AB409" s="168"/>
      <c r="AC409" s="156"/>
      <c r="AD409" s="156"/>
      <c r="AE409" s="320"/>
      <c r="AF409" s="168"/>
      <c r="AG409" s="156"/>
      <c r="AH409" s="156"/>
      <c r="AI409" s="410"/>
    </row>
    <row r="410" spans="1:35" ht="19.5" hidden="1" customHeight="1">
      <c r="A410" s="137"/>
      <c r="B410" s="197">
        <f t="shared" si="7"/>
        <v>400</v>
      </c>
      <c r="C410" s="30" t="s">
        <v>206</v>
      </c>
      <c r="D410" s="30" t="s">
        <v>225</v>
      </c>
      <c r="E410" s="234" t="s">
        <v>868</v>
      </c>
      <c r="F410" s="235" t="s">
        <v>1229</v>
      </c>
      <c r="G410" s="284">
        <f>IFERROR(VLOOKUP(E410,Assign!$C$2:$J$142,8,FALSE),)</f>
        <v>0</v>
      </c>
      <c r="H410" s="197" t="s">
        <v>4378</v>
      </c>
      <c r="I410" s="324" t="s">
        <v>4379</v>
      </c>
      <c r="J410" s="237">
        <v>1</v>
      </c>
      <c r="K410" s="237">
        <v>1</v>
      </c>
      <c r="L410" s="265" t="s">
        <v>219</v>
      </c>
      <c r="M410" s="266" t="s">
        <v>1934</v>
      </c>
      <c r="N410" s="266" t="s">
        <v>1935</v>
      </c>
      <c r="O410" s="267" t="s">
        <v>1936</v>
      </c>
      <c r="P410" s="268" t="s">
        <v>468</v>
      </c>
      <c r="Q410" s="269">
        <v>51745</v>
      </c>
      <c r="R410" s="269">
        <v>84.93</v>
      </c>
      <c r="S410" s="270"/>
      <c r="T410" s="182">
        <f>63.5003/51745</f>
        <v>1.227177505072954E-3</v>
      </c>
      <c r="U410" s="182">
        <v>1</v>
      </c>
      <c r="V410" s="408" t="s">
        <v>229</v>
      </c>
      <c r="W410" s="357" t="s">
        <v>204</v>
      </c>
      <c r="X410" s="156">
        <v>253000000</v>
      </c>
      <c r="Y410" s="417">
        <v>253000000</v>
      </c>
      <c r="Z410" s="418" t="s">
        <v>359</v>
      </c>
      <c r="AA410" s="271"/>
      <c r="AB410" s="168"/>
      <c r="AC410" s="156"/>
      <c r="AD410" s="156"/>
      <c r="AE410" s="320"/>
      <c r="AF410" s="168"/>
      <c r="AG410" s="156"/>
      <c r="AH410" s="156"/>
      <c r="AI410" s="410"/>
    </row>
    <row r="411" spans="1:35" ht="19.5" customHeight="1">
      <c r="A411" s="137"/>
      <c r="B411" s="197">
        <f t="shared" si="7"/>
        <v>401</v>
      </c>
      <c r="C411" s="30" t="s">
        <v>206</v>
      </c>
      <c r="D411" s="30" t="s">
        <v>225</v>
      </c>
      <c r="E411" s="234" t="s">
        <v>869</v>
      </c>
      <c r="F411" s="235" t="s">
        <v>1229</v>
      </c>
      <c r="G411" s="284" t="str">
        <f>IFERROR(VLOOKUP(E411,Assign!$C$2:$J$142,8,FALSE),)</f>
        <v>문선영</v>
      </c>
      <c r="H411" s="197" t="s">
        <v>4354</v>
      </c>
      <c r="I411" s="324" t="s">
        <v>4355</v>
      </c>
      <c r="J411" s="237">
        <v>1</v>
      </c>
      <c r="K411" s="237">
        <v>1</v>
      </c>
      <c r="L411" s="265" t="s">
        <v>217</v>
      </c>
      <c r="M411" s="266" t="s">
        <v>336</v>
      </c>
      <c r="N411" s="266" t="s">
        <v>1912</v>
      </c>
      <c r="O411" s="267" t="s">
        <v>1913</v>
      </c>
      <c r="P411" s="268" t="s">
        <v>3516</v>
      </c>
      <c r="Q411" s="269">
        <f>17894.7+4531.9</f>
        <v>22426.6</v>
      </c>
      <c r="R411" s="269">
        <v>59.99</v>
      </c>
      <c r="S411" s="270"/>
      <c r="T411" s="182">
        <f>29.1926/22426.6</f>
        <v>1.3016953082500245E-3</v>
      </c>
      <c r="U411" s="182">
        <v>1</v>
      </c>
      <c r="V411" s="408">
        <v>1</v>
      </c>
      <c r="W411" s="357" t="s">
        <v>204</v>
      </c>
      <c r="X411" s="156">
        <v>96000000</v>
      </c>
      <c r="Y411" s="417">
        <v>96000000</v>
      </c>
      <c r="Z411" s="418" t="s">
        <v>359</v>
      </c>
      <c r="AA411" s="271"/>
      <c r="AB411" s="168"/>
      <c r="AC411" s="156"/>
      <c r="AD411" s="156"/>
      <c r="AE411" s="320"/>
      <c r="AF411" s="168"/>
      <c r="AG411" s="156"/>
      <c r="AH411" s="156"/>
      <c r="AI411" s="410"/>
    </row>
    <row r="412" spans="1:35" ht="19.5" hidden="1" customHeight="1">
      <c r="A412" s="137"/>
      <c r="B412" s="197">
        <f t="shared" si="7"/>
        <v>402</v>
      </c>
      <c r="C412" s="30" t="s">
        <v>206</v>
      </c>
      <c r="D412" s="30" t="s">
        <v>225</v>
      </c>
      <c r="E412" s="234" t="s">
        <v>870</v>
      </c>
      <c r="F412" s="235" t="s">
        <v>1220</v>
      </c>
      <c r="G412" s="284">
        <f>IFERROR(VLOOKUP(E412,Assign!$C$2:$J$142,8,FALSE),)</f>
        <v>0</v>
      </c>
      <c r="H412" s="197" t="s">
        <v>4157</v>
      </c>
      <c r="I412" s="324" t="s">
        <v>4158</v>
      </c>
      <c r="J412" s="237">
        <v>1</v>
      </c>
      <c r="K412" s="237">
        <v>1</v>
      </c>
      <c r="L412" s="265" t="s">
        <v>208</v>
      </c>
      <c r="M412" s="266" t="s">
        <v>244</v>
      </c>
      <c r="N412" s="266" t="s">
        <v>278</v>
      </c>
      <c r="O412" s="267" t="s">
        <v>1733</v>
      </c>
      <c r="P412" s="268" t="s">
        <v>449</v>
      </c>
      <c r="Q412" s="269">
        <v>75423.199999999997</v>
      </c>
      <c r="R412" s="269">
        <v>84.67</v>
      </c>
      <c r="S412" s="270"/>
      <c r="T412" s="182">
        <f>53.3228/75423.2</f>
        <v>7.069814062516574E-4</v>
      </c>
      <c r="U412" s="182">
        <v>1</v>
      </c>
      <c r="V412" s="408">
        <v>1</v>
      </c>
      <c r="W412" s="357" t="s">
        <v>204</v>
      </c>
      <c r="X412" s="156">
        <v>76000000</v>
      </c>
      <c r="Y412" s="417">
        <v>76000000</v>
      </c>
      <c r="Z412" s="418" t="s">
        <v>359</v>
      </c>
      <c r="AA412" s="271"/>
      <c r="AB412" s="168"/>
      <c r="AC412" s="156"/>
      <c r="AD412" s="156"/>
      <c r="AE412" s="320"/>
      <c r="AF412" s="168"/>
      <c r="AG412" s="156"/>
      <c r="AH412" s="156"/>
      <c r="AI412" s="410"/>
    </row>
    <row r="413" spans="1:35" ht="19.5" hidden="1" customHeight="1">
      <c r="A413" s="137"/>
      <c r="B413" s="197">
        <f t="shared" si="7"/>
        <v>403</v>
      </c>
      <c r="C413" s="30" t="s">
        <v>206</v>
      </c>
      <c r="D413" s="30" t="s">
        <v>225</v>
      </c>
      <c r="E413" s="234" t="s">
        <v>871</v>
      </c>
      <c r="F413" s="235" t="s">
        <v>1229</v>
      </c>
      <c r="G413" s="284">
        <f>IFERROR(VLOOKUP(E413,Assign!$C$2:$J$142,8,FALSE),)</f>
        <v>0</v>
      </c>
      <c r="H413" s="197" t="s">
        <v>4769</v>
      </c>
      <c r="I413" s="324" t="s">
        <v>4770</v>
      </c>
      <c r="J413" s="237">
        <v>1</v>
      </c>
      <c r="K413" s="237">
        <v>1</v>
      </c>
      <c r="L413" s="265" t="s">
        <v>208</v>
      </c>
      <c r="M413" s="266" t="s">
        <v>234</v>
      </c>
      <c r="N413" s="266" t="s">
        <v>235</v>
      </c>
      <c r="O413" s="267" t="s">
        <v>2301</v>
      </c>
      <c r="P413" s="268" t="s">
        <v>2302</v>
      </c>
      <c r="Q413" s="269">
        <f>650+269+213+3+269+242+133+28</f>
        <v>1807</v>
      </c>
      <c r="R413" s="269">
        <v>20</v>
      </c>
      <c r="S413" s="270"/>
      <c r="T413" s="182">
        <f>5.363/1807</f>
        <v>2.9679026009961263E-3</v>
      </c>
      <c r="U413" s="182">
        <v>1</v>
      </c>
      <c r="V413" s="408">
        <v>1</v>
      </c>
      <c r="W413" s="357" t="s">
        <v>204</v>
      </c>
      <c r="X413" s="156">
        <v>78000000</v>
      </c>
      <c r="Y413" s="417">
        <v>78000000</v>
      </c>
      <c r="Z413" s="418" t="s">
        <v>359</v>
      </c>
      <c r="AA413" s="271"/>
      <c r="AB413" s="168"/>
      <c r="AC413" s="156"/>
      <c r="AD413" s="156"/>
      <c r="AE413" s="320"/>
      <c r="AF413" s="168"/>
      <c r="AG413" s="156"/>
      <c r="AH413" s="156"/>
      <c r="AI413" s="410"/>
    </row>
    <row r="414" spans="1:35" ht="19.5" hidden="1" customHeight="1">
      <c r="A414" s="137"/>
      <c r="B414" s="197">
        <f t="shared" si="7"/>
        <v>404</v>
      </c>
      <c r="C414" s="30" t="s">
        <v>206</v>
      </c>
      <c r="D414" s="30" t="s">
        <v>225</v>
      </c>
      <c r="E414" s="234" t="s">
        <v>872</v>
      </c>
      <c r="F414" s="235" t="s">
        <v>1220</v>
      </c>
      <c r="G414" s="284">
        <f>IFERROR(VLOOKUP(E414,Assign!$C$2:$J$142,8,FALSE),)</f>
        <v>0</v>
      </c>
      <c r="H414" s="197" t="s">
        <v>4899</v>
      </c>
      <c r="I414" s="324" t="s">
        <v>4900</v>
      </c>
      <c r="J414" s="237">
        <v>1</v>
      </c>
      <c r="K414" s="237">
        <v>1</v>
      </c>
      <c r="L414" s="265" t="s">
        <v>208</v>
      </c>
      <c r="M414" s="266" t="s">
        <v>372</v>
      </c>
      <c r="N414" s="266" t="s">
        <v>416</v>
      </c>
      <c r="O414" s="267" t="s">
        <v>2419</v>
      </c>
      <c r="P414" s="268" t="s">
        <v>458</v>
      </c>
      <c r="Q414" s="269">
        <v>290.10000000000002</v>
      </c>
      <c r="R414" s="269">
        <v>59.61</v>
      </c>
      <c r="S414" s="270"/>
      <c r="T414" s="182">
        <f>29.01/290.1</f>
        <v>9.9999999999999992E-2</v>
      </c>
      <c r="U414" s="182">
        <v>1</v>
      </c>
      <c r="V414" s="408">
        <v>1</v>
      </c>
      <c r="W414" s="357" t="s">
        <v>204</v>
      </c>
      <c r="X414" s="156">
        <v>72000000</v>
      </c>
      <c r="Y414" s="417">
        <v>72000000</v>
      </c>
      <c r="Z414" s="418" t="s">
        <v>359</v>
      </c>
      <c r="AA414" s="271"/>
      <c r="AB414" s="168"/>
      <c r="AC414" s="156"/>
      <c r="AD414" s="156"/>
      <c r="AE414" s="320"/>
      <c r="AF414" s="168"/>
      <c r="AG414" s="156"/>
      <c r="AH414" s="156"/>
      <c r="AI414" s="410"/>
    </row>
    <row r="415" spans="1:35" ht="19.5" hidden="1" customHeight="1">
      <c r="A415" s="137"/>
      <c r="B415" s="197">
        <f t="shared" si="7"/>
        <v>405</v>
      </c>
      <c r="C415" s="30" t="s">
        <v>206</v>
      </c>
      <c r="D415" s="30" t="s">
        <v>225</v>
      </c>
      <c r="E415" s="234" t="s">
        <v>873</v>
      </c>
      <c r="F415" s="235" t="s">
        <v>1225</v>
      </c>
      <c r="G415" s="284">
        <f>IFERROR(VLOOKUP(E415,Assign!$C$2:$J$142,8,FALSE),)</f>
        <v>0</v>
      </c>
      <c r="H415" s="197" t="s">
        <v>4356</v>
      </c>
      <c r="I415" s="324" t="s">
        <v>4357</v>
      </c>
      <c r="J415" s="237">
        <v>1</v>
      </c>
      <c r="K415" s="237">
        <v>1</v>
      </c>
      <c r="L415" s="265" t="s">
        <v>214</v>
      </c>
      <c r="M415" s="266" t="s">
        <v>338</v>
      </c>
      <c r="N415" s="266" t="s">
        <v>1914</v>
      </c>
      <c r="O415" s="267" t="s">
        <v>1915</v>
      </c>
      <c r="P415" s="268" t="s">
        <v>3508</v>
      </c>
      <c r="Q415" s="269">
        <v>37095</v>
      </c>
      <c r="R415" s="269">
        <v>59.76</v>
      </c>
      <c r="S415" s="270"/>
      <c r="T415" s="182">
        <f>34.4436/37095</f>
        <v>9.2852405984634057E-4</v>
      </c>
      <c r="U415" s="182">
        <v>1</v>
      </c>
      <c r="V415" s="408">
        <v>1</v>
      </c>
      <c r="W415" s="357" t="s">
        <v>204</v>
      </c>
      <c r="X415" s="156">
        <v>80400000</v>
      </c>
      <c r="Y415" s="417">
        <v>80400000</v>
      </c>
      <c r="Z415" s="418" t="s">
        <v>359</v>
      </c>
      <c r="AA415" s="271"/>
      <c r="AB415" s="168"/>
      <c r="AC415" s="156"/>
      <c r="AD415" s="156"/>
      <c r="AE415" s="320"/>
      <c r="AF415" s="168"/>
      <c r="AG415" s="156"/>
      <c r="AH415" s="156"/>
      <c r="AI415" s="410"/>
    </row>
    <row r="416" spans="1:35" ht="19.5" hidden="1" customHeight="1">
      <c r="A416" s="137"/>
      <c r="B416" s="197">
        <f t="shared" si="7"/>
        <v>406</v>
      </c>
      <c r="C416" s="30" t="s">
        <v>206</v>
      </c>
      <c r="D416" s="30" t="s">
        <v>225</v>
      </c>
      <c r="E416" s="234" t="s">
        <v>874</v>
      </c>
      <c r="F416" s="235" t="s">
        <v>1257</v>
      </c>
      <c r="G416" s="284">
        <f>IFERROR(VLOOKUP(E416,Assign!$C$2:$J$142,8,FALSE),)</f>
        <v>0</v>
      </c>
      <c r="H416" s="197" t="s">
        <v>4405</v>
      </c>
      <c r="I416" s="324" t="s">
        <v>4406</v>
      </c>
      <c r="J416" s="237">
        <v>1</v>
      </c>
      <c r="K416" s="237">
        <v>1</v>
      </c>
      <c r="L416" s="265" t="s">
        <v>220</v>
      </c>
      <c r="M416" s="266" t="s">
        <v>564</v>
      </c>
      <c r="N416" s="266" t="s">
        <v>1618</v>
      </c>
      <c r="O416" s="267" t="s">
        <v>1959</v>
      </c>
      <c r="P416" s="268" t="s">
        <v>1960</v>
      </c>
      <c r="Q416" s="269">
        <v>976.9</v>
      </c>
      <c r="R416" s="269">
        <v>28.868400000000001</v>
      </c>
      <c r="S416" s="270"/>
      <c r="T416" s="182">
        <f>4.7918/976.9</f>
        <v>4.9051079946770401E-3</v>
      </c>
      <c r="U416" s="182">
        <v>1</v>
      </c>
      <c r="V416" s="408">
        <v>1</v>
      </c>
      <c r="W416" s="357" t="s">
        <v>204</v>
      </c>
      <c r="X416" s="156">
        <v>76800000</v>
      </c>
      <c r="Y416" s="417">
        <v>76800000</v>
      </c>
      <c r="Z416" s="418" t="s">
        <v>359</v>
      </c>
      <c r="AA416" s="271"/>
      <c r="AB416" s="168"/>
      <c r="AC416" s="156"/>
      <c r="AD416" s="156"/>
      <c r="AE416" s="320"/>
      <c r="AF416" s="168"/>
      <c r="AG416" s="156"/>
      <c r="AH416" s="156"/>
      <c r="AI416" s="410"/>
    </row>
    <row r="417" spans="1:35" ht="19.5" hidden="1" customHeight="1">
      <c r="A417" s="137"/>
      <c r="B417" s="197">
        <f t="shared" si="7"/>
        <v>407</v>
      </c>
      <c r="C417" s="30" t="s">
        <v>206</v>
      </c>
      <c r="D417" s="30" t="s">
        <v>225</v>
      </c>
      <c r="E417" s="234" t="s">
        <v>875</v>
      </c>
      <c r="F417" s="235" t="s">
        <v>1226</v>
      </c>
      <c r="G417" s="284">
        <f>IFERROR(VLOOKUP(E417,Assign!$C$2:$J$142,8,FALSE),)</f>
        <v>0</v>
      </c>
      <c r="H417" s="197" t="s">
        <v>4140</v>
      </c>
      <c r="I417" s="324" t="s">
        <v>4141</v>
      </c>
      <c r="J417" s="237">
        <v>1</v>
      </c>
      <c r="K417" s="237">
        <v>1</v>
      </c>
      <c r="L417" s="265" t="s">
        <v>208</v>
      </c>
      <c r="M417" s="266" t="s">
        <v>372</v>
      </c>
      <c r="N417" s="266" t="s">
        <v>1561</v>
      </c>
      <c r="O417" s="267" t="s">
        <v>1716</v>
      </c>
      <c r="P417" s="268" t="s">
        <v>431</v>
      </c>
      <c r="Q417" s="269">
        <v>86646.399999999994</v>
      </c>
      <c r="R417" s="269">
        <v>84.92</v>
      </c>
      <c r="S417" s="270"/>
      <c r="T417" s="182">
        <f>31.772/86646.4</f>
        <v>3.6668574805185213E-4</v>
      </c>
      <c r="U417" s="182">
        <v>1</v>
      </c>
      <c r="V417" s="408">
        <v>2</v>
      </c>
      <c r="W417" s="357" t="s">
        <v>204</v>
      </c>
      <c r="X417" s="156">
        <v>66000000</v>
      </c>
      <c r="Y417" s="417">
        <v>66000000</v>
      </c>
      <c r="Z417" s="418" t="s">
        <v>359</v>
      </c>
      <c r="AA417" s="271">
        <v>1</v>
      </c>
      <c r="AB417" s="168" t="s">
        <v>204</v>
      </c>
      <c r="AC417" s="156">
        <v>90200000</v>
      </c>
      <c r="AD417" s="156">
        <v>90200000</v>
      </c>
      <c r="AE417" s="320"/>
      <c r="AF417" s="168"/>
      <c r="AG417" s="156"/>
      <c r="AH417" s="156"/>
      <c r="AI417" s="410"/>
    </row>
    <row r="418" spans="1:35" ht="19.5" hidden="1" customHeight="1">
      <c r="A418" s="137"/>
      <c r="B418" s="197">
        <f t="shared" si="7"/>
        <v>408</v>
      </c>
      <c r="C418" s="30" t="s">
        <v>206</v>
      </c>
      <c r="D418" s="30" t="s">
        <v>225</v>
      </c>
      <c r="E418" s="234" t="s">
        <v>876</v>
      </c>
      <c r="F418" s="235" t="s">
        <v>1233</v>
      </c>
      <c r="G418" s="284">
        <f>IFERROR(VLOOKUP(E418,Assign!$C$2:$J$142,8,FALSE),)</f>
        <v>0</v>
      </c>
      <c r="H418" s="197" t="s">
        <v>4781</v>
      </c>
      <c r="I418" s="324" t="s">
        <v>4782</v>
      </c>
      <c r="J418" s="237">
        <v>1</v>
      </c>
      <c r="K418" s="237">
        <v>1</v>
      </c>
      <c r="L418" s="265" t="s">
        <v>212</v>
      </c>
      <c r="M418" s="266" t="s">
        <v>389</v>
      </c>
      <c r="N418" s="266" t="s">
        <v>379</v>
      </c>
      <c r="O418" s="267" t="s">
        <v>2311</v>
      </c>
      <c r="P418" s="268" t="s">
        <v>442</v>
      </c>
      <c r="Q418" s="269">
        <v>2693.1</v>
      </c>
      <c r="R418" s="269">
        <v>58.32</v>
      </c>
      <c r="S418" s="270"/>
      <c r="T418" s="182">
        <f>44.388/2693.1</f>
        <v>1.6482120975827113E-2</v>
      </c>
      <c r="U418" s="182">
        <v>1</v>
      </c>
      <c r="V418" s="408">
        <v>1</v>
      </c>
      <c r="W418" s="357" t="s">
        <v>204</v>
      </c>
      <c r="X418" s="156">
        <v>72000000</v>
      </c>
      <c r="Y418" s="417">
        <v>72000000</v>
      </c>
      <c r="Z418" s="418" t="s">
        <v>359</v>
      </c>
      <c r="AA418" s="271"/>
      <c r="AB418" s="168"/>
      <c r="AC418" s="156"/>
      <c r="AD418" s="156"/>
      <c r="AE418" s="320"/>
      <c r="AF418" s="168"/>
      <c r="AG418" s="156"/>
      <c r="AH418" s="156"/>
      <c r="AI418" s="410"/>
    </row>
    <row r="419" spans="1:35" ht="19.5" hidden="1" customHeight="1">
      <c r="A419" s="137"/>
      <c r="B419" s="197">
        <f t="shared" si="7"/>
        <v>409</v>
      </c>
      <c r="C419" s="30" t="s">
        <v>206</v>
      </c>
      <c r="D419" s="30" t="s">
        <v>225</v>
      </c>
      <c r="E419" s="234" t="s">
        <v>877</v>
      </c>
      <c r="F419" s="235" t="s">
        <v>1217</v>
      </c>
      <c r="G419" s="284">
        <f>IFERROR(VLOOKUP(E419,Assign!$C$2:$J$142,8,FALSE),)</f>
        <v>0</v>
      </c>
      <c r="H419" s="197" t="s">
        <v>4480</v>
      </c>
      <c r="I419" s="324" t="s">
        <v>4481</v>
      </c>
      <c r="J419" s="237">
        <v>1</v>
      </c>
      <c r="K419" s="237">
        <v>1</v>
      </c>
      <c r="L419" s="265" t="s">
        <v>212</v>
      </c>
      <c r="M419" s="266" t="s">
        <v>232</v>
      </c>
      <c r="N419" s="266" t="s">
        <v>263</v>
      </c>
      <c r="O419" s="267" t="s">
        <v>2024</v>
      </c>
      <c r="P419" s="268" t="s">
        <v>434</v>
      </c>
      <c r="Q419" s="269">
        <v>23512</v>
      </c>
      <c r="R419" s="269">
        <v>59.36</v>
      </c>
      <c r="S419" s="270"/>
      <c r="T419" s="182">
        <f>28.54/23512</f>
        <v>1.2138482477033004E-3</v>
      </c>
      <c r="U419" s="182">
        <v>1</v>
      </c>
      <c r="V419" s="408" t="s">
        <v>233</v>
      </c>
      <c r="W419" s="357" t="s">
        <v>204</v>
      </c>
      <c r="X419" s="156">
        <v>103400000</v>
      </c>
      <c r="Y419" s="417">
        <v>103400000</v>
      </c>
      <c r="Z419" s="418" t="s">
        <v>359</v>
      </c>
      <c r="AA419" s="271"/>
      <c r="AB419" s="168"/>
      <c r="AC419" s="156"/>
      <c r="AD419" s="156"/>
      <c r="AE419" s="320"/>
      <c r="AF419" s="168"/>
      <c r="AG419" s="156"/>
      <c r="AH419" s="156"/>
      <c r="AI419" s="410"/>
    </row>
    <row r="420" spans="1:35" ht="19.5" hidden="1" customHeight="1">
      <c r="A420" s="137"/>
      <c r="B420" s="197">
        <f t="shared" si="7"/>
        <v>410</v>
      </c>
      <c r="C420" s="30" t="s">
        <v>206</v>
      </c>
      <c r="D420" s="30" t="s">
        <v>225</v>
      </c>
      <c r="E420" s="234" t="s">
        <v>878</v>
      </c>
      <c r="F420" s="235" t="s">
        <v>1236</v>
      </c>
      <c r="G420" s="284">
        <f>IFERROR(VLOOKUP(E420,Assign!$C$2:$J$142,8,FALSE),)</f>
        <v>0</v>
      </c>
      <c r="H420" s="197" t="s">
        <v>4890</v>
      </c>
      <c r="I420" s="324" t="s">
        <v>4891</v>
      </c>
      <c r="J420" s="237">
        <v>1</v>
      </c>
      <c r="K420" s="237">
        <v>1</v>
      </c>
      <c r="L420" s="265" t="s">
        <v>208</v>
      </c>
      <c r="M420" s="266" t="s">
        <v>234</v>
      </c>
      <c r="N420" s="266" t="s">
        <v>317</v>
      </c>
      <c r="O420" s="267" t="s">
        <v>2412</v>
      </c>
      <c r="P420" s="268" t="s">
        <v>3537</v>
      </c>
      <c r="Q420" s="269">
        <v>1353.5</v>
      </c>
      <c r="R420" s="269">
        <v>23.77</v>
      </c>
      <c r="S420" s="270"/>
      <c r="T420" s="182">
        <f>4.366/1353.5</f>
        <v>3.2257111193202807E-3</v>
      </c>
      <c r="U420" s="182">
        <v>1</v>
      </c>
      <c r="V420" s="408">
        <v>1</v>
      </c>
      <c r="W420" s="357" t="s">
        <v>204</v>
      </c>
      <c r="X420" s="156">
        <v>81600000</v>
      </c>
      <c r="Y420" s="417">
        <v>81600000</v>
      </c>
      <c r="Z420" s="418" t="s">
        <v>359</v>
      </c>
      <c r="AA420" s="271"/>
      <c r="AB420" s="168"/>
      <c r="AC420" s="156"/>
      <c r="AD420" s="156"/>
      <c r="AE420" s="320"/>
      <c r="AF420" s="168"/>
      <c r="AG420" s="156"/>
      <c r="AH420" s="156"/>
      <c r="AI420" s="410"/>
    </row>
    <row r="421" spans="1:35" ht="19.5" hidden="1" customHeight="1">
      <c r="A421" s="137"/>
      <c r="B421" s="197">
        <f t="shared" si="7"/>
        <v>411</v>
      </c>
      <c r="C421" s="30" t="s">
        <v>206</v>
      </c>
      <c r="D421" s="30" t="s">
        <v>225</v>
      </c>
      <c r="E421" s="234" t="s">
        <v>879</v>
      </c>
      <c r="F421" s="235" t="s">
        <v>1229</v>
      </c>
      <c r="G421" s="284">
        <f>IFERROR(VLOOKUP(E421,Assign!$C$2:$J$142,8,FALSE),)</f>
        <v>0</v>
      </c>
      <c r="H421" s="197" t="s">
        <v>4436</v>
      </c>
      <c r="I421" s="324" t="s">
        <v>4437</v>
      </c>
      <c r="J421" s="237">
        <v>1</v>
      </c>
      <c r="K421" s="237">
        <v>1</v>
      </c>
      <c r="L421" s="265" t="s">
        <v>220</v>
      </c>
      <c r="M421" s="266" t="s">
        <v>390</v>
      </c>
      <c r="N421" s="266" t="s">
        <v>574</v>
      </c>
      <c r="O421" s="267" t="s">
        <v>1985</v>
      </c>
      <c r="P421" s="268" t="s">
        <v>1986</v>
      </c>
      <c r="Q421" s="269">
        <f>3755+2698</f>
        <v>6453</v>
      </c>
      <c r="R421" s="269">
        <v>79.86</v>
      </c>
      <c r="S421" s="270"/>
      <c r="T421" s="182">
        <f>6721/645300</f>
        <v>1.0415310708197737E-2</v>
      </c>
      <c r="U421" s="182">
        <v>1</v>
      </c>
      <c r="V421" s="408">
        <v>1</v>
      </c>
      <c r="W421" s="357" t="s">
        <v>204</v>
      </c>
      <c r="X421" s="156">
        <v>93600000</v>
      </c>
      <c r="Y421" s="417">
        <v>93600000</v>
      </c>
      <c r="Z421" s="418" t="s">
        <v>359</v>
      </c>
      <c r="AA421" s="271"/>
      <c r="AB421" s="168"/>
      <c r="AC421" s="156"/>
      <c r="AD421" s="156"/>
      <c r="AE421" s="320"/>
      <c r="AF421" s="168"/>
      <c r="AG421" s="156"/>
      <c r="AH421" s="156"/>
      <c r="AI421" s="410"/>
    </row>
    <row r="422" spans="1:35" ht="19.5" hidden="1" customHeight="1">
      <c r="A422" s="137"/>
      <c r="B422" s="197">
        <f t="shared" si="7"/>
        <v>412</v>
      </c>
      <c r="C422" s="30" t="s">
        <v>206</v>
      </c>
      <c r="D422" s="30" t="s">
        <v>225</v>
      </c>
      <c r="E422" s="234" t="s">
        <v>880</v>
      </c>
      <c r="F422" s="235" t="s">
        <v>1239</v>
      </c>
      <c r="G422" s="284">
        <f>IFERROR(VLOOKUP(E422,Assign!$C$2:$J$142,8,FALSE),)</f>
        <v>0</v>
      </c>
      <c r="H422" s="197" t="s">
        <v>4634</v>
      </c>
      <c r="I422" s="324" t="s">
        <v>4635</v>
      </c>
      <c r="J422" s="237">
        <v>1</v>
      </c>
      <c r="K422" s="237">
        <v>1</v>
      </c>
      <c r="L422" s="265" t="s">
        <v>209</v>
      </c>
      <c r="M422" s="266" t="s">
        <v>364</v>
      </c>
      <c r="N422" s="266" t="s">
        <v>1621</v>
      </c>
      <c r="O422" s="267" t="s">
        <v>2171</v>
      </c>
      <c r="P422" s="268" t="s">
        <v>599</v>
      </c>
      <c r="Q422" s="269">
        <v>221.2</v>
      </c>
      <c r="R422" s="269">
        <v>41.53</v>
      </c>
      <c r="S422" s="270"/>
      <c r="T422" s="182">
        <f>36.87/221.2</f>
        <v>0.16668173598553346</v>
      </c>
      <c r="U422" s="182">
        <v>1</v>
      </c>
      <c r="V422" s="408">
        <v>1</v>
      </c>
      <c r="W422" s="357" t="s">
        <v>204</v>
      </c>
      <c r="X422" s="156">
        <v>57000000</v>
      </c>
      <c r="Y422" s="417">
        <v>57000000</v>
      </c>
      <c r="Z422" s="418" t="s">
        <v>359</v>
      </c>
      <c r="AA422" s="271"/>
      <c r="AB422" s="168"/>
      <c r="AC422" s="156"/>
      <c r="AD422" s="156"/>
      <c r="AE422" s="320"/>
      <c r="AF422" s="168"/>
      <c r="AG422" s="156"/>
      <c r="AH422" s="156"/>
      <c r="AI422" s="410"/>
    </row>
    <row r="423" spans="1:35" ht="19.5" hidden="1" customHeight="1">
      <c r="A423" s="137"/>
      <c r="B423" s="197">
        <f t="shared" si="7"/>
        <v>413</v>
      </c>
      <c r="C423" s="30" t="s">
        <v>206</v>
      </c>
      <c r="D423" s="30" t="s">
        <v>225</v>
      </c>
      <c r="E423" s="234" t="s">
        <v>881</v>
      </c>
      <c r="F423" s="235" t="s">
        <v>1247</v>
      </c>
      <c r="G423" s="284">
        <f>IFERROR(VLOOKUP(E423,Assign!$C$2:$J$142,8,FALSE),)</f>
        <v>0</v>
      </c>
      <c r="H423" s="197" t="s">
        <v>4050</v>
      </c>
      <c r="I423" s="324" t="s">
        <v>4051</v>
      </c>
      <c r="J423" s="237">
        <v>1</v>
      </c>
      <c r="K423" s="237">
        <v>1</v>
      </c>
      <c r="L423" s="265" t="s">
        <v>208</v>
      </c>
      <c r="M423" s="266" t="s">
        <v>234</v>
      </c>
      <c r="N423" s="266" t="s">
        <v>551</v>
      </c>
      <c r="O423" s="267" t="s">
        <v>1626</v>
      </c>
      <c r="P423" s="268" t="s">
        <v>431</v>
      </c>
      <c r="Q423" s="269">
        <v>85483</v>
      </c>
      <c r="R423" s="269">
        <v>153.18</v>
      </c>
      <c r="S423" s="270"/>
      <c r="T423" s="182">
        <f>87.14/85483</f>
        <v>1.0193839710819696E-3</v>
      </c>
      <c r="U423" s="182">
        <v>1</v>
      </c>
      <c r="V423" s="408">
        <v>2</v>
      </c>
      <c r="W423" s="357" t="s">
        <v>204</v>
      </c>
      <c r="X423" s="156">
        <v>60000000</v>
      </c>
      <c r="Y423" s="417">
        <v>60000000</v>
      </c>
      <c r="Z423" s="418" t="s">
        <v>359</v>
      </c>
      <c r="AA423" s="271">
        <v>1</v>
      </c>
      <c r="AB423" s="168" t="s">
        <v>204</v>
      </c>
      <c r="AC423" s="156">
        <v>326400000</v>
      </c>
      <c r="AD423" s="156">
        <v>326400000</v>
      </c>
      <c r="AE423" s="320"/>
      <c r="AF423" s="168"/>
      <c r="AG423" s="156"/>
      <c r="AH423" s="156"/>
      <c r="AI423" s="410"/>
    </row>
    <row r="424" spans="1:35" ht="19.5" hidden="1" customHeight="1">
      <c r="A424" s="137"/>
      <c r="B424" s="197">
        <f t="shared" si="7"/>
        <v>414</v>
      </c>
      <c r="C424" s="30" t="s">
        <v>206</v>
      </c>
      <c r="D424" s="30" t="s">
        <v>225</v>
      </c>
      <c r="E424" s="234" t="s">
        <v>882</v>
      </c>
      <c r="F424" s="235" t="s">
        <v>1320</v>
      </c>
      <c r="G424" s="284">
        <f>IFERROR(VLOOKUP(E424,Assign!$C$2:$J$142,8,FALSE),)</f>
        <v>0</v>
      </c>
      <c r="H424" s="197" t="s">
        <v>5339</v>
      </c>
      <c r="I424" s="324" t="s">
        <v>5340</v>
      </c>
      <c r="J424" s="237">
        <v>1</v>
      </c>
      <c r="K424" s="237">
        <v>1</v>
      </c>
      <c r="L424" s="265" t="s">
        <v>208</v>
      </c>
      <c r="M424" s="266" t="s">
        <v>228</v>
      </c>
      <c r="N424" s="266" t="s">
        <v>2817</v>
      </c>
      <c r="O424" s="267" t="s">
        <v>2818</v>
      </c>
      <c r="P424" s="268" t="s">
        <v>436</v>
      </c>
      <c r="Q424" s="269">
        <v>32420.1</v>
      </c>
      <c r="R424" s="269">
        <v>84.950500000000005</v>
      </c>
      <c r="S424" s="270"/>
      <c r="T424" s="182">
        <f>63.0704/32420.1</f>
        <v>1.9454104089746793E-3</v>
      </c>
      <c r="U424" s="182">
        <v>1</v>
      </c>
      <c r="V424" s="408">
        <v>2</v>
      </c>
      <c r="W424" s="357" t="s">
        <v>204</v>
      </c>
      <c r="X424" s="156">
        <v>60000000</v>
      </c>
      <c r="Y424" s="417">
        <v>60000000</v>
      </c>
      <c r="Z424" s="418" t="s">
        <v>359</v>
      </c>
      <c r="AA424" s="271">
        <v>1</v>
      </c>
      <c r="AB424" s="168" t="s">
        <v>204</v>
      </c>
      <c r="AC424" s="156">
        <v>144000000</v>
      </c>
      <c r="AD424" s="156">
        <v>144000000</v>
      </c>
      <c r="AE424" s="320"/>
      <c r="AF424" s="168"/>
      <c r="AG424" s="156"/>
      <c r="AH424" s="156"/>
      <c r="AI424" s="410"/>
    </row>
    <row r="425" spans="1:35" ht="19.5" hidden="1" customHeight="1">
      <c r="A425" s="137"/>
      <c r="B425" s="197">
        <f t="shared" si="7"/>
        <v>415</v>
      </c>
      <c r="C425" s="30" t="s">
        <v>206</v>
      </c>
      <c r="D425" s="30" t="s">
        <v>225</v>
      </c>
      <c r="E425" s="234" t="s">
        <v>883</v>
      </c>
      <c r="F425" s="235" t="s">
        <v>1229</v>
      </c>
      <c r="G425" s="284">
        <f>IFERROR(VLOOKUP(E425,Assign!$C$2:$J$142,8,FALSE),)</f>
        <v>0</v>
      </c>
      <c r="H425" s="197" t="s">
        <v>3999</v>
      </c>
      <c r="I425" s="324" t="s">
        <v>4000</v>
      </c>
      <c r="J425" s="237">
        <v>1</v>
      </c>
      <c r="K425" s="237">
        <v>1</v>
      </c>
      <c r="L425" s="265" t="s">
        <v>209</v>
      </c>
      <c r="M425" s="266" t="s">
        <v>272</v>
      </c>
      <c r="N425" s="266" t="s">
        <v>403</v>
      </c>
      <c r="O425" s="267" t="s">
        <v>1574</v>
      </c>
      <c r="P425" s="268" t="s">
        <v>3508</v>
      </c>
      <c r="Q425" s="269">
        <v>52851.1</v>
      </c>
      <c r="R425" s="269">
        <v>36.159999999999997</v>
      </c>
      <c r="S425" s="270"/>
      <c r="T425" s="182">
        <f>25.72/52851.1</f>
        <v>4.8665023055338485E-4</v>
      </c>
      <c r="U425" s="182">
        <v>1</v>
      </c>
      <c r="V425" s="408">
        <v>1</v>
      </c>
      <c r="W425" s="357" t="s">
        <v>204</v>
      </c>
      <c r="X425" s="156">
        <v>96000000</v>
      </c>
      <c r="Y425" s="417">
        <v>96000000</v>
      </c>
      <c r="Z425" s="418" t="s">
        <v>359</v>
      </c>
      <c r="AA425" s="271"/>
      <c r="AB425" s="168"/>
      <c r="AC425" s="156"/>
      <c r="AD425" s="156"/>
      <c r="AE425" s="320"/>
      <c r="AF425" s="168"/>
      <c r="AG425" s="156"/>
      <c r="AH425" s="156"/>
      <c r="AI425" s="410"/>
    </row>
    <row r="426" spans="1:35" ht="19.5" customHeight="1">
      <c r="A426" s="137"/>
      <c r="B426" s="197">
        <f t="shared" si="7"/>
        <v>416</v>
      </c>
      <c r="C426" s="30" t="s">
        <v>206</v>
      </c>
      <c r="D426" s="30" t="s">
        <v>225</v>
      </c>
      <c r="E426" s="234" t="s">
        <v>884</v>
      </c>
      <c r="F426" s="235" t="s">
        <v>1266</v>
      </c>
      <c r="G426" s="284" t="str">
        <f>IFERROR(VLOOKUP(E426,Assign!$C$2:$J$142,8,FALSE),)</f>
        <v>문선영</v>
      </c>
      <c r="H426" s="197" t="s">
        <v>5038</v>
      </c>
      <c r="I426" s="324" t="s">
        <v>5039</v>
      </c>
      <c r="J426" s="237">
        <v>1</v>
      </c>
      <c r="K426" s="237">
        <v>1</v>
      </c>
      <c r="L426" s="265" t="s">
        <v>211</v>
      </c>
      <c r="M426" s="266" t="s">
        <v>2556</v>
      </c>
      <c r="N426" s="266" t="s">
        <v>2557</v>
      </c>
      <c r="O426" s="267" t="s">
        <v>2558</v>
      </c>
      <c r="P426" s="268" t="s">
        <v>435</v>
      </c>
      <c r="Q426" s="269">
        <v>3618.1</v>
      </c>
      <c r="R426" s="269">
        <v>59.88</v>
      </c>
      <c r="S426" s="270"/>
      <c r="T426" s="182">
        <f>23053/3618100</f>
        <v>6.3715762416738063E-3</v>
      </c>
      <c r="U426" s="182">
        <v>1</v>
      </c>
      <c r="V426" s="408">
        <v>1</v>
      </c>
      <c r="W426" s="357" t="s">
        <v>204</v>
      </c>
      <c r="X426" s="156">
        <v>72000000</v>
      </c>
      <c r="Y426" s="417">
        <v>72000000</v>
      </c>
      <c r="Z426" s="418" t="s">
        <v>359</v>
      </c>
      <c r="AA426" s="271"/>
      <c r="AB426" s="168"/>
      <c r="AC426" s="156"/>
      <c r="AD426" s="156"/>
      <c r="AE426" s="320"/>
      <c r="AF426" s="168"/>
      <c r="AG426" s="156"/>
      <c r="AH426" s="156"/>
      <c r="AI426" s="410"/>
    </row>
    <row r="427" spans="1:35" ht="19.5" hidden="1" customHeight="1">
      <c r="A427" s="137"/>
      <c r="B427" s="197">
        <f t="shared" si="7"/>
        <v>417</v>
      </c>
      <c r="C427" s="30" t="s">
        <v>206</v>
      </c>
      <c r="D427" s="30" t="s">
        <v>225</v>
      </c>
      <c r="E427" s="234" t="s">
        <v>885</v>
      </c>
      <c r="F427" s="235" t="s">
        <v>1221</v>
      </c>
      <c r="G427" s="284">
        <f>IFERROR(VLOOKUP(E427,Assign!$C$2:$J$142,8,FALSE),)</f>
        <v>0</v>
      </c>
      <c r="H427" s="197" t="s">
        <v>4482</v>
      </c>
      <c r="I427" s="324" t="s">
        <v>4483</v>
      </c>
      <c r="J427" s="237">
        <v>1</v>
      </c>
      <c r="K427" s="237">
        <v>1</v>
      </c>
      <c r="L427" s="265" t="s">
        <v>223</v>
      </c>
      <c r="M427" s="266" t="s">
        <v>2025</v>
      </c>
      <c r="N427" s="266" t="s">
        <v>2026</v>
      </c>
      <c r="O427" s="267" t="s">
        <v>2027</v>
      </c>
      <c r="P427" s="268" t="s">
        <v>602</v>
      </c>
      <c r="Q427" s="269"/>
      <c r="R427" s="269">
        <v>44</v>
      </c>
      <c r="S427" s="270"/>
      <c r="T427" s="182"/>
      <c r="U427" s="182">
        <v>1</v>
      </c>
      <c r="V427" s="408" t="s">
        <v>268</v>
      </c>
      <c r="W427" s="357" t="s">
        <v>204</v>
      </c>
      <c r="X427" s="156">
        <v>92400000</v>
      </c>
      <c r="Y427" s="417">
        <v>92400000</v>
      </c>
      <c r="Z427" s="418" t="s">
        <v>359</v>
      </c>
      <c r="AA427" s="271"/>
      <c r="AB427" s="168"/>
      <c r="AC427" s="156"/>
      <c r="AD427" s="156"/>
      <c r="AE427" s="320"/>
      <c r="AF427" s="168"/>
      <c r="AG427" s="156"/>
      <c r="AH427" s="156"/>
      <c r="AI427" s="410"/>
    </row>
    <row r="428" spans="1:35" ht="19.5" hidden="1" customHeight="1">
      <c r="A428" s="137"/>
      <c r="B428" s="197">
        <f t="shared" si="7"/>
        <v>418</v>
      </c>
      <c r="C428" s="30" t="s">
        <v>206</v>
      </c>
      <c r="D428" s="30" t="s">
        <v>225</v>
      </c>
      <c r="E428" s="234" t="s">
        <v>885</v>
      </c>
      <c r="F428" s="235" t="s">
        <v>1221</v>
      </c>
      <c r="G428" s="284">
        <f>IFERROR(VLOOKUP(E428,Assign!$C$2:$J$142,8,FALSE),)</f>
        <v>0</v>
      </c>
      <c r="H428" s="197" t="s">
        <v>4482</v>
      </c>
      <c r="I428" s="324" t="s">
        <v>4484</v>
      </c>
      <c r="J428" s="237">
        <v>1</v>
      </c>
      <c r="K428" s="237">
        <v>2</v>
      </c>
      <c r="L428" s="265" t="s">
        <v>223</v>
      </c>
      <c r="M428" s="266" t="s">
        <v>2025</v>
      </c>
      <c r="N428" s="266" t="s">
        <v>2026</v>
      </c>
      <c r="O428" s="267" t="s">
        <v>2027</v>
      </c>
      <c r="P428" s="268" t="s">
        <v>450</v>
      </c>
      <c r="Q428" s="269">
        <v>631</v>
      </c>
      <c r="R428" s="269"/>
      <c r="S428" s="270"/>
      <c r="T428" s="182"/>
      <c r="U428" s="182">
        <v>1</v>
      </c>
      <c r="V428" s="408" t="s">
        <v>268</v>
      </c>
      <c r="W428" s="357" t="s">
        <v>204</v>
      </c>
      <c r="X428" s="156">
        <v>92400000</v>
      </c>
      <c r="Y428" s="417">
        <v>92400000</v>
      </c>
      <c r="Z428" s="418" t="s">
        <v>359</v>
      </c>
      <c r="AA428" s="271"/>
      <c r="AB428" s="168"/>
      <c r="AC428" s="156"/>
      <c r="AD428" s="156"/>
      <c r="AE428" s="320"/>
      <c r="AF428" s="168"/>
      <c r="AG428" s="156"/>
      <c r="AH428" s="156"/>
      <c r="AI428" s="410"/>
    </row>
    <row r="429" spans="1:35" ht="19.5" hidden="1" customHeight="1">
      <c r="A429" s="137"/>
      <c r="B429" s="197">
        <f t="shared" si="7"/>
        <v>419</v>
      </c>
      <c r="C429" s="30" t="s">
        <v>206</v>
      </c>
      <c r="D429" s="30" t="s">
        <v>225</v>
      </c>
      <c r="E429" s="234" t="s">
        <v>886</v>
      </c>
      <c r="F429" s="235" t="s">
        <v>1252</v>
      </c>
      <c r="G429" s="284">
        <f>IFERROR(VLOOKUP(E429,Assign!$C$2:$J$142,8,FALSE),)</f>
        <v>0</v>
      </c>
      <c r="H429" s="197" t="s">
        <v>4288</v>
      </c>
      <c r="I429" s="324" t="s">
        <v>4289</v>
      </c>
      <c r="J429" s="237">
        <v>1</v>
      </c>
      <c r="K429" s="237">
        <v>1</v>
      </c>
      <c r="L429" s="265" t="s">
        <v>208</v>
      </c>
      <c r="M429" s="266" t="s">
        <v>322</v>
      </c>
      <c r="N429" s="266" t="s">
        <v>376</v>
      </c>
      <c r="O429" s="267" t="s">
        <v>1856</v>
      </c>
      <c r="P429" s="268" t="s">
        <v>1857</v>
      </c>
      <c r="Q429" s="269">
        <f>1037.1+2268.1</f>
        <v>3305.2</v>
      </c>
      <c r="R429" s="269">
        <v>34.86</v>
      </c>
      <c r="S429" s="270"/>
      <c r="T429" s="182">
        <f>6.97/3305.2</f>
        <v>2.1087982572915408E-3</v>
      </c>
      <c r="U429" s="182">
        <v>1</v>
      </c>
      <c r="V429" s="408">
        <v>1</v>
      </c>
      <c r="W429" s="357" t="s">
        <v>204</v>
      </c>
      <c r="X429" s="156">
        <v>55200000</v>
      </c>
      <c r="Y429" s="417">
        <v>55200000</v>
      </c>
      <c r="Z429" s="418" t="s">
        <v>359</v>
      </c>
      <c r="AA429" s="271"/>
      <c r="AB429" s="168"/>
      <c r="AC429" s="156"/>
      <c r="AD429" s="156"/>
      <c r="AE429" s="320"/>
      <c r="AF429" s="168"/>
      <c r="AG429" s="156"/>
      <c r="AH429" s="156"/>
      <c r="AI429" s="410"/>
    </row>
    <row r="430" spans="1:35" ht="19.5" hidden="1" customHeight="1">
      <c r="A430" s="137"/>
      <c r="B430" s="197">
        <f t="shared" si="7"/>
        <v>420</v>
      </c>
      <c r="C430" s="30" t="s">
        <v>206</v>
      </c>
      <c r="D430" s="30" t="s">
        <v>225</v>
      </c>
      <c r="E430" s="234" t="s">
        <v>887</v>
      </c>
      <c r="F430" s="235" t="s">
        <v>1225</v>
      </c>
      <c r="G430" s="284">
        <f>IFERROR(VLOOKUP(E430,Assign!$C$2:$J$142,8,FALSE),)</f>
        <v>0</v>
      </c>
      <c r="H430" s="197" t="s">
        <v>4955</v>
      </c>
      <c r="I430" s="324" t="s">
        <v>4956</v>
      </c>
      <c r="J430" s="237">
        <v>1</v>
      </c>
      <c r="K430" s="237">
        <v>1</v>
      </c>
      <c r="L430" s="265" t="s">
        <v>212</v>
      </c>
      <c r="M430" s="266" t="s">
        <v>289</v>
      </c>
      <c r="N430" s="266" t="s">
        <v>2474</v>
      </c>
      <c r="O430" s="267" t="s">
        <v>2475</v>
      </c>
      <c r="P430" s="268" t="s">
        <v>1958</v>
      </c>
      <c r="Q430" s="269">
        <v>240</v>
      </c>
      <c r="R430" s="269">
        <v>59.93</v>
      </c>
      <c r="S430" s="270"/>
      <c r="T430" s="182">
        <f>30/240</f>
        <v>0.125</v>
      </c>
      <c r="U430" s="182">
        <v>1</v>
      </c>
      <c r="V430" s="408">
        <v>1</v>
      </c>
      <c r="W430" s="357" t="s">
        <v>204</v>
      </c>
      <c r="X430" s="156">
        <v>60000000</v>
      </c>
      <c r="Y430" s="417">
        <v>60000000</v>
      </c>
      <c r="Z430" s="418" t="s">
        <v>359</v>
      </c>
      <c r="AA430" s="271"/>
      <c r="AB430" s="168"/>
      <c r="AC430" s="156"/>
      <c r="AD430" s="156"/>
      <c r="AE430" s="320"/>
      <c r="AF430" s="168"/>
      <c r="AG430" s="156"/>
      <c r="AH430" s="156"/>
      <c r="AI430" s="410"/>
    </row>
    <row r="431" spans="1:35" ht="19.5" hidden="1" customHeight="1">
      <c r="A431" s="137"/>
      <c r="B431" s="197">
        <f t="shared" si="7"/>
        <v>421</v>
      </c>
      <c r="C431" s="30" t="s">
        <v>206</v>
      </c>
      <c r="D431" s="30" t="s">
        <v>225</v>
      </c>
      <c r="E431" s="234" t="s">
        <v>888</v>
      </c>
      <c r="F431" s="235" t="s">
        <v>1217</v>
      </c>
      <c r="G431" s="284">
        <f>IFERROR(VLOOKUP(E431,Assign!$C$2:$J$142,8,FALSE),)</f>
        <v>0</v>
      </c>
      <c r="H431" s="197" t="s">
        <v>4911</v>
      </c>
      <c r="I431" s="324" t="s">
        <v>4912</v>
      </c>
      <c r="J431" s="237">
        <v>1</v>
      </c>
      <c r="K431" s="237">
        <v>1</v>
      </c>
      <c r="L431" s="265" t="s">
        <v>208</v>
      </c>
      <c r="M431" s="266" t="s">
        <v>402</v>
      </c>
      <c r="N431" s="266" t="s">
        <v>2429</v>
      </c>
      <c r="O431" s="267" t="s">
        <v>2430</v>
      </c>
      <c r="P431" s="268" t="s">
        <v>3517</v>
      </c>
      <c r="Q431" s="269">
        <v>9133</v>
      </c>
      <c r="R431" s="269">
        <v>57.15</v>
      </c>
      <c r="S431" s="270"/>
      <c r="T431" s="182">
        <f>52.57/9133</f>
        <v>5.7560494908573305E-3</v>
      </c>
      <c r="U431" s="182">
        <v>1</v>
      </c>
      <c r="V431" s="408">
        <v>1</v>
      </c>
      <c r="W431" s="357" t="s">
        <v>204</v>
      </c>
      <c r="X431" s="156">
        <v>62400000</v>
      </c>
      <c r="Y431" s="417">
        <v>62400000</v>
      </c>
      <c r="Z431" s="418" t="s">
        <v>359</v>
      </c>
      <c r="AA431" s="271"/>
      <c r="AB431" s="168"/>
      <c r="AC431" s="156"/>
      <c r="AD431" s="156"/>
      <c r="AE431" s="320"/>
      <c r="AF431" s="168"/>
      <c r="AG431" s="156"/>
      <c r="AH431" s="156"/>
      <c r="AI431" s="410"/>
    </row>
    <row r="432" spans="1:35" ht="19.5" hidden="1" customHeight="1">
      <c r="A432" s="137"/>
      <c r="B432" s="197">
        <f t="shared" si="7"/>
        <v>422</v>
      </c>
      <c r="C432" s="30" t="s">
        <v>206</v>
      </c>
      <c r="D432" s="30" t="s">
        <v>225</v>
      </c>
      <c r="E432" s="234" t="s">
        <v>889</v>
      </c>
      <c r="F432" s="235" t="s">
        <v>1225</v>
      </c>
      <c r="G432" s="284">
        <f>IFERROR(VLOOKUP(E432,Assign!$C$2:$J$142,8,FALSE),)</f>
        <v>0</v>
      </c>
      <c r="H432" s="197" t="s">
        <v>4539</v>
      </c>
      <c r="I432" s="324" t="s">
        <v>4540</v>
      </c>
      <c r="J432" s="237">
        <v>1</v>
      </c>
      <c r="K432" s="237">
        <v>1</v>
      </c>
      <c r="L432" s="265" t="s">
        <v>209</v>
      </c>
      <c r="M432" s="266" t="s">
        <v>295</v>
      </c>
      <c r="N432" s="266" t="s">
        <v>2078</v>
      </c>
      <c r="O432" s="267" t="s">
        <v>2079</v>
      </c>
      <c r="P432" s="268" t="s">
        <v>2080</v>
      </c>
      <c r="Q432" s="269">
        <f>173.2+154.7</f>
        <v>327.9</v>
      </c>
      <c r="R432" s="269">
        <v>69.260000000000005</v>
      </c>
      <c r="S432" s="270"/>
      <c r="T432" s="182">
        <f>33.68/327.9</f>
        <v>0.10271424214699604</v>
      </c>
      <c r="U432" s="182">
        <v>1</v>
      </c>
      <c r="V432" s="408">
        <v>1</v>
      </c>
      <c r="W432" s="357" t="s">
        <v>204</v>
      </c>
      <c r="X432" s="156">
        <v>72000000</v>
      </c>
      <c r="Y432" s="417">
        <v>72000000</v>
      </c>
      <c r="Z432" s="418" t="s">
        <v>359</v>
      </c>
      <c r="AA432" s="271"/>
      <c r="AB432" s="168"/>
      <c r="AC432" s="156"/>
      <c r="AD432" s="156"/>
      <c r="AE432" s="320"/>
      <c r="AF432" s="168"/>
      <c r="AG432" s="156"/>
      <c r="AH432" s="156"/>
      <c r="AI432" s="410"/>
    </row>
    <row r="433" spans="1:35" ht="19.5" hidden="1" customHeight="1">
      <c r="A433" s="137"/>
      <c r="B433" s="197">
        <f t="shared" si="7"/>
        <v>423</v>
      </c>
      <c r="C433" s="30" t="s">
        <v>206</v>
      </c>
      <c r="D433" s="30" t="s">
        <v>225</v>
      </c>
      <c r="E433" s="234" t="s">
        <v>890</v>
      </c>
      <c r="F433" s="235" t="s">
        <v>1229</v>
      </c>
      <c r="G433" s="284">
        <f>IFERROR(VLOOKUP(E433,Assign!$C$2:$J$142,8,FALSE),)</f>
        <v>0</v>
      </c>
      <c r="H433" s="197" t="s">
        <v>3912</v>
      </c>
      <c r="I433" s="324" t="s">
        <v>3913</v>
      </c>
      <c r="J433" s="237">
        <v>1</v>
      </c>
      <c r="K433" s="237">
        <v>1</v>
      </c>
      <c r="L433" s="265" t="s">
        <v>208</v>
      </c>
      <c r="M433" s="266" t="s">
        <v>271</v>
      </c>
      <c r="N433" s="266" t="s">
        <v>1482</v>
      </c>
      <c r="O433" s="267" t="s">
        <v>1483</v>
      </c>
      <c r="P433" s="268" t="s">
        <v>1484</v>
      </c>
      <c r="Q433" s="269">
        <v>984.7</v>
      </c>
      <c r="R433" s="269">
        <v>16.146599999999999</v>
      </c>
      <c r="S433" s="270"/>
      <c r="T433" s="182">
        <f>8.1547/984.7</f>
        <v>8.2814055042144813E-3</v>
      </c>
      <c r="U433" s="182">
        <v>1</v>
      </c>
      <c r="V433" s="408">
        <v>1</v>
      </c>
      <c r="W433" s="357" t="s">
        <v>204</v>
      </c>
      <c r="X433" s="156">
        <v>57600000</v>
      </c>
      <c r="Y433" s="417">
        <v>57600000</v>
      </c>
      <c r="Z433" s="418" t="s">
        <v>359</v>
      </c>
      <c r="AA433" s="271"/>
      <c r="AB433" s="168"/>
      <c r="AC433" s="156"/>
      <c r="AD433" s="156"/>
      <c r="AE433" s="320"/>
      <c r="AF433" s="168"/>
      <c r="AG433" s="156"/>
      <c r="AH433" s="156"/>
      <c r="AI433" s="410"/>
    </row>
    <row r="434" spans="1:35" ht="19.5" hidden="1" customHeight="1">
      <c r="A434" s="137"/>
      <c r="B434" s="197">
        <f t="shared" si="7"/>
        <v>424</v>
      </c>
      <c r="C434" s="30" t="s">
        <v>206</v>
      </c>
      <c r="D434" s="30" t="s">
        <v>225</v>
      </c>
      <c r="E434" s="234" t="s">
        <v>891</v>
      </c>
      <c r="F434" s="235" t="s">
        <v>1220</v>
      </c>
      <c r="G434" s="284">
        <f>IFERROR(VLOOKUP(E434,Assign!$C$2:$J$142,8,FALSE),)</f>
        <v>0</v>
      </c>
      <c r="H434" s="197" t="s">
        <v>4785</v>
      </c>
      <c r="I434" s="324" t="s">
        <v>4786</v>
      </c>
      <c r="J434" s="237">
        <v>1</v>
      </c>
      <c r="K434" s="237">
        <v>1</v>
      </c>
      <c r="L434" s="265" t="s">
        <v>222</v>
      </c>
      <c r="M434" s="266" t="s">
        <v>337</v>
      </c>
      <c r="N434" s="266" t="s">
        <v>2313</v>
      </c>
      <c r="O434" s="267" t="s">
        <v>2314</v>
      </c>
      <c r="P434" s="268" t="s">
        <v>2315</v>
      </c>
      <c r="Q434" s="269">
        <v>1191.0999999999999</v>
      </c>
      <c r="R434" s="269">
        <v>15.169700000000001</v>
      </c>
      <c r="S434" s="270"/>
      <c r="T434" s="182">
        <f>3.1729/1191.1</f>
        <v>2.6638401477625724E-3</v>
      </c>
      <c r="U434" s="182">
        <v>1</v>
      </c>
      <c r="V434" s="408">
        <v>1</v>
      </c>
      <c r="W434" s="357" t="s">
        <v>204</v>
      </c>
      <c r="X434" s="156">
        <v>49680000</v>
      </c>
      <c r="Y434" s="417">
        <v>49680000</v>
      </c>
      <c r="Z434" s="418" t="s">
        <v>359</v>
      </c>
      <c r="AA434" s="271"/>
      <c r="AB434" s="168"/>
      <c r="AC434" s="156"/>
      <c r="AD434" s="156"/>
      <c r="AE434" s="320"/>
      <c r="AF434" s="168"/>
      <c r="AG434" s="156"/>
      <c r="AH434" s="156"/>
      <c r="AI434" s="410"/>
    </row>
    <row r="435" spans="1:35" ht="19.5" hidden="1" customHeight="1">
      <c r="A435" s="137"/>
      <c r="B435" s="197">
        <f t="shared" si="7"/>
        <v>425</v>
      </c>
      <c r="C435" s="30" t="s">
        <v>206</v>
      </c>
      <c r="D435" s="30" t="s">
        <v>225</v>
      </c>
      <c r="E435" s="234" t="s">
        <v>892</v>
      </c>
      <c r="F435" s="235" t="s">
        <v>1267</v>
      </c>
      <c r="G435" s="284">
        <f>IFERROR(VLOOKUP(E435,Assign!$C$2:$J$142,8,FALSE),)</f>
        <v>0</v>
      </c>
      <c r="H435" s="197" t="s">
        <v>4497</v>
      </c>
      <c r="I435" s="324" t="s">
        <v>4498</v>
      </c>
      <c r="J435" s="237">
        <v>1</v>
      </c>
      <c r="K435" s="237">
        <v>1</v>
      </c>
      <c r="L435" s="265" t="s">
        <v>221</v>
      </c>
      <c r="M435" s="266" t="s">
        <v>405</v>
      </c>
      <c r="N435" s="266" t="s">
        <v>2041</v>
      </c>
      <c r="O435" s="267" t="s">
        <v>2042</v>
      </c>
      <c r="P435" s="268" t="s">
        <v>2043</v>
      </c>
      <c r="Q435" s="269">
        <f>3297+9332+810+78</f>
        <v>13517</v>
      </c>
      <c r="R435" s="269">
        <v>84.87</v>
      </c>
      <c r="S435" s="270"/>
      <c r="T435" s="182">
        <f>(51.116+0.615)/(13360.3+156.7)</f>
        <v>3.8271066064955242E-3</v>
      </c>
      <c r="U435" s="182">
        <v>1</v>
      </c>
      <c r="V435" s="408">
        <v>2</v>
      </c>
      <c r="W435" s="357" t="s">
        <v>204</v>
      </c>
      <c r="X435" s="156">
        <v>47300000</v>
      </c>
      <c r="Y435" s="417">
        <v>47300000</v>
      </c>
      <c r="Z435" s="418" t="s">
        <v>359</v>
      </c>
      <c r="AA435" s="271">
        <v>1</v>
      </c>
      <c r="AB435" s="168" t="s">
        <v>204</v>
      </c>
      <c r="AC435" s="156">
        <v>22000000</v>
      </c>
      <c r="AD435" s="156">
        <v>22000000</v>
      </c>
      <c r="AE435" s="320"/>
      <c r="AF435" s="168"/>
      <c r="AG435" s="156"/>
      <c r="AH435" s="156"/>
      <c r="AI435" s="410"/>
    </row>
    <row r="436" spans="1:35" ht="19.5" hidden="1" customHeight="1">
      <c r="A436" s="137"/>
      <c r="B436" s="197">
        <f t="shared" si="7"/>
        <v>426</v>
      </c>
      <c r="C436" s="30" t="s">
        <v>206</v>
      </c>
      <c r="D436" s="30" t="s">
        <v>225</v>
      </c>
      <c r="E436" s="234" t="s">
        <v>893</v>
      </c>
      <c r="F436" s="235" t="s">
        <v>1229</v>
      </c>
      <c r="G436" s="284">
        <f>IFERROR(VLOOKUP(E436,Assign!$C$2:$J$142,8,FALSE),)</f>
        <v>0</v>
      </c>
      <c r="H436" s="197" t="s">
        <v>4456</v>
      </c>
      <c r="I436" s="324" t="s">
        <v>4457</v>
      </c>
      <c r="J436" s="237">
        <v>1</v>
      </c>
      <c r="K436" s="237">
        <v>1</v>
      </c>
      <c r="L436" s="265" t="s">
        <v>209</v>
      </c>
      <c r="M436" s="266" t="s">
        <v>380</v>
      </c>
      <c r="N436" s="266" t="s">
        <v>1597</v>
      </c>
      <c r="O436" s="267" t="s">
        <v>2002</v>
      </c>
      <c r="P436" s="268" t="s">
        <v>455</v>
      </c>
      <c r="Q436" s="269">
        <v>4502.1000000000004</v>
      </c>
      <c r="R436" s="269">
        <v>84.77</v>
      </c>
      <c r="S436" s="270"/>
      <c r="T436" s="182">
        <f>23.117/4502.1</f>
        <v>5.134714910819395E-3</v>
      </c>
      <c r="U436" s="182">
        <v>1</v>
      </c>
      <c r="V436" s="408">
        <v>1</v>
      </c>
      <c r="W436" s="357" t="s">
        <v>204</v>
      </c>
      <c r="X436" s="156">
        <v>60000000</v>
      </c>
      <c r="Y436" s="417">
        <v>60000000</v>
      </c>
      <c r="Z436" s="418" t="s">
        <v>359</v>
      </c>
      <c r="AA436" s="271"/>
      <c r="AB436" s="168"/>
      <c r="AC436" s="156"/>
      <c r="AD436" s="156"/>
      <c r="AE436" s="320"/>
      <c r="AF436" s="168"/>
      <c r="AG436" s="156"/>
      <c r="AH436" s="156"/>
      <c r="AI436" s="410"/>
    </row>
    <row r="437" spans="1:35" ht="19.5" hidden="1" customHeight="1">
      <c r="A437" s="137"/>
      <c r="B437" s="197">
        <f t="shared" si="7"/>
        <v>427</v>
      </c>
      <c r="C437" s="30" t="s">
        <v>206</v>
      </c>
      <c r="D437" s="30" t="s">
        <v>225</v>
      </c>
      <c r="E437" s="234" t="s">
        <v>894</v>
      </c>
      <c r="F437" s="235" t="s">
        <v>1268</v>
      </c>
      <c r="G437" s="284">
        <f>IFERROR(VLOOKUP(E437,Assign!$C$2:$J$142,8,FALSE),)</f>
        <v>0</v>
      </c>
      <c r="H437" s="197" t="s">
        <v>4114</v>
      </c>
      <c r="I437" s="324" t="s">
        <v>4115</v>
      </c>
      <c r="J437" s="237">
        <v>1</v>
      </c>
      <c r="K437" s="237">
        <v>1</v>
      </c>
      <c r="L437" s="265" t="s">
        <v>208</v>
      </c>
      <c r="M437" s="266" t="s">
        <v>261</v>
      </c>
      <c r="N437" s="266" t="s">
        <v>1689</v>
      </c>
      <c r="O437" s="267" t="s">
        <v>1690</v>
      </c>
      <c r="P437" s="268" t="s">
        <v>460</v>
      </c>
      <c r="Q437" s="269">
        <f>3225+2616</f>
        <v>5841</v>
      </c>
      <c r="R437" s="269">
        <v>58.62</v>
      </c>
      <c r="S437" s="270"/>
      <c r="T437" s="182">
        <f>35.948/5841</f>
        <v>6.1544256120527304E-3</v>
      </c>
      <c r="U437" s="182">
        <v>1</v>
      </c>
      <c r="V437" s="408">
        <v>1</v>
      </c>
      <c r="W437" s="357" t="s">
        <v>204</v>
      </c>
      <c r="X437" s="156">
        <v>70800000</v>
      </c>
      <c r="Y437" s="417">
        <v>70800000</v>
      </c>
      <c r="Z437" s="418" t="s">
        <v>359</v>
      </c>
      <c r="AA437" s="271"/>
      <c r="AB437" s="168"/>
      <c r="AC437" s="156"/>
      <c r="AD437" s="156"/>
      <c r="AE437" s="320"/>
      <c r="AF437" s="168"/>
      <c r="AG437" s="156"/>
      <c r="AH437" s="156"/>
      <c r="AI437" s="410"/>
    </row>
    <row r="438" spans="1:35" ht="19.5" customHeight="1">
      <c r="A438" s="137"/>
      <c r="B438" s="197">
        <f t="shared" si="7"/>
        <v>428</v>
      </c>
      <c r="C438" s="30" t="s">
        <v>206</v>
      </c>
      <c r="D438" s="30" t="s">
        <v>225</v>
      </c>
      <c r="E438" s="234" t="s">
        <v>895</v>
      </c>
      <c r="F438" s="235" t="s">
        <v>1225</v>
      </c>
      <c r="G438" s="284" t="str">
        <f>IFERROR(VLOOKUP(E438,Assign!$C$2:$J$142,8,FALSE),)</f>
        <v>문선영</v>
      </c>
      <c r="H438" s="197" t="s">
        <v>4266</v>
      </c>
      <c r="I438" s="324" t="s">
        <v>4267</v>
      </c>
      <c r="J438" s="237">
        <v>1</v>
      </c>
      <c r="K438" s="237">
        <v>1</v>
      </c>
      <c r="L438" s="265" t="s">
        <v>213</v>
      </c>
      <c r="M438" s="266" t="s">
        <v>426</v>
      </c>
      <c r="N438" s="266" t="s">
        <v>1835</v>
      </c>
      <c r="O438" s="267" t="s">
        <v>1836</v>
      </c>
      <c r="P438" s="268" t="s">
        <v>434</v>
      </c>
      <c r="Q438" s="269">
        <v>41393.1</v>
      </c>
      <c r="R438" s="269">
        <v>59.898600000000002</v>
      </c>
      <c r="S438" s="270"/>
      <c r="T438" s="182">
        <f>49.2372/41393.1</f>
        <v>1.1895025982591302E-3</v>
      </c>
      <c r="U438" s="182">
        <v>1</v>
      </c>
      <c r="V438" s="408">
        <v>1</v>
      </c>
      <c r="W438" s="357" t="s">
        <v>204</v>
      </c>
      <c r="X438" s="156">
        <v>55000000</v>
      </c>
      <c r="Y438" s="417">
        <v>55000000</v>
      </c>
      <c r="Z438" s="418" t="s">
        <v>359</v>
      </c>
      <c r="AA438" s="271"/>
      <c r="AB438" s="168"/>
      <c r="AC438" s="156"/>
      <c r="AD438" s="156"/>
      <c r="AE438" s="320"/>
      <c r="AF438" s="168"/>
      <c r="AG438" s="156"/>
      <c r="AH438" s="156"/>
      <c r="AI438" s="410"/>
    </row>
    <row r="439" spans="1:35" ht="19.5" hidden="1" customHeight="1">
      <c r="A439" s="137"/>
      <c r="B439" s="197">
        <f t="shared" si="7"/>
        <v>429</v>
      </c>
      <c r="C439" s="30" t="s">
        <v>206</v>
      </c>
      <c r="D439" s="30" t="s">
        <v>225</v>
      </c>
      <c r="E439" s="234" t="s">
        <v>896</v>
      </c>
      <c r="F439" s="235" t="s">
        <v>1223</v>
      </c>
      <c r="G439" s="284">
        <f>IFERROR(VLOOKUP(E439,Assign!$C$2:$J$142,8,FALSE),)</f>
        <v>0</v>
      </c>
      <c r="H439" s="197" t="s">
        <v>5036</v>
      </c>
      <c r="I439" s="324" t="s">
        <v>5037</v>
      </c>
      <c r="J439" s="237">
        <v>1</v>
      </c>
      <c r="K439" s="237">
        <v>1</v>
      </c>
      <c r="L439" s="265" t="s">
        <v>214</v>
      </c>
      <c r="M439" s="266" t="s">
        <v>1701</v>
      </c>
      <c r="N439" s="266" t="s">
        <v>2553</v>
      </c>
      <c r="O439" s="267" t="s">
        <v>2554</v>
      </c>
      <c r="P439" s="268" t="s">
        <v>2555</v>
      </c>
      <c r="Q439" s="269">
        <v>9888</v>
      </c>
      <c r="R439" s="269">
        <v>49.8</v>
      </c>
      <c r="S439" s="270"/>
      <c r="T439" s="182">
        <f>27.76/9888</f>
        <v>2.8074433656957928E-3</v>
      </c>
      <c r="U439" s="182">
        <v>1</v>
      </c>
      <c r="V439" s="408">
        <v>1</v>
      </c>
      <c r="W439" s="357" t="s">
        <v>204</v>
      </c>
      <c r="X439" s="156">
        <v>57600000</v>
      </c>
      <c r="Y439" s="417">
        <v>57600000</v>
      </c>
      <c r="Z439" s="418" t="s">
        <v>359</v>
      </c>
      <c r="AA439" s="271"/>
      <c r="AB439" s="168"/>
      <c r="AC439" s="156"/>
      <c r="AD439" s="156"/>
      <c r="AE439" s="320"/>
      <c r="AF439" s="168"/>
      <c r="AG439" s="156"/>
      <c r="AH439" s="156"/>
      <c r="AI439" s="410"/>
    </row>
    <row r="440" spans="1:35" ht="19.5" hidden="1" customHeight="1">
      <c r="A440" s="137"/>
      <c r="B440" s="197">
        <f t="shared" si="7"/>
        <v>430</v>
      </c>
      <c r="C440" s="30" t="s">
        <v>206</v>
      </c>
      <c r="D440" s="30" t="s">
        <v>225</v>
      </c>
      <c r="E440" s="234" t="s">
        <v>897</v>
      </c>
      <c r="F440" s="235" t="s">
        <v>1225</v>
      </c>
      <c r="G440" s="284">
        <f>IFERROR(VLOOKUP(E440,Assign!$C$2:$J$142,8,FALSE),)</f>
        <v>0</v>
      </c>
      <c r="H440" s="197" t="s">
        <v>4110</v>
      </c>
      <c r="I440" s="324" t="s">
        <v>4111</v>
      </c>
      <c r="J440" s="237">
        <v>1</v>
      </c>
      <c r="K440" s="237">
        <v>1</v>
      </c>
      <c r="L440" s="265" t="s">
        <v>212</v>
      </c>
      <c r="M440" s="266" t="s">
        <v>232</v>
      </c>
      <c r="N440" s="266" t="s">
        <v>1686</v>
      </c>
      <c r="O440" s="267" t="s">
        <v>1687</v>
      </c>
      <c r="P440" s="268" t="s">
        <v>440</v>
      </c>
      <c r="Q440" s="269">
        <v>192</v>
      </c>
      <c r="R440" s="269">
        <v>46.56</v>
      </c>
      <c r="S440" s="270"/>
      <c r="T440" s="182">
        <f>23.8/192</f>
        <v>0.12395833333333334</v>
      </c>
      <c r="U440" s="182">
        <v>1</v>
      </c>
      <c r="V440" s="408">
        <v>1</v>
      </c>
      <c r="W440" s="357" t="s">
        <v>204</v>
      </c>
      <c r="X440" s="156">
        <v>57600000</v>
      </c>
      <c r="Y440" s="417">
        <v>57600000</v>
      </c>
      <c r="Z440" s="418" t="s">
        <v>359</v>
      </c>
      <c r="AA440" s="271"/>
      <c r="AB440" s="168"/>
      <c r="AC440" s="156"/>
      <c r="AD440" s="156"/>
      <c r="AE440" s="320"/>
      <c r="AF440" s="168"/>
      <c r="AG440" s="156"/>
      <c r="AH440" s="156"/>
      <c r="AI440" s="410"/>
    </row>
    <row r="441" spans="1:35" ht="19.5" hidden="1" customHeight="1">
      <c r="A441" s="137"/>
      <c r="B441" s="197">
        <f t="shared" si="7"/>
        <v>431</v>
      </c>
      <c r="C441" s="30" t="s">
        <v>206</v>
      </c>
      <c r="D441" s="30" t="s">
        <v>225</v>
      </c>
      <c r="E441" s="234" t="s">
        <v>898</v>
      </c>
      <c r="F441" s="235" t="s">
        <v>1229</v>
      </c>
      <c r="G441" s="284">
        <f>IFERROR(VLOOKUP(E441,Assign!$C$2:$J$142,8,FALSE),)</f>
        <v>0</v>
      </c>
      <c r="H441" s="197" t="s">
        <v>4161</v>
      </c>
      <c r="I441" s="324" t="s">
        <v>4162</v>
      </c>
      <c r="J441" s="237">
        <v>1</v>
      </c>
      <c r="K441" s="237">
        <v>1</v>
      </c>
      <c r="L441" s="265" t="s">
        <v>214</v>
      </c>
      <c r="M441" s="266" t="s">
        <v>1673</v>
      </c>
      <c r="N441" s="266" t="s">
        <v>1735</v>
      </c>
      <c r="O441" s="267" t="s">
        <v>1736</v>
      </c>
      <c r="P441" s="268" t="s">
        <v>3531</v>
      </c>
      <c r="Q441" s="269">
        <v>579</v>
      </c>
      <c r="R441" s="269">
        <v>71.2</v>
      </c>
      <c r="S441" s="270"/>
      <c r="T441" s="182">
        <f>45.478/579</f>
        <v>7.8545768566493951E-2</v>
      </c>
      <c r="U441" s="182">
        <v>1</v>
      </c>
      <c r="V441" s="408">
        <v>1</v>
      </c>
      <c r="W441" s="357" t="s">
        <v>204</v>
      </c>
      <c r="X441" s="156">
        <v>90000000</v>
      </c>
      <c r="Y441" s="417">
        <v>90000000</v>
      </c>
      <c r="Z441" s="418" t="s">
        <v>359</v>
      </c>
      <c r="AA441" s="271"/>
      <c r="AB441" s="168"/>
      <c r="AC441" s="156"/>
      <c r="AD441" s="156"/>
      <c r="AE441" s="320"/>
      <c r="AF441" s="168"/>
      <c r="AG441" s="156"/>
      <c r="AH441" s="156"/>
      <c r="AI441" s="410"/>
    </row>
    <row r="442" spans="1:35" ht="19.5" hidden="1" customHeight="1">
      <c r="A442" s="137"/>
      <c r="B442" s="197">
        <f t="shared" si="7"/>
        <v>432</v>
      </c>
      <c r="C442" s="30" t="s">
        <v>206</v>
      </c>
      <c r="D442" s="30" t="s">
        <v>225</v>
      </c>
      <c r="E442" s="234" t="s">
        <v>899</v>
      </c>
      <c r="F442" s="235" t="s">
        <v>1217</v>
      </c>
      <c r="G442" s="284">
        <f>IFERROR(VLOOKUP(E442,Assign!$C$2:$J$142,8,FALSE),)</f>
        <v>0</v>
      </c>
      <c r="H442" s="197" t="s">
        <v>4195</v>
      </c>
      <c r="I442" s="324" t="s">
        <v>4196</v>
      </c>
      <c r="J442" s="237">
        <v>1</v>
      </c>
      <c r="K442" s="237">
        <v>1</v>
      </c>
      <c r="L442" s="265" t="s">
        <v>220</v>
      </c>
      <c r="M442" s="266" t="s">
        <v>347</v>
      </c>
      <c r="N442" s="266" t="s">
        <v>565</v>
      </c>
      <c r="O442" s="267" t="s">
        <v>1770</v>
      </c>
      <c r="P442" s="268" t="s">
        <v>1771</v>
      </c>
      <c r="Q442" s="269">
        <v>19917.900000000001</v>
      </c>
      <c r="R442" s="269">
        <v>59.36</v>
      </c>
      <c r="S442" s="270"/>
      <c r="T442" s="182">
        <f>71.5/19917.9</f>
        <v>3.5897358657288165E-3</v>
      </c>
      <c r="U442" s="182">
        <v>1</v>
      </c>
      <c r="V442" s="408">
        <v>1</v>
      </c>
      <c r="W442" s="357" t="s">
        <v>204</v>
      </c>
      <c r="X442" s="156">
        <v>58800000</v>
      </c>
      <c r="Y442" s="417">
        <v>58800000</v>
      </c>
      <c r="Z442" s="418" t="s">
        <v>359</v>
      </c>
      <c r="AA442" s="271"/>
      <c r="AB442" s="168"/>
      <c r="AC442" s="156"/>
      <c r="AD442" s="156"/>
      <c r="AE442" s="320"/>
      <c r="AF442" s="168"/>
      <c r="AG442" s="156"/>
      <c r="AH442" s="156"/>
      <c r="AI442" s="410"/>
    </row>
    <row r="443" spans="1:35" ht="19.5" hidden="1" customHeight="1">
      <c r="A443" s="137"/>
      <c r="B443" s="197">
        <f t="shared" si="7"/>
        <v>433</v>
      </c>
      <c r="C443" s="30" t="s">
        <v>206</v>
      </c>
      <c r="D443" s="30" t="s">
        <v>225</v>
      </c>
      <c r="E443" s="234" t="s">
        <v>900</v>
      </c>
      <c r="F443" s="235" t="s">
        <v>1221</v>
      </c>
      <c r="G443" s="284">
        <f>IFERROR(VLOOKUP(E443,Assign!$C$2:$J$142,8,FALSE),)</f>
        <v>0</v>
      </c>
      <c r="H443" s="197" t="s">
        <v>4386</v>
      </c>
      <c r="I443" s="324" t="s">
        <v>4387</v>
      </c>
      <c r="J443" s="237">
        <v>1</v>
      </c>
      <c r="K443" s="237">
        <v>1</v>
      </c>
      <c r="L443" s="265" t="s">
        <v>223</v>
      </c>
      <c r="M443" s="266" t="s">
        <v>1941</v>
      </c>
      <c r="N443" s="266" t="s">
        <v>1942</v>
      </c>
      <c r="O443" s="267" t="s">
        <v>1943</v>
      </c>
      <c r="P443" s="268" t="s">
        <v>1944</v>
      </c>
      <c r="Q443" s="269">
        <v>4068.3</v>
      </c>
      <c r="R443" s="269">
        <v>54.41</v>
      </c>
      <c r="S443" s="270"/>
      <c r="T443" s="182">
        <f>14.316597/4068.3</f>
        <v>3.519061278666765E-3</v>
      </c>
      <c r="U443" s="182">
        <v>1</v>
      </c>
      <c r="V443" s="408">
        <v>1</v>
      </c>
      <c r="W443" s="357" t="s">
        <v>204</v>
      </c>
      <c r="X443" s="156">
        <v>62400000</v>
      </c>
      <c r="Y443" s="417">
        <v>62400000</v>
      </c>
      <c r="Z443" s="418" t="s">
        <v>359</v>
      </c>
      <c r="AA443" s="271"/>
      <c r="AB443" s="168"/>
      <c r="AC443" s="156"/>
      <c r="AD443" s="156"/>
      <c r="AE443" s="320"/>
      <c r="AF443" s="168"/>
      <c r="AG443" s="156"/>
      <c r="AH443" s="156"/>
      <c r="AI443" s="410"/>
    </row>
    <row r="444" spans="1:35" ht="19.5" hidden="1" customHeight="1">
      <c r="A444" s="137"/>
      <c r="B444" s="197">
        <f t="shared" si="7"/>
        <v>434</v>
      </c>
      <c r="C444" s="30" t="s">
        <v>206</v>
      </c>
      <c r="D444" s="30" t="s">
        <v>225</v>
      </c>
      <c r="E444" s="234" t="s">
        <v>901</v>
      </c>
      <c r="F444" s="235" t="s">
        <v>1226</v>
      </c>
      <c r="G444" s="284">
        <f>IFERROR(VLOOKUP(E444,Assign!$C$2:$J$142,8,FALSE),)</f>
        <v>0</v>
      </c>
      <c r="H444" s="197" t="s">
        <v>3950</v>
      </c>
      <c r="I444" s="324" t="s">
        <v>3951</v>
      </c>
      <c r="J444" s="237">
        <v>1</v>
      </c>
      <c r="K444" s="237">
        <v>1</v>
      </c>
      <c r="L444" s="265" t="s">
        <v>220</v>
      </c>
      <c r="M444" s="266" t="s">
        <v>384</v>
      </c>
      <c r="N444" s="266" t="s">
        <v>1525</v>
      </c>
      <c r="O444" s="267" t="s">
        <v>1526</v>
      </c>
      <c r="P444" s="268" t="s">
        <v>3508</v>
      </c>
      <c r="Q444" s="269">
        <v>18963.400000000001</v>
      </c>
      <c r="R444" s="269">
        <v>59.76</v>
      </c>
      <c r="S444" s="270"/>
      <c r="T444" s="182">
        <f>31.326/18963.4</f>
        <v>1.651918959680226E-3</v>
      </c>
      <c r="U444" s="182">
        <v>1</v>
      </c>
      <c r="V444" s="408">
        <v>1</v>
      </c>
      <c r="W444" s="357" t="s">
        <v>204</v>
      </c>
      <c r="X444" s="156">
        <v>48000000</v>
      </c>
      <c r="Y444" s="417">
        <v>48000000</v>
      </c>
      <c r="Z444" s="418" t="s">
        <v>359</v>
      </c>
      <c r="AA444" s="271"/>
      <c r="AB444" s="168"/>
      <c r="AC444" s="156"/>
      <c r="AD444" s="156"/>
      <c r="AE444" s="320"/>
      <c r="AF444" s="168"/>
      <c r="AG444" s="156"/>
      <c r="AH444" s="156"/>
      <c r="AI444" s="410"/>
    </row>
    <row r="445" spans="1:35" ht="19.5" hidden="1" customHeight="1">
      <c r="A445" s="137"/>
      <c r="B445" s="197">
        <f t="shared" si="7"/>
        <v>435</v>
      </c>
      <c r="C445" s="30" t="s">
        <v>206</v>
      </c>
      <c r="D445" s="30" t="s">
        <v>225</v>
      </c>
      <c r="E445" s="234" t="s">
        <v>902</v>
      </c>
      <c r="F445" s="235" t="s">
        <v>1321</v>
      </c>
      <c r="G445" s="284">
        <f>IFERROR(VLOOKUP(E445,Assign!$C$2:$J$142,8,FALSE),)</f>
        <v>0</v>
      </c>
      <c r="H445" s="197" t="s">
        <v>5538</v>
      </c>
      <c r="I445" s="324" t="s">
        <v>5539</v>
      </c>
      <c r="J445" s="237">
        <v>1</v>
      </c>
      <c r="K445" s="237">
        <v>1</v>
      </c>
      <c r="L445" s="265" t="s">
        <v>209</v>
      </c>
      <c r="M445" s="266" t="s">
        <v>380</v>
      </c>
      <c r="N445" s="266" t="s">
        <v>1774</v>
      </c>
      <c r="O445" s="267" t="s">
        <v>3011</v>
      </c>
      <c r="P445" s="268" t="s">
        <v>3012</v>
      </c>
      <c r="Q445" s="269">
        <v>306</v>
      </c>
      <c r="R445" s="269">
        <v>53.11</v>
      </c>
      <c r="S445" s="270"/>
      <c r="T445" s="182">
        <f>28.57/306</f>
        <v>9.3366013071895432E-2</v>
      </c>
      <c r="U445" s="182">
        <v>1</v>
      </c>
      <c r="V445" s="408">
        <v>2</v>
      </c>
      <c r="W445" s="357" t="s">
        <v>204</v>
      </c>
      <c r="X445" s="156">
        <v>132000000</v>
      </c>
      <c r="Y445" s="417">
        <v>132000000</v>
      </c>
      <c r="Z445" s="418" t="s">
        <v>359</v>
      </c>
      <c r="AA445" s="271">
        <v>1</v>
      </c>
      <c r="AB445" s="168" t="s">
        <v>204</v>
      </c>
      <c r="AC445" s="156">
        <v>91200000</v>
      </c>
      <c r="AD445" s="156">
        <v>91200000</v>
      </c>
      <c r="AE445" s="320"/>
      <c r="AF445" s="168"/>
      <c r="AG445" s="156"/>
      <c r="AH445" s="156"/>
      <c r="AI445" s="410"/>
    </row>
    <row r="446" spans="1:35" ht="19.5" hidden="1" customHeight="1">
      <c r="A446" s="137"/>
      <c r="B446" s="197">
        <f t="shared" si="7"/>
        <v>436</v>
      </c>
      <c r="C446" s="30" t="s">
        <v>206</v>
      </c>
      <c r="D446" s="30" t="s">
        <v>225</v>
      </c>
      <c r="E446" s="234" t="s">
        <v>903</v>
      </c>
      <c r="F446" s="235" t="s">
        <v>1266</v>
      </c>
      <c r="G446" s="284">
        <f>IFERROR(VLOOKUP(E446,Assign!$C$2:$J$142,8,FALSE),)</f>
        <v>0</v>
      </c>
      <c r="H446" s="197" t="s">
        <v>5177</v>
      </c>
      <c r="I446" s="324" t="s">
        <v>5178</v>
      </c>
      <c r="J446" s="237">
        <v>1</v>
      </c>
      <c r="K446" s="237">
        <v>1</v>
      </c>
      <c r="L446" s="265" t="s">
        <v>210</v>
      </c>
      <c r="M446" s="266" t="s">
        <v>294</v>
      </c>
      <c r="N446" s="266" t="s">
        <v>555</v>
      </c>
      <c r="O446" s="267" t="s">
        <v>2685</v>
      </c>
      <c r="P446" s="268" t="s">
        <v>434</v>
      </c>
      <c r="Q446" s="269">
        <f>9927.7+30565.3</f>
        <v>40493</v>
      </c>
      <c r="R446" s="269">
        <v>84.88</v>
      </c>
      <c r="S446" s="270"/>
      <c r="T446" s="182">
        <f>48.06/47446</f>
        <v>1.0129410276946424E-3</v>
      </c>
      <c r="U446" s="182">
        <v>1</v>
      </c>
      <c r="V446" s="408">
        <v>2</v>
      </c>
      <c r="W446" s="357" t="s">
        <v>204</v>
      </c>
      <c r="X446" s="156">
        <v>37400000</v>
      </c>
      <c r="Y446" s="417">
        <v>37400000</v>
      </c>
      <c r="Z446" s="418" t="s">
        <v>359</v>
      </c>
      <c r="AA446" s="271">
        <v>1</v>
      </c>
      <c r="AB446" s="168" t="s">
        <v>204</v>
      </c>
      <c r="AC446" s="156">
        <v>113850000</v>
      </c>
      <c r="AD446" s="156">
        <v>113850000</v>
      </c>
      <c r="AE446" s="320"/>
      <c r="AF446" s="168"/>
      <c r="AG446" s="156"/>
      <c r="AH446" s="156"/>
      <c r="AI446" s="410"/>
    </row>
    <row r="447" spans="1:35" ht="19.5" hidden="1" customHeight="1">
      <c r="A447" s="137"/>
      <c r="B447" s="197">
        <f t="shared" si="7"/>
        <v>437</v>
      </c>
      <c r="C447" s="30" t="s">
        <v>206</v>
      </c>
      <c r="D447" s="30" t="s">
        <v>225</v>
      </c>
      <c r="E447" s="234" t="s">
        <v>904</v>
      </c>
      <c r="F447" s="235" t="s">
        <v>1221</v>
      </c>
      <c r="G447" s="284">
        <f>IFERROR(VLOOKUP(E447,Assign!$C$2:$J$142,8,FALSE),)</f>
        <v>0</v>
      </c>
      <c r="H447" s="197" t="s">
        <v>3923</v>
      </c>
      <c r="I447" s="324" t="s">
        <v>3924</v>
      </c>
      <c r="J447" s="237">
        <v>1</v>
      </c>
      <c r="K447" s="237">
        <v>1</v>
      </c>
      <c r="L447" s="265" t="s">
        <v>208</v>
      </c>
      <c r="M447" s="266" t="s">
        <v>280</v>
      </c>
      <c r="N447" s="266" t="s">
        <v>1494</v>
      </c>
      <c r="O447" s="267" t="s">
        <v>1495</v>
      </c>
      <c r="P447" s="268" t="s">
        <v>588</v>
      </c>
      <c r="Q447" s="269">
        <v>1527</v>
      </c>
      <c r="R447" s="269">
        <v>51.83</v>
      </c>
      <c r="S447" s="270"/>
      <c r="T447" s="182">
        <f>29.75/1527</f>
        <v>1.9482645710543551E-2</v>
      </c>
      <c r="U447" s="182">
        <v>1</v>
      </c>
      <c r="V447" s="408">
        <v>2</v>
      </c>
      <c r="W447" s="357" t="s">
        <v>204</v>
      </c>
      <c r="X447" s="156">
        <v>33000000</v>
      </c>
      <c r="Y447" s="417">
        <v>33000000</v>
      </c>
      <c r="Z447" s="418" t="s">
        <v>359</v>
      </c>
      <c r="AA447" s="271">
        <v>1</v>
      </c>
      <c r="AB447" s="168" t="s">
        <v>204</v>
      </c>
      <c r="AC447" s="156">
        <v>55000000</v>
      </c>
      <c r="AD447" s="156">
        <v>55000000</v>
      </c>
      <c r="AE447" s="320"/>
      <c r="AF447" s="168"/>
      <c r="AG447" s="156"/>
      <c r="AH447" s="156"/>
      <c r="AI447" s="410"/>
    </row>
    <row r="448" spans="1:35" ht="19.5" hidden="1" customHeight="1">
      <c r="A448" s="137"/>
      <c r="B448" s="197">
        <f t="shared" si="7"/>
        <v>438</v>
      </c>
      <c r="C448" s="30" t="s">
        <v>206</v>
      </c>
      <c r="D448" s="30" t="s">
        <v>225</v>
      </c>
      <c r="E448" s="234" t="s">
        <v>905</v>
      </c>
      <c r="F448" s="235" t="s">
        <v>1229</v>
      </c>
      <c r="G448" s="284">
        <f>IFERROR(VLOOKUP(E448,Assign!$C$2:$J$142,8,FALSE),)</f>
        <v>0</v>
      </c>
      <c r="H448" s="197" t="s">
        <v>4044</v>
      </c>
      <c r="I448" s="324" t="s">
        <v>4045</v>
      </c>
      <c r="J448" s="237">
        <v>1</v>
      </c>
      <c r="K448" s="237">
        <v>1</v>
      </c>
      <c r="L448" s="265" t="s">
        <v>212</v>
      </c>
      <c r="M448" s="266" t="s">
        <v>304</v>
      </c>
      <c r="N448" s="266" t="s">
        <v>314</v>
      </c>
      <c r="O448" s="267" t="s">
        <v>1620</v>
      </c>
      <c r="P448" s="268" t="s">
        <v>431</v>
      </c>
      <c r="Q448" s="269">
        <v>47772.1</v>
      </c>
      <c r="R448" s="269">
        <v>59.7</v>
      </c>
      <c r="S448" s="270"/>
      <c r="T448" s="182">
        <f>22.793/47772.1</f>
        <v>4.7711949024639906E-4</v>
      </c>
      <c r="U448" s="182">
        <v>1</v>
      </c>
      <c r="V448" s="408">
        <v>1</v>
      </c>
      <c r="W448" s="357" t="s">
        <v>204</v>
      </c>
      <c r="X448" s="156">
        <v>33000000</v>
      </c>
      <c r="Y448" s="417">
        <v>33000000</v>
      </c>
      <c r="Z448" s="418" t="s">
        <v>359</v>
      </c>
      <c r="AA448" s="271"/>
      <c r="AB448" s="168"/>
      <c r="AC448" s="156"/>
      <c r="AD448" s="156"/>
      <c r="AE448" s="320"/>
      <c r="AF448" s="168"/>
      <c r="AG448" s="156"/>
      <c r="AH448" s="156"/>
      <c r="AI448" s="410"/>
    </row>
    <row r="449" spans="1:35" ht="19.5" hidden="1" customHeight="1">
      <c r="A449" s="137"/>
      <c r="B449" s="197">
        <f t="shared" si="7"/>
        <v>439</v>
      </c>
      <c r="C449" s="30" t="s">
        <v>206</v>
      </c>
      <c r="D449" s="30" t="s">
        <v>225</v>
      </c>
      <c r="E449" s="234" t="s">
        <v>906</v>
      </c>
      <c r="F449" s="235" t="s">
        <v>1222</v>
      </c>
      <c r="G449" s="284">
        <f>IFERROR(VLOOKUP(E449,Assign!$C$2:$J$142,8,FALSE),)</f>
        <v>0</v>
      </c>
      <c r="H449" s="197" t="s">
        <v>4675</v>
      </c>
      <c r="I449" s="324" t="s">
        <v>4676</v>
      </c>
      <c r="J449" s="237">
        <v>1</v>
      </c>
      <c r="K449" s="237">
        <v>1</v>
      </c>
      <c r="L449" s="265" t="s">
        <v>208</v>
      </c>
      <c r="M449" s="266" t="s">
        <v>280</v>
      </c>
      <c r="N449" s="266" t="s">
        <v>561</v>
      </c>
      <c r="O449" s="267" t="s">
        <v>2213</v>
      </c>
      <c r="P449" s="268" t="s">
        <v>434</v>
      </c>
      <c r="Q449" s="269">
        <v>51028</v>
      </c>
      <c r="R449" s="269">
        <v>84.944999999999993</v>
      </c>
      <c r="S449" s="270"/>
      <c r="T449" s="182">
        <f>68.319/51028</f>
        <v>1.3388531786470174E-3</v>
      </c>
      <c r="U449" s="182">
        <v>1</v>
      </c>
      <c r="V449" s="408" t="s">
        <v>3857</v>
      </c>
      <c r="W449" s="357" t="s">
        <v>204</v>
      </c>
      <c r="X449" s="156">
        <v>32400000</v>
      </c>
      <c r="Y449" s="417">
        <v>32400000</v>
      </c>
      <c r="Z449" s="418" t="s">
        <v>359</v>
      </c>
      <c r="AA449" s="271">
        <v>1</v>
      </c>
      <c r="AB449" s="168" t="s">
        <v>3855</v>
      </c>
      <c r="AC449" s="156">
        <v>117200000</v>
      </c>
      <c r="AD449" s="156">
        <v>117200000</v>
      </c>
      <c r="AE449" s="320"/>
      <c r="AF449" s="168"/>
      <c r="AG449" s="156"/>
      <c r="AH449" s="156"/>
      <c r="AI449" s="410"/>
    </row>
    <row r="450" spans="1:35" ht="19.5" hidden="1" customHeight="1">
      <c r="A450" s="137"/>
      <c r="B450" s="197">
        <f t="shared" si="7"/>
        <v>440</v>
      </c>
      <c r="C450" s="30" t="s">
        <v>206</v>
      </c>
      <c r="D450" s="30" t="s">
        <v>225</v>
      </c>
      <c r="E450" s="234" t="s">
        <v>907</v>
      </c>
      <c r="F450" s="235" t="s">
        <v>1252</v>
      </c>
      <c r="G450" s="284">
        <f>IFERROR(VLOOKUP(E450,Assign!$C$2:$J$142,8,FALSE),)</f>
        <v>0</v>
      </c>
      <c r="H450" s="197" t="s">
        <v>5130</v>
      </c>
      <c r="I450" s="324" t="s">
        <v>5131</v>
      </c>
      <c r="J450" s="237">
        <v>1</v>
      </c>
      <c r="K450" s="237">
        <v>1</v>
      </c>
      <c r="L450" s="265" t="s">
        <v>208</v>
      </c>
      <c r="M450" s="266" t="s">
        <v>259</v>
      </c>
      <c r="N450" s="266" t="s">
        <v>2309</v>
      </c>
      <c r="O450" s="267" t="s">
        <v>2643</v>
      </c>
      <c r="P450" s="268" t="s">
        <v>2644</v>
      </c>
      <c r="Q450" s="269">
        <v>4049</v>
      </c>
      <c r="R450" s="269">
        <v>59.95</v>
      </c>
      <c r="S450" s="270"/>
      <c r="T450" s="182">
        <f>19.46/4049</f>
        <v>4.8061249691281798E-3</v>
      </c>
      <c r="U450" s="182">
        <v>1</v>
      </c>
      <c r="V450" s="408">
        <v>1</v>
      </c>
      <c r="W450" s="357" t="s">
        <v>204</v>
      </c>
      <c r="X450" s="156">
        <v>33000000</v>
      </c>
      <c r="Y450" s="156">
        <v>33000000</v>
      </c>
      <c r="Z450" s="418" t="s">
        <v>359</v>
      </c>
      <c r="AA450" s="271"/>
      <c r="AB450" s="168"/>
      <c r="AC450" s="156"/>
      <c r="AD450" s="156"/>
      <c r="AE450" s="320"/>
      <c r="AF450" s="168"/>
      <c r="AG450" s="156"/>
      <c r="AH450" s="156"/>
      <c r="AI450" s="410"/>
    </row>
    <row r="451" spans="1:35" ht="19.5" hidden="1" customHeight="1">
      <c r="A451" s="137"/>
      <c r="B451" s="197">
        <f t="shared" si="7"/>
        <v>441</v>
      </c>
      <c r="C451" s="30" t="s">
        <v>206</v>
      </c>
      <c r="D451" s="30" t="s">
        <v>225</v>
      </c>
      <c r="E451" s="234" t="s">
        <v>908</v>
      </c>
      <c r="F451" s="235" t="s">
        <v>1225</v>
      </c>
      <c r="G451" s="284">
        <f>IFERROR(VLOOKUP(E451,Assign!$C$2:$J$142,8,FALSE),)</f>
        <v>0</v>
      </c>
      <c r="H451" s="197" t="s">
        <v>4332</v>
      </c>
      <c r="I451" s="324" t="s">
        <v>4333</v>
      </c>
      <c r="J451" s="237">
        <v>1</v>
      </c>
      <c r="K451" s="237">
        <v>1</v>
      </c>
      <c r="L451" s="265" t="s">
        <v>208</v>
      </c>
      <c r="M451" s="266" t="s">
        <v>234</v>
      </c>
      <c r="N451" s="266" t="s">
        <v>414</v>
      </c>
      <c r="O451" s="267" t="s">
        <v>1895</v>
      </c>
      <c r="P451" s="268" t="s">
        <v>3511</v>
      </c>
      <c r="Q451" s="269">
        <v>14150.5</v>
      </c>
      <c r="R451" s="269">
        <v>98.43</v>
      </c>
      <c r="S451" s="270"/>
      <c r="T451" s="182">
        <f>46.0269/14150.5</f>
        <v>3.2526695169781987E-3</v>
      </c>
      <c r="U451" s="182">
        <v>1</v>
      </c>
      <c r="V451" s="408">
        <v>1</v>
      </c>
      <c r="W451" s="357" t="s">
        <v>204</v>
      </c>
      <c r="X451" s="156">
        <v>36000000</v>
      </c>
      <c r="Y451" s="417">
        <v>36000000</v>
      </c>
      <c r="Z451" s="418" t="s">
        <v>359</v>
      </c>
      <c r="AA451" s="271"/>
      <c r="AB451" s="168"/>
      <c r="AC451" s="156"/>
      <c r="AD451" s="156"/>
      <c r="AE451" s="320"/>
      <c r="AF451" s="168"/>
      <c r="AG451" s="156"/>
      <c r="AH451" s="156"/>
      <c r="AI451" s="410"/>
    </row>
    <row r="452" spans="1:35" ht="19.5" hidden="1" customHeight="1">
      <c r="A452" s="137"/>
      <c r="B452" s="197">
        <f t="shared" si="7"/>
        <v>442</v>
      </c>
      <c r="C452" s="30" t="s">
        <v>206</v>
      </c>
      <c r="D452" s="30" t="s">
        <v>225</v>
      </c>
      <c r="E452" s="234" t="s">
        <v>909</v>
      </c>
      <c r="F452" s="235" t="s">
        <v>1269</v>
      </c>
      <c r="G452" s="284">
        <f>IFERROR(VLOOKUP(E452,Assign!$C$2:$J$142,8,FALSE),)</f>
        <v>0</v>
      </c>
      <c r="H452" s="29" t="s">
        <v>3896</v>
      </c>
      <c r="I452" s="359" t="s">
        <v>3897</v>
      </c>
      <c r="J452" s="237">
        <v>1</v>
      </c>
      <c r="K452" s="237">
        <v>1</v>
      </c>
      <c r="L452" s="265" t="s">
        <v>210</v>
      </c>
      <c r="M452" s="266" t="s">
        <v>337</v>
      </c>
      <c r="N452" s="266" t="s">
        <v>429</v>
      </c>
      <c r="O452" s="267" t="s">
        <v>1464</v>
      </c>
      <c r="P452" s="268" t="s">
        <v>458</v>
      </c>
      <c r="Q452" s="269">
        <v>484</v>
      </c>
      <c r="R452" s="269">
        <v>46.77</v>
      </c>
      <c r="S452" s="270"/>
      <c r="T452" s="182">
        <f>30.81/484</f>
        <v>6.3657024793388431E-2</v>
      </c>
      <c r="U452" s="182">
        <v>1</v>
      </c>
      <c r="V452" s="408">
        <v>1</v>
      </c>
      <c r="W452" s="357" t="s">
        <v>204</v>
      </c>
      <c r="X452" s="156">
        <v>42000000</v>
      </c>
      <c r="Y452" s="417">
        <v>42000000</v>
      </c>
      <c r="Z452" s="418" t="s">
        <v>359</v>
      </c>
      <c r="AA452" s="271"/>
      <c r="AB452" s="168"/>
      <c r="AC452" s="156"/>
      <c r="AD452" s="156"/>
      <c r="AE452" s="320"/>
      <c r="AF452" s="168"/>
      <c r="AG452" s="156"/>
      <c r="AH452" s="156"/>
      <c r="AI452" s="410"/>
    </row>
    <row r="453" spans="1:35" ht="19.5" hidden="1" customHeight="1">
      <c r="A453" s="137"/>
      <c r="B453" s="197">
        <f t="shared" si="7"/>
        <v>443</v>
      </c>
      <c r="C453" s="30" t="s">
        <v>206</v>
      </c>
      <c r="D453" s="30" t="s">
        <v>225</v>
      </c>
      <c r="E453" s="234" t="s">
        <v>910</v>
      </c>
      <c r="F453" s="235" t="s">
        <v>1226</v>
      </c>
      <c r="G453" s="284">
        <f>IFERROR(VLOOKUP(E453,Assign!$C$2:$J$142,8,FALSE),)</f>
        <v>0</v>
      </c>
      <c r="H453" s="29" t="s">
        <v>3904</v>
      </c>
      <c r="I453" s="359" t="s">
        <v>3905</v>
      </c>
      <c r="J453" s="237">
        <v>1</v>
      </c>
      <c r="K453" s="237">
        <v>1</v>
      </c>
      <c r="L453" s="265" t="s">
        <v>208</v>
      </c>
      <c r="M453" s="266" t="s">
        <v>234</v>
      </c>
      <c r="N453" s="266" t="s">
        <v>235</v>
      </c>
      <c r="O453" s="267" t="s">
        <v>1474</v>
      </c>
      <c r="P453" s="268" t="s">
        <v>451</v>
      </c>
      <c r="Q453" s="269">
        <v>17449</v>
      </c>
      <c r="R453" s="269">
        <v>84.982600000000005</v>
      </c>
      <c r="S453" s="270"/>
      <c r="T453" s="182">
        <f>28.3205/17449</f>
        <v>1.6230443005329819E-3</v>
      </c>
      <c r="U453" s="182">
        <v>1</v>
      </c>
      <c r="V453" s="408">
        <v>2</v>
      </c>
      <c r="W453" s="357" t="s">
        <v>204</v>
      </c>
      <c r="X453" s="156">
        <v>60000000</v>
      </c>
      <c r="Y453" s="417">
        <v>60000000</v>
      </c>
      <c r="Z453" s="418" t="s">
        <v>359</v>
      </c>
      <c r="AA453" s="271">
        <v>1</v>
      </c>
      <c r="AB453" s="168" t="s">
        <v>204</v>
      </c>
      <c r="AC453" s="156">
        <v>192000000</v>
      </c>
      <c r="AD453" s="156">
        <v>192000000</v>
      </c>
      <c r="AE453" s="320"/>
      <c r="AF453" s="168"/>
      <c r="AG453" s="156"/>
      <c r="AH453" s="156"/>
      <c r="AI453" s="410"/>
    </row>
    <row r="454" spans="1:35" ht="19.5" hidden="1" customHeight="1">
      <c r="A454" s="137"/>
      <c r="B454" s="197">
        <f t="shared" si="7"/>
        <v>444</v>
      </c>
      <c r="C454" s="30" t="s">
        <v>206</v>
      </c>
      <c r="D454" s="30" t="s">
        <v>225</v>
      </c>
      <c r="E454" s="234" t="s">
        <v>911</v>
      </c>
      <c r="F454" s="235" t="s">
        <v>1234</v>
      </c>
      <c r="G454" s="284">
        <f>IFERROR(VLOOKUP(E454,Assign!$C$2:$J$142,8,FALSE),)</f>
        <v>0</v>
      </c>
      <c r="H454" s="197" t="s">
        <v>4940</v>
      </c>
      <c r="I454" s="324" t="s">
        <v>4941</v>
      </c>
      <c r="J454" s="237">
        <v>1</v>
      </c>
      <c r="K454" s="237">
        <v>1</v>
      </c>
      <c r="L454" s="265" t="s">
        <v>219</v>
      </c>
      <c r="M454" s="266" t="s">
        <v>313</v>
      </c>
      <c r="N454" s="266" t="s">
        <v>2462</v>
      </c>
      <c r="O454" s="267" t="s">
        <v>2463</v>
      </c>
      <c r="P454" s="268" t="s">
        <v>1622</v>
      </c>
      <c r="Q454" s="269">
        <v>705</v>
      </c>
      <c r="R454" s="269">
        <v>68.400000000000006</v>
      </c>
      <c r="S454" s="270"/>
      <c r="T454" s="182">
        <f>51.57/705</f>
        <v>7.3148936170212772E-2</v>
      </c>
      <c r="U454" s="182">
        <v>1</v>
      </c>
      <c r="V454" s="408">
        <v>1</v>
      </c>
      <c r="W454" s="357" t="s">
        <v>204</v>
      </c>
      <c r="X454" s="156">
        <v>33000000</v>
      </c>
      <c r="Y454" s="417">
        <v>33000000</v>
      </c>
      <c r="Z454" s="418" t="s">
        <v>359</v>
      </c>
      <c r="AA454" s="271"/>
      <c r="AB454" s="168"/>
      <c r="AC454" s="156"/>
      <c r="AD454" s="156"/>
      <c r="AE454" s="320"/>
      <c r="AF454" s="168"/>
      <c r="AG454" s="156"/>
      <c r="AH454" s="156"/>
      <c r="AI454" s="410"/>
    </row>
    <row r="455" spans="1:35" ht="19.5" hidden="1" customHeight="1">
      <c r="A455" s="137"/>
      <c r="B455" s="197">
        <f t="shared" si="7"/>
        <v>445</v>
      </c>
      <c r="C455" s="30" t="s">
        <v>206</v>
      </c>
      <c r="D455" s="30" t="s">
        <v>225</v>
      </c>
      <c r="E455" s="234" t="s">
        <v>912</v>
      </c>
      <c r="F455" s="235" t="s">
        <v>1246</v>
      </c>
      <c r="G455" s="284">
        <f>IFERROR(VLOOKUP(E455,Assign!$C$2:$J$142,8,FALSE),)</f>
        <v>0</v>
      </c>
      <c r="H455" s="197" t="s">
        <v>4056</v>
      </c>
      <c r="I455" s="324" t="s">
        <v>4057</v>
      </c>
      <c r="J455" s="237">
        <v>1</v>
      </c>
      <c r="K455" s="237">
        <v>1</v>
      </c>
      <c r="L455" s="265" t="s">
        <v>208</v>
      </c>
      <c r="M455" s="266" t="s">
        <v>258</v>
      </c>
      <c r="N455" s="266" t="s">
        <v>393</v>
      </c>
      <c r="O455" s="267" t="s">
        <v>1631</v>
      </c>
      <c r="P455" s="268" t="s">
        <v>588</v>
      </c>
      <c r="Q455" s="269">
        <v>274</v>
      </c>
      <c r="R455" s="269">
        <v>59.18</v>
      </c>
      <c r="S455" s="270"/>
      <c r="T455" s="182">
        <f>27.45/274.5</f>
        <v>9.9999999999999992E-2</v>
      </c>
      <c r="U455" s="182">
        <v>1</v>
      </c>
      <c r="V455" s="408">
        <v>1</v>
      </c>
      <c r="W455" s="357" t="s">
        <v>204</v>
      </c>
      <c r="X455" s="156">
        <v>36000000</v>
      </c>
      <c r="Y455" s="417">
        <v>36000000</v>
      </c>
      <c r="Z455" s="418" t="s">
        <v>359</v>
      </c>
      <c r="AA455" s="271"/>
      <c r="AB455" s="168"/>
      <c r="AC455" s="156"/>
      <c r="AD455" s="156"/>
      <c r="AE455" s="320"/>
      <c r="AF455" s="168"/>
      <c r="AG455" s="156"/>
      <c r="AH455" s="156"/>
      <c r="AI455" s="410"/>
    </row>
    <row r="456" spans="1:35" ht="19.5" hidden="1" customHeight="1">
      <c r="A456" s="137"/>
      <c r="B456" s="197">
        <f t="shared" si="7"/>
        <v>446</v>
      </c>
      <c r="C456" s="30" t="s">
        <v>206</v>
      </c>
      <c r="D456" s="30" t="s">
        <v>225</v>
      </c>
      <c r="E456" s="234" t="s">
        <v>913</v>
      </c>
      <c r="F456" s="235" t="s">
        <v>1260</v>
      </c>
      <c r="G456" s="284">
        <f>IFERROR(VLOOKUP(E456,Assign!$C$2:$J$142,8,FALSE),)</f>
        <v>0</v>
      </c>
      <c r="H456" s="197" t="s">
        <v>4942</v>
      </c>
      <c r="I456" s="324" t="s">
        <v>4943</v>
      </c>
      <c r="J456" s="237">
        <v>1</v>
      </c>
      <c r="K456" s="237">
        <v>1</v>
      </c>
      <c r="L456" s="265" t="s">
        <v>210</v>
      </c>
      <c r="M456" s="266" t="s">
        <v>375</v>
      </c>
      <c r="N456" s="266" t="s">
        <v>2455</v>
      </c>
      <c r="O456" s="267" t="s">
        <v>2464</v>
      </c>
      <c r="P456" s="268" t="s">
        <v>1510</v>
      </c>
      <c r="Q456" s="269">
        <v>170.7</v>
      </c>
      <c r="R456" s="269">
        <v>44.07</v>
      </c>
      <c r="S456" s="270"/>
      <c r="T456" s="182">
        <f>28.45/170.7</f>
        <v>0.16666666666666669</v>
      </c>
      <c r="U456" s="182">
        <v>1</v>
      </c>
      <c r="V456" s="408">
        <v>1</v>
      </c>
      <c r="W456" s="357" t="s">
        <v>204</v>
      </c>
      <c r="X456" s="156">
        <v>36000000</v>
      </c>
      <c r="Y456" s="417">
        <v>36000000</v>
      </c>
      <c r="Z456" s="418" t="s">
        <v>359</v>
      </c>
      <c r="AA456" s="271"/>
      <c r="AB456" s="168"/>
      <c r="AC456" s="156"/>
      <c r="AD456" s="156"/>
      <c r="AE456" s="320"/>
      <c r="AF456" s="168"/>
      <c r="AG456" s="156"/>
      <c r="AH456" s="156"/>
      <c r="AI456" s="410"/>
    </row>
    <row r="457" spans="1:35" ht="19.5" hidden="1" customHeight="1">
      <c r="A457" s="137"/>
      <c r="B457" s="197">
        <f t="shared" si="7"/>
        <v>447</v>
      </c>
      <c r="C457" s="30" t="s">
        <v>206</v>
      </c>
      <c r="D457" s="30" t="s">
        <v>225</v>
      </c>
      <c r="E457" s="234" t="s">
        <v>914</v>
      </c>
      <c r="F457" s="235" t="s">
        <v>1270</v>
      </c>
      <c r="G457" s="284">
        <f>IFERROR(VLOOKUP(E457,Assign!$C$2:$J$142,8,FALSE),)</f>
        <v>0</v>
      </c>
      <c r="H457" s="197" t="s">
        <v>4980</v>
      </c>
      <c r="I457" s="324" t="s">
        <v>4981</v>
      </c>
      <c r="J457" s="237">
        <v>1</v>
      </c>
      <c r="K457" s="237">
        <v>1</v>
      </c>
      <c r="L457" s="265" t="s">
        <v>224</v>
      </c>
      <c r="M457" s="266" t="s">
        <v>428</v>
      </c>
      <c r="N457" s="266" t="s">
        <v>2498</v>
      </c>
      <c r="O457" s="267" t="s">
        <v>2499</v>
      </c>
      <c r="P457" s="268" t="s">
        <v>2149</v>
      </c>
      <c r="Q457" s="269">
        <f>2215+2116</f>
        <v>4331</v>
      </c>
      <c r="R457" s="269">
        <v>58.6477</v>
      </c>
      <c r="S457" s="270"/>
      <c r="T457" s="182">
        <f>33.3123/4331</f>
        <v>7.6915954744862618E-3</v>
      </c>
      <c r="U457" s="182">
        <v>1</v>
      </c>
      <c r="V457" s="408">
        <v>1</v>
      </c>
      <c r="W457" s="357" t="s">
        <v>204</v>
      </c>
      <c r="X457" s="156">
        <v>29280000</v>
      </c>
      <c r="Y457" s="156">
        <v>29280000</v>
      </c>
      <c r="Z457" s="418" t="s">
        <v>359</v>
      </c>
      <c r="AA457" s="271"/>
      <c r="AB457" s="168"/>
      <c r="AC457" s="156"/>
      <c r="AD457" s="156"/>
      <c r="AE457" s="320"/>
      <c r="AF457" s="168"/>
      <c r="AG457" s="156"/>
      <c r="AH457" s="156"/>
      <c r="AI457" s="410"/>
    </row>
    <row r="458" spans="1:35" ht="19.5" hidden="1" customHeight="1">
      <c r="A458" s="137"/>
      <c r="B458" s="197">
        <f t="shared" si="7"/>
        <v>448</v>
      </c>
      <c r="C458" s="30" t="s">
        <v>206</v>
      </c>
      <c r="D458" s="30" t="s">
        <v>225</v>
      </c>
      <c r="E458" s="234" t="s">
        <v>915</v>
      </c>
      <c r="F458" s="235" t="s">
        <v>1229</v>
      </c>
      <c r="G458" s="284">
        <f>IFERROR(VLOOKUP(E458,Assign!$C$2:$J$142,8,FALSE),)</f>
        <v>0</v>
      </c>
      <c r="H458" s="197" t="s">
        <v>4165</v>
      </c>
      <c r="I458" s="324" t="s">
        <v>4166</v>
      </c>
      <c r="J458" s="237">
        <v>1</v>
      </c>
      <c r="K458" s="237">
        <v>1</v>
      </c>
      <c r="L458" s="265" t="s">
        <v>212</v>
      </c>
      <c r="M458" s="266" t="s">
        <v>232</v>
      </c>
      <c r="N458" s="266" t="s">
        <v>1737</v>
      </c>
      <c r="O458" s="267" t="s">
        <v>1740</v>
      </c>
      <c r="P458" s="268" t="s">
        <v>1741</v>
      </c>
      <c r="Q458" s="269">
        <v>156</v>
      </c>
      <c r="R458" s="269">
        <v>43.05</v>
      </c>
      <c r="S458" s="270"/>
      <c r="T458" s="182">
        <f>15.85/156</f>
        <v>0.1016025641025641</v>
      </c>
      <c r="U458" s="182">
        <v>1</v>
      </c>
      <c r="V458" s="408">
        <v>1</v>
      </c>
      <c r="W458" s="357" t="s">
        <v>204</v>
      </c>
      <c r="X458" s="156">
        <v>48000000</v>
      </c>
      <c r="Y458" s="417">
        <v>48000000</v>
      </c>
      <c r="Z458" s="418" t="s">
        <v>359</v>
      </c>
      <c r="AA458" s="271"/>
      <c r="AB458" s="168"/>
      <c r="AC458" s="156"/>
      <c r="AD458" s="156"/>
      <c r="AE458" s="320"/>
      <c r="AF458" s="168"/>
      <c r="AG458" s="156"/>
      <c r="AH458" s="156"/>
      <c r="AI458" s="410"/>
    </row>
    <row r="459" spans="1:35" ht="19.5" customHeight="1">
      <c r="A459" s="137"/>
      <c r="B459" s="197">
        <f t="shared" ref="B459:B522" si="8">ROW()-10</f>
        <v>449</v>
      </c>
      <c r="C459" s="30" t="s">
        <v>206</v>
      </c>
      <c r="D459" s="30" t="s">
        <v>225</v>
      </c>
      <c r="E459" s="234" t="s">
        <v>916</v>
      </c>
      <c r="F459" s="235" t="s">
        <v>1271</v>
      </c>
      <c r="G459" s="284" t="str">
        <f>IFERROR(VLOOKUP(E459,Assign!$C$2:$J$142,8,FALSE),)</f>
        <v>문선영</v>
      </c>
      <c r="H459" s="197" t="s">
        <v>4428</v>
      </c>
      <c r="I459" s="324" t="s">
        <v>4429</v>
      </c>
      <c r="J459" s="237">
        <v>1</v>
      </c>
      <c r="K459" s="237">
        <v>1</v>
      </c>
      <c r="L459" s="265" t="s">
        <v>215</v>
      </c>
      <c r="M459" s="266" t="s">
        <v>284</v>
      </c>
      <c r="N459" s="266" t="s">
        <v>3720</v>
      </c>
      <c r="O459" s="267" t="s">
        <v>3502</v>
      </c>
      <c r="P459" s="268" t="s">
        <v>1612</v>
      </c>
      <c r="Q459" s="269">
        <v>31222</v>
      </c>
      <c r="R459" s="269">
        <v>84.86</v>
      </c>
      <c r="S459" s="270"/>
      <c r="T459" s="182">
        <f>40.39/31222</f>
        <v>1.2936391006341682E-3</v>
      </c>
      <c r="U459" s="182">
        <v>1</v>
      </c>
      <c r="V459" s="408">
        <v>1</v>
      </c>
      <c r="W459" s="357" t="s">
        <v>204</v>
      </c>
      <c r="X459" s="156">
        <v>7700000</v>
      </c>
      <c r="Y459" s="417">
        <v>7700000</v>
      </c>
      <c r="Z459" s="418" t="s">
        <v>359</v>
      </c>
      <c r="AA459" s="271"/>
      <c r="AB459" s="168"/>
      <c r="AC459" s="156"/>
      <c r="AD459" s="156"/>
      <c r="AE459" s="320"/>
      <c r="AF459" s="168"/>
      <c r="AG459" s="156"/>
      <c r="AH459" s="156"/>
      <c r="AI459" s="410"/>
    </row>
    <row r="460" spans="1:35" ht="19.5" customHeight="1">
      <c r="A460" s="137"/>
      <c r="B460" s="197">
        <f t="shared" si="8"/>
        <v>450</v>
      </c>
      <c r="C460" s="30" t="s">
        <v>206</v>
      </c>
      <c r="D460" s="30" t="s">
        <v>225</v>
      </c>
      <c r="E460" s="234" t="s">
        <v>917</v>
      </c>
      <c r="F460" s="235" t="s">
        <v>1221</v>
      </c>
      <c r="G460" s="284" t="str">
        <f>IFERROR(VLOOKUP(E460,Assign!$C$2:$J$142,8,FALSE),)</f>
        <v>문선영</v>
      </c>
      <c r="H460" s="197" t="s">
        <v>4442</v>
      </c>
      <c r="I460" s="324" t="s">
        <v>4443</v>
      </c>
      <c r="J460" s="237">
        <v>1</v>
      </c>
      <c r="K460" s="237">
        <v>1</v>
      </c>
      <c r="L460" s="265" t="s">
        <v>217</v>
      </c>
      <c r="M460" s="266" t="s">
        <v>336</v>
      </c>
      <c r="N460" s="266" t="s">
        <v>1990</v>
      </c>
      <c r="O460" s="267" t="s">
        <v>1991</v>
      </c>
      <c r="P460" s="268" t="s">
        <v>485</v>
      </c>
      <c r="Q460" s="269"/>
      <c r="R460" s="269">
        <f>69.39+1.2+46.17</f>
        <v>116.76</v>
      </c>
      <c r="S460" s="270"/>
      <c r="T460" s="182"/>
      <c r="U460" s="182">
        <v>1</v>
      </c>
      <c r="V460" s="408">
        <v>1</v>
      </c>
      <c r="W460" s="357" t="s">
        <v>204</v>
      </c>
      <c r="X460" s="156">
        <v>42700000</v>
      </c>
      <c r="Y460" s="417">
        <v>42700000</v>
      </c>
      <c r="Z460" s="418" t="s">
        <v>359</v>
      </c>
      <c r="AA460" s="271"/>
      <c r="AB460" s="168"/>
      <c r="AC460" s="156"/>
      <c r="AD460" s="156"/>
      <c r="AE460" s="320"/>
      <c r="AF460" s="168"/>
      <c r="AG460" s="156"/>
      <c r="AH460" s="156"/>
      <c r="AI460" s="410"/>
    </row>
    <row r="461" spans="1:35" ht="19.5" customHeight="1">
      <c r="A461" s="137"/>
      <c r="B461" s="197">
        <f t="shared" si="8"/>
        <v>451</v>
      </c>
      <c r="C461" s="30" t="s">
        <v>206</v>
      </c>
      <c r="D461" s="30" t="s">
        <v>225</v>
      </c>
      <c r="E461" s="234" t="s">
        <v>917</v>
      </c>
      <c r="F461" s="235" t="s">
        <v>1221</v>
      </c>
      <c r="G461" s="284" t="str">
        <f>IFERROR(VLOOKUP(E461,Assign!$C$2:$J$142,8,FALSE),)</f>
        <v>문선영</v>
      </c>
      <c r="H461" s="197" t="s">
        <v>4442</v>
      </c>
      <c r="I461" s="324" t="s">
        <v>4444</v>
      </c>
      <c r="J461" s="237">
        <v>1</v>
      </c>
      <c r="K461" s="237">
        <v>2</v>
      </c>
      <c r="L461" s="265" t="s">
        <v>217</v>
      </c>
      <c r="M461" s="266" t="s">
        <v>336</v>
      </c>
      <c r="N461" s="266" t="s">
        <v>1990</v>
      </c>
      <c r="O461" s="267" t="s">
        <v>1991</v>
      </c>
      <c r="P461" s="268" t="s">
        <v>450</v>
      </c>
      <c r="Q461" s="269">
        <v>140.1</v>
      </c>
      <c r="R461" s="269"/>
      <c r="S461" s="270"/>
      <c r="T461" s="182"/>
      <c r="U461" s="182">
        <v>1</v>
      </c>
      <c r="V461" s="408">
        <v>1</v>
      </c>
      <c r="W461" s="357" t="s">
        <v>204</v>
      </c>
      <c r="X461" s="156">
        <v>42700000</v>
      </c>
      <c r="Y461" s="417">
        <v>42700000</v>
      </c>
      <c r="Z461" s="418" t="s">
        <v>359</v>
      </c>
      <c r="AA461" s="271"/>
      <c r="AB461" s="168"/>
      <c r="AC461" s="156"/>
      <c r="AD461" s="156"/>
      <c r="AE461" s="320"/>
      <c r="AF461" s="168"/>
      <c r="AG461" s="156"/>
      <c r="AH461" s="156"/>
      <c r="AI461" s="410"/>
    </row>
    <row r="462" spans="1:35" ht="19.5" hidden="1" customHeight="1">
      <c r="A462" s="137"/>
      <c r="B462" s="197">
        <f t="shared" si="8"/>
        <v>452</v>
      </c>
      <c r="C462" s="30" t="s">
        <v>206</v>
      </c>
      <c r="D462" s="30" t="s">
        <v>359</v>
      </c>
      <c r="E462" s="234" t="s">
        <v>918</v>
      </c>
      <c r="F462" s="235" t="s">
        <v>1322</v>
      </c>
      <c r="G462" s="284">
        <f>IFERROR(VLOOKUP(E462,Assign!$C$2:$J$142,8,FALSE),)</f>
        <v>0</v>
      </c>
      <c r="H462" s="197" t="s">
        <v>5192</v>
      </c>
      <c r="I462" s="324" t="s">
        <v>5193</v>
      </c>
      <c r="J462" s="237">
        <v>1</v>
      </c>
      <c r="K462" s="237">
        <v>1</v>
      </c>
      <c r="L462" s="265" t="s">
        <v>211</v>
      </c>
      <c r="M462" s="266" t="s">
        <v>251</v>
      </c>
      <c r="N462" s="266" t="s">
        <v>543</v>
      </c>
      <c r="O462" s="267" t="s">
        <v>577</v>
      </c>
      <c r="P462" s="268" t="s">
        <v>578</v>
      </c>
      <c r="Q462" s="269"/>
      <c r="R462" s="269">
        <f>703.81+753.67+661.16+649.48+669.8+669.8</f>
        <v>4107.72</v>
      </c>
      <c r="S462" s="270"/>
      <c r="T462" s="182"/>
      <c r="U462" s="182">
        <v>1</v>
      </c>
      <c r="V462" s="408" t="s">
        <v>418</v>
      </c>
      <c r="W462" s="357" t="s">
        <v>204</v>
      </c>
      <c r="X462" s="156">
        <v>7800000000</v>
      </c>
      <c r="Y462" s="156">
        <v>7800000000</v>
      </c>
      <c r="Z462" s="418" t="s">
        <v>359</v>
      </c>
      <c r="AA462" s="271" t="s">
        <v>418</v>
      </c>
      <c r="AB462" s="168" t="s">
        <v>204</v>
      </c>
      <c r="AC462" s="156">
        <v>9000000000</v>
      </c>
      <c r="AD462" s="156">
        <v>9000000000</v>
      </c>
      <c r="AE462" s="320"/>
      <c r="AF462" s="168"/>
      <c r="AG462" s="156"/>
      <c r="AH462" s="156"/>
      <c r="AI462" s="410"/>
    </row>
    <row r="463" spans="1:35" ht="19.5" hidden="1" customHeight="1">
      <c r="A463" s="137"/>
      <c r="B463" s="197">
        <f t="shared" si="8"/>
        <v>453</v>
      </c>
      <c r="C463" s="30" t="s">
        <v>206</v>
      </c>
      <c r="D463" s="30" t="s">
        <v>359</v>
      </c>
      <c r="E463" s="234" t="s">
        <v>918</v>
      </c>
      <c r="F463" s="235" t="s">
        <v>1322</v>
      </c>
      <c r="G463" s="284">
        <f>IFERROR(VLOOKUP(E463,Assign!$C$2:$J$142,8,FALSE),)</f>
        <v>0</v>
      </c>
      <c r="H463" s="197" t="s">
        <v>5192</v>
      </c>
      <c r="I463" s="324" t="s">
        <v>5194</v>
      </c>
      <c r="J463" s="237">
        <v>1</v>
      </c>
      <c r="K463" s="237">
        <v>2</v>
      </c>
      <c r="L463" s="265" t="s">
        <v>211</v>
      </c>
      <c r="M463" s="266" t="s">
        <v>251</v>
      </c>
      <c r="N463" s="266" t="s">
        <v>543</v>
      </c>
      <c r="O463" s="267" t="s">
        <v>579</v>
      </c>
      <c r="P463" s="268" t="s">
        <v>538</v>
      </c>
      <c r="Q463" s="269">
        <v>5642</v>
      </c>
      <c r="R463" s="269"/>
      <c r="S463" s="270"/>
      <c r="T463" s="182"/>
      <c r="U463" s="182">
        <v>1</v>
      </c>
      <c r="V463" s="408" t="s">
        <v>418</v>
      </c>
      <c r="W463" s="357" t="s">
        <v>204</v>
      </c>
      <c r="X463" s="156">
        <v>7800000000</v>
      </c>
      <c r="Y463" s="156">
        <v>7800000000</v>
      </c>
      <c r="Z463" s="418" t="s">
        <v>359</v>
      </c>
      <c r="AA463" s="271" t="s">
        <v>418</v>
      </c>
      <c r="AB463" s="168" t="s">
        <v>204</v>
      </c>
      <c r="AC463" s="156">
        <v>9000000000</v>
      </c>
      <c r="AD463" s="156">
        <v>9000000000</v>
      </c>
      <c r="AE463" s="320"/>
      <c r="AF463" s="168"/>
      <c r="AG463" s="156"/>
      <c r="AH463" s="156"/>
      <c r="AI463" s="410"/>
    </row>
    <row r="464" spans="1:35" ht="19.5" hidden="1" customHeight="1">
      <c r="A464" s="137"/>
      <c r="B464" s="197">
        <f t="shared" si="8"/>
        <v>454</v>
      </c>
      <c r="C464" s="30" t="s">
        <v>206</v>
      </c>
      <c r="D464" s="30" t="s">
        <v>359</v>
      </c>
      <c r="E464" s="234" t="s">
        <v>918</v>
      </c>
      <c r="F464" s="235" t="s">
        <v>1322</v>
      </c>
      <c r="G464" s="284">
        <f>IFERROR(VLOOKUP(E464,Assign!$C$2:$J$142,8,FALSE),)</f>
        <v>0</v>
      </c>
      <c r="H464" s="197" t="s">
        <v>5192</v>
      </c>
      <c r="I464" s="324" t="s">
        <v>5195</v>
      </c>
      <c r="J464" s="237">
        <v>1</v>
      </c>
      <c r="K464" s="237">
        <v>3</v>
      </c>
      <c r="L464" s="265" t="s">
        <v>211</v>
      </c>
      <c r="M464" s="266" t="s">
        <v>251</v>
      </c>
      <c r="N464" s="266" t="s">
        <v>543</v>
      </c>
      <c r="O464" s="267" t="s">
        <v>581</v>
      </c>
      <c r="P464" s="268" t="s">
        <v>582</v>
      </c>
      <c r="Q464" s="269"/>
      <c r="R464" s="269">
        <f>442.05+432+432</f>
        <v>1306.05</v>
      </c>
      <c r="S464" s="270"/>
      <c r="T464" s="182"/>
      <c r="U464" s="182">
        <v>1</v>
      </c>
      <c r="V464" s="408" t="s">
        <v>418</v>
      </c>
      <c r="W464" s="357" t="s">
        <v>204</v>
      </c>
      <c r="X464" s="156">
        <v>7800000000</v>
      </c>
      <c r="Y464" s="417">
        <v>7800000000</v>
      </c>
      <c r="Z464" s="418" t="s">
        <v>359</v>
      </c>
      <c r="AA464" s="271" t="s">
        <v>418</v>
      </c>
      <c r="AB464" s="168" t="s">
        <v>204</v>
      </c>
      <c r="AC464" s="156">
        <v>9000000000</v>
      </c>
      <c r="AD464" s="156">
        <v>9000000000</v>
      </c>
      <c r="AE464" s="320"/>
      <c r="AF464" s="168"/>
      <c r="AG464" s="156"/>
      <c r="AH464" s="156"/>
      <c r="AI464" s="410"/>
    </row>
    <row r="465" spans="1:35" ht="19.5" hidden="1" customHeight="1">
      <c r="A465" s="137"/>
      <c r="B465" s="197">
        <f t="shared" si="8"/>
        <v>455</v>
      </c>
      <c r="C465" s="30" t="s">
        <v>206</v>
      </c>
      <c r="D465" s="30" t="s">
        <v>359</v>
      </c>
      <c r="E465" s="234" t="s">
        <v>918</v>
      </c>
      <c r="F465" s="235" t="s">
        <v>1322</v>
      </c>
      <c r="G465" s="284">
        <f>IFERROR(VLOOKUP(E465,Assign!$C$2:$J$142,8,FALSE),)</f>
        <v>0</v>
      </c>
      <c r="H465" s="197" t="s">
        <v>5192</v>
      </c>
      <c r="I465" s="324" t="s">
        <v>5196</v>
      </c>
      <c r="J465" s="237">
        <v>1</v>
      </c>
      <c r="K465" s="237">
        <v>4</v>
      </c>
      <c r="L465" s="265" t="s">
        <v>211</v>
      </c>
      <c r="M465" s="266" t="s">
        <v>251</v>
      </c>
      <c r="N465" s="266" t="s">
        <v>543</v>
      </c>
      <c r="O465" s="267" t="s">
        <v>583</v>
      </c>
      <c r="P465" s="268" t="s">
        <v>450</v>
      </c>
      <c r="Q465" s="269">
        <v>988</v>
      </c>
      <c r="R465" s="269"/>
      <c r="S465" s="270"/>
      <c r="T465" s="182"/>
      <c r="U465" s="182">
        <v>1</v>
      </c>
      <c r="V465" s="408" t="s">
        <v>418</v>
      </c>
      <c r="W465" s="357" t="s">
        <v>204</v>
      </c>
      <c r="X465" s="156">
        <v>7800000000</v>
      </c>
      <c r="Y465" s="417">
        <v>7800000000</v>
      </c>
      <c r="Z465" s="418" t="s">
        <v>359</v>
      </c>
      <c r="AA465" s="271" t="s">
        <v>418</v>
      </c>
      <c r="AB465" s="168" t="s">
        <v>204</v>
      </c>
      <c r="AC465" s="156">
        <v>9000000000</v>
      </c>
      <c r="AD465" s="156">
        <v>9000000000</v>
      </c>
      <c r="AE465" s="320"/>
      <c r="AF465" s="168"/>
      <c r="AG465" s="156"/>
      <c r="AH465" s="156"/>
      <c r="AI465" s="410"/>
    </row>
    <row r="466" spans="1:35" ht="19.5" hidden="1" customHeight="1">
      <c r="A466" s="137"/>
      <c r="B466" s="197">
        <f t="shared" si="8"/>
        <v>456</v>
      </c>
      <c r="C466" s="30" t="s">
        <v>206</v>
      </c>
      <c r="D466" s="30" t="s">
        <v>359</v>
      </c>
      <c r="E466" s="234" t="s">
        <v>918</v>
      </c>
      <c r="F466" s="235" t="s">
        <v>1322</v>
      </c>
      <c r="G466" s="284">
        <f>IFERROR(VLOOKUP(E466,Assign!$C$2:$J$142,8,FALSE),)</f>
        <v>0</v>
      </c>
      <c r="H466" s="197" t="s">
        <v>5192</v>
      </c>
      <c r="I466" s="324" t="s">
        <v>5197</v>
      </c>
      <c r="J466" s="237">
        <v>1</v>
      </c>
      <c r="K466" s="237">
        <v>5</v>
      </c>
      <c r="L466" s="265" t="s">
        <v>211</v>
      </c>
      <c r="M466" s="266" t="s">
        <v>251</v>
      </c>
      <c r="N466" s="266" t="s">
        <v>543</v>
      </c>
      <c r="O466" s="267" t="s">
        <v>584</v>
      </c>
      <c r="P466" s="268" t="s">
        <v>582</v>
      </c>
      <c r="Q466" s="269"/>
      <c r="R466" s="269">
        <f>196.65+196.65+106.3</f>
        <v>499.6</v>
      </c>
      <c r="S466" s="270"/>
      <c r="T466" s="182"/>
      <c r="U466" s="182">
        <v>1</v>
      </c>
      <c r="V466" s="408" t="s">
        <v>418</v>
      </c>
      <c r="W466" s="357" t="s">
        <v>204</v>
      </c>
      <c r="X466" s="156">
        <v>7800000000</v>
      </c>
      <c r="Y466" s="417">
        <v>7800000000</v>
      </c>
      <c r="Z466" s="418" t="s">
        <v>359</v>
      </c>
      <c r="AA466" s="271" t="s">
        <v>418</v>
      </c>
      <c r="AB466" s="168" t="s">
        <v>204</v>
      </c>
      <c r="AC466" s="156">
        <v>9000000000</v>
      </c>
      <c r="AD466" s="156">
        <v>9000000000</v>
      </c>
      <c r="AE466" s="320"/>
      <c r="AF466" s="168"/>
      <c r="AG466" s="156"/>
      <c r="AH466" s="156"/>
      <c r="AI466" s="410"/>
    </row>
    <row r="467" spans="1:35" ht="19.5" hidden="1" customHeight="1">
      <c r="A467" s="137"/>
      <c r="B467" s="197">
        <f t="shared" si="8"/>
        <v>457</v>
      </c>
      <c r="C467" s="30" t="s">
        <v>206</v>
      </c>
      <c r="D467" s="30" t="s">
        <v>359</v>
      </c>
      <c r="E467" s="234" t="s">
        <v>918</v>
      </c>
      <c r="F467" s="235" t="s">
        <v>1322</v>
      </c>
      <c r="G467" s="284">
        <f>IFERROR(VLOOKUP(E467,Assign!$C$2:$J$142,8,FALSE),)</f>
        <v>0</v>
      </c>
      <c r="H467" s="197" t="s">
        <v>5192</v>
      </c>
      <c r="I467" s="324" t="s">
        <v>5198</v>
      </c>
      <c r="J467" s="237">
        <v>1</v>
      </c>
      <c r="K467" s="237">
        <v>6</v>
      </c>
      <c r="L467" s="265" t="s">
        <v>211</v>
      </c>
      <c r="M467" s="266" t="s">
        <v>251</v>
      </c>
      <c r="N467" s="266" t="s">
        <v>543</v>
      </c>
      <c r="O467" s="267" t="s">
        <v>585</v>
      </c>
      <c r="P467" s="268" t="s">
        <v>450</v>
      </c>
      <c r="Q467" s="269">
        <v>483</v>
      </c>
      <c r="R467" s="269"/>
      <c r="S467" s="270"/>
      <c r="T467" s="182"/>
      <c r="U467" s="182">
        <v>1</v>
      </c>
      <c r="V467" s="408" t="s">
        <v>418</v>
      </c>
      <c r="W467" s="357" t="s">
        <v>204</v>
      </c>
      <c r="X467" s="156">
        <v>7800000000</v>
      </c>
      <c r="Y467" s="417">
        <v>7800000000</v>
      </c>
      <c r="Z467" s="418" t="s">
        <v>359</v>
      </c>
      <c r="AA467" s="271" t="s">
        <v>418</v>
      </c>
      <c r="AB467" s="168" t="s">
        <v>204</v>
      </c>
      <c r="AC467" s="156">
        <v>9000000000</v>
      </c>
      <c r="AD467" s="156">
        <v>9000000000</v>
      </c>
      <c r="AE467" s="320"/>
      <c r="AF467" s="168"/>
      <c r="AG467" s="156"/>
      <c r="AH467" s="156"/>
      <c r="AI467" s="410"/>
    </row>
    <row r="468" spans="1:35" ht="19.5" hidden="1" customHeight="1">
      <c r="A468" s="137"/>
      <c r="B468" s="197">
        <f t="shared" si="8"/>
        <v>458</v>
      </c>
      <c r="C468" s="30" t="s">
        <v>206</v>
      </c>
      <c r="D468" s="30" t="s">
        <v>359</v>
      </c>
      <c r="E468" s="234" t="s">
        <v>918</v>
      </c>
      <c r="F468" s="235" t="s">
        <v>1322</v>
      </c>
      <c r="G468" s="284">
        <f>IFERROR(VLOOKUP(E468,Assign!$C$2:$J$142,8,FALSE),)</f>
        <v>0</v>
      </c>
      <c r="H468" s="197" t="s">
        <v>5192</v>
      </c>
      <c r="I468" s="324" t="s">
        <v>5199</v>
      </c>
      <c r="J468" s="237">
        <v>1</v>
      </c>
      <c r="K468" s="237">
        <v>7</v>
      </c>
      <c r="L468" s="265" t="s">
        <v>211</v>
      </c>
      <c r="M468" s="266" t="s">
        <v>251</v>
      </c>
      <c r="N468" s="266" t="s">
        <v>543</v>
      </c>
      <c r="O468" s="267" t="s">
        <v>586</v>
      </c>
      <c r="P468" s="268" t="s">
        <v>582</v>
      </c>
      <c r="Q468" s="269"/>
      <c r="R468" s="269">
        <f>902.4+843.97+807.69</f>
        <v>2554.06</v>
      </c>
      <c r="S468" s="270"/>
      <c r="T468" s="182"/>
      <c r="U468" s="182">
        <v>1</v>
      </c>
      <c r="V468" s="408" t="s">
        <v>418</v>
      </c>
      <c r="W468" s="357" t="s">
        <v>204</v>
      </c>
      <c r="X468" s="156">
        <v>7800000000</v>
      </c>
      <c r="Y468" s="417">
        <v>7800000000</v>
      </c>
      <c r="Z468" s="418" t="s">
        <v>359</v>
      </c>
      <c r="AA468" s="271" t="s">
        <v>418</v>
      </c>
      <c r="AB468" s="168" t="s">
        <v>204</v>
      </c>
      <c r="AC468" s="156">
        <v>9000000000</v>
      </c>
      <c r="AD468" s="156">
        <v>9000000000</v>
      </c>
      <c r="AE468" s="320"/>
      <c r="AF468" s="168"/>
      <c r="AG468" s="156"/>
      <c r="AH468" s="156"/>
      <c r="AI468" s="410"/>
    </row>
    <row r="469" spans="1:35" ht="19.5" hidden="1" customHeight="1">
      <c r="A469" s="137"/>
      <c r="B469" s="197">
        <f t="shared" si="8"/>
        <v>459</v>
      </c>
      <c r="C469" s="30" t="s">
        <v>206</v>
      </c>
      <c r="D469" s="30" t="s">
        <v>359</v>
      </c>
      <c r="E469" s="234" t="s">
        <v>918</v>
      </c>
      <c r="F469" s="235" t="s">
        <v>1322</v>
      </c>
      <c r="G469" s="284">
        <f>IFERROR(VLOOKUP(E469,Assign!$C$2:$J$142,8,FALSE),)</f>
        <v>0</v>
      </c>
      <c r="H469" s="197" t="s">
        <v>5192</v>
      </c>
      <c r="I469" s="324" t="s">
        <v>5200</v>
      </c>
      <c r="J469" s="237">
        <v>1</v>
      </c>
      <c r="K469" s="237">
        <v>8</v>
      </c>
      <c r="L469" s="265" t="s">
        <v>211</v>
      </c>
      <c r="M469" s="266" t="s">
        <v>251</v>
      </c>
      <c r="N469" s="266" t="s">
        <v>543</v>
      </c>
      <c r="O469" s="267" t="s">
        <v>587</v>
      </c>
      <c r="P469" s="268" t="s">
        <v>450</v>
      </c>
      <c r="Q469" s="269">
        <v>2744</v>
      </c>
      <c r="R469" s="269"/>
      <c r="S469" s="270" t="s">
        <v>335</v>
      </c>
      <c r="T469" s="182"/>
      <c r="U469" s="182">
        <v>1</v>
      </c>
      <c r="V469" s="408" t="s">
        <v>418</v>
      </c>
      <c r="W469" s="357" t="s">
        <v>204</v>
      </c>
      <c r="X469" s="156">
        <v>7800000000</v>
      </c>
      <c r="Y469" s="417">
        <v>7800000000</v>
      </c>
      <c r="Z469" s="418" t="s">
        <v>359</v>
      </c>
      <c r="AA469" s="271" t="s">
        <v>418</v>
      </c>
      <c r="AB469" s="168" t="s">
        <v>204</v>
      </c>
      <c r="AC469" s="156">
        <v>9000000000</v>
      </c>
      <c r="AD469" s="156">
        <v>9000000000</v>
      </c>
      <c r="AE469" s="320"/>
      <c r="AF469" s="168"/>
      <c r="AG469" s="156"/>
      <c r="AH469" s="156"/>
      <c r="AI469" s="410"/>
    </row>
    <row r="470" spans="1:35" ht="19.5" hidden="1" customHeight="1">
      <c r="A470" s="137"/>
      <c r="B470" s="197">
        <f t="shared" si="8"/>
        <v>460</v>
      </c>
      <c r="C470" s="30" t="s">
        <v>206</v>
      </c>
      <c r="D470" s="30" t="s">
        <v>359</v>
      </c>
      <c r="E470" s="234" t="s">
        <v>918</v>
      </c>
      <c r="F470" s="235" t="s">
        <v>1322</v>
      </c>
      <c r="G470" s="284">
        <f>IFERROR(VLOOKUP(E470,Assign!$C$2:$J$142,8,FALSE),)</f>
        <v>0</v>
      </c>
      <c r="H470" s="197" t="s">
        <v>5192</v>
      </c>
      <c r="I470" s="324" t="s">
        <v>5201</v>
      </c>
      <c r="J470" s="237">
        <v>1</v>
      </c>
      <c r="K470" s="237">
        <v>9</v>
      </c>
      <c r="L470" s="265" t="s">
        <v>211</v>
      </c>
      <c r="M470" s="266" t="s">
        <v>251</v>
      </c>
      <c r="N470" s="266" t="s">
        <v>543</v>
      </c>
      <c r="O470" s="267" t="s">
        <v>580</v>
      </c>
      <c r="P470" s="268" t="s">
        <v>446</v>
      </c>
      <c r="Q470" s="269">
        <v>208</v>
      </c>
      <c r="R470" s="269"/>
      <c r="S470" s="270"/>
      <c r="T470" s="182"/>
      <c r="U470" s="182">
        <v>1</v>
      </c>
      <c r="V470" s="408" t="s">
        <v>418</v>
      </c>
      <c r="W470" s="357" t="s">
        <v>204</v>
      </c>
      <c r="X470" s="156">
        <v>7800000000</v>
      </c>
      <c r="Y470" s="417">
        <v>7800000000</v>
      </c>
      <c r="Z470" s="418" t="s">
        <v>359</v>
      </c>
      <c r="AA470" s="271" t="s">
        <v>418</v>
      </c>
      <c r="AB470" s="168" t="s">
        <v>204</v>
      </c>
      <c r="AC470" s="156">
        <v>9000000000</v>
      </c>
      <c r="AD470" s="156">
        <v>9000000000</v>
      </c>
      <c r="AE470" s="320"/>
      <c r="AF470" s="168"/>
      <c r="AG470" s="156"/>
      <c r="AH470" s="156"/>
      <c r="AI470" s="410"/>
    </row>
    <row r="471" spans="1:35" ht="19.5" hidden="1" customHeight="1">
      <c r="A471" s="137"/>
      <c r="B471" s="197">
        <f t="shared" si="8"/>
        <v>461</v>
      </c>
      <c r="C471" s="30" t="s">
        <v>206</v>
      </c>
      <c r="D471" s="30" t="s">
        <v>359</v>
      </c>
      <c r="E471" s="234" t="s">
        <v>918</v>
      </c>
      <c r="F471" s="235" t="s">
        <v>1322</v>
      </c>
      <c r="G471" s="284">
        <f>IFERROR(VLOOKUP(E471,Assign!$C$2:$J$142,8,FALSE),)</f>
        <v>0</v>
      </c>
      <c r="H471" s="197" t="s">
        <v>5192</v>
      </c>
      <c r="I471" s="324" t="s">
        <v>5202</v>
      </c>
      <c r="J471" s="237">
        <v>1</v>
      </c>
      <c r="K471" s="237">
        <v>10</v>
      </c>
      <c r="L471" s="265" t="s">
        <v>211</v>
      </c>
      <c r="M471" s="266" t="s">
        <v>251</v>
      </c>
      <c r="N471" s="266" t="s">
        <v>543</v>
      </c>
      <c r="O471" s="267" t="s">
        <v>614</v>
      </c>
      <c r="P471" s="268" t="s">
        <v>456</v>
      </c>
      <c r="Q471" s="269">
        <v>24</v>
      </c>
      <c r="R471" s="269"/>
      <c r="S471" s="270"/>
      <c r="T471" s="182"/>
      <c r="U471" s="182">
        <v>1</v>
      </c>
      <c r="V471" s="408" t="s">
        <v>418</v>
      </c>
      <c r="W471" s="357" t="s">
        <v>204</v>
      </c>
      <c r="X471" s="156">
        <v>7800000000</v>
      </c>
      <c r="Y471" s="417">
        <v>7800000000</v>
      </c>
      <c r="Z471" s="418" t="s">
        <v>359</v>
      </c>
      <c r="AA471" s="271" t="s">
        <v>418</v>
      </c>
      <c r="AB471" s="168" t="s">
        <v>204</v>
      </c>
      <c r="AC471" s="156">
        <v>9000000000</v>
      </c>
      <c r="AD471" s="156">
        <v>9000000000</v>
      </c>
      <c r="AE471" s="320"/>
      <c r="AF471" s="168"/>
      <c r="AG471" s="156"/>
      <c r="AH471" s="156"/>
      <c r="AI471" s="410"/>
    </row>
    <row r="472" spans="1:35" ht="19.5" hidden="1" customHeight="1">
      <c r="A472" s="137"/>
      <c r="B472" s="197">
        <f t="shared" si="8"/>
        <v>462</v>
      </c>
      <c r="C472" s="30" t="s">
        <v>206</v>
      </c>
      <c r="D472" s="30" t="s">
        <v>359</v>
      </c>
      <c r="E472" s="234" t="s">
        <v>918</v>
      </c>
      <c r="F472" s="235" t="s">
        <v>1322</v>
      </c>
      <c r="G472" s="284">
        <f>IFERROR(VLOOKUP(E472,Assign!$C$2:$J$142,8,FALSE),)</f>
        <v>0</v>
      </c>
      <c r="H472" s="197" t="s">
        <v>5192</v>
      </c>
      <c r="I472" s="324" t="s">
        <v>5203</v>
      </c>
      <c r="J472" s="237">
        <v>1</v>
      </c>
      <c r="K472" s="237">
        <v>11</v>
      </c>
      <c r="L472" s="265" t="s">
        <v>211</v>
      </c>
      <c r="M472" s="266" t="s">
        <v>251</v>
      </c>
      <c r="N472" s="266" t="s">
        <v>543</v>
      </c>
      <c r="O472" s="267" t="s">
        <v>615</v>
      </c>
      <c r="P472" s="268" t="s">
        <v>450</v>
      </c>
      <c r="Q472" s="269">
        <v>25</v>
      </c>
      <c r="R472" s="269"/>
      <c r="S472" s="270" t="s">
        <v>335</v>
      </c>
      <c r="T472" s="182"/>
      <c r="U472" s="182">
        <v>1</v>
      </c>
      <c r="V472" s="408" t="s">
        <v>418</v>
      </c>
      <c r="W472" s="357" t="s">
        <v>204</v>
      </c>
      <c r="X472" s="156">
        <v>7800000000</v>
      </c>
      <c r="Y472" s="417">
        <v>7800000000</v>
      </c>
      <c r="Z472" s="418" t="s">
        <v>359</v>
      </c>
      <c r="AA472" s="271" t="s">
        <v>418</v>
      </c>
      <c r="AB472" s="168" t="s">
        <v>204</v>
      </c>
      <c r="AC472" s="156">
        <v>9000000000</v>
      </c>
      <c r="AD472" s="156">
        <v>9000000000</v>
      </c>
      <c r="AE472" s="320"/>
      <c r="AF472" s="168"/>
      <c r="AG472" s="156"/>
      <c r="AH472" s="156"/>
      <c r="AI472" s="410"/>
    </row>
    <row r="473" spans="1:35" ht="19.5" hidden="1" customHeight="1">
      <c r="A473" s="137"/>
      <c r="B473" s="197">
        <f t="shared" si="8"/>
        <v>463</v>
      </c>
      <c r="C473" s="30" t="s">
        <v>206</v>
      </c>
      <c r="D473" s="30" t="s">
        <v>359</v>
      </c>
      <c r="E473" s="234" t="s">
        <v>918</v>
      </c>
      <c r="F473" s="235" t="s">
        <v>1322</v>
      </c>
      <c r="G473" s="284">
        <f>IFERROR(VLOOKUP(E473,Assign!$C$2:$J$142,8,FALSE),)</f>
        <v>0</v>
      </c>
      <c r="H473" s="197" t="s">
        <v>5192</v>
      </c>
      <c r="I473" s="324" t="s">
        <v>5204</v>
      </c>
      <c r="J473" s="237">
        <v>1</v>
      </c>
      <c r="K473" s="237">
        <v>12</v>
      </c>
      <c r="L473" s="265" t="s">
        <v>211</v>
      </c>
      <c r="M473" s="266" t="s">
        <v>251</v>
      </c>
      <c r="N473" s="266" t="s">
        <v>543</v>
      </c>
      <c r="O473" s="267" t="s">
        <v>1805</v>
      </c>
      <c r="P473" s="268" t="s">
        <v>352</v>
      </c>
      <c r="Q473" s="269">
        <v>783</v>
      </c>
      <c r="R473" s="269"/>
      <c r="S473" s="270" t="s">
        <v>335</v>
      </c>
      <c r="T473" s="182"/>
      <c r="U473" s="182">
        <v>1</v>
      </c>
      <c r="V473" s="408" t="s">
        <v>418</v>
      </c>
      <c r="W473" s="357" t="s">
        <v>204</v>
      </c>
      <c r="X473" s="156">
        <v>7800000000</v>
      </c>
      <c r="Y473" s="417">
        <v>7800000000</v>
      </c>
      <c r="Z473" s="418" t="s">
        <v>359</v>
      </c>
      <c r="AA473" s="271" t="s">
        <v>418</v>
      </c>
      <c r="AB473" s="168" t="s">
        <v>204</v>
      </c>
      <c r="AC473" s="156">
        <v>9000000000</v>
      </c>
      <c r="AD473" s="156">
        <v>9000000000</v>
      </c>
      <c r="AE473" s="320"/>
      <c r="AF473" s="168"/>
      <c r="AG473" s="156"/>
      <c r="AH473" s="156"/>
      <c r="AI473" s="410"/>
    </row>
    <row r="474" spans="1:35" ht="19.5" hidden="1" customHeight="1">
      <c r="A474" s="137"/>
      <c r="B474" s="197">
        <f t="shared" si="8"/>
        <v>464</v>
      </c>
      <c r="C474" s="30" t="s">
        <v>206</v>
      </c>
      <c r="D474" s="30" t="s">
        <v>359</v>
      </c>
      <c r="E474" s="234" t="s">
        <v>919</v>
      </c>
      <c r="F474" s="235" t="s">
        <v>1323</v>
      </c>
      <c r="G474" s="284">
        <f>IFERROR(VLOOKUP(E474,Assign!$C$2:$J$142,8,FALSE),)</f>
        <v>0</v>
      </c>
      <c r="H474" s="197" t="s">
        <v>4286</v>
      </c>
      <c r="I474" s="324" t="s">
        <v>4287</v>
      </c>
      <c r="J474" s="237">
        <v>1</v>
      </c>
      <c r="K474" s="237">
        <v>1</v>
      </c>
      <c r="L474" s="265" t="s">
        <v>209</v>
      </c>
      <c r="M474" s="266" t="s">
        <v>248</v>
      </c>
      <c r="N474" s="266" t="s">
        <v>1853</v>
      </c>
      <c r="O474" s="267" t="s">
        <v>1854</v>
      </c>
      <c r="P474" s="268" t="s">
        <v>1855</v>
      </c>
      <c r="Q474" s="269">
        <v>6195.1</v>
      </c>
      <c r="R474" s="269">
        <v>967.46</v>
      </c>
      <c r="S474" s="270"/>
      <c r="T474" s="182">
        <f>161.34/6195.1</f>
        <v>2.6043163145066262E-2</v>
      </c>
      <c r="U474" s="182">
        <v>1</v>
      </c>
      <c r="V474" s="408">
        <v>1</v>
      </c>
      <c r="W474" s="357" t="s">
        <v>204</v>
      </c>
      <c r="X474" s="156">
        <v>4089000000</v>
      </c>
      <c r="Y474" s="417">
        <v>4089000000</v>
      </c>
      <c r="Z474" s="418" t="s">
        <v>359</v>
      </c>
      <c r="AA474" s="271"/>
      <c r="AB474" s="168"/>
      <c r="AC474" s="156"/>
      <c r="AD474" s="156"/>
      <c r="AE474" s="320"/>
      <c r="AF474" s="168"/>
      <c r="AG474" s="156"/>
      <c r="AH474" s="156"/>
      <c r="AI474" s="410"/>
    </row>
    <row r="475" spans="1:35" ht="19.5" hidden="1" customHeight="1">
      <c r="A475" s="137"/>
      <c r="B475" s="197">
        <f t="shared" si="8"/>
        <v>465</v>
      </c>
      <c r="C475" s="30" t="s">
        <v>206</v>
      </c>
      <c r="D475" s="30" t="s">
        <v>359</v>
      </c>
      <c r="E475" s="234" t="s">
        <v>920</v>
      </c>
      <c r="F475" s="235" t="s">
        <v>1272</v>
      </c>
      <c r="G475" s="284">
        <f>IFERROR(VLOOKUP(E475,Assign!$C$2:$J$142,8,FALSE),)</f>
        <v>0</v>
      </c>
      <c r="H475" s="197" t="s">
        <v>5004</v>
      </c>
      <c r="I475" s="324" t="s">
        <v>5005</v>
      </c>
      <c r="J475" s="237">
        <v>1</v>
      </c>
      <c r="K475" s="237">
        <v>1</v>
      </c>
      <c r="L475" s="265" t="s">
        <v>217</v>
      </c>
      <c r="M475" s="266" t="s">
        <v>344</v>
      </c>
      <c r="N475" s="266" t="s">
        <v>2525</v>
      </c>
      <c r="O475" s="267" t="s">
        <v>2526</v>
      </c>
      <c r="P475" s="268" t="s">
        <v>2527</v>
      </c>
      <c r="Q475" s="269"/>
      <c r="R475" s="269">
        <f>1639.53+1219.13+1033.4+261.15+19.98+12+86.15+86.15</f>
        <v>4357.4899999999989</v>
      </c>
      <c r="S475" s="270"/>
      <c r="T475" s="182"/>
      <c r="U475" s="182">
        <v>1</v>
      </c>
      <c r="V475" s="408" t="s">
        <v>229</v>
      </c>
      <c r="W475" s="357" t="s">
        <v>204</v>
      </c>
      <c r="X475" s="156">
        <v>4560000000</v>
      </c>
      <c r="Y475" s="417">
        <v>4560000000</v>
      </c>
      <c r="Z475" s="418" t="s">
        <v>359</v>
      </c>
      <c r="AA475" s="271"/>
      <c r="AB475" s="168"/>
      <c r="AC475" s="156"/>
      <c r="AD475" s="156"/>
      <c r="AE475" s="320"/>
      <c r="AF475" s="168"/>
      <c r="AG475" s="156"/>
      <c r="AH475" s="156"/>
      <c r="AI475" s="410"/>
    </row>
    <row r="476" spans="1:35" ht="19.5" hidden="1" customHeight="1">
      <c r="A476" s="137"/>
      <c r="B476" s="197">
        <f t="shared" si="8"/>
        <v>466</v>
      </c>
      <c r="C476" s="30" t="s">
        <v>206</v>
      </c>
      <c r="D476" s="30" t="s">
        <v>359</v>
      </c>
      <c r="E476" s="234" t="s">
        <v>920</v>
      </c>
      <c r="F476" s="235" t="s">
        <v>1272</v>
      </c>
      <c r="G476" s="284">
        <f>IFERROR(VLOOKUP(E476,Assign!$C$2:$J$142,8,FALSE),)</f>
        <v>0</v>
      </c>
      <c r="H476" s="197" t="s">
        <v>5004</v>
      </c>
      <c r="I476" s="324" t="s">
        <v>5006</v>
      </c>
      <c r="J476" s="237">
        <v>1</v>
      </c>
      <c r="K476" s="237">
        <v>2</v>
      </c>
      <c r="L476" s="265" t="s">
        <v>217</v>
      </c>
      <c r="M476" s="266" t="s">
        <v>344</v>
      </c>
      <c r="N476" s="266" t="s">
        <v>2525</v>
      </c>
      <c r="O476" s="267" t="s">
        <v>2528</v>
      </c>
      <c r="P476" s="268" t="s">
        <v>447</v>
      </c>
      <c r="Q476" s="269">
        <v>4888.1000000000004</v>
      </c>
      <c r="R476" s="269"/>
      <c r="S476" s="270"/>
      <c r="T476" s="182"/>
      <c r="U476" s="182">
        <v>1</v>
      </c>
      <c r="V476" s="408" t="s">
        <v>229</v>
      </c>
      <c r="W476" s="357" t="s">
        <v>204</v>
      </c>
      <c r="X476" s="156">
        <v>4560000000</v>
      </c>
      <c r="Y476" s="417">
        <v>4560000000</v>
      </c>
      <c r="Z476" s="418" t="s">
        <v>359</v>
      </c>
      <c r="AA476" s="271"/>
      <c r="AB476" s="168"/>
      <c r="AC476" s="156"/>
      <c r="AD476" s="156"/>
      <c r="AE476" s="320"/>
      <c r="AF476" s="168"/>
      <c r="AG476" s="156"/>
      <c r="AH476" s="156"/>
      <c r="AI476" s="410"/>
    </row>
    <row r="477" spans="1:35" ht="19.5" hidden="1" customHeight="1">
      <c r="A477" s="137"/>
      <c r="B477" s="197">
        <f t="shared" si="8"/>
        <v>467</v>
      </c>
      <c r="C477" s="30" t="s">
        <v>206</v>
      </c>
      <c r="D477" s="30" t="s">
        <v>359</v>
      </c>
      <c r="E477" s="234" t="s">
        <v>921</v>
      </c>
      <c r="F477" s="235" t="s">
        <v>1273</v>
      </c>
      <c r="G477" s="284">
        <f>IFERROR(VLOOKUP(E477,Assign!$C$2:$J$142,8,FALSE),)</f>
        <v>0</v>
      </c>
      <c r="H477" s="197" t="s">
        <v>4963</v>
      </c>
      <c r="I477" s="324" t="s">
        <v>4964</v>
      </c>
      <c r="J477" s="237">
        <v>1</v>
      </c>
      <c r="K477" s="237">
        <v>1</v>
      </c>
      <c r="L477" s="265" t="s">
        <v>208</v>
      </c>
      <c r="M477" s="266" t="s">
        <v>318</v>
      </c>
      <c r="N477" s="266" t="s">
        <v>2482</v>
      </c>
      <c r="O477" s="267" t="s">
        <v>2483</v>
      </c>
      <c r="P477" s="268" t="s">
        <v>3526</v>
      </c>
      <c r="Q477" s="269"/>
      <c r="R477" s="269">
        <f>245.52+245.52+245.52+245.52+245.52+245.52+30.4</f>
        <v>1503.5200000000002</v>
      </c>
      <c r="S477" s="270"/>
      <c r="T477" s="182"/>
      <c r="U477" s="182">
        <v>1</v>
      </c>
      <c r="V477" s="408" t="s">
        <v>3064</v>
      </c>
      <c r="W477" s="357" t="s">
        <v>204</v>
      </c>
      <c r="X477" s="156">
        <v>3975600000</v>
      </c>
      <c r="Y477" s="417">
        <v>3975600000</v>
      </c>
      <c r="Z477" s="418" t="s">
        <v>534</v>
      </c>
      <c r="AA477" s="271"/>
      <c r="AB477" s="168"/>
      <c r="AC477" s="156"/>
      <c r="AD477" s="156"/>
      <c r="AE477" s="320" t="s">
        <v>3073</v>
      </c>
      <c r="AF477" s="168" t="s">
        <v>204</v>
      </c>
      <c r="AG477" s="156">
        <v>1210400000</v>
      </c>
      <c r="AH477" s="156">
        <v>1210400000</v>
      </c>
      <c r="AI477" s="410"/>
    </row>
    <row r="478" spans="1:35" ht="19.5" hidden="1" customHeight="1">
      <c r="A478" s="137"/>
      <c r="B478" s="197">
        <f t="shared" si="8"/>
        <v>468</v>
      </c>
      <c r="C478" s="30" t="s">
        <v>206</v>
      </c>
      <c r="D478" s="30" t="s">
        <v>359</v>
      </c>
      <c r="E478" s="234" t="s">
        <v>921</v>
      </c>
      <c r="F478" s="235" t="s">
        <v>1273</v>
      </c>
      <c r="G478" s="284">
        <f>IFERROR(VLOOKUP(E478,Assign!$C$2:$J$142,8,FALSE),)</f>
        <v>0</v>
      </c>
      <c r="H478" s="197" t="s">
        <v>4963</v>
      </c>
      <c r="I478" s="324" t="s">
        <v>4965</v>
      </c>
      <c r="J478" s="237">
        <v>1</v>
      </c>
      <c r="K478" s="237">
        <v>2</v>
      </c>
      <c r="L478" s="265" t="s">
        <v>208</v>
      </c>
      <c r="M478" s="266" t="s">
        <v>318</v>
      </c>
      <c r="N478" s="266" t="s">
        <v>2482</v>
      </c>
      <c r="O478" s="267" t="s">
        <v>2483</v>
      </c>
      <c r="P478" s="268" t="s">
        <v>447</v>
      </c>
      <c r="Q478" s="269">
        <v>496</v>
      </c>
      <c r="R478" s="269"/>
      <c r="S478" s="270"/>
      <c r="T478" s="182"/>
      <c r="U478" s="182">
        <v>1</v>
      </c>
      <c r="V478" s="408" t="s">
        <v>3064</v>
      </c>
      <c r="W478" s="357" t="s">
        <v>204</v>
      </c>
      <c r="X478" s="156">
        <v>3975600000</v>
      </c>
      <c r="Y478" s="417">
        <v>3975600000</v>
      </c>
      <c r="Z478" s="418" t="s">
        <v>534</v>
      </c>
      <c r="AA478" s="271"/>
      <c r="AB478" s="168"/>
      <c r="AC478" s="156"/>
      <c r="AD478" s="156"/>
      <c r="AE478" s="320" t="s">
        <v>3073</v>
      </c>
      <c r="AF478" s="168" t="s">
        <v>204</v>
      </c>
      <c r="AG478" s="156">
        <v>1210400000</v>
      </c>
      <c r="AH478" s="156">
        <v>1210400000</v>
      </c>
      <c r="AI478" s="410"/>
    </row>
    <row r="479" spans="1:35" ht="19.5" hidden="1" customHeight="1">
      <c r="A479" s="137"/>
      <c r="B479" s="197">
        <f t="shared" si="8"/>
        <v>469</v>
      </c>
      <c r="C479" s="30" t="s">
        <v>206</v>
      </c>
      <c r="D479" s="30" t="s">
        <v>359</v>
      </c>
      <c r="E479" s="234" t="s">
        <v>921</v>
      </c>
      <c r="F479" s="235" t="s">
        <v>1273</v>
      </c>
      <c r="G479" s="284">
        <f>IFERROR(VLOOKUP(E479,Assign!$C$2:$J$142,8,FALSE),)</f>
        <v>0</v>
      </c>
      <c r="H479" s="197" t="s">
        <v>4966</v>
      </c>
      <c r="I479" s="324" t="s">
        <v>4967</v>
      </c>
      <c r="J479" s="237">
        <v>2</v>
      </c>
      <c r="K479" s="237">
        <v>1</v>
      </c>
      <c r="L479" s="265" t="s">
        <v>208</v>
      </c>
      <c r="M479" s="266" t="s">
        <v>237</v>
      </c>
      <c r="N479" s="266" t="s">
        <v>331</v>
      </c>
      <c r="O479" s="267" t="s">
        <v>2484</v>
      </c>
      <c r="P479" s="268" t="s">
        <v>2485</v>
      </c>
      <c r="Q479" s="269">
        <v>21994.2</v>
      </c>
      <c r="R479" s="269">
        <f>23.6741+37.7381+23.5471</f>
        <v>84.959299999999999</v>
      </c>
      <c r="S479" s="270"/>
      <c r="T479" s="182">
        <f>201.9219/21994.2</f>
        <v>9.1806885451619063E-3</v>
      </c>
      <c r="U479" s="182">
        <v>1</v>
      </c>
      <c r="V479" s="408">
        <v>2</v>
      </c>
      <c r="W479" s="357" t="s">
        <v>204</v>
      </c>
      <c r="X479" s="156">
        <v>360000000</v>
      </c>
      <c r="Y479" s="417">
        <v>360000000</v>
      </c>
      <c r="Z479" s="418" t="s">
        <v>359</v>
      </c>
      <c r="AA479" s="271">
        <v>1</v>
      </c>
      <c r="AB479" s="168" t="s">
        <v>204</v>
      </c>
      <c r="AC479" s="156">
        <v>360000000</v>
      </c>
      <c r="AD479" s="156">
        <v>360000000</v>
      </c>
      <c r="AE479" s="320"/>
      <c r="AF479" s="168"/>
      <c r="AG479" s="156"/>
      <c r="AH479" s="156"/>
      <c r="AI479" s="410"/>
    </row>
    <row r="480" spans="1:35" ht="19.5" hidden="1" customHeight="1">
      <c r="A480" s="137"/>
      <c r="B480" s="197">
        <f t="shared" si="8"/>
        <v>470</v>
      </c>
      <c r="C480" s="30" t="s">
        <v>206</v>
      </c>
      <c r="D480" s="30" t="s">
        <v>359</v>
      </c>
      <c r="E480" s="234" t="s">
        <v>922</v>
      </c>
      <c r="F480" s="235" t="s">
        <v>1324</v>
      </c>
      <c r="G480" s="284">
        <f>IFERROR(VLOOKUP(E480,Assign!$C$2:$J$142,8,FALSE),)</f>
        <v>0</v>
      </c>
      <c r="H480" s="197" t="s">
        <v>5182</v>
      </c>
      <c r="I480" s="324" t="s">
        <v>5183</v>
      </c>
      <c r="J480" s="237">
        <v>1</v>
      </c>
      <c r="K480" s="237">
        <v>1</v>
      </c>
      <c r="L480" s="265" t="s">
        <v>208</v>
      </c>
      <c r="M480" s="266" t="s">
        <v>1703</v>
      </c>
      <c r="N480" s="266" t="s">
        <v>2686</v>
      </c>
      <c r="O480" s="267" t="s">
        <v>2687</v>
      </c>
      <c r="P480" s="268" t="s">
        <v>2688</v>
      </c>
      <c r="Q480" s="269"/>
      <c r="R480" s="269">
        <f>402.64+25+270</f>
        <v>697.64</v>
      </c>
      <c r="S480" s="270"/>
      <c r="T480" s="182"/>
      <c r="U480" s="182">
        <v>1</v>
      </c>
      <c r="V480" s="408">
        <v>1</v>
      </c>
      <c r="W480" s="357" t="s">
        <v>204</v>
      </c>
      <c r="X480" s="156">
        <v>1920000000</v>
      </c>
      <c r="Y480" s="417">
        <v>1920000000</v>
      </c>
      <c r="Z480" s="418" t="s">
        <v>359</v>
      </c>
      <c r="AA480" s="271"/>
      <c r="AB480" s="168"/>
      <c r="AC480" s="156"/>
      <c r="AD480" s="156"/>
      <c r="AE480" s="320"/>
      <c r="AF480" s="168"/>
      <c r="AG480" s="156"/>
      <c r="AH480" s="156"/>
      <c r="AI480" s="410"/>
    </row>
    <row r="481" spans="1:35" ht="19.5" hidden="1" customHeight="1">
      <c r="A481" s="137"/>
      <c r="B481" s="197">
        <f t="shared" si="8"/>
        <v>471</v>
      </c>
      <c r="C481" s="30" t="s">
        <v>206</v>
      </c>
      <c r="D481" s="30" t="s">
        <v>359</v>
      </c>
      <c r="E481" s="234" t="s">
        <v>922</v>
      </c>
      <c r="F481" s="235" t="s">
        <v>1324</v>
      </c>
      <c r="G481" s="284">
        <f>IFERROR(VLOOKUP(E481,Assign!$C$2:$J$142,8,FALSE),)</f>
        <v>0</v>
      </c>
      <c r="H481" s="197" t="s">
        <v>5182</v>
      </c>
      <c r="I481" s="324" t="s">
        <v>5184</v>
      </c>
      <c r="J481" s="237">
        <v>1</v>
      </c>
      <c r="K481" s="237">
        <v>2</v>
      </c>
      <c r="L481" s="265" t="s">
        <v>208</v>
      </c>
      <c r="M481" s="266" t="s">
        <v>1703</v>
      </c>
      <c r="N481" s="266" t="s">
        <v>2686</v>
      </c>
      <c r="O481" s="267" t="s">
        <v>2687</v>
      </c>
      <c r="P481" s="268" t="s">
        <v>450</v>
      </c>
      <c r="Q481" s="269">
        <v>1371</v>
      </c>
      <c r="R481" s="269"/>
      <c r="S481" s="270"/>
      <c r="T481" s="182"/>
      <c r="U481" s="182">
        <v>1</v>
      </c>
      <c r="V481" s="408">
        <v>1</v>
      </c>
      <c r="W481" s="357" t="s">
        <v>204</v>
      </c>
      <c r="X481" s="156">
        <v>1920000000</v>
      </c>
      <c r="Y481" s="417">
        <v>1920000000</v>
      </c>
      <c r="Z481" s="418" t="s">
        <v>359</v>
      </c>
      <c r="AA481" s="271"/>
      <c r="AB481" s="168"/>
      <c r="AC481" s="156"/>
      <c r="AD481" s="156"/>
      <c r="AE481" s="320"/>
      <c r="AF481" s="168"/>
      <c r="AG481" s="156"/>
      <c r="AH481" s="156"/>
      <c r="AI481" s="410"/>
    </row>
    <row r="482" spans="1:35" ht="19.5" hidden="1" customHeight="1">
      <c r="A482" s="137"/>
      <c r="B482" s="197">
        <f t="shared" si="8"/>
        <v>472</v>
      </c>
      <c r="C482" s="30" t="s">
        <v>206</v>
      </c>
      <c r="D482" s="30" t="s">
        <v>359</v>
      </c>
      <c r="E482" s="234" t="s">
        <v>922</v>
      </c>
      <c r="F482" s="235" t="s">
        <v>1324</v>
      </c>
      <c r="G482" s="284">
        <f>IFERROR(VLOOKUP(E482,Assign!$C$2:$J$142,8,FALSE),)</f>
        <v>0</v>
      </c>
      <c r="H482" s="197" t="s">
        <v>5185</v>
      </c>
      <c r="I482" s="324" t="s">
        <v>5186</v>
      </c>
      <c r="J482" s="237">
        <v>2</v>
      </c>
      <c r="K482" s="237">
        <v>1</v>
      </c>
      <c r="L482" s="265" t="s">
        <v>208</v>
      </c>
      <c r="M482" s="266" t="s">
        <v>391</v>
      </c>
      <c r="N482" s="266" t="s">
        <v>2689</v>
      </c>
      <c r="O482" s="267" t="s">
        <v>2690</v>
      </c>
      <c r="P482" s="268" t="s">
        <v>245</v>
      </c>
      <c r="Q482" s="269">
        <v>2708</v>
      </c>
      <c r="R482" s="269"/>
      <c r="S482" s="270" t="s">
        <v>335</v>
      </c>
      <c r="T482" s="182"/>
      <c r="U482" s="182">
        <v>1</v>
      </c>
      <c r="V482" s="408">
        <v>1</v>
      </c>
      <c r="W482" s="357" t="s">
        <v>204</v>
      </c>
      <c r="X482" s="156">
        <v>678000000</v>
      </c>
      <c r="Y482" s="417">
        <v>678000000</v>
      </c>
      <c r="Z482" s="418" t="s">
        <v>359</v>
      </c>
      <c r="AA482" s="271"/>
      <c r="AB482" s="168"/>
      <c r="AC482" s="156"/>
      <c r="AD482" s="156"/>
      <c r="AE482" s="320"/>
      <c r="AF482" s="168"/>
      <c r="AG482" s="156"/>
      <c r="AH482" s="156"/>
      <c r="AI482" s="410"/>
    </row>
    <row r="483" spans="1:35" ht="19.5" hidden="1" customHeight="1">
      <c r="A483" s="137"/>
      <c r="B483" s="197">
        <f t="shared" si="8"/>
        <v>473</v>
      </c>
      <c r="C483" s="30" t="s">
        <v>206</v>
      </c>
      <c r="D483" s="30" t="s">
        <v>359</v>
      </c>
      <c r="E483" s="234" t="s">
        <v>922</v>
      </c>
      <c r="F483" s="235" t="s">
        <v>1324</v>
      </c>
      <c r="G483" s="284">
        <f>IFERROR(VLOOKUP(E483,Assign!$C$2:$J$142,8,FALSE),)</f>
        <v>0</v>
      </c>
      <c r="H483" s="197" t="s">
        <v>5185</v>
      </c>
      <c r="I483" s="324" t="s">
        <v>5187</v>
      </c>
      <c r="J483" s="237">
        <v>2</v>
      </c>
      <c r="K483" s="237">
        <v>2</v>
      </c>
      <c r="L483" s="265" t="s">
        <v>208</v>
      </c>
      <c r="M483" s="266" t="s">
        <v>391</v>
      </c>
      <c r="N483" s="266" t="s">
        <v>2689</v>
      </c>
      <c r="O483" s="267" t="s">
        <v>2691</v>
      </c>
      <c r="P483" s="268" t="s">
        <v>245</v>
      </c>
      <c r="Q483" s="269">
        <v>179</v>
      </c>
      <c r="R483" s="269"/>
      <c r="S483" s="270" t="s">
        <v>335</v>
      </c>
      <c r="T483" s="182"/>
      <c r="U483" s="182">
        <v>1</v>
      </c>
      <c r="V483" s="408">
        <v>1</v>
      </c>
      <c r="W483" s="357" t="s">
        <v>204</v>
      </c>
      <c r="X483" s="156">
        <v>678000000</v>
      </c>
      <c r="Y483" s="417">
        <v>678000000</v>
      </c>
      <c r="Z483" s="418" t="s">
        <v>359</v>
      </c>
      <c r="AA483" s="271"/>
      <c r="AB483" s="168"/>
      <c r="AC483" s="156"/>
      <c r="AD483" s="156"/>
      <c r="AE483" s="320"/>
      <c r="AF483" s="168"/>
      <c r="AG483" s="156"/>
      <c r="AH483" s="156"/>
      <c r="AI483" s="410"/>
    </row>
    <row r="484" spans="1:35" ht="19.5" hidden="1" customHeight="1">
      <c r="A484" s="137"/>
      <c r="B484" s="197">
        <f t="shared" si="8"/>
        <v>474</v>
      </c>
      <c r="C484" s="30" t="s">
        <v>206</v>
      </c>
      <c r="D484" s="30" t="s">
        <v>359</v>
      </c>
      <c r="E484" s="234" t="s">
        <v>923</v>
      </c>
      <c r="F484" s="235" t="s">
        <v>1325</v>
      </c>
      <c r="G484" s="284">
        <f>IFERROR(VLOOKUP(E484,Assign!$C$2:$J$142,8,FALSE),)</f>
        <v>0</v>
      </c>
      <c r="H484" s="197" t="s">
        <v>5040</v>
      </c>
      <c r="I484" s="324" t="s">
        <v>5041</v>
      </c>
      <c r="J484" s="237">
        <v>1</v>
      </c>
      <c r="K484" s="237">
        <v>1</v>
      </c>
      <c r="L484" s="265" t="s">
        <v>212</v>
      </c>
      <c r="M484" s="266" t="s">
        <v>309</v>
      </c>
      <c r="N484" s="266" t="s">
        <v>328</v>
      </c>
      <c r="O484" s="267" t="s">
        <v>2559</v>
      </c>
      <c r="P484" s="268" t="s">
        <v>2560</v>
      </c>
      <c r="Q484" s="269">
        <v>5872.1</v>
      </c>
      <c r="R484" s="269">
        <v>301.76</v>
      </c>
      <c r="S484" s="270"/>
      <c r="T484" s="182">
        <f>195.04/5872.1</f>
        <v>3.3214693210265489E-2</v>
      </c>
      <c r="U484" s="182">
        <v>1</v>
      </c>
      <c r="V484" s="408" t="s">
        <v>381</v>
      </c>
      <c r="W484" s="357" t="s">
        <v>204</v>
      </c>
      <c r="X484" s="156">
        <v>936000000</v>
      </c>
      <c r="Y484" s="417">
        <v>936000000</v>
      </c>
      <c r="Z484" s="418" t="s">
        <v>534</v>
      </c>
      <c r="AA484" s="271"/>
      <c r="AB484" s="168"/>
      <c r="AC484" s="156"/>
      <c r="AD484" s="156"/>
      <c r="AE484" s="320">
        <v>2</v>
      </c>
      <c r="AF484" s="168" t="s">
        <v>204</v>
      </c>
      <c r="AG484" s="156">
        <v>240000000</v>
      </c>
      <c r="AH484" s="156">
        <v>240000000</v>
      </c>
      <c r="AI484" s="410"/>
    </row>
    <row r="485" spans="1:35" ht="19.5" hidden="1" customHeight="1">
      <c r="A485" s="137"/>
      <c r="B485" s="197">
        <f t="shared" si="8"/>
        <v>475</v>
      </c>
      <c r="C485" s="30" t="s">
        <v>206</v>
      </c>
      <c r="D485" s="30" t="s">
        <v>359</v>
      </c>
      <c r="E485" s="234" t="s">
        <v>923</v>
      </c>
      <c r="F485" s="235" t="s">
        <v>1325</v>
      </c>
      <c r="G485" s="284">
        <f>IFERROR(VLOOKUP(E485,Assign!$C$2:$J$142,8,FALSE),)</f>
        <v>0</v>
      </c>
      <c r="H485" s="197" t="s">
        <v>5042</v>
      </c>
      <c r="I485" s="324" t="s">
        <v>5043</v>
      </c>
      <c r="J485" s="237">
        <v>2</v>
      </c>
      <c r="K485" s="237">
        <v>1</v>
      </c>
      <c r="L485" s="265" t="s">
        <v>212</v>
      </c>
      <c r="M485" s="266" t="s">
        <v>309</v>
      </c>
      <c r="N485" s="266" t="s">
        <v>328</v>
      </c>
      <c r="O485" s="267" t="s">
        <v>2561</v>
      </c>
      <c r="P485" s="268" t="s">
        <v>2562</v>
      </c>
      <c r="Q485" s="269">
        <v>31938.1</v>
      </c>
      <c r="R485" s="269">
        <v>95.87</v>
      </c>
      <c r="S485" s="270"/>
      <c r="T485" s="182">
        <f>42.4214/31938.1</f>
        <v>1.3282380604982763E-3</v>
      </c>
      <c r="U485" s="182">
        <v>1</v>
      </c>
      <c r="V485" s="408" t="s">
        <v>3065</v>
      </c>
      <c r="W485" s="357" t="s">
        <v>204</v>
      </c>
      <c r="X485" s="156">
        <v>220000000</v>
      </c>
      <c r="Y485" s="417">
        <v>220000000</v>
      </c>
      <c r="Z485" s="418" t="s">
        <v>534</v>
      </c>
      <c r="AA485" s="271">
        <v>1</v>
      </c>
      <c r="AB485" s="168" t="s">
        <v>204</v>
      </c>
      <c r="AC485" s="156">
        <v>495000000</v>
      </c>
      <c r="AD485" s="156">
        <v>495000000</v>
      </c>
      <c r="AE485" s="320" t="s">
        <v>563</v>
      </c>
      <c r="AF485" s="168" t="s">
        <v>204</v>
      </c>
      <c r="AG485" s="156">
        <v>278400000</v>
      </c>
      <c r="AH485" s="156">
        <v>278400000</v>
      </c>
      <c r="AI485" s="410"/>
    </row>
    <row r="486" spans="1:35" ht="19.5" hidden="1" customHeight="1">
      <c r="A486" s="137"/>
      <c r="B486" s="197">
        <f t="shared" si="8"/>
        <v>476</v>
      </c>
      <c r="C486" s="30" t="s">
        <v>206</v>
      </c>
      <c r="D486" s="30" t="s">
        <v>359</v>
      </c>
      <c r="E486" s="234" t="s">
        <v>923</v>
      </c>
      <c r="F486" s="235" t="s">
        <v>1325</v>
      </c>
      <c r="G486" s="284">
        <f>IFERROR(VLOOKUP(E486,Assign!$C$2:$J$142,8,FALSE),)</f>
        <v>0</v>
      </c>
      <c r="H486" s="197" t="s">
        <v>5044</v>
      </c>
      <c r="I486" s="324" t="s">
        <v>5045</v>
      </c>
      <c r="J486" s="237">
        <v>3</v>
      </c>
      <c r="K486" s="237">
        <v>1</v>
      </c>
      <c r="L486" s="265" t="s">
        <v>212</v>
      </c>
      <c r="M486" s="266" t="s">
        <v>294</v>
      </c>
      <c r="N486" s="266" t="s">
        <v>279</v>
      </c>
      <c r="O486" s="267" t="s">
        <v>2563</v>
      </c>
      <c r="P486" s="268" t="s">
        <v>474</v>
      </c>
      <c r="Q486" s="269">
        <v>73895.600000000006</v>
      </c>
      <c r="R486" s="269">
        <v>101.7629</v>
      </c>
      <c r="S486" s="270"/>
      <c r="T486" s="182">
        <f>49.8337/73895.6</f>
        <v>6.7437980069178676E-4</v>
      </c>
      <c r="U486" s="182">
        <v>1</v>
      </c>
      <c r="V486" s="408">
        <v>2</v>
      </c>
      <c r="W486" s="357" t="s">
        <v>204</v>
      </c>
      <c r="X486" s="156">
        <v>100000000</v>
      </c>
      <c r="Y486" s="417">
        <v>100000000</v>
      </c>
      <c r="Z486" s="418" t="s">
        <v>359</v>
      </c>
      <c r="AA486" s="271">
        <v>1</v>
      </c>
      <c r="AB486" s="168" t="s">
        <v>204</v>
      </c>
      <c r="AC486" s="156">
        <v>110770000</v>
      </c>
      <c r="AD486" s="156">
        <v>110770000</v>
      </c>
      <c r="AE486" s="320"/>
      <c r="AF486" s="168"/>
      <c r="AG486" s="156"/>
      <c r="AH486" s="156"/>
      <c r="AI486" s="410"/>
    </row>
    <row r="487" spans="1:35" ht="19.5" customHeight="1">
      <c r="A487" s="137"/>
      <c r="B487" s="197">
        <f t="shared" si="8"/>
        <v>477</v>
      </c>
      <c r="C487" s="30" t="s">
        <v>206</v>
      </c>
      <c r="D487" s="30" t="s">
        <v>359</v>
      </c>
      <c r="E487" s="234" t="s">
        <v>924</v>
      </c>
      <c r="F487" s="235" t="s">
        <v>1247</v>
      </c>
      <c r="G487" s="284" t="str">
        <f>IFERROR(VLOOKUP(E487,Assign!$C$2:$J$142,8,FALSE),)</f>
        <v>문선영</v>
      </c>
      <c r="H487" s="197" t="s">
        <v>4048</v>
      </c>
      <c r="I487" s="324" t="s">
        <v>4049</v>
      </c>
      <c r="J487" s="237">
        <v>1</v>
      </c>
      <c r="K487" s="237">
        <v>1</v>
      </c>
      <c r="L487" s="265" t="s">
        <v>215</v>
      </c>
      <c r="M487" s="266" t="s">
        <v>311</v>
      </c>
      <c r="N487" s="266" t="s">
        <v>1624</v>
      </c>
      <c r="O487" s="267" t="s">
        <v>1625</v>
      </c>
      <c r="P487" s="268" t="s">
        <v>3544</v>
      </c>
      <c r="Q487" s="269">
        <v>39905</v>
      </c>
      <c r="R487" s="269">
        <v>170.85509999999999</v>
      </c>
      <c r="S487" s="270"/>
      <c r="T487" s="182">
        <f>24.6511/39905</f>
        <v>6.1774464352837993E-4</v>
      </c>
      <c r="U487" s="182">
        <v>1</v>
      </c>
      <c r="V487" s="408" t="s">
        <v>229</v>
      </c>
      <c r="W487" s="357" t="s">
        <v>204</v>
      </c>
      <c r="X487" s="156">
        <v>1164000000</v>
      </c>
      <c r="Y487" s="417">
        <v>1164000000</v>
      </c>
      <c r="Z487" s="418" t="s">
        <v>359</v>
      </c>
      <c r="AA487" s="271"/>
      <c r="AB487" s="168"/>
      <c r="AC487" s="156"/>
      <c r="AD487" s="156"/>
      <c r="AE487" s="320"/>
      <c r="AF487" s="168"/>
      <c r="AG487" s="156"/>
      <c r="AH487" s="156"/>
      <c r="AI487" s="410"/>
    </row>
    <row r="488" spans="1:35" ht="19.5" hidden="1" customHeight="1">
      <c r="A488" s="137"/>
      <c r="B488" s="197">
        <f t="shared" si="8"/>
        <v>478</v>
      </c>
      <c r="C488" s="30" t="s">
        <v>206</v>
      </c>
      <c r="D488" s="30" t="s">
        <v>359</v>
      </c>
      <c r="E488" s="234" t="s">
        <v>925</v>
      </c>
      <c r="F488" s="235" t="s">
        <v>1326</v>
      </c>
      <c r="G488" s="284">
        <f>IFERROR(VLOOKUP(E488,Assign!$C$2:$J$142,8,FALSE),)</f>
        <v>0</v>
      </c>
      <c r="H488" s="197" t="s">
        <v>5394</v>
      </c>
      <c r="I488" s="324" t="s">
        <v>5395</v>
      </c>
      <c r="J488" s="237">
        <v>1</v>
      </c>
      <c r="K488" s="237">
        <v>1</v>
      </c>
      <c r="L488" s="265" t="s">
        <v>208</v>
      </c>
      <c r="M488" s="266" t="s">
        <v>269</v>
      </c>
      <c r="N488" s="266" t="s">
        <v>2380</v>
      </c>
      <c r="O488" s="267" t="s">
        <v>2870</v>
      </c>
      <c r="P488" s="268" t="s">
        <v>2871</v>
      </c>
      <c r="Q488" s="269">
        <v>27718.9</v>
      </c>
      <c r="R488" s="269">
        <v>171.11</v>
      </c>
      <c r="S488" s="270"/>
      <c r="T488" s="182">
        <f>65.531/27718.9</f>
        <v>2.3641270035968239E-3</v>
      </c>
      <c r="U488" s="182">
        <v>1</v>
      </c>
      <c r="V488" s="408">
        <v>1</v>
      </c>
      <c r="W488" s="357" t="s">
        <v>204</v>
      </c>
      <c r="X488" s="156">
        <v>360000000</v>
      </c>
      <c r="Y488" s="417">
        <v>360000000</v>
      </c>
      <c r="Z488" s="418" t="s">
        <v>359</v>
      </c>
      <c r="AA488" s="271"/>
      <c r="AB488" s="168"/>
      <c r="AC488" s="156"/>
      <c r="AD488" s="156"/>
      <c r="AE488" s="320"/>
      <c r="AF488" s="168"/>
      <c r="AG488" s="156"/>
      <c r="AH488" s="156"/>
      <c r="AI488" s="410"/>
    </row>
    <row r="489" spans="1:35" ht="19.5" customHeight="1">
      <c r="A489" s="137"/>
      <c r="B489" s="197">
        <f t="shared" si="8"/>
        <v>479</v>
      </c>
      <c r="C489" s="30" t="s">
        <v>206</v>
      </c>
      <c r="D489" s="30" t="s">
        <v>359</v>
      </c>
      <c r="E489" s="234" t="s">
        <v>926</v>
      </c>
      <c r="F489" s="235" t="s">
        <v>1225</v>
      </c>
      <c r="G489" s="284" t="str">
        <f>IFERROR(VLOOKUP(E489,Assign!$C$2:$J$142,8,FALSE),)</f>
        <v>문선영</v>
      </c>
      <c r="H489" s="197" t="s">
        <v>5557</v>
      </c>
      <c r="I489" s="324" t="s">
        <v>5558</v>
      </c>
      <c r="J489" s="237">
        <v>1</v>
      </c>
      <c r="K489" s="237">
        <v>1</v>
      </c>
      <c r="L489" s="265" t="s">
        <v>213</v>
      </c>
      <c r="M489" s="266" t="s">
        <v>1840</v>
      </c>
      <c r="N489" s="266" t="s">
        <v>3027</v>
      </c>
      <c r="O489" s="267" t="s">
        <v>3028</v>
      </c>
      <c r="P489" s="268" t="s">
        <v>439</v>
      </c>
      <c r="Q489" s="269">
        <v>22418</v>
      </c>
      <c r="R489" s="269">
        <v>122.74</v>
      </c>
      <c r="S489" s="270"/>
      <c r="T489" s="182">
        <f>3661/2241800</f>
        <v>1.6330627174591845E-3</v>
      </c>
      <c r="U489" s="182">
        <v>1</v>
      </c>
      <c r="V489" s="408">
        <v>1</v>
      </c>
      <c r="W489" s="357" t="s">
        <v>204</v>
      </c>
      <c r="X489" s="156">
        <v>276000000</v>
      </c>
      <c r="Y489" s="417">
        <v>276000000</v>
      </c>
      <c r="Z489" s="418" t="s">
        <v>359</v>
      </c>
      <c r="AA489" s="271"/>
      <c r="AB489" s="168"/>
      <c r="AC489" s="156"/>
      <c r="AD489" s="156"/>
      <c r="AE489" s="320"/>
      <c r="AF489" s="168"/>
      <c r="AG489" s="156"/>
      <c r="AH489" s="156"/>
      <c r="AI489" s="410"/>
    </row>
    <row r="490" spans="1:35" ht="19.5" hidden="1" customHeight="1">
      <c r="A490" s="137"/>
      <c r="B490" s="197">
        <f t="shared" si="8"/>
        <v>480</v>
      </c>
      <c r="C490" s="30" t="s">
        <v>206</v>
      </c>
      <c r="D490" s="30" t="s">
        <v>359</v>
      </c>
      <c r="E490" s="234" t="s">
        <v>927</v>
      </c>
      <c r="F490" s="235" t="s">
        <v>1232</v>
      </c>
      <c r="G490" s="284">
        <f>IFERROR(VLOOKUP(E490,Assign!$C$2:$J$142,8,FALSE),)</f>
        <v>0</v>
      </c>
      <c r="H490" s="197" t="s">
        <v>5555</v>
      </c>
      <c r="I490" s="324" t="s">
        <v>5556</v>
      </c>
      <c r="J490" s="237">
        <v>1</v>
      </c>
      <c r="K490" s="237">
        <v>1</v>
      </c>
      <c r="L490" s="265" t="s">
        <v>208</v>
      </c>
      <c r="M490" s="266" t="s">
        <v>237</v>
      </c>
      <c r="N490" s="266" t="s">
        <v>238</v>
      </c>
      <c r="O490" s="267" t="s">
        <v>3026</v>
      </c>
      <c r="P490" s="268" t="s">
        <v>433</v>
      </c>
      <c r="Q490" s="269">
        <v>5513.5</v>
      </c>
      <c r="R490" s="269">
        <v>84.984200000000001</v>
      </c>
      <c r="S490" s="270"/>
      <c r="T490" s="182">
        <f>29.5123/5513.5</f>
        <v>5.3527341978779359E-3</v>
      </c>
      <c r="U490" s="182">
        <v>1</v>
      </c>
      <c r="V490" s="408">
        <v>1</v>
      </c>
      <c r="W490" s="357" t="s">
        <v>204</v>
      </c>
      <c r="X490" s="156">
        <v>234400000</v>
      </c>
      <c r="Y490" s="417">
        <v>234400000</v>
      </c>
      <c r="Z490" s="418" t="s">
        <v>359</v>
      </c>
      <c r="AA490" s="271"/>
      <c r="AB490" s="168"/>
      <c r="AC490" s="156"/>
      <c r="AD490" s="156"/>
      <c r="AE490" s="320"/>
      <c r="AF490" s="168"/>
      <c r="AG490" s="156"/>
      <c r="AH490" s="156"/>
      <c r="AI490" s="410"/>
    </row>
    <row r="491" spans="1:35" ht="19.5" customHeight="1">
      <c r="A491" s="137"/>
      <c r="B491" s="197">
        <f t="shared" si="8"/>
        <v>481</v>
      </c>
      <c r="C491" s="30" t="s">
        <v>206</v>
      </c>
      <c r="D491" s="30" t="s">
        <v>359</v>
      </c>
      <c r="E491" s="234" t="s">
        <v>7148</v>
      </c>
      <c r="F491" s="235" t="s">
        <v>7149</v>
      </c>
      <c r="G491" s="284" t="str">
        <f>IFERROR(VLOOKUP(E491,Assign!$C$2:$J$142,8,FALSE),)</f>
        <v>문선영</v>
      </c>
      <c r="H491" s="197" t="s">
        <v>5582</v>
      </c>
      <c r="I491" s="324" t="s">
        <v>5583</v>
      </c>
      <c r="J491" s="237">
        <v>1</v>
      </c>
      <c r="K491" s="237">
        <v>1</v>
      </c>
      <c r="L491" s="265" t="s">
        <v>208</v>
      </c>
      <c r="M491" s="266" t="s">
        <v>266</v>
      </c>
      <c r="N491" s="266" t="s">
        <v>2805</v>
      </c>
      <c r="O491" s="267" t="s">
        <v>3701</v>
      </c>
      <c r="P491" s="268" t="s">
        <v>3718</v>
      </c>
      <c r="Q491" s="269">
        <v>12695.8</v>
      </c>
      <c r="R491" s="269">
        <v>211.23</v>
      </c>
      <c r="S491" s="270"/>
      <c r="T491" s="182">
        <v>4.459635469997952E-3</v>
      </c>
      <c r="U491" s="182">
        <v>1</v>
      </c>
      <c r="V491" s="408" t="s">
        <v>229</v>
      </c>
      <c r="W491" s="357" t="s">
        <v>204</v>
      </c>
      <c r="X491" s="156">
        <v>624000000</v>
      </c>
      <c r="Y491" s="417">
        <v>624000000</v>
      </c>
      <c r="Z491" s="418" t="s">
        <v>359</v>
      </c>
      <c r="AA491" s="271"/>
      <c r="AB491" s="168"/>
      <c r="AC491" s="156"/>
      <c r="AD491" s="156"/>
      <c r="AE491" s="320"/>
      <c r="AF491" s="168"/>
      <c r="AG491" s="156"/>
      <c r="AH491" s="156"/>
      <c r="AI491" s="410"/>
    </row>
    <row r="492" spans="1:35" ht="19.5" customHeight="1">
      <c r="A492" s="137"/>
      <c r="B492" s="197">
        <f t="shared" si="8"/>
        <v>482</v>
      </c>
      <c r="C492" s="30" t="s">
        <v>206</v>
      </c>
      <c r="D492" s="30" t="s">
        <v>359</v>
      </c>
      <c r="E492" s="234" t="s">
        <v>7148</v>
      </c>
      <c r="F492" s="235" t="s">
        <v>7149</v>
      </c>
      <c r="G492" s="284" t="str">
        <f>IFERROR(VLOOKUP(E492,Assign!$C$2:$J$142,8,FALSE),)</f>
        <v>문선영</v>
      </c>
      <c r="H492" s="197" t="s">
        <v>5584</v>
      </c>
      <c r="I492" s="324" t="s">
        <v>5585</v>
      </c>
      <c r="J492" s="237">
        <v>2</v>
      </c>
      <c r="K492" s="237">
        <v>1</v>
      </c>
      <c r="L492" s="265" t="s">
        <v>208</v>
      </c>
      <c r="M492" s="266" t="s">
        <v>325</v>
      </c>
      <c r="N492" s="266" t="s">
        <v>3702</v>
      </c>
      <c r="O492" s="267" t="s">
        <v>3703</v>
      </c>
      <c r="P492" s="268" t="s">
        <v>435</v>
      </c>
      <c r="Q492" s="269">
        <v>26100.2</v>
      </c>
      <c r="R492" s="269">
        <v>134.583</v>
      </c>
      <c r="S492" s="270"/>
      <c r="T492" s="182">
        <v>2.6382633083271391E-3</v>
      </c>
      <c r="U492" s="182">
        <v>1</v>
      </c>
      <c r="V492" s="408">
        <v>2</v>
      </c>
      <c r="W492" s="357" t="s">
        <v>204</v>
      </c>
      <c r="X492" s="156">
        <v>480000000</v>
      </c>
      <c r="Y492" s="417">
        <v>480000000</v>
      </c>
      <c r="Z492" s="418" t="s">
        <v>359</v>
      </c>
      <c r="AA492" s="271">
        <v>1</v>
      </c>
      <c r="AB492" s="168" t="s">
        <v>3719</v>
      </c>
      <c r="AC492" s="156">
        <v>99000000</v>
      </c>
      <c r="AD492" s="156">
        <v>99000000</v>
      </c>
      <c r="AE492" s="320"/>
      <c r="AF492" s="168"/>
      <c r="AG492" s="156"/>
      <c r="AH492" s="156"/>
      <c r="AI492" s="410"/>
    </row>
    <row r="493" spans="1:35" ht="19.5" hidden="1" customHeight="1">
      <c r="A493" s="137"/>
      <c r="B493" s="197">
        <f t="shared" si="8"/>
        <v>483</v>
      </c>
      <c r="C493" s="30" t="s">
        <v>202</v>
      </c>
      <c r="D493" s="30" t="s">
        <v>225</v>
      </c>
      <c r="E493" s="234" t="s">
        <v>928</v>
      </c>
      <c r="F493" s="235" t="s">
        <v>1327</v>
      </c>
      <c r="G493" s="284">
        <f>IFERROR(VLOOKUP(E493,Assign!$C$2:$J$142,8,FALSE),)</f>
        <v>0</v>
      </c>
      <c r="H493" s="197" t="s">
        <v>5436</v>
      </c>
      <c r="I493" s="324" t="s">
        <v>5437</v>
      </c>
      <c r="J493" s="237">
        <v>1</v>
      </c>
      <c r="K493" s="237">
        <v>1</v>
      </c>
      <c r="L493" s="265" t="s">
        <v>214</v>
      </c>
      <c r="M493" s="266" t="s">
        <v>326</v>
      </c>
      <c r="N493" s="266" t="s">
        <v>2911</v>
      </c>
      <c r="O493" s="267" t="s">
        <v>2912</v>
      </c>
      <c r="P493" s="268" t="s">
        <v>2913</v>
      </c>
      <c r="Q493" s="269"/>
      <c r="R493" s="269">
        <f>4059.08+871.49+1163.1+1163.1+1257.39</f>
        <v>8514.16</v>
      </c>
      <c r="S493" s="270"/>
      <c r="T493" s="182"/>
      <c r="U493" s="182">
        <v>1</v>
      </c>
      <c r="V493" s="408" t="s">
        <v>418</v>
      </c>
      <c r="W493" s="357" t="s">
        <v>204</v>
      </c>
      <c r="X493" s="156">
        <v>10800000000</v>
      </c>
      <c r="Y493" s="417">
        <v>10800000000</v>
      </c>
      <c r="Z493" s="418" t="s">
        <v>359</v>
      </c>
      <c r="AA493" s="271" t="s">
        <v>418</v>
      </c>
      <c r="AB493" s="168" t="s">
        <v>204</v>
      </c>
      <c r="AC493" s="156">
        <v>18750000000</v>
      </c>
      <c r="AD493" s="156">
        <v>18750000000</v>
      </c>
      <c r="AE493" s="320"/>
      <c r="AF493" s="168"/>
      <c r="AG493" s="156"/>
      <c r="AH493" s="156"/>
      <c r="AI493" s="410"/>
    </row>
    <row r="494" spans="1:35" ht="19.5" hidden="1" customHeight="1">
      <c r="A494" s="137"/>
      <c r="B494" s="197">
        <f t="shared" si="8"/>
        <v>484</v>
      </c>
      <c r="C494" s="30" t="s">
        <v>202</v>
      </c>
      <c r="D494" s="30" t="s">
        <v>225</v>
      </c>
      <c r="E494" s="234" t="s">
        <v>928</v>
      </c>
      <c r="F494" s="235" t="s">
        <v>1327</v>
      </c>
      <c r="G494" s="284">
        <f>IFERROR(VLOOKUP(E494,Assign!$C$2:$J$142,8,FALSE),)</f>
        <v>0</v>
      </c>
      <c r="H494" s="197" t="s">
        <v>5436</v>
      </c>
      <c r="I494" s="324" t="s">
        <v>5438</v>
      </c>
      <c r="J494" s="237">
        <v>1</v>
      </c>
      <c r="K494" s="237">
        <v>2</v>
      </c>
      <c r="L494" s="265" t="s">
        <v>214</v>
      </c>
      <c r="M494" s="266" t="s">
        <v>326</v>
      </c>
      <c r="N494" s="266" t="s">
        <v>2911</v>
      </c>
      <c r="O494" s="267" t="s">
        <v>2914</v>
      </c>
      <c r="P494" s="268" t="s">
        <v>245</v>
      </c>
      <c r="Q494" s="269">
        <v>14880</v>
      </c>
      <c r="R494" s="269"/>
      <c r="S494" s="270"/>
      <c r="T494" s="182"/>
      <c r="U494" s="182">
        <v>1</v>
      </c>
      <c r="V494" s="408" t="s">
        <v>418</v>
      </c>
      <c r="W494" s="357" t="s">
        <v>204</v>
      </c>
      <c r="X494" s="156">
        <v>10800000000</v>
      </c>
      <c r="Y494" s="417">
        <v>10800000000</v>
      </c>
      <c r="Z494" s="418" t="s">
        <v>359</v>
      </c>
      <c r="AA494" s="271" t="s">
        <v>418</v>
      </c>
      <c r="AB494" s="168" t="s">
        <v>204</v>
      </c>
      <c r="AC494" s="156">
        <v>18750000000</v>
      </c>
      <c r="AD494" s="156">
        <v>18750000000</v>
      </c>
      <c r="AE494" s="320"/>
      <c r="AF494" s="168"/>
      <c r="AG494" s="156"/>
      <c r="AH494" s="156"/>
      <c r="AI494" s="410"/>
    </row>
    <row r="495" spans="1:35" ht="19.5" hidden="1" customHeight="1">
      <c r="A495" s="137"/>
      <c r="B495" s="197">
        <f t="shared" si="8"/>
        <v>485</v>
      </c>
      <c r="C495" s="30" t="s">
        <v>202</v>
      </c>
      <c r="D495" s="30" t="s">
        <v>225</v>
      </c>
      <c r="E495" s="234" t="s">
        <v>928</v>
      </c>
      <c r="F495" s="235" t="s">
        <v>1327</v>
      </c>
      <c r="G495" s="284">
        <f>IFERROR(VLOOKUP(E495,Assign!$C$2:$J$142,8,FALSE),)</f>
        <v>0</v>
      </c>
      <c r="H495" s="197" t="s">
        <v>5436</v>
      </c>
      <c r="I495" s="324" t="s">
        <v>5439</v>
      </c>
      <c r="J495" s="237">
        <v>1</v>
      </c>
      <c r="K495" s="237">
        <v>3</v>
      </c>
      <c r="L495" s="265" t="s">
        <v>214</v>
      </c>
      <c r="M495" s="266" t="s">
        <v>326</v>
      </c>
      <c r="N495" s="266" t="s">
        <v>2911</v>
      </c>
      <c r="O495" s="267" t="s">
        <v>2915</v>
      </c>
      <c r="P495" s="268" t="s">
        <v>2891</v>
      </c>
      <c r="Q495" s="269">
        <v>4476</v>
      </c>
      <c r="R495" s="269"/>
      <c r="S495" s="270"/>
      <c r="T495" s="182"/>
      <c r="U495" s="182">
        <v>1</v>
      </c>
      <c r="V495" s="408" t="s">
        <v>418</v>
      </c>
      <c r="W495" s="357" t="s">
        <v>204</v>
      </c>
      <c r="X495" s="156">
        <v>10800000000</v>
      </c>
      <c r="Y495" s="417">
        <v>10800000000</v>
      </c>
      <c r="Z495" s="418" t="s">
        <v>359</v>
      </c>
      <c r="AA495" s="271" t="s">
        <v>418</v>
      </c>
      <c r="AB495" s="168" t="s">
        <v>204</v>
      </c>
      <c r="AC495" s="156">
        <v>18750000000</v>
      </c>
      <c r="AD495" s="156">
        <v>18750000000</v>
      </c>
      <c r="AE495" s="320"/>
      <c r="AF495" s="168"/>
      <c r="AG495" s="156"/>
      <c r="AH495" s="156"/>
      <c r="AI495" s="410"/>
    </row>
    <row r="496" spans="1:35" ht="19.5" hidden="1" customHeight="1">
      <c r="A496" s="137"/>
      <c r="B496" s="197">
        <f t="shared" si="8"/>
        <v>486</v>
      </c>
      <c r="C496" s="30" t="s">
        <v>202</v>
      </c>
      <c r="D496" s="30" t="s">
        <v>225</v>
      </c>
      <c r="E496" s="234" t="s">
        <v>928</v>
      </c>
      <c r="F496" s="235" t="s">
        <v>1327</v>
      </c>
      <c r="G496" s="284">
        <f>IFERROR(VLOOKUP(E496,Assign!$C$2:$J$142,8,FALSE),)</f>
        <v>0</v>
      </c>
      <c r="H496" s="197" t="s">
        <v>5436</v>
      </c>
      <c r="I496" s="324" t="s">
        <v>5440</v>
      </c>
      <c r="J496" s="237">
        <v>1</v>
      </c>
      <c r="K496" s="237">
        <v>4</v>
      </c>
      <c r="L496" s="265" t="s">
        <v>214</v>
      </c>
      <c r="M496" s="266" t="s">
        <v>326</v>
      </c>
      <c r="N496" s="266" t="s">
        <v>2911</v>
      </c>
      <c r="O496" s="267" t="s">
        <v>2916</v>
      </c>
      <c r="P496" s="268" t="s">
        <v>352</v>
      </c>
      <c r="Q496" s="269">
        <v>1900</v>
      </c>
      <c r="R496" s="269"/>
      <c r="S496" s="270"/>
      <c r="T496" s="182"/>
      <c r="U496" s="182">
        <v>1</v>
      </c>
      <c r="V496" s="408" t="s">
        <v>418</v>
      </c>
      <c r="W496" s="357" t="s">
        <v>204</v>
      </c>
      <c r="X496" s="156">
        <v>10800000000</v>
      </c>
      <c r="Y496" s="417">
        <v>10800000000</v>
      </c>
      <c r="Z496" s="418" t="s">
        <v>359</v>
      </c>
      <c r="AA496" s="271" t="s">
        <v>418</v>
      </c>
      <c r="AB496" s="168" t="s">
        <v>204</v>
      </c>
      <c r="AC496" s="156">
        <v>18750000000</v>
      </c>
      <c r="AD496" s="156">
        <v>18750000000</v>
      </c>
      <c r="AE496" s="320"/>
      <c r="AF496" s="168"/>
      <c r="AG496" s="156"/>
      <c r="AH496" s="156"/>
      <c r="AI496" s="410"/>
    </row>
    <row r="497" spans="1:35" ht="19.5" hidden="1" customHeight="1">
      <c r="A497" s="137"/>
      <c r="B497" s="197">
        <f t="shared" si="8"/>
        <v>487</v>
      </c>
      <c r="C497" s="30" t="s">
        <v>202</v>
      </c>
      <c r="D497" s="30" t="s">
        <v>225</v>
      </c>
      <c r="E497" s="234" t="s">
        <v>928</v>
      </c>
      <c r="F497" s="235" t="s">
        <v>1327</v>
      </c>
      <c r="G497" s="284">
        <f>IFERROR(VLOOKUP(E497,Assign!$C$2:$J$142,8,FALSE),)</f>
        <v>0</v>
      </c>
      <c r="H497" s="197" t="s">
        <v>5436</v>
      </c>
      <c r="I497" s="324" t="s">
        <v>5441</v>
      </c>
      <c r="J497" s="237">
        <v>1</v>
      </c>
      <c r="K497" s="237">
        <v>5</v>
      </c>
      <c r="L497" s="265" t="s">
        <v>214</v>
      </c>
      <c r="M497" s="266" t="s">
        <v>326</v>
      </c>
      <c r="N497" s="266" t="s">
        <v>2911</v>
      </c>
      <c r="O497" s="267" t="s">
        <v>2917</v>
      </c>
      <c r="P497" s="268" t="s">
        <v>245</v>
      </c>
      <c r="Q497" s="269">
        <v>364</v>
      </c>
      <c r="R497" s="269"/>
      <c r="S497" s="270"/>
      <c r="T497" s="182"/>
      <c r="U497" s="182">
        <v>1</v>
      </c>
      <c r="V497" s="408" t="s">
        <v>418</v>
      </c>
      <c r="W497" s="357" t="s">
        <v>204</v>
      </c>
      <c r="X497" s="156">
        <v>10800000000</v>
      </c>
      <c r="Y497" s="417">
        <v>10800000000</v>
      </c>
      <c r="Z497" s="418" t="s">
        <v>359</v>
      </c>
      <c r="AA497" s="271" t="s">
        <v>418</v>
      </c>
      <c r="AB497" s="168" t="s">
        <v>204</v>
      </c>
      <c r="AC497" s="156">
        <v>18750000000</v>
      </c>
      <c r="AD497" s="156">
        <v>18750000000</v>
      </c>
      <c r="AE497" s="320"/>
      <c r="AF497" s="168"/>
      <c r="AG497" s="156"/>
      <c r="AH497" s="156"/>
      <c r="AI497" s="410"/>
    </row>
    <row r="498" spans="1:35" ht="19.5" hidden="1" customHeight="1">
      <c r="A498" s="137"/>
      <c r="B498" s="197">
        <f t="shared" si="8"/>
        <v>488</v>
      </c>
      <c r="C498" s="30" t="s">
        <v>202</v>
      </c>
      <c r="D498" s="30" t="s">
        <v>225</v>
      </c>
      <c r="E498" s="234" t="s">
        <v>928</v>
      </c>
      <c r="F498" s="235" t="s">
        <v>1327</v>
      </c>
      <c r="G498" s="284">
        <f>IFERROR(VLOOKUP(E498,Assign!$C$2:$J$142,8,FALSE),)</f>
        <v>0</v>
      </c>
      <c r="H498" s="197" t="s">
        <v>5436</v>
      </c>
      <c r="I498" s="324" t="s">
        <v>5442</v>
      </c>
      <c r="J498" s="237">
        <v>1</v>
      </c>
      <c r="K498" s="237">
        <v>6</v>
      </c>
      <c r="L498" s="265" t="s">
        <v>214</v>
      </c>
      <c r="M498" s="266" t="s">
        <v>326</v>
      </c>
      <c r="N498" s="266" t="s">
        <v>2911</v>
      </c>
      <c r="O498" s="267" t="s">
        <v>3056</v>
      </c>
      <c r="P498" s="268" t="s">
        <v>352</v>
      </c>
      <c r="Q498" s="269">
        <v>636</v>
      </c>
      <c r="R498" s="269"/>
      <c r="S498" s="270"/>
      <c r="T498" s="182"/>
      <c r="U498" s="182">
        <v>1</v>
      </c>
      <c r="V498" s="408" t="s">
        <v>418</v>
      </c>
      <c r="W498" s="357" t="s">
        <v>204</v>
      </c>
      <c r="X498" s="156">
        <v>10800000000</v>
      </c>
      <c r="Y498" s="417">
        <v>10800000000</v>
      </c>
      <c r="Z498" s="418" t="s">
        <v>359</v>
      </c>
      <c r="AA498" s="271" t="s">
        <v>418</v>
      </c>
      <c r="AB498" s="168" t="s">
        <v>204</v>
      </c>
      <c r="AC498" s="156">
        <v>18750000000</v>
      </c>
      <c r="AD498" s="156">
        <v>18750000000</v>
      </c>
      <c r="AE498" s="320"/>
      <c r="AF498" s="168"/>
      <c r="AG498" s="156"/>
      <c r="AH498" s="156"/>
      <c r="AI498" s="410"/>
    </row>
    <row r="499" spans="1:35" ht="19.5" hidden="1" customHeight="1">
      <c r="A499" s="137"/>
      <c r="B499" s="197">
        <f t="shared" si="8"/>
        <v>489</v>
      </c>
      <c r="C499" s="30" t="s">
        <v>202</v>
      </c>
      <c r="D499" s="30" t="s">
        <v>225</v>
      </c>
      <c r="E499" s="234" t="s">
        <v>929</v>
      </c>
      <c r="F499" s="235" t="s">
        <v>1329</v>
      </c>
      <c r="G499" s="284">
        <f>IFERROR(VLOOKUP(E499,Assign!$C$2:$J$142,8,FALSE),)</f>
        <v>0</v>
      </c>
      <c r="H499" s="197" t="s">
        <v>5492</v>
      </c>
      <c r="I499" s="324" t="s">
        <v>5493</v>
      </c>
      <c r="J499" s="237">
        <v>1</v>
      </c>
      <c r="K499" s="237">
        <v>1</v>
      </c>
      <c r="L499" s="265" t="s">
        <v>209</v>
      </c>
      <c r="M499" s="266" t="s">
        <v>294</v>
      </c>
      <c r="N499" s="266" t="s">
        <v>2963</v>
      </c>
      <c r="O499" s="267" t="s">
        <v>2964</v>
      </c>
      <c r="P499" s="268" t="s">
        <v>2965</v>
      </c>
      <c r="Q499" s="269">
        <f t="shared" ref="Q499:Q522" si="9">199+300.1+125.3+1319.7+40.6+211.2+91+28.1</f>
        <v>2314.9999999999995</v>
      </c>
      <c r="R499" s="269">
        <v>25.19</v>
      </c>
      <c r="S499" s="270"/>
      <c r="T499" s="182">
        <f>5.6793/2315</f>
        <v>2.4532613390928723E-3</v>
      </c>
      <c r="U499" s="182">
        <v>1</v>
      </c>
      <c r="V499" s="408">
        <v>1</v>
      </c>
      <c r="W499" s="357" t="s">
        <v>204</v>
      </c>
      <c r="X499" s="156">
        <v>10200000000</v>
      </c>
      <c r="Y499" s="417">
        <v>10200000000</v>
      </c>
      <c r="Z499" s="418" t="s">
        <v>359</v>
      </c>
      <c r="AA499" s="271"/>
      <c r="AB499" s="168"/>
      <c r="AC499" s="156"/>
      <c r="AD499" s="156"/>
      <c r="AE499" s="320"/>
      <c r="AF499" s="168"/>
      <c r="AG499" s="156"/>
      <c r="AH499" s="156"/>
      <c r="AI499" s="410"/>
    </row>
    <row r="500" spans="1:35" ht="19.5" hidden="1" customHeight="1">
      <c r="A500" s="137"/>
      <c r="B500" s="197">
        <f t="shared" si="8"/>
        <v>490</v>
      </c>
      <c r="C500" s="30" t="s">
        <v>202</v>
      </c>
      <c r="D500" s="30" t="s">
        <v>225</v>
      </c>
      <c r="E500" s="234" t="s">
        <v>929</v>
      </c>
      <c r="F500" s="235" t="s">
        <v>1329</v>
      </c>
      <c r="G500" s="284">
        <f>IFERROR(VLOOKUP(E500,Assign!$C$2:$J$142,8,FALSE),)</f>
        <v>0</v>
      </c>
      <c r="H500" s="197" t="s">
        <v>5492</v>
      </c>
      <c r="I500" s="324" t="s">
        <v>5494</v>
      </c>
      <c r="J500" s="237">
        <v>1</v>
      </c>
      <c r="K500" s="237">
        <v>2</v>
      </c>
      <c r="L500" s="265" t="s">
        <v>209</v>
      </c>
      <c r="M500" s="266" t="s">
        <v>294</v>
      </c>
      <c r="N500" s="266" t="s">
        <v>2963</v>
      </c>
      <c r="O500" s="267" t="s">
        <v>2966</v>
      </c>
      <c r="P500" s="268" t="s">
        <v>2965</v>
      </c>
      <c r="Q500" s="269">
        <f t="shared" si="9"/>
        <v>2314.9999999999995</v>
      </c>
      <c r="R500" s="269">
        <v>26.25</v>
      </c>
      <c r="S500" s="270"/>
      <c r="T500" s="182">
        <f>5.9193/2315</f>
        <v>2.5569330453563714E-3</v>
      </c>
      <c r="U500" s="182">
        <v>1</v>
      </c>
      <c r="V500" s="408">
        <v>1</v>
      </c>
      <c r="W500" s="357" t="s">
        <v>204</v>
      </c>
      <c r="X500" s="156">
        <v>10200000000</v>
      </c>
      <c r="Y500" s="417">
        <v>10200000000</v>
      </c>
      <c r="Z500" s="418" t="s">
        <v>359</v>
      </c>
      <c r="AA500" s="271"/>
      <c r="AB500" s="168"/>
      <c r="AC500" s="156"/>
      <c r="AD500" s="156"/>
      <c r="AE500" s="320"/>
      <c r="AF500" s="168"/>
      <c r="AG500" s="156"/>
      <c r="AH500" s="156"/>
      <c r="AI500" s="410"/>
    </row>
    <row r="501" spans="1:35" ht="19.5" hidden="1" customHeight="1">
      <c r="A501" s="137"/>
      <c r="B501" s="197">
        <f t="shared" si="8"/>
        <v>491</v>
      </c>
      <c r="C501" s="30" t="s">
        <v>202</v>
      </c>
      <c r="D501" s="30" t="s">
        <v>225</v>
      </c>
      <c r="E501" s="234" t="s">
        <v>929</v>
      </c>
      <c r="F501" s="235" t="s">
        <v>1329</v>
      </c>
      <c r="G501" s="284">
        <f>IFERROR(VLOOKUP(E501,Assign!$C$2:$J$142,8,FALSE),)</f>
        <v>0</v>
      </c>
      <c r="H501" s="197" t="s">
        <v>5492</v>
      </c>
      <c r="I501" s="324" t="s">
        <v>5495</v>
      </c>
      <c r="J501" s="237">
        <v>1</v>
      </c>
      <c r="K501" s="237">
        <v>3</v>
      </c>
      <c r="L501" s="265" t="s">
        <v>209</v>
      </c>
      <c r="M501" s="266" t="s">
        <v>294</v>
      </c>
      <c r="N501" s="266" t="s">
        <v>2963</v>
      </c>
      <c r="O501" s="267" t="s">
        <v>2967</v>
      </c>
      <c r="P501" s="268" t="s">
        <v>2965</v>
      </c>
      <c r="Q501" s="269">
        <f t="shared" si="9"/>
        <v>2314.9999999999995</v>
      </c>
      <c r="R501" s="269">
        <v>26.31</v>
      </c>
      <c r="S501" s="270"/>
      <c r="T501" s="182">
        <f>5.9329/2315</f>
        <v>2.5628077753779696E-3</v>
      </c>
      <c r="U501" s="182">
        <v>1</v>
      </c>
      <c r="V501" s="408">
        <v>1</v>
      </c>
      <c r="W501" s="357" t="s">
        <v>204</v>
      </c>
      <c r="X501" s="156">
        <v>10200000000</v>
      </c>
      <c r="Y501" s="417">
        <v>10200000000</v>
      </c>
      <c r="Z501" s="418" t="s">
        <v>359</v>
      </c>
      <c r="AA501" s="271"/>
      <c r="AB501" s="168"/>
      <c r="AC501" s="156"/>
      <c r="AD501" s="156"/>
      <c r="AE501" s="320"/>
      <c r="AF501" s="168"/>
      <c r="AG501" s="156"/>
      <c r="AH501" s="156"/>
      <c r="AI501" s="410"/>
    </row>
    <row r="502" spans="1:35" ht="19.5" hidden="1" customHeight="1">
      <c r="A502" s="137"/>
      <c r="B502" s="197">
        <f t="shared" si="8"/>
        <v>492</v>
      </c>
      <c r="C502" s="30" t="s">
        <v>202</v>
      </c>
      <c r="D502" s="30" t="s">
        <v>225</v>
      </c>
      <c r="E502" s="234" t="s">
        <v>929</v>
      </c>
      <c r="F502" s="235" t="s">
        <v>1329</v>
      </c>
      <c r="G502" s="284">
        <f>IFERROR(VLOOKUP(E502,Assign!$C$2:$J$142,8,FALSE),)</f>
        <v>0</v>
      </c>
      <c r="H502" s="197" t="s">
        <v>5492</v>
      </c>
      <c r="I502" s="324" t="s">
        <v>5496</v>
      </c>
      <c r="J502" s="237">
        <v>1</v>
      </c>
      <c r="K502" s="237">
        <v>4</v>
      </c>
      <c r="L502" s="265" t="s">
        <v>209</v>
      </c>
      <c r="M502" s="266" t="s">
        <v>294</v>
      </c>
      <c r="N502" s="266" t="s">
        <v>2963</v>
      </c>
      <c r="O502" s="267" t="s">
        <v>2968</v>
      </c>
      <c r="P502" s="268" t="s">
        <v>2965</v>
      </c>
      <c r="Q502" s="269">
        <f t="shared" si="9"/>
        <v>2314.9999999999995</v>
      </c>
      <c r="R502" s="269">
        <v>21.76</v>
      </c>
      <c r="S502" s="270"/>
      <c r="T502" s="182">
        <f>4.9065/2315</f>
        <v>2.1194384449244063E-3</v>
      </c>
      <c r="U502" s="182">
        <v>1</v>
      </c>
      <c r="V502" s="408">
        <v>1</v>
      </c>
      <c r="W502" s="357" t="s">
        <v>204</v>
      </c>
      <c r="X502" s="156">
        <v>10200000000</v>
      </c>
      <c r="Y502" s="417">
        <v>10200000000</v>
      </c>
      <c r="Z502" s="418" t="s">
        <v>359</v>
      </c>
      <c r="AA502" s="271"/>
      <c r="AB502" s="168"/>
      <c r="AC502" s="156"/>
      <c r="AD502" s="156"/>
      <c r="AE502" s="320"/>
      <c r="AF502" s="168"/>
      <c r="AG502" s="156"/>
      <c r="AH502" s="156"/>
      <c r="AI502" s="410"/>
    </row>
    <row r="503" spans="1:35" ht="19.5" hidden="1" customHeight="1">
      <c r="A503" s="137"/>
      <c r="B503" s="197">
        <f t="shared" si="8"/>
        <v>493</v>
      </c>
      <c r="C503" s="30" t="s">
        <v>202</v>
      </c>
      <c r="D503" s="30" t="s">
        <v>225</v>
      </c>
      <c r="E503" s="234" t="s">
        <v>929</v>
      </c>
      <c r="F503" s="235" t="s">
        <v>1329</v>
      </c>
      <c r="G503" s="284">
        <f>IFERROR(VLOOKUP(E503,Assign!$C$2:$J$142,8,FALSE),)</f>
        <v>0</v>
      </c>
      <c r="H503" s="197" t="s">
        <v>5492</v>
      </c>
      <c r="I503" s="324" t="s">
        <v>5497</v>
      </c>
      <c r="J503" s="237">
        <v>1</v>
      </c>
      <c r="K503" s="237">
        <v>5</v>
      </c>
      <c r="L503" s="265" t="s">
        <v>209</v>
      </c>
      <c r="M503" s="266" t="s">
        <v>294</v>
      </c>
      <c r="N503" s="266" t="s">
        <v>2963</v>
      </c>
      <c r="O503" s="267" t="s">
        <v>2969</v>
      </c>
      <c r="P503" s="268" t="s">
        <v>2965</v>
      </c>
      <c r="Q503" s="269">
        <f t="shared" si="9"/>
        <v>2314.9999999999995</v>
      </c>
      <c r="R503" s="269">
        <v>40.81</v>
      </c>
      <c r="S503" s="270"/>
      <c r="T503" s="182">
        <f>9.2023/2315</f>
        <v>3.9750755939524833E-3</v>
      </c>
      <c r="U503" s="182">
        <v>1</v>
      </c>
      <c r="V503" s="408">
        <v>1</v>
      </c>
      <c r="W503" s="357" t="s">
        <v>204</v>
      </c>
      <c r="X503" s="156">
        <v>10200000000</v>
      </c>
      <c r="Y503" s="417">
        <v>10200000000</v>
      </c>
      <c r="Z503" s="418" t="s">
        <v>359</v>
      </c>
      <c r="AA503" s="271"/>
      <c r="AB503" s="168"/>
      <c r="AC503" s="156"/>
      <c r="AD503" s="156"/>
      <c r="AE503" s="320"/>
      <c r="AF503" s="168"/>
      <c r="AG503" s="156"/>
      <c r="AH503" s="156"/>
      <c r="AI503" s="410"/>
    </row>
    <row r="504" spans="1:35" ht="19.5" hidden="1" customHeight="1">
      <c r="A504" s="137"/>
      <c r="B504" s="197">
        <f t="shared" si="8"/>
        <v>494</v>
      </c>
      <c r="C504" s="30" t="s">
        <v>202</v>
      </c>
      <c r="D504" s="30" t="s">
        <v>225</v>
      </c>
      <c r="E504" s="234" t="s">
        <v>929</v>
      </c>
      <c r="F504" s="235" t="s">
        <v>1329</v>
      </c>
      <c r="G504" s="284">
        <f>IFERROR(VLOOKUP(E504,Assign!$C$2:$J$142,8,FALSE),)</f>
        <v>0</v>
      </c>
      <c r="H504" s="197" t="s">
        <v>5492</v>
      </c>
      <c r="I504" s="324" t="s">
        <v>5498</v>
      </c>
      <c r="J504" s="237">
        <v>1</v>
      </c>
      <c r="K504" s="237">
        <v>6</v>
      </c>
      <c r="L504" s="265" t="s">
        <v>209</v>
      </c>
      <c r="M504" s="266" t="s">
        <v>294</v>
      </c>
      <c r="N504" s="266" t="s">
        <v>2963</v>
      </c>
      <c r="O504" s="267" t="s">
        <v>2970</v>
      </c>
      <c r="P504" s="268" t="s">
        <v>2965</v>
      </c>
      <c r="Q504" s="269">
        <f t="shared" si="9"/>
        <v>2314.9999999999995</v>
      </c>
      <c r="R504" s="269">
        <v>46.85</v>
      </c>
      <c r="S504" s="270"/>
      <c r="T504" s="182">
        <f>10.5643/2315</f>
        <v>4.5634125269978397E-3</v>
      </c>
      <c r="U504" s="182">
        <v>1</v>
      </c>
      <c r="V504" s="408">
        <v>1</v>
      </c>
      <c r="W504" s="357" t="s">
        <v>204</v>
      </c>
      <c r="X504" s="156">
        <v>10200000000</v>
      </c>
      <c r="Y504" s="417">
        <v>10200000000</v>
      </c>
      <c r="Z504" s="418" t="s">
        <v>359</v>
      </c>
      <c r="AA504" s="271"/>
      <c r="AB504" s="168"/>
      <c r="AC504" s="156"/>
      <c r="AD504" s="156"/>
      <c r="AE504" s="320"/>
      <c r="AF504" s="168"/>
      <c r="AG504" s="156"/>
      <c r="AH504" s="156"/>
      <c r="AI504" s="410"/>
    </row>
    <row r="505" spans="1:35" ht="19.5" hidden="1" customHeight="1">
      <c r="A505" s="137"/>
      <c r="B505" s="197">
        <f t="shared" si="8"/>
        <v>495</v>
      </c>
      <c r="C505" s="30" t="s">
        <v>202</v>
      </c>
      <c r="D505" s="30" t="s">
        <v>225</v>
      </c>
      <c r="E505" s="234" t="s">
        <v>929</v>
      </c>
      <c r="F505" s="235" t="s">
        <v>1329</v>
      </c>
      <c r="G505" s="284">
        <f>IFERROR(VLOOKUP(E505,Assign!$C$2:$J$142,8,FALSE),)</f>
        <v>0</v>
      </c>
      <c r="H505" s="197" t="s">
        <v>5492</v>
      </c>
      <c r="I505" s="324" t="s">
        <v>5499</v>
      </c>
      <c r="J505" s="237">
        <v>1</v>
      </c>
      <c r="K505" s="237">
        <v>7</v>
      </c>
      <c r="L505" s="265" t="s">
        <v>209</v>
      </c>
      <c r="M505" s="266" t="s">
        <v>294</v>
      </c>
      <c r="N505" s="266" t="s">
        <v>2963</v>
      </c>
      <c r="O505" s="267" t="s">
        <v>2971</v>
      </c>
      <c r="P505" s="268" t="s">
        <v>2965</v>
      </c>
      <c r="Q505" s="269">
        <f t="shared" si="9"/>
        <v>2314.9999999999995</v>
      </c>
      <c r="R505" s="269">
        <v>63.99</v>
      </c>
      <c r="S505" s="270"/>
      <c r="T505" s="182">
        <f>14.4269/2315</f>
        <v>6.2319222462203019E-3</v>
      </c>
      <c r="U505" s="182">
        <v>1</v>
      </c>
      <c r="V505" s="408">
        <v>1</v>
      </c>
      <c r="W505" s="357" t="s">
        <v>204</v>
      </c>
      <c r="X505" s="156">
        <v>10200000000</v>
      </c>
      <c r="Y505" s="417">
        <v>10200000000</v>
      </c>
      <c r="Z505" s="418" t="s">
        <v>359</v>
      </c>
      <c r="AA505" s="271"/>
      <c r="AB505" s="168"/>
      <c r="AC505" s="156"/>
      <c r="AD505" s="156"/>
      <c r="AE505" s="320"/>
      <c r="AF505" s="168"/>
      <c r="AG505" s="156"/>
      <c r="AH505" s="156"/>
      <c r="AI505" s="410"/>
    </row>
    <row r="506" spans="1:35" ht="19.5" hidden="1" customHeight="1">
      <c r="A506" s="137"/>
      <c r="B506" s="197">
        <f t="shared" si="8"/>
        <v>496</v>
      </c>
      <c r="C506" s="30" t="s">
        <v>202</v>
      </c>
      <c r="D506" s="30" t="s">
        <v>225</v>
      </c>
      <c r="E506" s="234" t="s">
        <v>929</v>
      </c>
      <c r="F506" s="235" t="s">
        <v>1329</v>
      </c>
      <c r="G506" s="284">
        <f>IFERROR(VLOOKUP(E506,Assign!$C$2:$J$142,8,FALSE),)</f>
        <v>0</v>
      </c>
      <c r="H506" s="197" t="s">
        <v>5492</v>
      </c>
      <c r="I506" s="324" t="s">
        <v>5500</v>
      </c>
      <c r="J506" s="237">
        <v>1</v>
      </c>
      <c r="K506" s="237">
        <v>8</v>
      </c>
      <c r="L506" s="265" t="s">
        <v>209</v>
      </c>
      <c r="M506" s="266" t="s">
        <v>294</v>
      </c>
      <c r="N506" s="266" t="s">
        <v>2963</v>
      </c>
      <c r="O506" s="267" t="s">
        <v>2972</v>
      </c>
      <c r="P506" s="268" t="s">
        <v>2965</v>
      </c>
      <c r="Q506" s="269">
        <f t="shared" si="9"/>
        <v>2314.9999999999995</v>
      </c>
      <c r="R506" s="269">
        <v>23.73</v>
      </c>
      <c r="S506" s="270"/>
      <c r="T506" s="182">
        <f>5.3505/2315</f>
        <v>2.3112311015118792E-3</v>
      </c>
      <c r="U506" s="182">
        <v>1</v>
      </c>
      <c r="V506" s="408">
        <v>1</v>
      </c>
      <c r="W506" s="357" t="s">
        <v>204</v>
      </c>
      <c r="X506" s="156">
        <v>10200000000</v>
      </c>
      <c r="Y506" s="417">
        <v>10200000000</v>
      </c>
      <c r="Z506" s="418" t="s">
        <v>359</v>
      </c>
      <c r="AA506" s="271"/>
      <c r="AB506" s="168"/>
      <c r="AC506" s="156"/>
      <c r="AD506" s="156"/>
      <c r="AE506" s="320"/>
      <c r="AF506" s="168"/>
      <c r="AG506" s="156"/>
      <c r="AH506" s="156"/>
      <c r="AI506" s="410"/>
    </row>
    <row r="507" spans="1:35" ht="19.5" hidden="1" customHeight="1">
      <c r="A507" s="137"/>
      <c r="B507" s="197">
        <f t="shared" si="8"/>
        <v>497</v>
      </c>
      <c r="C507" s="30" t="s">
        <v>202</v>
      </c>
      <c r="D507" s="30" t="s">
        <v>225</v>
      </c>
      <c r="E507" s="234" t="s">
        <v>929</v>
      </c>
      <c r="F507" s="235" t="s">
        <v>1329</v>
      </c>
      <c r="G507" s="284">
        <f>IFERROR(VLOOKUP(E507,Assign!$C$2:$J$142,8,FALSE),)</f>
        <v>0</v>
      </c>
      <c r="H507" s="197" t="s">
        <v>5492</v>
      </c>
      <c r="I507" s="324" t="s">
        <v>5501</v>
      </c>
      <c r="J507" s="237">
        <v>1</v>
      </c>
      <c r="K507" s="237">
        <v>9</v>
      </c>
      <c r="L507" s="265" t="s">
        <v>209</v>
      </c>
      <c r="M507" s="266" t="s">
        <v>294</v>
      </c>
      <c r="N507" s="266" t="s">
        <v>2963</v>
      </c>
      <c r="O507" s="267" t="s">
        <v>2973</v>
      </c>
      <c r="P507" s="268" t="s">
        <v>2965</v>
      </c>
      <c r="Q507" s="269">
        <f t="shared" si="9"/>
        <v>2314.9999999999995</v>
      </c>
      <c r="R507" s="269">
        <v>35.58</v>
      </c>
      <c r="S507" s="270"/>
      <c r="T507" s="182">
        <f>8.0238/2315</f>
        <v>3.4660043196544275E-3</v>
      </c>
      <c r="U507" s="182">
        <v>1</v>
      </c>
      <c r="V507" s="408">
        <v>1</v>
      </c>
      <c r="W507" s="357" t="s">
        <v>204</v>
      </c>
      <c r="X507" s="156">
        <v>10200000000</v>
      </c>
      <c r="Y507" s="417">
        <v>10200000000</v>
      </c>
      <c r="Z507" s="418" t="s">
        <v>359</v>
      </c>
      <c r="AA507" s="271"/>
      <c r="AB507" s="168"/>
      <c r="AC507" s="156"/>
      <c r="AD507" s="156"/>
      <c r="AE507" s="320"/>
      <c r="AF507" s="168"/>
      <c r="AG507" s="156"/>
      <c r="AH507" s="156"/>
      <c r="AI507" s="410"/>
    </row>
    <row r="508" spans="1:35" ht="19.5" hidden="1" customHeight="1">
      <c r="A508" s="137"/>
      <c r="B508" s="197">
        <f t="shared" si="8"/>
        <v>498</v>
      </c>
      <c r="C508" s="30" t="s">
        <v>202</v>
      </c>
      <c r="D508" s="30" t="s">
        <v>225</v>
      </c>
      <c r="E508" s="234" t="s">
        <v>929</v>
      </c>
      <c r="F508" s="235" t="s">
        <v>1329</v>
      </c>
      <c r="G508" s="284">
        <f>IFERROR(VLOOKUP(E508,Assign!$C$2:$J$142,8,FALSE),)</f>
        <v>0</v>
      </c>
      <c r="H508" s="197" t="s">
        <v>5492</v>
      </c>
      <c r="I508" s="324" t="s">
        <v>5502</v>
      </c>
      <c r="J508" s="237">
        <v>1</v>
      </c>
      <c r="K508" s="237">
        <v>10</v>
      </c>
      <c r="L508" s="265" t="s">
        <v>209</v>
      </c>
      <c r="M508" s="266" t="s">
        <v>294</v>
      </c>
      <c r="N508" s="266" t="s">
        <v>2963</v>
      </c>
      <c r="O508" s="267" t="s">
        <v>2974</v>
      </c>
      <c r="P508" s="268" t="s">
        <v>2965</v>
      </c>
      <c r="Q508" s="269">
        <f t="shared" si="9"/>
        <v>2314.9999999999995</v>
      </c>
      <c r="R508" s="269">
        <v>37.4</v>
      </c>
      <c r="S508" s="270"/>
      <c r="T508" s="182">
        <f>8.4326/2315</f>
        <v>3.6425917926565876E-3</v>
      </c>
      <c r="U508" s="182">
        <v>1</v>
      </c>
      <c r="V508" s="408">
        <v>1</v>
      </c>
      <c r="W508" s="357" t="s">
        <v>204</v>
      </c>
      <c r="X508" s="156">
        <v>10200000000</v>
      </c>
      <c r="Y508" s="417">
        <v>10200000000</v>
      </c>
      <c r="Z508" s="418" t="s">
        <v>359</v>
      </c>
      <c r="AA508" s="271"/>
      <c r="AB508" s="168"/>
      <c r="AC508" s="156"/>
      <c r="AD508" s="156"/>
      <c r="AE508" s="320"/>
      <c r="AF508" s="168"/>
      <c r="AG508" s="156"/>
      <c r="AH508" s="156"/>
      <c r="AI508" s="410"/>
    </row>
    <row r="509" spans="1:35" ht="19.5" hidden="1" customHeight="1">
      <c r="A509" s="137"/>
      <c r="B509" s="197">
        <f t="shared" si="8"/>
        <v>499</v>
      </c>
      <c r="C509" s="30" t="s">
        <v>202</v>
      </c>
      <c r="D509" s="30" t="s">
        <v>225</v>
      </c>
      <c r="E509" s="234" t="s">
        <v>929</v>
      </c>
      <c r="F509" s="235" t="s">
        <v>1329</v>
      </c>
      <c r="G509" s="284">
        <f>IFERROR(VLOOKUP(E509,Assign!$C$2:$J$142,8,FALSE),)</f>
        <v>0</v>
      </c>
      <c r="H509" s="197" t="s">
        <v>5492</v>
      </c>
      <c r="I509" s="324" t="s">
        <v>5503</v>
      </c>
      <c r="J509" s="237">
        <v>1</v>
      </c>
      <c r="K509" s="237">
        <v>11</v>
      </c>
      <c r="L509" s="265" t="s">
        <v>209</v>
      </c>
      <c r="M509" s="266" t="s">
        <v>294</v>
      </c>
      <c r="N509" s="266" t="s">
        <v>2963</v>
      </c>
      <c r="O509" s="267" t="s">
        <v>2975</v>
      </c>
      <c r="P509" s="268" t="s">
        <v>2965</v>
      </c>
      <c r="Q509" s="269">
        <f t="shared" si="9"/>
        <v>2314.9999999999995</v>
      </c>
      <c r="R509" s="269">
        <v>39.03</v>
      </c>
      <c r="S509" s="270"/>
      <c r="T509" s="182">
        <f>8.8004/2315</f>
        <v>3.8014686825053995E-3</v>
      </c>
      <c r="U509" s="182">
        <v>1</v>
      </c>
      <c r="V509" s="408">
        <v>1</v>
      </c>
      <c r="W509" s="357" t="s">
        <v>204</v>
      </c>
      <c r="X509" s="156">
        <v>10200000000</v>
      </c>
      <c r="Y509" s="417">
        <v>10200000000</v>
      </c>
      <c r="Z509" s="418" t="s">
        <v>359</v>
      </c>
      <c r="AA509" s="271"/>
      <c r="AB509" s="168"/>
      <c r="AC509" s="156"/>
      <c r="AD509" s="156"/>
      <c r="AE509" s="320"/>
      <c r="AF509" s="168"/>
      <c r="AG509" s="156"/>
      <c r="AH509" s="156"/>
      <c r="AI509" s="410"/>
    </row>
    <row r="510" spans="1:35" ht="19.5" hidden="1" customHeight="1">
      <c r="A510" s="137"/>
      <c r="B510" s="197">
        <f t="shared" si="8"/>
        <v>500</v>
      </c>
      <c r="C510" s="30" t="s">
        <v>202</v>
      </c>
      <c r="D510" s="30" t="s">
        <v>225</v>
      </c>
      <c r="E510" s="234" t="s">
        <v>929</v>
      </c>
      <c r="F510" s="235" t="s">
        <v>1329</v>
      </c>
      <c r="G510" s="284">
        <f>IFERROR(VLOOKUP(E510,Assign!$C$2:$J$142,8,FALSE),)</f>
        <v>0</v>
      </c>
      <c r="H510" s="197" t="s">
        <v>5492</v>
      </c>
      <c r="I510" s="324" t="s">
        <v>5504</v>
      </c>
      <c r="J510" s="237">
        <v>1</v>
      </c>
      <c r="K510" s="237">
        <v>12</v>
      </c>
      <c r="L510" s="265" t="s">
        <v>209</v>
      </c>
      <c r="M510" s="266" t="s">
        <v>294</v>
      </c>
      <c r="N510" s="266" t="s">
        <v>2963</v>
      </c>
      <c r="O510" s="267" t="s">
        <v>2976</v>
      </c>
      <c r="P510" s="268" t="s">
        <v>2965</v>
      </c>
      <c r="Q510" s="269">
        <f t="shared" si="9"/>
        <v>2314.9999999999995</v>
      </c>
      <c r="R510" s="269">
        <v>40.26</v>
      </c>
      <c r="S510" s="270"/>
      <c r="T510" s="182">
        <f>9.0775/2315</f>
        <v>3.9211663066954644E-3</v>
      </c>
      <c r="U510" s="182">
        <v>1</v>
      </c>
      <c r="V510" s="408">
        <v>1</v>
      </c>
      <c r="W510" s="357" t="s">
        <v>204</v>
      </c>
      <c r="X510" s="156">
        <v>10200000000</v>
      </c>
      <c r="Y510" s="417">
        <v>10200000000</v>
      </c>
      <c r="Z510" s="418" t="s">
        <v>359</v>
      </c>
      <c r="AA510" s="271"/>
      <c r="AB510" s="168"/>
      <c r="AC510" s="156"/>
      <c r="AD510" s="156"/>
      <c r="AE510" s="320"/>
      <c r="AF510" s="168"/>
      <c r="AG510" s="156"/>
      <c r="AH510" s="156"/>
      <c r="AI510" s="410"/>
    </row>
    <row r="511" spans="1:35" ht="19.5" hidden="1" customHeight="1">
      <c r="A511" s="137"/>
      <c r="B511" s="197">
        <f t="shared" si="8"/>
        <v>501</v>
      </c>
      <c r="C511" s="30" t="s">
        <v>202</v>
      </c>
      <c r="D511" s="30" t="s">
        <v>225</v>
      </c>
      <c r="E511" s="234" t="s">
        <v>929</v>
      </c>
      <c r="F511" s="235" t="s">
        <v>1329</v>
      </c>
      <c r="G511" s="284">
        <f>IFERROR(VLOOKUP(E511,Assign!$C$2:$J$142,8,FALSE),)</f>
        <v>0</v>
      </c>
      <c r="H511" s="197" t="s">
        <v>5492</v>
      </c>
      <c r="I511" s="324" t="s">
        <v>5505</v>
      </c>
      <c r="J511" s="237">
        <v>1</v>
      </c>
      <c r="K511" s="237">
        <v>13</v>
      </c>
      <c r="L511" s="265" t="s">
        <v>209</v>
      </c>
      <c r="M511" s="266" t="s">
        <v>294</v>
      </c>
      <c r="N511" s="266" t="s">
        <v>2963</v>
      </c>
      <c r="O511" s="267" t="s">
        <v>2977</v>
      </c>
      <c r="P511" s="268" t="s">
        <v>2965</v>
      </c>
      <c r="Q511" s="269">
        <f t="shared" si="9"/>
        <v>2314.9999999999995</v>
      </c>
      <c r="R511" s="269">
        <v>32.53</v>
      </c>
      <c r="S511" s="270"/>
      <c r="T511" s="182">
        <f>7.3349/2315</f>
        <v>3.1684233261339094E-3</v>
      </c>
      <c r="U511" s="182">
        <v>1</v>
      </c>
      <c r="V511" s="408">
        <v>1</v>
      </c>
      <c r="W511" s="357" t="s">
        <v>204</v>
      </c>
      <c r="X511" s="156">
        <v>10200000000</v>
      </c>
      <c r="Y511" s="417">
        <v>10200000000</v>
      </c>
      <c r="Z511" s="418" t="s">
        <v>359</v>
      </c>
      <c r="AA511" s="271"/>
      <c r="AB511" s="168"/>
      <c r="AC511" s="156"/>
      <c r="AD511" s="156"/>
      <c r="AE511" s="320"/>
      <c r="AF511" s="168"/>
      <c r="AG511" s="156"/>
      <c r="AH511" s="156"/>
      <c r="AI511" s="410"/>
    </row>
    <row r="512" spans="1:35" ht="19.5" hidden="1" customHeight="1">
      <c r="A512" s="137"/>
      <c r="B512" s="197">
        <f t="shared" si="8"/>
        <v>502</v>
      </c>
      <c r="C512" s="30" t="s">
        <v>202</v>
      </c>
      <c r="D512" s="30" t="s">
        <v>225</v>
      </c>
      <c r="E512" s="234" t="s">
        <v>929</v>
      </c>
      <c r="F512" s="235" t="s">
        <v>1329</v>
      </c>
      <c r="G512" s="284">
        <f>IFERROR(VLOOKUP(E512,Assign!$C$2:$J$142,8,FALSE),)</f>
        <v>0</v>
      </c>
      <c r="H512" s="197" t="s">
        <v>5492</v>
      </c>
      <c r="I512" s="324" t="s">
        <v>5506</v>
      </c>
      <c r="J512" s="237">
        <v>1</v>
      </c>
      <c r="K512" s="237">
        <v>14</v>
      </c>
      <c r="L512" s="265" t="s">
        <v>209</v>
      </c>
      <c r="M512" s="266" t="s">
        <v>294</v>
      </c>
      <c r="N512" s="266" t="s">
        <v>2963</v>
      </c>
      <c r="O512" s="267" t="s">
        <v>2978</v>
      </c>
      <c r="P512" s="268" t="s">
        <v>2965</v>
      </c>
      <c r="Q512" s="269">
        <f t="shared" si="9"/>
        <v>2314.9999999999995</v>
      </c>
      <c r="R512" s="269">
        <v>43.76</v>
      </c>
      <c r="S512" s="270"/>
      <c r="T512" s="182">
        <f>9.8668/2315</f>
        <v>4.2621166306695459E-3</v>
      </c>
      <c r="U512" s="182">
        <v>1</v>
      </c>
      <c r="V512" s="408">
        <v>1</v>
      </c>
      <c r="W512" s="357" t="s">
        <v>204</v>
      </c>
      <c r="X512" s="156">
        <v>10200000000</v>
      </c>
      <c r="Y512" s="417">
        <v>10200000000</v>
      </c>
      <c r="Z512" s="418" t="s">
        <v>359</v>
      </c>
      <c r="AA512" s="271"/>
      <c r="AB512" s="168"/>
      <c r="AC512" s="156"/>
      <c r="AD512" s="156"/>
      <c r="AE512" s="320"/>
      <c r="AF512" s="168"/>
      <c r="AG512" s="156"/>
      <c r="AH512" s="156"/>
      <c r="AI512" s="410"/>
    </row>
    <row r="513" spans="1:35" ht="19.5" hidden="1" customHeight="1">
      <c r="A513" s="137"/>
      <c r="B513" s="197">
        <f t="shared" si="8"/>
        <v>503</v>
      </c>
      <c r="C513" s="30" t="s">
        <v>202</v>
      </c>
      <c r="D513" s="30" t="s">
        <v>225</v>
      </c>
      <c r="E513" s="234" t="s">
        <v>929</v>
      </c>
      <c r="F513" s="235" t="s">
        <v>1329</v>
      </c>
      <c r="G513" s="284">
        <f>IFERROR(VLOOKUP(E513,Assign!$C$2:$J$142,8,FALSE),)</f>
        <v>0</v>
      </c>
      <c r="H513" s="197" t="s">
        <v>5492</v>
      </c>
      <c r="I513" s="324" t="s">
        <v>5507</v>
      </c>
      <c r="J513" s="237">
        <v>1</v>
      </c>
      <c r="K513" s="237">
        <v>15</v>
      </c>
      <c r="L513" s="265" t="s">
        <v>209</v>
      </c>
      <c r="M513" s="266" t="s">
        <v>294</v>
      </c>
      <c r="N513" s="266" t="s">
        <v>2963</v>
      </c>
      <c r="O513" s="267" t="s">
        <v>2979</v>
      </c>
      <c r="P513" s="268" t="s">
        <v>2965</v>
      </c>
      <c r="Q513" s="269">
        <f t="shared" si="9"/>
        <v>2314.9999999999995</v>
      </c>
      <c r="R513" s="269">
        <v>38.090000000000003</v>
      </c>
      <c r="S513" s="270"/>
      <c r="T513" s="182">
        <f>8.5887/2315</f>
        <v>3.710021598272138E-3</v>
      </c>
      <c r="U513" s="182">
        <v>1</v>
      </c>
      <c r="V513" s="408">
        <v>1</v>
      </c>
      <c r="W513" s="357" t="s">
        <v>204</v>
      </c>
      <c r="X513" s="156">
        <v>10200000000</v>
      </c>
      <c r="Y513" s="417">
        <v>10200000000</v>
      </c>
      <c r="Z513" s="418" t="s">
        <v>359</v>
      </c>
      <c r="AA513" s="271"/>
      <c r="AB513" s="168"/>
      <c r="AC513" s="156"/>
      <c r="AD513" s="156"/>
      <c r="AE513" s="320"/>
      <c r="AF513" s="168"/>
      <c r="AG513" s="156"/>
      <c r="AH513" s="156"/>
      <c r="AI513" s="410"/>
    </row>
    <row r="514" spans="1:35" ht="19.5" hidden="1" customHeight="1">
      <c r="A514" s="137"/>
      <c r="B514" s="197">
        <f t="shared" si="8"/>
        <v>504</v>
      </c>
      <c r="C514" s="30" t="s">
        <v>202</v>
      </c>
      <c r="D514" s="30" t="s">
        <v>225</v>
      </c>
      <c r="E514" s="234" t="s">
        <v>929</v>
      </c>
      <c r="F514" s="235" t="s">
        <v>1329</v>
      </c>
      <c r="G514" s="284">
        <f>IFERROR(VLOOKUP(E514,Assign!$C$2:$J$142,8,FALSE),)</f>
        <v>0</v>
      </c>
      <c r="H514" s="197" t="s">
        <v>5492</v>
      </c>
      <c r="I514" s="324" t="s">
        <v>5508</v>
      </c>
      <c r="J514" s="237">
        <v>1</v>
      </c>
      <c r="K514" s="237">
        <v>16</v>
      </c>
      <c r="L514" s="265" t="s">
        <v>209</v>
      </c>
      <c r="M514" s="266" t="s">
        <v>294</v>
      </c>
      <c r="N514" s="266" t="s">
        <v>2963</v>
      </c>
      <c r="O514" s="267" t="s">
        <v>2980</v>
      </c>
      <c r="P514" s="268" t="s">
        <v>2965</v>
      </c>
      <c r="Q514" s="269">
        <f t="shared" si="9"/>
        <v>2314.9999999999995</v>
      </c>
      <c r="R514" s="269">
        <v>42.96</v>
      </c>
      <c r="S514" s="270"/>
      <c r="T514" s="182">
        <f>9.6882/2315</f>
        <v>4.1849676025917928E-3</v>
      </c>
      <c r="U514" s="182">
        <v>1</v>
      </c>
      <c r="V514" s="408">
        <v>1</v>
      </c>
      <c r="W514" s="357" t="s">
        <v>204</v>
      </c>
      <c r="X514" s="156">
        <v>10200000000</v>
      </c>
      <c r="Y514" s="417">
        <v>10200000000</v>
      </c>
      <c r="Z514" s="418" t="s">
        <v>359</v>
      </c>
      <c r="AA514" s="271"/>
      <c r="AB514" s="168"/>
      <c r="AC514" s="156"/>
      <c r="AD514" s="156"/>
      <c r="AE514" s="320"/>
      <c r="AF514" s="168"/>
      <c r="AG514" s="156"/>
      <c r="AH514" s="156"/>
      <c r="AI514" s="410"/>
    </row>
    <row r="515" spans="1:35" ht="19.5" hidden="1" customHeight="1">
      <c r="A515" s="137"/>
      <c r="B515" s="197">
        <f t="shared" si="8"/>
        <v>505</v>
      </c>
      <c r="C515" s="30" t="s">
        <v>202</v>
      </c>
      <c r="D515" s="30" t="s">
        <v>225</v>
      </c>
      <c r="E515" s="234" t="s">
        <v>929</v>
      </c>
      <c r="F515" s="235" t="s">
        <v>1329</v>
      </c>
      <c r="G515" s="284">
        <f>IFERROR(VLOOKUP(E515,Assign!$C$2:$J$142,8,FALSE),)</f>
        <v>0</v>
      </c>
      <c r="H515" s="197" t="s">
        <v>5492</v>
      </c>
      <c r="I515" s="324" t="s">
        <v>5509</v>
      </c>
      <c r="J515" s="237">
        <v>1</v>
      </c>
      <c r="K515" s="237">
        <v>17</v>
      </c>
      <c r="L515" s="265" t="s">
        <v>209</v>
      </c>
      <c r="M515" s="266" t="s">
        <v>294</v>
      </c>
      <c r="N515" s="266" t="s">
        <v>2963</v>
      </c>
      <c r="O515" s="267" t="s">
        <v>2981</v>
      </c>
      <c r="P515" s="268" t="s">
        <v>2965</v>
      </c>
      <c r="Q515" s="269">
        <f t="shared" si="9"/>
        <v>2314.9999999999995</v>
      </c>
      <c r="R515" s="269">
        <v>27.06</v>
      </c>
      <c r="S515" s="270"/>
      <c r="T515" s="182">
        <f>6.1017/2315</f>
        <v>2.6357235421166306E-3</v>
      </c>
      <c r="U515" s="182">
        <v>1</v>
      </c>
      <c r="V515" s="408">
        <v>1</v>
      </c>
      <c r="W515" s="357" t="s">
        <v>204</v>
      </c>
      <c r="X515" s="156">
        <v>10200000000</v>
      </c>
      <c r="Y515" s="417">
        <v>10200000000</v>
      </c>
      <c r="Z515" s="418" t="s">
        <v>359</v>
      </c>
      <c r="AA515" s="271"/>
      <c r="AB515" s="168"/>
      <c r="AC515" s="156"/>
      <c r="AD515" s="156"/>
      <c r="AE515" s="320"/>
      <c r="AF515" s="168"/>
      <c r="AG515" s="156"/>
      <c r="AH515" s="156"/>
      <c r="AI515" s="410"/>
    </row>
    <row r="516" spans="1:35" ht="19.5" hidden="1" customHeight="1">
      <c r="A516" s="137"/>
      <c r="B516" s="197">
        <f t="shared" si="8"/>
        <v>506</v>
      </c>
      <c r="C516" s="30" t="s">
        <v>202</v>
      </c>
      <c r="D516" s="30" t="s">
        <v>225</v>
      </c>
      <c r="E516" s="234" t="s">
        <v>929</v>
      </c>
      <c r="F516" s="235" t="s">
        <v>1329</v>
      </c>
      <c r="G516" s="284">
        <f>IFERROR(VLOOKUP(E516,Assign!$C$2:$J$142,8,FALSE),)</f>
        <v>0</v>
      </c>
      <c r="H516" s="197" t="s">
        <v>5492</v>
      </c>
      <c r="I516" s="324" t="s">
        <v>5510</v>
      </c>
      <c r="J516" s="237">
        <v>1</v>
      </c>
      <c r="K516" s="237">
        <v>18</v>
      </c>
      <c r="L516" s="265" t="s">
        <v>209</v>
      </c>
      <c r="M516" s="266" t="s">
        <v>294</v>
      </c>
      <c r="N516" s="266" t="s">
        <v>2963</v>
      </c>
      <c r="O516" s="267" t="s">
        <v>2982</v>
      </c>
      <c r="P516" s="268" t="s">
        <v>2965</v>
      </c>
      <c r="Q516" s="269">
        <f t="shared" si="9"/>
        <v>2314.9999999999995</v>
      </c>
      <c r="R516" s="269">
        <v>20.53</v>
      </c>
      <c r="S516" s="270"/>
      <c r="T516" s="182">
        <f>4.6295/2315</f>
        <v>1.9997840172786179E-3</v>
      </c>
      <c r="U516" s="182">
        <v>1</v>
      </c>
      <c r="V516" s="408">
        <v>1</v>
      </c>
      <c r="W516" s="357" t="s">
        <v>204</v>
      </c>
      <c r="X516" s="156">
        <v>10200000000</v>
      </c>
      <c r="Y516" s="417">
        <v>10200000000</v>
      </c>
      <c r="Z516" s="418" t="s">
        <v>359</v>
      </c>
      <c r="AA516" s="271"/>
      <c r="AB516" s="168"/>
      <c r="AC516" s="156"/>
      <c r="AD516" s="156"/>
      <c r="AE516" s="320"/>
      <c r="AF516" s="168"/>
      <c r="AG516" s="156"/>
      <c r="AH516" s="156"/>
      <c r="AI516" s="410"/>
    </row>
    <row r="517" spans="1:35" ht="19.5" hidden="1" customHeight="1">
      <c r="A517" s="137"/>
      <c r="B517" s="197">
        <f t="shared" si="8"/>
        <v>507</v>
      </c>
      <c r="C517" s="30" t="s">
        <v>202</v>
      </c>
      <c r="D517" s="30" t="s">
        <v>225</v>
      </c>
      <c r="E517" s="234" t="s">
        <v>929</v>
      </c>
      <c r="F517" s="235" t="s">
        <v>1329</v>
      </c>
      <c r="G517" s="284">
        <f>IFERROR(VLOOKUP(E517,Assign!$C$2:$J$142,8,FALSE),)</f>
        <v>0</v>
      </c>
      <c r="H517" s="197" t="s">
        <v>5492</v>
      </c>
      <c r="I517" s="324" t="s">
        <v>5511</v>
      </c>
      <c r="J517" s="237">
        <v>1</v>
      </c>
      <c r="K517" s="237">
        <v>19</v>
      </c>
      <c r="L517" s="265" t="s">
        <v>209</v>
      </c>
      <c r="M517" s="266" t="s">
        <v>294</v>
      </c>
      <c r="N517" s="266" t="s">
        <v>2963</v>
      </c>
      <c r="O517" s="267" t="s">
        <v>2983</v>
      </c>
      <c r="P517" s="268" t="s">
        <v>2965</v>
      </c>
      <c r="Q517" s="269">
        <f t="shared" si="9"/>
        <v>2314.9999999999995</v>
      </c>
      <c r="R517" s="269">
        <v>23.77</v>
      </c>
      <c r="S517" s="270"/>
      <c r="T517" s="182">
        <f>5.3593/2315</f>
        <v>2.3150323974082073E-3</v>
      </c>
      <c r="U517" s="182">
        <v>1</v>
      </c>
      <c r="V517" s="408">
        <v>1</v>
      </c>
      <c r="W517" s="357" t="s">
        <v>204</v>
      </c>
      <c r="X517" s="156">
        <v>10200000000</v>
      </c>
      <c r="Y517" s="417">
        <v>10200000000</v>
      </c>
      <c r="Z517" s="418" t="s">
        <v>359</v>
      </c>
      <c r="AA517" s="271"/>
      <c r="AB517" s="168"/>
      <c r="AC517" s="156"/>
      <c r="AD517" s="156"/>
      <c r="AE517" s="320"/>
      <c r="AF517" s="168"/>
      <c r="AG517" s="156"/>
      <c r="AH517" s="156"/>
      <c r="AI517" s="410"/>
    </row>
    <row r="518" spans="1:35" ht="19.5" hidden="1" customHeight="1">
      <c r="A518" s="137"/>
      <c r="B518" s="197">
        <f t="shared" si="8"/>
        <v>508</v>
      </c>
      <c r="C518" s="30" t="s">
        <v>202</v>
      </c>
      <c r="D518" s="30" t="s">
        <v>225</v>
      </c>
      <c r="E518" s="234" t="s">
        <v>929</v>
      </c>
      <c r="F518" s="235" t="s">
        <v>1329</v>
      </c>
      <c r="G518" s="284">
        <f>IFERROR(VLOOKUP(E518,Assign!$C$2:$J$142,8,FALSE),)</f>
        <v>0</v>
      </c>
      <c r="H518" s="197" t="s">
        <v>5492</v>
      </c>
      <c r="I518" s="324" t="s">
        <v>5512</v>
      </c>
      <c r="J518" s="237">
        <v>1</v>
      </c>
      <c r="K518" s="237">
        <v>20</v>
      </c>
      <c r="L518" s="265" t="s">
        <v>209</v>
      </c>
      <c r="M518" s="266" t="s">
        <v>294</v>
      </c>
      <c r="N518" s="266" t="s">
        <v>2963</v>
      </c>
      <c r="O518" s="267" t="s">
        <v>2984</v>
      </c>
      <c r="P518" s="268" t="s">
        <v>2965</v>
      </c>
      <c r="Q518" s="269">
        <f t="shared" si="9"/>
        <v>2314.9999999999995</v>
      </c>
      <c r="R518" s="269">
        <v>23.28</v>
      </c>
      <c r="S518" s="270"/>
      <c r="T518" s="182">
        <f>5.25/2315</f>
        <v>2.2678185745140388E-3</v>
      </c>
      <c r="U518" s="182">
        <v>1</v>
      </c>
      <c r="V518" s="408">
        <v>1</v>
      </c>
      <c r="W518" s="357" t="s">
        <v>204</v>
      </c>
      <c r="X518" s="156">
        <v>10200000000</v>
      </c>
      <c r="Y518" s="417">
        <v>10200000000</v>
      </c>
      <c r="Z518" s="418" t="s">
        <v>359</v>
      </c>
      <c r="AA518" s="271"/>
      <c r="AB518" s="168"/>
      <c r="AC518" s="156"/>
      <c r="AD518" s="156"/>
      <c r="AE518" s="320"/>
      <c r="AF518" s="168"/>
      <c r="AG518" s="156"/>
      <c r="AH518" s="156"/>
      <c r="AI518" s="410"/>
    </row>
    <row r="519" spans="1:35" ht="19.5" hidden="1" customHeight="1">
      <c r="A519" s="137"/>
      <c r="B519" s="197">
        <f t="shared" si="8"/>
        <v>509</v>
      </c>
      <c r="C519" s="30" t="s">
        <v>202</v>
      </c>
      <c r="D519" s="30" t="s">
        <v>225</v>
      </c>
      <c r="E519" s="234" t="s">
        <v>929</v>
      </c>
      <c r="F519" s="235" t="s">
        <v>1329</v>
      </c>
      <c r="G519" s="284">
        <f>IFERROR(VLOOKUP(E519,Assign!$C$2:$J$142,8,FALSE),)</f>
        <v>0</v>
      </c>
      <c r="H519" s="197" t="s">
        <v>5492</v>
      </c>
      <c r="I519" s="324" t="s">
        <v>5513</v>
      </c>
      <c r="J519" s="237">
        <v>1</v>
      </c>
      <c r="K519" s="237">
        <v>21</v>
      </c>
      <c r="L519" s="265" t="s">
        <v>209</v>
      </c>
      <c r="M519" s="266" t="s">
        <v>294</v>
      </c>
      <c r="N519" s="266" t="s">
        <v>2963</v>
      </c>
      <c r="O519" s="267" t="s">
        <v>2985</v>
      </c>
      <c r="P519" s="268" t="s">
        <v>2965</v>
      </c>
      <c r="Q519" s="269">
        <f t="shared" si="9"/>
        <v>2314.9999999999995</v>
      </c>
      <c r="R519" s="269">
        <v>21.25</v>
      </c>
      <c r="S519" s="270"/>
      <c r="T519" s="182">
        <f>4.7924/2315</f>
        <v>2.0701511879049673E-3</v>
      </c>
      <c r="U519" s="182">
        <v>1</v>
      </c>
      <c r="V519" s="408">
        <v>1</v>
      </c>
      <c r="W519" s="357" t="s">
        <v>204</v>
      </c>
      <c r="X519" s="156">
        <v>10200000000</v>
      </c>
      <c r="Y519" s="417">
        <v>10200000000</v>
      </c>
      <c r="Z519" s="418" t="s">
        <v>359</v>
      </c>
      <c r="AA519" s="271"/>
      <c r="AB519" s="168"/>
      <c r="AC519" s="156"/>
      <c r="AD519" s="156"/>
      <c r="AE519" s="320"/>
      <c r="AF519" s="168"/>
      <c r="AG519" s="156"/>
      <c r="AH519" s="156"/>
      <c r="AI519" s="410"/>
    </row>
    <row r="520" spans="1:35" ht="19.5" hidden="1" customHeight="1">
      <c r="A520" s="137"/>
      <c r="B520" s="197">
        <f t="shared" si="8"/>
        <v>510</v>
      </c>
      <c r="C520" s="30" t="s">
        <v>202</v>
      </c>
      <c r="D520" s="30" t="s">
        <v>225</v>
      </c>
      <c r="E520" s="234" t="s">
        <v>929</v>
      </c>
      <c r="F520" s="235" t="s">
        <v>1329</v>
      </c>
      <c r="G520" s="284">
        <f>IFERROR(VLOOKUP(E520,Assign!$C$2:$J$142,8,FALSE),)</f>
        <v>0</v>
      </c>
      <c r="H520" s="197" t="s">
        <v>5492</v>
      </c>
      <c r="I520" s="324" t="s">
        <v>5514</v>
      </c>
      <c r="J520" s="237">
        <v>1</v>
      </c>
      <c r="K520" s="237">
        <v>22</v>
      </c>
      <c r="L520" s="265" t="s">
        <v>209</v>
      </c>
      <c r="M520" s="266" t="s">
        <v>294</v>
      </c>
      <c r="N520" s="266" t="s">
        <v>2963</v>
      </c>
      <c r="O520" s="267" t="s">
        <v>2986</v>
      </c>
      <c r="P520" s="268" t="s">
        <v>2965</v>
      </c>
      <c r="Q520" s="269">
        <f t="shared" si="9"/>
        <v>2314.9999999999995</v>
      </c>
      <c r="R520" s="269">
        <v>28.39</v>
      </c>
      <c r="S520" s="270"/>
      <c r="T520" s="182">
        <f>6.4032/2315</f>
        <v>2.7659611231101514E-3</v>
      </c>
      <c r="U520" s="182">
        <v>1</v>
      </c>
      <c r="V520" s="408">
        <v>1</v>
      </c>
      <c r="W520" s="357" t="s">
        <v>204</v>
      </c>
      <c r="X520" s="156">
        <v>10200000000</v>
      </c>
      <c r="Y520" s="417">
        <v>10200000000</v>
      </c>
      <c r="Z520" s="418" t="s">
        <v>359</v>
      </c>
      <c r="AA520" s="271"/>
      <c r="AB520" s="168"/>
      <c r="AC520" s="156"/>
      <c r="AD520" s="156"/>
      <c r="AE520" s="320"/>
      <c r="AF520" s="168"/>
      <c r="AG520" s="156"/>
      <c r="AH520" s="156"/>
      <c r="AI520" s="410"/>
    </row>
    <row r="521" spans="1:35" ht="19.5" hidden="1" customHeight="1">
      <c r="A521" s="137"/>
      <c r="B521" s="197">
        <f t="shared" si="8"/>
        <v>511</v>
      </c>
      <c r="C521" s="30" t="s">
        <v>202</v>
      </c>
      <c r="D521" s="30" t="s">
        <v>225</v>
      </c>
      <c r="E521" s="234" t="s">
        <v>929</v>
      </c>
      <c r="F521" s="235" t="s">
        <v>1329</v>
      </c>
      <c r="G521" s="284">
        <f>IFERROR(VLOOKUP(E521,Assign!$C$2:$J$142,8,FALSE),)</f>
        <v>0</v>
      </c>
      <c r="H521" s="197" t="s">
        <v>5492</v>
      </c>
      <c r="I521" s="324" t="s">
        <v>5515</v>
      </c>
      <c r="J521" s="237">
        <v>1</v>
      </c>
      <c r="K521" s="237">
        <v>23</v>
      </c>
      <c r="L521" s="265" t="s">
        <v>209</v>
      </c>
      <c r="M521" s="266" t="s">
        <v>294</v>
      </c>
      <c r="N521" s="266" t="s">
        <v>2963</v>
      </c>
      <c r="O521" s="267" t="s">
        <v>2987</v>
      </c>
      <c r="P521" s="268" t="s">
        <v>2965</v>
      </c>
      <c r="Q521" s="269">
        <f t="shared" si="9"/>
        <v>2314.9999999999995</v>
      </c>
      <c r="R521" s="269">
        <v>28.88</v>
      </c>
      <c r="S521" s="270"/>
      <c r="T521" s="182">
        <f>6.5125/2315</f>
        <v>2.8131749460043199E-3</v>
      </c>
      <c r="U521" s="182">
        <v>1</v>
      </c>
      <c r="V521" s="408">
        <v>1</v>
      </c>
      <c r="W521" s="357" t="s">
        <v>204</v>
      </c>
      <c r="X521" s="156">
        <v>10200000000</v>
      </c>
      <c r="Y521" s="417">
        <v>10200000000</v>
      </c>
      <c r="Z521" s="418" t="s">
        <v>359</v>
      </c>
      <c r="AA521" s="271"/>
      <c r="AB521" s="168"/>
      <c r="AC521" s="156"/>
      <c r="AD521" s="156"/>
      <c r="AE521" s="320"/>
      <c r="AF521" s="168"/>
      <c r="AG521" s="156"/>
      <c r="AH521" s="156"/>
      <c r="AI521" s="410"/>
    </row>
    <row r="522" spans="1:35" ht="19.5" hidden="1" customHeight="1">
      <c r="A522" s="137"/>
      <c r="B522" s="197">
        <f t="shared" si="8"/>
        <v>512</v>
      </c>
      <c r="C522" s="30" t="s">
        <v>202</v>
      </c>
      <c r="D522" s="30" t="s">
        <v>225</v>
      </c>
      <c r="E522" s="234" t="s">
        <v>929</v>
      </c>
      <c r="F522" s="235" t="s">
        <v>1329</v>
      </c>
      <c r="G522" s="284">
        <f>IFERROR(VLOOKUP(E522,Assign!$C$2:$J$142,8,FALSE),)</f>
        <v>0</v>
      </c>
      <c r="H522" s="197" t="s">
        <v>5492</v>
      </c>
      <c r="I522" s="324" t="s">
        <v>5516</v>
      </c>
      <c r="J522" s="237">
        <v>1</v>
      </c>
      <c r="K522" s="237">
        <v>24</v>
      </c>
      <c r="L522" s="265" t="s">
        <v>209</v>
      </c>
      <c r="M522" s="266" t="s">
        <v>294</v>
      </c>
      <c r="N522" s="266" t="s">
        <v>2963</v>
      </c>
      <c r="O522" s="267" t="s">
        <v>2988</v>
      </c>
      <c r="P522" s="268" t="s">
        <v>2965</v>
      </c>
      <c r="Q522" s="269">
        <f t="shared" si="9"/>
        <v>2314.9999999999995</v>
      </c>
      <c r="R522" s="269">
        <v>28.03</v>
      </c>
      <c r="S522" s="270"/>
      <c r="T522" s="182">
        <f>6.3212/2315</f>
        <v>2.7305399568034556E-3</v>
      </c>
      <c r="U522" s="182">
        <v>1</v>
      </c>
      <c r="V522" s="408">
        <v>1</v>
      </c>
      <c r="W522" s="357" t="s">
        <v>204</v>
      </c>
      <c r="X522" s="156">
        <v>10200000000</v>
      </c>
      <c r="Y522" s="417">
        <v>10200000000</v>
      </c>
      <c r="Z522" s="418" t="s">
        <v>359</v>
      </c>
      <c r="AA522" s="271"/>
      <c r="AB522" s="168"/>
      <c r="AC522" s="156"/>
      <c r="AD522" s="156"/>
      <c r="AE522" s="320"/>
      <c r="AF522" s="168"/>
      <c r="AG522" s="156"/>
      <c r="AH522" s="156"/>
      <c r="AI522" s="410"/>
    </row>
    <row r="523" spans="1:35" ht="19.5" hidden="1" customHeight="1">
      <c r="A523" s="137"/>
      <c r="B523" s="197">
        <f t="shared" ref="B523:B586" si="10">ROW()-10</f>
        <v>513</v>
      </c>
      <c r="C523" s="30" t="s">
        <v>202</v>
      </c>
      <c r="D523" s="30" t="s">
        <v>225</v>
      </c>
      <c r="E523" s="234" t="s">
        <v>929</v>
      </c>
      <c r="F523" s="235" t="s">
        <v>1329</v>
      </c>
      <c r="G523" s="284">
        <f>IFERROR(VLOOKUP(E523,Assign!$C$2:$J$142,8,FALSE),)</f>
        <v>0</v>
      </c>
      <c r="H523" s="197" t="s">
        <v>5517</v>
      </c>
      <c r="I523" s="324" t="s">
        <v>5518</v>
      </c>
      <c r="J523" s="237">
        <v>2</v>
      </c>
      <c r="K523" s="237">
        <v>1</v>
      </c>
      <c r="L523" s="265" t="s">
        <v>209</v>
      </c>
      <c r="M523" s="266" t="s">
        <v>305</v>
      </c>
      <c r="N523" s="266" t="s">
        <v>2147</v>
      </c>
      <c r="O523" s="267" t="s">
        <v>2989</v>
      </c>
      <c r="P523" s="268" t="s">
        <v>2990</v>
      </c>
      <c r="Q523" s="269">
        <f t="shared" ref="Q523:Q536" si="11">442+455.2+460.5+440.7</f>
        <v>1798.4</v>
      </c>
      <c r="R523" s="269">
        <v>7.8</v>
      </c>
      <c r="S523" s="270"/>
      <c r="T523" s="182" t="s">
        <v>273</v>
      </c>
      <c r="U523" s="182">
        <v>1</v>
      </c>
      <c r="V523" s="408">
        <v>1</v>
      </c>
      <c r="W523" s="357" t="s">
        <v>204</v>
      </c>
      <c r="X523" s="156">
        <v>10200000000</v>
      </c>
      <c r="Y523" s="417">
        <v>10200000000</v>
      </c>
      <c r="Z523" s="418" t="s">
        <v>359</v>
      </c>
      <c r="AA523" s="271"/>
      <c r="AB523" s="168"/>
      <c r="AC523" s="156"/>
      <c r="AD523" s="156"/>
      <c r="AE523" s="320"/>
      <c r="AF523" s="168"/>
      <c r="AG523" s="156"/>
      <c r="AH523" s="156"/>
      <c r="AI523" s="410"/>
    </row>
    <row r="524" spans="1:35" ht="19.5" hidden="1" customHeight="1">
      <c r="A524" s="137"/>
      <c r="B524" s="197">
        <f t="shared" si="10"/>
        <v>514</v>
      </c>
      <c r="C524" s="30" t="s">
        <v>202</v>
      </c>
      <c r="D524" s="30" t="s">
        <v>225</v>
      </c>
      <c r="E524" s="234" t="s">
        <v>929</v>
      </c>
      <c r="F524" s="235" t="s">
        <v>1329</v>
      </c>
      <c r="G524" s="284">
        <f>IFERROR(VLOOKUP(E524,Assign!$C$2:$J$142,8,FALSE),)</f>
        <v>0</v>
      </c>
      <c r="H524" s="197" t="s">
        <v>5517</v>
      </c>
      <c r="I524" s="324" t="s">
        <v>5519</v>
      </c>
      <c r="J524" s="237">
        <v>2</v>
      </c>
      <c r="K524" s="237">
        <v>2</v>
      </c>
      <c r="L524" s="265" t="s">
        <v>209</v>
      </c>
      <c r="M524" s="266" t="s">
        <v>305</v>
      </c>
      <c r="N524" s="266" t="s">
        <v>2147</v>
      </c>
      <c r="O524" s="267" t="s">
        <v>2991</v>
      </c>
      <c r="P524" s="268" t="s">
        <v>2990</v>
      </c>
      <c r="Q524" s="269">
        <f t="shared" si="11"/>
        <v>1798.4</v>
      </c>
      <c r="R524" s="269">
        <v>8.51</v>
      </c>
      <c r="S524" s="270"/>
      <c r="T524" s="182" t="s">
        <v>273</v>
      </c>
      <c r="U524" s="182">
        <v>1</v>
      </c>
      <c r="V524" s="408">
        <v>1</v>
      </c>
      <c r="W524" s="357" t="s">
        <v>204</v>
      </c>
      <c r="X524" s="156">
        <v>10200000000</v>
      </c>
      <c r="Y524" s="417">
        <v>10200000000</v>
      </c>
      <c r="Z524" s="418" t="s">
        <v>359</v>
      </c>
      <c r="AA524" s="271"/>
      <c r="AB524" s="168"/>
      <c r="AC524" s="156"/>
      <c r="AD524" s="156"/>
      <c r="AE524" s="320"/>
      <c r="AF524" s="168"/>
      <c r="AG524" s="156"/>
      <c r="AH524" s="156"/>
      <c r="AI524" s="410"/>
    </row>
    <row r="525" spans="1:35" ht="19.5" hidden="1" customHeight="1">
      <c r="A525" s="137"/>
      <c r="B525" s="197">
        <f t="shared" si="10"/>
        <v>515</v>
      </c>
      <c r="C525" s="30" t="s">
        <v>202</v>
      </c>
      <c r="D525" s="30" t="s">
        <v>225</v>
      </c>
      <c r="E525" s="234" t="s">
        <v>929</v>
      </c>
      <c r="F525" s="235" t="s">
        <v>1329</v>
      </c>
      <c r="G525" s="284">
        <f>IFERROR(VLOOKUP(E525,Assign!$C$2:$J$142,8,FALSE),)</f>
        <v>0</v>
      </c>
      <c r="H525" s="197" t="s">
        <v>5517</v>
      </c>
      <c r="I525" s="324" t="s">
        <v>5520</v>
      </c>
      <c r="J525" s="237">
        <v>2</v>
      </c>
      <c r="K525" s="237">
        <v>3</v>
      </c>
      <c r="L525" s="265" t="s">
        <v>209</v>
      </c>
      <c r="M525" s="266" t="s">
        <v>305</v>
      </c>
      <c r="N525" s="266" t="s">
        <v>2147</v>
      </c>
      <c r="O525" s="267" t="s">
        <v>2992</v>
      </c>
      <c r="P525" s="268" t="s">
        <v>2990</v>
      </c>
      <c r="Q525" s="269">
        <f t="shared" si="11"/>
        <v>1798.4</v>
      </c>
      <c r="R525" s="269">
        <v>5.67</v>
      </c>
      <c r="S525" s="270"/>
      <c r="T525" s="182" t="s">
        <v>273</v>
      </c>
      <c r="U525" s="182">
        <v>1</v>
      </c>
      <c r="V525" s="408">
        <v>1</v>
      </c>
      <c r="W525" s="357" t="s">
        <v>204</v>
      </c>
      <c r="X525" s="156">
        <v>10200000000</v>
      </c>
      <c r="Y525" s="417">
        <v>10200000000</v>
      </c>
      <c r="Z525" s="418" t="s">
        <v>359</v>
      </c>
      <c r="AA525" s="271"/>
      <c r="AB525" s="168"/>
      <c r="AC525" s="156"/>
      <c r="AD525" s="156"/>
      <c r="AE525" s="320"/>
      <c r="AF525" s="168"/>
      <c r="AG525" s="156"/>
      <c r="AH525" s="156"/>
      <c r="AI525" s="410"/>
    </row>
    <row r="526" spans="1:35" ht="19.5" hidden="1" customHeight="1">
      <c r="A526" s="137"/>
      <c r="B526" s="197">
        <f t="shared" si="10"/>
        <v>516</v>
      </c>
      <c r="C526" s="30" t="s">
        <v>202</v>
      </c>
      <c r="D526" s="30" t="s">
        <v>225</v>
      </c>
      <c r="E526" s="234" t="s">
        <v>929</v>
      </c>
      <c r="F526" s="235" t="s">
        <v>1329</v>
      </c>
      <c r="G526" s="284">
        <f>IFERROR(VLOOKUP(E526,Assign!$C$2:$J$142,8,FALSE),)</f>
        <v>0</v>
      </c>
      <c r="H526" s="197" t="s">
        <v>5517</v>
      </c>
      <c r="I526" s="324" t="s">
        <v>5521</v>
      </c>
      <c r="J526" s="237">
        <v>2</v>
      </c>
      <c r="K526" s="237">
        <v>4</v>
      </c>
      <c r="L526" s="265" t="s">
        <v>209</v>
      </c>
      <c r="M526" s="266" t="s">
        <v>305</v>
      </c>
      <c r="N526" s="266" t="s">
        <v>2147</v>
      </c>
      <c r="O526" s="267" t="s">
        <v>2993</v>
      </c>
      <c r="P526" s="268" t="s">
        <v>2990</v>
      </c>
      <c r="Q526" s="269">
        <f t="shared" si="11"/>
        <v>1798.4</v>
      </c>
      <c r="R526" s="269">
        <v>7.8</v>
      </c>
      <c r="S526" s="270"/>
      <c r="T526" s="182" t="s">
        <v>273</v>
      </c>
      <c r="U526" s="182">
        <v>1</v>
      </c>
      <c r="V526" s="408">
        <v>1</v>
      </c>
      <c r="W526" s="357" t="s">
        <v>204</v>
      </c>
      <c r="X526" s="156">
        <v>10200000000</v>
      </c>
      <c r="Y526" s="417">
        <v>10200000000</v>
      </c>
      <c r="Z526" s="418" t="s">
        <v>359</v>
      </c>
      <c r="AA526" s="271"/>
      <c r="AB526" s="168"/>
      <c r="AC526" s="156"/>
      <c r="AD526" s="156"/>
      <c r="AE526" s="320"/>
      <c r="AF526" s="168"/>
      <c r="AG526" s="156"/>
      <c r="AH526" s="156"/>
      <c r="AI526" s="410"/>
    </row>
    <row r="527" spans="1:35" ht="19.5" hidden="1" customHeight="1">
      <c r="A527" s="137"/>
      <c r="B527" s="197">
        <f t="shared" si="10"/>
        <v>517</v>
      </c>
      <c r="C527" s="30" t="s">
        <v>202</v>
      </c>
      <c r="D527" s="30" t="s">
        <v>225</v>
      </c>
      <c r="E527" s="234" t="s">
        <v>929</v>
      </c>
      <c r="F527" s="235" t="s">
        <v>1329</v>
      </c>
      <c r="G527" s="284">
        <f>IFERROR(VLOOKUP(E527,Assign!$C$2:$J$142,8,FALSE),)</f>
        <v>0</v>
      </c>
      <c r="H527" s="197" t="s">
        <v>5517</v>
      </c>
      <c r="I527" s="324" t="s">
        <v>5522</v>
      </c>
      <c r="J527" s="237">
        <v>2</v>
      </c>
      <c r="K527" s="237">
        <v>5</v>
      </c>
      <c r="L527" s="265" t="s">
        <v>209</v>
      </c>
      <c r="M527" s="266" t="s">
        <v>305</v>
      </c>
      <c r="N527" s="266" t="s">
        <v>2147</v>
      </c>
      <c r="O527" s="267" t="s">
        <v>2994</v>
      </c>
      <c r="P527" s="268" t="s">
        <v>2990</v>
      </c>
      <c r="Q527" s="269">
        <f t="shared" si="11"/>
        <v>1798.4</v>
      </c>
      <c r="R527" s="269">
        <v>7.8</v>
      </c>
      <c r="S527" s="270"/>
      <c r="T527" s="182" t="s">
        <v>273</v>
      </c>
      <c r="U527" s="182">
        <v>1</v>
      </c>
      <c r="V527" s="408">
        <v>1</v>
      </c>
      <c r="W527" s="357" t="s">
        <v>204</v>
      </c>
      <c r="X527" s="156">
        <v>10200000000</v>
      </c>
      <c r="Y527" s="417">
        <v>10200000000</v>
      </c>
      <c r="Z527" s="418" t="s">
        <v>359</v>
      </c>
      <c r="AA527" s="271"/>
      <c r="AB527" s="168"/>
      <c r="AC527" s="156"/>
      <c r="AD527" s="156"/>
      <c r="AE527" s="320"/>
      <c r="AF527" s="168"/>
      <c r="AG527" s="156"/>
      <c r="AH527" s="156"/>
      <c r="AI527" s="410"/>
    </row>
    <row r="528" spans="1:35" ht="19.5" hidden="1" customHeight="1">
      <c r="A528" s="137"/>
      <c r="B528" s="197">
        <f t="shared" si="10"/>
        <v>518</v>
      </c>
      <c r="C528" s="30" t="s">
        <v>202</v>
      </c>
      <c r="D528" s="30" t="s">
        <v>225</v>
      </c>
      <c r="E528" s="234" t="s">
        <v>929</v>
      </c>
      <c r="F528" s="235" t="s">
        <v>1329</v>
      </c>
      <c r="G528" s="284">
        <f>IFERROR(VLOOKUP(E528,Assign!$C$2:$J$142,8,FALSE),)</f>
        <v>0</v>
      </c>
      <c r="H528" s="197" t="s">
        <v>5517</v>
      </c>
      <c r="I528" s="324" t="s">
        <v>5523</v>
      </c>
      <c r="J528" s="237">
        <v>2</v>
      </c>
      <c r="K528" s="237">
        <v>6</v>
      </c>
      <c r="L528" s="265" t="s">
        <v>209</v>
      </c>
      <c r="M528" s="266" t="s">
        <v>305</v>
      </c>
      <c r="N528" s="266" t="s">
        <v>2147</v>
      </c>
      <c r="O528" s="267" t="s">
        <v>2995</v>
      </c>
      <c r="P528" s="268" t="s">
        <v>2990</v>
      </c>
      <c r="Q528" s="269">
        <f t="shared" si="11"/>
        <v>1798.4</v>
      </c>
      <c r="R528" s="269">
        <v>7.8</v>
      </c>
      <c r="S528" s="270"/>
      <c r="T528" s="182" t="s">
        <v>273</v>
      </c>
      <c r="U528" s="182">
        <v>1</v>
      </c>
      <c r="V528" s="408">
        <v>1</v>
      </c>
      <c r="W528" s="357" t="s">
        <v>204</v>
      </c>
      <c r="X528" s="156">
        <v>10200000000</v>
      </c>
      <c r="Y528" s="417">
        <v>10200000000</v>
      </c>
      <c r="Z528" s="418" t="s">
        <v>359</v>
      </c>
      <c r="AA528" s="271"/>
      <c r="AB528" s="168"/>
      <c r="AC528" s="156"/>
      <c r="AD528" s="156"/>
      <c r="AE528" s="320"/>
      <c r="AF528" s="168"/>
      <c r="AG528" s="156"/>
      <c r="AH528" s="156"/>
      <c r="AI528" s="410"/>
    </row>
    <row r="529" spans="1:35" ht="19.5" hidden="1" customHeight="1">
      <c r="A529" s="137"/>
      <c r="B529" s="197">
        <f t="shared" si="10"/>
        <v>519</v>
      </c>
      <c r="C529" s="30" t="s">
        <v>202</v>
      </c>
      <c r="D529" s="30" t="s">
        <v>225</v>
      </c>
      <c r="E529" s="234" t="s">
        <v>929</v>
      </c>
      <c r="F529" s="235" t="s">
        <v>1329</v>
      </c>
      <c r="G529" s="284">
        <f>IFERROR(VLOOKUP(E529,Assign!$C$2:$J$142,8,FALSE),)</f>
        <v>0</v>
      </c>
      <c r="H529" s="197" t="s">
        <v>5517</v>
      </c>
      <c r="I529" s="324" t="s">
        <v>5524</v>
      </c>
      <c r="J529" s="237">
        <v>2</v>
      </c>
      <c r="K529" s="237">
        <v>7</v>
      </c>
      <c r="L529" s="265" t="s">
        <v>209</v>
      </c>
      <c r="M529" s="266" t="s">
        <v>305</v>
      </c>
      <c r="N529" s="266" t="s">
        <v>2147</v>
      </c>
      <c r="O529" s="267" t="s">
        <v>2996</v>
      </c>
      <c r="P529" s="268" t="s">
        <v>2990</v>
      </c>
      <c r="Q529" s="269">
        <f t="shared" si="11"/>
        <v>1798.4</v>
      </c>
      <c r="R529" s="269">
        <v>8.25</v>
      </c>
      <c r="S529" s="270"/>
      <c r="T529" s="182" t="s">
        <v>273</v>
      </c>
      <c r="U529" s="182">
        <v>1</v>
      </c>
      <c r="V529" s="408">
        <v>1</v>
      </c>
      <c r="W529" s="357" t="s">
        <v>204</v>
      </c>
      <c r="X529" s="156">
        <v>10200000000</v>
      </c>
      <c r="Y529" s="417">
        <v>10200000000</v>
      </c>
      <c r="Z529" s="418" t="s">
        <v>359</v>
      </c>
      <c r="AA529" s="271"/>
      <c r="AB529" s="168"/>
      <c r="AC529" s="156"/>
      <c r="AD529" s="156"/>
      <c r="AE529" s="320"/>
      <c r="AF529" s="168"/>
      <c r="AG529" s="156"/>
      <c r="AH529" s="156"/>
      <c r="AI529" s="410"/>
    </row>
    <row r="530" spans="1:35" ht="19.5" hidden="1" customHeight="1">
      <c r="A530" s="137"/>
      <c r="B530" s="197">
        <f t="shared" si="10"/>
        <v>520</v>
      </c>
      <c r="C530" s="30" t="s">
        <v>202</v>
      </c>
      <c r="D530" s="30" t="s">
        <v>225</v>
      </c>
      <c r="E530" s="234" t="s">
        <v>929</v>
      </c>
      <c r="F530" s="235" t="s">
        <v>1329</v>
      </c>
      <c r="G530" s="284">
        <f>IFERROR(VLOOKUP(E530,Assign!$C$2:$J$142,8,FALSE),)</f>
        <v>0</v>
      </c>
      <c r="H530" s="197" t="s">
        <v>5517</v>
      </c>
      <c r="I530" s="324" t="s">
        <v>5525</v>
      </c>
      <c r="J530" s="237">
        <v>2</v>
      </c>
      <c r="K530" s="237">
        <v>8</v>
      </c>
      <c r="L530" s="265" t="s">
        <v>209</v>
      </c>
      <c r="M530" s="266" t="s">
        <v>305</v>
      </c>
      <c r="N530" s="266" t="s">
        <v>2147</v>
      </c>
      <c r="O530" s="267" t="s">
        <v>2997</v>
      </c>
      <c r="P530" s="268" t="s">
        <v>2990</v>
      </c>
      <c r="Q530" s="269">
        <f t="shared" si="11"/>
        <v>1798.4</v>
      </c>
      <c r="R530" s="269">
        <v>8.25</v>
      </c>
      <c r="S530" s="270"/>
      <c r="T530" s="182" t="s">
        <v>273</v>
      </c>
      <c r="U530" s="182">
        <v>1</v>
      </c>
      <c r="V530" s="408">
        <v>1</v>
      </c>
      <c r="W530" s="357" t="s">
        <v>204</v>
      </c>
      <c r="X530" s="156">
        <v>10200000000</v>
      </c>
      <c r="Y530" s="417">
        <v>10200000000</v>
      </c>
      <c r="Z530" s="418" t="s">
        <v>359</v>
      </c>
      <c r="AA530" s="271"/>
      <c r="AB530" s="168"/>
      <c r="AC530" s="156"/>
      <c r="AD530" s="156"/>
      <c r="AE530" s="320"/>
      <c r="AF530" s="168"/>
      <c r="AG530" s="156"/>
      <c r="AH530" s="156"/>
      <c r="AI530" s="410"/>
    </row>
    <row r="531" spans="1:35" ht="19.5" hidden="1" customHeight="1">
      <c r="A531" s="137"/>
      <c r="B531" s="197">
        <f t="shared" si="10"/>
        <v>521</v>
      </c>
      <c r="C531" s="30" t="s">
        <v>202</v>
      </c>
      <c r="D531" s="30" t="s">
        <v>225</v>
      </c>
      <c r="E531" s="234" t="s">
        <v>929</v>
      </c>
      <c r="F531" s="235" t="s">
        <v>1329</v>
      </c>
      <c r="G531" s="284">
        <f>IFERROR(VLOOKUP(E531,Assign!$C$2:$J$142,8,FALSE),)</f>
        <v>0</v>
      </c>
      <c r="H531" s="197" t="s">
        <v>5517</v>
      </c>
      <c r="I531" s="324" t="s">
        <v>5526</v>
      </c>
      <c r="J531" s="237">
        <v>2</v>
      </c>
      <c r="K531" s="237">
        <v>9</v>
      </c>
      <c r="L531" s="265" t="s">
        <v>209</v>
      </c>
      <c r="M531" s="266" t="s">
        <v>305</v>
      </c>
      <c r="N531" s="266" t="s">
        <v>2147</v>
      </c>
      <c r="O531" s="267" t="s">
        <v>2998</v>
      </c>
      <c r="P531" s="268" t="s">
        <v>2990</v>
      </c>
      <c r="Q531" s="269">
        <f t="shared" si="11"/>
        <v>1798.4</v>
      </c>
      <c r="R531" s="269">
        <v>17.71</v>
      </c>
      <c r="S531" s="270"/>
      <c r="T531" s="182" t="s">
        <v>273</v>
      </c>
      <c r="U531" s="182">
        <v>1</v>
      </c>
      <c r="V531" s="408">
        <v>1</v>
      </c>
      <c r="W531" s="357" t="s">
        <v>204</v>
      </c>
      <c r="X531" s="156">
        <v>10200000000</v>
      </c>
      <c r="Y531" s="417">
        <v>10200000000</v>
      </c>
      <c r="Z531" s="418" t="s">
        <v>359</v>
      </c>
      <c r="AA531" s="271"/>
      <c r="AB531" s="168"/>
      <c r="AC531" s="156"/>
      <c r="AD531" s="156"/>
      <c r="AE531" s="320"/>
      <c r="AF531" s="168"/>
      <c r="AG531" s="156"/>
      <c r="AH531" s="156"/>
      <c r="AI531" s="410"/>
    </row>
    <row r="532" spans="1:35" ht="19.5" hidden="1" customHeight="1">
      <c r="A532" s="137"/>
      <c r="B532" s="197">
        <f t="shared" si="10"/>
        <v>522</v>
      </c>
      <c r="C532" s="30" t="s">
        <v>202</v>
      </c>
      <c r="D532" s="30" t="s">
        <v>225</v>
      </c>
      <c r="E532" s="234" t="s">
        <v>929</v>
      </c>
      <c r="F532" s="235" t="s">
        <v>1329</v>
      </c>
      <c r="G532" s="284">
        <f>IFERROR(VLOOKUP(E532,Assign!$C$2:$J$142,8,FALSE),)</f>
        <v>0</v>
      </c>
      <c r="H532" s="197" t="s">
        <v>5517</v>
      </c>
      <c r="I532" s="324" t="s">
        <v>5527</v>
      </c>
      <c r="J532" s="237">
        <v>2</v>
      </c>
      <c r="K532" s="237">
        <v>10</v>
      </c>
      <c r="L532" s="265" t="s">
        <v>209</v>
      </c>
      <c r="M532" s="266" t="s">
        <v>305</v>
      </c>
      <c r="N532" s="266" t="s">
        <v>2147</v>
      </c>
      <c r="O532" s="267" t="s">
        <v>2999</v>
      </c>
      <c r="P532" s="268" t="s">
        <v>2990</v>
      </c>
      <c r="Q532" s="269">
        <f t="shared" si="11"/>
        <v>1798.4</v>
      </c>
      <c r="R532" s="269">
        <v>18.899999999999999</v>
      </c>
      <c r="S532" s="270"/>
      <c r="T532" s="182" t="s">
        <v>273</v>
      </c>
      <c r="U532" s="182">
        <v>1</v>
      </c>
      <c r="V532" s="408">
        <v>1</v>
      </c>
      <c r="W532" s="357" t="s">
        <v>204</v>
      </c>
      <c r="X532" s="156">
        <v>10200000000</v>
      </c>
      <c r="Y532" s="417">
        <v>10200000000</v>
      </c>
      <c r="Z532" s="418" t="s">
        <v>359</v>
      </c>
      <c r="AA532" s="271"/>
      <c r="AB532" s="168"/>
      <c r="AC532" s="156"/>
      <c r="AD532" s="156"/>
      <c r="AE532" s="320"/>
      <c r="AF532" s="168"/>
      <c r="AG532" s="156"/>
      <c r="AH532" s="156"/>
      <c r="AI532" s="410"/>
    </row>
    <row r="533" spans="1:35" ht="19.5" hidden="1" customHeight="1">
      <c r="A533" s="137"/>
      <c r="B533" s="197">
        <f t="shared" si="10"/>
        <v>523</v>
      </c>
      <c r="C533" s="30" t="s">
        <v>202</v>
      </c>
      <c r="D533" s="30" t="s">
        <v>225</v>
      </c>
      <c r="E533" s="234" t="s">
        <v>929</v>
      </c>
      <c r="F533" s="235" t="s">
        <v>1329</v>
      </c>
      <c r="G533" s="284">
        <f>IFERROR(VLOOKUP(E533,Assign!$C$2:$J$142,8,FALSE),)</f>
        <v>0</v>
      </c>
      <c r="H533" s="197" t="s">
        <v>5517</v>
      </c>
      <c r="I533" s="324" t="s">
        <v>5528</v>
      </c>
      <c r="J533" s="237">
        <v>2</v>
      </c>
      <c r="K533" s="237">
        <v>11</v>
      </c>
      <c r="L533" s="265" t="s">
        <v>209</v>
      </c>
      <c r="M533" s="266" t="s">
        <v>305</v>
      </c>
      <c r="N533" s="266" t="s">
        <v>2147</v>
      </c>
      <c r="O533" s="267" t="s">
        <v>3000</v>
      </c>
      <c r="P533" s="268" t="s">
        <v>2990</v>
      </c>
      <c r="Q533" s="269">
        <f t="shared" si="11"/>
        <v>1798.4</v>
      </c>
      <c r="R533" s="269">
        <v>13.39</v>
      </c>
      <c r="S533" s="270"/>
      <c r="T533" s="182" t="s">
        <v>273</v>
      </c>
      <c r="U533" s="182">
        <v>1</v>
      </c>
      <c r="V533" s="408">
        <v>1</v>
      </c>
      <c r="W533" s="357" t="s">
        <v>204</v>
      </c>
      <c r="X533" s="156">
        <v>10200000000</v>
      </c>
      <c r="Y533" s="417">
        <v>10200000000</v>
      </c>
      <c r="Z533" s="418" t="s">
        <v>359</v>
      </c>
      <c r="AA533" s="271"/>
      <c r="AB533" s="168"/>
      <c r="AC533" s="156"/>
      <c r="AD533" s="156"/>
      <c r="AE533" s="320"/>
      <c r="AF533" s="168"/>
      <c r="AG533" s="156"/>
      <c r="AH533" s="156"/>
      <c r="AI533" s="410"/>
    </row>
    <row r="534" spans="1:35" ht="19.5" hidden="1" customHeight="1">
      <c r="A534" s="137"/>
      <c r="B534" s="197">
        <f t="shared" si="10"/>
        <v>524</v>
      </c>
      <c r="C534" s="30" t="s">
        <v>202</v>
      </c>
      <c r="D534" s="30" t="s">
        <v>225</v>
      </c>
      <c r="E534" s="234" t="s">
        <v>929</v>
      </c>
      <c r="F534" s="235" t="s">
        <v>1329</v>
      </c>
      <c r="G534" s="284">
        <f>IFERROR(VLOOKUP(E534,Assign!$C$2:$J$142,8,FALSE),)</f>
        <v>0</v>
      </c>
      <c r="H534" s="197" t="s">
        <v>5517</v>
      </c>
      <c r="I534" s="324" t="s">
        <v>5529</v>
      </c>
      <c r="J534" s="237">
        <v>2</v>
      </c>
      <c r="K534" s="237">
        <v>12</v>
      </c>
      <c r="L534" s="265" t="s">
        <v>209</v>
      </c>
      <c r="M534" s="266" t="s">
        <v>305</v>
      </c>
      <c r="N534" s="266" t="s">
        <v>2147</v>
      </c>
      <c r="O534" s="267" t="s">
        <v>3001</v>
      </c>
      <c r="P534" s="268" t="s">
        <v>2990</v>
      </c>
      <c r="Q534" s="269">
        <f t="shared" si="11"/>
        <v>1798.4</v>
      </c>
      <c r="R534" s="269">
        <v>8.2799999999999994</v>
      </c>
      <c r="S534" s="270"/>
      <c r="T534" s="182" t="s">
        <v>273</v>
      </c>
      <c r="U534" s="182">
        <v>1</v>
      </c>
      <c r="V534" s="408">
        <v>1</v>
      </c>
      <c r="W534" s="357" t="s">
        <v>204</v>
      </c>
      <c r="X534" s="156">
        <v>10200000000</v>
      </c>
      <c r="Y534" s="417">
        <v>10200000000</v>
      </c>
      <c r="Z534" s="418" t="s">
        <v>359</v>
      </c>
      <c r="AA534" s="271"/>
      <c r="AB534" s="168"/>
      <c r="AC534" s="156"/>
      <c r="AD534" s="156"/>
      <c r="AE534" s="320"/>
      <c r="AF534" s="168"/>
      <c r="AG534" s="156"/>
      <c r="AH534" s="156"/>
      <c r="AI534" s="410"/>
    </row>
    <row r="535" spans="1:35" ht="19.5" hidden="1" customHeight="1">
      <c r="A535" s="137"/>
      <c r="B535" s="197">
        <f t="shared" si="10"/>
        <v>525</v>
      </c>
      <c r="C535" s="30" t="s">
        <v>202</v>
      </c>
      <c r="D535" s="30" t="s">
        <v>225</v>
      </c>
      <c r="E535" s="234" t="s">
        <v>929</v>
      </c>
      <c r="F535" s="235" t="s">
        <v>1329</v>
      </c>
      <c r="G535" s="284">
        <f>IFERROR(VLOOKUP(E535,Assign!$C$2:$J$142,8,FALSE),)</f>
        <v>0</v>
      </c>
      <c r="H535" s="197" t="s">
        <v>5517</v>
      </c>
      <c r="I535" s="324" t="s">
        <v>5530</v>
      </c>
      <c r="J535" s="237">
        <v>2</v>
      </c>
      <c r="K535" s="237">
        <v>13</v>
      </c>
      <c r="L535" s="265" t="s">
        <v>209</v>
      </c>
      <c r="M535" s="266" t="s">
        <v>305</v>
      </c>
      <c r="N535" s="266" t="s">
        <v>2147</v>
      </c>
      <c r="O535" s="267" t="s">
        <v>3002</v>
      </c>
      <c r="P535" s="268" t="s">
        <v>2990</v>
      </c>
      <c r="Q535" s="269">
        <f t="shared" si="11"/>
        <v>1798.4</v>
      </c>
      <c r="R535" s="269">
        <v>9.4600000000000009</v>
      </c>
      <c r="S535" s="270"/>
      <c r="T535" s="182" t="s">
        <v>273</v>
      </c>
      <c r="U535" s="182">
        <v>1</v>
      </c>
      <c r="V535" s="408">
        <v>1</v>
      </c>
      <c r="W535" s="357" t="s">
        <v>204</v>
      </c>
      <c r="X535" s="156">
        <v>10200000000</v>
      </c>
      <c r="Y535" s="417">
        <v>10200000000</v>
      </c>
      <c r="Z535" s="418" t="s">
        <v>359</v>
      </c>
      <c r="AA535" s="271"/>
      <c r="AB535" s="168"/>
      <c r="AC535" s="156"/>
      <c r="AD535" s="156"/>
      <c r="AE535" s="320"/>
      <c r="AF535" s="168"/>
      <c r="AG535" s="156"/>
      <c r="AH535" s="156"/>
      <c r="AI535" s="410"/>
    </row>
    <row r="536" spans="1:35" ht="19.5" hidden="1" customHeight="1">
      <c r="A536" s="137"/>
      <c r="B536" s="197">
        <f t="shared" si="10"/>
        <v>526</v>
      </c>
      <c r="C536" s="30" t="s">
        <v>202</v>
      </c>
      <c r="D536" s="30" t="s">
        <v>225</v>
      </c>
      <c r="E536" s="234" t="s">
        <v>929</v>
      </c>
      <c r="F536" s="235" t="s">
        <v>1329</v>
      </c>
      <c r="G536" s="284">
        <f>IFERROR(VLOOKUP(E536,Assign!$C$2:$J$142,8,FALSE),)</f>
        <v>0</v>
      </c>
      <c r="H536" s="197" t="s">
        <v>5517</v>
      </c>
      <c r="I536" s="324" t="s">
        <v>5531</v>
      </c>
      <c r="J536" s="237">
        <v>2</v>
      </c>
      <c r="K536" s="237">
        <v>14</v>
      </c>
      <c r="L536" s="265" t="s">
        <v>209</v>
      </c>
      <c r="M536" s="266" t="s">
        <v>305</v>
      </c>
      <c r="N536" s="266" t="s">
        <v>2147</v>
      </c>
      <c r="O536" s="267" t="s">
        <v>3003</v>
      </c>
      <c r="P536" s="268" t="s">
        <v>2990</v>
      </c>
      <c r="Q536" s="269">
        <f t="shared" si="11"/>
        <v>1798.4</v>
      </c>
      <c r="R536" s="269">
        <v>10.98</v>
      </c>
      <c r="S536" s="270"/>
      <c r="T536" s="182" t="s">
        <v>273</v>
      </c>
      <c r="U536" s="182">
        <v>1</v>
      </c>
      <c r="V536" s="408">
        <v>1</v>
      </c>
      <c r="W536" s="357" t="s">
        <v>204</v>
      </c>
      <c r="X536" s="156">
        <v>10200000000</v>
      </c>
      <c r="Y536" s="417">
        <v>10200000000</v>
      </c>
      <c r="Z536" s="418" t="s">
        <v>359</v>
      </c>
      <c r="AA536" s="271"/>
      <c r="AB536" s="168"/>
      <c r="AC536" s="156"/>
      <c r="AD536" s="156"/>
      <c r="AE536" s="320"/>
      <c r="AF536" s="168"/>
      <c r="AG536" s="156"/>
      <c r="AH536" s="156"/>
      <c r="AI536" s="410"/>
    </row>
    <row r="537" spans="1:35" ht="19.5" hidden="1" customHeight="1">
      <c r="A537" s="137"/>
      <c r="B537" s="197">
        <f t="shared" si="10"/>
        <v>527</v>
      </c>
      <c r="C537" s="30" t="s">
        <v>202</v>
      </c>
      <c r="D537" s="30" t="s">
        <v>225</v>
      </c>
      <c r="E537" s="234" t="s">
        <v>929</v>
      </c>
      <c r="F537" s="235" t="s">
        <v>1329</v>
      </c>
      <c r="G537" s="284">
        <f>IFERROR(VLOOKUP(E537,Assign!$C$2:$J$142,8,FALSE),)</f>
        <v>0</v>
      </c>
      <c r="H537" s="197" t="s">
        <v>5532</v>
      </c>
      <c r="I537" s="324" t="s">
        <v>5533</v>
      </c>
      <c r="J537" s="237">
        <v>3</v>
      </c>
      <c r="K537" s="237">
        <v>1</v>
      </c>
      <c r="L537" s="265" t="s">
        <v>208</v>
      </c>
      <c r="M537" s="266" t="s">
        <v>280</v>
      </c>
      <c r="N537" s="266" t="s">
        <v>1615</v>
      </c>
      <c r="O537" s="267" t="s">
        <v>3004</v>
      </c>
      <c r="P537" s="268" t="s">
        <v>3005</v>
      </c>
      <c r="Q537" s="269"/>
      <c r="R537" s="269">
        <f>72+233.16+72+30.24+1188+576+80+33.75+96+84+439.52</f>
        <v>2904.67</v>
      </c>
      <c r="S537" s="270"/>
      <c r="T537" s="182"/>
      <c r="U537" s="182">
        <v>1</v>
      </c>
      <c r="V537" s="408">
        <v>2</v>
      </c>
      <c r="W537" s="357" t="s">
        <v>204</v>
      </c>
      <c r="X537" s="156">
        <v>10200000000</v>
      </c>
      <c r="Y537" s="417">
        <v>10200000000</v>
      </c>
      <c r="Z537" s="418" t="s">
        <v>359</v>
      </c>
      <c r="AA537" s="271">
        <v>1</v>
      </c>
      <c r="AB537" s="168" t="s">
        <v>204</v>
      </c>
      <c r="AC537" s="156">
        <v>2160000000</v>
      </c>
      <c r="AD537" s="156">
        <v>2160000000</v>
      </c>
      <c r="AE537" s="320"/>
      <c r="AF537" s="168"/>
      <c r="AG537" s="156"/>
      <c r="AH537" s="156"/>
      <c r="AI537" s="410"/>
    </row>
    <row r="538" spans="1:35" ht="19.5" hidden="1" customHeight="1">
      <c r="A538" s="137"/>
      <c r="B538" s="197">
        <f t="shared" si="10"/>
        <v>528</v>
      </c>
      <c r="C538" s="30" t="s">
        <v>202</v>
      </c>
      <c r="D538" s="30" t="s">
        <v>225</v>
      </c>
      <c r="E538" s="234" t="s">
        <v>929</v>
      </c>
      <c r="F538" s="235" t="s">
        <v>1329</v>
      </c>
      <c r="G538" s="284">
        <f>IFERROR(VLOOKUP(E538,Assign!$C$2:$J$142,8,FALSE),)</f>
        <v>0</v>
      </c>
      <c r="H538" s="197" t="s">
        <v>5532</v>
      </c>
      <c r="I538" s="324" t="s">
        <v>5534</v>
      </c>
      <c r="J538" s="237">
        <v>3</v>
      </c>
      <c r="K538" s="237">
        <v>2</v>
      </c>
      <c r="L538" s="265" t="s">
        <v>208</v>
      </c>
      <c r="M538" s="266" t="s">
        <v>280</v>
      </c>
      <c r="N538" s="266" t="s">
        <v>1615</v>
      </c>
      <c r="O538" s="267" t="s">
        <v>3006</v>
      </c>
      <c r="P538" s="268" t="s">
        <v>3007</v>
      </c>
      <c r="Q538" s="269"/>
      <c r="R538" s="269">
        <f>46.7+229.5+229.5+8.4+175.6+47.52+13.16</f>
        <v>750.38</v>
      </c>
      <c r="S538" s="270"/>
      <c r="T538" s="182"/>
      <c r="U538" s="182">
        <v>1</v>
      </c>
      <c r="V538" s="408">
        <v>2</v>
      </c>
      <c r="W538" s="357" t="s">
        <v>204</v>
      </c>
      <c r="X538" s="156">
        <v>10200000000</v>
      </c>
      <c r="Y538" s="156">
        <v>10200000000</v>
      </c>
      <c r="Z538" s="418" t="s">
        <v>359</v>
      </c>
      <c r="AA538" s="271">
        <v>1</v>
      </c>
      <c r="AB538" s="168" t="s">
        <v>204</v>
      </c>
      <c r="AC538" s="156">
        <v>2160000000</v>
      </c>
      <c r="AD538" s="156">
        <v>2160000000</v>
      </c>
      <c r="AE538" s="320"/>
      <c r="AF538" s="168"/>
      <c r="AG538" s="156"/>
      <c r="AH538" s="156"/>
      <c r="AI538" s="410"/>
    </row>
    <row r="539" spans="1:35" ht="19.5" hidden="1" customHeight="1">
      <c r="A539" s="137"/>
      <c r="B539" s="197">
        <f t="shared" si="10"/>
        <v>529</v>
      </c>
      <c r="C539" s="30" t="s">
        <v>202</v>
      </c>
      <c r="D539" s="30" t="s">
        <v>225</v>
      </c>
      <c r="E539" s="234" t="s">
        <v>929</v>
      </c>
      <c r="F539" s="235" t="s">
        <v>1329</v>
      </c>
      <c r="G539" s="284">
        <f>IFERROR(VLOOKUP(E539,Assign!$C$2:$J$142,8,FALSE),)</f>
        <v>0</v>
      </c>
      <c r="H539" s="197" t="s">
        <v>5532</v>
      </c>
      <c r="I539" s="324" t="s">
        <v>5535</v>
      </c>
      <c r="J539" s="237">
        <v>3</v>
      </c>
      <c r="K539" s="237">
        <v>3</v>
      </c>
      <c r="L539" s="265" t="s">
        <v>208</v>
      </c>
      <c r="M539" s="266" t="s">
        <v>280</v>
      </c>
      <c r="N539" s="266" t="s">
        <v>1615</v>
      </c>
      <c r="O539" s="267" t="s">
        <v>3008</v>
      </c>
      <c r="P539" s="268" t="s">
        <v>3009</v>
      </c>
      <c r="Q539" s="269"/>
      <c r="R539" s="269">
        <f>359+120.75</f>
        <v>479.75</v>
      </c>
      <c r="S539" s="270"/>
      <c r="T539" s="182"/>
      <c r="U539" s="182">
        <v>1</v>
      </c>
      <c r="V539" s="408">
        <v>2</v>
      </c>
      <c r="W539" s="357" t="s">
        <v>204</v>
      </c>
      <c r="X539" s="156">
        <v>10200000000</v>
      </c>
      <c r="Y539" s="156">
        <v>10200000000</v>
      </c>
      <c r="Z539" s="418" t="s">
        <v>359</v>
      </c>
      <c r="AA539" s="271">
        <v>1</v>
      </c>
      <c r="AB539" s="168" t="s">
        <v>204</v>
      </c>
      <c r="AC539" s="156">
        <v>2160000000</v>
      </c>
      <c r="AD539" s="156">
        <v>2160000000</v>
      </c>
      <c r="AE539" s="320"/>
      <c r="AF539" s="168"/>
      <c r="AG539" s="156"/>
      <c r="AH539" s="156"/>
      <c r="AI539" s="410"/>
    </row>
    <row r="540" spans="1:35" ht="19.5" hidden="1" customHeight="1">
      <c r="A540" s="137"/>
      <c r="B540" s="197">
        <f t="shared" si="10"/>
        <v>530</v>
      </c>
      <c r="C540" s="30" t="s">
        <v>202</v>
      </c>
      <c r="D540" s="30" t="s">
        <v>225</v>
      </c>
      <c r="E540" s="234" t="s">
        <v>929</v>
      </c>
      <c r="F540" s="235" t="s">
        <v>1329</v>
      </c>
      <c r="G540" s="284">
        <f>IFERROR(VLOOKUP(E540,Assign!$C$2:$J$142,8,FALSE),)</f>
        <v>0</v>
      </c>
      <c r="H540" s="197" t="s">
        <v>5532</v>
      </c>
      <c r="I540" s="324" t="s">
        <v>5536</v>
      </c>
      <c r="J540" s="237">
        <v>3</v>
      </c>
      <c r="K540" s="237">
        <v>4</v>
      </c>
      <c r="L540" s="265" t="s">
        <v>208</v>
      </c>
      <c r="M540" s="266" t="s">
        <v>280</v>
      </c>
      <c r="N540" s="266" t="s">
        <v>1615</v>
      </c>
      <c r="O540" s="267" t="s">
        <v>3010</v>
      </c>
      <c r="P540" s="268" t="s">
        <v>470</v>
      </c>
      <c r="Q540" s="269"/>
      <c r="R540" s="269">
        <f>157.5+157.5</f>
        <v>315</v>
      </c>
      <c r="S540" s="270"/>
      <c r="T540" s="182"/>
      <c r="U540" s="182">
        <v>1</v>
      </c>
      <c r="V540" s="408">
        <v>2</v>
      </c>
      <c r="W540" s="357" t="s">
        <v>204</v>
      </c>
      <c r="X540" s="156">
        <v>10200000000</v>
      </c>
      <c r="Y540" s="156">
        <v>10200000000</v>
      </c>
      <c r="Z540" s="418" t="s">
        <v>359</v>
      </c>
      <c r="AA540" s="271">
        <v>1</v>
      </c>
      <c r="AB540" s="168" t="s">
        <v>204</v>
      </c>
      <c r="AC540" s="156">
        <v>2160000000</v>
      </c>
      <c r="AD540" s="156">
        <v>2160000000</v>
      </c>
      <c r="AE540" s="320"/>
      <c r="AF540" s="168"/>
      <c r="AG540" s="156"/>
      <c r="AH540" s="156"/>
      <c r="AI540" s="410"/>
    </row>
    <row r="541" spans="1:35" ht="19.5" hidden="1" customHeight="1">
      <c r="A541" s="137"/>
      <c r="B541" s="197">
        <f t="shared" si="10"/>
        <v>531</v>
      </c>
      <c r="C541" s="30" t="s">
        <v>202</v>
      </c>
      <c r="D541" s="30" t="s">
        <v>225</v>
      </c>
      <c r="E541" s="234" t="s">
        <v>929</v>
      </c>
      <c r="F541" s="235" t="s">
        <v>1329</v>
      </c>
      <c r="G541" s="284">
        <f>IFERROR(VLOOKUP(E541,Assign!$C$2:$J$142,8,FALSE),)</f>
        <v>0</v>
      </c>
      <c r="H541" s="197" t="s">
        <v>5532</v>
      </c>
      <c r="I541" s="324" t="s">
        <v>5537</v>
      </c>
      <c r="J541" s="237">
        <v>3</v>
      </c>
      <c r="K541" s="237">
        <v>5</v>
      </c>
      <c r="L541" s="265" t="s">
        <v>208</v>
      </c>
      <c r="M541" s="266" t="s">
        <v>280</v>
      </c>
      <c r="N541" s="266" t="s">
        <v>1615</v>
      </c>
      <c r="O541" s="267" t="s">
        <v>3722</v>
      </c>
      <c r="P541" s="268" t="s">
        <v>447</v>
      </c>
      <c r="Q541" s="269">
        <v>9157</v>
      </c>
      <c r="R541" s="269"/>
      <c r="S541" s="270"/>
      <c r="T541" s="182"/>
      <c r="U541" s="182">
        <v>1</v>
      </c>
      <c r="V541" s="408">
        <v>2</v>
      </c>
      <c r="W541" s="357" t="s">
        <v>204</v>
      </c>
      <c r="X541" s="156">
        <v>10200000000</v>
      </c>
      <c r="Y541" s="156">
        <v>10200000000</v>
      </c>
      <c r="Z541" s="418" t="s">
        <v>359</v>
      </c>
      <c r="AA541" s="271">
        <v>1</v>
      </c>
      <c r="AB541" s="168" t="s">
        <v>204</v>
      </c>
      <c r="AC541" s="156">
        <v>2160000000</v>
      </c>
      <c r="AD541" s="156">
        <v>2160000000</v>
      </c>
      <c r="AE541" s="320"/>
      <c r="AF541" s="168"/>
      <c r="AG541" s="156"/>
      <c r="AH541" s="156"/>
      <c r="AI541" s="410"/>
    </row>
    <row r="542" spans="1:35" ht="19.5" hidden="1" customHeight="1">
      <c r="A542" s="137"/>
      <c r="B542" s="197">
        <f t="shared" si="10"/>
        <v>532</v>
      </c>
      <c r="C542" s="30" t="s">
        <v>202</v>
      </c>
      <c r="D542" s="30" t="s">
        <v>225</v>
      </c>
      <c r="E542" s="234" t="s">
        <v>930</v>
      </c>
      <c r="F542" s="235" t="s">
        <v>1330</v>
      </c>
      <c r="G542" s="284">
        <f>IFERROR(VLOOKUP(E542,Assign!$C$2:$J$142,8,FALSE),)</f>
        <v>0</v>
      </c>
      <c r="H542" s="197" t="s">
        <v>4448</v>
      </c>
      <c r="I542" s="324" t="s">
        <v>4449</v>
      </c>
      <c r="J542" s="237">
        <v>1</v>
      </c>
      <c r="K542" s="237">
        <v>1</v>
      </c>
      <c r="L542" s="265" t="s">
        <v>209</v>
      </c>
      <c r="M542" s="266" t="s">
        <v>231</v>
      </c>
      <c r="N542" s="266" t="s">
        <v>1488</v>
      </c>
      <c r="O542" s="267" t="s">
        <v>1995</v>
      </c>
      <c r="P542" s="268" t="s">
        <v>1996</v>
      </c>
      <c r="Q542" s="269">
        <v>1438.1</v>
      </c>
      <c r="R542" s="269">
        <v>459.43</v>
      </c>
      <c r="S542" s="270"/>
      <c r="T542" s="182">
        <f>126.96/1438.1</f>
        <v>8.828315138029344E-2</v>
      </c>
      <c r="U542" s="182">
        <v>1</v>
      </c>
      <c r="V542" s="408">
        <v>1</v>
      </c>
      <c r="W542" s="357" t="s">
        <v>204</v>
      </c>
      <c r="X542" s="156">
        <v>6450000000</v>
      </c>
      <c r="Y542" s="156">
        <v>6450000000</v>
      </c>
      <c r="Z542" s="418" t="s">
        <v>359</v>
      </c>
      <c r="AA542" s="271"/>
      <c r="AB542" s="168"/>
      <c r="AC542" s="156"/>
      <c r="AD542" s="156"/>
      <c r="AE542" s="320"/>
      <c r="AF542" s="168"/>
      <c r="AG542" s="156"/>
      <c r="AH542" s="156"/>
      <c r="AI542" s="410"/>
    </row>
    <row r="543" spans="1:35" ht="19.5" hidden="1" customHeight="1">
      <c r="A543" s="137"/>
      <c r="B543" s="197">
        <f t="shared" si="10"/>
        <v>533</v>
      </c>
      <c r="C543" s="30" t="s">
        <v>202</v>
      </c>
      <c r="D543" s="30" t="s">
        <v>225</v>
      </c>
      <c r="E543" s="234" t="s">
        <v>931</v>
      </c>
      <c r="F543" s="235" t="s">
        <v>1331</v>
      </c>
      <c r="G543" s="284">
        <f>IFERROR(VLOOKUP(E543,Assign!$C$2:$J$142,8,FALSE),)</f>
        <v>0</v>
      </c>
      <c r="H543" s="197" t="s">
        <v>5312</v>
      </c>
      <c r="I543" s="324" t="s">
        <v>5313</v>
      </c>
      <c r="J543" s="237">
        <v>1</v>
      </c>
      <c r="K543" s="237">
        <v>1</v>
      </c>
      <c r="L543" s="265" t="s">
        <v>221</v>
      </c>
      <c r="M543" s="266" t="s">
        <v>348</v>
      </c>
      <c r="N543" s="266" t="s">
        <v>2792</v>
      </c>
      <c r="O543" s="267" t="s">
        <v>2793</v>
      </c>
      <c r="P543" s="268" t="s">
        <v>470</v>
      </c>
      <c r="Q543" s="269"/>
      <c r="R543" s="269">
        <f>1857+792.5</f>
        <v>2649.5</v>
      </c>
      <c r="S543" s="270"/>
      <c r="T543" s="182"/>
      <c r="U543" s="182">
        <v>1</v>
      </c>
      <c r="V543" s="408" t="s">
        <v>233</v>
      </c>
      <c r="W543" s="357" t="s">
        <v>204</v>
      </c>
      <c r="X543" s="156">
        <v>6600000000</v>
      </c>
      <c r="Y543" s="156">
        <v>6600000000</v>
      </c>
      <c r="Z543" s="418" t="s">
        <v>359</v>
      </c>
      <c r="AA543" s="271"/>
      <c r="AB543" s="168"/>
      <c r="AC543" s="156"/>
      <c r="AD543" s="156"/>
      <c r="AE543" s="320"/>
      <c r="AF543" s="168"/>
      <c r="AG543" s="156"/>
      <c r="AH543" s="156"/>
      <c r="AI543" s="410"/>
    </row>
    <row r="544" spans="1:35" ht="19.5" hidden="1" customHeight="1">
      <c r="A544" s="137"/>
      <c r="B544" s="197">
        <f t="shared" si="10"/>
        <v>534</v>
      </c>
      <c r="C544" s="30" t="s">
        <v>202</v>
      </c>
      <c r="D544" s="30" t="s">
        <v>225</v>
      </c>
      <c r="E544" s="234" t="s">
        <v>931</v>
      </c>
      <c r="F544" s="235" t="s">
        <v>1331</v>
      </c>
      <c r="G544" s="284">
        <f>IFERROR(VLOOKUP(E544,Assign!$C$2:$J$142,8,FALSE),)</f>
        <v>0</v>
      </c>
      <c r="H544" s="197" t="s">
        <v>5312</v>
      </c>
      <c r="I544" s="324" t="s">
        <v>5314</v>
      </c>
      <c r="J544" s="237">
        <v>1</v>
      </c>
      <c r="K544" s="237">
        <v>2</v>
      </c>
      <c r="L544" s="265" t="s">
        <v>221</v>
      </c>
      <c r="M544" s="266" t="s">
        <v>348</v>
      </c>
      <c r="N544" s="266" t="s">
        <v>2792</v>
      </c>
      <c r="O544" s="267" t="s">
        <v>2793</v>
      </c>
      <c r="P544" s="268" t="s">
        <v>447</v>
      </c>
      <c r="Q544" s="269">
        <v>7154.8</v>
      </c>
      <c r="R544" s="269"/>
      <c r="S544" s="270"/>
      <c r="T544" s="182"/>
      <c r="U544" s="182">
        <v>1</v>
      </c>
      <c r="V544" s="408" t="s">
        <v>233</v>
      </c>
      <c r="W544" s="357" t="s">
        <v>204</v>
      </c>
      <c r="X544" s="156">
        <v>6600000000</v>
      </c>
      <c r="Y544" s="156">
        <v>6600000000</v>
      </c>
      <c r="Z544" s="418" t="s">
        <v>359</v>
      </c>
      <c r="AA544" s="271"/>
      <c r="AB544" s="168"/>
      <c r="AC544" s="156"/>
      <c r="AD544" s="156"/>
      <c r="AE544" s="320"/>
      <c r="AF544" s="168"/>
      <c r="AG544" s="156"/>
      <c r="AH544" s="156"/>
      <c r="AI544" s="410"/>
    </row>
    <row r="545" spans="1:35" ht="19.5" hidden="1" customHeight="1">
      <c r="A545" s="137"/>
      <c r="B545" s="197">
        <f t="shared" si="10"/>
        <v>535</v>
      </c>
      <c r="C545" s="30" t="s">
        <v>202</v>
      </c>
      <c r="D545" s="30" t="s">
        <v>225</v>
      </c>
      <c r="E545" s="234" t="s">
        <v>931</v>
      </c>
      <c r="F545" s="235" t="s">
        <v>1331</v>
      </c>
      <c r="G545" s="284">
        <f>IFERROR(VLOOKUP(E545,Assign!$C$2:$J$142,8,FALSE),)</f>
        <v>0</v>
      </c>
      <c r="H545" s="197" t="s">
        <v>5312</v>
      </c>
      <c r="I545" s="324" t="s">
        <v>5315</v>
      </c>
      <c r="J545" s="237">
        <v>1</v>
      </c>
      <c r="K545" s="237">
        <v>3</v>
      </c>
      <c r="L545" s="265" t="s">
        <v>221</v>
      </c>
      <c r="M545" s="266" t="s">
        <v>348</v>
      </c>
      <c r="N545" s="266" t="s">
        <v>2792</v>
      </c>
      <c r="O545" s="267" t="s">
        <v>2794</v>
      </c>
      <c r="P545" s="268" t="s">
        <v>447</v>
      </c>
      <c r="Q545" s="269">
        <v>7114.7</v>
      </c>
      <c r="R545" s="269"/>
      <c r="S545" s="270"/>
      <c r="T545" s="182"/>
      <c r="U545" s="182">
        <v>1</v>
      </c>
      <c r="V545" s="408" t="s">
        <v>233</v>
      </c>
      <c r="W545" s="357" t="s">
        <v>204</v>
      </c>
      <c r="X545" s="156">
        <v>6600000000</v>
      </c>
      <c r="Y545" s="156">
        <v>6600000000</v>
      </c>
      <c r="Z545" s="418" t="s">
        <v>359</v>
      </c>
      <c r="AA545" s="271"/>
      <c r="AB545" s="168"/>
      <c r="AC545" s="156"/>
      <c r="AD545" s="156"/>
      <c r="AE545" s="320"/>
      <c r="AF545" s="168"/>
      <c r="AG545" s="156"/>
      <c r="AH545" s="156"/>
      <c r="AI545" s="410"/>
    </row>
    <row r="546" spans="1:35" ht="19.5" hidden="1" customHeight="1">
      <c r="A546" s="137"/>
      <c r="B546" s="197">
        <f t="shared" si="10"/>
        <v>536</v>
      </c>
      <c r="C546" s="30" t="s">
        <v>202</v>
      </c>
      <c r="D546" s="30" t="s">
        <v>225</v>
      </c>
      <c r="E546" s="234" t="s">
        <v>931</v>
      </c>
      <c r="F546" s="235" t="s">
        <v>1331</v>
      </c>
      <c r="G546" s="284">
        <f>IFERROR(VLOOKUP(E546,Assign!$C$2:$J$142,8,FALSE),)</f>
        <v>0</v>
      </c>
      <c r="H546" s="197" t="s">
        <v>5312</v>
      </c>
      <c r="I546" s="324" t="s">
        <v>5316</v>
      </c>
      <c r="J546" s="237">
        <v>1</v>
      </c>
      <c r="K546" s="237">
        <v>4</v>
      </c>
      <c r="L546" s="265" t="s">
        <v>221</v>
      </c>
      <c r="M546" s="266" t="s">
        <v>348</v>
      </c>
      <c r="N546" s="266" t="s">
        <v>2792</v>
      </c>
      <c r="O546" s="267" t="s">
        <v>2795</v>
      </c>
      <c r="P546" s="268" t="s">
        <v>447</v>
      </c>
      <c r="Q546" s="269">
        <v>7154.9</v>
      </c>
      <c r="R546" s="269"/>
      <c r="S546" s="270"/>
      <c r="T546" s="182"/>
      <c r="U546" s="182">
        <v>1</v>
      </c>
      <c r="V546" s="408" t="s">
        <v>233</v>
      </c>
      <c r="W546" s="357" t="s">
        <v>204</v>
      </c>
      <c r="X546" s="156">
        <v>6600000000</v>
      </c>
      <c r="Y546" s="156">
        <v>6600000000</v>
      </c>
      <c r="Z546" s="418" t="s">
        <v>359</v>
      </c>
      <c r="AA546" s="271"/>
      <c r="AB546" s="168"/>
      <c r="AC546" s="156"/>
      <c r="AD546" s="156"/>
      <c r="AE546" s="320"/>
      <c r="AF546" s="168"/>
      <c r="AG546" s="156"/>
      <c r="AH546" s="156"/>
      <c r="AI546" s="410"/>
    </row>
    <row r="547" spans="1:35" ht="19.5" hidden="1" customHeight="1">
      <c r="A547" s="137"/>
      <c r="B547" s="197">
        <f t="shared" si="10"/>
        <v>537</v>
      </c>
      <c r="C547" s="30" t="s">
        <v>202</v>
      </c>
      <c r="D547" s="30" t="s">
        <v>225</v>
      </c>
      <c r="E547" s="234" t="s">
        <v>932</v>
      </c>
      <c r="F547" s="235" t="s">
        <v>1332</v>
      </c>
      <c r="G547" s="284">
        <f>IFERROR(VLOOKUP(E547,Assign!$C$2:$J$142,8,FALSE),)</f>
        <v>0</v>
      </c>
      <c r="H547" s="197" t="s">
        <v>5136</v>
      </c>
      <c r="I547" s="324" t="s">
        <v>5137</v>
      </c>
      <c r="J547" s="237">
        <v>1</v>
      </c>
      <c r="K547" s="237">
        <v>1</v>
      </c>
      <c r="L547" s="265" t="s">
        <v>217</v>
      </c>
      <c r="M547" s="266" t="s">
        <v>545</v>
      </c>
      <c r="N547" s="266" t="s">
        <v>2648</v>
      </c>
      <c r="O547" s="267" t="s">
        <v>2649</v>
      </c>
      <c r="P547" s="268" t="s">
        <v>2650</v>
      </c>
      <c r="Q547" s="269"/>
      <c r="R547" s="269">
        <f>900+100.44+100.44</f>
        <v>1100.8800000000001</v>
      </c>
      <c r="S547" s="270"/>
      <c r="T547" s="182"/>
      <c r="U547" s="182">
        <v>1</v>
      </c>
      <c r="V547" s="408" t="s">
        <v>268</v>
      </c>
      <c r="W547" s="357" t="s">
        <v>204</v>
      </c>
      <c r="X547" s="156">
        <v>4724400000</v>
      </c>
      <c r="Y547" s="156">
        <v>4724400000</v>
      </c>
      <c r="Z547" s="418" t="s">
        <v>359</v>
      </c>
      <c r="AA547" s="271"/>
      <c r="AB547" s="168"/>
      <c r="AC547" s="156"/>
      <c r="AD547" s="156"/>
      <c r="AE547" s="320"/>
      <c r="AF547" s="168"/>
      <c r="AG547" s="156"/>
      <c r="AH547" s="156"/>
      <c r="AI547" s="410"/>
    </row>
    <row r="548" spans="1:35" ht="19.5" hidden="1" customHeight="1">
      <c r="A548" s="137"/>
      <c r="B548" s="197">
        <f t="shared" si="10"/>
        <v>538</v>
      </c>
      <c r="C548" s="30" t="s">
        <v>202</v>
      </c>
      <c r="D548" s="30" t="s">
        <v>225</v>
      </c>
      <c r="E548" s="234" t="s">
        <v>932</v>
      </c>
      <c r="F548" s="235" t="s">
        <v>1332</v>
      </c>
      <c r="G548" s="284">
        <f>IFERROR(VLOOKUP(E548,Assign!$C$2:$J$142,8,FALSE),)</f>
        <v>0</v>
      </c>
      <c r="H548" s="197" t="s">
        <v>5136</v>
      </c>
      <c r="I548" s="324" t="s">
        <v>5138</v>
      </c>
      <c r="J548" s="237">
        <v>1</v>
      </c>
      <c r="K548" s="237">
        <v>2</v>
      </c>
      <c r="L548" s="265" t="s">
        <v>217</v>
      </c>
      <c r="M548" s="266" t="s">
        <v>545</v>
      </c>
      <c r="N548" s="266" t="s">
        <v>2648</v>
      </c>
      <c r="O548" s="267" t="s">
        <v>2651</v>
      </c>
      <c r="P548" s="268" t="s">
        <v>466</v>
      </c>
      <c r="Q548" s="269"/>
      <c r="R548" s="269">
        <v>600</v>
      </c>
      <c r="S548" s="270"/>
      <c r="T548" s="182"/>
      <c r="U548" s="182">
        <v>1</v>
      </c>
      <c r="V548" s="408" t="s">
        <v>268</v>
      </c>
      <c r="W548" s="357" t="s">
        <v>204</v>
      </c>
      <c r="X548" s="156">
        <v>4724400000</v>
      </c>
      <c r="Y548" s="156">
        <v>4724400000</v>
      </c>
      <c r="Z548" s="418" t="s">
        <v>359</v>
      </c>
      <c r="AA548" s="271"/>
      <c r="AB548" s="168"/>
      <c r="AC548" s="156"/>
      <c r="AD548" s="156"/>
      <c r="AE548" s="320"/>
      <c r="AF548" s="168"/>
      <c r="AG548" s="156"/>
      <c r="AH548" s="156"/>
      <c r="AI548" s="410"/>
    </row>
    <row r="549" spans="1:35" ht="19.5" hidden="1" customHeight="1">
      <c r="A549" s="137"/>
      <c r="B549" s="197">
        <f t="shared" si="10"/>
        <v>539</v>
      </c>
      <c r="C549" s="30" t="s">
        <v>202</v>
      </c>
      <c r="D549" s="30" t="s">
        <v>225</v>
      </c>
      <c r="E549" s="234" t="s">
        <v>932</v>
      </c>
      <c r="F549" s="235" t="s">
        <v>1332</v>
      </c>
      <c r="G549" s="284">
        <f>IFERROR(VLOOKUP(E549,Assign!$C$2:$J$142,8,FALSE),)</f>
        <v>0</v>
      </c>
      <c r="H549" s="197" t="s">
        <v>5136</v>
      </c>
      <c r="I549" s="324" t="s">
        <v>5139</v>
      </c>
      <c r="J549" s="237">
        <v>1</v>
      </c>
      <c r="K549" s="237">
        <v>3</v>
      </c>
      <c r="L549" s="265" t="s">
        <v>217</v>
      </c>
      <c r="M549" s="266" t="s">
        <v>545</v>
      </c>
      <c r="N549" s="266" t="s">
        <v>2648</v>
      </c>
      <c r="O549" s="267" t="s">
        <v>2652</v>
      </c>
      <c r="P549" s="268" t="s">
        <v>447</v>
      </c>
      <c r="Q549" s="269">
        <v>7358</v>
      </c>
      <c r="R549" s="269"/>
      <c r="S549" s="270"/>
      <c r="T549" s="182"/>
      <c r="U549" s="182">
        <v>1</v>
      </c>
      <c r="V549" s="408" t="s">
        <v>268</v>
      </c>
      <c r="W549" s="357" t="s">
        <v>204</v>
      </c>
      <c r="X549" s="156">
        <v>4724400000</v>
      </c>
      <c r="Y549" s="156">
        <v>4724400000</v>
      </c>
      <c r="Z549" s="418" t="s">
        <v>359</v>
      </c>
      <c r="AA549" s="271"/>
      <c r="AB549" s="168"/>
      <c r="AC549" s="156"/>
      <c r="AD549" s="156"/>
      <c r="AE549" s="320"/>
      <c r="AF549" s="168"/>
      <c r="AG549" s="156"/>
      <c r="AH549" s="156"/>
      <c r="AI549" s="410"/>
    </row>
    <row r="550" spans="1:35" ht="19.5" hidden="1" customHeight="1">
      <c r="A550" s="137"/>
      <c r="B550" s="197">
        <f t="shared" si="10"/>
        <v>540</v>
      </c>
      <c r="C550" s="30" t="s">
        <v>202</v>
      </c>
      <c r="D550" s="30" t="s">
        <v>225</v>
      </c>
      <c r="E550" s="234" t="s">
        <v>933</v>
      </c>
      <c r="F550" s="235" t="s">
        <v>1266</v>
      </c>
      <c r="G550" s="284">
        <f>IFERROR(VLOOKUP(E550,Assign!$C$2:$J$142,8,FALSE),)</f>
        <v>0</v>
      </c>
      <c r="H550" s="197" t="s">
        <v>3927</v>
      </c>
      <c r="I550" s="324" t="s">
        <v>3928</v>
      </c>
      <c r="J550" s="237">
        <v>1</v>
      </c>
      <c r="K550" s="237">
        <v>1</v>
      </c>
      <c r="L550" s="265" t="s">
        <v>211</v>
      </c>
      <c r="M550" s="266" t="s">
        <v>1499</v>
      </c>
      <c r="N550" s="266" t="s">
        <v>1500</v>
      </c>
      <c r="O550" s="267" t="s">
        <v>1501</v>
      </c>
      <c r="P550" s="268" t="s">
        <v>1502</v>
      </c>
      <c r="Q550" s="269"/>
      <c r="R550" s="269">
        <f>526.33+526.33+512.56+512.56+512.56+512.56+468.94+953.54+832.44</f>
        <v>5357.82</v>
      </c>
      <c r="S550" s="270"/>
      <c r="T550" s="182"/>
      <c r="U550" s="182">
        <v>1</v>
      </c>
      <c r="V550" s="408" t="s">
        <v>233</v>
      </c>
      <c r="W550" s="357" t="s">
        <v>204</v>
      </c>
      <c r="X550" s="156">
        <v>6370000000</v>
      </c>
      <c r="Y550" s="156">
        <v>6370000000</v>
      </c>
      <c r="Z550" s="418" t="s">
        <v>359</v>
      </c>
      <c r="AA550" s="271"/>
      <c r="AB550" s="168"/>
      <c r="AC550" s="156"/>
      <c r="AD550" s="156"/>
      <c r="AE550" s="320"/>
      <c r="AF550" s="168"/>
      <c r="AG550" s="156"/>
      <c r="AH550" s="156"/>
      <c r="AI550" s="410"/>
    </row>
    <row r="551" spans="1:35" ht="19.5" hidden="1" customHeight="1">
      <c r="A551" s="137"/>
      <c r="B551" s="197">
        <f t="shared" si="10"/>
        <v>541</v>
      </c>
      <c r="C551" s="30" t="s">
        <v>202</v>
      </c>
      <c r="D551" s="30" t="s">
        <v>225</v>
      </c>
      <c r="E551" s="234" t="s">
        <v>933</v>
      </c>
      <c r="F551" s="235" t="s">
        <v>1266</v>
      </c>
      <c r="G551" s="284">
        <f>IFERROR(VLOOKUP(E551,Assign!$C$2:$J$142,8,FALSE),)</f>
        <v>0</v>
      </c>
      <c r="H551" s="197" t="s">
        <v>3927</v>
      </c>
      <c r="I551" s="324" t="s">
        <v>3929</v>
      </c>
      <c r="J551" s="237">
        <v>1</v>
      </c>
      <c r="K551" s="237">
        <v>2</v>
      </c>
      <c r="L551" s="265" t="s">
        <v>211</v>
      </c>
      <c r="M551" s="266" t="s">
        <v>1499</v>
      </c>
      <c r="N551" s="266" t="s">
        <v>1500</v>
      </c>
      <c r="O551" s="267" t="s">
        <v>1503</v>
      </c>
      <c r="P551" s="268" t="s">
        <v>582</v>
      </c>
      <c r="Q551" s="269"/>
      <c r="R551" s="269">
        <f>333.7+124.4+109.4</f>
        <v>567.5</v>
      </c>
      <c r="S551" s="270"/>
      <c r="T551" s="182"/>
      <c r="U551" s="182">
        <v>1</v>
      </c>
      <c r="V551" s="408" t="s">
        <v>233</v>
      </c>
      <c r="W551" s="357" t="s">
        <v>204</v>
      </c>
      <c r="X551" s="156">
        <v>6370000000</v>
      </c>
      <c r="Y551" s="156">
        <v>6370000000</v>
      </c>
      <c r="Z551" s="418" t="s">
        <v>359</v>
      </c>
      <c r="AA551" s="271"/>
      <c r="AB551" s="168"/>
      <c r="AC551" s="156"/>
      <c r="AD551" s="156"/>
      <c r="AE551" s="320"/>
      <c r="AF551" s="168"/>
      <c r="AG551" s="156"/>
      <c r="AH551" s="156"/>
      <c r="AI551" s="410"/>
    </row>
    <row r="552" spans="1:35" ht="19.5" hidden="1" customHeight="1">
      <c r="A552" s="137"/>
      <c r="B552" s="197">
        <f t="shared" si="10"/>
        <v>542</v>
      </c>
      <c r="C552" s="30" t="s">
        <v>202</v>
      </c>
      <c r="D552" s="30" t="s">
        <v>225</v>
      </c>
      <c r="E552" s="234" t="s">
        <v>933</v>
      </c>
      <c r="F552" s="235" t="s">
        <v>1266</v>
      </c>
      <c r="G552" s="284">
        <f>IFERROR(VLOOKUP(E552,Assign!$C$2:$J$142,8,FALSE),)</f>
        <v>0</v>
      </c>
      <c r="H552" s="197" t="s">
        <v>3927</v>
      </c>
      <c r="I552" s="324" t="s">
        <v>3930</v>
      </c>
      <c r="J552" s="237">
        <v>1</v>
      </c>
      <c r="K552" s="237">
        <v>3</v>
      </c>
      <c r="L552" s="265" t="s">
        <v>211</v>
      </c>
      <c r="M552" s="266" t="s">
        <v>1499</v>
      </c>
      <c r="N552" s="266" t="s">
        <v>1500</v>
      </c>
      <c r="O552" s="267" t="s">
        <v>1504</v>
      </c>
      <c r="P552" s="268" t="s">
        <v>450</v>
      </c>
      <c r="Q552" s="269">
        <v>3036</v>
      </c>
      <c r="R552" s="269"/>
      <c r="S552" s="270" t="s">
        <v>335</v>
      </c>
      <c r="T552" s="182"/>
      <c r="U552" s="182">
        <v>1</v>
      </c>
      <c r="V552" s="408" t="s">
        <v>233</v>
      </c>
      <c r="W552" s="357" t="s">
        <v>204</v>
      </c>
      <c r="X552" s="156">
        <v>6370000000</v>
      </c>
      <c r="Y552" s="156">
        <v>6370000000</v>
      </c>
      <c r="Z552" s="418" t="s">
        <v>359</v>
      </c>
      <c r="AA552" s="271"/>
      <c r="AB552" s="168"/>
      <c r="AC552" s="156"/>
      <c r="AD552" s="156"/>
      <c r="AE552" s="320"/>
      <c r="AF552" s="168"/>
      <c r="AG552" s="156"/>
      <c r="AH552" s="156"/>
      <c r="AI552" s="410"/>
    </row>
    <row r="553" spans="1:35" ht="19.5" hidden="1" customHeight="1">
      <c r="A553" s="137"/>
      <c r="B553" s="197">
        <f t="shared" si="10"/>
        <v>543</v>
      </c>
      <c r="C553" s="30" t="s">
        <v>202</v>
      </c>
      <c r="D553" s="30" t="s">
        <v>225</v>
      </c>
      <c r="E553" s="234" t="s">
        <v>933</v>
      </c>
      <c r="F553" s="235" t="s">
        <v>1266</v>
      </c>
      <c r="G553" s="284">
        <f>IFERROR(VLOOKUP(E553,Assign!$C$2:$J$142,8,FALSE),)</f>
        <v>0</v>
      </c>
      <c r="H553" s="197" t="s">
        <v>3931</v>
      </c>
      <c r="I553" s="324" t="s">
        <v>3932</v>
      </c>
      <c r="J553" s="237">
        <v>2</v>
      </c>
      <c r="K553" s="237">
        <v>1</v>
      </c>
      <c r="L553" s="265" t="s">
        <v>211</v>
      </c>
      <c r="M553" s="266" t="s">
        <v>1499</v>
      </c>
      <c r="N553" s="266" t="s">
        <v>1500</v>
      </c>
      <c r="O553" s="267" t="s">
        <v>1505</v>
      </c>
      <c r="P553" s="268" t="s">
        <v>594</v>
      </c>
      <c r="Q553" s="269"/>
      <c r="R553" s="269">
        <f>123.48+123.48+123.48+123.48+27.6</f>
        <v>521.52</v>
      </c>
      <c r="S553" s="270"/>
      <c r="T553" s="182"/>
      <c r="U553" s="182">
        <v>1</v>
      </c>
      <c r="V553" s="408">
        <v>1</v>
      </c>
      <c r="W553" s="357" t="s">
        <v>204</v>
      </c>
      <c r="X553" s="156">
        <v>1170000000</v>
      </c>
      <c r="Y553" s="156">
        <v>1170000000</v>
      </c>
      <c r="Z553" s="418" t="s">
        <v>359</v>
      </c>
      <c r="AA553" s="271"/>
      <c r="AB553" s="168"/>
      <c r="AC553" s="156"/>
      <c r="AD553" s="156"/>
      <c r="AE553" s="320"/>
      <c r="AF553" s="168"/>
      <c r="AG553" s="156"/>
      <c r="AH553" s="156"/>
      <c r="AI553" s="410"/>
    </row>
    <row r="554" spans="1:35" ht="19.5" hidden="1" customHeight="1">
      <c r="A554" s="137"/>
      <c r="B554" s="197">
        <f t="shared" si="10"/>
        <v>544</v>
      </c>
      <c r="C554" s="30" t="s">
        <v>202</v>
      </c>
      <c r="D554" s="30" t="s">
        <v>225</v>
      </c>
      <c r="E554" s="234" t="s">
        <v>933</v>
      </c>
      <c r="F554" s="235" t="s">
        <v>1266</v>
      </c>
      <c r="G554" s="284">
        <f>IFERROR(VLOOKUP(E554,Assign!$C$2:$J$142,8,FALSE),)</f>
        <v>0</v>
      </c>
      <c r="H554" s="197" t="s">
        <v>3933</v>
      </c>
      <c r="I554" s="324" t="s">
        <v>3934</v>
      </c>
      <c r="J554" s="237">
        <v>3</v>
      </c>
      <c r="K554" s="237">
        <v>1</v>
      </c>
      <c r="L554" s="265" t="s">
        <v>211</v>
      </c>
      <c r="M554" s="266" t="s">
        <v>1499</v>
      </c>
      <c r="N554" s="266" t="s">
        <v>1506</v>
      </c>
      <c r="O554" s="267" t="s">
        <v>1507</v>
      </c>
      <c r="P554" s="268" t="s">
        <v>352</v>
      </c>
      <c r="Q554" s="269">
        <v>625</v>
      </c>
      <c r="R554" s="269"/>
      <c r="S554" s="270" t="s">
        <v>335</v>
      </c>
      <c r="T554" s="182"/>
      <c r="U554" s="182">
        <v>1</v>
      </c>
      <c r="V554" s="408" t="s">
        <v>233</v>
      </c>
      <c r="W554" s="357" t="s">
        <v>204</v>
      </c>
      <c r="X554" s="156">
        <v>6370000000</v>
      </c>
      <c r="Y554" s="156">
        <v>6370000000</v>
      </c>
      <c r="Z554" s="418" t="s">
        <v>359</v>
      </c>
      <c r="AA554" s="271"/>
      <c r="AB554" s="168"/>
      <c r="AC554" s="156"/>
      <c r="AD554" s="156"/>
      <c r="AE554" s="320"/>
      <c r="AF554" s="168"/>
      <c r="AG554" s="156"/>
      <c r="AH554" s="156"/>
      <c r="AI554" s="410"/>
    </row>
    <row r="555" spans="1:35" ht="19.5" hidden="1" customHeight="1">
      <c r="A555" s="137"/>
      <c r="B555" s="197">
        <f t="shared" si="10"/>
        <v>545</v>
      </c>
      <c r="C555" s="30" t="s">
        <v>202</v>
      </c>
      <c r="D555" s="30" t="s">
        <v>225</v>
      </c>
      <c r="E555" s="234" t="s">
        <v>933</v>
      </c>
      <c r="F555" s="235" t="s">
        <v>1266</v>
      </c>
      <c r="G555" s="284">
        <f>IFERROR(VLOOKUP(E555,Assign!$C$2:$J$142,8,FALSE),)</f>
        <v>0</v>
      </c>
      <c r="H555" s="197" t="s">
        <v>3933</v>
      </c>
      <c r="I555" s="324" t="s">
        <v>3935</v>
      </c>
      <c r="J555" s="237">
        <v>3</v>
      </c>
      <c r="K555" s="237">
        <v>2</v>
      </c>
      <c r="L555" s="265" t="s">
        <v>211</v>
      </c>
      <c r="M555" s="266" t="s">
        <v>1499</v>
      </c>
      <c r="N555" s="266" t="s">
        <v>1506</v>
      </c>
      <c r="O555" s="267" t="s">
        <v>1508</v>
      </c>
      <c r="P555" s="268" t="s">
        <v>450</v>
      </c>
      <c r="Q555" s="269">
        <v>298</v>
      </c>
      <c r="R555" s="269"/>
      <c r="S555" s="270" t="s">
        <v>335</v>
      </c>
      <c r="T555" s="182"/>
      <c r="U555" s="182">
        <v>1</v>
      </c>
      <c r="V555" s="408" t="s">
        <v>233</v>
      </c>
      <c r="W555" s="357" t="s">
        <v>204</v>
      </c>
      <c r="X555" s="156">
        <v>6370000000</v>
      </c>
      <c r="Y555" s="156">
        <v>6370000000</v>
      </c>
      <c r="Z555" s="418" t="s">
        <v>359</v>
      </c>
      <c r="AA555" s="271"/>
      <c r="AB555" s="168"/>
      <c r="AC555" s="156"/>
      <c r="AD555" s="156"/>
      <c r="AE555" s="320"/>
      <c r="AF555" s="168"/>
      <c r="AG555" s="156"/>
      <c r="AH555" s="156"/>
      <c r="AI555" s="410"/>
    </row>
    <row r="556" spans="1:35" ht="19.5" hidden="1" customHeight="1">
      <c r="A556" s="137"/>
      <c r="B556" s="197">
        <f t="shared" si="10"/>
        <v>546</v>
      </c>
      <c r="C556" s="30" t="s">
        <v>202</v>
      </c>
      <c r="D556" s="30" t="s">
        <v>225</v>
      </c>
      <c r="E556" s="234" t="s">
        <v>934</v>
      </c>
      <c r="F556" s="235" t="s">
        <v>1333</v>
      </c>
      <c r="G556" s="284">
        <f>IFERROR(VLOOKUP(E556,Assign!$C$2:$J$142,8,FALSE),)</f>
        <v>0</v>
      </c>
      <c r="H556" s="197" t="s">
        <v>4812</v>
      </c>
      <c r="I556" s="324" t="s">
        <v>4813</v>
      </c>
      <c r="J556" s="237">
        <v>1</v>
      </c>
      <c r="K556" s="237">
        <v>1</v>
      </c>
      <c r="L556" s="265" t="s">
        <v>209</v>
      </c>
      <c r="M556" s="266" t="s">
        <v>1546</v>
      </c>
      <c r="N556" s="266" t="s">
        <v>2340</v>
      </c>
      <c r="O556" s="267" t="s">
        <v>2341</v>
      </c>
      <c r="P556" s="268" t="s">
        <v>2342</v>
      </c>
      <c r="Q556" s="269">
        <v>3431.4</v>
      </c>
      <c r="R556" s="269">
        <v>138.4</v>
      </c>
      <c r="S556" s="270"/>
      <c r="T556" s="182">
        <f>36.05/3431.4</f>
        <v>1.0505915952672378E-2</v>
      </c>
      <c r="U556" s="182">
        <v>1</v>
      </c>
      <c r="V556" s="408">
        <v>1</v>
      </c>
      <c r="W556" s="357" t="s">
        <v>204</v>
      </c>
      <c r="X556" s="156">
        <v>3470640000</v>
      </c>
      <c r="Y556" s="156">
        <v>3470640000</v>
      </c>
      <c r="Z556" s="418" t="s">
        <v>359</v>
      </c>
      <c r="AA556" s="271"/>
      <c r="AB556" s="168"/>
      <c r="AC556" s="156"/>
      <c r="AD556" s="156"/>
      <c r="AE556" s="320"/>
      <c r="AF556" s="168"/>
      <c r="AG556" s="156"/>
      <c r="AH556" s="156"/>
      <c r="AI556" s="410"/>
    </row>
    <row r="557" spans="1:35" ht="19.5" hidden="1" customHeight="1">
      <c r="A557" s="137"/>
      <c r="B557" s="197">
        <f t="shared" si="10"/>
        <v>547</v>
      </c>
      <c r="C557" s="30" t="s">
        <v>202</v>
      </c>
      <c r="D557" s="30" t="s">
        <v>225</v>
      </c>
      <c r="E557" s="234" t="s">
        <v>934</v>
      </c>
      <c r="F557" s="235" t="s">
        <v>1333</v>
      </c>
      <c r="G557" s="284">
        <f>IFERROR(VLOOKUP(E557,Assign!$C$2:$J$142,8,FALSE),)</f>
        <v>0</v>
      </c>
      <c r="H557" s="197" t="s">
        <v>4812</v>
      </c>
      <c r="I557" s="324" t="s">
        <v>4814</v>
      </c>
      <c r="J557" s="237">
        <v>1</v>
      </c>
      <c r="K557" s="237">
        <v>2</v>
      </c>
      <c r="L557" s="265" t="s">
        <v>209</v>
      </c>
      <c r="M557" s="266" t="s">
        <v>1546</v>
      </c>
      <c r="N557" s="266" t="s">
        <v>2340</v>
      </c>
      <c r="O557" s="267" t="s">
        <v>2343</v>
      </c>
      <c r="P557" s="268" t="s">
        <v>2342</v>
      </c>
      <c r="Q557" s="269">
        <v>3431.4</v>
      </c>
      <c r="R557" s="269">
        <v>138.4</v>
      </c>
      <c r="S557" s="270"/>
      <c r="T557" s="182">
        <f>36.05/3431.4</f>
        <v>1.0505915952672378E-2</v>
      </c>
      <c r="U557" s="182">
        <v>1</v>
      </c>
      <c r="V557" s="408">
        <v>1</v>
      </c>
      <c r="W557" s="357" t="s">
        <v>204</v>
      </c>
      <c r="X557" s="156">
        <v>3470640000</v>
      </c>
      <c r="Y557" s="156">
        <v>3470640000</v>
      </c>
      <c r="Z557" s="418" t="s">
        <v>359</v>
      </c>
      <c r="AA557" s="271"/>
      <c r="AB557" s="168"/>
      <c r="AC557" s="156"/>
      <c r="AD557" s="156"/>
      <c r="AE557" s="320"/>
      <c r="AF557" s="168"/>
      <c r="AG557" s="156"/>
      <c r="AH557" s="156"/>
      <c r="AI557" s="410"/>
    </row>
    <row r="558" spans="1:35" ht="19.5" hidden="1" customHeight="1">
      <c r="A558" s="137"/>
      <c r="B558" s="197">
        <f t="shared" si="10"/>
        <v>548</v>
      </c>
      <c r="C558" s="30" t="s">
        <v>202</v>
      </c>
      <c r="D558" s="30" t="s">
        <v>225</v>
      </c>
      <c r="E558" s="234" t="s">
        <v>935</v>
      </c>
      <c r="F558" s="235" t="s">
        <v>1334</v>
      </c>
      <c r="G558" s="284">
        <f>IFERROR(VLOOKUP(E558,Assign!$C$2:$J$142,8,FALSE),)</f>
        <v>0</v>
      </c>
      <c r="H558" s="197" t="s">
        <v>5088</v>
      </c>
      <c r="I558" s="324" t="s">
        <v>5089</v>
      </c>
      <c r="J558" s="237">
        <v>1</v>
      </c>
      <c r="K558" s="237">
        <v>1</v>
      </c>
      <c r="L558" s="265" t="s">
        <v>211</v>
      </c>
      <c r="M558" s="266" t="s">
        <v>2556</v>
      </c>
      <c r="N558" s="266" t="s">
        <v>2601</v>
      </c>
      <c r="O558" s="267" t="s">
        <v>2602</v>
      </c>
      <c r="P558" s="268" t="s">
        <v>2603</v>
      </c>
      <c r="Q558" s="269">
        <v>6611</v>
      </c>
      <c r="R558" s="269">
        <v>84.78</v>
      </c>
      <c r="S558" s="270"/>
      <c r="T558" s="182">
        <f>45.2598/6611</f>
        <v>6.8461352291635151E-3</v>
      </c>
      <c r="U558" s="182">
        <v>1</v>
      </c>
      <c r="V558" s="408">
        <v>1</v>
      </c>
      <c r="W558" s="357" t="s">
        <v>204</v>
      </c>
      <c r="X558" s="156">
        <v>5280000000</v>
      </c>
      <c r="Y558" s="156">
        <v>5280000000</v>
      </c>
      <c r="Z558" s="418" t="s">
        <v>359</v>
      </c>
      <c r="AA558" s="271"/>
      <c r="AB558" s="168"/>
      <c r="AC558" s="156"/>
      <c r="AD558" s="156"/>
      <c r="AE558" s="320"/>
      <c r="AF558" s="168"/>
      <c r="AG558" s="156"/>
      <c r="AH558" s="156"/>
      <c r="AI558" s="410"/>
    </row>
    <row r="559" spans="1:35" ht="19.5" hidden="1" customHeight="1">
      <c r="A559" s="137"/>
      <c r="B559" s="197">
        <f t="shared" si="10"/>
        <v>549</v>
      </c>
      <c r="C559" s="30" t="s">
        <v>202</v>
      </c>
      <c r="D559" s="30" t="s">
        <v>225</v>
      </c>
      <c r="E559" s="234" t="s">
        <v>935</v>
      </c>
      <c r="F559" s="235" t="s">
        <v>1334</v>
      </c>
      <c r="G559" s="284">
        <f>IFERROR(VLOOKUP(E559,Assign!$C$2:$J$142,8,FALSE),)</f>
        <v>0</v>
      </c>
      <c r="H559" s="197" t="s">
        <v>5088</v>
      </c>
      <c r="I559" s="324" t="s">
        <v>5090</v>
      </c>
      <c r="J559" s="237">
        <v>1</v>
      </c>
      <c r="K559" s="237">
        <v>2</v>
      </c>
      <c r="L559" s="265" t="s">
        <v>211</v>
      </c>
      <c r="M559" s="266" t="s">
        <v>2556</v>
      </c>
      <c r="N559" s="266" t="s">
        <v>2601</v>
      </c>
      <c r="O559" s="267" t="s">
        <v>2604</v>
      </c>
      <c r="P559" s="268" t="s">
        <v>2603</v>
      </c>
      <c r="Q559" s="269">
        <v>6611</v>
      </c>
      <c r="R559" s="269">
        <v>78.5</v>
      </c>
      <c r="S559" s="270"/>
      <c r="T559" s="182">
        <f>41.9072/6611</f>
        <v>6.3390107396762976E-3</v>
      </c>
      <c r="U559" s="182">
        <v>1</v>
      </c>
      <c r="V559" s="408">
        <v>1</v>
      </c>
      <c r="W559" s="357" t="s">
        <v>204</v>
      </c>
      <c r="X559" s="156">
        <v>5280000000</v>
      </c>
      <c r="Y559" s="156">
        <v>5280000000</v>
      </c>
      <c r="Z559" s="418" t="s">
        <v>359</v>
      </c>
      <c r="AA559" s="271"/>
      <c r="AB559" s="168"/>
      <c r="AC559" s="156"/>
      <c r="AD559" s="156"/>
      <c r="AE559" s="320"/>
      <c r="AF559" s="168"/>
      <c r="AG559" s="156"/>
      <c r="AH559" s="156"/>
      <c r="AI559" s="410"/>
    </row>
    <row r="560" spans="1:35" ht="19.5" hidden="1" customHeight="1">
      <c r="A560" s="137"/>
      <c r="B560" s="197">
        <f t="shared" si="10"/>
        <v>550</v>
      </c>
      <c r="C560" s="30" t="s">
        <v>202</v>
      </c>
      <c r="D560" s="30" t="s">
        <v>225</v>
      </c>
      <c r="E560" s="234" t="s">
        <v>935</v>
      </c>
      <c r="F560" s="235" t="s">
        <v>1334</v>
      </c>
      <c r="G560" s="284">
        <f>IFERROR(VLOOKUP(E560,Assign!$C$2:$J$142,8,FALSE),)</f>
        <v>0</v>
      </c>
      <c r="H560" s="197" t="s">
        <v>5088</v>
      </c>
      <c r="I560" s="324" t="s">
        <v>5091</v>
      </c>
      <c r="J560" s="237">
        <v>1</v>
      </c>
      <c r="K560" s="237">
        <v>3</v>
      </c>
      <c r="L560" s="265" t="s">
        <v>211</v>
      </c>
      <c r="M560" s="266" t="s">
        <v>2556</v>
      </c>
      <c r="N560" s="266" t="s">
        <v>2601</v>
      </c>
      <c r="O560" s="267" t="s">
        <v>2605</v>
      </c>
      <c r="P560" s="268" t="s">
        <v>2603</v>
      </c>
      <c r="Q560" s="269">
        <v>6611</v>
      </c>
      <c r="R560" s="269">
        <v>56.91</v>
      </c>
      <c r="S560" s="270"/>
      <c r="T560" s="182">
        <f>30.3814/6611</f>
        <v>4.5955831190440171E-3</v>
      </c>
      <c r="U560" s="182">
        <v>1</v>
      </c>
      <c r="V560" s="408">
        <v>1</v>
      </c>
      <c r="W560" s="357" t="s">
        <v>204</v>
      </c>
      <c r="X560" s="156">
        <v>5280000000</v>
      </c>
      <c r="Y560" s="156">
        <v>5280000000</v>
      </c>
      <c r="Z560" s="418" t="s">
        <v>359</v>
      </c>
      <c r="AA560" s="271"/>
      <c r="AB560" s="168"/>
      <c r="AC560" s="156"/>
      <c r="AD560" s="156"/>
      <c r="AE560" s="320"/>
      <c r="AF560" s="168"/>
      <c r="AG560" s="156"/>
      <c r="AH560" s="156"/>
      <c r="AI560" s="410"/>
    </row>
    <row r="561" spans="1:35" ht="19.5" hidden="1" customHeight="1">
      <c r="A561" s="137"/>
      <c r="B561" s="197">
        <f t="shared" si="10"/>
        <v>551</v>
      </c>
      <c r="C561" s="30" t="s">
        <v>202</v>
      </c>
      <c r="D561" s="30" t="s">
        <v>225</v>
      </c>
      <c r="E561" s="234" t="s">
        <v>935</v>
      </c>
      <c r="F561" s="235" t="s">
        <v>1334</v>
      </c>
      <c r="G561" s="284">
        <f>IFERROR(VLOOKUP(E561,Assign!$C$2:$J$142,8,FALSE),)</f>
        <v>0</v>
      </c>
      <c r="H561" s="197" t="s">
        <v>5088</v>
      </c>
      <c r="I561" s="324" t="s">
        <v>5092</v>
      </c>
      <c r="J561" s="237">
        <v>1</v>
      </c>
      <c r="K561" s="237">
        <v>4</v>
      </c>
      <c r="L561" s="265" t="s">
        <v>211</v>
      </c>
      <c r="M561" s="266" t="s">
        <v>2556</v>
      </c>
      <c r="N561" s="266" t="s">
        <v>2601</v>
      </c>
      <c r="O561" s="267" t="s">
        <v>2606</v>
      </c>
      <c r="P561" s="268" t="s">
        <v>2603</v>
      </c>
      <c r="Q561" s="269">
        <v>6611</v>
      </c>
      <c r="R561" s="269">
        <v>42.63</v>
      </c>
      <c r="S561" s="270"/>
      <c r="T561" s="182">
        <f>22.758/6611</f>
        <v>3.4424444108304341E-3</v>
      </c>
      <c r="U561" s="182">
        <v>1</v>
      </c>
      <c r="V561" s="408">
        <v>1</v>
      </c>
      <c r="W561" s="357" t="s">
        <v>204</v>
      </c>
      <c r="X561" s="156">
        <v>5280000000</v>
      </c>
      <c r="Y561" s="156">
        <v>5280000000</v>
      </c>
      <c r="Z561" s="418" t="s">
        <v>359</v>
      </c>
      <c r="AA561" s="271"/>
      <c r="AB561" s="168"/>
      <c r="AC561" s="156"/>
      <c r="AD561" s="156"/>
      <c r="AE561" s="320"/>
      <c r="AF561" s="168"/>
      <c r="AG561" s="156"/>
      <c r="AH561" s="156"/>
      <c r="AI561" s="410"/>
    </row>
    <row r="562" spans="1:35" ht="19.5" hidden="1" customHeight="1">
      <c r="A562" s="137"/>
      <c r="B562" s="197">
        <f t="shared" si="10"/>
        <v>552</v>
      </c>
      <c r="C562" s="30" t="s">
        <v>202</v>
      </c>
      <c r="D562" s="30" t="s">
        <v>225</v>
      </c>
      <c r="E562" s="234" t="s">
        <v>935</v>
      </c>
      <c r="F562" s="235" t="s">
        <v>1334</v>
      </c>
      <c r="G562" s="284">
        <f>IFERROR(VLOOKUP(E562,Assign!$C$2:$J$142,8,FALSE),)</f>
        <v>0</v>
      </c>
      <c r="H562" s="197" t="s">
        <v>5088</v>
      </c>
      <c r="I562" s="324" t="s">
        <v>5093</v>
      </c>
      <c r="J562" s="237">
        <v>1</v>
      </c>
      <c r="K562" s="237">
        <v>5</v>
      </c>
      <c r="L562" s="265" t="s">
        <v>211</v>
      </c>
      <c r="M562" s="266" t="s">
        <v>2556</v>
      </c>
      <c r="N562" s="266" t="s">
        <v>2601</v>
      </c>
      <c r="O562" s="267" t="s">
        <v>2607</v>
      </c>
      <c r="P562" s="268" t="s">
        <v>2603</v>
      </c>
      <c r="Q562" s="269">
        <v>6611</v>
      </c>
      <c r="R562" s="269">
        <v>42.7</v>
      </c>
      <c r="S562" s="270"/>
      <c r="T562" s="182">
        <f>22.7954/6611</f>
        <v>3.4481016487672065E-3</v>
      </c>
      <c r="U562" s="182">
        <v>1</v>
      </c>
      <c r="V562" s="408">
        <v>1</v>
      </c>
      <c r="W562" s="357" t="s">
        <v>204</v>
      </c>
      <c r="X562" s="156">
        <v>5280000000</v>
      </c>
      <c r="Y562" s="156">
        <v>5280000000</v>
      </c>
      <c r="Z562" s="418" t="s">
        <v>359</v>
      </c>
      <c r="AA562" s="271"/>
      <c r="AB562" s="168"/>
      <c r="AC562" s="156"/>
      <c r="AD562" s="156"/>
      <c r="AE562" s="320"/>
      <c r="AF562" s="168"/>
      <c r="AG562" s="156"/>
      <c r="AH562" s="156"/>
      <c r="AI562" s="410"/>
    </row>
    <row r="563" spans="1:35" ht="19.5" hidden="1" customHeight="1">
      <c r="A563" s="137"/>
      <c r="B563" s="197">
        <f t="shared" si="10"/>
        <v>553</v>
      </c>
      <c r="C563" s="30" t="s">
        <v>202</v>
      </c>
      <c r="D563" s="30" t="s">
        <v>225</v>
      </c>
      <c r="E563" s="234" t="s">
        <v>935</v>
      </c>
      <c r="F563" s="235" t="s">
        <v>1334</v>
      </c>
      <c r="G563" s="284">
        <f>IFERROR(VLOOKUP(E563,Assign!$C$2:$J$142,8,FALSE),)</f>
        <v>0</v>
      </c>
      <c r="H563" s="197" t="s">
        <v>5088</v>
      </c>
      <c r="I563" s="324" t="s">
        <v>5094</v>
      </c>
      <c r="J563" s="237">
        <v>1</v>
      </c>
      <c r="K563" s="237">
        <v>6</v>
      </c>
      <c r="L563" s="265" t="s">
        <v>211</v>
      </c>
      <c r="M563" s="266" t="s">
        <v>2556</v>
      </c>
      <c r="N563" s="266" t="s">
        <v>2601</v>
      </c>
      <c r="O563" s="267" t="s">
        <v>2608</v>
      </c>
      <c r="P563" s="268" t="s">
        <v>2603</v>
      </c>
      <c r="Q563" s="269">
        <v>6611</v>
      </c>
      <c r="R563" s="269">
        <v>42.7</v>
      </c>
      <c r="S563" s="270"/>
      <c r="T563" s="182">
        <f>22.7954/6611</f>
        <v>3.4481016487672065E-3</v>
      </c>
      <c r="U563" s="182">
        <v>1</v>
      </c>
      <c r="V563" s="408">
        <v>1</v>
      </c>
      <c r="W563" s="357" t="s">
        <v>204</v>
      </c>
      <c r="X563" s="156">
        <v>5280000000</v>
      </c>
      <c r="Y563" s="156">
        <v>5280000000</v>
      </c>
      <c r="Z563" s="418" t="s">
        <v>359</v>
      </c>
      <c r="AA563" s="271"/>
      <c r="AB563" s="168"/>
      <c r="AC563" s="156"/>
      <c r="AD563" s="156"/>
      <c r="AE563" s="320"/>
      <c r="AF563" s="168"/>
      <c r="AG563" s="156"/>
      <c r="AH563" s="156"/>
      <c r="AI563" s="410"/>
    </row>
    <row r="564" spans="1:35" ht="19.5" hidden="1" customHeight="1">
      <c r="A564" s="137"/>
      <c r="B564" s="197">
        <f t="shared" si="10"/>
        <v>554</v>
      </c>
      <c r="C564" s="30" t="s">
        <v>202</v>
      </c>
      <c r="D564" s="30" t="s">
        <v>225</v>
      </c>
      <c r="E564" s="234" t="s">
        <v>935</v>
      </c>
      <c r="F564" s="235" t="s">
        <v>1334</v>
      </c>
      <c r="G564" s="284">
        <f>IFERROR(VLOOKUP(E564,Assign!$C$2:$J$142,8,FALSE),)</f>
        <v>0</v>
      </c>
      <c r="H564" s="197" t="s">
        <v>5088</v>
      </c>
      <c r="I564" s="324" t="s">
        <v>5095</v>
      </c>
      <c r="J564" s="237">
        <v>1</v>
      </c>
      <c r="K564" s="237">
        <v>7</v>
      </c>
      <c r="L564" s="265" t="s">
        <v>211</v>
      </c>
      <c r="M564" s="266" t="s">
        <v>2556</v>
      </c>
      <c r="N564" s="266" t="s">
        <v>2601</v>
      </c>
      <c r="O564" s="267" t="s">
        <v>2609</v>
      </c>
      <c r="P564" s="268" t="s">
        <v>2603</v>
      </c>
      <c r="Q564" s="269">
        <v>6611</v>
      </c>
      <c r="R564" s="269">
        <v>42.7</v>
      </c>
      <c r="S564" s="270"/>
      <c r="T564" s="182">
        <f>22.7954/6611</f>
        <v>3.4481016487672065E-3</v>
      </c>
      <c r="U564" s="182">
        <v>1</v>
      </c>
      <c r="V564" s="408">
        <v>1</v>
      </c>
      <c r="W564" s="357" t="s">
        <v>204</v>
      </c>
      <c r="X564" s="156">
        <v>5280000000</v>
      </c>
      <c r="Y564" s="156">
        <v>5280000000</v>
      </c>
      <c r="Z564" s="418" t="s">
        <v>359</v>
      </c>
      <c r="AA564" s="271"/>
      <c r="AB564" s="168"/>
      <c r="AC564" s="156"/>
      <c r="AD564" s="156"/>
      <c r="AE564" s="320"/>
      <c r="AF564" s="168"/>
      <c r="AG564" s="156"/>
      <c r="AH564" s="156"/>
      <c r="AI564" s="410"/>
    </row>
    <row r="565" spans="1:35" ht="19.5" hidden="1" customHeight="1">
      <c r="A565" s="137"/>
      <c r="B565" s="197">
        <f t="shared" si="10"/>
        <v>555</v>
      </c>
      <c r="C565" s="30" t="s">
        <v>202</v>
      </c>
      <c r="D565" s="30" t="s">
        <v>225</v>
      </c>
      <c r="E565" s="234" t="s">
        <v>935</v>
      </c>
      <c r="F565" s="235" t="s">
        <v>1334</v>
      </c>
      <c r="G565" s="284">
        <f>IFERROR(VLOOKUP(E565,Assign!$C$2:$J$142,8,FALSE),)</f>
        <v>0</v>
      </c>
      <c r="H565" s="197" t="s">
        <v>5088</v>
      </c>
      <c r="I565" s="324" t="s">
        <v>5096</v>
      </c>
      <c r="J565" s="237">
        <v>1</v>
      </c>
      <c r="K565" s="237">
        <v>8</v>
      </c>
      <c r="L565" s="265" t="s">
        <v>211</v>
      </c>
      <c r="M565" s="266" t="s">
        <v>2556</v>
      </c>
      <c r="N565" s="266" t="s">
        <v>2601</v>
      </c>
      <c r="O565" s="267" t="s">
        <v>2610</v>
      </c>
      <c r="P565" s="268" t="s">
        <v>2603</v>
      </c>
      <c r="Q565" s="269">
        <v>6611</v>
      </c>
      <c r="R565" s="269">
        <v>43.88</v>
      </c>
      <c r="S565" s="270"/>
      <c r="T565" s="182">
        <f>23.4253/6611</f>
        <v>3.5433822417183483E-3</v>
      </c>
      <c r="U565" s="182">
        <v>1</v>
      </c>
      <c r="V565" s="408">
        <v>1</v>
      </c>
      <c r="W565" s="357" t="s">
        <v>204</v>
      </c>
      <c r="X565" s="156">
        <v>5280000000</v>
      </c>
      <c r="Y565" s="156">
        <v>5280000000</v>
      </c>
      <c r="Z565" s="418" t="s">
        <v>359</v>
      </c>
      <c r="AA565" s="271"/>
      <c r="AB565" s="168"/>
      <c r="AC565" s="156"/>
      <c r="AD565" s="156"/>
      <c r="AE565" s="320"/>
      <c r="AF565" s="168"/>
      <c r="AG565" s="156"/>
      <c r="AH565" s="156"/>
      <c r="AI565" s="410"/>
    </row>
    <row r="566" spans="1:35" ht="19.5" hidden="1" customHeight="1">
      <c r="A566" s="137"/>
      <c r="B566" s="197">
        <f t="shared" si="10"/>
        <v>556</v>
      </c>
      <c r="C566" s="30" t="s">
        <v>202</v>
      </c>
      <c r="D566" s="30" t="s">
        <v>225</v>
      </c>
      <c r="E566" s="234" t="s">
        <v>935</v>
      </c>
      <c r="F566" s="235" t="s">
        <v>1334</v>
      </c>
      <c r="G566" s="284">
        <f>IFERROR(VLOOKUP(E566,Assign!$C$2:$J$142,8,FALSE),)</f>
        <v>0</v>
      </c>
      <c r="H566" s="197" t="s">
        <v>5088</v>
      </c>
      <c r="I566" s="324" t="s">
        <v>5097</v>
      </c>
      <c r="J566" s="237">
        <v>1</v>
      </c>
      <c r="K566" s="237">
        <v>9</v>
      </c>
      <c r="L566" s="265" t="s">
        <v>211</v>
      </c>
      <c r="M566" s="266" t="s">
        <v>2556</v>
      </c>
      <c r="N566" s="266" t="s">
        <v>2601</v>
      </c>
      <c r="O566" s="267" t="s">
        <v>2611</v>
      </c>
      <c r="P566" s="268" t="s">
        <v>2603</v>
      </c>
      <c r="Q566" s="269">
        <v>6611</v>
      </c>
      <c r="R566" s="269">
        <v>43.88</v>
      </c>
      <c r="S566" s="270"/>
      <c r="T566" s="182">
        <f>23.4253/6611</f>
        <v>3.5433822417183483E-3</v>
      </c>
      <c r="U566" s="182">
        <v>1</v>
      </c>
      <c r="V566" s="408">
        <v>1</v>
      </c>
      <c r="W566" s="357" t="s">
        <v>204</v>
      </c>
      <c r="X566" s="156">
        <v>5280000000</v>
      </c>
      <c r="Y566" s="156">
        <v>5280000000</v>
      </c>
      <c r="Z566" s="418" t="s">
        <v>359</v>
      </c>
      <c r="AA566" s="271"/>
      <c r="AB566" s="168"/>
      <c r="AC566" s="156"/>
      <c r="AD566" s="156"/>
      <c r="AE566" s="320"/>
      <c r="AF566" s="168"/>
      <c r="AG566" s="156"/>
      <c r="AH566" s="156"/>
      <c r="AI566" s="410"/>
    </row>
    <row r="567" spans="1:35" ht="19.5" hidden="1" customHeight="1">
      <c r="A567" s="137"/>
      <c r="B567" s="197">
        <f t="shared" si="10"/>
        <v>557</v>
      </c>
      <c r="C567" s="30" t="s">
        <v>202</v>
      </c>
      <c r="D567" s="30" t="s">
        <v>225</v>
      </c>
      <c r="E567" s="234" t="s">
        <v>935</v>
      </c>
      <c r="F567" s="235" t="s">
        <v>1334</v>
      </c>
      <c r="G567" s="284">
        <f>IFERROR(VLOOKUP(E567,Assign!$C$2:$J$142,8,FALSE),)</f>
        <v>0</v>
      </c>
      <c r="H567" s="197" t="s">
        <v>5088</v>
      </c>
      <c r="I567" s="324" t="s">
        <v>5098</v>
      </c>
      <c r="J567" s="237">
        <v>1</v>
      </c>
      <c r="K567" s="237">
        <v>10</v>
      </c>
      <c r="L567" s="265" t="s">
        <v>211</v>
      </c>
      <c r="M567" s="266" t="s">
        <v>2556</v>
      </c>
      <c r="N567" s="266" t="s">
        <v>2601</v>
      </c>
      <c r="O567" s="267" t="s">
        <v>2612</v>
      </c>
      <c r="P567" s="268" t="s">
        <v>2603</v>
      </c>
      <c r="Q567" s="269">
        <v>6611</v>
      </c>
      <c r="R567" s="269">
        <v>45</v>
      </c>
      <c r="S567" s="270"/>
      <c r="T567" s="182">
        <f>24.0232/6611</f>
        <v>3.6338224171834819E-3</v>
      </c>
      <c r="U567" s="182">
        <v>1</v>
      </c>
      <c r="V567" s="408">
        <v>1</v>
      </c>
      <c r="W567" s="357" t="s">
        <v>204</v>
      </c>
      <c r="X567" s="156">
        <v>5280000000</v>
      </c>
      <c r="Y567" s="156">
        <v>5280000000</v>
      </c>
      <c r="Z567" s="418" t="s">
        <v>359</v>
      </c>
      <c r="AA567" s="271"/>
      <c r="AB567" s="168"/>
      <c r="AC567" s="156"/>
      <c r="AD567" s="156"/>
      <c r="AE567" s="320"/>
      <c r="AF567" s="168"/>
      <c r="AG567" s="156"/>
      <c r="AH567" s="156"/>
      <c r="AI567" s="410"/>
    </row>
    <row r="568" spans="1:35" ht="19.5" hidden="1" customHeight="1">
      <c r="A568" s="137"/>
      <c r="B568" s="197">
        <f t="shared" si="10"/>
        <v>558</v>
      </c>
      <c r="C568" s="30" t="s">
        <v>202</v>
      </c>
      <c r="D568" s="30" t="s">
        <v>225</v>
      </c>
      <c r="E568" s="234" t="s">
        <v>935</v>
      </c>
      <c r="F568" s="235" t="s">
        <v>1334</v>
      </c>
      <c r="G568" s="284">
        <f>IFERROR(VLOOKUP(E568,Assign!$C$2:$J$142,8,FALSE),)</f>
        <v>0</v>
      </c>
      <c r="H568" s="197" t="s">
        <v>5088</v>
      </c>
      <c r="I568" s="324" t="s">
        <v>5099</v>
      </c>
      <c r="J568" s="237">
        <v>1</v>
      </c>
      <c r="K568" s="237">
        <v>11</v>
      </c>
      <c r="L568" s="265" t="s">
        <v>211</v>
      </c>
      <c r="M568" s="266" t="s">
        <v>2556</v>
      </c>
      <c r="N568" s="266" t="s">
        <v>2601</v>
      </c>
      <c r="O568" s="267" t="s">
        <v>2613</v>
      </c>
      <c r="P568" s="268" t="s">
        <v>2603</v>
      </c>
      <c r="Q568" s="269">
        <v>6611</v>
      </c>
      <c r="R568" s="269">
        <v>42.75</v>
      </c>
      <c r="S568" s="270"/>
      <c r="T568" s="182">
        <f>22.8221/6611</f>
        <v>3.4521403721070941E-3</v>
      </c>
      <c r="U568" s="182">
        <v>1</v>
      </c>
      <c r="V568" s="408">
        <v>1</v>
      </c>
      <c r="W568" s="357" t="s">
        <v>204</v>
      </c>
      <c r="X568" s="156">
        <v>5280000000</v>
      </c>
      <c r="Y568" s="156">
        <v>5280000000</v>
      </c>
      <c r="Z568" s="418" t="s">
        <v>359</v>
      </c>
      <c r="AA568" s="271"/>
      <c r="AB568" s="168"/>
      <c r="AC568" s="156"/>
      <c r="AD568" s="156"/>
      <c r="AE568" s="320"/>
      <c r="AF568" s="168"/>
      <c r="AG568" s="156"/>
      <c r="AH568" s="156"/>
      <c r="AI568" s="410"/>
    </row>
    <row r="569" spans="1:35" ht="19.5" hidden="1" customHeight="1">
      <c r="A569" s="137"/>
      <c r="B569" s="197">
        <f t="shared" si="10"/>
        <v>559</v>
      </c>
      <c r="C569" s="30" t="s">
        <v>202</v>
      </c>
      <c r="D569" s="30" t="s">
        <v>225</v>
      </c>
      <c r="E569" s="234" t="s">
        <v>935</v>
      </c>
      <c r="F569" s="235" t="s">
        <v>1334</v>
      </c>
      <c r="G569" s="284">
        <f>IFERROR(VLOOKUP(E569,Assign!$C$2:$J$142,8,FALSE),)</f>
        <v>0</v>
      </c>
      <c r="H569" s="197" t="s">
        <v>5088</v>
      </c>
      <c r="I569" s="324" t="s">
        <v>5100</v>
      </c>
      <c r="J569" s="237">
        <v>1</v>
      </c>
      <c r="K569" s="237">
        <v>12</v>
      </c>
      <c r="L569" s="265" t="s">
        <v>211</v>
      </c>
      <c r="M569" s="266" t="s">
        <v>2556</v>
      </c>
      <c r="N569" s="266" t="s">
        <v>2601</v>
      </c>
      <c r="O569" s="267" t="s">
        <v>2614</v>
      </c>
      <c r="P569" s="268" t="s">
        <v>2603</v>
      </c>
      <c r="Q569" s="269">
        <v>6611</v>
      </c>
      <c r="R569" s="269">
        <v>42</v>
      </c>
      <c r="S569" s="270"/>
      <c r="T569" s="182">
        <f>22.4217/6611</f>
        <v>3.3915746483134173E-3</v>
      </c>
      <c r="U569" s="182">
        <v>1</v>
      </c>
      <c r="V569" s="408">
        <v>1</v>
      </c>
      <c r="W569" s="357" t="s">
        <v>204</v>
      </c>
      <c r="X569" s="156">
        <v>5280000000</v>
      </c>
      <c r="Y569" s="156">
        <v>5280000000</v>
      </c>
      <c r="Z569" s="418" t="s">
        <v>359</v>
      </c>
      <c r="AA569" s="271"/>
      <c r="AB569" s="168"/>
      <c r="AC569" s="156"/>
      <c r="AD569" s="156"/>
      <c r="AE569" s="320"/>
      <c r="AF569" s="168"/>
      <c r="AG569" s="156"/>
      <c r="AH569" s="156"/>
      <c r="AI569" s="410"/>
    </row>
    <row r="570" spans="1:35" ht="19.5" hidden="1" customHeight="1">
      <c r="A570" s="137"/>
      <c r="B570" s="197">
        <f t="shared" si="10"/>
        <v>560</v>
      </c>
      <c r="C570" s="30" t="s">
        <v>202</v>
      </c>
      <c r="D570" s="30" t="s">
        <v>225</v>
      </c>
      <c r="E570" s="234" t="s">
        <v>935</v>
      </c>
      <c r="F570" s="235" t="s">
        <v>1334</v>
      </c>
      <c r="G570" s="284">
        <f>IFERROR(VLOOKUP(E570,Assign!$C$2:$J$142,8,FALSE),)</f>
        <v>0</v>
      </c>
      <c r="H570" s="197" t="s">
        <v>5088</v>
      </c>
      <c r="I570" s="324" t="s">
        <v>5101</v>
      </c>
      <c r="J570" s="237">
        <v>1</v>
      </c>
      <c r="K570" s="237">
        <v>13</v>
      </c>
      <c r="L570" s="265" t="s">
        <v>211</v>
      </c>
      <c r="M570" s="266" t="s">
        <v>2556</v>
      </c>
      <c r="N570" s="266" t="s">
        <v>2601</v>
      </c>
      <c r="O570" s="267" t="s">
        <v>2615</v>
      </c>
      <c r="P570" s="268" t="s">
        <v>2603</v>
      </c>
      <c r="Q570" s="269">
        <v>6611</v>
      </c>
      <c r="R570" s="269">
        <v>39.9</v>
      </c>
      <c r="S570" s="270"/>
      <c r="T570" s="182">
        <f>21.3006/6611</f>
        <v>3.2219936469520495E-3</v>
      </c>
      <c r="U570" s="182">
        <v>1</v>
      </c>
      <c r="V570" s="408">
        <v>1</v>
      </c>
      <c r="W570" s="357" t="s">
        <v>204</v>
      </c>
      <c r="X570" s="156">
        <v>5280000000</v>
      </c>
      <c r="Y570" s="156">
        <v>5280000000</v>
      </c>
      <c r="Z570" s="418" t="s">
        <v>359</v>
      </c>
      <c r="AA570" s="271"/>
      <c r="AB570" s="168"/>
      <c r="AC570" s="156"/>
      <c r="AD570" s="156"/>
      <c r="AE570" s="320"/>
      <c r="AF570" s="168"/>
      <c r="AG570" s="156"/>
      <c r="AH570" s="156"/>
      <c r="AI570" s="410"/>
    </row>
    <row r="571" spans="1:35" ht="19.5" hidden="1" customHeight="1">
      <c r="A571" s="137"/>
      <c r="B571" s="197">
        <f t="shared" si="10"/>
        <v>561</v>
      </c>
      <c r="C571" s="30" t="s">
        <v>202</v>
      </c>
      <c r="D571" s="30" t="s">
        <v>225</v>
      </c>
      <c r="E571" s="234" t="s">
        <v>935</v>
      </c>
      <c r="F571" s="235" t="s">
        <v>1334</v>
      </c>
      <c r="G571" s="284">
        <f>IFERROR(VLOOKUP(E571,Assign!$C$2:$J$142,8,FALSE),)</f>
        <v>0</v>
      </c>
      <c r="H571" s="197" t="s">
        <v>5088</v>
      </c>
      <c r="I571" s="324" t="s">
        <v>5102</v>
      </c>
      <c r="J571" s="237">
        <v>1</v>
      </c>
      <c r="K571" s="237">
        <v>14</v>
      </c>
      <c r="L571" s="265" t="s">
        <v>211</v>
      </c>
      <c r="M571" s="266" t="s">
        <v>2556</v>
      </c>
      <c r="N571" s="266" t="s">
        <v>2601</v>
      </c>
      <c r="O571" s="267" t="s">
        <v>2616</v>
      </c>
      <c r="P571" s="268" t="s">
        <v>2603</v>
      </c>
      <c r="Q571" s="269">
        <v>6611</v>
      </c>
      <c r="R571" s="269">
        <v>40.950000000000003</v>
      </c>
      <c r="S571" s="270"/>
      <c r="T571" s="182">
        <f>21.8612/6611</f>
        <v>3.3067917107850553E-3</v>
      </c>
      <c r="U571" s="182">
        <v>1</v>
      </c>
      <c r="V571" s="408">
        <v>1</v>
      </c>
      <c r="W571" s="357" t="s">
        <v>204</v>
      </c>
      <c r="X571" s="156">
        <v>5280000000</v>
      </c>
      <c r="Y571" s="156">
        <v>5280000000</v>
      </c>
      <c r="Z571" s="418" t="s">
        <v>359</v>
      </c>
      <c r="AA571" s="271"/>
      <c r="AB571" s="168"/>
      <c r="AC571" s="156"/>
      <c r="AD571" s="156"/>
      <c r="AE571" s="320"/>
      <c r="AF571" s="168"/>
      <c r="AG571" s="156"/>
      <c r="AH571" s="156"/>
      <c r="AI571" s="410"/>
    </row>
    <row r="572" spans="1:35" ht="19.5" hidden="1" customHeight="1">
      <c r="A572" s="137"/>
      <c r="B572" s="197">
        <f t="shared" si="10"/>
        <v>562</v>
      </c>
      <c r="C572" s="30" t="s">
        <v>202</v>
      </c>
      <c r="D572" s="30" t="s">
        <v>225</v>
      </c>
      <c r="E572" s="234" t="s">
        <v>935</v>
      </c>
      <c r="F572" s="235" t="s">
        <v>1334</v>
      </c>
      <c r="G572" s="284">
        <f>IFERROR(VLOOKUP(E572,Assign!$C$2:$J$142,8,FALSE),)</f>
        <v>0</v>
      </c>
      <c r="H572" s="197" t="s">
        <v>5088</v>
      </c>
      <c r="I572" s="324" t="s">
        <v>5103</v>
      </c>
      <c r="J572" s="237">
        <v>1</v>
      </c>
      <c r="K572" s="237">
        <v>15</v>
      </c>
      <c r="L572" s="265" t="s">
        <v>211</v>
      </c>
      <c r="M572" s="266" t="s">
        <v>2556</v>
      </c>
      <c r="N572" s="266" t="s">
        <v>2601</v>
      </c>
      <c r="O572" s="267" t="s">
        <v>2617</v>
      </c>
      <c r="P572" s="268" t="s">
        <v>2603</v>
      </c>
      <c r="Q572" s="269">
        <v>6611</v>
      </c>
      <c r="R572" s="269">
        <v>40.950000000000003</v>
      </c>
      <c r="S572" s="270"/>
      <c r="T572" s="182">
        <f>21.8612/6611</f>
        <v>3.3067917107850553E-3</v>
      </c>
      <c r="U572" s="182">
        <v>1</v>
      </c>
      <c r="V572" s="408">
        <v>1</v>
      </c>
      <c r="W572" s="357" t="s">
        <v>204</v>
      </c>
      <c r="X572" s="156">
        <v>5280000000</v>
      </c>
      <c r="Y572" s="156">
        <v>5280000000</v>
      </c>
      <c r="Z572" s="418" t="s">
        <v>359</v>
      </c>
      <c r="AA572" s="271"/>
      <c r="AB572" s="168"/>
      <c r="AC572" s="156"/>
      <c r="AD572" s="156"/>
      <c r="AE572" s="320"/>
      <c r="AF572" s="168"/>
      <c r="AG572" s="156"/>
      <c r="AH572" s="156"/>
      <c r="AI572" s="410"/>
    </row>
    <row r="573" spans="1:35" ht="19.5" hidden="1" customHeight="1">
      <c r="A573" s="137"/>
      <c r="B573" s="197">
        <f t="shared" si="10"/>
        <v>563</v>
      </c>
      <c r="C573" s="30" t="s">
        <v>202</v>
      </c>
      <c r="D573" s="30" t="s">
        <v>225</v>
      </c>
      <c r="E573" s="234" t="s">
        <v>935</v>
      </c>
      <c r="F573" s="235" t="s">
        <v>1334</v>
      </c>
      <c r="G573" s="284">
        <f>IFERROR(VLOOKUP(E573,Assign!$C$2:$J$142,8,FALSE),)</f>
        <v>0</v>
      </c>
      <c r="H573" s="197" t="s">
        <v>5088</v>
      </c>
      <c r="I573" s="324" t="s">
        <v>5104</v>
      </c>
      <c r="J573" s="237">
        <v>1</v>
      </c>
      <c r="K573" s="237">
        <v>16</v>
      </c>
      <c r="L573" s="265" t="s">
        <v>211</v>
      </c>
      <c r="M573" s="266" t="s">
        <v>2556</v>
      </c>
      <c r="N573" s="266" t="s">
        <v>2601</v>
      </c>
      <c r="O573" s="267" t="s">
        <v>2618</v>
      </c>
      <c r="P573" s="268" t="s">
        <v>2603</v>
      </c>
      <c r="Q573" s="269">
        <v>6611</v>
      </c>
      <c r="R573" s="269">
        <v>105.96</v>
      </c>
      <c r="S573" s="270"/>
      <c r="T573" s="182">
        <f>56.5667/6611</f>
        <v>8.5564513689305698E-3</v>
      </c>
      <c r="U573" s="182">
        <v>1</v>
      </c>
      <c r="V573" s="408">
        <v>1</v>
      </c>
      <c r="W573" s="357" t="s">
        <v>204</v>
      </c>
      <c r="X573" s="156">
        <v>5280000000</v>
      </c>
      <c r="Y573" s="156">
        <v>5280000000</v>
      </c>
      <c r="Z573" s="418" t="s">
        <v>359</v>
      </c>
      <c r="AA573" s="271"/>
      <c r="AB573" s="168"/>
      <c r="AC573" s="156"/>
      <c r="AD573" s="156"/>
      <c r="AE573" s="320"/>
      <c r="AF573" s="168"/>
      <c r="AG573" s="156"/>
      <c r="AH573" s="156"/>
      <c r="AI573" s="410"/>
    </row>
    <row r="574" spans="1:35" ht="19.5" hidden="1" customHeight="1">
      <c r="A574" s="137"/>
      <c r="B574" s="197">
        <f t="shared" si="10"/>
        <v>564</v>
      </c>
      <c r="C574" s="30" t="s">
        <v>202</v>
      </c>
      <c r="D574" s="30" t="s">
        <v>225</v>
      </c>
      <c r="E574" s="234" t="s">
        <v>935</v>
      </c>
      <c r="F574" s="235" t="s">
        <v>1334</v>
      </c>
      <c r="G574" s="284">
        <f>IFERROR(VLOOKUP(E574,Assign!$C$2:$J$142,8,FALSE),)</f>
        <v>0</v>
      </c>
      <c r="H574" s="197" t="s">
        <v>5088</v>
      </c>
      <c r="I574" s="324" t="s">
        <v>5105</v>
      </c>
      <c r="J574" s="237">
        <v>1</v>
      </c>
      <c r="K574" s="237">
        <v>17</v>
      </c>
      <c r="L574" s="265" t="s">
        <v>211</v>
      </c>
      <c r="M574" s="266" t="s">
        <v>2556</v>
      </c>
      <c r="N574" s="266" t="s">
        <v>2601</v>
      </c>
      <c r="O574" s="267" t="s">
        <v>2619</v>
      </c>
      <c r="P574" s="268" t="s">
        <v>2603</v>
      </c>
      <c r="Q574" s="269">
        <v>6611</v>
      </c>
      <c r="R574" s="269">
        <v>40.31</v>
      </c>
      <c r="S574" s="270"/>
      <c r="T574" s="182">
        <f>21.5195/6611</f>
        <v>3.2551051278172745E-3</v>
      </c>
      <c r="U574" s="182">
        <v>1</v>
      </c>
      <c r="V574" s="408">
        <v>1</v>
      </c>
      <c r="W574" s="357" t="s">
        <v>204</v>
      </c>
      <c r="X574" s="156">
        <v>5280000000</v>
      </c>
      <c r="Y574" s="156">
        <v>5280000000</v>
      </c>
      <c r="Z574" s="418" t="s">
        <v>359</v>
      </c>
      <c r="AA574" s="271"/>
      <c r="AB574" s="168"/>
      <c r="AC574" s="156"/>
      <c r="AD574" s="156"/>
      <c r="AE574" s="320"/>
      <c r="AF574" s="168"/>
      <c r="AG574" s="156"/>
      <c r="AH574" s="156"/>
      <c r="AI574" s="410"/>
    </row>
    <row r="575" spans="1:35" ht="19.5" hidden="1" customHeight="1">
      <c r="A575" s="137"/>
      <c r="B575" s="197">
        <f t="shared" si="10"/>
        <v>565</v>
      </c>
      <c r="C575" s="30" t="s">
        <v>202</v>
      </c>
      <c r="D575" s="30" t="s">
        <v>225</v>
      </c>
      <c r="E575" s="234" t="s">
        <v>935</v>
      </c>
      <c r="F575" s="235" t="s">
        <v>1334</v>
      </c>
      <c r="G575" s="284">
        <f>IFERROR(VLOOKUP(E575,Assign!$C$2:$J$142,8,FALSE),)</f>
        <v>0</v>
      </c>
      <c r="H575" s="197" t="s">
        <v>5088</v>
      </c>
      <c r="I575" s="324" t="s">
        <v>5106</v>
      </c>
      <c r="J575" s="237">
        <v>1</v>
      </c>
      <c r="K575" s="237">
        <v>18</v>
      </c>
      <c r="L575" s="265" t="s">
        <v>211</v>
      </c>
      <c r="M575" s="266" t="s">
        <v>2556</v>
      </c>
      <c r="N575" s="266" t="s">
        <v>2601</v>
      </c>
      <c r="O575" s="267" t="s">
        <v>2620</v>
      </c>
      <c r="P575" s="268" t="s">
        <v>2603</v>
      </c>
      <c r="Q575" s="269">
        <v>6611</v>
      </c>
      <c r="R575" s="269">
        <v>40.31</v>
      </c>
      <c r="S575" s="270"/>
      <c r="T575" s="182">
        <f>21.5195/6611</f>
        <v>3.2551051278172745E-3</v>
      </c>
      <c r="U575" s="182">
        <v>1</v>
      </c>
      <c r="V575" s="408">
        <v>1</v>
      </c>
      <c r="W575" s="357" t="s">
        <v>204</v>
      </c>
      <c r="X575" s="156">
        <v>5280000000</v>
      </c>
      <c r="Y575" s="156">
        <v>5280000000</v>
      </c>
      <c r="Z575" s="418" t="s">
        <v>359</v>
      </c>
      <c r="AA575" s="271"/>
      <c r="AB575" s="168"/>
      <c r="AC575" s="156"/>
      <c r="AD575" s="156"/>
      <c r="AE575" s="320"/>
      <c r="AF575" s="168"/>
      <c r="AG575" s="156"/>
      <c r="AH575" s="156"/>
      <c r="AI575" s="410"/>
    </row>
    <row r="576" spans="1:35" ht="19.5" hidden="1" customHeight="1">
      <c r="A576" s="137"/>
      <c r="B576" s="197">
        <f t="shared" si="10"/>
        <v>566</v>
      </c>
      <c r="C576" s="30" t="s">
        <v>202</v>
      </c>
      <c r="D576" s="30" t="s">
        <v>225</v>
      </c>
      <c r="E576" s="234" t="s">
        <v>935</v>
      </c>
      <c r="F576" s="235" t="s">
        <v>1334</v>
      </c>
      <c r="G576" s="284">
        <f>IFERROR(VLOOKUP(E576,Assign!$C$2:$J$142,8,FALSE),)</f>
        <v>0</v>
      </c>
      <c r="H576" s="197" t="s">
        <v>5088</v>
      </c>
      <c r="I576" s="324" t="s">
        <v>5107</v>
      </c>
      <c r="J576" s="237">
        <v>1</v>
      </c>
      <c r="K576" s="237">
        <v>19</v>
      </c>
      <c r="L576" s="265" t="s">
        <v>211</v>
      </c>
      <c r="M576" s="266" t="s">
        <v>2556</v>
      </c>
      <c r="N576" s="266" t="s">
        <v>2601</v>
      </c>
      <c r="O576" s="267" t="s">
        <v>2621</v>
      </c>
      <c r="P576" s="268" t="s">
        <v>2603</v>
      </c>
      <c r="Q576" s="269">
        <v>6611</v>
      </c>
      <c r="R576" s="269">
        <v>40.31</v>
      </c>
      <c r="S576" s="270"/>
      <c r="T576" s="182">
        <f>21.5195/6611</f>
        <v>3.2551051278172745E-3</v>
      </c>
      <c r="U576" s="182">
        <v>1</v>
      </c>
      <c r="V576" s="408">
        <v>1</v>
      </c>
      <c r="W576" s="357" t="s">
        <v>204</v>
      </c>
      <c r="X576" s="156">
        <v>5280000000</v>
      </c>
      <c r="Y576" s="156">
        <v>5280000000</v>
      </c>
      <c r="Z576" s="418" t="s">
        <v>359</v>
      </c>
      <c r="AA576" s="271"/>
      <c r="AB576" s="168"/>
      <c r="AC576" s="156"/>
      <c r="AD576" s="156"/>
      <c r="AE576" s="320"/>
      <c r="AF576" s="168"/>
      <c r="AG576" s="156"/>
      <c r="AH576" s="156"/>
      <c r="AI576" s="410"/>
    </row>
    <row r="577" spans="1:35" ht="19.5" hidden="1" customHeight="1">
      <c r="A577" s="137"/>
      <c r="B577" s="197">
        <f t="shared" si="10"/>
        <v>567</v>
      </c>
      <c r="C577" s="30" t="s">
        <v>202</v>
      </c>
      <c r="D577" s="30" t="s">
        <v>225</v>
      </c>
      <c r="E577" s="234" t="s">
        <v>935</v>
      </c>
      <c r="F577" s="235" t="s">
        <v>1334</v>
      </c>
      <c r="G577" s="284">
        <f>IFERROR(VLOOKUP(E577,Assign!$C$2:$J$142,8,FALSE),)</f>
        <v>0</v>
      </c>
      <c r="H577" s="197" t="s">
        <v>5088</v>
      </c>
      <c r="I577" s="324" t="s">
        <v>5108</v>
      </c>
      <c r="J577" s="237">
        <v>1</v>
      </c>
      <c r="K577" s="237">
        <v>20</v>
      </c>
      <c r="L577" s="265" t="s">
        <v>211</v>
      </c>
      <c r="M577" s="266" t="s">
        <v>2556</v>
      </c>
      <c r="N577" s="266" t="s">
        <v>2601</v>
      </c>
      <c r="O577" s="267" t="s">
        <v>2622</v>
      </c>
      <c r="P577" s="268" t="s">
        <v>2603</v>
      </c>
      <c r="Q577" s="269">
        <v>6611</v>
      </c>
      <c r="R577" s="269">
        <v>40.31</v>
      </c>
      <c r="S577" s="270"/>
      <c r="T577" s="182">
        <f>21.5195/6611</f>
        <v>3.2551051278172745E-3</v>
      </c>
      <c r="U577" s="182">
        <v>1</v>
      </c>
      <c r="V577" s="408">
        <v>1</v>
      </c>
      <c r="W577" s="357" t="s">
        <v>204</v>
      </c>
      <c r="X577" s="156">
        <v>5280000000</v>
      </c>
      <c r="Y577" s="156">
        <v>5280000000</v>
      </c>
      <c r="Z577" s="418" t="s">
        <v>359</v>
      </c>
      <c r="AA577" s="271"/>
      <c r="AB577" s="168"/>
      <c r="AC577" s="156"/>
      <c r="AD577" s="156"/>
      <c r="AE577" s="320"/>
      <c r="AF577" s="168"/>
      <c r="AG577" s="156"/>
      <c r="AH577" s="156"/>
      <c r="AI577" s="410"/>
    </row>
    <row r="578" spans="1:35" ht="19.5" hidden="1" customHeight="1">
      <c r="A578" s="137"/>
      <c r="B578" s="197">
        <f t="shared" si="10"/>
        <v>568</v>
      </c>
      <c r="C578" s="30" t="s">
        <v>202</v>
      </c>
      <c r="D578" s="30" t="s">
        <v>225</v>
      </c>
      <c r="E578" s="234" t="s">
        <v>935</v>
      </c>
      <c r="F578" s="235" t="s">
        <v>1334</v>
      </c>
      <c r="G578" s="284">
        <f>IFERROR(VLOOKUP(E578,Assign!$C$2:$J$142,8,FALSE),)</f>
        <v>0</v>
      </c>
      <c r="H578" s="197" t="s">
        <v>5088</v>
      </c>
      <c r="I578" s="324" t="s">
        <v>5109</v>
      </c>
      <c r="J578" s="237">
        <v>1</v>
      </c>
      <c r="K578" s="237">
        <v>21</v>
      </c>
      <c r="L578" s="265" t="s">
        <v>211</v>
      </c>
      <c r="M578" s="266" t="s">
        <v>2556</v>
      </c>
      <c r="N578" s="266" t="s">
        <v>2601</v>
      </c>
      <c r="O578" s="267" t="s">
        <v>2623</v>
      </c>
      <c r="P578" s="268" t="s">
        <v>2603</v>
      </c>
      <c r="Q578" s="269">
        <v>6611</v>
      </c>
      <c r="R578" s="269">
        <v>41.25</v>
      </c>
      <c r="S578" s="270"/>
      <c r="T578" s="182">
        <f>22.0213/6611</f>
        <v>3.3310089245197397E-3</v>
      </c>
      <c r="U578" s="182">
        <v>1</v>
      </c>
      <c r="V578" s="408">
        <v>1</v>
      </c>
      <c r="W578" s="357" t="s">
        <v>204</v>
      </c>
      <c r="X578" s="156">
        <v>5280000000</v>
      </c>
      <c r="Y578" s="156">
        <v>5280000000</v>
      </c>
      <c r="Z578" s="418" t="s">
        <v>359</v>
      </c>
      <c r="AA578" s="271"/>
      <c r="AB578" s="168"/>
      <c r="AC578" s="156"/>
      <c r="AD578" s="156"/>
      <c r="AE578" s="320"/>
      <c r="AF578" s="168"/>
      <c r="AG578" s="156"/>
      <c r="AH578" s="156"/>
      <c r="AI578" s="410"/>
    </row>
    <row r="579" spans="1:35" ht="19.5" hidden="1" customHeight="1">
      <c r="A579" s="137"/>
      <c r="B579" s="197">
        <f t="shared" si="10"/>
        <v>569</v>
      </c>
      <c r="C579" s="30" t="s">
        <v>202</v>
      </c>
      <c r="D579" s="30" t="s">
        <v>225</v>
      </c>
      <c r="E579" s="234" t="s">
        <v>935</v>
      </c>
      <c r="F579" s="235" t="s">
        <v>1334</v>
      </c>
      <c r="G579" s="284">
        <f>IFERROR(VLOOKUP(E579,Assign!$C$2:$J$142,8,FALSE),)</f>
        <v>0</v>
      </c>
      <c r="H579" s="197" t="s">
        <v>5088</v>
      </c>
      <c r="I579" s="324" t="s">
        <v>5110</v>
      </c>
      <c r="J579" s="237">
        <v>1</v>
      </c>
      <c r="K579" s="237">
        <v>22</v>
      </c>
      <c r="L579" s="265" t="s">
        <v>211</v>
      </c>
      <c r="M579" s="266" t="s">
        <v>2556</v>
      </c>
      <c r="N579" s="266" t="s">
        <v>2601</v>
      </c>
      <c r="O579" s="267" t="s">
        <v>2624</v>
      </c>
      <c r="P579" s="268" t="s">
        <v>2603</v>
      </c>
      <c r="Q579" s="269">
        <v>6611</v>
      </c>
      <c r="R579" s="269">
        <v>41.25</v>
      </c>
      <c r="S579" s="270"/>
      <c r="T579" s="182">
        <f>22.0213/6611</f>
        <v>3.3310089245197397E-3</v>
      </c>
      <c r="U579" s="182">
        <v>1</v>
      </c>
      <c r="V579" s="408">
        <v>1</v>
      </c>
      <c r="W579" s="357" t="s">
        <v>204</v>
      </c>
      <c r="X579" s="156">
        <v>5280000000</v>
      </c>
      <c r="Y579" s="156">
        <v>5280000000</v>
      </c>
      <c r="Z579" s="418" t="s">
        <v>359</v>
      </c>
      <c r="AA579" s="271"/>
      <c r="AB579" s="168"/>
      <c r="AC579" s="156"/>
      <c r="AD579" s="156"/>
      <c r="AE579" s="320"/>
      <c r="AF579" s="168"/>
      <c r="AG579" s="156"/>
      <c r="AH579" s="156"/>
      <c r="AI579" s="410"/>
    </row>
    <row r="580" spans="1:35" ht="19.5" hidden="1" customHeight="1">
      <c r="A580" s="137"/>
      <c r="B580" s="197">
        <f t="shared" si="10"/>
        <v>570</v>
      </c>
      <c r="C580" s="30" t="s">
        <v>202</v>
      </c>
      <c r="D580" s="30" t="s">
        <v>225</v>
      </c>
      <c r="E580" s="234" t="s">
        <v>935</v>
      </c>
      <c r="F580" s="235" t="s">
        <v>1334</v>
      </c>
      <c r="G580" s="284">
        <f>IFERROR(VLOOKUP(E580,Assign!$C$2:$J$142,8,FALSE),)</f>
        <v>0</v>
      </c>
      <c r="H580" s="197" t="s">
        <v>5088</v>
      </c>
      <c r="I580" s="324" t="s">
        <v>5111</v>
      </c>
      <c r="J580" s="237">
        <v>1</v>
      </c>
      <c r="K580" s="237">
        <v>23</v>
      </c>
      <c r="L580" s="265" t="s">
        <v>211</v>
      </c>
      <c r="M580" s="266" t="s">
        <v>2556</v>
      </c>
      <c r="N580" s="266" t="s">
        <v>2601</v>
      </c>
      <c r="O580" s="267" t="s">
        <v>2625</v>
      </c>
      <c r="P580" s="268" t="s">
        <v>2603</v>
      </c>
      <c r="Q580" s="269">
        <v>6611</v>
      </c>
      <c r="R580" s="269">
        <v>41.25</v>
      </c>
      <c r="S580" s="270"/>
      <c r="T580" s="182">
        <f>22.0213/6611</f>
        <v>3.3310089245197397E-3</v>
      </c>
      <c r="U580" s="182">
        <v>1</v>
      </c>
      <c r="V580" s="408">
        <v>1</v>
      </c>
      <c r="W580" s="357" t="s">
        <v>204</v>
      </c>
      <c r="X580" s="156">
        <v>5280000000</v>
      </c>
      <c r="Y580" s="156">
        <v>5280000000</v>
      </c>
      <c r="Z580" s="418" t="s">
        <v>359</v>
      </c>
      <c r="AA580" s="271"/>
      <c r="AB580" s="168"/>
      <c r="AC580" s="156"/>
      <c r="AD580" s="156"/>
      <c r="AE580" s="320"/>
      <c r="AF580" s="168"/>
      <c r="AG580" s="156"/>
      <c r="AH580" s="156"/>
      <c r="AI580" s="410"/>
    </row>
    <row r="581" spans="1:35" ht="19.5" hidden="1" customHeight="1">
      <c r="A581" s="137"/>
      <c r="B581" s="197">
        <f t="shared" si="10"/>
        <v>571</v>
      </c>
      <c r="C581" s="30" t="s">
        <v>202</v>
      </c>
      <c r="D581" s="30" t="s">
        <v>225</v>
      </c>
      <c r="E581" s="234" t="s">
        <v>935</v>
      </c>
      <c r="F581" s="235" t="s">
        <v>1334</v>
      </c>
      <c r="G581" s="284">
        <f>IFERROR(VLOOKUP(E581,Assign!$C$2:$J$142,8,FALSE),)</f>
        <v>0</v>
      </c>
      <c r="H581" s="197" t="s">
        <v>5088</v>
      </c>
      <c r="I581" s="324" t="s">
        <v>5112</v>
      </c>
      <c r="J581" s="237">
        <v>1</v>
      </c>
      <c r="K581" s="237">
        <v>24</v>
      </c>
      <c r="L581" s="265" t="s">
        <v>211</v>
      </c>
      <c r="M581" s="266" t="s">
        <v>2556</v>
      </c>
      <c r="N581" s="266" t="s">
        <v>2601</v>
      </c>
      <c r="O581" s="267" t="s">
        <v>2626</v>
      </c>
      <c r="P581" s="268" t="s">
        <v>2603</v>
      </c>
      <c r="Q581" s="269">
        <v>6611</v>
      </c>
      <c r="R581" s="269">
        <v>133.65</v>
      </c>
      <c r="S581" s="270"/>
      <c r="T581" s="182">
        <f>71.349/6611</f>
        <v>1.07924671002874E-2</v>
      </c>
      <c r="U581" s="182">
        <v>1</v>
      </c>
      <c r="V581" s="408">
        <v>1</v>
      </c>
      <c r="W581" s="357" t="s">
        <v>204</v>
      </c>
      <c r="X581" s="156">
        <v>5280000000</v>
      </c>
      <c r="Y581" s="156">
        <v>5280000000</v>
      </c>
      <c r="Z581" s="418" t="s">
        <v>359</v>
      </c>
      <c r="AA581" s="271"/>
      <c r="AB581" s="168"/>
      <c r="AC581" s="156"/>
      <c r="AD581" s="156"/>
      <c r="AE581" s="320"/>
      <c r="AF581" s="168"/>
      <c r="AG581" s="156"/>
      <c r="AH581" s="156"/>
      <c r="AI581" s="410"/>
    </row>
    <row r="582" spans="1:35" ht="19.5" hidden="1" customHeight="1">
      <c r="A582" s="137"/>
      <c r="B582" s="197">
        <f t="shared" si="10"/>
        <v>572</v>
      </c>
      <c r="C582" s="30" t="s">
        <v>202</v>
      </c>
      <c r="D582" s="30" t="s">
        <v>225</v>
      </c>
      <c r="E582" s="234" t="s">
        <v>935</v>
      </c>
      <c r="F582" s="235" t="s">
        <v>1334</v>
      </c>
      <c r="G582" s="284">
        <f>IFERROR(VLOOKUP(E582,Assign!$C$2:$J$142,8,FALSE),)</f>
        <v>0</v>
      </c>
      <c r="H582" s="197" t="s">
        <v>5113</v>
      </c>
      <c r="I582" s="324" t="s">
        <v>5114</v>
      </c>
      <c r="J582" s="237">
        <v>2</v>
      </c>
      <c r="K582" s="237">
        <v>1</v>
      </c>
      <c r="L582" s="265" t="s">
        <v>211</v>
      </c>
      <c r="M582" s="266" t="s">
        <v>2556</v>
      </c>
      <c r="N582" s="266" t="s">
        <v>2601</v>
      </c>
      <c r="O582" s="267" t="s">
        <v>2627</v>
      </c>
      <c r="P582" s="268" t="s">
        <v>2603</v>
      </c>
      <c r="Q582" s="269">
        <v>6611</v>
      </c>
      <c r="R582" s="269">
        <v>163.80000000000001</v>
      </c>
      <c r="S582" s="270"/>
      <c r="T582" s="182">
        <f>87.4446/6611</f>
        <v>1.3227136590530932E-2</v>
      </c>
      <c r="U582" s="182">
        <v>1</v>
      </c>
      <c r="V582" s="408">
        <v>1</v>
      </c>
      <c r="W582" s="357" t="s">
        <v>204</v>
      </c>
      <c r="X582" s="156">
        <v>600000000</v>
      </c>
      <c r="Y582" s="156">
        <v>600000000</v>
      </c>
      <c r="Z582" s="418" t="s">
        <v>359</v>
      </c>
      <c r="AA582" s="271"/>
      <c r="AB582" s="168"/>
      <c r="AC582" s="156"/>
      <c r="AD582" s="156"/>
      <c r="AE582" s="320"/>
      <c r="AF582" s="168"/>
      <c r="AG582" s="156"/>
      <c r="AH582" s="156"/>
      <c r="AI582" s="410"/>
    </row>
    <row r="583" spans="1:35" ht="19.5" hidden="1" customHeight="1">
      <c r="A583" s="137"/>
      <c r="B583" s="197">
        <f t="shared" si="10"/>
        <v>573</v>
      </c>
      <c r="C583" s="30" t="s">
        <v>202</v>
      </c>
      <c r="D583" s="30" t="s">
        <v>225</v>
      </c>
      <c r="E583" s="234" t="s">
        <v>936</v>
      </c>
      <c r="F583" s="235" t="s">
        <v>1335</v>
      </c>
      <c r="G583" s="284">
        <f>IFERROR(VLOOKUP(E583,Assign!$C$2:$J$142,8,FALSE),)</f>
        <v>0</v>
      </c>
      <c r="H583" s="197" t="s">
        <v>5412</v>
      </c>
      <c r="I583" s="324" t="s">
        <v>5413</v>
      </c>
      <c r="J583" s="237">
        <v>1</v>
      </c>
      <c r="K583" s="237">
        <v>1</v>
      </c>
      <c r="L583" s="265" t="s">
        <v>211</v>
      </c>
      <c r="M583" s="266" t="s">
        <v>2435</v>
      </c>
      <c r="N583" s="266" t="s">
        <v>2884</v>
      </c>
      <c r="O583" s="267" t="s">
        <v>2885</v>
      </c>
      <c r="P583" s="268" t="s">
        <v>2886</v>
      </c>
      <c r="Q583" s="269"/>
      <c r="R583" s="269">
        <f>2882.42+116.1+115.5+115.5+29.7</f>
        <v>3259.22</v>
      </c>
      <c r="S583" s="270"/>
      <c r="T583" s="182"/>
      <c r="U583" s="182">
        <v>1</v>
      </c>
      <c r="V583" s="408" t="s">
        <v>229</v>
      </c>
      <c r="W583" s="357" t="s">
        <v>3071</v>
      </c>
      <c r="X583" s="168" t="s">
        <v>3381</v>
      </c>
      <c r="Y583" s="156">
        <v>3951090000</v>
      </c>
      <c r="Z583" s="418" t="s">
        <v>359</v>
      </c>
      <c r="AA583" s="271"/>
      <c r="AB583" s="168"/>
      <c r="AC583" s="156"/>
      <c r="AD583" s="156"/>
      <c r="AE583" s="320"/>
      <c r="AF583" s="168"/>
      <c r="AG583" s="156"/>
      <c r="AH583" s="156"/>
      <c r="AI583" s="410"/>
    </row>
    <row r="584" spans="1:35" ht="19.5" hidden="1" customHeight="1">
      <c r="A584" s="137"/>
      <c r="B584" s="197">
        <f t="shared" si="10"/>
        <v>574</v>
      </c>
      <c r="C584" s="30" t="s">
        <v>202</v>
      </c>
      <c r="D584" s="30" t="s">
        <v>225</v>
      </c>
      <c r="E584" s="234" t="s">
        <v>936</v>
      </c>
      <c r="F584" s="235" t="s">
        <v>1335</v>
      </c>
      <c r="G584" s="284">
        <f>IFERROR(VLOOKUP(E584,Assign!$C$2:$J$142,8,FALSE),)</f>
        <v>0</v>
      </c>
      <c r="H584" s="197" t="s">
        <v>5412</v>
      </c>
      <c r="I584" s="324" t="s">
        <v>5414</v>
      </c>
      <c r="J584" s="237">
        <v>1</v>
      </c>
      <c r="K584" s="237">
        <v>2</v>
      </c>
      <c r="L584" s="265" t="s">
        <v>211</v>
      </c>
      <c r="M584" s="266" t="s">
        <v>2435</v>
      </c>
      <c r="N584" s="266" t="s">
        <v>2884</v>
      </c>
      <c r="O584" s="267" t="s">
        <v>2887</v>
      </c>
      <c r="P584" s="268" t="s">
        <v>447</v>
      </c>
      <c r="Q584" s="269">
        <v>5011.3999999999996</v>
      </c>
      <c r="R584" s="269"/>
      <c r="S584" s="270"/>
      <c r="T584" s="182"/>
      <c r="U584" s="182">
        <v>1</v>
      </c>
      <c r="V584" s="408" t="s">
        <v>229</v>
      </c>
      <c r="W584" s="357" t="s">
        <v>3071</v>
      </c>
      <c r="X584" s="168" t="s">
        <v>3381</v>
      </c>
      <c r="Y584" s="156">
        <v>3951090000</v>
      </c>
      <c r="Z584" s="418" t="s">
        <v>359</v>
      </c>
      <c r="AA584" s="271"/>
      <c r="AB584" s="168"/>
      <c r="AC584" s="156"/>
      <c r="AD584" s="156"/>
      <c r="AE584" s="320"/>
      <c r="AF584" s="168"/>
      <c r="AG584" s="156"/>
      <c r="AH584" s="156"/>
      <c r="AI584" s="410"/>
    </row>
    <row r="585" spans="1:35" ht="19.5" hidden="1" customHeight="1">
      <c r="A585" s="137"/>
      <c r="B585" s="197">
        <f t="shared" si="10"/>
        <v>575</v>
      </c>
      <c r="C585" s="30" t="s">
        <v>202</v>
      </c>
      <c r="D585" s="30" t="s">
        <v>225</v>
      </c>
      <c r="E585" s="234" t="s">
        <v>936</v>
      </c>
      <c r="F585" s="235" t="s">
        <v>1335</v>
      </c>
      <c r="G585" s="284">
        <f>IFERROR(VLOOKUP(E585,Assign!$C$2:$J$142,8,FALSE),)</f>
        <v>0</v>
      </c>
      <c r="H585" s="197" t="s">
        <v>5412</v>
      </c>
      <c r="I585" s="324" t="s">
        <v>5415</v>
      </c>
      <c r="J585" s="237">
        <v>1</v>
      </c>
      <c r="K585" s="237">
        <v>3</v>
      </c>
      <c r="L585" s="265" t="s">
        <v>211</v>
      </c>
      <c r="M585" s="266" t="s">
        <v>2435</v>
      </c>
      <c r="N585" s="266" t="s">
        <v>2884</v>
      </c>
      <c r="O585" s="267" t="s">
        <v>2888</v>
      </c>
      <c r="P585" s="268" t="s">
        <v>538</v>
      </c>
      <c r="Q585" s="269">
        <v>950.2</v>
      </c>
      <c r="R585" s="269"/>
      <c r="S585" s="270"/>
      <c r="T585" s="182"/>
      <c r="U585" s="182">
        <f>76/950.2</f>
        <v>7.9983161439696901E-2</v>
      </c>
      <c r="V585" s="408" t="s">
        <v>229</v>
      </c>
      <c r="W585" s="357" t="s">
        <v>3071</v>
      </c>
      <c r="X585" s="168" t="s">
        <v>3381</v>
      </c>
      <c r="Y585" s="156">
        <v>3951090000</v>
      </c>
      <c r="Z585" s="418" t="s">
        <v>359</v>
      </c>
      <c r="AA585" s="271"/>
      <c r="AB585" s="168"/>
      <c r="AC585" s="156"/>
      <c r="AD585" s="156"/>
      <c r="AE585" s="320"/>
      <c r="AF585" s="168"/>
      <c r="AG585" s="156"/>
      <c r="AH585" s="156"/>
      <c r="AI585" s="410"/>
    </row>
    <row r="586" spans="1:35" ht="19.5" hidden="1" customHeight="1">
      <c r="A586" s="137"/>
      <c r="B586" s="197">
        <f t="shared" si="10"/>
        <v>576</v>
      </c>
      <c r="C586" s="30" t="s">
        <v>202</v>
      </c>
      <c r="D586" s="30" t="s">
        <v>225</v>
      </c>
      <c r="E586" s="234" t="s">
        <v>936</v>
      </c>
      <c r="F586" s="235" t="s">
        <v>1335</v>
      </c>
      <c r="G586" s="284">
        <f>IFERROR(VLOOKUP(E586,Assign!$C$2:$J$142,8,FALSE),)</f>
        <v>0</v>
      </c>
      <c r="H586" s="197" t="s">
        <v>5412</v>
      </c>
      <c r="I586" s="324" t="s">
        <v>5416</v>
      </c>
      <c r="J586" s="237">
        <v>1</v>
      </c>
      <c r="K586" s="237">
        <v>4</v>
      </c>
      <c r="L586" s="265" t="s">
        <v>211</v>
      </c>
      <c r="M586" s="266" t="s">
        <v>2435</v>
      </c>
      <c r="N586" s="266" t="s">
        <v>2884</v>
      </c>
      <c r="O586" s="267" t="s">
        <v>2889</v>
      </c>
      <c r="P586" s="268" t="s">
        <v>450</v>
      </c>
      <c r="Q586" s="269">
        <v>926.8</v>
      </c>
      <c r="R586" s="269"/>
      <c r="S586" s="270"/>
      <c r="T586" s="182"/>
      <c r="U586" s="182">
        <f>74/926.8</f>
        <v>7.9844626672421232E-2</v>
      </c>
      <c r="V586" s="408" t="s">
        <v>229</v>
      </c>
      <c r="W586" s="357" t="s">
        <v>3071</v>
      </c>
      <c r="X586" s="168" t="s">
        <v>3381</v>
      </c>
      <c r="Y586" s="156">
        <v>3951090000</v>
      </c>
      <c r="Z586" s="418" t="s">
        <v>359</v>
      </c>
      <c r="AA586" s="271"/>
      <c r="AB586" s="168"/>
      <c r="AC586" s="156"/>
      <c r="AD586" s="156"/>
      <c r="AE586" s="320"/>
      <c r="AF586" s="168"/>
      <c r="AG586" s="156"/>
      <c r="AH586" s="156"/>
      <c r="AI586" s="410"/>
    </row>
    <row r="587" spans="1:35" ht="19.5" hidden="1" customHeight="1">
      <c r="A587" s="137"/>
      <c r="B587" s="197">
        <f t="shared" ref="B587:B650" si="12">ROW()-10</f>
        <v>577</v>
      </c>
      <c r="C587" s="30" t="s">
        <v>202</v>
      </c>
      <c r="D587" s="30" t="s">
        <v>225</v>
      </c>
      <c r="E587" s="234" t="s">
        <v>936</v>
      </c>
      <c r="F587" s="235" t="s">
        <v>1335</v>
      </c>
      <c r="G587" s="284">
        <f>IFERROR(VLOOKUP(E587,Assign!$C$2:$J$142,8,FALSE),)</f>
        <v>0</v>
      </c>
      <c r="H587" s="197" t="s">
        <v>5412</v>
      </c>
      <c r="I587" s="324" t="s">
        <v>5417</v>
      </c>
      <c r="J587" s="237">
        <v>1</v>
      </c>
      <c r="K587" s="237">
        <v>5</v>
      </c>
      <c r="L587" s="265" t="s">
        <v>211</v>
      </c>
      <c r="M587" s="266" t="s">
        <v>2435</v>
      </c>
      <c r="N587" s="266" t="s">
        <v>2884</v>
      </c>
      <c r="O587" s="267" t="s">
        <v>2890</v>
      </c>
      <c r="P587" s="268" t="s">
        <v>2891</v>
      </c>
      <c r="Q587" s="269">
        <v>289</v>
      </c>
      <c r="R587" s="269"/>
      <c r="S587" s="270" t="s">
        <v>335</v>
      </c>
      <c r="T587" s="182"/>
      <c r="U587" s="182">
        <v>1</v>
      </c>
      <c r="V587" s="408" t="s">
        <v>229</v>
      </c>
      <c r="W587" s="357" t="s">
        <v>3071</v>
      </c>
      <c r="X587" s="168" t="s">
        <v>3381</v>
      </c>
      <c r="Y587" s="156">
        <v>3951090000</v>
      </c>
      <c r="Z587" s="418" t="s">
        <v>359</v>
      </c>
      <c r="AA587" s="271"/>
      <c r="AB587" s="168"/>
      <c r="AC587" s="156"/>
      <c r="AD587" s="156"/>
      <c r="AE587" s="320"/>
      <c r="AF587" s="168"/>
      <c r="AG587" s="156"/>
      <c r="AH587" s="156"/>
      <c r="AI587" s="410"/>
    </row>
    <row r="588" spans="1:35" ht="19.5" hidden="1" customHeight="1">
      <c r="A588" s="137"/>
      <c r="B588" s="197">
        <f t="shared" si="12"/>
        <v>578</v>
      </c>
      <c r="C588" s="30" t="s">
        <v>202</v>
      </c>
      <c r="D588" s="30" t="s">
        <v>225</v>
      </c>
      <c r="E588" s="234" t="s">
        <v>936</v>
      </c>
      <c r="F588" s="235" t="s">
        <v>1335</v>
      </c>
      <c r="G588" s="284">
        <f>IFERROR(VLOOKUP(E588,Assign!$C$2:$J$142,8,FALSE),)</f>
        <v>0</v>
      </c>
      <c r="H588" s="197" t="s">
        <v>5412</v>
      </c>
      <c r="I588" s="324" t="s">
        <v>5418</v>
      </c>
      <c r="J588" s="237">
        <v>1</v>
      </c>
      <c r="K588" s="237">
        <v>6</v>
      </c>
      <c r="L588" s="265" t="s">
        <v>211</v>
      </c>
      <c r="M588" s="266" t="s">
        <v>2435</v>
      </c>
      <c r="N588" s="266" t="s">
        <v>2884</v>
      </c>
      <c r="O588" s="267" t="s">
        <v>2892</v>
      </c>
      <c r="P588" s="268" t="s">
        <v>245</v>
      </c>
      <c r="Q588" s="269">
        <v>8435</v>
      </c>
      <c r="R588" s="269"/>
      <c r="S588" s="270"/>
      <c r="T588" s="182"/>
      <c r="U588" s="182">
        <f>676/8435</f>
        <v>8.0142264374629527E-2</v>
      </c>
      <c r="V588" s="408" t="s">
        <v>229</v>
      </c>
      <c r="W588" s="357" t="s">
        <v>3071</v>
      </c>
      <c r="X588" s="168" t="s">
        <v>3381</v>
      </c>
      <c r="Y588" s="156">
        <v>3951090000</v>
      </c>
      <c r="Z588" s="418" t="s">
        <v>359</v>
      </c>
      <c r="AA588" s="271"/>
      <c r="AB588" s="168"/>
      <c r="AC588" s="156"/>
      <c r="AD588" s="156"/>
      <c r="AE588" s="320"/>
      <c r="AF588" s="168"/>
      <c r="AG588" s="156"/>
      <c r="AH588" s="156"/>
      <c r="AI588" s="410"/>
    </row>
    <row r="589" spans="1:35" ht="19.5" hidden="1" customHeight="1">
      <c r="A589" s="137"/>
      <c r="B589" s="197">
        <f t="shared" si="12"/>
        <v>579</v>
      </c>
      <c r="C589" s="30" t="s">
        <v>202</v>
      </c>
      <c r="D589" s="30" t="s">
        <v>225</v>
      </c>
      <c r="E589" s="234" t="s">
        <v>936</v>
      </c>
      <c r="F589" s="235" t="s">
        <v>1335</v>
      </c>
      <c r="G589" s="284">
        <f>IFERROR(VLOOKUP(E589,Assign!$C$2:$J$142,8,FALSE),)</f>
        <v>0</v>
      </c>
      <c r="H589" s="197" t="s">
        <v>5412</v>
      </c>
      <c r="I589" s="324" t="s">
        <v>5419</v>
      </c>
      <c r="J589" s="237">
        <v>1</v>
      </c>
      <c r="K589" s="237">
        <v>7</v>
      </c>
      <c r="L589" s="265" t="s">
        <v>211</v>
      </c>
      <c r="M589" s="266" t="s">
        <v>2435</v>
      </c>
      <c r="N589" s="266" t="s">
        <v>2884</v>
      </c>
      <c r="O589" s="267" t="s">
        <v>2893</v>
      </c>
      <c r="P589" s="268" t="s">
        <v>245</v>
      </c>
      <c r="Q589" s="269">
        <v>2940.8</v>
      </c>
      <c r="R589" s="269"/>
      <c r="S589" s="270"/>
      <c r="T589" s="182"/>
      <c r="U589" s="182">
        <f>240/2993.4</f>
        <v>8.0176388053718184E-2</v>
      </c>
      <c r="V589" s="408" t="s">
        <v>229</v>
      </c>
      <c r="W589" s="357" t="s">
        <v>3071</v>
      </c>
      <c r="X589" s="168" t="s">
        <v>3381</v>
      </c>
      <c r="Y589" s="156">
        <v>3951090000</v>
      </c>
      <c r="Z589" s="418" t="s">
        <v>359</v>
      </c>
      <c r="AA589" s="271"/>
      <c r="AB589" s="168"/>
      <c r="AC589" s="156"/>
      <c r="AD589" s="156"/>
      <c r="AE589" s="320"/>
      <c r="AF589" s="168"/>
      <c r="AG589" s="156"/>
      <c r="AH589" s="156"/>
      <c r="AI589" s="410"/>
    </row>
    <row r="590" spans="1:35" ht="19.5" hidden="1" customHeight="1">
      <c r="A590" s="137"/>
      <c r="B590" s="197">
        <f t="shared" si="12"/>
        <v>580</v>
      </c>
      <c r="C590" s="30" t="s">
        <v>202</v>
      </c>
      <c r="D590" s="30" t="s">
        <v>225</v>
      </c>
      <c r="E590" s="234" t="s">
        <v>936</v>
      </c>
      <c r="F590" s="235" t="s">
        <v>1335</v>
      </c>
      <c r="G590" s="284">
        <f>IFERROR(VLOOKUP(E590,Assign!$C$2:$J$142,8,FALSE),)</f>
        <v>0</v>
      </c>
      <c r="H590" s="197" t="s">
        <v>5412</v>
      </c>
      <c r="I590" s="324" t="s">
        <v>5420</v>
      </c>
      <c r="J590" s="237">
        <v>1</v>
      </c>
      <c r="K590" s="237">
        <v>8</v>
      </c>
      <c r="L590" s="265" t="s">
        <v>211</v>
      </c>
      <c r="M590" s="266" t="s">
        <v>2435</v>
      </c>
      <c r="N590" s="266" t="s">
        <v>2884</v>
      </c>
      <c r="O590" s="267" t="s">
        <v>2894</v>
      </c>
      <c r="P590" s="268" t="s">
        <v>245</v>
      </c>
      <c r="Q590" s="269">
        <v>52.6</v>
      </c>
      <c r="R590" s="269"/>
      <c r="S590" s="270"/>
      <c r="T590" s="182"/>
      <c r="U590" s="182">
        <f>240/2993.4</f>
        <v>8.0176388053718184E-2</v>
      </c>
      <c r="V590" s="408" t="s">
        <v>229</v>
      </c>
      <c r="W590" s="357" t="s">
        <v>3071</v>
      </c>
      <c r="X590" s="168" t="s">
        <v>3381</v>
      </c>
      <c r="Y590" s="156">
        <v>3951090000</v>
      </c>
      <c r="Z590" s="418" t="s">
        <v>359</v>
      </c>
      <c r="AA590" s="271"/>
      <c r="AB590" s="168"/>
      <c r="AC590" s="156"/>
      <c r="AD590" s="156"/>
      <c r="AE590" s="320"/>
      <c r="AF590" s="168"/>
      <c r="AG590" s="156"/>
      <c r="AH590" s="156"/>
      <c r="AI590" s="410"/>
    </row>
    <row r="591" spans="1:35" ht="19.5" hidden="1" customHeight="1">
      <c r="A591" s="137"/>
      <c r="B591" s="197">
        <f t="shared" si="12"/>
        <v>581</v>
      </c>
      <c r="C591" s="30" t="s">
        <v>202</v>
      </c>
      <c r="D591" s="30" t="s">
        <v>225</v>
      </c>
      <c r="E591" s="234" t="s">
        <v>937</v>
      </c>
      <c r="F591" s="235" t="s">
        <v>1336</v>
      </c>
      <c r="G591" s="284">
        <f>IFERROR(VLOOKUP(E591,Assign!$C$2:$J$142,8,FALSE),)</f>
        <v>0</v>
      </c>
      <c r="H591" s="197" t="s">
        <v>5294</v>
      </c>
      <c r="I591" s="324" t="s">
        <v>5295</v>
      </c>
      <c r="J591" s="237">
        <v>1</v>
      </c>
      <c r="K591" s="237">
        <v>1</v>
      </c>
      <c r="L591" s="265" t="s">
        <v>221</v>
      </c>
      <c r="M591" s="266" t="s">
        <v>405</v>
      </c>
      <c r="N591" s="266" t="s">
        <v>2778</v>
      </c>
      <c r="O591" s="267" t="s">
        <v>2779</v>
      </c>
      <c r="P591" s="268" t="s">
        <v>593</v>
      </c>
      <c r="Q591" s="269"/>
      <c r="R591" s="269">
        <v>839.9</v>
      </c>
      <c r="S591" s="270"/>
      <c r="T591" s="182"/>
      <c r="U591" s="182">
        <v>1</v>
      </c>
      <c r="V591" s="408" t="s">
        <v>229</v>
      </c>
      <c r="W591" s="357" t="s">
        <v>204</v>
      </c>
      <c r="X591" s="156">
        <v>3708000000</v>
      </c>
      <c r="Y591" s="156">
        <v>3708000000</v>
      </c>
      <c r="Z591" s="418" t="s">
        <v>359</v>
      </c>
      <c r="AA591" s="271"/>
      <c r="AB591" s="168"/>
      <c r="AC591" s="156"/>
      <c r="AD591" s="156"/>
      <c r="AE591" s="320"/>
      <c r="AF591" s="168"/>
      <c r="AG591" s="156"/>
      <c r="AH591" s="156"/>
      <c r="AI591" s="410"/>
    </row>
    <row r="592" spans="1:35" ht="19.5" hidden="1" customHeight="1">
      <c r="A592" s="137"/>
      <c r="B592" s="197">
        <f t="shared" si="12"/>
        <v>582</v>
      </c>
      <c r="C592" s="30" t="s">
        <v>202</v>
      </c>
      <c r="D592" s="30" t="s">
        <v>225</v>
      </c>
      <c r="E592" s="234" t="s">
        <v>937</v>
      </c>
      <c r="F592" s="235" t="s">
        <v>1336</v>
      </c>
      <c r="G592" s="284">
        <f>IFERROR(VLOOKUP(E592,Assign!$C$2:$J$142,8,FALSE),)</f>
        <v>0</v>
      </c>
      <c r="H592" s="197" t="s">
        <v>5294</v>
      </c>
      <c r="I592" s="324" t="s">
        <v>5296</v>
      </c>
      <c r="J592" s="237">
        <v>1</v>
      </c>
      <c r="K592" s="237">
        <v>2</v>
      </c>
      <c r="L592" s="265" t="s">
        <v>221</v>
      </c>
      <c r="M592" s="266" t="s">
        <v>405</v>
      </c>
      <c r="N592" s="266" t="s">
        <v>2778</v>
      </c>
      <c r="O592" s="267" t="s">
        <v>2780</v>
      </c>
      <c r="P592" s="268" t="s">
        <v>466</v>
      </c>
      <c r="Q592" s="269"/>
      <c r="R592" s="269">
        <v>839.9</v>
      </c>
      <c r="S592" s="270"/>
      <c r="T592" s="182"/>
      <c r="U592" s="182">
        <v>1</v>
      </c>
      <c r="V592" s="408" t="s">
        <v>229</v>
      </c>
      <c r="W592" s="357" t="s">
        <v>204</v>
      </c>
      <c r="X592" s="156">
        <v>3708000000</v>
      </c>
      <c r="Y592" s="156">
        <v>3708000000</v>
      </c>
      <c r="Z592" s="418" t="s">
        <v>359</v>
      </c>
      <c r="AA592" s="271"/>
      <c r="AB592" s="168"/>
      <c r="AC592" s="156"/>
      <c r="AD592" s="156"/>
      <c r="AE592" s="320"/>
      <c r="AF592" s="168"/>
      <c r="AG592" s="156"/>
      <c r="AH592" s="156"/>
      <c r="AI592" s="410"/>
    </row>
    <row r="593" spans="1:35" ht="19.5" hidden="1" customHeight="1">
      <c r="A593" s="137"/>
      <c r="B593" s="197">
        <f t="shared" si="12"/>
        <v>583</v>
      </c>
      <c r="C593" s="30" t="s">
        <v>202</v>
      </c>
      <c r="D593" s="30" t="s">
        <v>225</v>
      </c>
      <c r="E593" s="234" t="s">
        <v>937</v>
      </c>
      <c r="F593" s="235" t="s">
        <v>1336</v>
      </c>
      <c r="G593" s="284">
        <f>IFERROR(VLOOKUP(E593,Assign!$C$2:$J$142,8,FALSE),)</f>
        <v>0</v>
      </c>
      <c r="H593" s="197" t="s">
        <v>5294</v>
      </c>
      <c r="I593" s="324" t="s">
        <v>5297</v>
      </c>
      <c r="J593" s="237">
        <v>1</v>
      </c>
      <c r="K593" s="237">
        <v>3</v>
      </c>
      <c r="L593" s="265" t="s">
        <v>221</v>
      </c>
      <c r="M593" s="266" t="s">
        <v>405</v>
      </c>
      <c r="N593" s="266" t="s">
        <v>2778</v>
      </c>
      <c r="O593" s="267" t="s">
        <v>2781</v>
      </c>
      <c r="P593" s="268" t="s">
        <v>447</v>
      </c>
      <c r="Q593" s="269">
        <v>4858.1000000000004</v>
      </c>
      <c r="R593" s="269"/>
      <c r="S593" s="270"/>
      <c r="T593" s="182"/>
      <c r="U593" s="182">
        <v>1</v>
      </c>
      <c r="V593" s="408" t="s">
        <v>229</v>
      </c>
      <c r="W593" s="357" t="s">
        <v>204</v>
      </c>
      <c r="X593" s="156">
        <v>3708000000</v>
      </c>
      <c r="Y593" s="156">
        <v>3708000000</v>
      </c>
      <c r="Z593" s="418" t="s">
        <v>359</v>
      </c>
      <c r="AA593" s="271"/>
      <c r="AB593" s="168"/>
      <c r="AC593" s="156"/>
      <c r="AD593" s="156"/>
      <c r="AE593" s="320"/>
      <c r="AF593" s="168"/>
      <c r="AG593" s="156"/>
      <c r="AH593" s="156"/>
      <c r="AI593" s="410"/>
    </row>
    <row r="594" spans="1:35" ht="19.5" hidden="1" customHeight="1">
      <c r="A594" s="137"/>
      <c r="B594" s="197">
        <f t="shared" si="12"/>
        <v>584</v>
      </c>
      <c r="C594" s="30" t="s">
        <v>202</v>
      </c>
      <c r="D594" s="30" t="s">
        <v>225</v>
      </c>
      <c r="E594" s="234" t="s">
        <v>938</v>
      </c>
      <c r="F594" s="235" t="s">
        <v>1231</v>
      </c>
      <c r="G594" s="284">
        <f>IFERROR(VLOOKUP(E594,Assign!$C$2:$J$142,8,FALSE),)</f>
        <v>0</v>
      </c>
      <c r="H594" s="197" t="s">
        <v>4807</v>
      </c>
      <c r="I594" s="324" t="s">
        <v>4808</v>
      </c>
      <c r="J594" s="237">
        <v>1</v>
      </c>
      <c r="K594" s="237">
        <v>1</v>
      </c>
      <c r="L594" s="265" t="s">
        <v>212</v>
      </c>
      <c r="M594" s="266" t="s">
        <v>232</v>
      </c>
      <c r="N594" s="266" t="s">
        <v>263</v>
      </c>
      <c r="O594" s="267" t="s">
        <v>2336</v>
      </c>
      <c r="P594" s="268" t="s">
        <v>2337</v>
      </c>
      <c r="Q594" s="269"/>
      <c r="R594" s="269">
        <f>513.03+534.63+298.66</f>
        <v>1346.32</v>
      </c>
      <c r="S594" s="270"/>
      <c r="T594" s="182"/>
      <c r="U594" s="182">
        <v>1</v>
      </c>
      <c r="V594" s="408" t="s">
        <v>233</v>
      </c>
      <c r="W594" s="357" t="s">
        <v>204</v>
      </c>
      <c r="X594" s="156">
        <v>3552000000</v>
      </c>
      <c r="Y594" s="156">
        <v>3552000000</v>
      </c>
      <c r="Z594" s="418" t="s">
        <v>359</v>
      </c>
      <c r="AA594" s="271"/>
      <c r="AB594" s="168"/>
      <c r="AC594" s="156"/>
      <c r="AD594" s="156"/>
      <c r="AE594" s="320"/>
      <c r="AF594" s="168"/>
      <c r="AG594" s="156"/>
      <c r="AH594" s="156"/>
      <c r="AI594" s="410"/>
    </row>
    <row r="595" spans="1:35" ht="19.5" hidden="1" customHeight="1">
      <c r="A595" s="137"/>
      <c r="B595" s="197">
        <f t="shared" si="12"/>
        <v>585</v>
      </c>
      <c r="C595" s="30" t="s">
        <v>202</v>
      </c>
      <c r="D595" s="30" t="s">
        <v>225</v>
      </c>
      <c r="E595" s="234" t="s">
        <v>938</v>
      </c>
      <c r="F595" s="235" t="s">
        <v>1231</v>
      </c>
      <c r="G595" s="284">
        <f>IFERROR(VLOOKUP(E595,Assign!$C$2:$J$142,8,FALSE),)</f>
        <v>0</v>
      </c>
      <c r="H595" s="197" t="s">
        <v>4807</v>
      </c>
      <c r="I595" s="324" t="s">
        <v>4809</v>
      </c>
      <c r="J595" s="237">
        <v>1</v>
      </c>
      <c r="K595" s="237">
        <v>2</v>
      </c>
      <c r="L595" s="265" t="s">
        <v>212</v>
      </c>
      <c r="M595" s="266" t="s">
        <v>232</v>
      </c>
      <c r="N595" s="266" t="s">
        <v>263</v>
      </c>
      <c r="O595" s="267" t="s">
        <v>2336</v>
      </c>
      <c r="P595" s="268" t="s">
        <v>447</v>
      </c>
      <c r="Q595" s="269">
        <v>780.2</v>
      </c>
      <c r="R595" s="269"/>
      <c r="S595" s="270"/>
      <c r="T595" s="182"/>
      <c r="U595" s="182">
        <v>1</v>
      </c>
      <c r="V595" s="408" t="s">
        <v>233</v>
      </c>
      <c r="W595" s="357" t="s">
        <v>204</v>
      </c>
      <c r="X595" s="156">
        <v>3552000000</v>
      </c>
      <c r="Y595" s="156">
        <v>3552000000</v>
      </c>
      <c r="Z595" s="418" t="s">
        <v>359</v>
      </c>
      <c r="AA595" s="271"/>
      <c r="AB595" s="168"/>
      <c r="AC595" s="156"/>
      <c r="AD595" s="156"/>
      <c r="AE595" s="320"/>
      <c r="AF595" s="168"/>
      <c r="AG595" s="156"/>
      <c r="AH595" s="156"/>
      <c r="AI595" s="410"/>
    </row>
    <row r="596" spans="1:35" ht="19.5" hidden="1" customHeight="1">
      <c r="A596" s="137"/>
      <c r="B596" s="197">
        <f t="shared" si="12"/>
        <v>586</v>
      </c>
      <c r="C596" s="30" t="s">
        <v>202</v>
      </c>
      <c r="D596" s="30" t="s">
        <v>225</v>
      </c>
      <c r="E596" s="234" t="s">
        <v>939</v>
      </c>
      <c r="F596" s="235" t="s">
        <v>1338</v>
      </c>
      <c r="G596" s="284">
        <f>IFERROR(VLOOKUP(E596,Assign!$C$2:$J$142,8,FALSE),)</f>
        <v>0</v>
      </c>
      <c r="H596" s="197" t="s">
        <v>5559</v>
      </c>
      <c r="I596" s="324" t="s">
        <v>5560</v>
      </c>
      <c r="J596" s="237">
        <v>1</v>
      </c>
      <c r="K596" s="237">
        <v>1</v>
      </c>
      <c r="L596" s="265" t="s">
        <v>208</v>
      </c>
      <c r="M596" s="266" t="s">
        <v>259</v>
      </c>
      <c r="N596" s="266" t="s">
        <v>379</v>
      </c>
      <c r="O596" s="267" t="s">
        <v>3029</v>
      </c>
      <c r="P596" s="268" t="s">
        <v>2268</v>
      </c>
      <c r="Q596" s="269"/>
      <c r="R596" s="269">
        <f>725.43+921.88+921.88+697.25+32.43</f>
        <v>3298.87</v>
      </c>
      <c r="S596" s="270"/>
      <c r="T596" s="182"/>
      <c r="U596" s="182">
        <v>1</v>
      </c>
      <c r="V596" s="408">
        <v>1</v>
      </c>
      <c r="W596" s="357" t="s">
        <v>204</v>
      </c>
      <c r="X596" s="156">
        <v>3774000000</v>
      </c>
      <c r="Y596" s="156">
        <v>3774000000</v>
      </c>
      <c r="Z596" s="418" t="s">
        <v>359</v>
      </c>
      <c r="AA596" s="271"/>
      <c r="AB596" s="168"/>
      <c r="AC596" s="156"/>
      <c r="AD596" s="156"/>
      <c r="AE596" s="320"/>
      <c r="AF596" s="168"/>
      <c r="AG596" s="156"/>
      <c r="AH596" s="156"/>
      <c r="AI596" s="410"/>
    </row>
    <row r="597" spans="1:35" ht="19.5" hidden="1" customHeight="1">
      <c r="A597" s="137"/>
      <c r="B597" s="197">
        <f t="shared" si="12"/>
        <v>587</v>
      </c>
      <c r="C597" s="30" t="s">
        <v>202</v>
      </c>
      <c r="D597" s="30" t="s">
        <v>225</v>
      </c>
      <c r="E597" s="234" t="s">
        <v>939</v>
      </c>
      <c r="F597" s="235" t="s">
        <v>1338</v>
      </c>
      <c r="G597" s="284">
        <f>IFERROR(VLOOKUP(E597,Assign!$C$2:$J$142,8,FALSE),)</f>
        <v>0</v>
      </c>
      <c r="H597" s="197" t="s">
        <v>5559</v>
      </c>
      <c r="I597" s="324" t="s">
        <v>5561</v>
      </c>
      <c r="J597" s="237">
        <v>1</v>
      </c>
      <c r="K597" s="237">
        <v>2</v>
      </c>
      <c r="L597" s="265" t="s">
        <v>208</v>
      </c>
      <c r="M597" s="266" t="s">
        <v>259</v>
      </c>
      <c r="N597" s="266" t="s">
        <v>379</v>
      </c>
      <c r="O597" s="267" t="s">
        <v>3029</v>
      </c>
      <c r="P597" s="268" t="s">
        <v>447</v>
      </c>
      <c r="Q597" s="269">
        <v>1320.9</v>
      </c>
      <c r="R597" s="269"/>
      <c r="S597" s="270"/>
      <c r="T597" s="182"/>
      <c r="U597" s="182">
        <v>1</v>
      </c>
      <c r="V597" s="408">
        <v>1</v>
      </c>
      <c r="W597" s="357" t="s">
        <v>204</v>
      </c>
      <c r="X597" s="156">
        <v>3774000000</v>
      </c>
      <c r="Y597" s="156">
        <v>3774000000</v>
      </c>
      <c r="Z597" s="418" t="s">
        <v>359</v>
      </c>
      <c r="AA597" s="271"/>
      <c r="AB597" s="168"/>
      <c r="AC597" s="156"/>
      <c r="AD597" s="156"/>
      <c r="AE597" s="320"/>
      <c r="AF597" s="168"/>
      <c r="AG597" s="156"/>
      <c r="AH597" s="156"/>
      <c r="AI597" s="410"/>
    </row>
    <row r="598" spans="1:35" ht="19.5" hidden="1" customHeight="1">
      <c r="A598" s="137"/>
      <c r="B598" s="197">
        <f t="shared" si="12"/>
        <v>588</v>
      </c>
      <c r="C598" s="30" t="s">
        <v>202</v>
      </c>
      <c r="D598" s="30" t="s">
        <v>225</v>
      </c>
      <c r="E598" s="234" t="s">
        <v>940</v>
      </c>
      <c r="F598" s="235" t="s">
        <v>1339</v>
      </c>
      <c r="G598" s="284">
        <f>IFERROR(VLOOKUP(E598,Assign!$C$2:$J$142,8,FALSE),)</f>
        <v>0</v>
      </c>
      <c r="H598" s="197" t="s">
        <v>5540</v>
      </c>
      <c r="I598" s="324" t="s">
        <v>5541</v>
      </c>
      <c r="J598" s="237">
        <v>1</v>
      </c>
      <c r="K598" s="237">
        <v>1</v>
      </c>
      <c r="L598" s="265" t="s">
        <v>209</v>
      </c>
      <c r="M598" s="266" t="s">
        <v>354</v>
      </c>
      <c r="N598" s="266" t="s">
        <v>3013</v>
      </c>
      <c r="O598" s="267" t="s">
        <v>3014</v>
      </c>
      <c r="P598" s="268" t="s">
        <v>3015</v>
      </c>
      <c r="Q598" s="269">
        <v>12867.2</v>
      </c>
      <c r="R598" s="269">
        <v>80.260000000000005</v>
      </c>
      <c r="S598" s="270"/>
      <c r="T598" s="182">
        <f>21.1/12867.2</f>
        <v>1.6398284008952997E-3</v>
      </c>
      <c r="U598" s="182">
        <v>1</v>
      </c>
      <c r="V598" s="408">
        <v>1</v>
      </c>
      <c r="W598" s="357" t="s">
        <v>204</v>
      </c>
      <c r="X598" s="156">
        <v>1104000000</v>
      </c>
      <c r="Y598" s="156">
        <v>1104000000</v>
      </c>
      <c r="Z598" s="418" t="s">
        <v>359</v>
      </c>
      <c r="AA598" s="271"/>
      <c r="AB598" s="168"/>
      <c r="AC598" s="156"/>
      <c r="AD598" s="156"/>
      <c r="AE598" s="320"/>
      <c r="AF598" s="168"/>
      <c r="AG598" s="156"/>
      <c r="AH598" s="156"/>
      <c r="AI598" s="410"/>
    </row>
    <row r="599" spans="1:35" ht="19.5" hidden="1" customHeight="1">
      <c r="A599" s="137"/>
      <c r="B599" s="197">
        <f t="shared" si="12"/>
        <v>589</v>
      </c>
      <c r="C599" s="30" t="s">
        <v>202</v>
      </c>
      <c r="D599" s="30" t="s">
        <v>225</v>
      </c>
      <c r="E599" s="234" t="s">
        <v>940</v>
      </c>
      <c r="F599" s="235" t="s">
        <v>1339</v>
      </c>
      <c r="G599" s="284">
        <f>IFERROR(VLOOKUP(E599,Assign!$C$2:$J$142,8,FALSE),)</f>
        <v>0</v>
      </c>
      <c r="H599" s="197" t="s">
        <v>5542</v>
      </c>
      <c r="I599" s="324" t="s">
        <v>5543</v>
      </c>
      <c r="J599" s="237">
        <v>2</v>
      </c>
      <c r="K599" s="237">
        <v>1</v>
      </c>
      <c r="L599" s="265" t="s">
        <v>209</v>
      </c>
      <c r="M599" s="266" t="s">
        <v>354</v>
      </c>
      <c r="N599" s="266" t="s">
        <v>3013</v>
      </c>
      <c r="O599" s="267" t="s">
        <v>3016</v>
      </c>
      <c r="P599" s="268" t="s">
        <v>3015</v>
      </c>
      <c r="Q599" s="269">
        <v>12867.2</v>
      </c>
      <c r="R599" s="269">
        <v>71.819999999999993</v>
      </c>
      <c r="S599" s="270"/>
      <c r="T599" s="182">
        <f>18.88/12867.2</f>
        <v>1.4672966923650831E-3</v>
      </c>
      <c r="U599" s="182">
        <v>1</v>
      </c>
      <c r="V599" s="408" t="s">
        <v>3383</v>
      </c>
      <c r="W599" s="357" t="s">
        <v>204</v>
      </c>
      <c r="X599" s="156">
        <v>996000000</v>
      </c>
      <c r="Y599" s="156">
        <v>996000000</v>
      </c>
      <c r="Z599" s="418" t="s">
        <v>359</v>
      </c>
      <c r="AA599" s="271"/>
      <c r="AB599" s="168"/>
      <c r="AC599" s="156"/>
      <c r="AD599" s="156"/>
      <c r="AE599" s="320"/>
      <c r="AF599" s="168"/>
      <c r="AG599" s="156"/>
      <c r="AH599" s="156"/>
      <c r="AI599" s="410"/>
    </row>
    <row r="600" spans="1:35" ht="19.5" hidden="1" customHeight="1">
      <c r="A600" s="137"/>
      <c r="B600" s="197">
        <f t="shared" si="12"/>
        <v>590</v>
      </c>
      <c r="C600" s="30" t="s">
        <v>202</v>
      </c>
      <c r="D600" s="30" t="s">
        <v>225</v>
      </c>
      <c r="E600" s="234" t="s">
        <v>940</v>
      </c>
      <c r="F600" s="235" t="s">
        <v>1339</v>
      </c>
      <c r="G600" s="284">
        <f>IFERROR(VLOOKUP(E600,Assign!$C$2:$J$142,8,FALSE),)</f>
        <v>0</v>
      </c>
      <c r="H600" s="197" t="s">
        <v>5544</v>
      </c>
      <c r="I600" s="324" t="s">
        <v>5545</v>
      </c>
      <c r="J600" s="237">
        <v>3</v>
      </c>
      <c r="K600" s="237">
        <v>1</v>
      </c>
      <c r="L600" s="265" t="s">
        <v>209</v>
      </c>
      <c r="M600" s="266" t="s">
        <v>354</v>
      </c>
      <c r="N600" s="266" t="s">
        <v>3013</v>
      </c>
      <c r="O600" s="267" t="s">
        <v>3017</v>
      </c>
      <c r="P600" s="268" t="s">
        <v>3015</v>
      </c>
      <c r="Q600" s="269">
        <v>12867.2</v>
      </c>
      <c r="R600" s="269">
        <v>49.5</v>
      </c>
      <c r="S600" s="270"/>
      <c r="T600" s="182">
        <f>13.01/12867.2</f>
        <v>1.0110979855757274E-3</v>
      </c>
      <c r="U600" s="182">
        <v>1</v>
      </c>
      <c r="V600" s="408">
        <v>1</v>
      </c>
      <c r="W600" s="357" t="s">
        <v>204</v>
      </c>
      <c r="X600" s="156">
        <v>660000000</v>
      </c>
      <c r="Y600" s="156">
        <v>660000000</v>
      </c>
      <c r="Z600" s="418" t="s">
        <v>359</v>
      </c>
      <c r="AA600" s="271"/>
      <c r="AB600" s="168"/>
      <c r="AC600" s="156"/>
      <c r="AD600" s="156"/>
      <c r="AE600" s="320"/>
      <c r="AF600" s="168"/>
      <c r="AG600" s="156"/>
      <c r="AH600" s="156"/>
      <c r="AI600" s="410"/>
    </row>
    <row r="601" spans="1:35" ht="19.5" hidden="1" customHeight="1">
      <c r="A601" s="137"/>
      <c r="B601" s="197">
        <f t="shared" si="12"/>
        <v>591</v>
      </c>
      <c r="C601" s="30" t="s">
        <v>202</v>
      </c>
      <c r="D601" s="30" t="s">
        <v>225</v>
      </c>
      <c r="E601" s="234" t="s">
        <v>941</v>
      </c>
      <c r="F601" s="235" t="s">
        <v>1229</v>
      </c>
      <c r="G601" s="284">
        <f>IFERROR(VLOOKUP(E601,Assign!$C$2:$J$142,8,FALSE),)</f>
        <v>0</v>
      </c>
      <c r="H601" s="197" t="s">
        <v>3940</v>
      </c>
      <c r="I601" s="324" t="s">
        <v>3941</v>
      </c>
      <c r="J601" s="237">
        <v>1</v>
      </c>
      <c r="K601" s="237">
        <v>1</v>
      </c>
      <c r="L601" s="265" t="s">
        <v>214</v>
      </c>
      <c r="M601" s="266" t="s">
        <v>338</v>
      </c>
      <c r="N601" s="266" t="s">
        <v>1513</v>
      </c>
      <c r="O601" s="267" t="s">
        <v>1514</v>
      </c>
      <c r="P601" s="268" t="s">
        <v>1515</v>
      </c>
      <c r="Q601" s="269"/>
      <c r="R601" s="269">
        <v>2700</v>
      </c>
      <c r="S601" s="270"/>
      <c r="T601" s="182"/>
      <c r="U601" s="182">
        <v>1</v>
      </c>
      <c r="V601" s="408">
        <v>1</v>
      </c>
      <c r="W601" s="357" t="s">
        <v>204</v>
      </c>
      <c r="X601" s="156">
        <v>2400000000</v>
      </c>
      <c r="Y601" s="156">
        <v>2400000000</v>
      </c>
      <c r="Z601" s="418" t="s">
        <v>359</v>
      </c>
      <c r="AA601" s="271"/>
      <c r="AB601" s="168"/>
      <c r="AC601" s="156"/>
      <c r="AD601" s="156"/>
      <c r="AE601" s="320"/>
      <c r="AF601" s="168"/>
      <c r="AG601" s="156"/>
      <c r="AH601" s="156"/>
      <c r="AI601" s="410"/>
    </row>
    <row r="602" spans="1:35" ht="19.5" hidden="1" customHeight="1">
      <c r="A602" s="137"/>
      <c r="B602" s="197">
        <f t="shared" si="12"/>
        <v>592</v>
      </c>
      <c r="C602" s="30" t="s">
        <v>202</v>
      </c>
      <c r="D602" s="30" t="s">
        <v>225</v>
      </c>
      <c r="E602" s="234" t="s">
        <v>941</v>
      </c>
      <c r="F602" s="235" t="s">
        <v>1229</v>
      </c>
      <c r="G602" s="284">
        <f>IFERROR(VLOOKUP(E602,Assign!$C$2:$J$142,8,FALSE),)</f>
        <v>0</v>
      </c>
      <c r="H602" s="197" t="s">
        <v>3940</v>
      </c>
      <c r="I602" s="324" t="s">
        <v>3942</v>
      </c>
      <c r="J602" s="237">
        <v>1</v>
      </c>
      <c r="K602" s="237">
        <v>2</v>
      </c>
      <c r="L602" s="265" t="s">
        <v>214</v>
      </c>
      <c r="M602" s="266" t="s">
        <v>338</v>
      </c>
      <c r="N602" s="266" t="s">
        <v>1513</v>
      </c>
      <c r="O602" s="267" t="s">
        <v>1516</v>
      </c>
      <c r="P602" s="268" t="s">
        <v>1515</v>
      </c>
      <c r="Q602" s="269"/>
      <c r="R602" s="269">
        <v>336</v>
      </c>
      <c r="S602" s="270"/>
      <c r="T602" s="182"/>
      <c r="U602" s="182">
        <v>1</v>
      </c>
      <c r="V602" s="408">
        <v>1</v>
      </c>
      <c r="W602" s="357" t="s">
        <v>204</v>
      </c>
      <c r="X602" s="156">
        <v>2400000000</v>
      </c>
      <c r="Y602" s="156">
        <v>2400000000</v>
      </c>
      <c r="Z602" s="418" t="s">
        <v>359</v>
      </c>
      <c r="AA602" s="271"/>
      <c r="AB602" s="168"/>
      <c r="AC602" s="156"/>
      <c r="AD602" s="156"/>
      <c r="AE602" s="320"/>
      <c r="AF602" s="168"/>
      <c r="AG602" s="156"/>
      <c r="AH602" s="156"/>
      <c r="AI602" s="410"/>
    </row>
    <row r="603" spans="1:35" ht="19.5" hidden="1" customHeight="1">
      <c r="A603" s="137"/>
      <c r="B603" s="197">
        <f t="shared" si="12"/>
        <v>593</v>
      </c>
      <c r="C603" s="30" t="s">
        <v>202</v>
      </c>
      <c r="D603" s="30" t="s">
        <v>225</v>
      </c>
      <c r="E603" s="234" t="s">
        <v>941</v>
      </c>
      <c r="F603" s="235" t="s">
        <v>1229</v>
      </c>
      <c r="G603" s="284">
        <f>IFERROR(VLOOKUP(E603,Assign!$C$2:$J$142,8,FALSE),)</f>
        <v>0</v>
      </c>
      <c r="H603" s="197" t="s">
        <v>3940</v>
      </c>
      <c r="I603" s="324" t="s">
        <v>3943</v>
      </c>
      <c r="J603" s="237">
        <v>1</v>
      </c>
      <c r="K603" s="237">
        <v>3</v>
      </c>
      <c r="L603" s="265" t="s">
        <v>214</v>
      </c>
      <c r="M603" s="266" t="s">
        <v>338</v>
      </c>
      <c r="N603" s="266" t="s">
        <v>1513</v>
      </c>
      <c r="O603" s="267" t="s">
        <v>1517</v>
      </c>
      <c r="P603" s="268" t="s">
        <v>1518</v>
      </c>
      <c r="Q603" s="269"/>
      <c r="R603" s="269">
        <v>36</v>
      </c>
      <c r="S603" s="270"/>
      <c r="T603" s="182"/>
      <c r="U603" s="182">
        <v>1</v>
      </c>
      <c r="V603" s="408">
        <v>1</v>
      </c>
      <c r="W603" s="357" t="s">
        <v>204</v>
      </c>
      <c r="X603" s="156">
        <v>2400000000</v>
      </c>
      <c r="Y603" s="156">
        <v>2400000000</v>
      </c>
      <c r="Z603" s="418" t="s">
        <v>359</v>
      </c>
      <c r="AA603" s="271"/>
      <c r="AB603" s="168"/>
      <c r="AC603" s="156"/>
      <c r="AD603" s="156"/>
      <c r="AE603" s="320"/>
      <c r="AF603" s="168"/>
      <c r="AG603" s="156"/>
      <c r="AH603" s="156"/>
      <c r="AI603" s="410"/>
    </row>
    <row r="604" spans="1:35" ht="19.5" hidden="1" customHeight="1">
      <c r="A604" s="137"/>
      <c r="B604" s="197">
        <f t="shared" si="12"/>
        <v>594</v>
      </c>
      <c r="C604" s="30" t="s">
        <v>202</v>
      </c>
      <c r="D604" s="30" t="s">
        <v>225</v>
      </c>
      <c r="E604" s="234" t="s">
        <v>941</v>
      </c>
      <c r="F604" s="235" t="s">
        <v>1229</v>
      </c>
      <c r="G604" s="284">
        <f>IFERROR(VLOOKUP(E604,Assign!$C$2:$J$142,8,FALSE),)</f>
        <v>0</v>
      </c>
      <c r="H604" s="197" t="s">
        <v>3940</v>
      </c>
      <c r="I604" s="324" t="s">
        <v>3944</v>
      </c>
      <c r="J604" s="237">
        <v>1</v>
      </c>
      <c r="K604" s="237">
        <v>4</v>
      </c>
      <c r="L604" s="265" t="s">
        <v>214</v>
      </c>
      <c r="M604" s="266" t="s">
        <v>338</v>
      </c>
      <c r="N604" s="266" t="s">
        <v>1513</v>
      </c>
      <c r="O604" s="267" t="s">
        <v>1519</v>
      </c>
      <c r="P604" s="268" t="s">
        <v>447</v>
      </c>
      <c r="Q604" s="269">
        <v>9984</v>
      </c>
      <c r="R604" s="269"/>
      <c r="S604" s="270"/>
      <c r="T604" s="182"/>
      <c r="U604" s="182">
        <v>1</v>
      </c>
      <c r="V604" s="408">
        <v>1</v>
      </c>
      <c r="W604" s="357" t="s">
        <v>204</v>
      </c>
      <c r="X604" s="156">
        <v>2400000000</v>
      </c>
      <c r="Y604" s="156">
        <v>2400000000</v>
      </c>
      <c r="Z604" s="418" t="s">
        <v>359</v>
      </c>
      <c r="AA604" s="271"/>
      <c r="AB604" s="168"/>
      <c r="AC604" s="156"/>
      <c r="AD604" s="156"/>
      <c r="AE604" s="320"/>
      <c r="AF604" s="168"/>
      <c r="AG604" s="156"/>
      <c r="AH604" s="156"/>
      <c r="AI604" s="410"/>
    </row>
    <row r="605" spans="1:35" ht="19.5" hidden="1" customHeight="1">
      <c r="A605" s="137"/>
      <c r="B605" s="197">
        <f t="shared" si="12"/>
        <v>595</v>
      </c>
      <c r="C605" s="30" t="s">
        <v>202</v>
      </c>
      <c r="D605" s="30" t="s">
        <v>225</v>
      </c>
      <c r="E605" s="234" t="s">
        <v>941</v>
      </c>
      <c r="F605" s="235" t="s">
        <v>1229</v>
      </c>
      <c r="G605" s="284">
        <f>IFERROR(VLOOKUP(E605,Assign!$C$2:$J$142,8,FALSE),)</f>
        <v>0</v>
      </c>
      <c r="H605" s="197" t="s">
        <v>3945</v>
      </c>
      <c r="I605" s="324" t="s">
        <v>3946</v>
      </c>
      <c r="J605" s="237">
        <v>2</v>
      </c>
      <c r="K605" s="237">
        <v>1</v>
      </c>
      <c r="L605" s="265" t="s">
        <v>214</v>
      </c>
      <c r="M605" s="266" t="s">
        <v>338</v>
      </c>
      <c r="N605" s="266" t="s">
        <v>1513</v>
      </c>
      <c r="O605" s="267" t="s">
        <v>1520</v>
      </c>
      <c r="P605" s="268" t="s">
        <v>446</v>
      </c>
      <c r="Q605" s="269">
        <v>2676</v>
      </c>
      <c r="R605" s="269"/>
      <c r="S605" s="270"/>
      <c r="T605" s="182"/>
      <c r="U605" s="182">
        <v>1</v>
      </c>
      <c r="V605" s="408">
        <v>1</v>
      </c>
      <c r="W605" s="357" t="s">
        <v>204</v>
      </c>
      <c r="X605" s="156">
        <v>2400000000</v>
      </c>
      <c r="Y605" s="156">
        <v>2400000000</v>
      </c>
      <c r="Z605" s="418" t="s">
        <v>359</v>
      </c>
      <c r="AA605" s="271"/>
      <c r="AB605" s="168"/>
      <c r="AC605" s="156"/>
      <c r="AD605" s="156"/>
      <c r="AE605" s="320"/>
      <c r="AF605" s="168"/>
      <c r="AG605" s="156"/>
      <c r="AH605" s="156"/>
      <c r="AI605" s="410"/>
    </row>
    <row r="606" spans="1:35" ht="19.5" hidden="1" customHeight="1">
      <c r="A606" s="137"/>
      <c r="B606" s="197">
        <f t="shared" si="12"/>
        <v>596</v>
      </c>
      <c r="C606" s="30" t="s">
        <v>202</v>
      </c>
      <c r="D606" s="30" t="s">
        <v>225</v>
      </c>
      <c r="E606" s="234" t="s">
        <v>941</v>
      </c>
      <c r="F606" s="235" t="s">
        <v>1229</v>
      </c>
      <c r="G606" s="284">
        <f>IFERROR(VLOOKUP(E606,Assign!$C$2:$J$142,8,FALSE),)</f>
        <v>0</v>
      </c>
      <c r="H606" s="197" t="s">
        <v>3947</v>
      </c>
      <c r="I606" s="324" t="s">
        <v>3948</v>
      </c>
      <c r="J606" s="237">
        <v>3</v>
      </c>
      <c r="K606" s="237">
        <v>1</v>
      </c>
      <c r="L606" s="265" t="s">
        <v>209</v>
      </c>
      <c r="M606" s="266" t="s">
        <v>334</v>
      </c>
      <c r="N606" s="266" t="s">
        <v>1521</v>
      </c>
      <c r="O606" s="267" t="s">
        <v>1522</v>
      </c>
      <c r="P606" s="268" t="s">
        <v>1523</v>
      </c>
      <c r="Q606" s="269"/>
      <c r="R606" s="269">
        <f>91.38+98.02+98.02+10.74</f>
        <v>298.15999999999997</v>
      </c>
      <c r="S606" s="270"/>
      <c r="T606" s="182"/>
      <c r="U606" s="182">
        <v>1</v>
      </c>
      <c r="V606" s="408">
        <v>1</v>
      </c>
      <c r="W606" s="357" t="s">
        <v>204</v>
      </c>
      <c r="X606" s="156">
        <v>120000000</v>
      </c>
      <c r="Y606" s="156">
        <v>120000000</v>
      </c>
      <c r="Z606" s="418" t="s">
        <v>359</v>
      </c>
      <c r="AA606" s="271"/>
      <c r="AB606" s="168"/>
      <c r="AC606" s="156"/>
      <c r="AD606" s="156"/>
      <c r="AE606" s="320"/>
      <c r="AF606" s="168"/>
      <c r="AG606" s="156"/>
      <c r="AH606" s="156"/>
      <c r="AI606" s="410"/>
    </row>
    <row r="607" spans="1:35" ht="19.5" hidden="1" customHeight="1">
      <c r="A607" s="137"/>
      <c r="B607" s="197">
        <f t="shared" si="12"/>
        <v>597</v>
      </c>
      <c r="C607" s="30" t="s">
        <v>202</v>
      </c>
      <c r="D607" s="30" t="s">
        <v>225</v>
      </c>
      <c r="E607" s="234" t="s">
        <v>941</v>
      </c>
      <c r="F607" s="235" t="s">
        <v>1229</v>
      </c>
      <c r="G607" s="284">
        <f>IFERROR(VLOOKUP(E607,Assign!$C$2:$J$142,8,FALSE),)</f>
        <v>0</v>
      </c>
      <c r="H607" s="197" t="s">
        <v>3947</v>
      </c>
      <c r="I607" s="324" t="s">
        <v>3949</v>
      </c>
      <c r="J607" s="237">
        <v>3</v>
      </c>
      <c r="K607" s="237">
        <v>2</v>
      </c>
      <c r="L607" s="265" t="s">
        <v>209</v>
      </c>
      <c r="M607" s="266" t="s">
        <v>334</v>
      </c>
      <c r="N607" s="266" t="s">
        <v>1521</v>
      </c>
      <c r="O607" s="267" t="s">
        <v>1524</v>
      </c>
      <c r="P607" s="268" t="s">
        <v>450</v>
      </c>
      <c r="Q607" s="269">
        <v>228.8</v>
      </c>
      <c r="R607" s="269"/>
      <c r="S607" s="270"/>
      <c r="T607" s="182"/>
      <c r="U607" s="182">
        <v>1</v>
      </c>
      <c r="V607" s="408">
        <v>1</v>
      </c>
      <c r="W607" s="357" t="s">
        <v>204</v>
      </c>
      <c r="X607" s="156">
        <v>120000000</v>
      </c>
      <c r="Y607" s="156">
        <v>120000000</v>
      </c>
      <c r="Z607" s="418" t="s">
        <v>359</v>
      </c>
      <c r="AA607" s="271"/>
      <c r="AB607" s="168"/>
      <c r="AC607" s="156"/>
      <c r="AD607" s="156"/>
      <c r="AE607" s="320"/>
      <c r="AF607" s="168"/>
      <c r="AG607" s="156"/>
      <c r="AH607" s="156"/>
      <c r="AI607" s="410"/>
    </row>
    <row r="608" spans="1:35" ht="19.5" hidden="1" customHeight="1">
      <c r="A608" s="137"/>
      <c r="B608" s="197">
        <f t="shared" si="12"/>
        <v>598</v>
      </c>
      <c r="C608" s="30" t="s">
        <v>202</v>
      </c>
      <c r="D608" s="30" t="s">
        <v>225</v>
      </c>
      <c r="E608" s="234" t="s">
        <v>942</v>
      </c>
      <c r="F608" s="235" t="s">
        <v>1340</v>
      </c>
      <c r="G608" s="284">
        <f>IFERROR(VLOOKUP(E608,Assign!$C$2:$J$142,8,FALSE),)</f>
        <v>0</v>
      </c>
      <c r="H608" s="197" t="s">
        <v>5423</v>
      </c>
      <c r="I608" s="324" t="s">
        <v>5424</v>
      </c>
      <c r="J608" s="237">
        <v>1</v>
      </c>
      <c r="K608" s="237">
        <v>1</v>
      </c>
      <c r="L608" s="265" t="s">
        <v>208</v>
      </c>
      <c r="M608" s="266" t="s">
        <v>228</v>
      </c>
      <c r="N608" s="266" t="s">
        <v>340</v>
      </c>
      <c r="O608" s="267" t="s">
        <v>2897</v>
      </c>
      <c r="P608" s="268" t="s">
        <v>2898</v>
      </c>
      <c r="Q608" s="269">
        <v>5091.2</v>
      </c>
      <c r="R608" s="269">
        <v>85.86</v>
      </c>
      <c r="S608" s="270"/>
      <c r="T608" s="182">
        <f>27.51/5091.2</f>
        <v>5.4034412319296041E-3</v>
      </c>
      <c r="U608" s="182">
        <v>1</v>
      </c>
      <c r="V608" s="408">
        <v>1</v>
      </c>
      <c r="W608" s="357" t="s">
        <v>204</v>
      </c>
      <c r="X608" s="156">
        <v>1140000000</v>
      </c>
      <c r="Y608" s="156">
        <v>1140000000</v>
      </c>
      <c r="Z608" s="418" t="s">
        <v>359</v>
      </c>
      <c r="AA608" s="271"/>
      <c r="AB608" s="168"/>
      <c r="AC608" s="156"/>
      <c r="AD608" s="156"/>
      <c r="AE608" s="320"/>
      <c r="AF608" s="168"/>
      <c r="AG608" s="156"/>
      <c r="AH608" s="156"/>
      <c r="AI608" s="410"/>
    </row>
    <row r="609" spans="1:35" ht="19.5" hidden="1" customHeight="1">
      <c r="A609" s="137"/>
      <c r="B609" s="197">
        <f t="shared" si="12"/>
        <v>599</v>
      </c>
      <c r="C609" s="30" t="s">
        <v>202</v>
      </c>
      <c r="D609" s="30" t="s">
        <v>225</v>
      </c>
      <c r="E609" s="234" t="s">
        <v>942</v>
      </c>
      <c r="F609" s="235" t="s">
        <v>1340</v>
      </c>
      <c r="G609" s="284">
        <f>IFERROR(VLOOKUP(E609,Assign!$C$2:$J$142,8,FALSE),)</f>
        <v>0</v>
      </c>
      <c r="H609" s="197" t="s">
        <v>5423</v>
      </c>
      <c r="I609" s="324" t="s">
        <v>5425</v>
      </c>
      <c r="J609" s="237">
        <v>1</v>
      </c>
      <c r="K609" s="237">
        <v>2</v>
      </c>
      <c r="L609" s="265" t="s">
        <v>208</v>
      </c>
      <c r="M609" s="266" t="s">
        <v>228</v>
      </c>
      <c r="N609" s="266" t="s">
        <v>340</v>
      </c>
      <c r="O609" s="267" t="s">
        <v>2899</v>
      </c>
      <c r="P609" s="268" t="s">
        <v>2898</v>
      </c>
      <c r="Q609" s="269">
        <v>5091.2</v>
      </c>
      <c r="R609" s="269">
        <v>85.86</v>
      </c>
      <c r="S609" s="270"/>
      <c r="T609" s="182">
        <f>27.51/5091.2</f>
        <v>5.4034412319296041E-3</v>
      </c>
      <c r="U609" s="182">
        <v>1</v>
      </c>
      <c r="V609" s="408">
        <v>1</v>
      </c>
      <c r="W609" s="357" t="s">
        <v>204</v>
      </c>
      <c r="X609" s="156">
        <v>1140000000</v>
      </c>
      <c r="Y609" s="156">
        <v>1140000000</v>
      </c>
      <c r="Z609" s="418" t="s">
        <v>359</v>
      </c>
      <c r="AA609" s="271"/>
      <c r="AB609" s="168"/>
      <c r="AC609" s="156"/>
      <c r="AD609" s="156"/>
      <c r="AE609" s="320"/>
      <c r="AF609" s="168"/>
      <c r="AG609" s="156"/>
      <c r="AH609" s="156"/>
      <c r="AI609" s="410"/>
    </row>
    <row r="610" spans="1:35" ht="19.5" hidden="1" customHeight="1">
      <c r="A610" s="137"/>
      <c r="B610" s="197">
        <f t="shared" si="12"/>
        <v>600</v>
      </c>
      <c r="C610" s="30" t="s">
        <v>202</v>
      </c>
      <c r="D610" s="30" t="s">
        <v>225</v>
      </c>
      <c r="E610" s="234" t="s">
        <v>942</v>
      </c>
      <c r="F610" s="235" t="s">
        <v>1340</v>
      </c>
      <c r="G610" s="284">
        <f>IFERROR(VLOOKUP(E610,Assign!$C$2:$J$142,8,FALSE),)</f>
        <v>0</v>
      </c>
      <c r="H610" s="197" t="s">
        <v>5426</v>
      </c>
      <c r="I610" s="324" t="s">
        <v>5427</v>
      </c>
      <c r="J610" s="237">
        <v>2</v>
      </c>
      <c r="K610" s="237">
        <v>1</v>
      </c>
      <c r="L610" s="265" t="s">
        <v>216</v>
      </c>
      <c r="M610" s="266" t="s">
        <v>289</v>
      </c>
      <c r="N610" s="266" t="s">
        <v>2900</v>
      </c>
      <c r="O610" s="267" t="s">
        <v>2901</v>
      </c>
      <c r="P610" s="268" t="s">
        <v>2902</v>
      </c>
      <c r="Q610" s="269">
        <v>1952.9</v>
      </c>
      <c r="R610" s="269">
        <v>162.96</v>
      </c>
      <c r="S610" s="270"/>
      <c r="T610" s="182">
        <f>296345/19529000</f>
        <v>1.5174612115315685E-2</v>
      </c>
      <c r="U610" s="182">
        <v>1</v>
      </c>
      <c r="V610" s="408">
        <v>1</v>
      </c>
      <c r="W610" s="357" t="s">
        <v>204</v>
      </c>
      <c r="X610" s="156">
        <v>960000000</v>
      </c>
      <c r="Y610" s="156">
        <v>960000000</v>
      </c>
      <c r="Z610" s="418" t="s">
        <v>359</v>
      </c>
      <c r="AA610" s="271"/>
      <c r="AB610" s="168"/>
      <c r="AC610" s="156"/>
      <c r="AD610" s="156"/>
      <c r="AE610" s="320"/>
      <c r="AF610" s="168"/>
      <c r="AG610" s="156"/>
      <c r="AH610" s="156"/>
      <c r="AI610" s="410"/>
    </row>
    <row r="611" spans="1:35" ht="19.5" customHeight="1">
      <c r="A611" s="137"/>
      <c r="B611" s="197">
        <f t="shared" si="12"/>
        <v>601</v>
      </c>
      <c r="C611" s="30" t="s">
        <v>202</v>
      </c>
      <c r="D611" s="30" t="s">
        <v>225</v>
      </c>
      <c r="E611" s="234" t="s">
        <v>943</v>
      </c>
      <c r="F611" s="235" t="s">
        <v>1341</v>
      </c>
      <c r="G611" s="284" t="str">
        <f>IFERROR(VLOOKUP(E611,Assign!$C$2:$J$142,8,FALSE),)</f>
        <v>문선영</v>
      </c>
      <c r="H611" s="197" t="s">
        <v>5237</v>
      </c>
      <c r="I611" s="487" t="s">
        <v>5238</v>
      </c>
      <c r="J611" s="237">
        <v>1</v>
      </c>
      <c r="K611" s="237">
        <v>1</v>
      </c>
      <c r="L611" s="265" t="s">
        <v>208</v>
      </c>
      <c r="M611" s="266" t="s">
        <v>280</v>
      </c>
      <c r="N611" s="266" t="s">
        <v>2729</v>
      </c>
      <c r="O611" s="267" t="s">
        <v>2730</v>
      </c>
      <c r="P611" s="268" t="s">
        <v>466</v>
      </c>
      <c r="Q611" s="269"/>
      <c r="R611" s="269">
        <v>165</v>
      </c>
      <c r="S611" s="270"/>
      <c r="T611" s="182"/>
      <c r="U611" s="182">
        <v>1</v>
      </c>
      <c r="V611" s="408" t="s">
        <v>229</v>
      </c>
      <c r="W611" s="357" t="s">
        <v>204</v>
      </c>
      <c r="X611" s="156">
        <v>1835000000</v>
      </c>
      <c r="Y611" s="156">
        <v>1835000000</v>
      </c>
      <c r="Z611" s="418" t="s">
        <v>359</v>
      </c>
      <c r="AA611" s="271"/>
      <c r="AB611" s="168"/>
      <c r="AC611" s="156"/>
      <c r="AD611" s="156"/>
      <c r="AE611" s="320"/>
      <c r="AF611" s="168"/>
      <c r="AG611" s="156"/>
      <c r="AH611" s="156"/>
      <c r="AI611" s="410"/>
    </row>
    <row r="612" spans="1:35" ht="19.5" customHeight="1">
      <c r="A612" s="137"/>
      <c r="B612" s="197">
        <f t="shared" si="12"/>
        <v>602</v>
      </c>
      <c r="C612" s="30" t="s">
        <v>202</v>
      </c>
      <c r="D612" s="30" t="s">
        <v>225</v>
      </c>
      <c r="E612" s="234" t="s">
        <v>943</v>
      </c>
      <c r="F612" s="235" t="s">
        <v>1341</v>
      </c>
      <c r="G612" s="284" t="str">
        <f>IFERROR(VLOOKUP(E612,Assign!$C$2:$J$142,8,FALSE),)</f>
        <v>문선영</v>
      </c>
      <c r="H612" s="197" t="s">
        <v>5237</v>
      </c>
      <c r="I612" s="324" t="s">
        <v>5239</v>
      </c>
      <c r="J612" s="237">
        <v>1</v>
      </c>
      <c r="K612" s="237">
        <v>2</v>
      </c>
      <c r="L612" s="265" t="s">
        <v>208</v>
      </c>
      <c r="M612" s="266" t="s">
        <v>280</v>
      </c>
      <c r="N612" s="266" t="s">
        <v>2729</v>
      </c>
      <c r="O612" s="267" t="s">
        <v>2731</v>
      </c>
      <c r="P612" s="268" t="s">
        <v>466</v>
      </c>
      <c r="Q612" s="269"/>
      <c r="R612" s="269">
        <v>165</v>
      </c>
      <c r="S612" s="270"/>
      <c r="T612" s="182"/>
      <c r="U612" s="182">
        <v>1</v>
      </c>
      <c r="V612" s="408" t="s">
        <v>229</v>
      </c>
      <c r="W612" s="357" t="s">
        <v>204</v>
      </c>
      <c r="X612" s="156">
        <v>1835000000</v>
      </c>
      <c r="Y612" s="156">
        <v>1835000000</v>
      </c>
      <c r="Z612" s="418" t="s">
        <v>359</v>
      </c>
      <c r="AA612" s="271"/>
      <c r="AB612" s="168"/>
      <c r="AC612" s="156"/>
      <c r="AD612" s="156"/>
      <c r="AE612" s="320"/>
      <c r="AF612" s="168"/>
      <c r="AG612" s="156"/>
      <c r="AH612" s="156"/>
      <c r="AI612" s="410"/>
    </row>
    <row r="613" spans="1:35" ht="19.5" customHeight="1">
      <c r="A613" s="137"/>
      <c r="B613" s="197">
        <f t="shared" si="12"/>
        <v>603</v>
      </c>
      <c r="C613" s="30" t="s">
        <v>202</v>
      </c>
      <c r="D613" s="30" t="s">
        <v>225</v>
      </c>
      <c r="E613" s="234" t="s">
        <v>943</v>
      </c>
      <c r="F613" s="235" t="s">
        <v>1341</v>
      </c>
      <c r="G613" s="284" t="str">
        <f>IFERROR(VLOOKUP(E613,Assign!$C$2:$J$142,8,FALSE),)</f>
        <v>문선영</v>
      </c>
      <c r="H613" s="197" t="s">
        <v>5237</v>
      </c>
      <c r="I613" s="324" t="s">
        <v>5240</v>
      </c>
      <c r="J613" s="237">
        <v>1</v>
      </c>
      <c r="K613" s="237">
        <v>3</v>
      </c>
      <c r="L613" s="265" t="s">
        <v>208</v>
      </c>
      <c r="M613" s="266" t="s">
        <v>280</v>
      </c>
      <c r="N613" s="266" t="s">
        <v>2729</v>
      </c>
      <c r="O613" s="267" t="s">
        <v>2732</v>
      </c>
      <c r="P613" s="268" t="s">
        <v>466</v>
      </c>
      <c r="Q613" s="269"/>
      <c r="R613" s="269">
        <v>165</v>
      </c>
      <c r="S613" s="270"/>
      <c r="T613" s="182"/>
      <c r="U613" s="182">
        <v>1</v>
      </c>
      <c r="V613" s="408" t="s">
        <v>229</v>
      </c>
      <c r="W613" s="357" t="s">
        <v>204</v>
      </c>
      <c r="X613" s="156">
        <v>1835000000</v>
      </c>
      <c r="Y613" s="156">
        <v>1835000000</v>
      </c>
      <c r="Z613" s="418" t="s">
        <v>359</v>
      </c>
      <c r="AA613" s="271"/>
      <c r="AB613" s="168"/>
      <c r="AC613" s="156"/>
      <c r="AD613" s="156"/>
      <c r="AE613" s="320"/>
      <c r="AF613" s="168"/>
      <c r="AG613" s="156"/>
      <c r="AH613" s="156"/>
      <c r="AI613" s="410"/>
    </row>
    <row r="614" spans="1:35" ht="19.5" customHeight="1">
      <c r="A614" s="137"/>
      <c r="B614" s="197">
        <f t="shared" si="12"/>
        <v>604</v>
      </c>
      <c r="C614" s="30" t="s">
        <v>202</v>
      </c>
      <c r="D614" s="30" t="s">
        <v>225</v>
      </c>
      <c r="E614" s="234" t="s">
        <v>943</v>
      </c>
      <c r="F614" s="235" t="s">
        <v>1341</v>
      </c>
      <c r="G614" s="284" t="str">
        <f>IFERROR(VLOOKUP(E614,Assign!$C$2:$J$142,8,FALSE),)</f>
        <v>문선영</v>
      </c>
      <c r="H614" s="197" t="s">
        <v>5237</v>
      </c>
      <c r="I614" s="324" t="s">
        <v>5241</v>
      </c>
      <c r="J614" s="237">
        <v>1</v>
      </c>
      <c r="K614" s="237">
        <v>4</v>
      </c>
      <c r="L614" s="265" t="s">
        <v>208</v>
      </c>
      <c r="M614" s="266" t="s">
        <v>280</v>
      </c>
      <c r="N614" s="266" t="s">
        <v>2729</v>
      </c>
      <c r="O614" s="267" t="s">
        <v>2733</v>
      </c>
      <c r="P614" s="268" t="s">
        <v>470</v>
      </c>
      <c r="Q614" s="269"/>
      <c r="R614" s="269">
        <f>165+167.55</f>
        <v>332.55</v>
      </c>
      <c r="S614" s="270"/>
      <c r="T614" s="182"/>
      <c r="U614" s="182">
        <v>1</v>
      </c>
      <c r="V614" s="408" t="s">
        <v>229</v>
      </c>
      <c r="W614" s="357" t="s">
        <v>204</v>
      </c>
      <c r="X614" s="156">
        <v>1835000000</v>
      </c>
      <c r="Y614" s="156">
        <v>1835000000</v>
      </c>
      <c r="Z614" s="418" t="s">
        <v>359</v>
      </c>
      <c r="AA614" s="271"/>
      <c r="AB614" s="168"/>
      <c r="AC614" s="156"/>
      <c r="AD614" s="156"/>
      <c r="AE614" s="320"/>
      <c r="AF614" s="168"/>
      <c r="AG614" s="156"/>
      <c r="AH614" s="156"/>
      <c r="AI614" s="410"/>
    </row>
    <row r="615" spans="1:35" ht="19.5" customHeight="1">
      <c r="A615" s="137"/>
      <c r="B615" s="197">
        <f t="shared" si="12"/>
        <v>605</v>
      </c>
      <c r="C615" s="30" t="s">
        <v>202</v>
      </c>
      <c r="D615" s="30" t="s">
        <v>225</v>
      </c>
      <c r="E615" s="234" t="s">
        <v>943</v>
      </c>
      <c r="F615" s="235" t="s">
        <v>1341</v>
      </c>
      <c r="G615" s="284" t="str">
        <f>IFERROR(VLOOKUP(E615,Assign!$C$2:$J$142,8,FALSE),)</f>
        <v>문선영</v>
      </c>
      <c r="H615" s="197" t="s">
        <v>5237</v>
      </c>
      <c r="I615" s="324" t="s">
        <v>5242</v>
      </c>
      <c r="J615" s="237">
        <v>1</v>
      </c>
      <c r="K615" s="237">
        <v>5</v>
      </c>
      <c r="L615" s="265" t="s">
        <v>208</v>
      </c>
      <c r="M615" s="266" t="s">
        <v>280</v>
      </c>
      <c r="N615" s="266" t="s">
        <v>2729</v>
      </c>
      <c r="O615" s="267" t="s">
        <v>2734</v>
      </c>
      <c r="P615" s="268" t="s">
        <v>447</v>
      </c>
      <c r="Q615" s="269">
        <v>2489</v>
      </c>
      <c r="R615" s="269"/>
      <c r="S615" s="270"/>
      <c r="T615" s="182"/>
      <c r="U615" s="182">
        <v>1</v>
      </c>
      <c r="V615" s="408" t="s">
        <v>229</v>
      </c>
      <c r="W615" s="357" t="s">
        <v>204</v>
      </c>
      <c r="X615" s="156">
        <v>1835000000</v>
      </c>
      <c r="Y615" s="156">
        <v>1835000000</v>
      </c>
      <c r="Z615" s="418" t="s">
        <v>359</v>
      </c>
      <c r="AA615" s="271"/>
      <c r="AB615" s="168"/>
      <c r="AC615" s="156"/>
      <c r="AD615" s="156"/>
      <c r="AE615" s="320"/>
      <c r="AF615" s="168"/>
      <c r="AG615" s="156"/>
      <c r="AH615" s="156"/>
      <c r="AI615" s="410"/>
    </row>
    <row r="616" spans="1:35" ht="19.5" customHeight="1">
      <c r="A616" s="137"/>
      <c r="B616" s="197">
        <f t="shared" si="12"/>
        <v>606</v>
      </c>
      <c r="C616" s="30" t="s">
        <v>202</v>
      </c>
      <c r="D616" s="30" t="s">
        <v>225</v>
      </c>
      <c r="E616" s="234" t="s">
        <v>943</v>
      </c>
      <c r="F616" s="235" t="s">
        <v>1341</v>
      </c>
      <c r="G616" s="284" t="str">
        <f>IFERROR(VLOOKUP(E616,Assign!$C$2:$J$142,8,FALSE),)</f>
        <v>문선영</v>
      </c>
      <c r="H616" s="197" t="s">
        <v>5237</v>
      </c>
      <c r="I616" s="324" t="s">
        <v>5243</v>
      </c>
      <c r="J616" s="237">
        <v>1</v>
      </c>
      <c r="K616" s="237">
        <v>6</v>
      </c>
      <c r="L616" s="265" t="s">
        <v>208</v>
      </c>
      <c r="M616" s="266" t="s">
        <v>280</v>
      </c>
      <c r="N616" s="266" t="s">
        <v>2729</v>
      </c>
      <c r="O616" s="267" t="s">
        <v>2735</v>
      </c>
      <c r="P616" s="268" t="s">
        <v>456</v>
      </c>
      <c r="Q616" s="269">
        <v>314</v>
      </c>
      <c r="R616" s="269"/>
      <c r="S616" s="270"/>
      <c r="T616" s="182"/>
      <c r="U616" s="182">
        <f>39203/61858</f>
        <v>0.63375796178343946</v>
      </c>
      <c r="V616" s="408" t="s">
        <v>229</v>
      </c>
      <c r="W616" s="357" t="s">
        <v>204</v>
      </c>
      <c r="X616" s="156">
        <v>1835000000</v>
      </c>
      <c r="Y616" s="156">
        <v>1835000000</v>
      </c>
      <c r="Z616" s="418" t="s">
        <v>359</v>
      </c>
      <c r="AA616" s="271"/>
      <c r="AB616" s="168"/>
      <c r="AC616" s="156"/>
      <c r="AD616" s="156"/>
      <c r="AE616" s="320"/>
      <c r="AF616" s="168"/>
      <c r="AG616" s="156"/>
      <c r="AH616" s="156"/>
      <c r="AI616" s="410"/>
    </row>
    <row r="617" spans="1:35" ht="19.5" customHeight="1">
      <c r="A617" s="137"/>
      <c r="B617" s="197">
        <f t="shared" si="12"/>
        <v>607</v>
      </c>
      <c r="C617" s="30" t="s">
        <v>202</v>
      </c>
      <c r="D617" s="30" t="s">
        <v>225</v>
      </c>
      <c r="E617" s="234" t="s">
        <v>943</v>
      </c>
      <c r="F617" s="235" t="s">
        <v>1341</v>
      </c>
      <c r="G617" s="284" t="str">
        <f>IFERROR(VLOOKUP(E617,Assign!$C$2:$J$142,8,FALSE),)</f>
        <v>문선영</v>
      </c>
      <c r="H617" s="197" t="s">
        <v>5237</v>
      </c>
      <c r="I617" s="324" t="s">
        <v>5244</v>
      </c>
      <c r="J617" s="237">
        <v>1</v>
      </c>
      <c r="K617" s="237">
        <v>7</v>
      </c>
      <c r="L617" s="265" t="s">
        <v>208</v>
      </c>
      <c r="M617" s="266" t="s">
        <v>280</v>
      </c>
      <c r="N617" s="266" t="s">
        <v>2729</v>
      </c>
      <c r="O617" s="267" t="s">
        <v>2736</v>
      </c>
      <c r="P617" s="268" t="s">
        <v>456</v>
      </c>
      <c r="Q617" s="269">
        <v>4</v>
      </c>
      <c r="R617" s="269"/>
      <c r="S617" s="270"/>
      <c r="T617" s="182"/>
      <c r="U617" s="182">
        <v>1</v>
      </c>
      <c r="V617" s="408" t="s">
        <v>229</v>
      </c>
      <c r="W617" s="357" t="s">
        <v>204</v>
      </c>
      <c r="X617" s="156">
        <v>1835000000</v>
      </c>
      <c r="Y617" s="156">
        <v>1835000000</v>
      </c>
      <c r="Z617" s="418" t="s">
        <v>359</v>
      </c>
      <c r="AA617" s="271"/>
      <c r="AB617" s="168"/>
      <c r="AC617" s="156"/>
      <c r="AD617" s="156"/>
      <c r="AE617" s="320"/>
      <c r="AF617" s="168"/>
      <c r="AG617" s="156"/>
      <c r="AH617" s="156"/>
      <c r="AI617" s="410"/>
    </row>
    <row r="618" spans="1:35" ht="19.5" hidden="1" customHeight="1">
      <c r="A618" s="137"/>
      <c r="B618" s="197">
        <f t="shared" si="12"/>
        <v>608</v>
      </c>
      <c r="C618" s="30" t="s">
        <v>202</v>
      </c>
      <c r="D618" s="30" t="s">
        <v>225</v>
      </c>
      <c r="E618" s="234" t="s">
        <v>944</v>
      </c>
      <c r="F618" s="235" t="s">
        <v>1342</v>
      </c>
      <c r="G618" s="284">
        <f>IFERROR(VLOOKUP(E618,Assign!$C$2:$J$142,8,FALSE),)</f>
        <v>0</v>
      </c>
      <c r="H618" s="197" t="s">
        <v>5550</v>
      </c>
      <c r="I618" s="324" t="s">
        <v>5551</v>
      </c>
      <c r="J618" s="237">
        <v>1</v>
      </c>
      <c r="K618" s="237">
        <v>1</v>
      </c>
      <c r="L618" s="265" t="s">
        <v>208</v>
      </c>
      <c r="M618" s="266" t="s">
        <v>280</v>
      </c>
      <c r="N618" s="266" t="s">
        <v>281</v>
      </c>
      <c r="O618" s="267" t="s">
        <v>3021</v>
      </c>
      <c r="P618" s="268" t="s">
        <v>3022</v>
      </c>
      <c r="Q618" s="269">
        <v>1739.5</v>
      </c>
      <c r="R618" s="269">
        <v>39.130000000000003</v>
      </c>
      <c r="S618" s="270"/>
      <c r="T618" s="182">
        <f>11.5936/1739.5</f>
        <v>6.6649037079620586E-3</v>
      </c>
      <c r="U618" s="182">
        <v>1</v>
      </c>
      <c r="V618" s="408">
        <v>1</v>
      </c>
      <c r="W618" s="357" t="s">
        <v>204</v>
      </c>
      <c r="X618" s="156">
        <v>1680000000</v>
      </c>
      <c r="Y618" s="156">
        <v>1680000000</v>
      </c>
      <c r="Z618" s="418" t="s">
        <v>359</v>
      </c>
      <c r="AA618" s="271"/>
      <c r="AB618" s="168"/>
      <c r="AC618" s="156"/>
      <c r="AD618" s="156"/>
      <c r="AE618" s="320"/>
      <c r="AF618" s="168"/>
      <c r="AG618" s="156"/>
      <c r="AH618" s="156"/>
      <c r="AI618" s="410"/>
    </row>
    <row r="619" spans="1:35" ht="19.5" hidden="1" customHeight="1">
      <c r="A619" s="137"/>
      <c r="B619" s="197">
        <f t="shared" si="12"/>
        <v>609</v>
      </c>
      <c r="C619" s="30" t="s">
        <v>202</v>
      </c>
      <c r="D619" s="30" t="s">
        <v>225</v>
      </c>
      <c r="E619" s="234" t="s">
        <v>944</v>
      </c>
      <c r="F619" s="235" t="s">
        <v>1342</v>
      </c>
      <c r="G619" s="284">
        <f>IFERROR(VLOOKUP(E619,Assign!$C$2:$J$142,8,FALSE),)</f>
        <v>0</v>
      </c>
      <c r="H619" s="197" t="s">
        <v>5550</v>
      </c>
      <c r="I619" s="324" t="s">
        <v>5552</v>
      </c>
      <c r="J619" s="237">
        <v>1</v>
      </c>
      <c r="K619" s="237">
        <v>2</v>
      </c>
      <c r="L619" s="265" t="s">
        <v>208</v>
      </c>
      <c r="M619" s="266" t="s">
        <v>280</v>
      </c>
      <c r="N619" s="266" t="s">
        <v>281</v>
      </c>
      <c r="O619" s="267" t="s">
        <v>3023</v>
      </c>
      <c r="P619" s="268" t="s">
        <v>3022</v>
      </c>
      <c r="Q619" s="269">
        <v>1739.5</v>
      </c>
      <c r="R619" s="269">
        <v>36.4</v>
      </c>
      <c r="S619" s="270"/>
      <c r="T619" s="182">
        <f>10.7847/1739.5</f>
        <v>6.1998850244323082E-3</v>
      </c>
      <c r="U619" s="182">
        <v>1</v>
      </c>
      <c r="V619" s="408">
        <v>1</v>
      </c>
      <c r="W619" s="357" t="s">
        <v>204</v>
      </c>
      <c r="X619" s="156">
        <v>1680000000</v>
      </c>
      <c r="Y619" s="156">
        <v>1680000000</v>
      </c>
      <c r="Z619" s="418" t="s">
        <v>359</v>
      </c>
      <c r="AA619" s="271"/>
      <c r="AB619" s="168"/>
      <c r="AC619" s="156"/>
      <c r="AD619" s="156"/>
      <c r="AE619" s="320"/>
      <c r="AF619" s="168"/>
      <c r="AG619" s="156"/>
      <c r="AH619" s="156"/>
      <c r="AI619" s="410"/>
    </row>
    <row r="620" spans="1:35" ht="19.5" hidden="1" customHeight="1">
      <c r="A620" s="137"/>
      <c r="B620" s="197">
        <f t="shared" si="12"/>
        <v>610</v>
      </c>
      <c r="C620" s="30" t="s">
        <v>202</v>
      </c>
      <c r="D620" s="30" t="s">
        <v>225</v>
      </c>
      <c r="E620" s="234" t="s">
        <v>944</v>
      </c>
      <c r="F620" s="235" t="s">
        <v>1342</v>
      </c>
      <c r="G620" s="284">
        <f>IFERROR(VLOOKUP(E620,Assign!$C$2:$J$142,8,FALSE),)</f>
        <v>0</v>
      </c>
      <c r="H620" s="197" t="s">
        <v>5550</v>
      </c>
      <c r="I620" s="324" t="s">
        <v>5553</v>
      </c>
      <c r="J620" s="237">
        <v>1</v>
      </c>
      <c r="K620" s="237">
        <v>3</v>
      </c>
      <c r="L620" s="265" t="s">
        <v>208</v>
      </c>
      <c r="M620" s="266" t="s">
        <v>280</v>
      </c>
      <c r="N620" s="266" t="s">
        <v>281</v>
      </c>
      <c r="O620" s="267" t="s">
        <v>3024</v>
      </c>
      <c r="P620" s="268" t="s">
        <v>3022</v>
      </c>
      <c r="Q620" s="269">
        <v>1739.5</v>
      </c>
      <c r="R620" s="269">
        <v>34.799999999999997</v>
      </c>
      <c r="S620" s="270"/>
      <c r="T620" s="182">
        <f>10.3106/1739.5</f>
        <v>5.9273354412187418E-3</v>
      </c>
      <c r="U620" s="182">
        <v>1</v>
      </c>
      <c r="V620" s="408">
        <v>1</v>
      </c>
      <c r="W620" s="357" t="s">
        <v>204</v>
      </c>
      <c r="X620" s="156">
        <v>1680000000</v>
      </c>
      <c r="Y620" s="156">
        <v>1680000000</v>
      </c>
      <c r="Z620" s="418" t="s">
        <v>359</v>
      </c>
      <c r="AA620" s="271"/>
      <c r="AB620" s="168"/>
      <c r="AC620" s="156"/>
      <c r="AD620" s="156"/>
      <c r="AE620" s="320"/>
      <c r="AF620" s="168"/>
      <c r="AG620" s="156"/>
      <c r="AH620" s="156"/>
      <c r="AI620" s="410"/>
    </row>
    <row r="621" spans="1:35" ht="19.5" hidden="1" customHeight="1">
      <c r="A621" s="137"/>
      <c r="B621" s="197">
        <f t="shared" si="12"/>
        <v>611</v>
      </c>
      <c r="C621" s="30" t="s">
        <v>202</v>
      </c>
      <c r="D621" s="30" t="s">
        <v>225</v>
      </c>
      <c r="E621" s="234" t="s">
        <v>944</v>
      </c>
      <c r="F621" s="235" t="s">
        <v>1342</v>
      </c>
      <c r="G621" s="284">
        <f>IFERROR(VLOOKUP(E621,Assign!$C$2:$J$142,8,FALSE),)</f>
        <v>0</v>
      </c>
      <c r="H621" s="197" t="s">
        <v>5550</v>
      </c>
      <c r="I621" s="324" t="s">
        <v>5554</v>
      </c>
      <c r="J621" s="237">
        <v>1</v>
      </c>
      <c r="K621" s="237">
        <v>4</v>
      </c>
      <c r="L621" s="265" t="s">
        <v>208</v>
      </c>
      <c r="M621" s="266" t="s">
        <v>280</v>
      </c>
      <c r="N621" s="266" t="s">
        <v>281</v>
      </c>
      <c r="O621" s="267" t="s">
        <v>3025</v>
      </c>
      <c r="P621" s="268" t="s">
        <v>3022</v>
      </c>
      <c r="Q621" s="269">
        <v>1739.5</v>
      </c>
      <c r="R621" s="269">
        <v>34.799999999999997</v>
      </c>
      <c r="S621" s="270"/>
      <c r="T621" s="182">
        <f>10.3106/1739.5</f>
        <v>5.9273354412187418E-3</v>
      </c>
      <c r="U621" s="182">
        <v>1</v>
      </c>
      <c r="V621" s="408">
        <v>1</v>
      </c>
      <c r="W621" s="357" t="s">
        <v>204</v>
      </c>
      <c r="X621" s="156">
        <v>1680000000</v>
      </c>
      <c r="Y621" s="156">
        <v>1680000000</v>
      </c>
      <c r="Z621" s="418" t="s">
        <v>359</v>
      </c>
      <c r="AA621" s="271"/>
      <c r="AB621" s="168"/>
      <c r="AC621" s="156"/>
      <c r="AD621" s="156"/>
      <c r="AE621" s="320"/>
      <c r="AF621" s="168"/>
      <c r="AG621" s="156"/>
      <c r="AH621" s="156"/>
      <c r="AI621" s="410"/>
    </row>
    <row r="622" spans="1:35" ht="19.5" hidden="1" customHeight="1">
      <c r="A622" s="137"/>
      <c r="B622" s="197">
        <f t="shared" si="12"/>
        <v>612</v>
      </c>
      <c r="C622" s="30" t="s">
        <v>202</v>
      </c>
      <c r="D622" s="30" t="s">
        <v>225</v>
      </c>
      <c r="E622" s="234" t="s">
        <v>945</v>
      </c>
      <c r="F622" s="235" t="s">
        <v>1235</v>
      </c>
      <c r="G622" s="284">
        <f>IFERROR(VLOOKUP(E622,Assign!$C$2:$J$142,8,FALSE),)</f>
        <v>0</v>
      </c>
      <c r="H622" s="197" t="s">
        <v>4756</v>
      </c>
      <c r="I622" s="324" t="s">
        <v>4757</v>
      </c>
      <c r="J622" s="237">
        <v>1</v>
      </c>
      <c r="K622" s="237">
        <v>1</v>
      </c>
      <c r="L622" s="265" t="s">
        <v>209</v>
      </c>
      <c r="M622" s="266" t="s">
        <v>286</v>
      </c>
      <c r="N622" s="266" t="s">
        <v>2288</v>
      </c>
      <c r="O622" s="267" t="s">
        <v>2289</v>
      </c>
      <c r="P622" s="268" t="s">
        <v>2290</v>
      </c>
      <c r="Q622" s="269">
        <f>1123+1166.1</f>
        <v>2289.1</v>
      </c>
      <c r="R622" s="269">
        <v>214.81</v>
      </c>
      <c r="S622" s="270"/>
      <c r="T622" s="182">
        <f>76.45/2289.1</f>
        <v>3.3397405093704952E-2</v>
      </c>
      <c r="U622" s="182">
        <v>1</v>
      </c>
      <c r="V622" s="408">
        <v>1</v>
      </c>
      <c r="W622" s="357" t="s">
        <v>204</v>
      </c>
      <c r="X622" s="156">
        <v>1680000000</v>
      </c>
      <c r="Y622" s="156">
        <v>1680000000</v>
      </c>
      <c r="Z622" s="418" t="s">
        <v>359</v>
      </c>
      <c r="AA622" s="271"/>
      <c r="AB622" s="168"/>
      <c r="AC622" s="156"/>
      <c r="AD622" s="156"/>
      <c r="AE622" s="320"/>
      <c r="AF622" s="168"/>
      <c r="AG622" s="156"/>
      <c r="AH622" s="156"/>
      <c r="AI622" s="410"/>
    </row>
    <row r="623" spans="1:35" ht="19.5" hidden="1" customHeight="1">
      <c r="A623" s="137"/>
      <c r="B623" s="197">
        <f t="shared" si="12"/>
        <v>613</v>
      </c>
      <c r="C623" s="30" t="s">
        <v>202</v>
      </c>
      <c r="D623" s="30" t="s">
        <v>225</v>
      </c>
      <c r="E623" s="234" t="s">
        <v>945</v>
      </c>
      <c r="F623" s="235" t="s">
        <v>1235</v>
      </c>
      <c r="G623" s="284">
        <f>IFERROR(VLOOKUP(E623,Assign!$C$2:$J$142,8,FALSE),)</f>
        <v>0</v>
      </c>
      <c r="H623" s="197" t="s">
        <v>4756</v>
      </c>
      <c r="I623" s="324" t="s">
        <v>4758</v>
      </c>
      <c r="J623" s="237">
        <v>1</v>
      </c>
      <c r="K623" s="237">
        <v>2</v>
      </c>
      <c r="L623" s="265" t="s">
        <v>209</v>
      </c>
      <c r="M623" s="266" t="s">
        <v>286</v>
      </c>
      <c r="N623" s="266" t="s">
        <v>2288</v>
      </c>
      <c r="O623" s="267" t="s">
        <v>3054</v>
      </c>
      <c r="P623" s="268" t="s">
        <v>2290</v>
      </c>
      <c r="Q623" s="269">
        <f>1123+1166.1</f>
        <v>2289.1</v>
      </c>
      <c r="R623" s="269">
        <v>422.44</v>
      </c>
      <c r="S623" s="270"/>
      <c r="T623" s="182">
        <f>152.82/2289.1</f>
        <v>6.6759861954479929E-2</v>
      </c>
      <c r="U623" s="182">
        <f>15.12/422.44</f>
        <v>3.579206514534608E-2</v>
      </c>
      <c r="V623" s="408">
        <v>1</v>
      </c>
      <c r="W623" s="357" t="s">
        <v>204</v>
      </c>
      <c r="X623" s="156">
        <v>1680000000</v>
      </c>
      <c r="Y623" s="156">
        <v>1680000000</v>
      </c>
      <c r="Z623" s="418" t="s">
        <v>359</v>
      </c>
      <c r="AA623" s="271"/>
      <c r="AB623" s="168"/>
      <c r="AC623" s="156"/>
      <c r="AD623" s="156"/>
      <c r="AE623" s="320"/>
      <c r="AF623" s="168"/>
      <c r="AG623" s="156"/>
      <c r="AH623" s="156"/>
      <c r="AI623" s="410"/>
    </row>
    <row r="624" spans="1:35" ht="19.5" hidden="1" customHeight="1">
      <c r="A624" s="137"/>
      <c r="B624" s="197">
        <f t="shared" si="12"/>
        <v>614</v>
      </c>
      <c r="C624" s="30" t="s">
        <v>202</v>
      </c>
      <c r="D624" s="30" t="s">
        <v>225</v>
      </c>
      <c r="E624" s="234" t="s">
        <v>946</v>
      </c>
      <c r="F624" s="235" t="s">
        <v>1343</v>
      </c>
      <c r="G624" s="284">
        <f>IFERROR(VLOOKUP(E624,Assign!$C$2:$J$142,8,FALSE),)</f>
        <v>0</v>
      </c>
      <c r="H624" s="197" t="s">
        <v>5222</v>
      </c>
      <c r="I624" s="324" t="s">
        <v>5223</v>
      </c>
      <c r="J624" s="237">
        <v>1</v>
      </c>
      <c r="K624" s="237">
        <v>1</v>
      </c>
      <c r="L624" s="265" t="s">
        <v>209</v>
      </c>
      <c r="M624" s="266" t="s">
        <v>226</v>
      </c>
      <c r="N624" s="266" t="s">
        <v>227</v>
      </c>
      <c r="O624" s="267" t="s">
        <v>2714</v>
      </c>
      <c r="P624" s="268" t="s">
        <v>2715</v>
      </c>
      <c r="Q624" s="269">
        <v>3573</v>
      </c>
      <c r="R624" s="269">
        <v>25.08</v>
      </c>
      <c r="S624" s="270"/>
      <c r="T624" s="182">
        <f>5.66/3573</f>
        <v>1.5841029946823397E-3</v>
      </c>
      <c r="U624" s="182">
        <v>1</v>
      </c>
      <c r="V624" s="408">
        <v>1</v>
      </c>
      <c r="W624" s="357" t="s">
        <v>204</v>
      </c>
      <c r="X624" s="156">
        <v>1636800000</v>
      </c>
      <c r="Y624" s="156">
        <v>1636800000</v>
      </c>
      <c r="Z624" s="418" t="s">
        <v>359</v>
      </c>
      <c r="AA624" s="271"/>
      <c r="AB624" s="168"/>
      <c r="AC624" s="156"/>
      <c r="AD624" s="156"/>
      <c r="AE624" s="320"/>
      <c r="AF624" s="168"/>
      <c r="AG624" s="156"/>
      <c r="AH624" s="156"/>
      <c r="AI624" s="410"/>
    </row>
    <row r="625" spans="1:35" ht="19.5" hidden="1" customHeight="1">
      <c r="A625" s="137"/>
      <c r="B625" s="197">
        <f t="shared" si="12"/>
        <v>615</v>
      </c>
      <c r="C625" s="30" t="s">
        <v>202</v>
      </c>
      <c r="D625" s="30" t="s">
        <v>225</v>
      </c>
      <c r="E625" s="234" t="s">
        <v>946</v>
      </c>
      <c r="F625" s="235" t="s">
        <v>1343</v>
      </c>
      <c r="G625" s="284">
        <f>IFERROR(VLOOKUP(E625,Assign!$C$2:$J$142,8,FALSE),)</f>
        <v>0</v>
      </c>
      <c r="H625" s="197" t="s">
        <v>5222</v>
      </c>
      <c r="I625" s="324" t="s">
        <v>5224</v>
      </c>
      <c r="J625" s="237">
        <v>1</v>
      </c>
      <c r="K625" s="237">
        <v>2</v>
      </c>
      <c r="L625" s="265" t="s">
        <v>209</v>
      </c>
      <c r="M625" s="266" t="s">
        <v>226</v>
      </c>
      <c r="N625" s="266" t="s">
        <v>227</v>
      </c>
      <c r="O625" s="267" t="s">
        <v>2716</v>
      </c>
      <c r="P625" s="268" t="s">
        <v>2715</v>
      </c>
      <c r="Q625" s="269">
        <v>3573</v>
      </c>
      <c r="R625" s="269">
        <v>51.63</v>
      </c>
      <c r="S625" s="270"/>
      <c r="T625" s="182">
        <f>11.64/3573</f>
        <v>3.2577665827036107E-3</v>
      </c>
      <c r="U625" s="182">
        <v>1</v>
      </c>
      <c r="V625" s="408">
        <v>1</v>
      </c>
      <c r="W625" s="357" t="s">
        <v>204</v>
      </c>
      <c r="X625" s="156">
        <v>1636800000</v>
      </c>
      <c r="Y625" s="156">
        <v>1636800000</v>
      </c>
      <c r="Z625" s="418" t="s">
        <v>359</v>
      </c>
      <c r="AA625" s="271"/>
      <c r="AB625" s="168"/>
      <c r="AC625" s="156"/>
      <c r="AD625" s="156"/>
      <c r="AE625" s="320"/>
      <c r="AF625" s="168"/>
      <c r="AG625" s="156"/>
      <c r="AH625" s="156"/>
      <c r="AI625" s="410"/>
    </row>
    <row r="626" spans="1:35" ht="19.5" hidden="1" customHeight="1">
      <c r="A626" s="137"/>
      <c r="B626" s="197">
        <f t="shared" si="12"/>
        <v>616</v>
      </c>
      <c r="C626" s="30" t="s">
        <v>202</v>
      </c>
      <c r="D626" s="30" t="s">
        <v>225</v>
      </c>
      <c r="E626" s="234" t="s">
        <v>946</v>
      </c>
      <c r="F626" s="235" t="s">
        <v>1343</v>
      </c>
      <c r="G626" s="284">
        <f>IFERROR(VLOOKUP(E626,Assign!$C$2:$J$142,8,FALSE),)</f>
        <v>0</v>
      </c>
      <c r="H626" s="197" t="s">
        <v>5222</v>
      </c>
      <c r="I626" s="324" t="s">
        <v>5225</v>
      </c>
      <c r="J626" s="237">
        <v>1</v>
      </c>
      <c r="K626" s="237">
        <v>3</v>
      </c>
      <c r="L626" s="265" t="s">
        <v>209</v>
      </c>
      <c r="M626" s="266" t="s">
        <v>226</v>
      </c>
      <c r="N626" s="266" t="s">
        <v>227</v>
      </c>
      <c r="O626" s="267" t="s">
        <v>2717</v>
      </c>
      <c r="P626" s="268" t="s">
        <v>2715</v>
      </c>
      <c r="Q626" s="269">
        <v>3573</v>
      </c>
      <c r="R626" s="269">
        <v>52.64</v>
      </c>
      <c r="S626" s="270"/>
      <c r="T626" s="182">
        <f>11.87/3573</f>
        <v>3.3221382591659666E-3</v>
      </c>
      <c r="U626" s="182">
        <v>1</v>
      </c>
      <c r="V626" s="408">
        <v>1</v>
      </c>
      <c r="W626" s="357" t="s">
        <v>204</v>
      </c>
      <c r="X626" s="156">
        <v>1636800000</v>
      </c>
      <c r="Y626" s="156">
        <v>1636800000</v>
      </c>
      <c r="Z626" s="418" t="s">
        <v>359</v>
      </c>
      <c r="AA626" s="271"/>
      <c r="AB626" s="168"/>
      <c r="AC626" s="156"/>
      <c r="AD626" s="156"/>
      <c r="AE626" s="320"/>
      <c r="AF626" s="168"/>
      <c r="AG626" s="156"/>
      <c r="AH626" s="156"/>
      <c r="AI626" s="410"/>
    </row>
    <row r="627" spans="1:35" ht="19.5" hidden="1" customHeight="1">
      <c r="A627" s="137"/>
      <c r="B627" s="197">
        <f t="shared" si="12"/>
        <v>617</v>
      </c>
      <c r="C627" s="30" t="s">
        <v>202</v>
      </c>
      <c r="D627" s="30" t="s">
        <v>225</v>
      </c>
      <c r="E627" s="234" t="s">
        <v>946</v>
      </c>
      <c r="F627" s="235" t="s">
        <v>1343</v>
      </c>
      <c r="G627" s="284">
        <f>IFERROR(VLOOKUP(E627,Assign!$C$2:$J$142,8,FALSE),)</f>
        <v>0</v>
      </c>
      <c r="H627" s="197" t="s">
        <v>5222</v>
      </c>
      <c r="I627" s="324" t="s">
        <v>5226</v>
      </c>
      <c r="J627" s="237">
        <v>1</v>
      </c>
      <c r="K627" s="237">
        <v>4</v>
      </c>
      <c r="L627" s="265" t="s">
        <v>209</v>
      </c>
      <c r="M627" s="266" t="s">
        <v>226</v>
      </c>
      <c r="N627" s="266" t="s">
        <v>227</v>
      </c>
      <c r="O627" s="267" t="s">
        <v>2718</v>
      </c>
      <c r="P627" s="268" t="s">
        <v>2715</v>
      </c>
      <c r="Q627" s="269">
        <v>3573</v>
      </c>
      <c r="R627" s="269">
        <v>45.02</v>
      </c>
      <c r="S627" s="270"/>
      <c r="T627" s="182">
        <f>10.15/3573</f>
        <v>2.8407500699692135E-3</v>
      </c>
      <c r="U627" s="182">
        <v>1</v>
      </c>
      <c r="V627" s="408">
        <v>1</v>
      </c>
      <c r="W627" s="357" t="s">
        <v>204</v>
      </c>
      <c r="X627" s="156">
        <v>1636800000</v>
      </c>
      <c r="Y627" s="156">
        <v>1636800000</v>
      </c>
      <c r="Z627" s="418" t="s">
        <v>359</v>
      </c>
      <c r="AA627" s="271"/>
      <c r="AB627" s="168"/>
      <c r="AC627" s="156"/>
      <c r="AD627" s="156"/>
      <c r="AE627" s="320"/>
      <c r="AF627" s="168"/>
      <c r="AG627" s="156"/>
      <c r="AH627" s="156"/>
      <c r="AI627" s="410"/>
    </row>
    <row r="628" spans="1:35" ht="19.5" hidden="1" customHeight="1">
      <c r="A628" s="137"/>
      <c r="B628" s="197">
        <f t="shared" si="12"/>
        <v>618</v>
      </c>
      <c r="C628" s="30" t="s">
        <v>202</v>
      </c>
      <c r="D628" s="30" t="s">
        <v>225</v>
      </c>
      <c r="E628" s="234" t="s">
        <v>946</v>
      </c>
      <c r="F628" s="235" t="s">
        <v>1343</v>
      </c>
      <c r="G628" s="284">
        <f>IFERROR(VLOOKUP(E628,Assign!$C$2:$J$142,8,FALSE),)</f>
        <v>0</v>
      </c>
      <c r="H628" s="197" t="s">
        <v>5222</v>
      </c>
      <c r="I628" s="324" t="s">
        <v>5227</v>
      </c>
      <c r="J628" s="237">
        <v>1</v>
      </c>
      <c r="K628" s="237">
        <v>5</v>
      </c>
      <c r="L628" s="265" t="s">
        <v>209</v>
      </c>
      <c r="M628" s="266" t="s">
        <v>226</v>
      </c>
      <c r="N628" s="266" t="s">
        <v>227</v>
      </c>
      <c r="O628" s="267" t="s">
        <v>2719</v>
      </c>
      <c r="P628" s="268" t="s">
        <v>2715</v>
      </c>
      <c r="Q628" s="269">
        <v>3573</v>
      </c>
      <c r="R628" s="269">
        <v>41.13</v>
      </c>
      <c r="S628" s="270"/>
      <c r="T628" s="182">
        <f>9.28/3573</f>
        <v>2.5972572068289949E-3</v>
      </c>
      <c r="U628" s="182">
        <v>1</v>
      </c>
      <c r="V628" s="408">
        <v>1</v>
      </c>
      <c r="W628" s="357" t="s">
        <v>204</v>
      </c>
      <c r="X628" s="156">
        <v>1636800000</v>
      </c>
      <c r="Y628" s="156">
        <v>1636800000</v>
      </c>
      <c r="Z628" s="418" t="s">
        <v>359</v>
      </c>
      <c r="AA628" s="271"/>
      <c r="AB628" s="168"/>
      <c r="AC628" s="156"/>
      <c r="AD628" s="156"/>
      <c r="AE628" s="320"/>
      <c r="AF628" s="168"/>
      <c r="AG628" s="156"/>
      <c r="AH628" s="156"/>
      <c r="AI628" s="410"/>
    </row>
    <row r="629" spans="1:35" ht="19.5" hidden="1" customHeight="1">
      <c r="A629" s="137"/>
      <c r="B629" s="197">
        <f t="shared" si="12"/>
        <v>619</v>
      </c>
      <c r="C629" s="30" t="s">
        <v>202</v>
      </c>
      <c r="D629" s="30" t="s">
        <v>225</v>
      </c>
      <c r="E629" s="234" t="s">
        <v>946</v>
      </c>
      <c r="F629" s="235" t="s">
        <v>1343</v>
      </c>
      <c r="G629" s="284">
        <f>IFERROR(VLOOKUP(E629,Assign!$C$2:$J$142,8,FALSE),)</f>
        <v>0</v>
      </c>
      <c r="H629" s="197" t="s">
        <v>5222</v>
      </c>
      <c r="I629" s="324" t="s">
        <v>5228</v>
      </c>
      <c r="J629" s="237">
        <v>1</v>
      </c>
      <c r="K629" s="237">
        <v>6</v>
      </c>
      <c r="L629" s="265" t="s">
        <v>209</v>
      </c>
      <c r="M629" s="266" t="s">
        <v>226</v>
      </c>
      <c r="N629" s="266" t="s">
        <v>227</v>
      </c>
      <c r="O629" s="267" t="s">
        <v>2720</v>
      </c>
      <c r="P629" s="268" t="s">
        <v>2715</v>
      </c>
      <c r="Q629" s="269">
        <v>3573</v>
      </c>
      <c r="R629" s="269">
        <v>41.13</v>
      </c>
      <c r="S629" s="270"/>
      <c r="T629" s="182">
        <f>9.28/3573</f>
        <v>2.5972572068289949E-3</v>
      </c>
      <c r="U629" s="182">
        <v>1</v>
      </c>
      <c r="V629" s="408">
        <v>1</v>
      </c>
      <c r="W629" s="357" t="s">
        <v>204</v>
      </c>
      <c r="X629" s="156">
        <v>1636800000</v>
      </c>
      <c r="Y629" s="156">
        <v>1636800000</v>
      </c>
      <c r="Z629" s="418" t="s">
        <v>359</v>
      </c>
      <c r="AA629" s="271"/>
      <c r="AB629" s="168"/>
      <c r="AC629" s="156"/>
      <c r="AD629" s="156"/>
      <c r="AE629" s="320"/>
      <c r="AF629" s="168"/>
      <c r="AG629" s="156"/>
      <c r="AH629" s="156"/>
      <c r="AI629" s="410"/>
    </row>
    <row r="630" spans="1:35" ht="19.5" hidden="1" customHeight="1">
      <c r="A630" s="137"/>
      <c r="B630" s="197">
        <f t="shared" si="12"/>
        <v>620</v>
      </c>
      <c r="C630" s="30" t="s">
        <v>202</v>
      </c>
      <c r="D630" s="30" t="s">
        <v>225</v>
      </c>
      <c r="E630" s="234" t="s">
        <v>946</v>
      </c>
      <c r="F630" s="235" t="s">
        <v>1343</v>
      </c>
      <c r="G630" s="284">
        <f>IFERROR(VLOOKUP(E630,Assign!$C$2:$J$142,8,FALSE),)</f>
        <v>0</v>
      </c>
      <c r="H630" s="197" t="s">
        <v>5222</v>
      </c>
      <c r="I630" s="324" t="s">
        <v>5229</v>
      </c>
      <c r="J630" s="237">
        <v>1</v>
      </c>
      <c r="K630" s="237">
        <v>7</v>
      </c>
      <c r="L630" s="265" t="s">
        <v>209</v>
      </c>
      <c r="M630" s="266" t="s">
        <v>226</v>
      </c>
      <c r="N630" s="266" t="s">
        <v>227</v>
      </c>
      <c r="O630" s="267" t="s">
        <v>2721</v>
      </c>
      <c r="P630" s="268" t="s">
        <v>2715</v>
      </c>
      <c r="Q630" s="269">
        <v>3573</v>
      </c>
      <c r="R630" s="269">
        <v>41.13</v>
      </c>
      <c r="S630" s="270"/>
      <c r="T630" s="182">
        <f>9.28/3573</f>
        <v>2.5972572068289949E-3</v>
      </c>
      <c r="U630" s="182">
        <v>1</v>
      </c>
      <c r="V630" s="408">
        <v>1</v>
      </c>
      <c r="W630" s="357" t="s">
        <v>204</v>
      </c>
      <c r="X630" s="156">
        <v>1636800000</v>
      </c>
      <c r="Y630" s="156">
        <v>1636800000</v>
      </c>
      <c r="Z630" s="418" t="s">
        <v>359</v>
      </c>
      <c r="AA630" s="271"/>
      <c r="AB630" s="168"/>
      <c r="AC630" s="156"/>
      <c r="AD630" s="156"/>
      <c r="AE630" s="320"/>
      <c r="AF630" s="168"/>
      <c r="AG630" s="156"/>
      <c r="AH630" s="156"/>
      <c r="AI630" s="410"/>
    </row>
    <row r="631" spans="1:35" ht="19.5" hidden="1" customHeight="1">
      <c r="A631" s="137"/>
      <c r="B631" s="197">
        <f t="shared" si="12"/>
        <v>621</v>
      </c>
      <c r="C631" s="30" t="s">
        <v>202</v>
      </c>
      <c r="D631" s="30" t="s">
        <v>225</v>
      </c>
      <c r="E631" s="234" t="s">
        <v>946</v>
      </c>
      <c r="F631" s="235" t="s">
        <v>1343</v>
      </c>
      <c r="G631" s="284">
        <f>IFERROR(VLOOKUP(E631,Assign!$C$2:$J$142,8,FALSE),)</f>
        <v>0</v>
      </c>
      <c r="H631" s="197" t="s">
        <v>5222</v>
      </c>
      <c r="I631" s="324" t="s">
        <v>5230</v>
      </c>
      <c r="J631" s="237">
        <v>1</v>
      </c>
      <c r="K631" s="237">
        <v>8</v>
      </c>
      <c r="L631" s="265" t="s">
        <v>209</v>
      </c>
      <c r="M631" s="266" t="s">
        <v>226</v>
      </c>
      <c r="N631" s="266" t="s">
        <v>227</v>
      </c>
      <c r="O631" s="267" t="s">
        <v>2722</v>
      </c>
      <c r="P631" s="268" t="s">
        <v>2715</v>
      </c>
      <c r="Q631" s="269">
        <v>3573</v>
      </c>
      <c r="R631" s="269">
        <v>38.340000000000003</v>
      </c>
      <c r="S631" s="270"/>
      <c r="T631" s="182">
        <f>8.65/3573</f>
        <v>2.4209347886929751E-3</v>
      </c>
      <c r="U631" s="182">
        <v>1</v>
      </c>
      <c r="V631" s="408">
        <v>1</v>
      </c>
      <c r="W631" s="357" t="s">
        <v>204</v>
      </c>
      <c r="X631" s="156">
        <v>1636800000</v>
      </c>
      <c r="Y631" s="156">
        <v>1636800000</v>
      </c>
      <c r="Z631" s="418" t="s">
        <v>359</v>
      </c>
      <c r="AA631" s="271"/>
      <c r="AB631" s="168"/>
      <c r="AC631" s="156"/>
      <c r="AD631" s="156"/>
      <c r="AE631" s="320"/>
      <c r="AF631" s="168"/>
      <c r="AG631" s="156"/>
      <c r="AH631" s="156"/>
      <c r="AI631" s="410"/>
    </row>
    <row r="632" spans="1:35" ht="19.5" hidden="1" customHeight="1">
      <c r="A632" s="137"/>
      <c r="B632" s="197">
        <f t="shared" si="12"/>
        <v>622</v>
      </c>
      <c r="C632" s="30" t="s">
        <v>202</v>
      </c>
      <c r="D632" s="30" t="s">
        <v>225</v>
      </c>
      <c r="E632" s="234" t="s">
        <v>946</v>
      </c>
      <c r="F632" s="235" t="s">
        <v>1343</v>
      </c>
      <c r="G632" s="284">
        <f>IFERROR(VLOOKUP(E632,Assign!$C$2:$J$142,8,FALSE),)</f>
        <v>0</v>
      </c>
      <c r="H632" s="197" t="s">
        <v>5231</v>
      </c>
      <c r="I632" s="324" t="s">
        <v>5232</v>
      </c>
      <c r="J632" s="237">
        <v>2</v>
      </c>
      <c r="K632" s="237">
        <v>1</v>
      </c>
      <c r="L632" s="265" t="s">
        <v>208</v>
      </c>
      <c r="M632" s="266" t="s">
        <v>258</v>
      </c>
      <c r="N632" s="266" t="s">
        <v>2723</v>
      </c>
      <c r="O632" s="267" t="s">
        <v>2724</v>
      </c>
      <c r="P632" s="268" t="s">
        <v>3518</v>
      </c>
      <c r="Q632" s="269">
        <v>29552.2</v>
      </c>
      <c r="R632" s="269">
        <v>134.892</v>
      </c>
      <c r="S632" s="270"/>
      <c r="T632" s="182">
        <f>62.549/29552.2</f>
        <v>2.1165598500280857E-3</v>
      </c>
      <c r="U632" s="182">
        <v>1</v>
      </c>
      <c r="V632" s="408">
        <v>2</v>
      </c>
      <c r="W632" s="357" t="s">
        <v>204</v>
      </c>
      <c r="X632" s="156">
        <v>250000000</v>
      </c>
      <c r="Y632" s="156">
        <v>250000000</v>
      </c>
      <c r="Z632" s="418" t="s">
        <v>359</v>
      </c>
      <c r="AA632" s="271">
        <v>1</v>
      </c>
      <c r="AB632" s="168" t="s">
        <v>204</v>
      </c>
      <c r="AC632" s="156">
        <v>273350000</v>
      </c>
      <c r="AD632" s="156">
        <v>273350000</v>
      </c>
      <c r="AE632" s="320"/>
      <c r="AF632" s="168"/>
      <c r="AG632" s="156"/>
      <c r="AH632" s="156"/>
      <c r="AI632" s="410"/>
    </row>
    <row r="633" spans="1:35" ht="19.5" hidden="1" customHeight="1">
      <c r="A633" s="137"/>
      <c r="B633" s="197">
        <f t="shared" si="12"/>
        <v>623</v>
      </c>
      <c r="C633" s="30" t="s">
        <v>202</v>
      </c>
      <c r="D633" s="30" t="s">
        <v>225</v>
      </c>
      <c r="E633" s="234" t="s">
        <v>947</v>
      </c>
      <c r="F633" s="235" t="s">
        <v>1244</v>
      </c>
      <c r="G633" s="284">
        <f>IFERROR(VLOOKUP(E633,Assign!$C$2:$J$142,8,FALSE),)</f>
        <v>0</v>
      </c>
      <c r="H633" s="197" t="s">
        <v>4606</v>
      </c>
      <c r="I633" s="324" t="s">
        <v>4607</v>
      </c>
      <c r="J633" s="237">
        <v>1</v>
      </c>
      <c r="K633" s="237">
        <v>1</v>
      </c>
      <c r="L633" s="265" t="s">
        <v>208</v>
      </c>
      <c r="M633" s="266" t="s">
        <v>369</v>
      </c>
      <c r="N633" s="266" t="s">
        <v>2143</v>
      </c>
      <c r="O633" s="267" t="s">
        <v>2144</v>
      </c>
      <c r="P633" s="268" t="s">
        <v>396</v>
      </c>
      <c r="Q633" s="269"/>
      <c r="R633" s="269">
        <f>192.85+86.35+49.85</f>
        <v>329.05</v>
      </c>
      <c r="S633" s="270"/>
      <c r="T633" s="182"/>
      <c r="U633" s="182">
        <v>1</v>
      </c>
      <c r="V633" s="408" t="s">
        <v>233</v>
      </c>
      <c r="W633" s="357" t="s">
        <v>204</v>
      </c>
      <c r="X633" s="156">
        <v>1480000000</v>
      </c>
      <c r="Y633" s="156">
        <v>1480000000</v>
      </c>
      <c r="Z633" s="418" t="s">
        <v>359</v>
      </c>
      <c r="AA633" s="271"/>
      <c r="AB633" s="168"/>
      <c r="AC633" s="156"/>
      <c r="AD633" s="156"/>
      <c r="AE633" s="320"/>
      <c r="AF633" s="168"/>
      <c r="AG633" s="156"/>
      <c r="AH633" s="156"/>
      <c r="AI633" s="410"/>
    </row>
    <row r="634" spans="1:35" ht="19.5" hidden="1" customHeight="1">
      <c r="A634" s="137"/>
      <c r="B634" s="197">
        <f t="shared" si="12"/>
        <v>624</v>
      </c>
      <c r="C634" s="30" t="s">
        <v>202</v>
      </c>
      <c r="D634" s="30" t="s">
        <v>225</v>
      </c>
      <c r="E634" s="234" t="s">
        <v>947</v>
      </c>
      <c r="F634" s="235" t="s">
        <v>1244</v>
      </c>
      <c r="G634" s="284">
        <f>IFERROR(VLOOKUP(E634,Assign!$C$2:$J$142,8,FALSE),)</f>
        <v>0</v>
      </c>
      <c r="H634" s="197" t="s">
        <v>4606</v>
      </c>
      <c r="I634" s="324" t="s">
        <v>4608</v>
      </c>
      <c r="J634" s="237">
        <v>1</v>
      </c>
      <c r="K634" s="237">
        <v>2</v>
      </c>
      <c r="L634" s="265" t="s">
        <v>208</v>
      </c>
      <c r="M634" s="266" t="s">
        <v>369</v>
      </c>
      <c r="N634" s="266" t="s">
        <v>2143</v>
      </c>
      <c r="O634" s="267" t="s">
        <v>2144</v>
      </c>
      <c r="P634" s="268" t="s">
        <v>450</v>
      </c>
      <c r="Q634" s="269">
        <v>621</v>
      </c>
      <c r="R634" s="269"/>
      <c r="S634" s="270" t="s">
        <v>335</v>
      </c>
      <c r="T634" s="182"/>
      <c r="U634" s="182">
        <v>1</v>
      </c>
      <c r="V634" s="408" t="s">
        <v>233</v>
      </c>
      <c r="W634" s="357" t="s">
        <v>204</v>
      </c>
      <c r="X634" s="156">
        <v>1480000000</v>
      </c>
      <c r="Y634" s="156">
        <v>1480000000</v>
      </c>
      <c r="Z634" s="418" t="s">
        <v>359</v>
      </c>
      <c r="AA634" s="271"/>
      <c r="AB634" s="168"/>
      <c r="AC634" s="156"/>
      <c r="AD634" s="156"/>
      <c r="AE634" s="320"/>
      <c r="AF634" s="168"/>
      <c r="AG634" s="156"/>
      <c r="AH634" s="156"/>
      <c r="AI634" s="410"/>
    </row>
    <row r="635" spans="1:35" ht="19.5" hidden="1" customHeight="1">
      <c r="A635" s="137"/>
      <c r="B635" s="197">
        <f t="shared" si="12"/>
        <v>625</v>
      </c>
      <c r="C635" s="30" t="s">
        <v>202</v>
      </c>
      <c r="D635" s="30" t="s">
        <v>225</v>
      </c>
      <c r="E635" s="234" t="s">
        <v>948</v>
      </c>
      <c r="F635" s="235" t="s">
        <v>1344</v>
      </c>
      <c r="G635" s="284">
        <f>IFERROR(VLOOKUP(E635,Assign!$C$2:$J$142,8,FALSE),)</f>
        <v>0</v>
      </c>
      <c r="H635" s="197" t="s">
        <v>5059</v>
      </c>
      <c r="I635" s="324" t="s">
        <v>5060</v>
      </c>
      <c r="J635" s="237">
        <v>1</v>
      </c>
      <c r="K635" s="237">
        <v>1</v>
      </c>
      <c r="L635" s="265" t="s">
        <v>220</v>
      </c>
      <c r="M635" s="266" t="s">
        <v>2574</v>
      </c>
      <c r="N635" s="266" t="s">
        <v>2575</v>
      </c>
      <c r="O635" s="267" t="s">
        <v>2576</v>
      </c>
      <c r="P635" s="268" t="s">
        <v>593</v>
      </c>
      <c r="Q635" s="269"/>
      <c r="R635" s="269">
        <v>1916.11</v>
      </c>
      <c r="S635" s="270"/>
      <c r="T635" s="182"/>
      <c r="U635" s="182">
        <v>1</v>
      </c>
      <c r="V635" s="408">
        <v>1</v>
      </c>
      <c r="W635" s="357" t="s">
        <v>204</v>
      </c>
      <c r="X635" s="156">
        <v>840000000</v>
      </c>
      <c r="Y635" s="156">
        <v>840000000</v>
      </c>
      <c r="Z635" s="418" t="s">
        <v>359</v>
      </c>
      <c r="AA635" s="271"/>
      <c r="AB635" s="168"/>
      <c r="AC635" s="156"/>
      <c r="AD635" s="156"/>
      <c r="AE635" s="320"/>
      <c r="AF635" s="168"/>
      <c r="AG635" s="156"/>
      <c r="AH635" s="156"/>
      <c r="AI635" s="410"/>
    </row>
    <row r="636" spans="1:35" ht="19.5" hidden="1" customHeight="1">
      <c r="A636" s="137"/>
      <c r="B636" s="197">
        <f t="shared" si="12"/>
        <v>626</v>
      </c>
      <c r="C636" s="30" t="s">
        <v>202</v>
      </c>
      <c r="D636" s="30" t="s">
        <v>225</v>
      </c>
      <c r="E636" s="234" t="s">
        <v>948</v>
      </c>
      <c r="F636" s="235" t="s">
        <v>1344</v>
      </c>
      <c r="G636" s="284">
        <f>IFERROR(VLOOKUP(E636,Assign!$C$2:$J$142,8,FALSE),)</f>
        <v>0</v>
      </c>
      <c r="H636" s="197" t="s">
        <v>5059</v>
      </c>
      <c r="I636" s="324" t="s">
        <v>5061</v>
      </c>
      <c r="J636" s="237">
        <v>1</v>
      </c>
      <c r="K636" s="237">
        <v>2</v>
      </c>
      <c r="L636" s="265" t="s">
        <v>220</v>
      </c>
      <c r="M636" s="266" t="s">
        <v>2574</v>
      </c>
      <c r="N636" s="266" t="s">
        <v>2575</v>
      </c>
      <c r="O636" s="267" t="s">
        <v>2577</v>
      </c>
      <c r="P636" s="268" t="s">
        <v>2578</v>
      </c>
      <c r="Q636" s="269"/>
      <c r="R636" s="269">
        <f>231.72+165.64+397.36+94.73</f>
        <v>889.45</v>
      </c>
      <c r="S636" s="270"/>
      <c r="T636" s="182"/>
      <c r="U636" s="182">
        <v>1</v>
      </c>
      <c r="V636" s="408">
        <v>1</v>
      </c>
      <c r="W636" s="357" t="s">
        <v>204</v>
      </c>
      <c r="X636" s="156">
        <v>840000000</v>
      </c>
      <c r="Y636" s="156">
        <v>840000000</v>
      </c>
      <c r="Z636" s="418" t="s">
        <v>359</v>
      </c>
      <c r="AA636" s="271"/>
      <c r="AB636" s="168"/>
      <c r="AC636" s="156"/>
      <c r="AD636" s="156"/>
      <c r="AE636" s="320"/>
      <c r="AF636" s="168"/>
      <c r="AG636" s="156"/>
      <c r="AH636" s="156"/>
      <c r="AI636" s="410"/>
    </row>
    <row r="637" spans="1:35" ht="19.5" hidden="1" customHeight="1">
      <c r="A637" s="137"/>
      <c r="B637" s="197">
        <f t="shared" si="12"/>
        <v>627</v>
      </c>
      <c r="C637" s="30" t="s">
        <v>202</v>
      </c>
      <c r="D637" s="30" t="s">
        <v>225</v>
      </c>
      <c r="E637" s="234" t="s">
        <v>948</v>
      </c>
      <c r="F637" s="235" t="s">
        <v>1344</v>
      </c>
      <c r="G637" s="284">
        <f>IFERROR(VLOOKUP(E637,Assign!$C$2:$J$142,8,FALSE),)</f>
        <v>0</v>
      </c>
      <c r="H637" s="197" t="s">
        <v>5059</v>
      </c>
      <c r="I637" s="324" t="s">
        <v>5062</v>
      </c>
      <c r="J637" s="237">
        <v>1</v>
      </c>
      <c r="K637" s="237">
        <v>3</v>
      </c>
      <c r="L637" s="265" t="s">
        <v>220</v>
      </c>
      <c r="M637" s="266" t="s">
        <v>2574</v>
      </c>
      <c r="N637" s="266" t="s">
        <v>2575</v>
      </c>
      <c r="O637" s="267" t="s">
        <v>2579</v>
      </c>
      <c r="P637" s="268" t="s">
        <v>600</v>
      </c>
      <c r="Q637" s="269"/>
      <c r="R637" s="269">
        <v>284.24</v>
      </c>
      <c r="S637" s="270"/>
      <c r="T637" s="182"/>
      <c r="U637" s="182">
        <v>1</v>
      </c>
      <c r="V637" s="408">
        <v>1</v>
      </c>
      <c r="W637" s="357" t="s">
        <v>204</v>
      </c>
      <c r="X637" s="156">
        <v>840000000</v>
      </c>
      <c r="Y637" s="156">
        <v>840000000</v>
      </c>
      <c r="Z637" s="418" t="s">
        <v>359</v>
      </c>
      <c r="AA637" s="271"/>
      <c r="AB637" s="168"/>
      <c r="AC637" s="156"/>
      <c r="AD637" s="156"/>
      <c r="AE637" s="320"/>
      <c r="AF637" s="168"/>
      <c r="AG637" s="156"/>
      <c r="AH637" s="156"/>
      <c r="AI637" s="410"/>
    </row>
    <row r="638" spans="1:35" ht="19.5" hidden="1" customHeight="1">
      <c r="A638" s="137"/>
      <c r="B638" s="197">
        <f t="shared" si="12"/>
        <v>628</v>
      </c>
      <c r="C638" s="30" t="s">
        <v>202</v>
      </c>
      <c r="D638" s="30" t="s">
        <v>225</v>
      </c>
      <c r="E638" s="234" t="s">
        <v>948</v>
      </c>
      <c r="F638" s="235" t="s">
        <v>1344</v>
      </c>
      <c r="G638" s="284">
        <f>IFERROR(VLOOKUP(E638,Assign!$C$2:$J$142,8,FALSE),)</f>
        <v>0</v>
      </c>
      <c r="H638" s="197" t="s">
        <v>5059</v>
      </c>
      <c r="I638" s="324" t="s">
        <v>5063</v>
      </c>
      <c r="J638" s="237">
        <v>1</v>
      </c>
      <c r="K638" s="237">
        <v>4</v>
      </c>
      <c r="L638" s="265" t="s">
        <v>220</v>
      </c>
      <c r="M638" s="266" t="s">
        <v>2574</v>
      </c>
      <c r="N638" s="266" t="s">
        <v>2575</v>
      </c>
      <c r="O638" s="267" t="s">
        <v>2580</v>
      </c>
      <c r="P638" s="268" t="s">
        <v>593</v>
      </c>
      <c r="Q638" s="269"/>
      <c r="R638" s="269">
        <v>396</v>
      </c>
      <c r="S638" s="270"/>
      <c r="T638" s="182"/>
      <c r="U638" s="182">
        <v>1</v>
      </c>
      <c r="V638" s="408">
        <v>1</v>
      </c>
      <c r="W638" s="357" t="s">
        <v>204</v>
      </c>
      <c r="X638" s="156">
        <v>840000000</v>
      </c>
      <c r="Y638" s="156">
        <v>840000000</v>
      </c>
      <c r="Z638" s="418" t="s">
        <v>359</v>
      </c>
      <c r="AA638" s="271"/>
      <c r="AB638" s="168"/>
      <c r="AC638" s="156"/>
      <c r="AD638" s="156"/>
      <c r="AE638" s="320"/>
      <c r="AF638" s="168"/>
      <c r="AG638" s="156"/>
      <c r="AH638" s="156"/>
      <c r="AI638" s="410"/>
    </row>
    <row r="639" spans="1:35" ht="19.5" hidden="1" customHeight="1">
      <c r="A639" s="137"/>
      <c r="B639" s="197">
        <f t="shared" si="12"/>
        <v>629</v>
      </c>
      <c r="C639" s="30" t="s">
        <v>202</v>
      </c>
      <c r="D639" s="30" t="s">
        <v>225</v>
      </c>
      <c r="E639" s="234" t="s">
        <v>948</v>
      </c>
      <c r="F639" s="235" t="s">
        <v>1344</v>
      </c>
      <c r="G639" s="284">
        <f>IFERROR(VLOOKUP(E639,Assign!$C$2:$J$142,8,FALSE),)</f>
        <v>0</v>
      </c>
      <c r="H639" s="197" t="s">
        <v>5059</v>
      </c>
      <c r="I639" s="324" t="s">
        <v>5064</v>
      </c>
      <c r="J639" s="237">
        <v>1</v>
      </c>
      <c r="K639" s="237">
        <v>5</v>
      </c>
      <c r="L639" s="265" t="s">
        <v>220</v>
      </c>
      <c r="M639" s="266" t="s">
        <v>2574</v>
      </c>
      <c r="N639" s="266" t="s">
        <v>2575</v>
      </c>
      <c r="O639" s="267" t="s">
        <v>2581</v>
      </c>
      <c r="P639" s="268" t="s">
        <v>447</v>
      </c>
      <c r="Q639" s="269">
        <v>6619</v>
      </c>
      <c r="R639" s="269"/>
      <c r="S639" s="270"/>
      <c r="T639" s="182"/>
      <c r="U639" s="182">
        <v>1</v>
      </c>
      <c r="V639" s="408">
        <v>1</v>
      </c>
      <c r="W639" s="357" t="s">
        <v>204</v>
      </c>
      <c r="X639" s="156">
        <v>840000000</v>
      </c>
      <c r="Y639" s="156">
        <v>840000000</v>
      </c>
      <c r="Z639" s="418" t="s">
        <v>359</v>
      </c>
      <c r="AA639" s="271"/>
      <c r="AB639" s="168"/>
      <c r="AC639" s="156"/>
      <c r="AD639" s="156"/>
      <c r="AE639" s="320"/>
      <c r="AF639" s="168"/>
      <c r="AG639" s="156"/>
      <c r="AH639" s="156"/>
      <c r="AI639" s="410"/>
    </row>
    <row r="640" spans="1:35" ht="19.5" hidden="1" customHeight="1">
      <c r="A640" s="137"/>
      <c r="B640" s="197">
        <f t="shared" si="12"/>
        <v>630</v>
      </c>
      <c r="C640" s="30" t="s">
        <v>202</v>
      </c>
      <c r="D640" s="30" t="s">
        <v>225</v>
      </c>
      <c r="E640" s="234" t="s">
        <v>948</v>
      </c>
      <c r="F640" s="235" t="s">
        <v>1344</v>
      </c>
      <c r="G640" s="284">
        <f>IFERROR(VLOOKUP(E640,Assign!$C$2:$J$142,8,FALSE),)</f>
        <v>0</v>
      </c>
      <c r="H640" s="197" t="s">
        <v>5065</v>
      </c>
      <c r="I640" s="324" t="s">
        <v>5066</v>
      </c>
      <c r="J640" s="237">
        <v>2</v>
      </c>
      <c r="K640" s="237">
        <v>1</v>
      </c>
      <c r="L640" s="265"/>
      <c r="M640" s="266"/>
      <c r="N640" s="266"/>
      <c r="O640" s="267" t="s">
        <v>3844</v>
      </c>
      <c r="P640" s="268" t="s">
        <v>3732</v>
      </c>
      <c r="Q640" s="269"/>
      <c r="R640" s="269"/>
      <c r="S640" s="270"/>
      <c r="T640" s="182"/>
      <c r="U640" s="182">
        <v>1</v>
      </c>
      <c r="V640" s="408">
        <v>1</v>
      </c>
      <c r="W640" s="357" t="s">
        <v>204</v>
      </c>
      <c r="X640" s="156">
        <v>840000000</v>
      </c>
      <c r="Y640" s="156">
        <v>840000000</v>
      </c>
      <c r="Z640" s="418" t="s">
        <v>359</v>
      </c>
      <c r="AA640" s="271"/>
      <c r="AB640" s="168"/>
      <c r="AC640" s="156"/>
      <c r="AD640" s="156"/>
      <c r="AE640" s="320"/>
      <c r="AF640" s="168"/>
      <c r="AG640" s="156"/>
      <c r="AH640" s="156"/>
      <c r="AI640" s="410"/>
    </row>
    <row r="641" spans="1:35" ht="19.5" hidden="1" customHeight="1">
      <c r="A641" s="137"/>
      <c r="B641" s="197">
        <f t="shared" si="12"/>
        <v>631</v>
      </c>
      <c r="C641" s="30" t="s">
        <v>202</v>
      </c>
      <c r="D641" s="30" t="s">
        <v>225</v>
      </c>
      <c r="E641" s="234" t="s">
        <v>948</v>
      </c>
      <c r="F641" s="235" t="s">
        <v>1344</v>
      </c>
      <c r="G641" s="284">
        <f>IFERROR(VLOOKUP(E641,Assign!$C$2:$J$142,8,FALSE),)</f>
        <v>0</v>
      </c>
      <c r="H641" s="197" t="s">
        <v>5067</v>
      </c>
      <c r="I641" s="324" t="s">
        <v>5068</v>
      </c>
      <c r="J641" s="237">
        <v>3</v>
      </c>
      <c r="K641" s="237">
        <v>1</v>
      </c>
      <c r="L641" s="265" t="s">
        <v>220</v>
      </c>
      <c r="M641" s="266" t="s">
        <v>3846</v>
      </c>
      <c r="N641" s="266" t="s">
        <v>3847</v>
      </c>
      <c r="O641" s="267" t="s">
        <v>3848</v>
      </c>
      <c r="P641" s="268" t="s">
        <v>3732</v>
      </c>
      <c r="Q641" s="269"/>
      <c r="R641" s="269"/>
      <c r="S641" s="270"/>
      <c r="T641" s="182"/>
      <c r="U641" s="182">
        <v>1</v>
      </c>
      <c r="V641" s="408">
        <v>1</v>
      </c>
      <c r="W641" s="357" t="s">
        <v>204</v>
      </c>
      <c r="X641" s="156">
        <v>255000000</v>
      </c>
      <c r="Y641" s="156">
        <v>255000000</v>
      </c>
      <c r="Z641" s="418" t="s">
        <v>359</v>
      </c>
      <c r="AA641" s="271"/>
      <c r="AB641" s="168"/>
      <c r="AC641" s="156"/>
      <c r="AD641" s="156"/>
      <c r="AE641" s="320"/>
      <c r="AF641" s="168"/>
      <c r="AG641" s="156"/>
      <c r="AH641" s="156"/>
      <c r="AI641" s="410"/>
    </row>
    <row r="642" spans="1:35" ht="19.5" customHeight="1">
      <c r="A642" s="137"/>
      <c r="B642" s="197">
        <f t="shared" si="12"/>
        <v>632</v>
      </c>
      <c r="C642" s="30" t="s">
        <v>202</v>
      </c>
      <c r="D642" s="30" t="s">
        <v>225</v>
      </c>
      <c r="E642" s="234" t="s">
        <v>949</v>
      </c>
      <c r="F642" s="235" t="s">
        <v>1252</v>
      </c>
      <c r="G642" s="284" t="str">
        <f>IFERROR(VLOOKUP(E642,Assign!$C$2:$J$142,8,FALSE),)</f>
        <v>문선영</v>
      </c>
      <c r="H642" s="197" t="s">
        <v>5213</v>
      </c>
      <c r="I642" s="324" t="s">
        <v>5214</v>
      </c>
      <c r="J642" s="237">
        <v>1</v>
      </c>
      <c r="K642" s="237">
        <v>1</v>
      </c>
      <c r="L642" s="265" t="s">
        <v>208</v>
      </c>
      <c r="M642" s="266" t="s">
        <v>280</v>
      </c>
      <c r="N642" s="266" t="s">
        <v>2705</v>
      </c>
      <c r="O642" s="267" t="s">
        <v>2706</v>
      </c>
      <c r="P642" s="268" t="s">
        <v>616</v>
      </c>
      <c r="Q642" s="269"/>
      <c r="R642" s="269">
        <f>399+7.2</f>
        <v>406.2</v>
      </c>
      <c r="S642" s="270"/>
      <c r="T642" s="182"/>
      <c r="U642" s="182">
        <v>1</v>
      </c>
      <c r="V642" s="408">
        <v>1</v>
      </c>
      <c r="W642" s="357" t="s">
        <v>204</v>
      </c>
      <c r="X642" s="156">
        <v>972000000</v>
      </c>
      <c r="Y642" s="156">
        <v>972000000</v>
      </c>
      <c r="Z642" s="418" t="s">
        <v>359</v>
      </c>
      <c r="AA642" s="271"/>
      <c r="AB642" s="168"/>
      <c r="AC642" s="156"/>
      <c r="AD642" s="156"/>
      <c r="AE642" s="320"/>
      <c r="AF642" s="168"/>
      <c r="AG642" s="156"/>
      <c r="AH642" s="156"/>
      <c r="AI642" s="410"/>
    </row>
    <row r="643" spans="1:35" ht="19.5" customHeight="1">
      <c r="A643" s="137"/>
      <c r="B643" s="197">
        <f t="shared" si="12"/>
        <v>633</v>
      </c>
      <c r="C643" s="30" t="s">
        <v>202</v>
      </c>
      <c r="D643" s="30" t="s">
        <v>225</v>
      </c>
      <c r="E643" s="234" t="s">
        <v>949</v>
      </c>
      <c r="F643" s="235" t="s">
        <v>1252</v>
      </c>
      <c r="G643" s="284" t="str">
        <f>IFERROR(VLOOKUP(E643,Assign!$C$2:$J$142,8,FALSE),)</f>
        <v>문선영</v>
      </c>
      <c r="H643" s="197" t="s">
        <v>5213</v>
      </c>
      <c r="I643" s="324" t="s">
        <v>5215</v>
      </c>
      <c r="J643" s="237">
        <v>1</v>
      </c>
      <c r="K643" s="237">
        <v>2</v>
      </c>
      <c r="L643" s="265" t="s">
        <v>208</v>
      </c>
      <c r="M643" s="266" t="s">
        <v>280</v>
      </c>
      <c r="N643" s="266" t="s">
        <v>2705</v>
      </c>
      <c r="O643" s="267" t="s">
        <v>2707</v>
      </c>
      <c r="P643" s="268" t="s">
        <v>2708</v>
      </c>
      <c r="Q643" s="269"/>
      <c r="R643" s="269">
        <v>216</v>
      </c>
      <c r="S643" s="270"/>
      <c r="T643" s="182"/>
      <c r="U643" s="182">
        <v>1</v>
      </c>
      <c r="V643" s="408">
        <v>1</v>
      </c>
      <c r="W643" s="357" t="s">
        <v>204</v>
      </c>
      <c r="X643" s="156">
        <v>972000000</v>
      </c>
      <c r="Y643" s="156">
        <v>972000000</v>
      </c>
      <c r="Z643" s="418" t="s">
        <v>359</v>
      </c>
      <c r="AA643" s="271"/>
      <c r="AB643" s="168"/>
      <c r="AC643" s="156"/>
      <c r="AD643" s="156"/>
      <c r="AE643" s="320"/>
      <c r="AF643" s="168"/>
      <c r="AG643" s="156"/>
      <c r="AH643" s="156"/>
      <c r="AI643" s="410"/>
    </row>
    <row r="644" spans="1:35" ht="19.5" customHeight="1">
      <c r="A644" s="137"/>
      <c r="B644" s="197">
        <f t="shared" si="12"/>
        <v>634</v>
      </c>
      <c r="C644" s="30" t="s">
        <v>202</v>
      </c>
      <c r="D644" s="30" t="s">
        <v>225</v>
      </c>
      <c r="E644" s="234" t="s">
        <v>949</v>
      </c>
      <c r="F644" s="235" t="s">
        <v>1252</v>
      </c>
      <c r="G644" s="284" t="str">
        <f>IFERROR(VLOOKUP(E644,Assign!$C$2:$J$142,8,FALSE),)</f>
        <v>문선영</v>
      </c>
      <c r="H644" s="197" t="s">
        <v>5213</v>
      </c>
      <c r="I644" s="324" t="s">
        <v>5216</v>
      </c>
      <c r="J644" s="237">
        <v>1</v>
      </c>
      <c r="K644" s="237">
        <v>3</v>
      </c>
      <c r="L644" s="265" t="s">
        <v>208</v>
      </c>
      <c r="M644" s="266" t="s">
        <v>280</v>
      </c>
      <c r="N644" s="266" t="s">
        <v>2705</v>
      </c>
      <c r="O644" s="267" t="s">
        <v>2709</v>
      </c>
      <c r="P644" s="268" t="s">
        <v>446</v>
      </c>
      <c r="Q644" s="269">
        <v>1273</v>
      </c>
      <c r="R644" s="269"/>
      <c r="S644" s="270"/>
      <c r="T644" s="182"/>
      <c r="U644" s="182">
        <v>1</v>
      </c>
      <c r="V644" s="408">
        <v>1</v>
      </c>
      <c r="W644" s="357" t="s">
        <v>204</v>
      </c>
      <c r="X644" s="156">
        <v>972000000</v>
      </c>
      <c r="Y644" s="156">
        <v>972000000</v>
      </c>
      <c r="Z644" s="418" t="s">
        <v>359</v>
      </c>
      <c r="AA644" s="271"/>
      <c r="AB644" s="168"/>
      <c r="AC644" s="156"/>
      <c r="AD644" s="156"/>
      <c r="AE644" s="320"/>
      <c r="AF644" s="168"/>
      <c r="AG644" s="156"/>
      <c r="AH644" s="156"/>
      <c r="AI644" s="410"/>
    </row>
    <row r="645" spans="1:35" ht="19.5" customHeight="1">
      <c r="A645" s="137"/>
      <c r="B645" s="197">
        <f t="shared" si="12"/>
        <v>635</v>
      </c>
      <c r="C645" s="30" t="s">
        <v>202</v>
      </c>
      <c r="D645" s="30" t="s">
        <v>225</v>
      </c>
      <c r="E645" s="234" t="s">
        <v>949</v>
      </c>
      <c r="F645" s="235" t="s">
        <v>1252</v>
      </c>
      <c r="G645" s="284" t="str">
        <f>IFERROR(VLOOKUP(E645,Assign!$C$2:$J$142,8,FALSE),)</f>
        <v>문선영</v>
      </c>
      <c r="H645" s="197" t="s">
        <v>5213</v>
      </c>
      <c r="I645" s="324" t="s">
        <v>5217</v>
      </c>
      <c r="J645" s="237">
        <v>1</v>
      </c>
      <c r="K645" s="237">
        <v>4</v>
      </c>
      <c r="L645" s="265" t="s">
        <v>208</v>
      </c>
      <c r="M645" s="266" t="s">
        <v>280</v>
      </c>
      <c r="N645" s="266" t="s">
        <v>2705</v>
      </c>
      <c r="O645" s="267" t="s">
        <v>2710</v>
      </c>
      <c r="P645" s="268" t="s">
        <v>456</v>
      </c>
      <c r="Q645" s="269">
        <v>52</v>
      </c>
      <c r="R645" s="269"/>
      <c r="S645" s="270"/>
      <c r="T645" s="182"/>
      <c r="U645" s="182">
        <v>1</v>
      </c>
      <c r="V645" s="408">
        <v>1</v>
      </c>
      <c r="W645" s="357" t="s">
        <v>204</v>
      </c>
      <c r="X645" s="156">
        <v>972000000</v>
      </c>
      <c r="Y645" s="156">
        <v>972000000</v>
      </c>
      <c r="Z645" s="418" t="s">
        <v>359</v>
      </c>
      <c r="AA645" s="271"/>
      <c r="AB645" s="168"/>
      <c r="AC645" s="156"/>
      <c r="AD645" s="156"/>
      <c r="AE645" s="320"/>
      <c r="AF645" s="168"/>
      <c r="AG645" s="156"/>
      <c r="AH645" s="156"/>
      <c r="AI645" s="410"/>
    </row>
    <row r="646" spans="1:35" ht="19.5" customHeight="1">
      <c r="A646" s="137"/>
      <c r="B646" s="197">
        <f t="shared" si="12"/>
        <v>636</v>
      </c>
      <c r="C646" s="30" t="s">
        <v>202</v>
      </c>
      <c r="D646" s="30" t="s">
        <v>225</v>
      </c>
      <c r="E646" s="234" t="s">
        <v>949</v>
      </c>
      <c r="F646" s="235" t="s">
        <v>1252</v>
      </c>
      <c r="G646" s="284" t="str">
        <f>IFERROR(VLOOKUP(E646,Assign!$C$2:$J$142,8,FALSE),)</f>
        <v>문선영</v>
      </c>
      <c r="H646" s="197" t="s">
        <v>5218</v>
      </c>
      <c r="I646" s="324" t="s">
        <v>5219</v>
      </c>
      <c r="J646" s="237">
        <v>2</v>
      </c>
      <c r="K646" s="237">
        <v>1</v>
      </c>
      <c r="L646" s="265" t="s">
        <v>208</v>
      </c>
      <c r="M646" s="266" t="s">
        <v>280</v>
      </c>
      <c r="N646" s="266" t="s">
        <v>323</v>
      </c>
      <c r="O646" s="267" t="s">
        <v>2711</v>
      </c>
      <c r="P646" s="268" t="s">
        <v>431</v>
      </c>
      <c r="Q646" s="269">
        <v>108181.6</v>
      </c>
      <c r="R646" s="269">
        <v>134.52000000000001</v>
      </c>
      <c r="S646" s="270"/>
      <c r="T646" s="182">
        <f>78.48/108181.6</f>
        <v>7.254468412373269E-4</v>
      </c>
      <c r="U646" s="182">
        <v>1</v>
      </c>
      <c r="V646" s="408" t="s">
        <v>229</v>
      </c>
      <c r="W646" s="357" t="s">
        <v>204</v>
      </c>
      <c r="X646" s="156">
        <v>444000000</v>
      </c>
      <c r="Y646" s="156">
        <v>444000000</v>
      </c>
      <c r="Z646" s="418" t="s">
        <v>359</v>
      </c>
      <c r="AA646" s="271"/>
      <c r="AB646" s="168"/>
      <c r="AC646" s="156"/>
      <c r="AD646" s="156"/>
      <c r="AE646" s="320"/>
      <c r="AF646" s="168"/>
      <c r="AG646" s="156"/>
      <c r="AH646" s="156"/>
      <c r="AI646" s="410"/>
    </row>
    <row r="647" spans="1:35" ht="19.5" customHeight="1">
      <c r="A647" s="137"/>
      <c r="B647" s="197">
        <f t="shared" si="12"/>
        <v>637</v>
      </c>
      <c r="C647" s="30" t="s">
        <v>202</v>
      </c>
      <c r="D647" s="30" t="s">
        <v>225</v>
      </c>
      <c r="E647" s="234" t="s">
        <v>950</v>
      </c>
      <c r="F647" s="235" t="s">
        <v>1271</v>
      </c>
      <c r="G647" s="284" t="str">
        <f>IFERROR(VLOOKUP(E647,Assign!$C$2:$J$142,8,FALSE),)</f>
        <v>문선영</v>
      </c>
      <c r="H647" s="197" t="s">
        <v>4122</v>
      </c>
      <c r="I647" s="324" t="s">
        <v>4123</v>
      </c>
      <c r="J647" s="237">
        <v>1</v>
      </c>
      <c r="K647" s="237">
        <v>1</v>
      </c>
      <c r="L647" s="265" t="s">
        <v>217</v>
      </c>
      <c r="M647" s="266" t="s">
        <v>545</v>
      </c>
      <c r="N647" s="266" t="s">
        <v>1696</v>
      </c>
      <c r="O647" s="267" t="s">
        <v>1697</v>
      </c>
      <c r="P647" s="268" t="s">
        <v>466</v>
      </c>
      <c r="Q647" s="269"/>
      <c r="R647" s="269">
        <f>493+105.8+99</f>
        <v>697.8</v>
      </c>
      <c r="S647" s="270"/>
      <c r="T647" s="182"/>
      <c r="U647" s="182">
        <v>1</v>
      </c>
      <c r="V647" s="408">
        <v>1</v>
      </c>
      <c r="W647" s="357" t="s">
        <v>204</v>
      </c>
      <c r="X647" s="156">
        <v>1080000000</v>
      </c>
      <c r="Y647" s="156">
        <v>1080000000</v>
      </c>
      <c r="Z647" s="418" t="s">
        <v>359</v>
      </c>
      <c r="AA647" s="271"/>
      <c r="AB647" s="168"/>
      <c r="AC647" s="156"/>
      <c r="AD647" s="156"/>
      <c r="AE647" s="320"/>
      <c r="AF647" s="168"/>
      <c r="AG647" s="156"/>
      <c r="AH647" s="156"/>
      <c r="AI647" s="410"/>
    </row>
    <row r="648" spans="1:35" ht="19.5" customHeight="1">
      <c r="A648" s="137"/>
      <c r="B648" s="197">
        <f t="shared" si="12"/>
        <v>638</v>
      </c>
      <c r="C648" s="30" t="s">
        <v>202</v>
      </c>
      <c r="D648" s="30" t="s">
        <v>225</v>
      </c>
      <c r="E648" s="234" t="s">
        <v>950</v>
      </c>
      <c r="F648" s="235" t="s">
        <v>1271</v>
      </c>
      <c r="G648" s="284" t="str">
        <f>IFERROR(VLOOKUP(E648,Assign!$C$2:$J$142,8,FALSE),)</f>
        <v>문선영</v>
      </c>
      <c r="H648" s="197" t="s">
        <v>4122</v>
      </c>
      <c r="I648" s="324" t="s">
        <v>4124</v>
      </c>
      <c r="J648" s="237">
        <v>1</v>
      </c>
      <c r="K648" s="237">
        <v>2</v>
      </c>
      <c r="L648" s="265" t="s">
        <v>217</v>
      </c>
      <c r="M648" s="266" t="s">
        <v>545</v>
      </c>
      <c r="N648" s="266" t="s">
        <v>1696</v>
      </c>
      <c r="O648" s="267" t="s">
        <v>1698</v>
      </c>
      <c r="P648" s="268" t="s">
        <v>447</v>
      </c>
      <c r="Q648" s="269">
        <v>2636</v>
      </c>
      <c r="R648" s="269"/>
      <c r="S648" s="270"/>
      <c r="T648" s="182"/>
      <c r="U648" s="182">
        <v>1</v>
      </c>
      <c r="V648" s="408">
        <v>1</v>
      </c>
      <c r="W648" s="357" t="s">
        <v>204</v>
      </c>
      <c r="X648" s="156">
        <v>1080000000</v>
      </c>
      <c r="Y648" s="156">
        <v>1080000000</v>
      </c>
      <c r="Z648" s="418" t="s">
        <v>359</v>
      </c>
      <c r="AA648" s="271"/>
      <c r="AB648" s="168"/>
      <c r="AC648" s="156"/>
      <c r="AD648" s="156"/>
      <c r="AE648" s="320"/>
      <c r="AF648" s="168"/>
      <c r="AG648" s="156"/>
      <c r="AH648" s="156"/>
      <c r="AI648" s="410"/>
    </row>
    <row r="649" spans="1:35" ht="19.5" customHeight="1">
      <c r="A649" s="137"/>
      <c r="B649" s="197">
        <f t="shared" si="12"/>
        <v>639</v>
      </c>
      <c r="C649" s="30" t="s">
        <v>202</v>
      </c>
      <c r="D649" s="30" t="s">
        <v>225</v>
      </c>
      <c r="E649" s="234" t="s">
        <v>950</v>
      </c>
      <c r="F649" s="235" t="s">
        <v>1271</v>
      </c>
      <c r="G649" s="284" t="str">
        <f>IFERROR(VLOOKUP(E649,Assign!$C$2:$J$142,8,FALSE),)</f>
        <v>문선영</v>
      </c>
      <c r="H649" s="197" t="s">
        <v>4125</v>
      </c>
      <c r="I649" s="324" t="s">
        <v>4126</v>
      </c>
      <c r="J649" s="237">
        <v>2</v>
      </c>
      <c r="K649" s="237">
        <v>1</v>
      </c>
      <c r="L649" s="265" t="s">
        <v>217</v>
      </c>
      <c r="M649" s="266" t="s">
        <v>344</v>
      </c>
      <c r="N649" s="266" t="s">
        <v>1699</v>
      </c>
      <c r="O649" s="267" t="s">
        <v>1700</v>
      </c>
      <c r="P649" s="268" t="s">
        <v>449</v>
      </c>
      <c r="Q649" s="269">
        <v>21832.7</v>
      </c>
      <c r="R649" s="269">
        <v>84.977699999999999</v>
      </c>
      <c r="S649" s="270"/>
      <c r="T649" s="182">
        <f>45.4849/21832.7</f>
        <v>2.0833382953093296E-3</v>
      </c>
      <c r="U649" s="182">
        <v>1</v>
      </c>
      <c r="V649" s="408" t="s">
        <v>292</v>
      </c>
      <c r="W649" s="357" t="s">
        <v>204</v>
      </c>
      <c r="X649" s="156">
        <v>300000000</v>
      </c>
      <c r="Y649" s="156">
        <v>300000000</v>
      </c>
      <c r="Z649" s="418" t="s">
        <v>359</v>
      </c>
      <c r="AA649" s="271">
        <v>1</v>
      </c>
      <c r="AB649" s="168" t="s">
        <v>204</v>
      </c>
      <c r="AC649" s="156">
        <v>163000000</v>
      </c>
      <c r="AD649" s="156">
        <v>163000000</v>
      </c>
      <c r="AE649" s="320"/>
      <c r="AF649" s="168"/>
      <c r="AG649" s="156"/>
      <c r="AH649" s="156"/>
      <c r="AI649" s="410"/>
    </row>
    <row r="650" spans="1:35" ht="19.5" hidden="1" customHeight="1">
      <c r="A650" s="137"/>
      <c r="B650" s="197">
        <f t="shared" si="12"/>
        <v>640</v>
      </c>
      <c r="C650" s="30" t="s">
        <v>202</v>
      </c>
      <c r="D650" s="30" t="s">
        <v>225</v>
      </c>
      <c r="E650" s="234" t="s">
        <v>951</v>
      </c>
      <c r="F650" s="235" t="s">
        <v>1217</v>
      </c>
      <c r="G650" s="284">
        <f>IFERROR(VLOOKUP(E650,Assign!$C$2:$J$142,8,FALSE),)</f>
        <v>0</v>
      </c>
      <c r="H650" s="197" t="s">
        <v>4970</v>
      </c>
      <c r="I650" s="324" t="s">
        <v>4971</v>
      </c>
      <c r="J650" s="237">
        <v>1</v>
      </c>
      <c r="K650" s="237">
        <v>1</v>
      </c>
      <c r="L650" s="265" t="s">
        <v>224</v>
      </c>
      <c r="M650" s="266" t="s">
        <v>428</v>
      </c>
      <c r="N650" s="266" t="s">
        <v>2489</v>
      </c>
      <c r="O650" s="267" t="s">
        <v>2490</v>
      </c>
      <c r="P650" s="268" t="s">
        <v>588</v>
      </c>
      <c r="Q650" s="269">
        <v>1921</v>
      </c>
      <c r="R650" s="269">
        <v>61.053199999999997</v>
      </c>
      <c r="S650" s="270"/>
      <c r="T650" s="182">
        <f>114.734/1921</f>
        <v>5.9726184279021342E-2</v>
      </c>
      <c r="U650" s="182">
        <v>1</v>
      </c>
      <c r="V650" s="408">
        <v>1</v>
      </c>
      <c r="W650" s="357" t="s">
        <v>204</v>
      </c>
      <c r="X650" s="156">
        <v>1680000000</v>
      </c>
      <c r="Y650" s="156">
        <v>1680000000</v>
      </c>
      <c r="Z650" s="418" t="s">
        <v>359</v>
      </c>
      <c r="AA650" s="271"/>
      <c r="AB650" s="168"/>
      <c r="AC650" s="156"/>
      <c r="AD650" s="156"/>
      <c r="AE650" s="320"/>
      <c r="AF650" s="168"/>
      <c r="AG650" s="156"/>
      <c r="AH650" s="156"/>
      <c r="AI650" s="410"/>
    </row>
    <row r="651" spans="1:35" ht="19.5" hidden="1" customHeight="1">
      <c r="A651" s="137"/>
      <c r="B651" s="197">
        <f t="shared" ref="B651:B714" si="13">ROW()-10</f>
        <v>641</v>
      </c>
      <c r="C651" s="30" t="s">
        <v>202</v>
      </c>
      <c r="D651" s="30" t="s">
        <v>225</v>
      </c>
      <c r="E651" s="234" t="s">
        <v>951</v>
      </c>
      <c r="F651" s="235" t="s">
        <v>1217</v>
      </c>
      <c r="G651" s="284">
        <f>IFERROR(VLOOKUP(E651,Assign!$C$2:$J$142,8,FALSE),)</f>
        <v>0</v>
      </c>
      <c r="H651" s="197" t="s">
        <v>4970</v>
      </c>
      <c r="I651" s="324" t="s">
        <v>4972</v>
      </c>
      <c r="J651" s="237">
        <v>1</v>
      </c>
      <c r="K651" s="237">
        <v>2</v>
      </c>
      <c r="L651" s="265" t="s">
        <v>224</v>
      </c>
      <c r="M651" s="266" t="s">
        <v>428</v>
      </c>
      <c r="N651" s="266" t="s">
        <v>2489</v>
      </c>
      <c r="O651" s="267" t="s">
        <v>2491</v>
      </c>
      <c r="P651" s="268" t="s">
        <v>588</v>
      </c>
      <c r="Q651" s="269">
        <v>1921</v>
      </c>
      <c r="R651" s="269">
        <v>61.053199999999997</v>
      </c>
      <c r="S651" s="270"/>
      <c r="T651" s="182">
        <f>114.734/1921</f>
        <v>5.9726184279021342E-2</v>
      </c>
      <c r="U651" s="182">
        <v>1</v>
      </c>
      <c r="V651" s="408">
        <v>1</v>
      </c>
      <c r="W651" s="357" t="s">
        <v>204</v>
      </c>
      <c r="X651" s="156">
        <v>1680000000</v>
      </c>
      <c r="Y651" s="156">
        <v>1680000000</v>
      </c>
      <c r="Z651" s="418" t="s">
        <v>359</v>
      </c>
      <c r="AA651" s="271"/>
      <c r="AB651" s="168"/>
      <c r="AC651" s="156"/>
      <c r="AD651" s="156"/>
      <c r="AE651" s="320"/>
      <c r="AF651" s="168"/>
      <c r="AG651" s="156"/>
      <c r="AH651" s="156"/>
      <c r="AI651" s="410"/>
    </row>
    <row r="652" spans="1:35" ht="19.5" hidden="1" customHeight="1">
      <c r="A652" s="137"/>
      <c r="B652" s="197">
        <f t="shared" si="13"/>
        <v>642</v>
      </c>
      <c r="C652" s="30" t="s">
        <v>202</v>
      </c>
      <c r="D652" s="30" t="s">
        <v>225</v>
      </c>
      <c r="E652" s="234" t="s">
        <v>951</v>
      </c>
      <c r="F652" s="235" t="s">
        <v>1217</v>
      </c>
      <c r="G652" s="284">
        <f>IFERROR(VLOOKUP(E652,Assign!$C$2:$J$142,8,FALSE),)</f>
        <v>0</v>
      </c>
      <c r="H652" s="197" t="s">
        <v>4970</v>
      </c>
      <c r="I652" s="324" t="s">
        <v>4973</v>
      </c>
      <c r="J652" s="237">
        <v>1</v>
      </c>
      <c r="K652" s="237">
        <v>3</v>
      </c>
      <c r="L652" s="265" t="s">
        <v>224</v>
      </c>
      <c r="M652" s="266" t="s">
        <v>428</v>
      </c>
      <c r="N652" s="266" t="s">
        <v>2489</v>
      </c>
      <c r="O652" s="267" t="s">
        <v>2492</v>
      </c>
      <c r="P652" s="268" t="s">
        <v>588</v>
      </c>
      <c r="Q652" s="269">
        <v>1921</v>
      </c>
      <c r="R652" s="269">
        <v>61.053199999999997</v>
      </c>
      <c r="S652" s="270"/>
      <c r="T652" s="182">
        <f>114.734/1921</f>
        <v>5.9726184279021342E-2</v>
      </c>
      <c r="U652" s="182">
        <v>1</v>
      </c>
      <c r="V652" s="408">
        <v>1</v>
      </c>
      <c r="W652" s="357" t="s">
        <v>204</v>
      </c>
      <c r="X652" s="156">
        <v>1680000000</v>
      </c>
      <c r="Y652" s="156">
        <v>1680000000</v>
      </c>
      <c r="Z652" s="418" t="s">
        <v>359</v>
      </c>
      <c r="AA652" s="271"/>
      <c r="AB652" s="168"/>
      <c r="AC652" s="156"/>
      <c r="AD652" s="156"/>
      <c r="AE652" s="320"/>
      <c r="AF652" s="168"/>
      <c r="AG652" s="156"/>
      <c r="AH652" s="156"/>
      <c r="AI652" s="410"/>
    </row>
    <row r="653" spans="1:35" ht="19.5" hidden="1" customHeight="1">
      <c r="A653" s="137"/>
      <c r="B653" s="197">
        <f t="shared" si="13"/>
        <v>643</v>
      </c>
      <c r="C653" s="30" t="s">
        <v>202</v>
      </c>
      <c r="D653" s="30" t="s">
        <v>225</v>
      </c>
      <c r="E653" s="234" t="s">
        <v>951</v>
      </c>
      <c r="F653" s="235" t="s">
        <v>1217</v>
      </c>
      <c r="G653" s="284">
        <f>IFERROR(VLOOKUP(E653,Assign!$C$2:$J$142,8,FALSE),)</f>
        <v>0</v>
      </c>
      <c r="H653" s="197" t="s">
        <v>4970</v>
      </c>
      <c r="I653" s="324" t="s">
        <v>4974</v>
      </c>
      <c r="J653" s="237">
        <v>1</v>
      </c>
      <c r="K653" s="237">
        <v>4</v>
      </c>
      <c r="L653" s="265" t="s">
        <v>224</v>
      </c>
      <c r="M653" s="266" t="s">
        <v>428</v>
      </c>
      <c r="N653" s="266" t="s">
        <v>2489</v>
      </c>
      <c r="O653" s="267" t="s">
        <v>2493</v>
      </c>
      <c r="P653" s="268" t="s">
        <v>588</v>
      </c>
      <c r="Q653" s="269">
        <v>1921</v>
      </c>
      <c r="R653" s="269">
        <v>61.053199999999997</v>
      </c>
      <c r="S653" s="270"/>
      <c r="T653" s="182">
        <f>114.734/1921</f>
        <v>5.9726184279021342E-2</v>
      </c>
      <c r="U653" s="182">
        <v>1</v>
      </c>
      <c r="V653" s="408">
        <v>1</v>
      </c>
      <c r="W653" s="357" t="s">
        <v>204</v>
      </c>
      <c r="X653" s="156">
        <v>1680000000</v>
      </c>
      <c r="Y653" s="156">
        <v>1680000000</v>
      </c>
      <c r="Z653" s="418" t="s">
        <v>359</v>
      </c>
      <c r="AA653" s="271"/>
      <c r="AB653" s="168"/>
      <c r="AC653" s="156"/>
      <c r="AD653" s="156"/>
      <c r="AE653" s="320"/>
      <c r="AF653" s="168"/>
      <c r="AG653" s="156"/>
      <c r="AH653" s="156"/>
      <c r="AI653" s="410"/>
    </row>
    <row r="654" spans="1:35" ht="19.5" hidden="1" customHeight="1">
      <c r="A654" s="137"/>
      <c r="B654" s="197">
        <f t="shared" si="13"/>
        <v>644</v>
      </c>
      <c r="C654" s="30" t="s">
        <v>202</v>
      </c>
      <c r="D654" s="30" t="s">
        <v>225</v>
      </c>
      <c r="E654" s="234" t="s">
        <v>951</v>
      </c>
      <c r="F654" s="235" t="s">
        <v>1217</v>
      </c>
      <c r="G654" s="284">
        <f>IFERROR(VLOOKUP(E654,Assign!$C$2:$J$142,8,FALSE),)</f>
        <v>0</v>
      </c>
      <c r="H654" s="197" t="s">
        <v>4970</v>
      </c>
      <c r="I654" s="324" t="s">
        <v>4975</v>
      </c>
      <c r="J654" s="237">
        <v>1</v>
      </c>
      <c r="K654" s="237">
        <v>5</v>
      </c>
      <c r="L654" s="265" t="s">
        <v>224</v>
      </c>
      <c r="M654" s="266" t="s">
        <v>428</v>
      </c>
      <c r="N654" s="266" t="s">
        <v>2489</v>
      </c>
      <c r="O654" s="267" t="s">
        <v>2494</v>
      </c>
      <c r="P654" s="268" t="s">
        <v>588</v>
      </c>
      <c r="Q654" s="269">
        <v>1921</v>
      </c>
      <c r="R654" s="269">
        <v>60.7971</v>
      </c>
      <c r="S654" s="270"/>
      <c r="T654" s="182">
        <f>114.2528/1921</f>
        <v>5.9475689744924516E-2</v>
      </c>
      <c r="U654" s="182">
        <v>1</v>
      </c>
      <c r="V654" s="408">
        <v>1</v>
      </c>
      <c r="W654" s="357" t="s">
        <v>204</v>
      </c>
      <c r="X654" s="156">
        <v>1680000000</v>
      </c>
      <c r="Y654" s="156">
        <v>1680000000</v>
      </c>
      <c r="Z654" s="418" t="s">
        <v>359</v>
      </c>
      <c r="AA654" s="271"/>
      <c r="AB654" s="168"/>
      <c r="AC654" s="156"/>
      <c r="AD654" s="156"/>
      <c r="AE654" s="320"/>
      <c r="AF654" s="168"/>
      <c r="AG654" s="156"/>
      <c r="AH654" s="156"/>
      <c r="AI654" s="410"/>
    </row>
    <row r="655" spans="1:35" ht="19.5" hidden="1" customHeight="1">
      <c r="A655" s="137"/>
      <c r="B655" s="197">
        <f t="shared" si="13"/>
        <v>645</v>
      </c>
      <c r="C655" s="30" t="s">
        <v>202</v>
      </c>
      <c r="D655" s="30" t="s">
        <v>225</v>
      </c>
      <c r="E655" s="234" t="s">
        <v>952</v>
      </c>
      <c r="F655" s="235" t="s">
        <v>1231</v>
      </c>
      <c r="G655" s="284">
        <f>IFERROR(VLOOKUP(E655,Assign!$C$2:$J$142,8,FALSE),)</f>
        <v>0</v>
      </c>
      <c r="H655" s="197" t="s">
        <v>4330</v>
      </c>
      <c r="I655" s="324" t="s">
        <v>4331</v>
      </c>
      <c r="J655" s="237">
        <v>1</v>
      </c>
      <c r="K655" s="237">
        <v>1</v>
      </c>
      <c r="L655" s="265" t="s">
        <v>209</v>
      </c>
      <c r="M655" s="266" t="s">
        <v>248</v>
      </c>
      <c r="N655" s="266" t="s">
        <v>1892</v>
      </c>
      <c r="O655" s="267" t="s">
        <v>1893</v>
      </c>
      <c r="P655" s="268" t="s">
        <v>1894</v>
      </c>
      <c r="Q655" s="269">
        <v>23620.1</v>
      </c>
      <c r="R655" s="269">
        <v>176.03399999999999</v>
      </c>
      <c r="S655" s="270"/>
      <c r="T655" s="182">
        <f>26.98/23620.1</f>
        <v>1.1422474926016401E-3</v>
      </c>
      <c r="U655" s="182">
        <v>1</v>
      </c>
      <c r="V655" s="408" t="s">
        <v>268</v>
      </c>
      <c r="W655" s="357" t="s">
        <v>204</v>
      </c>
      <c r="X655" s="156">
        <v>1251600000</v>
      </c>
      <c r="Y655" s="156">
        <v>1251600000</v>
      </c>
      <c r="Z655" s="418" t="s">
        <v>359</v>
      </c>
      <c r="AA655" s="271"/>
      <c r="AB655" s="168"/>
      <c r="AC655" s="156"/>
      <c r="AD655" s="156"/>
      <c r="AE655" s="320"/>
      <c r="AF655" s="168"/>
      <c r="AG655" s="156"/>
      <c r="AH655" s="156"/>
      <c r="AI655" s="410"/>
    </row>
    <row r="656" spans="1:35" ht="19.5" customHeight="1">
      <c r="A656" s="137"/>
      <c r="B656" s="197">
        <f t="shared" si="13"/>
        <v>646</v>
      </c>
      <c r="C656" s="30" t="s">
        <v>202</v>
      </c>
      <c r="D656" s="30" t="s">
        <v>225</v>
      </c>
      <c r="E656" s="234" t="s">
        <v>954</v>
      </c>
      <c r="F656" s="235" t="s">
        <v>1346</v>
      </c>
      <c r="G656" s="284" t="str">
        <f>IFERROR(VLOOKUP(E656,Assign!$C$2:$J$142,8,FALSE),)</f>
        <v>문선영</v>
      </c>
      <c r="H656" s="197" t="s">
        <v>5022</v>
      </c>
      <c r="I656" s="324" t="s">
        <v>5023</v>
      </c>
      <c r="J656" s="237">
        <v>1</v>
      </c>
      <c r="K656" s="237">
        <v>1</v>
      </c>
      <c r="L656" s="265" t="s">
        <v>208</v>
      </c>
      <c r="M656" s="266" t="s">
        <v>242</v>
      </c>
      <c r="N656" s="266" t="s">
        <v>2542</v>
      </c>
      <c r="O656" s="267" t="s">
        <v>2543</v>
      </c>
      <c r="P656" s="268" t="s">
        <v>3508</v>
      </c>
      <c r="Q656" s="269">
        <v>76736.899999999994</v>
      </c>
      <c r="R656" s="269">
        <v>84.93</v>
      </c>
      <c r="S656" s="270"/>
      <c r="T656" s="182">
        <f>52.979/76736.9</f>
        <v>6.903979702072928E-4</v>
      </c>
      <c r="U656" s="182">
        <v>1</v>
      </c>
      <c r="V656" s="408">
        <v>3</v>
      </c>
      <c r="W656" s="357" t="s">
        <v>1</v>
      </c>
      <c r="X656" s="156">
        <v>84000</v>
      </c>
      <c r="Y656" s="156">
        <v>119834399.99999999</v>
      </c>
      <c r="Z656" s="418" t="s">
        <v>359</v>
      </c>
      <c r="AA656" s="271" t="s">
        <v>229</v>
      </c>
      <c r="AB656" s="168" t="s">
        <v>3070</v>
      </c>
      <c r="AC656" s="156" t="s">
        <v>3382</v>
      </c>
      <c r="AD656" s="156">
        <v>1302384000</v>
      </c>
      <c r="AE656" s="320"/>
      <c r="AF656" s="168"/>
      <c r="AG656" s="156"/>
      <c r="AH656" s="156"/>
      <c r="AI656" s="410"/>
    </row>
    <row r="657" spans="1:35" ht="19.5" customHeight="1">
      <c r="A657" s="137"/>
      <c r="B657" s="197">
        <f t="shared" si="13"/>
        <v>647</v>
      </c>
      <c r="C657" s="30" t="s">
        <v>202</v>
      </c>
      <c r="D657" s="30" t="s">
        <v>225</v>
      </c>
      <c r="E657" s="234" t="s">
        <v>954</v>
      </c>
      <c r="F657" s="235" t="s">
        <v>1346</v>
      </c>
      <c r="G657" s="284" t="str">
        <f>IFERROR(VLOOKUP(E657,Assign!$C$2:$J$142,8,FALSE),)</f>
        <v>문선영</v>
      </c>
      <c r="H657" s="197" t="s">
        <v>5024</v>
      </c>
      <c r="I657" s="324" t="s">
        <v>5025</v>
      </c>
      <c r="J657" s="237">
        <v>2</v>
      </c>
      <c r="K657" s="237">
        <v>1</v>
      </c>
      <c r="L657" s="265" t="s">
        <v>208</v>
      </c>
      <c r="M657" s="266" t="s">
        <v>242</v>
      </c>
      <c r="N657" s="266" t="s">
        <v>351</v>
      </c>
      <c r="O657" s="267" t="s">
        <v>2544</v>
      </c>
      <c r="P657" s="268" t="s">
        <v>2545</v>
      </c>
      <c r="Q657" s="269">
        <f>1233.9+1241.1+1199.6+1200</f>
        <v>4874.6000000000004</v>
      </c>
      <c r="R657" s="269">
        <v>185.66</v>
      </c>
      <c r="S657" s="270"/>
      <c r="T657" s="182">
        <f>44.73/4874.6</f>
        <v>9.1761375292331668E-3</v>
      </c>
      <c r="U657" s="182">
        <v>1</v>
      </c>
      <c r="V657" s="408">
        <v>3</v>
      </c>
      <c r="W657" s="357" t="s">
        <v>1</v>
      </c>
      <c r="X657" s="156">
        <v>84000</v>
      </c>
      <c r="Y657" s="156">
        <v>119834399.99999999</v>
      </c>
      <c r="Z657" s="418" t="s">
        <v>359</v>
      </c>
      <c r="AA657" s="271" t="s">
        <v>229</v>
      </c>
      <c r="AB657" s="168" t="s">
        <v>3070</v>
      </c>
      <c r="AC657" s="156" t="s">
        <v>3382</v>
      </c>
      <c r="AD657" s="156">
        <v>1302384000</v>
      </c>
      <c r="AE657" s="320"/>
      <c r="AF657" s="168"/>
      <c r="AG657" s="156"/>
      <c r="AH657" s="156"/>
      <c r="AI657" s="410"/>
    </row>
    <row r="658" spans="1:35" ht="19.5" customHeight="1">
      <c r="A658" s="137"/>
      <c r="B658" s="197">
        <f t="shared" si="13"/>
        <v>648</v>
      </c>
      <c r="C658" s="30" t="s">
        <v>202</v>
      </c>
      <c r="D658" s="30" t="s">
        <v>225</v>
      </c>
      <c r="E658" s="234" t="s">
        <v>955</v>
      </c>
      <c r="F658" s="235" t="s">
        <v>1347</v>
      </c>
      <c r="G658" s="284" t="str">
        <f>IFERROR(VLOOKUP(E658,Assign!$C$2:$J$142,8,FALSE),)</f>
        <v>문선영</v>
      </c>
      <c r="H658" s="197" t="s">
        <v>5562</v>
      </c>
      <c r="I658" s="486" t="s">
        <v>5563</v>
      </c>
      <c r="J658" s="237">
        <v>1</v>
      </c>
      <c r="K658" s="237">
        <v>1</v>
      </c>
      <c r="L658" s="265" t="s">
        <v>208</v>
      </c>
      <c r="M658" s="266" t="s">
        <v>250</v>
      </c>
      <c r="N658" s="266" t="s">
        <v>3030</v>
      </c>
      <c r="O658" s="267" t="s">
        <v>3031</v>
      </c>
      <c r="P658" s="268" t="s">
        <v>588</v>
      </c>
      <c r="Q658" s="269">
        <v>219</v>
      </c>
      <c r="R658" s="269">
        <v>27.27</v>
      </c>
      <c r="S658" s="270"/>
      <c r="T658" s="182" t="s">
        <v>273</v>
      </c>
      <c r="U658" s="182">
        <v>1</v>
      </c>
      <c r="V658" s="408">
        <v>2</v>
      </c>
      <c r="W658" s="357" t="s">
        <v>204</v>
      </c>
      <c r="X658" s="156">
        <v>1248000000</v>
      </c>
      <c r="Y658" s="156">
        <v>1248000000</v>
      </c>
      <c r="Z658" s="418" t="s">
        <v>359</v>
      </c>
      <c r="AA658" s="271">
        <v>1</v>
      </c>
      <c r="AB658" s="168" t="s">
        <v>204</v>
      </c>
      <c r="AC658" s="156">
        <v>48000000</v>
      </c>
      <c r="AD658" s="156">
        <v>48000000</v>
      </c>
      <c r="AE658" s="320"/>
      <c r="AF658" s="168"/>
      <c r="AG658" s="156"/>
      <c r="AH658" s="156"/>
      <c r="AI658" s="410"/>
    </row>
    <row r="659" spans="1:35" ht="19.5" customHeight="1">
      <c r="A659" s="137"/>
      <c r="B659" s="197">
        <f t="shared" si="13"/>
        <v>649</v>
      </c>
      <c r="C659" s="30" t="s">
        <v>202</v>
      </c>
      <c r="D659" s="30" t="s">
        <v>225</v>
      </c>
      <c r="E659" s="234" t="s">
        <v>955</v>
      </c>
      <c r="F659" s="235" t="s">
        <v>1347</v>
      </c>
      <c r="G659" s="284" t="str">
        <f>IFERROR(VLOOKUP(E659,Assign!$C$2:$J$142,8,FALSE),)</f>
        <v>문선영</v>
      </c>
      <c r="H659" s="197" t="s">
        <v>5562</v>
      </c>
      <c r="I659" s="324" t="s">
        <v>5564</v>
      </c>
      <c r="J659" s="237">
        <v>1</v>
      </c>
      <c r="K659" s="237">
        <v>2</v>
      </c>
      <c r="L659" s="265" t="s">
        <v>208</v>
      </c>
      <c r="M659" s="266" t="s">
        <v>250</v>
      </c>
      <c r="N659" s="266" t="s">
        <v>3030</v>
      </c>
      <c r="O659" s="267" t="s">
        <v>3032</v>
      </c>
      <c r="P659" s="268" t="s">
        <v>588</v>
      </c>
      <c r="Q659" s="269">
        <v>219</v>
      </c>
      <c r="R659" s="269">
        <v>23.57</v>
      </c>
      <c r="S659" s="270"/>
      <c r="T659" s="182" t="s">
        <v>273</v>
      </c>
      <c r="U659" s="182">
        <v>1</v>
      </c>
      <c r="V659" s="408">
        <v>2</v>
      </c>
      <c r="W659" s="357" t="s">
        <v>204</v>
      </c>
      <c r="X659" s="156">
        <v>1248000000</v>
      </c>
      <c r="Y659" s="156">
        <v>1248000000</v>
      </c>
      <c r="Z659" s="418" t="s">
        <v>359</v>
      </c>
      <c r="AA659" s="271">
        <v>1</v>
      </c>
      <c r="AB659" s="168" t="s">
        <v>204</v>
      </c>
      <c r="AC659" s="156">
        <v>48000000</v>
      </c>
      <c r="AD659" s="156">
        <v>48000000</v>
      </c>
      <c r="AE659" s="320"/>
      <c r="AF659" s="168"/>
      <c r="AG659" s="156"/>
      <c r="AH659" s="156"/>
      <c r="AI659" s="410"/>
    </row>
    <row r="660" spans="1:35" ht="19.5" customHeight="1">
      <c r="A660" s="137"/>
      <c r="B660" s="197">
        <f t="shared" si="13"/>
        <v>650</v>
      </c>
      <c r="C660" s="30" t="s">
        <v>202</v>
      </c>
      <c r="D660" s="30" t="s">
        <v>225</v>
      </c>
      <c r="E660" s="234" t="s">
        <v>955</v>
      </c>
      <c r="F660" s="235" t="s">
        <v>1347</v>
      </c>
      <c r="G660" s="284" t="str">
        <f>IFERROR(VLOOKUP(E660,Assign!$C$2:$J$142,8,FALSE),)</f>
        <v>문선영</v>
      </c>
      <c r="H660" s="197" t="s">
        <v>5562</v>
      </c>
      <c r="I660" s="324" t="s">
        <v>5565</v>
      </c>
      <c r="J660" s="237">
        <v>1</v>
      </c>
      <c r="K660" s="237">
        <v>3</v>
      </c>
      <c r="L660" s="265" t="s">
        <v>208</v>
      </c>
      <c r="M660" s="266" t="s">
        <v>250</v>
      </c>
      <c r="N660" s="266" t="s">
        <v>3030</v>
      </c>
      <c r="O660" s="267" t="s">
        <v>3033</v>
      </c>
      <c r="P660" s="268" t="s">
        <v>588</v>
      </c>
      <c r="Q660" s="269">
        <v>219</v>
      </c>
      <c r="R660" s="269">
        <v>23.57</v>
      </c>
      <c r="S660" s="270"/>
      <c r="T660" s="182" t="s">
        <v>273</v>
      </c>
      <c r="U660" s="182">
        <v>1</v>
      </c>
      <c r="V660" s="408">
        <v>2</v>
      </c>
      <c r="W660" s="357" t="s">
        <v>204</v>
      </c>
      <c r="X660" s="156">
        <v>1248000000</v>
      </c>
      <c r="Y660" s="156">
        <v>1248000000</v>
      </c>
      <c r="Z660" s="418" t="s">
        <v>359</v>
      </c>
      <c r="AA660" s="271">
        <v>1</v>
      </c>
      <c r="AB660" s="168" t="s">
        <v>204</v>
      </c>
      <c r="AC660" s="156">
        <v>48000000</v>
      </c>
      <c r="AD660" s="156">
        <v>48000000</v>
      </c>
      <c r="AE660" s="320"/>
      <c r="AF660" s="168"/>
      <c r="AG660" s="156"/>
      <c r="AH660" s="156"/>
      <c r="AI660" s="410"/>
    </row>
    <row r="661" spans="1:35" ht="19.5" customHeight="1">
      <c r="A661" s="137"/>
      <c r="B661" s="197">
        <f t="shared" si="13"/>
        <v>651</v>
      </c>
      <c r="C661" s="30" t="s">
        <v>202</v>
      </c>
      <c r="D661" s="30" t="s">
        <v>225</v>
      </c>
      <c r="E661" s="234" t="s">
        <v>955</v>
      </c>
      <c r="F661" s="235" t="s">
        <v>1347</v>
      </c>
      <c r="G661" s="284" t="str">
        <f>IFERROR(VLOOKUP(E661,Assign!$C$2:$J$142,8,FALSE),)</f>
        <v>문선영</v>
      </c>
      <c r="H661" s="197" t="s">
        <v>5562</v>
      </c>
      <c r="I661" s="324" t="s">
        <v>5566</v>
      </c>
      <c r="J661" s="237">
        <v>1</v>
      </c>
      <c r="K661" s="237">
        <v>4</v>
      </c>
      <c r="L661" s="265" t="s">
        <v>208</v>
      </c>
      <c r="M661" s="266" t="s">
        <v>250</v>
      </c>
      <c r="N661" s="266" t="s">
        <v>3030</v>
      </c>
      <c r="O661" s="267" t="s">
        <v>3034</v>
      </c>
      <c r="P661" s="268" t="s">
        <v>588</v>
      </c>
      <c r="Q661" s="269">
        <v>219</v>
      </c>
      <c r="R661" s="269">
        <v>27.27</v>
      </c>
      <c r="S661" s="270"/>
      <c r="T661" s="182" t="s">
        <v>273</v>
      </c>
      <c r="U661" s="182">
        <v>1</v>
      </c>
      <c r="V661" s="408">
        <v>2</v>
      </c>
      <c r="W661" s="357" t="s">
        <v>204</v>
      </c>
      <c r="X661" s="156">
        <v>1248000000</v>
      </c>
      <c r="Y661" s="156">
        <v>1248000000</v>
      </c>
      <c r="Z661" s="418" t="s">
        <v>359</v>
      </c>
      <c r="AA661" s="271">
        <v>1</v>
      </c>
      <c r="AB661" s="168" t="s">
        <v>204</v>
      </c>
      <c r="AC661" s="156">
        <v>48000000</v>
      </c>
      <c r="AD661" s="156">
        <v>48000000</v>
      </c>
      <c r="AE661" s="320"/>
      <c r="AF661" s="168"/>
      <c r="AG661" s="156"/>
      <c r="AH661" s="156"/>
      <c r="AI661" s="410"/>
    </row>
    <row r="662" spans="1:35" ht="19.5" customHeight="1">
      <c r="A662" s="137"/>
      <c r="B662" s="197">
        <f t="shared" si="13"/>
        <v>652</v>
      </c>
      <c r="C662" s="30" t="s">
        <v>202</v>
      </c>
      <c r="D662" s="30" t="s">
        <v>225</v>
      </c>
      <c r="E662" s="234" t="s">
        <v>955</v>
      </c>
      <c r="F662" s="235" t="s">
        <v>1347</v>
      </c>
      <c r="G662" s="284" t="str">
        <f>IFERROR(VLOOKUP(E662,Assign!$C$2:$J$142,8,FALSE),)</f>
        <v>문선영</v>
      </c>
      <c r="H662" s="197" t="s">
        <v>5562</v>
      </c>
      <c r="I662" s="324" t="s">
        <v>5567</v>
      </c>
      <c r="J662" s="237">
        <v>1</v>
      </c>
      <c r="K662" s="237">
        <v>5</v>
      </c>
      <c r="L662" s="265" t="s">
        <v>208</v>
      </c>
      <c r="M662" s="266" t="s">
        <v>250</v>
      </c>
      <c r="N662" s="266" t="s">
        <v>3030</v>
      </c>
      <c r="O662" s="267" t="s">
        <v>3035</v>
      </c>
      <c r="P662" s="268" t="s">
        <v>588</v>
      </c>
      <c r="Q662" s="269">
        <v>219</v>
      </c>
      <c r="R662" s="269">
        <v>23.57</v>
      </c>
      <c r="S662" s="270"/>
      <c r="T662" s="182" t="s">
        <v>273</v>
      </c>
      <c r="U662" s="182">
        <v>1</v>
      </c>
      <c r="V662" s="408">
        <v>2</v>
      </c>
      <c r="W662" s="357" t="s">
        <v>204</v>
      </c>
      <c r="X662" s="156">
        <v>1248000000</v>
      </c>
      <c r="Y662" s="156">
        <v>1248000000</v>
      </c>
      <c r="Z662" s="418" t="s">
        <v>359</v>
      </c>
      <c r="AA662" s="271">
        <v>1</v>
      </c>
      <c r="AB662" s="168" t="s">
        <v>204</v>
      </c>
      <c r="AC662" s="156">
        <v>48000000</v>
      </c>
      <c r="AD662" s="156">
        <v>48000000</v>
      </c>
      <c r="AE662" s="320"/>
      <c r="AF662" s="168"/>
      <c r="AG662" s="156"/>
      <c r="AH662" s="156"/>
      <c r="AI662" s="410"/>
    </row>
    <row r="663" spans="1:35" ht="19.5" customHeight="1">
      <c r="A663" s="137"/>
      <c r="B663" s="197">
        <f t="shared" si="13"/>
        <v>653</v>
      </c>
      <c r="C663" s="30" t="s">
        <v>202</v>
      </c>
      <c r="D663" s="30" t="s">
        <v>225</v>
      </c>
      <c r="E663" s="234" t="s">
        <v>955</v>
      </c>
      <c r="F663" s="235" t="s">
        <v>1347</v>
      </c>
      <c r="G663" s="284" t="str">
        <f>IFERROR(VLOOKUP(E663,Assign!$C$2:$J$142,8,FALSE),)</f>
        <v>문선영</v>
      </c>
      <c r="H663" s="197" t="s">
        <v>5562</v>
      </c>
      <c r="I663" s="324" t="s">
        <v>5568</v>
      </c>
      <c r="J663" s="237">
        <v>1</v>
      </c>
      <c r="K663" s="237">
        <v>6</v>
      </c>
      <c r="L663" s="265" t="s">
        <v>208</v>
      </c>
      <c r="M663" s="266" t="s">
        <v>250</v>
      </c>
      <c r="N663" s="266" t="s">
        <v>3030</v>
      </c>
      <c r="O663" s="267" t="s">
        <v>3036</v>
      </c>
      <c r="P663" s="268" t="s">
        <v>588</v>
      </c>
      <c r="Q663" s="269">
        <v>219</v>
      </c>
      <c r="R663" s="269">
        <v>23.57</v>
      </c>
      <c r="S663" s="270"/>
      <c r="T663" s="182" t="s">
        <v>273</v>
      </c>
      <c r="U663" s="182">
        <v>1</v>
      </c>
      <c r="V663" s="408">
        <v>2</v>
      </c>
      <c r="W663" s="357" t="s">
        <v>204</v>
      </c>
      <c r="X663" s="156">
        <v>1248000000</v>
      </c>
      <c r="Y663" s="156">
        <v>1248000000</v>
      </c>
      <c r="Z663" s="418" t="s">
        <v>359</v>
      </c>
      <c r="AA663" s="271">
        <v>1</v>
      </c>
      <c r="AB663" s="168" t="s">
        <v>204</v>
      </c>
      <c r="AC663" s="156">
        <v>48000000</v>
      </c>
      <c r="AD663" s="156">
        <v>48000000</v>
      </c>
      <c r="AE663" s="320"/>
      <c r="AF663" s="168"/>
      <c r="AG663" s="156"/>
      <c r="AH663" s="156"/>
      <c r="AI663" s="410"/>
    </row>
    <row r="664" spans="1:35" ht="19.5" customHeight="1">
      <c r="A664" s="137"/>
      <c r="B664" s="197">
        <f t="shared" si="13"/>
        <v>654</v>
      </c>
      <c r="C664" s="30" t="s">
        <v>202</v>
      </c>
      <c r="D664" s="30" t="s">
        <v>225</v>
      </c>
      <c r="E664" s="234" t="s">
        <v>955</v>
      </c>
      <c r="F664" s="235" t="s">
        <v>1347</v>
      </c>
      <c r="G664" s="284" t="str">
        <f>IFERROR(VLOOKUP(E664,Assign!$C$2:$J$142,8,FALSE),)</f>
        <v>문선영</v>
      </c>
      <c r="H664" s="197" t="s">
        <v>5562</v>
      </c>
      <c r="I664" s="324" t="s">
        <v>5569</v>
      </c>
      <c r="J664" s="237">
        <v>1</v>
      </c>
      <c r="K664" s="237">
        <v>7</v>
      </c>
      <c r="L664" s="265" t="s">
        <v>208</v>
      </c>
      <c r="M664" s="266" t="s">
        <v>250</v>
      </c>
      <c r="N664" s="266" t="s">
        <v>3030</v>
      </c>
      <c r="O664" s="267" t="s">
        <v>3037</v>
      </c>
      <c r="P664" s="268" t="s">
        <v>588</v>
      </c>
      <c r="Q664" s="269">
        <v>219</v>
      </c>
      <c r="R664" s="269">
        <v>52.55</v>
      </c>
      <c r="S664" s="270"/>
      <c r="T664" s="182" t="s">
        <v>273</v>
      </c>
      <c r="U664" s="182">
        <v>1</v>
      </c>
      <c r="V664" s="408">
        <v>2</v>
      </c>
      <c r="W664" s="357" t="s">
        <v>204</v>
      </c>
      <c r="X664" s="156">
        <v>1248000000</v>
      </c>
      <c r="Y664" s="156">
        <v>1248000000</v>
      </c>
      <c r="Z664" s="418" t="s">
        <v>359</v>
      </c>
      <c r="AA664" s="271">
        <v>1</v>
      </c>
      <c r="AB664" s="168" t="s">
        <v>204</v>
      </c>
      <c r="AC664" s="156">
        <v>48000000</v>
      </c>
      <c r="AD664" s="156">
        <v>48000000</v>
      </c>
      <c r="AE664" s="320"/>
      <c r="AF664" s="168"/>
      <c r="AG664" s="156"/>
      <c r="AH664" s="156"/>
      <c r="AI664" s="410"/>
    </row>
    <row r="665" spans="1:35" ht="19.5" customHeight="1">
      <c r="A665" s="137"/>
      <c r="B665" s="197">
        <f t="shared" si="13"/>
        <v>655</v>
      </c>
      <c r="C665" s="30" t="s">
        <v>202</v>
      </c>
      <c r="D665" s="30" t="s">
        <v>225</v>
      </c>
      <c r="E665" s="234" t="s">
        <v>955</v>
      </c>
      <c r="F665" s="235" t="s">
        <v>1347</v>
      </c>
      <c r="G665" s="284" t="str">
        <f>IFERROR(VLOOKUP(E665,Assign!$C$2:$J$142,8,FALSE),)</f>
        <v>문선영</v>
      </c>
      <c r="H665" s="197" t="s">
        <v>5562</v>
      </c>
      <c r="I665" s="324" t="s">
        <v>5570</v>
      </c>
      <c r="J665" s="237">
        <v>1</v>
      </c>
      <c r="K665" s="237">
        <v>8</v>
      </c>
      <c r="L665" s="265" t="s">
        <v>208</v>
      </c>
      <c r="M665" s="266" t="s">
        <v>250</v>
      </c>
      <c r="N665" s="266" t="s">
        <v>3030</v>
      </c>
      <c r="O665" s="267" t="s">
        <v>3060</v>
      </c>
      <c r="P665" s="268" t="s">
        <v>450</v>
      </c>
      <c r="Q665" s="269">
        <v>219</v>
      </c>
      <c r="R665" s="269"/>
      <c r="S665" s="270"/>
      <c r="T665" s="182"/>
      <c r="U665" s="182">
        <v>1</v>
      </c>
      <c r="V665" s="408">
        <v>2</v>
      </c>
      <c r="W665" s="357" t="s">
        <v>204</v>
      </c>
      <c r="X665" s="156">
        <v>1248000000</v>
      </c>
      <c r="Y665" s="156">
        <v>1248000000</v>
      </c>
      <c r="Z665" s="418" t="s">
        <v>359</v>
      </c>
      <c r="AA665" s="271">
        <v>1</v>
      </c>
      <c r="AB665" s="168" t="s">
        <v>204</v>
      </c>
      <c r="AC665" s="156">
        <v>48000000</v>
      </c>
      <c r="AD665" s="156">
        <v>48000000</v>
      </c>
      <c r="AE665" s="320"/>
      <c r="AF665" s="168"/>
      <c r="AG665" s="156"/>
      <c r="AH665" s="156"/>
      <c r="AI665" s="410"/>
    </row>
    <row r="666" spans="1:35" ht="19.5" customHeight="1">
      <c r="A666" s="137"/>
      <c r="B666" s="197">
        <f t="shared" si="13"/>
        <v>656</v>
      </c>
      <c r="C666" s="30" t="s">
        <v>202</v>
      </c>
      <c r="D666" s="30" t="s">
        <v>225</v>
      </c>
      <c r="E666" s="234" t="s">
        <v>955</v>
      </c>
      <c r="F666" s="235" t="s">
        <v>1347</v>
      </c>
      <c r="G666" s="284" t="str">
        <f>IFERROR(VLOOKUP(E666,Assign!$C$2:$J$142,8,FALSE),)</f>
        <v>문선영</v>
      </c>
      <c r="H666" s="197" t="s">
        <v>5571</v>
      </c>
      <c r="I666" s="324" t="s">
        <v>5572</v>
      </c>
      <c r="J666" s="237">
        <v>2</v>
      </c>
      <c r="K666" s="237">
        <v>1</v>
      </c>
      <c r="L666" s="265" t="s">
        <v>208</v>
      </c>
      <c r="M666" s="266" t="s">
        <v>250</v>
      </c>
      <c r="N666" s="266" t="s">
        <v>3030</v>
      </c>
      <c r="O666" s="267" t="s">
        <v>3038</v>
      </c>
      <c r="P666" s="268" t="s">
        <v>2205</v>
      </c>
      <c r="Q666" s="269"/>
      <c r="R666" s="269">
        <f>14.25+94.19+94.19+56.49</f>
        <v>259.12</v>
      </c>
      <c r="S666" s="270"/>
      <c r="T666" s="182"/>
      <c r="U666" s="182">
        <v>1</v>
      </c>
      <c r="V666" s="408">
        <v>2</v>
      </c>
      <c r="W666" s="357" t="s">
        <v>204</v>
      </c>
      <c r="X666" s="156">
        <v>1248000000</v>
      </c>
      <c r="Y666" s="156">
        <v>1248000000</v>
      </c>
      <c r="Z666" s="418" t="s">
        <v>359</v>
      </c>
      <c r="AA666" s="271">
        <v>1</v>
      </c>
      <c r="AB666" s="168" t="s">
        <v>204</v>
      </c>
      <c r="AC666" s="156">
        <v>48000000</v>
      </c>
      <c r="AD666" s="156">
        <v>48000000</v>
      </c>
      <c r="AE666" s="320"/>
      <c r="AF666" s="168"/>
      <c r="AG666" s="156"/>
      <c r="AH666" s="156"/>
      <c r="AI666" s="410"/>
    </row>
    <row r="667" spans="1:35" ht="19.5" customHeight="1">
      <c r="A667" s="137"/>
      <c r="B667" s="197">
        <f t="shared" si="13"/>
        <v>657</v>
      </c>
      <c r="C667" s="30" t="s">
        <v>202</v>
      </c>
      <c r="D667" s="30" t="s">
        <v>225</v>
      </c>
      <c r="E667" s="234" t="s">
        <v>955</v>
      </c>
      <c r="F667" s="235" t="s">
        <v>1347</v>
      </c>
      <c r="G667" s="284" t="str">
        <f>IFERROR(VLOOKUP(E667,Assign!$C$2:$J$142,8,FALSE),)</f>
        <v>문선영</v>
      </c>
      <c r="H667" s="197" t="s">
        <v>5571</v>
      </c>
      <c r="I667" s="324" t="s">
        <v>5573</v>
      </c>
      <c r="J667" s="237">
        <v>2</v>
      </c>
      <c r="K667" s="237">
        <v>2</v>
      </c>
      <c r="L667" s="265" t="s">
        <v>208</v>
      </c>
      <c r="M667" s="266" t="s">
        <v>250</v>
      </c>
      <c r="N667" s="266" t="s">
        <v>3030</v>
      </c>
      <c r="O667" s="267" t="s">
        <v>3039</v>
      </c>
      <c r="P667" s="268" t="s">
        <v>450</v>
      </c>
      <c r="Q667" s="269">
        <v>124</v>
      </c>
      <c r="R667" s="269"/>
      <c r="S667" s="270"/>
      <c r="T667" s="182"/>
      <c r="U667" s="182">
        <v>1</v>
      </c>
      <c r="V667" s="408">
        <v>2</v>
      </c>
      <c r="W667" s="357" t="s">
        <v>204</v>
      </c>
      <c r="X667" s="156">
        <v>1248000000</v>
      </c>
      <c r="Y667" s="156">
        <v>1248000000</v>
      </c>
      <c r="Z667" s="418" t="s">
        <v>359</v>
      </c>
      <c r="AA667" s="271">
        <v>1</v>
      </c>
      <c r="AB667" s="168" t="s">
        <v>204</v>
      </c>
      <c r="AC667" s="156">
        <v>48000000</v>
      </c>
      <c r="AD667" s="156">
        <v>48000000</v>
      </c>
      <c r="AE667" s="320"/>
      <c r="AF667" s="168"/>
      <c r="AG667" s="156"/>
      <c r="AH667" s="156"/>
      <c r="AI667" s="410"/>
    </row>
    <row r="668" spans="1:35" ht="19.5" customHeight="1">
      <c r="A668" s="137"/>
      <c r="B668" s="197">
        <f t="shared" si="13"/>
        <v>658</v>
      </c>
      <c r="C668" s="30" t="s">
        <v>202</v>
      </c>
      <c r="D668" s="30" t="s">
        <v>225</v>
      </c>
      <c r="E668" s="234" t="s">
        <v>955</v>
      </c>
      <c r="F668" s="235" t="s">
        <v>1347</v>
      </c>
      <c r="G668" s="284" t="str">
        <f>IFERROR(VLOOKUP(E668,Assign!$C$2:$J$142,8,FALSE),)</f>
        <v>문선영</v>
      </c>
      <c r="H668" s="197" t="s">
        <v>5571</v>
      </c>
      <c r="I668" s="324" t="s">
        <v>5574</v>
      </c>
      <c r="J668" s="237">
        <v>2</v>
      </c>
      <c r="K668" s="237">
        <v>3</v>
      </c>
      <c r="L668" s="265" t="s">
        <v>208</v>
      </c>
      <c r="M668" s="266" t="s">
        <v>250</v>
      </c>
      <c r="N668" s="266" t="s">
        <v>3030</v>
      </c>
      <c r="O668" s="267" t="s">
        <v>3040</v>
      </c>
      <c r="P668" s="268" t="s">
        <v>450</v>
      </c>
      <c r="Q668" s="269">
        <v>34</v>
      </c>
      <c r="R668" s="269"/>
      <c r="S668" s="270"/>
      <c r="T668" s="182"/>
      <c r="U668" s="182">
        <v>1</v>
      </c>
      <c r="V668" s="408">
        <v>2</v>
      </c>
      <c r="W668" s="357" t="s">
        <v>204</v>
      </c>
      <c r="X668" s="156">
        <v>1248000000</v>
      </c>
      <c r="Y668" s="156">
        <v>1248000000</v>
      </c>
      <c r="Z668" s="418" t="s">
        <v>359</v>
      </c>
      <c r="AA668" s="271">
        <v>1</v>
      </c>
      <c r="AB668" s="168" t="s">
        <v>204</v>
      </c>
      <c r="AC668" s="156">
        <v>48000000</v>
      </c>
      <c r="AD668" s="156">
        <v>48000000</v>
      </c>
      <c r="AE668" s="320"/>
      <c r="AF668" s="168"/>
      <c r="AG668" s="156"/>
      <c r="AH668" s="156"/>
      <c r="AI668" s="410"/>
    </row>
    <row r="669" spans="1:35" ht="19.5" customHeight="1">
      <c r="A669" s="137"/>
      <c r="B669" s="197">
        <f t="shared" si="13"/>
        <v>659</v>
      </c>
      <c r="C669" s="30" t="s">
        <v>202</v>
      </c>
      <c r="D669" s="30" t="s">
        <v>225</v>
      </c>
      <c r="E669" s="234" t="s">
        <v>955</v>
      </c>
      <c r="F669" s="235" t="s">
        <v>1347</v>
      </c>
      <c r="G669" s="284" t="str">
        <f>IFERROR(VLOOKUP(E669,Assign!$C$2:$J$142,8,FALSE),)</f>
        <v>문선영</v>
      </c>
      <c r="H669" s="197" t="s">
        <v>5571</v>
      </c>
      <c r="I669" s="324" t="s">
        <v>5575</v>
      </c>
      <c r="J669" s="237">
        <v>2</v>
      </c>
      <c r="K669" s="237">
        <v>4</v>
      </c>
      <c r="L669" s="265" t="s">
        <v>208</v>
      </c>
      <c r="M669" s="266" t="s">
        <v>250</v>
      </c>
      <c r="N669" s="266" t="s">
        <v>3030</v>
      </c>
      <c r="O669" s="267" t="s">
        <v>3041</v>
      </c>
      <c r="P669" s="268" t="s">
        <v>450</v>
      </c>
      <c r="Q669" s="269">
        <v>5</v>
      </c>
      <c r="R669" s="269"/>
      <c r="S669" s="270"/>
      <c r="T669" s="182"/>
      <c r="U669" s="182">
        <v>1</v>
      </c>
      <c r="V669" s="408">
        <v>2</v>
      </c>
      <c r="W669" s="357" t="s">
        <v>204</v>
      </c>
      <c r="X669" s="156">
        <v>1248000000</v>
      </c>
      <c r="Y669" s="156">
        <v>1248000000</v>
      </c>
      <c r="Z669" s="418" t="s">
        <v>359</v>
      </c>
      <c r="AA669" s="271">
        <v>1</v>
      </c>
      <c r="AB669" s="168" t="s">
        <v>204</v>
      </c>
      <c r="AC669" s="156">
        <v>48000000</v>
      </c>
      <c r="AD669" s="156">
        <v>48000000</v>
      </c>
      <c r="AE669" s="320"/>
      <c r="AF669" s="168"/>
      <c r="AG669" s="156"/>
      <c r="AH669" s="156"/>
      <c r="AI669" s="410"/>
    </row>
    <row r="670" spans="1:35" ht="19.5" customHeight="1">
      <c r="A670" s="137"/>
      <c r="B670" s="197">
        <f t="shared" si="13"/>
        <v>660</v>
      </c>
      <c r="C670" s="30" t="s">
        <v>202</v>
      </c>
      <c r="D670" s="30" t="s">
        <v>225</v>
      </c>
      <c r="E670" s="234" t="s">
        <v>955</v>
      </c>
      <c r="F670" s="235" t="s">
        <v>1347</v>
      </c>
      <c r="G670" s="284" t="str">
        <f>IFERROR(VLOOKUP(E670,Assign!$C$2:$J$142,8,FALSE),)</f>
        <v>문선영</v>
      </c>
      <c r="H670" s="197" t="s">
        <v>5571</v>
      </c>
      <c r="I670" s="324" t="s">
        <v>5576</v>
      </c>
      <c r="J670" s="237">
        <v>2</v>
      </c>
      <c r="K670" s="237">
        <v>5</v>
      </c>
      <c r="L670" s="265" t="s">
        <v>208</v>
      </c>
      <c r="M670" s="266" t="s">
        <v>250</v>
      </c>
      <c r="N670" s="266" t="s">
        <v>3030</v>
      </c>
      <c r="O670" s="267" t="s">
        <v>3042</v>
      </c>
      <c r="P670" s="268" t="s">
        <v>450</v>
      </c>
      <c r="Q670" s="269">
        <v>22</v>
      </c>
      <c r="R670" s="269"/>
      <c r="S670" s="270"/>
      <c r="T670" s="182"/>
      <c r="U670" s="182">
        <v>1</v>
      </c>
      <c r="V670" s="408">
        <v>2</v>
      </c>
      <c r="W670" s="357" t="s">
        <v>204</v>
      </c>
      <c r="X670" s="156">
        <v>1248000000</v>
      </c>
      <c r="Y670" s="156">
        <v>1248000000</v>
      </c>
      <c r="Z670" s="418" t="s">
        <v>359</v>
      </c>
      <c r="AA670" s="271">
        <v>1</v>
      </c>
      <c r="AB670" s="168" t="s">
        <v>204</v>
      </c>
      <c r="AC670" s="156">
        <v>48000000</v>
      </c>
      <c r="AD670" s="156">
        <v>48000000</v>
      </c>
      <c r="AE670" s="320"/>
      <c r="AF670" s="168"/>
      <c r="AG670" s="156"/>
      <c r="AH670" s="156"/>
      <c r="AI670" s="410"/>
    </row>
    <row r="671" spans="1:35" ht="19.5" hidden="1" customHeight="1">
      <c r="A671" s="137"/>
      <c r="B671" s="197">
        <f t="shared" si="13"/>
        <v>661</v>
      </c>
      <c r="C671" s="30" t="s">
        <v>202</v>
      </c>
      <c r="D671" s="30" t="s">
        <v>225</v>
      </c>
      <c r="E671" s="234" t="s">
        <v>956</v>
      </c>
      <c r="F671" s="235" t="s">
        <v>1348</v>
      </c>
      <c r="G671" s="284">
        <f>IFERROR(VLOOKUP(E671,Assign!$C$2:$J$142,8,FALSE),)</f>
        <v>0</v>
      </c>
      <c r="H671" s="197" t="s">
        <v>5355</v>
      </c>
      <c r="I671" s="324" t="s">
        <v>5356</v>
      </c>
      <c r="J671" s="237">
        <v>1</v>
      </c>
      <c r="K671" s="237">
        <v>1</v>
      </c>
      <c r="L671" s="265" t="s">
        <v>209</v>
      </c>
      <c r="M671" s="266" t="s">
        <v>226</v>
      </c>
      <c r="N671" s="266" t="s">
        <v>227</v>
      </c>
      <c r="O671" s="267" t="s">
        <v>2833</v>
      </c>
      <c r="P671" s="268" t="s">
        <v>589</v>
      </c>
      <c r="Q671" s="269">
        <v>4417</v>
      </c>
      <c r="R671" s="269">
        <v>38.07</v>
      </c>
      <c r="S671" s="270"/>
      <c r="T671" s="182">
        <f>9.67/4417</f>
        <v>2.1892687344351371E-3</v>
      </c>
      <c r="U671" s="182">
        <v>1</v>
      </c>
      <c r="V671" s="408">
        <v>1</v>
      </c>
      <c r="W671" s="357" t="s">
        <v>204</v>
      </c>
      <c r="X671" s="156">
        <v>1080000000</v>
      </c>
      <c r="Y671" s="156">
        <v>1080000000</v>
      </c>
      <c r="Z671" s="418" t="s">
        <v>359</v>
      </c>
      <c r="AA671" s="271"/>
      <c r="AB671" s="168"/>
      <c r="AC671" s="156"/>
      <c r="AD671" s="156"/>
      <c r="AE671" s="320"/>
      <c r="AF671" s="168"/>
      <c r="AG671" s="156"/>
      <c r="AH671" s="156"/>
      <c r="AI671" s="410"/>
    </row>
    <row r="672" spans="1:35" ht="19.5" hidden="1" customHeight="1">
      <c r="A672" s="137"/>
      <c r="B672" s="197">
        <f t="shared" si="13"/>
        <v>662</v>
      </c>
      <c r="C672" s="30" t="s">
        <v>202</v>
      </c>
      <c r="D672" s="30" t="s">
        <v>225</v>
      </c>
      <c r="E672" s="234" t="s">
        <v>956</v>
      </c>
      <c r="F672" s="235" t="s">
        <v>1348</v>
      </c>
      <c r="G672" s="284">
        <f>IFERROR(VLOOKUP(E672,Assign!$C$2:$J$142,8,FALSE),)</f>
        <v>0</v>
      </c>
      <c r="H672" s="197" t="s">
        <v>5355</v>
      </c>
      <c r="I672" s="324" t="s">
        <v>5357</v>
      </c>
      <c r="J672" s="237">
        <v>1</v>
      </c>
      <c r="K672" s="237">
        <v>2</v>
      </c>
      <c r="L672" s="265" t="s">
        <v>209</v>
      </c>
      <c r="M672" s="266" t="s">
        <v>226</v>
      </c>
      <c r="N672" s="266" t="s">
        <v>227</v>
      </c>
      <c r="O672" s="267" t="s">
        <v>2834</v>
      </c>
      <c r="P672" s="268" t="s">
        <v>589</v>
      </c>
      <c r="Q672" s="269">
        <v>4417</v>
      </c>
      <c r="R672" s="269">
        <v>38.07</v>
      </c>
      <c r="S672" s="270"/>
      <c r="T672" s="182">
        <f>9.67/4417</f>
        <v>2.1892687344351371E-3</v>
      </c>
      <c r="U672" s="182">
        <v>1</v>
      </c>
      <c r="V672" s="408">
        <v>1</v>
      </c>
      <c r="W672" s="357" t="s">
        <v>204</v>
      </c>
      <c r="X672" s="156">
        <v>1080000000</v>
      </c>
      <c r="Y672" s="156">
        <v>1080000000</v>
      </c>
      <c r="Z672" s="418" t="s">
        <v>359</v>
      </c>
      <c r="AA672" s="271"/>
      <c r="AB672" s="168"/>
      <c r="AC672" s="156"/>
      <c r="AD672" s="156"/>
      <c r="AE672" s="320"/>
      <c r="AF672" s="168"/>
      <c r="AG672" s="156"/>
      <c r="AH672" s="156"/>
      <c r="AI672" s="410"/>
    </row>
    <row r="673" spans="1:35" ht="19.5" hidden="1" customHeight="1">
      <c r="A673" s="137"/>
      <c r="B673" s="197">
        <f t="shared" si="13"/>
        <v>663</v>
      </c>
      <c r="C673" s="30" t="s">
        <v>202</v>
      </c>
      <c r="D673" s="30" t="s">
        <v>225</v>
      </c>
      <c r="E673" s="234" t="s">
        <v>956</v>
      </c>
      <c r="F673" s="235" t="s">
        <v>1348</v>
      </c>
      <c r="G673" s="284">
        <f>IFERROR(VLOOKUP(E673,Assign!$C$2:$J$142,8,FALSE),)</f>
        <v>0</v>
      </c>
      <c r="H673" s="197" t="s">
        <v>5355</v>
      </c>
      <c r="I673" s="324" t="s">
        <v>5358</v>
      </c>
      <c r="J673" s="237">
        <v>1</v>
      </c>
      <c r="K673" s="237">
        <v>3</v>
      </c>
      <c r="L673" s="265" t="s">
        <v>209</v>
      </c>
      <c r="M673" s="266" t="s">
        <v>226</v>
      </c>
      <c r="N673" s="266" t="s">
        <v>227</v>
      </c>
      <c r="O673" s="267" t="s">
        <v>2835</v>
      </c>
      <c r="P673" s="268" t="s">
        <v>589</v>
      </c>
      <c r="Q673" s="269">
        <v>4417</v>
      </c>
      <c r="R673" s="269">
        <v>38.479999999999997</v>
      </c>
      <c r="S673" s="270"/>
      <c r="T673" s="182">
        <f>9.77/4417</f>
        <v>2.2119085352048902E-3</v>
      </c>
      <c r="U673" s="182">
        <v>1</v>
      </c>
      <c r="V673" s="408">
        <v>1</v>
      </c>
      <c r="W673" s="357" t="s">
        <v>204</v>
      </c>
      <c r="X673" s="156">
        <v>1080000000</v>
      </c>
      <c r="Y673" s="156">
        <v>1080000000</v>
      </c>
      <c r="Z673" s="418" t="s">
        <v>359</v>
      </c>
      <c r="AA673" s="271"/>
      <c r="AB673" s="168"/>
      <c r="AC673" s="156"/>
      <c r="AD673" s="156"/>
      <c r="AE673" s="320"/>
      <c r="AF673" s="168"/>
      <c r="AG673" s="156"/>
      <c r="AH673" s="156"/>
      <c r="AI673" s="410"/>
    </row>
    <row r="674" spans="1:35" ht="19.5" hidden="1" customHeight="1">
      <c r="A674" s="137"/>
      <c r="B674" s="197">
        <f t="shared" si="13"/>
        <v>664</v>
      </c>
      <c r="C674" s="30" t="s">
        <v>202</v>
      </c>
      <c r="D674" s="30" t="s">
        <v>225</v>
      </c>
      <c r="E674" s="234" t="s">
        <v>956</v>
      </c>
      <c r="F674" s="235" t="s">
        <v>1348</v>
      </c>
      <c r="G674" s="284">
        <f>IFERROR(VLOOKUP(E674,Assign!$C$2:$J$142,8,FALSE),)</f>
        <v>0</v>
      </c>
      <c r="H674" s="197" t="s">
        <v>5355</v>
      </c>
      <c r="I674" s="324" t="s">
        <v>5359</v>
      </c>
      <c r="J674" s="237">
        <v>1</v>
      </c>
      <c r="K674" s="237">
        <v>4</v>
      </c>
      <c r="L674" s="265" t="s">
        <v>209</v>
      </c>
      <c r="M674" s="266" t="s">
        <v>226</v>
      </c>
      <c r="N674" s="266" t="s">
        <v>227</v>
      </c>
      <c r="O674" s="267" t="s">
        <v>2836</v>
      </c>
      <c r="P674" s="268" t="s">
        <v>589</v>
      </c>
      <c r="Q674" s="269">
        <v>4417</v>
      </c>
      <c r="R674" s="269">
        <v>38.479999999999997</v>
      </c>
      <c r="S674" s="270"/>
      <c r="T674" s="182">
        <f>9.77/4417</f>
        <v>2.2119085352048902E-3</v>
      </c>
      <c r="U674" s="182">
        <v>1</v>
      </c>
      <c r="V674" s="408">
        <v>1</v>
      </c>
      <c r="W674" s="357" t="s">
        <v>204</v>
      </c>
      <c r="X674" s="156">
        <v>1080000000</v>
      </c>
      <c r="Y674" s="156">
        <v>1080000000</v>
      </c>
      <c r="Z674" s="418" t="s">
        <v>359</v>
      </c>
      <c r="AA674" s="271"/>
      <c r="AB674" s="168"/>
      <c r="AC674" s="156"/>
      <c r="AD674" s="156"/>
      <c r="AE674" s="320"/>
      <c r="AF674" s="168"/>
      <c r="AG674" s="156"/>
      <c r="AH674" s="156"/>
      <c r="AI674" s="410"/>
    </row>
    <row r="675" spans="1:35" ht="19.5" hidden="1" customHeight="1">
      <c r="A675" s="137"/>
      <c r="B675" s="197">
        <f t="shared" si="13"/>
        <v>665</v>
      </c>
      <c r="C675" s="30" t="s">
        <v>202</v>
      </c>
      <c r="D675" s="30" t="s">
        <v>225</v>
      </c>
      <c r="E675" s="234" t="s">
        <v>956</v>
      </c>
      <c r="F675" s="235" t="s">
        <v>1348</v>
      </c>
      <c r="G675" s="284">
        <f>IFERROR(VLOOKUP(E675,Assign!$C$2:$J$142,8,FALSE),)</f>
        <v>0</v>
      </c>
      <c r="H675" s="197" t="s">
        <v>5355</v>
      </c>
      <c r="I675" s="324" t="s">
        <v>5360</v>
      </c>
      <c r="J675" s="237">
        <v>1</v>
      </c>
      <c r="K675" s="237">
        <v>5</v>
      </c>
      <c r="L675" s="265" t="s">
        <v>209</v>
      </c>
      <c r="M675" s="266" t="s">
        <v>226</v>
      </c>
      <c r="N675" s="266" t="s">
        <v>227</v>
      </c>
      <c r="O675" s="267" t="s">
        <v>2837</v>
      </c>
      <c r="P675" s="268" t="s">
        <v>589</v>
      </c>
      <c r="Q675" s="269">
        <v>4417</v>
      </c>
      <c r="R675" s="269">
        <v>39.9</v>
      </c>
      <c r="S675" s="270"/>
      <c r="T675" s="182">
        <f>10.13/4417</f>
        <v>2.293411817976002E-3</v>
      </c>
      <c r="U675" s="182">
        <v>1</v>
      </c>
      <c r="V675" s="408">
        <v>1</v>
      </c>
      <c r="W675" s="357" t="s">
        <v>204</v>
      </c>
      <c r="X675" s="156">
        <v>1080000000</v>
      </c>
      <c r="Y675" s="156">
        <v>1080000000</v>
      </c>
      <c r="Z675" s="418" t="s">
        <v>359</v>
      </c>
      <c r="AA675" s="271"/>
      <c r="AB675" s="168"/>
      <c r="AC675" s="156"/>
      <c r="AD675" s="156"/>
      <c r="AE675" s="320"/>
      <c r="AF675" s="168"/>
      <c r="AG675" s="156"/>
      <c r="AH675" s="156"/>
      <c r="AI675" s="410"/>
    </row>
    <row r="676" spans="1:35" ht="19.5" hidden="1" customHeight="1">
      <c r="A676" s="137"/>
      <c r="B676" s="197">
        <f t="shared" si="13"/>
        <v>666</v>
      </c>
      <c r="C676" s="30" t="s">
        <v>202</v>
      </c>
      <c r="D676" s="30" t="s">
        <v>225</v>
      </c>
      <c r="E676" s="234" t="s">
        <v>956</v>
      </c>
      <c r="F676" s="235" t="s">
        <v>1348</v>
      </c>
      <c r="G676" s="284">
        <f>IFERROR(VLOOKUP(E676,Assign!$C$2:$J$142,8,FALSE),)</f>
        <v>0</v>
      </c>
      <c r="H676" s="197" t="s">
        <v>5355</v>
      </c>
      <c r="I676" s="324" t="s">
        <v>5361</v>
      </c>
      <c r="J676" s="237">
        <v>1</v>
      </c>
      <c r="K676" s="237">
        <v>6</v>
      </c>
      <c r="L676" s="265" t="s">
        <v>209</v>
      </c>
      <c r="M676" s="266" t="s">
        <v>226</v>
      </c>
      <c r="N676" s="266" t="s">
        <v>227</v>
      </c>
      <c r="O676" s="267" t="s">
        <v>2838</v>
      </c>
      <c r="P676" s="268" t="s">
        <v>589</v>
      </c>
      <c r="Q676" s="269">
        <v>4417</v>
      </c>
      <c r="R676" s="269">
        <v>39.9</v>
      </c>
      <c r="S676" s="270"/>
      <c r="T676" s="182">
        <f>10.13/4417</f>
        <v>2.293411817976002E-3</v>
      </c>
      <c r="U676" s="182">
        <v>1</v>
      </c>
      <c r="V676" s="408">
        <v>1</v>
      </c>
      <c r="W676" s="357" t="s">
        <v>204</v>
      </c>
      <c r="X676" s="156">
        <v>1080000000</v>
      </c>
      <c r="Y676" s="156">
        <v>1080000000</v>
      </c>
      <c r="Z676" s="418" t="s">
        <v>359</v>
      </c>
      <c r="AA676" s="271"/>
      <c r="AB676" s="168"/>
      <c r="AC676" s="156"/>
      <c r="AD676" s="156"/>
      <c r="AE676" s="320"/>
      <c r="AF676" s="168"/>
      <c r="AG676" s="156"/>
      <c r="AH676" s="156"/>
      <c r="AI676" s="410"/>
    </row>
    <row r="677" spans="1:35" ht="19.5" hidden="1" customHeight="1">
      <c r="A677" s="137"/>
      <c r="B677" s="197">
        <f t="shared" si="13"/>
        <v>667</v>
      </c>
      <c r="C677" s="30" t="s">
        <v>202</v>
      </c>
      <c r="D677" s="30" t="s">
        <v>225</v>
      </c>
      <c r="E677" s="234" t="s">
        <v>957</v>
      </c>
      <c r="F677" s="235" t="s">
        <v>1220</v>
      </c>
      <c r="G677" s="284">
        <f>IFERROR(VLOOKUP(E677,Assign!$C$2:$J$142,8,FALSE),)</f>
        <v>0</v>
      </c>
      <c r="H677" s="197" t="s">
        <v>4177</v>
      </c>
      <c r="I677" s="324" t="s">
        <v>4178</v>
      </c>
      <c r="J677" s="237">
        <v>1</v>
      </c>
      <c r="K677" s="237">
        <v>1</v>
      </c>
      <c r="L677" s="265" t="s">
        <v>208</v>
      </c>
      <c r="M677" s="266" t="s">
        <v>234</v>
      </c>
      <c r="N677" s="266" t="s">
        <v>1608</v>
      </c>
      <c r="O677" s="267" t="s">
        <v>1752</v>
      </c>
      <c r="P677" s="268" t="s">
        <v>350</v>
      </c>
      <c r="Q677" s="269">
        <v>576</v>
      </c>
      <c r="R677" s="269"/>
      <c r="S677" s="270" t="s">
        <v>335</v>
      </c>
      <c r="T677" s="182"/>
      <c r="U677" s="182">
        <v>1</v>
      </c>
      <c r="V677" s="408">
        <v>1</v>
      </c>
      <c r="W677" s="357" t="s">
        <v>204</v>
      </c>
      <c r="X677" s="156">
        <v>1056000000</v>
      </c>
      <c r="Y677" s="156">
        <v>1056000000</v>
      </c>
      <c r="Z677" s="418" t="s">
        <v>359</v>
      </c>
      <c r="AA677" s="271"/>
      <c r="AB677" s="168"/>
      <c r="AC677" s="156"/>
      <c r="AD677" s="156"/>
      <c r="AE677" s="320"/>
      <c r="AF677" s="168"/>
      <c r="AG677" s="156"/>
      <c r="AH677" s="156"/>
      <c r="AI677" s="410"/>
    </row>
    <row r="678" spans="1:35" ht="19.5" customHeight="1">
      <c r="A678" s="137"/>
      <c r="B678" s="197">
        <f t="shared" si="13"/>
        <v>668</v>
      </c>
      <c r="C678" s="30" t="s">
        <v>202</v>
      </c>
      <c r="D678" s="30" t="s">
        <v>225</v>
      </c>
      <c r="E678" s="234" t="s">
        <v>958</v>
      </c>
      <c r="F678" s="235" t="s">
        <v>1274</v>
      </c>
      <c r="G678" s="284" t="str">
        <f>IFERROR(VLOOKUP(E678,Assign!$C$2:$J$142,8,FALSE),)</f>
        <v>문선영</v>
      </c>
      <c r="H678" s="197" t="s">
        <v>5245</v>
      </c>
      <c r="I678" s="324" t="s">
        <v>5246</v>
      </c>
      <c r="J678" s="237">
        <v>1</v>
      </c>
      <c r="K678" s="237">
        <v>1</v>
      </c>
      <c r="L678" s="265" t="s">
        <v>220</v>
      </c>
      <c r="M678" s="266" t="s">
        <v>2090</v>
      </c>
      <c r="N678" s="266" t="s">
        <v>2737</v>
      </c>
      <c r="O678" s="267" t="s">
        <v>2738</v>
      </c>
      <c r="P678" s="268" t="s">
        <v>470</v>
      </c>
      <c r="Q678" s="269"/>
      <c r="R678" s="269">
        <f>817.5+69.3</f>
        <v>886.8</v>
      </c>
      <c r="S678" s="270"/>
      <c r="T678" s="182"/>
      <c r="U678" s="182">
        <v>1</v>
      </c>
      <c r="V678" s="408" t="s">
        <v>229</v>
      </c>
      <c r="W678" s="357" t="s">
        <v>204</v>
      </c>
      <c r="X678" s="156">
        <v>984000000</v>
      </c>
      <c r="Y678" s="156">
        <v>984000000</v>
      </c>
      <c r="Z678" s="418" t="s">
        <v>359</v>
      </c>
      <c r="AA678" s="271"/>
      <c r="AB678" s="168"/>
      <c r="AC678" s="156"/>
      <c r="AD678" s="156"/>
      <c r="AE678" s="320"/>
      <c r="AF678" s="168"/>
      <c r="AG678" s="156"/>
      <c r="AH678" s="156"/>
      <c r="AI678" s="410"/>
    </row>
    <row r="679" spans="1:35" ht="19.5" customHeight="1">
      <c r="A679" s="137"/>
      <c r="B679" s="197">
        <f t="shared" si="13"/>
        <v>669</v>
      </c>
      <c r="C679" s="30" t="s">
        <v>202</v>
      </c>
      <c r="D679" s="30" t="s">
        <v>225</v>
      </c>
      <c r="E679" s="234" t="s">
        <v>958</v>
      </c>
      <c r="F679" s="235" t="s">
        <v>1274</v>
      </c>
      <c r="G679" s="284" t="str">
        <f>IFERROR(VLOOKUP(E679,Assign!$C$2:$J$142,8,FALSE),)</f>
        <v>문선영</v>
      </c>
      <c r="H679" s="197" t="s">
        <v>5245</v>
      </c>
      <c r="I679" s="324" t="s">
        <v>5247</v>
      </c>
      <c r="J679" s="237">
        <v>1</v>
      </c>
      <c r="K679" s="237">
        <v>2</v>
      </c>
      <c r="L679" s="265" t="s">
        <v>220</v>
      </c>
      <c r="M679" s="266" t="s">
        <v>2090</v>
      </c>
      <c r="N679" s="266" t="s">
        <v>2737</v>
      </c>
      <c r="O679" s="267" t="s">
        <v>2739</v>
      </c>
      <c r="P679" s="268" t="s">
        <v>447</v>
      </c>
      <c r="Q679" s="269">
        <v>2572</v>
      </c>
      <c r="R679" s="269"/>
      <c r="S679" s="270"/>
      <c r="T679" s="182"/>
      <c r="U679" s="182">
        <v>1</v>
      </c>
      <c r="V679" s="408" t="s">
        <v>229</v>
      </c>
      <c r="W679" s="357" t="s">
        <v>204</v>
      </c>
      <c r="X679" s="156">
        <v>984000000</v>
      </c>
      <c r="Y679" s="156">
        <v>984000000</v>
      </c>
      <c r="Z679" s="418" t="s">
        <v>359</v>
      </c>
      <c r="AA679" s="271"/>
      <c r="AB679" s="168"/>
      <c r="AC679" s="156"/>
      <c r="AD679" s="156"/>
      <c r="AE679" s="320"/>
      <c r="AF679" s="168"/>
      <c r="AG679" s="156"/>
      <c r="AH679" s="156"/>
      <c r="AI679" s="410"/>
    </row>
    <row r="680" spans="1:35" ht="19.5" customHeight="1">
      <c r="A680" s="137"/>
      <c r="B680" s="197">
        <f t="shared" si="13"/>
        <v>670</v>
      </c>
      <c r="C680" s="30" t="s">
        <v>202</v>
      </c>
      <c r="D680" s="30" t="s">
        <v>225</v>
      </c>
      <c r="E680" s="234" t="s">
        <v>958</v>
      </c>
      <c r="F680" s="235" t="s">
        <v>1274</v>
      </c>
      <c r="G680" s="284" t="str">
        <f>IFERROR(VLOOKUP(E680,Assign!$C$2:$J$142,8,FALSE),)</f>
        <v>문선영</v>
      </c>
      <c r="H680" s="197" t="s">
        <v>5245</v>
      </c>
      <c r="I680" s="324" t="s">
        <v>5248</v>
      </c>
      <c r="J680" s="237">
        <v>1</v>
      </c>
      <c r="K680" s="237">
        <v>3</v>
      </c>
      <c r="L680" s="265" t="s">
        <v>220</v>
      </c>
      <c r="M680" s="266" t="s">
        <v>2090</v>
      </c>
      <c r="N680" s="266" t="s">
        <v>2737</v>
      </c>
      <c r="O680" s="267" t="s">
        <v>2740</v>
      </c>
      <c r="P680" s="268" t="s">
        <v>456</v>
      </c>
      <c r="Q680" s="269">
        <v>87</v>
      </c>
      <c r="R680" s="269"/>
      <c r="S680" s="270"/>
      <c r="T680" s="182"/>
      <c r="U680" s="182">
        <v>1</v>
      </c>
      <c r="V680" s="408" t="s">
        <v>229</v>
      </c>
      <c r="W680" s="357" t="s">
        <v>204</v>
      </c>
      <c r="X680" s="156">
        <v>984000000</v>
      </c>
      <c r="Y680" s="156">
        <v>984000000</v>
      </c>
      <c r="Z680" s="418" t="s">
        <v>359</v>
      </c>
      <c r="AA680" s="271"/>
      <c r="AB680" s="168"/>
      <c r="AC680" s="156"/>
      <c r="AD680" s="156"/>
      <c r="AE680" s="320"/>
      <c r="AF680" s="168"/>
      <c r="AG680" s="156"/>
      <c r="AH680" s="156"/>
      <c r="AI680" s="410"/>
    </row>
    <row r="681" spans="1:35" ht="19.5" customHeight="1">
      <c r="A681" s="137"/>
      <c r="B681" s="197">
        <f t="shared" si="13"/>
        <v>671</v>
      </c>
      <c r="C681" s="30" t="s">
        <v>202</v>
      </c>
      <c r="D681" s="30" t="s">
        <v>225</v>
      </c>
      <c r="E681" s="234" t="s">
        <v>958</v>
      </c>
      <c r="F681" s="235" t="s">
        <v>1274</v>
      </c>
      <c r="G681" s="284" t="str">
        <f>IFERROR(VLOOKUP(E681,Assign!$C$2:$J$142,8,FALSE),)</f>
        <v>문선영</v>
      </c>
      <c r="H681" s="197" t="s">
        <v>5245</v>
      </c>
      <c r="I681" s="324" t="s">
        <v>5249</v>
      </c>
      <c r="J681" s="237">
        <v>1</v>
      </c>
      <c r="K681" s="237">
        <v>4</v>
      </c>
      <c r="L681" s="265" t="s">
        <v>220</v>
      </c>
      <c r="M681" s="266" t="s">
        <v>2090</v>
      </c>
      <c r="N681" s="266" t="s">
        <v>2737</v>
      </c>
      <c r="O681" s="267" t="s">
        <v>2741</v>
      </c>
      <c r="P681" s="268" t="s">
        <v>456</v>
      </c>
      <c r="Q681" s="269">
        <v>192</v>
      </c>
      <c r="R681" s="269"/>
      <c r="S681" s="270"/>
      <c r="T681" s="182"/>
      <c r="U681" s="182">
        <f>1/3</f>
        <v>0.33333333333333331</v>
      </c>
      <c r="V681" s="408" t="s">
        <v>229</v>
      </c>
      <c r="W681" s="357" t="s">
        <v>204</v>
      </c>
      <c r="X681" s="156">
        <v>984000000</v>
      </c>
      <c r="Y681" s="156">
        <v>984000000</v>
      </c>
      <c r="Z681" s="418" t="s">
        <v>359</v>
      </c>
      <c r="AA681" s="271"/>
      <c r="AB681" s="168"/>
      <c r="AC681" s="156"/>
      <c r="AD681" s="156"/>
      <c r="AE681" s="320"/>
      <c r="AF681" s="168"/>
      <c r="AG681" s="156"/>
      <c r="AH681" s="156"/>
      <c r="AI681" s="410"/>
    </row>
    <row r="682" spans="1:35" ht="19.5" customHeight="1">
      <c r="A682" s="137"/>
      <c r="B682" s="197">
        <f t="shared" si="13"/>
        <v>672</v>
      </c>
      <c r="C682" s="30" t="s">
        <v>202</v>
      </c>
      <c r="D682" s="30" t="s">
        <v>225</v>
      </c>
      <c r="E682" s="234" t="s">
        <v>958</v>
      </c>
      <c r="F682" s="235" t="s">
        <v>1274</v>
      </c>
      <c r="G682" s="284" t="str">
        <f>IFERROR(VLOOKUP(E682,Assign!$C$2:$J$142,8,FALSE),)</f>
        <v>문선영</v>
      </c>
      <c r="H682" s="197" t="s">
        <v>5245</v>
      </c>
      <c r="I682" s="324" t="s">
        <v>5250</v>
      </c>
      <c r="J682" s="237">
        <v>1</v>
      </c>
      <c r="K682" s="237">
        <v>5</v>
      </c>
      <c r="L682" s="265" t="s">
        <v>220</v>
      </c>
      <c r="M682" s="266" t="s">
        <v>2090</v>
      </c>
      <c r="N682" s="266" t="s">
        <v>2737</v>
      </c>
      <c r="O682" s="267" t="s">
        <v>2742</v>
      </c>
      <c r="P682" s="268" t="s">
        <v>456</v>
      </c>
      <c r="Q682" s="269">
        <v>545</v>
      </c>
      <c r="R682" s="269"/>
      <c r="S682" s="270"/>
      <c r="T682" s="182"/>
      <c r="U682" s="182">
        <f>68/327</f>
        <v>0.20795107033639143</v>
      </c>
      <c r="V682" s="408" t="s">
        <v>229</v>
      </c>
      <c r="W682" s="357" t="s">
        <v>204</v>
      </c>
      <c r="X682" s="156">
        <v>984000000</v>
      </c>
      <c r="Y682" s="156">
        <v>984000000</v>
      </c>
      <c r="Z682" s="418" t="s">
        <v>359</v>
      </c>
      <c r="AA682" s="271"/>
      <c r="AB682" s="168"/>
      <c r="AC682" s="156"/>
      <c r="AD682" s="156"/>
      <c r="AE682" s="320"/>
      <c r="AF682" s="168"/>
      <c r="AG682" s="156"/>
      <c r="AH682" s="156"/>
      <c r="AI682" s="410"/>
    </row>
    <row r="683" spans="1:35" ht="19.5" customHeight="1">
      <c r="A683" s="137"/>
      <c r="B683" s="197">
        <f t="shared" si="13"/>
        <v>673</v>
      </c>
      <c r="C683" s="30" t="s">
        <v>202</v>
      </c>
      <c r="D683" s="30" t="s">
        <v>225</v>
      </c>
      <c r="E683" s="234" t="s">
        <v>958</v>
      </c>
      <c r="F683" s="235" t="s">
        <v>1274</v>
      </c>
      <c r="G683" s="284" t="str">
        <f>IFERROR(VLOOKUP(E683,Assign!$C$2:$J$142,8,FALSE),)</f>
        <v>문선영</v>
      </c>
      <c r="H683" s="197" t="s">
        <v>5245</v>
      </c>
      <c r="I683" s="324" t="s">
        <v>5251</v>
      </c>
      <c r="J683" s="237">
        <v>1</v>
      </c>
      <c r="K683" s="237">
        <v>6</v>
      </c>
      <c r="L683" s="265" t="s">
        <v>220</v>
      </c>
      <c r="M683" s="266" t="s">
        <v>2090</v>
      </c>
      <c r="N683" s="266" t="s">
        <v>2737</v>
      </c>
      <c r="O683" s="267" t="s">
        <v>2743</v>
      </c>
      <c r="P683" s="268" t="s">
        <v>456</v>
      </c>
      <c r="Q683" s="269">
        <v>687</v>
      </c>
      <c r="R683" s="269"/>
      <c r="S683" s="270"/>
      <c r="T683" s="182"/>
      <c r="U683" s="182">
        <f>512/677</f>
        <v>0.75627769571639591</v>
      </c>
      <c r="V683" s="408" t="s">
        <v>229</v>
      </c>
      <c r="W683" s="357" t="s">
        <v>204</v>
      </c>
      <c r="X683" s="156">
        <v>984000000</v>
      </c>
      <c r="Y683" s="156">
        <v>984000000</v>
      </c>
      <c r="Z683" s="418" t="s">
        <v>359</v>
      </c>
      <c r="AA683" s="271"/>
      <c r="AB683" s="168"/>
      <c r="AC683" s="156"/>
      <c r="AD683" s="156"/>
      <c r="AE683" s="320"/>
      <c r="AF683" s="168"/>
      <c r="AG683" s="156"/>
      <c r="AH683" s="156"/>
      <c r="AI683" s="410"/>
    </row>
    <row r="684" spans="1:35" ht="19.5" customHeight="1">
      <c r="A684" s="137"/>
      <c r="B684" s="197">
        <f t="shared" si="13"/>
        <v>674</v>
      </c>
      <c r="C684" s="30" t="s">
        <v>202</v>
      </c>
      <c r="D684" s="30" t="s">
        <v>225</v>
      </c>
      <c r="E684" s="234" t="s">
        <v>958</v>
      </c>
      <c r="F684" s="235" t="s">
        <v>1274</v>
      </c>
      <c r="G684" s="284" t="str">
        <f>IFERROR(VLOOKUP(E684,Assign!$C$2:$J$142,8,FALSE),)</f>
        <v>문선영</v>
      </c>
      <c r="H684" s="197" t="s">
        <v>5245</v>
      </c>
      <c r="I684" s="324" t="s">
        <v>5252</v>
      </c>
      <c r="J684" s="237">
        <v>1</v>
      </c>
      <c r="K684" s="237">
        <v>7</v>
      </c>
      <c r="L684" s="265" t="s">
        <v>220</v>
      </c>
      <c r="M684" s="266" t="s">
        <v>2090</v>
      </c>
      <c r="N684" s="266" t="s">
        <v>2737</v>
      </c>
      <c r="O684" s="267" t="s">
        <v>2744</v>
      </c>
      <c r="P684" s="268" t="s">
        <v>245</v>
      </c>
      <c r="Q684" s="269">
        <v>819</v>
      </c>
      <c r="R684" s="269"/>
      <c r="S684" s="270"/>
      <c r="T684" s="182"/>
      <c r="U684" s="182">
        <v>1</v>
      </c>
      <c r="V684" s="408" t="s">
        <v>229</v>
      </c>
      <c r="W684" s="357" t="s">
        <v>204</v>
      </c>
      <c r="X684" s="156">
        <v>984000000</v>
      </c>
      <c r="Y684" s="156">
        <v>984000000</v>
      </c>
      <c r="Z684" s="418" t="s">
        <v>359</v>
      </c>
      <c r="AA684" s="271"/>
      <c r="AB684" s="168"/>
      <c r="AC684" s="156"/>
      <c r="AD684" s="156"/>
      <c r="AE684" s="320"/>
      <c r="AF684" s="168"/>
      <c r="AG684" s="156"/>
      <c r="AH684" s="156"/>
      <c r="AI684" s="410"/>
    </row>
    <row r="685" spans="1:35" ht="19.5" customHeight="1">
      <c r="A685" s="137"/>
      <c r="B685" s="197">
        <f t="shared" si="13"/>
        <v>675</v>
      </c>
      <c r="C685" s="30" t="s">
        <v>202</v>
      </c>
      <c r="D685" s="30" t="s">
        <v>225</v>
      </c>
      <c r="E685" s="234" t="s">
        <v>958</v>
      </c>
      <c r="F685" s="235" t="s">
        <v>1274</v>
      </c>
      <c r="G685" s="284" t="str">
        <f>IFERROR(VLOOKUP(E685,Assign!$C$2:$J$142,8,FALSE),)</f>
        <v>문선영</v>
      </c>
      <c r="H685" s="197" t="s">
        <v>5245</v>
      </c>
      <c r="I685" s="324" t="s">
        <v>5253</v>
      </c>
      <c r="J685" s="237">
        <v>1</v>
      </c>
      <c r="K685" s="237">
        <v>8</v>
      </c>
      <c r="L685" s="265" t="s">
        <v>220</v>
      </c>
      <c r="M685" s="266" t="s">
        <v>2090</v>
      </c>
      <c r="N685" s="266" t="s">
        <v>2737</v>
      </c>
      <c r="O685" s="267" t="s">
        <v>2745</v>
      </c>
      <c r="P685" s="268" t="s">
        <v>245</v>
      </c>
      <c r="Q685" s="269">
        <v>869</v>
      </c>
      <c r="R685" s="269"/>
      <c r="S685" s="270"/>
      <c r="T685" s="182"/>
      <c r="U685" s="182">
        <v>1</v>
      </c>
      <c r="V685" s="408" t="s">
        <v>229</v>
      </c>
      <c r="W685" s="357" t="s">
        <v>204</v>
      </c>
      <c r="X685" s="156">
        <v>984000000</v>
      </c>
      <c r="Y685" s="156">
        <v>984000000</v>
      </c>
      <c r="Z685" s="418" t="s">
        <v>359</v>
      </c>
      <c r="AA685" s="271"/>
      <c r="AB685" s="168"/>
      <c r="AC685" s="156"/>
      <c r="AD685" s="156"/>
      <c r="AE685" s="320"/>
      <c r="AF685" s="168"/>
      <c r="AG685" s="156"/>
      <c r="AH685" s="156"/>
      <c r="AI685" s="410"/>
    </row>
    <row r="686" spans="1:35" ht="19.5" customHeight="1">
      <c r="A686" s="137"/>
      <c r="B686" s="197">
        <f t="shared" si="13"/>
        <v>676</v>
      </c>
      <c r="C686" s="30" t="s">
        <v>202</v>
      </c>
      <c r="D686" s="30" t="s">
        <v>225</v>
      </c>
      <c r="E686" s="234" t="s">
        <v>958</v>
      </c>
      <c r="F686" s="235" t="s">
        <v>1274</v>
      </c>
      <c r="G686" s="284" t="str">
        <f>IFERROR(VLOOKUP(E686,Assign!$C$2:$J$142,8,FALSE),)</f>
        <v>문선영</v>
      </c>
      <c r="H686" s="197" t="s">
        <v>5245</v>
      </c>
      <c r="I686" s="324" t="s">
        <v>5254</v>
      </c>
      <c r="J686" s="237">
        <v>1</v>
      </c>
      <c r="K686" s="237">
        <v>9</v>
      </c>
      <c r="L686" s="265" t="s">
        <v>220</v>
      </c>
      <c r="M686" s="266" t="s">
        <v>2090</v>
      </c>
      <c r="N686" s="266" t="s">
        <v>2737</v>
      </c>
      <c r="O686" s="267" t="s">
        <v>2746</v>
      </c>
      <c r="P686" s="268" t="s">
        <v>447</v>
      </c>
      <c r="Q686" s="269">
        <v>992</v>
      </c>
      <c r="R686" s="269"/>
      <c r="S686" s="270"/>
      <c r="T686" s="182"/>
      <c r="U686" s="182">
        <v>1</v>
      </c>
      <c r="V686" s="408" t="s">
        <v>229</v>
      </c>
      <c r="W686" s="357" t="s">
        <v>204</v>
      </c>
      <c r="X686" s="156">
        <v>984000000</v>
      </c>
      <c r="Y686" s="156">
        <v>984000000</v>
      </c>
      <c r="Z686" s="418" t="s">
        <v>359</v>
      </c>
      <c r="AA686" s="271"/>
      <c r="AB686" s="168"/>
      <c r="AC686" s="156"/>
      <c r="AD686" s="156"/>
      <c r="AE686" s="320"/>
      <c r="AF686" s="168"/>
      <c r="AG686" s="156"/>
      <c r="AH686" s="156"/>
      <c r="AI686" s="410"/>
    </row>
    <row r="687" spans="1:35" ht="19.5" customHeight="1">
      <c r="A687" s="137"/>
      <c r="B687" s="197">
        <f t="shared" si="13"/>
        <v>677</v>
      </c>
      <c r="C687" s="30" t="s">
        <v>202</v>
      </c>
      <c r="D687" s="30" t="s">
        <v>225</v>
      </c>
      <c r="E687" s="234" t="s">
        <v>959</v>
      </c>
      <c r="F687" s="235" t="s">
        <v>1221</v>
      </c>
      <c r="G687" s="284" t="str">
        <f>IFERROR(VLOOKUP(E687,Assign!$C$2:$J$142,8,FALSE),)</f>
        <v>문선영</v>
      </c>
      <c r="H687" s="197" t="s">
        <v>4191</v>
      </c>
      <c r="I687" s="324" t="s">
        <v>4192</v>
      </c>
      <c r="J687" s="237">
        <v>1</v>
      </c>
      <c r="K687" s="237">
        <v>1</v>
      </c>
      <c r="L687" s="265" t="s">
        <v>213</v>
      </c>
      <c r="M687" s="266" t="s">
        <v>320</v>
      </c>
      <c r="N687" s="266" t="s">
        <v>1765</v>
      </c>
      <c r="O687" s="267" t="s">
        <v>1766</v>
      </c>
      <c r="P687" s="268" t="s">
        <v>1767</v>
      </c>
      <c r="Q687" s="269">
        <v>5983.8</v>
      </c>
      <c r="R687" s="269">
        <v>41.551699999999997</v>
      </c>
      <c r="S687" s="270"/>
      <c r="T687" s="182">
        <f>9.8097/5983.8</f>
        <v>1.639376316053344E-3</v>
      </c>
      <c r="U687" s="182">
        <v>1</v>
      </c>
      <c r="V687" s="408">
        <v>1</v>
      </c>
      <c r="W687" s="357" t="s">
        <v>204</v>
      </c>
      <c r="X687" s="156">
        <v>960000000</v>
      </c>
      <c r="Y687" s="156">
        <v>960000000</v>
      </c>
      <c r="Z687" s="418" t="s">
        <v>359</v>
      </c>
      <c r="AA687" s="271"/>
      <c r="AB687" s="168"/>
      <c r="AC687" s="156"/>
      <c r="AD687" s="156"/>
      <c r="AE687" s="320"/>
      <c r="AF687" s="168"/>
      <c r="AG687" s="156"/>
      <c r="AH687" s="156"/>
      <c r="AI687" s="410"/>
    </row>
    <row r="688" spans="1:35" ht="19.5" customHeight="1">
      <c r="A688" s="137"/>
      <c r="B688" s="197">
        <f t="shared" si="13"/>
        <v>678</v>
      </c>
      <c r="C688" s="30" t="s">
        <v>202</v>
      </c>
      <c r="D688" s="30" t="s">
        <v>225</v>
      </c>
      <c r="E688" s="234" t="s">
        <v>960</v>
      </c>
      <c r="F688" s="235" t="s">
        <v>1349</v>
      </c>
      <c r="G688" s="284" t="str">
        <f>IFERROR(VLOOKUP(E688,Assign!$C$2:$J$142,8,FALSE),)</f>
        <v>문선영</v>
      </c>
      <c r="H688" s="197" t="s">
        <v>5400</v>
      </c>
      <c r="I688" s="324" t="s">
        <v>5401</v>
      </c>
      <c r="J688" s="237">
        <v>1</v>
      </c>
      <c r="K688" s="237">
        <v>1</v>
      </c>
      <c r="L688" s="265" t="s">
        <v>211</v>
      </c>
      <c r="M688" s="266" t="s">
        <v>299</v>
      </c>
      <c r="N688" s="266" t="s">
        <v>552</v>
      </c>
      <c r="O688" s="267" t="s">
        <v>2876</v>
      </c>
      <c r="P688" s="268" t="s">
        <v>2877</v>
      </c>
      <c r="Q688" s="269"/>
      <c r="R688" s="269">
        <f>112.77+190.82+190.82+1.56</f>
        <v>495.96999999999997</v>
      </c>
      <c r="S688" s="270"/>
      <c r="T688" s="182"/>
      <c r="U688" s="182">
        <v>1</v>
      </c>
      <c r="V688" s="408">
        <v>1</v>
      </c>
      <c r="W688" s="357" t="s">
        <v>204</v>
      </c>
      <c r="X688" s="156">
        <v>900000000</v>
      </c>
      <c r="Y688" s="156">
        <v>900000000</v>
      </c>
      <c r="Z688" s="418" t="s">
        <v>359</v>
      </c>
      <c r="AA688" s="271"/>
      <c r="AB688" s="168"/>
      <c r="AC688" s="156"/>
      <c r="AD688" s="156"/>
      <c r="AE688" s="320"/>
      <c r="AF688" s="168"/>
      <c r="AG688" s="156"/>
      <c r="AH688" s="156"/>
      <c r="AI688" s="410"/>
    </row>
    <row r="689" spans="1:35" ht="19.5" customHeight="1">
      <c r="A689" s="137"/>
      <c r="B689" s="197">
        <f t="shared" si="13"/>
        <v>679</v>
      </c>
      <c r="C689" s="30" t="s">
        <v>202</v>
      </c>
      <c r="D689" s="30" t="s">
        <v>225</v>
      </c>
      <c r="E689" s="234" t="s">
        <v>960</v>
      </c>
      <c r="F689" s="235" t="s">
        <v>1349</v>
      </c>
      <c r="G689" s="284" t="str">
        <f>IFERROR(VLOOKUP(E689,Assign!$C$2:$J$142,8,FALSE),)</f>
        <v>문선영</v>
      </c>
      <c r="H689" s="197" t="s">
        <v>5400</v>
      </c>
      <c r="I689" s="324" t="s">
        <v>5402</v>
      </c>
      <c r="J689" s="237">
        <v>1</v>
      </c>
      <c r="K689" s="237">
        <v>2</v>
      </c>
      <c r="L689" s="265" t="s">
        <v>211</v>
      </c>
      <c r="M689" s="266" t="s">
        <v>299</v>
      </c>
      <c r="N689" s="266" t="s">
        <v>552</v>
      </c>
      <c r="O689" s="267" t="s">
        <v>2876</v>
      </c>
      <c r="P689" s="268" t="s">
        <v>450</v>
      </c>
      <c r="Q689" s="269">
        <v>432</v>
      </c>
      <c r="R689" s="269"/>
      <c r="S689" s="270"/>
      <c r="T689" s="182"/>
      <c r="U689" s="182">
        <v>1</v>
      </c>
      <c r="V689" s="408">
        <v>1</v>
      </c>
      <c r="W689" s="357" t="s">
        <v>204</v>
      </c>
      <c r="X689" s="156">
        <v>900000000</v>
      </c>
      <c r="Y689" s="156">
        <v>900000000</v>
      </c>
      <c r="Z689" s="418" t="s">
        <v>359</v>
      </c>
      <c r="AA689" s="271"/>
      <c r="AB689" s="168"/>
      <c r="AC689" s="156"/>
      <c r="AD689" s="156"/>
      <c r="AE689" s="320"/>
      <c r="AF689" s="168"/>
      <c r="AG689" s="156"/>
      <c r="AH689" s="156"/>
      <c r="AI689" s="410"/>
    </row>
    <row r="690" spans="1:35" ht="19.5" hidden="1" customHeight="1">
      <c r="A690" s="137"/>
      <c r="B690" s="197">
        <f t="shared" si="13"/>
        <v>680</v>
      </c>
      <c r="C690" s="30" t="s">
        <v>202</v>
      </c>
      <c r="D690" s="30" t="s">
        <v>225</v>
      </c>
      <c r="E690" s="234" t="s">
        <v>961</v>
      </c>
      <c r="F690" s="235" t="s">
        <v>1275</v>
      </c>
      <c r="G690" s="284">
        <f>IFERROR(VLOOKUP(E690,Assign!$C$2:$J$142,8,FALSE),)</f>
        <v>0</v>
      </c>
      <c r="H690" s="197" t="s">
        <v>5233</v>
      </c>
      <c r="I690" s="324" t="s">
        <v>5234</v>
      </c>
      <c r="J690" s="237">
        <v>1</v>
      </c>
      <c r="K690" s="237">
        <v>1</v>
      </c>
      <c r="L690" s="265" t="s">
        <v>208</v>
      </c>
      <c r="M690" s="266" t="s">
        <v>250</v>
      </c>
      <c r="N690" s="266" t="s">
        <v>2725</v>
      </c>
      <c r="O690" s="267" t="s">
        <v>2726</v>
      </c>
      <c r="P690" s="268" t="s">
        <v>2727</v>
      </c>
      <c r="Q690" s="269">
        <v>6569</v>
      </c>
      <c r="R690" s="269">
        <v>99.697500000000005</v>
      </c>
      <c r="S690" s="270"/>
      <c r="T690" s="182">
        <f>31.2285/6569</f>
        <v>4.7539199269295172E-3</v>
      </c>
      <c r="U690" s="182">
        <v>1</v>
      </c>
      <c r="V690" s="408" t="s">
        <v>229</v>
      </c>
      <c r="W690" s="357" t="s">
        <v>204</v>
      </c>
      <c r="X690" s="156">
        <v>648000000</v>
      </c>
      <c r="Y690" s="156">
        <v>648000000</v>
      </c>
      <c r="Z690" s="418" t="s">
        <v>359</v>
      </c>
      <c r="AA690" s="271"/>
      <c r="AB690" s="168"/>
      <c r="AC690" s="156"/>
      <c r="AD690" s="156"/>
      <c r="AE690" s="320"/>
      <c r="AF690" s="168"/>
      <c r="AG690" s="156"/>
      <c r="AH690" s="156"/>
      <c r="AI690" s="410"/>
    </row>
    <row r="691" spans="1:35" ht="19.5" hidden="1" customHeight="1">
      <c r="A691" s="137"/>
      <c r="B691" s="197">
        <f t="shared" si="13"/>
        <v>681</v>
      </c>
      <c r="C691" s="30" t="s">
        <v>202</v>
      </c>
      <c r="D691" s="30" t="s">
        <v>225</v>
      </c>
      <c r="E691" s="234" t="s">
        <v>961</v>
      </c>
      <c r="F691" s="235" t="s">
        <v>1275</v>
      </c>
      <c r="G691" s="284">
        <f>IFERROR(VLOOKUP(E691,Assign!$C$2:$J$142,8,FALSE),)</f>
        <v>0</v>
      </c>
      <c r="H691" s="197" t="s">
        <v>5235</v>
      </c>
      <c r="I691" s="324" t="s">
        <v>5236</v>
      </c>
      <c r="J691" s="237">
        <v>2</v>
      </c>
      <c r="K691" s="237">
        <v>1</v>
      </c>
      <c r="L691" s="265" t="s">
        <v>208</v>
      </c>
      <c r="M691" s="266" t="s">
        <v>250</v>
      </c>
      <c r="N691" s="266" t="s">
        <v>2725</v>
      </c>
      <c r="O691" s="267" t="s">
        <v>2728</v>
      </c>
      <c r="P691" s="268" t="s">
        <v>2727</v>
      </c>
      <c r="Q691" s="269">
        <v>6569</v>
      </c>
      <c r="R691" s="269">
        <v>99.697500000000005</v>
      </c>
      <c r="S691" s="270"/>
      <c r="T691" s="182">
        <f>31.2285/6569</f>
        <v>4.7539199269295172E-3</v>
      </c>
      <c r="U691" s="182">
        <v>1</v>
      </c>
      <c r="V691" s="408" t="s">
        <v>229</v>
      </c>
      <c r="W691" s="357" t="s">
        <v>204</v>
      </c>
      <c r="X691" s="156">
        <v>626400000</v>
      </c>
      <c r="Y691" s="156">
        <v>626400000</v>
      </c>
      <c r="Z691" s="418" t="s">
        <v>359</v>
      </c>
      <c r="AA691" s="271"/>
      <c r="AB691" s="168"/>
      <c r="AC691" s="156"/>
      <c r="AD691" s="156"/>
      <c r="AE691" s="320"/>
      <c r="AF691" s="168"/>
      <c r="AG691" s="156"/>
      <c r="AH691" s="156"/>
      <c r="AI691" s="410"/>
    </row>
    <row r="692" spans="1:35" ht="19.5" hidden="1" customHeight="1">
      <c r="A692" s="137"/>
      <c r="B692" s="197">
        <f t="shared" si="13"/>
        <v>682</v>
      </c>
      <c r="C692" s="30" t="s">
        <v>202</v>
      </c>
      <c r="D692" s="30" t="s">
        <v>225</v>
      </c>
      <c r="E692" s="234" t="s">
        <v>961</v>
      </c>
      <c r="F692" s="235" t="s">
        <v>1275</v>
      </c>
      <c r="G692" s="284">
        <f>IFERROR(VLOOKUP(E692,Assign!$C$2:$J$142,8,FALSE),)</f>
        <v>0</v>
      </c>
      <c r="H692" s="197" t="s">
        <v>5591</v>
      </c>
      <c r="I692" s="324" t="s">
        <v>5592</v>
      </c>
      <c r="J692" s="237">
        <v>3</v>
      </c>
      <c r="K692" s="237">
        <v>1</v>
      </c>
      <c r="L692" s="265"/>
      <c r="M692" s="266"/>
      <c r="N692" s="266"/>
      <c r="O692" s="267" t="s">
        <v>5593</v>
      </c>
      <c r="P692" s="268" t="s">
        <v>5594</v>
      </c>
      <c r="Q692" s="269"/>
      <c r="R692" s="269"/>
      <c r="S692" s="270"/>
      <c r="T692" s="182"/>
      <c r="U692" s="182">
        <v>1</v>
      </c>
      <c r="V692" s="408">
        <v>1</v>
      </c>
      <c r="W692" s="357" t="s">
        <v>204</v>
      </c>
      <c r="X692" s="156">
        <v>300000000</v>
      </c>
      <c r="Y692" s="156">
        <v>300000000</v>
      </c>
      <c r="Z692" s="418" t="s">
        <v>359</v>
      </c>
      <c r="AA692" s="271"/>
      <c r="AB692" s="168"/>
      <c r="AC692" s="156"/>
      <c r="AD692" s="156"/>
      <c r="AE692" s="320"/>
      <c r="AF692" s="168"/>
      <c r="AG692" s="156"/>
      <c r="AH692" s="156"/>
      <c r="AI692" s="410"/>
    </row>
    <row r="693" spans="1:35" ht="19.5" hidden="1" customHeight="1">
      <c r="A693" s="137"/>
      <c r="B693" s="197">
        <f t="shared" si="13"/>
        <v>683</v>
      </c>
      <c r="C693" s="30" t="s">
        <v>202</v>
      </c>
      <c r="D693" s="30" t="s">
        <v>225</v>
      </c>
      <c r="E693" s="234" t="s">
        <v>962</v>
      </c>
      <c r="F693" s="235" t="s">
        <v>1229</v>
      </c>
      <c r="G693" s="284">
        <f>IFERROR(VLOOKUP(E693,Assign!$C$2:$J$142,8,FALSE),)</f>
        <v>0</v>
      </c>
      <c r="H693" s="197" t="s">
        <v>5421</v>
      </c>
      <c r="I693" s="324" t="s">
        <v>5422</v>
      </c>
      <c r="J693" s="237">
        <v>1</v>
      </c>
      <c r="K693" s="237">
        <v>1</v>
      </c>
      <c r="L693" s="265" t="s">
        <v>208</v>
      </c>
      <c r="M693" s="266" t="s">
        <v>385</v>
      </c>
      <c r="N693" s="266" t="s">
        <v>542</v>
      </c>
      <c r="O693" s="267" t="s">
        <v>2895</v>
      </c>
      <c r="P693" s="268" t="s">
        <v>2896</v>
      </c>
      <c r="Q693" s="269">
        <v>2049.4</v>
      </c>
      <c r="R693" s="269">
        <v>50.17</v>
      </c>
      <c r="S693" s="270"/>
      <c r="T693" s="182">
        <f>9.57/2049.4</f>
        <v>4.669659412510979E-3</v>
      </c>
      <c r="U693" s="182">
        <v>1</v>
      </c>
      <c r="V693" s="408">
        <v>1</v>
      </c>
      <c r="W693" s="357" t="s">
        <v>204</v>
      </c>
      <c r="X693" s="156">
        <v>840000000</v>
      </c>
      <c r="Y693" s="156">
        <v>840000000</v>
      </c>
      <c r="Z693" s="418" t="s">
        <v>359</v>
      </c>
      <c r="AA693" s="271"/>
      <c r="AB693" s="168"/>
      <c r="AC693" s="156"/>
      <c r="AD693" s="156"/>
      <c r="AE693" s="320"/>
      <c r="AF693" s="168"/>
      <c r="AG693" s="156"/>
      <c r="AH693" s="156"/>
      <c r="AI693" s="410"/>
    </row>
    <row r="694" spans="1:35" ht="19.5" customHeight="1">
      <c r="A694" s="137"/>
      <c r="B694" s="197">
        <f t="shared" si="13"/>
        <v>684</v>
      </c>
      <c r="C694" s="30" t="s">
        <v>202</v>
      </c>
      <c r="D694" s="30" t="s">
        <v>225</v>
      </c>
      <c r="E694" s="234" t="s">
        <v>963</v>
      </c>
      <c r="F694" s="235" t="s">
        <v>1276</v>
      </c>
      <c r="G694" s="284" t="str">
        <f>IFERROR(VLOOKUP(E694,Assign!$C$2:$J$142,8,FALSE),)</f>
        <v>문선영</v>
      </c>
      <c r="H694" s="197" t="s">
        <v>4320</v>
      </c>
      <c r="I694" s="324" t="s">
        <v>4321</v>
      </c>
      <c r="J694" s="237">
        <v>1</v>
      </c>
      <c r="K694" s="237">
        <v>1</v>
      </c>
      <c r="L694" s="265" t="s">
        <v>209</v>
      </c>
      <c r="M694" s="266" t="s">
        <v>319</v>
      </c>
      <c r="N694" s="266" t="s">
        <v>1885</v>
      </c>
      <c r="O694" s="267" t="s">
        <v>1886</v>
      </c>
      <c r="P694" s="268" t="s">
        <v>3511</v>
      </c>
      <c r="Q694" s="269">
        <v>32114.799999999999</v>
      </c>
      <c r="R694" s="269">
        <v>123.72</v>
      </c>
      <c r="S694" s="270"/>
      <c r="T694" s="182">
        <f>51.562/32114.8</f>
        <v>1.6055525801188237E-3</v>
      </c>
      <c r="U694" s="182">
        <v>1</v>
      </c>
      <c r="V694" s="408" t="s">
        <v>292</v>
      </c>
      <c r="W694" s="357" t="s">
        <v>3070</v>
      </c>
      <c r="X694" s="168" t="s">
        <v>3380</v>
      </c>
      <c r="Y694" s="156">
        <v>845592000</v>
      </c>
      <c r="Z694" s="418" t="s">
        <v>359</v>
      </c>
      <c r="AA694" s="271">
        <v>1</v>
      </c>
      <c r="AB694" s="168" t="s">
        <v>204</v>
      </c>
      <c r="AC694" s="156">
        <v>118800000</v>
      </c>
      <c r="AD694" s="156">
        <v>118800000</v>
      </c>
      <c r="AE694" s="320"/>
      <c r="AF694" s="168"/>
      <c r="AG694" s="156"/>
      <c r="AH694" s="156"/>
      <c r="AI694" s="410"/>
    </row>
    <row r="695" spans="1:35" ht="19.5" customHeight="1">
      <c r="A695" s="137"/>
      <c r="B695" s="197">
        <f t="shared" si="13"/>
        <v>685</v>
      </c>
      <c r="C695" s="30" t="s">
        <v>202</v>
      </c>
      <c r="D695" s="30" t="s">
        <v>225</v>
      </c>
      <c r="E695" s="234" t="s">
        <v>964</v>
      </c>
      <c r="F695" s="235" t="s">
        <v>1225</v>
      </c>
      <c r="G695" s="284" t="str">
        <f>IFERROR(VLOOKUP(E695,Assign!$C$2:$J$142,8,FALSE),)</f>
        <v>문선영</v>
      </c>
      <c r="H695" s="197" t="s">
        <v>5145</v>
      </c>
      <c r="I695" s="324" t="s">
        <v>5146</v>
      </c>
      <c r="J695" s="237">
        <v>1</v>
      </c>
      <c r="K695" s="237">
        <v>1</v>
      </c>
      <c r="L695" s="265" t="s">
        <v>213</v>
      </c>
      <c r="M695" s="266" t="s">
        <v>298</v>
      </c>
      <c r="N695" s="266" t="s">
        <v>425</v>
      </c>
      <c r="O695" s="267" t="s">
        <v>2657</v>
      </c>
      <c r="P695" s="268" t="s">
        <v>2658</v>
      </c>
      <c r="Q695" s="269">
        <v>248</v>
      </c>
      <c r="R695" s="269">
        <v>14.82</v>
      </c>
      <c r="S695" s="270"/>
      <c r="T695" s="182">
        <f>9.96/248</f>
        <v>4.0161290322580652E-2</v>
      </c>
      <c r="U695" s="182">
        <v>1</v>
      </c>
      <c r="V695" s="408">
        <v>1</v>
      </c>
      <c r="W695" s="357" t="s">
        <v>204</v>
      </c>
      <c r="X695" s="156">
        <v>697200000</v>
      </c>
      <c r="Y695" s="156">
        <v>697200000</v>
      </c>
      <c r="Z695" s="418" t="s">
        <v>359</v>
      </c>
      <c r="AA695" s="271"/>
      <c r="AB695" s="168"/>
      <c r="AC695" s="156"/>
      <c r="AD695" s="156"/>
      <c r="AE695" s="320"/>
      <c r="AF695" s="168"/>
      <c r="AG695" s="156"/>
      <c r="AH695" s="156"/>
      <c r="AI695" s="410"/>
    </row>
    <row r="696" spans="1:35" ht="19.5" customHeight="1">
      <c r="A696" s="137"/>
      <c r="B696" s="197">
        <f t="shared" si="13"/>
        <v>686</v>
      </c>
      <c r="C696" s="30" t="s">
        <v>202</v>
      </c>
      <c r="D696" s="30" t="s">
        <v>225</v>
      </c>
      <c r="E696" s="234" t="s">
        <v>964</v>
      </c>
      <c r="F696" s="235" t="s">
        <v>1225</v>
      </c>
      <c r="G696" s="284" t="str">
        <f>IFERROR(VLOOKUP(E696,Assign!$C$2:$J$142,8,FALSE),)</f>
        <v>문선영</v>
      </c>
      <c r="H696" s="197" t="s">
        <v>5145</v>
      </c>
      <c r="I696" s="324" t="s">
        <v>5147</v>
      </c>
      <c r="J696" s="237">
        <v>1</v>
      </c>
      <c r="K696" s="237">
        <v>2</v>
      </c>
      <c r="L696" s="265" t="s">
        <v>213</v>
      </c>
      <c r="M696" s="266" t="s">
        <v>298</v>
      </c>
      <c r="N696" s="266" t="s">
        <v>425</v>
      </c>
      <c r="O696" s="267" t="s">
        <v>2659</v>
      </c>
      <c r="P696" s="268" t="s">
        <v>2658</v>
      </c>
      <c r="Q696" s="269">
        <v>248</v>
      </c>
      <c r="R696" s="269">
        <v>18.3</v>
      </c>
      <c r="S696" s="270"/>
      <c r="T696" s="182">
        <f>12.3/248</f>
        <v>4.9596774193548389E-2</v>
      </c>
      <c r="U696" s="182">
        <v>1</v>
      </c>
      <c r="V696" s="408">
        <v>1</v>
      </c>
      <c r="W696" s="357" t="s">
        <v>204</v>
      </c>
      <c r="X696" s="156">
        <v>697200000</v>
      </c>
      <c r="Y696" s="156">
        <v>697200000</v>
      </c>
      <c r="Z696" s="418" t="s">
        <v>359</v>
      </c>
      <c r="AA696" s="271"/>
      <c r="AB696" s="168"/>
      <c r="AC696" s="156"/>
      <c r="AD696" s="156"/>
      <c r="AE696" s="320"/>
      <c r="AF696" s="168"/>
      <c r="AG696" s="156"/>
      <c r="AH696" s="156"/>
      <c r="AI696" s="410"/>
    </row>
    <row r="697" spans="1:35" ht="19.5" customHeight="1">
      <c r="A697" s="137"/>
      <c r="B697" s="197">
        <f t="shared" si="13"/>
        <v>687</v>
      </c>
      <c r="C697" s="30" t="s">
        <v>202</v>
      </c>
      <c r="D697" s="30" t="s">
        <v>225</v>
      </c>
      <c r="E697" s="234" t="s">
        <v>964</v>
      </c>
      <c r="F697" s="235" t="s">
        <v>1225</v>
      </c>
      <c r="G697" s="284" t="str">
        <f>IFERROR(VLOOKUP(E697,Assign!$C$2:$J$142,8,FALSE),)</f>
        <v>문선영</v>
      </c>
      <c r="H697" s="197" t="s">
        <v>5145</v>
      </c>
      <c r="I697" s="324" t="s">
        <v>5148</v>
      </c>
      <c r="J697" s="237">
        <v>1</v>
      </c>
      <c r="K697" s="237">
        <v>3</v>
      </c>
      <c r="L697" s="265" t="s">
        <v>213</v>
      </c>
      <c r="M697" s="266" t="s">
        <v>298</v>
      </c>
      <c r="N697" s="266" t="s">
        <v>425</v>
      </c>
      <c r="O697" s="267" t="s">
        <v>2660</v>
      </c>
      <c r="P697" s="268" t="s">
        <v>2658</v>
      </c>
      <c r="Q697" s="269">
        <v>248</v>
      </c>
      <c r="R697" s="269">
        <v>16.16</v>
      </c>
      <c r="S697" s="270"/>
      <c r="T697" s="182">
        <f>10.87/248</f>
        <v>4.3830645161290323E-2</v>
      </c>
      <c r="U697" s="182">
        <v>1</v>
      </c>
      <c r="V697" s="408">
        <v>1</v>
      </c>
      <c r="W697" s="357" t="s">
        <v>204</v>
      </c>
      <c r="X697" s="156">
        <v>697200000</v>
      </c>
      <c r="Y697" s="156">
        <v>697200000</v>
      </c>
      <c r="Z697" s="418" t="s">
        <v>359</v>
      </c>
      <c r="AA697" s="271"/>
      <c r="AB697" s="168"/>
      <c r="AC697" s="156"/>
      <c r="AD697" s="156"/>
      <c r="AE697" s="320"/>
      <c r="AF697" s="168"/>
      <c r="AG697" s="156"/>
      <c r="AH697" s="156"/>
      <c r="AI697" s="410"/>
    </row>
    <row r="698" spans="1:35" ht="19.5" customHeight="1">
      <c r="A698" s="137"/>
      <c r="B698" s="197">
        <f t="shared" si="13"/>
        <v>688</v>
      </c>
      <c r="C698" s="30" t="s">
        <v>202</v>
      </c>
      <c r="D698" s="30" t="s">
        <v>225</v>
      </c>
      <c r="E698" s="234" t="s">
        <v>964</v>
      </c>
      <c r="F698" s="235" t="s">
        <v>1225</v>
      </c>
      <c r="G698" s="284" t="str">
        <f>IFERROR(VLOOKUP(E698,Assign!$C$2:$J$142,8,FALSE),)</f>
        <v>문선영</v>
      </c>
      <c r="H698" s="197" t="s">
        <v>5145</v>
      </c>
      <c r="I698" s="324" t="s">
        <v>5149</v>
      </c>
      <c r="J698" s="237">
        <v>1</v>
      </c>
      <c r="K698" s="237">
        <v>4</v>
      </c>
      <c r="L698" s="265" t="s">
        <v>213</v>
      </c>
      <c r="M698" s="266" t="s">
        <v>298</v>
      </c>
      <c r="N698" s="266" t="s">
        <v>425</v>
      </c>
      <c r="O698" s="267" t="s">
        <v>2661</v>
      </c>
      <c r="P698" s="268" t="s">
        <v>2658</v>
      </c>
      <c r="Q698" s="269">
        <v>248</v>
      </c>
      <c r="R698" s="269">
        <v>14.82</v>
      </c>
      <c r="S698" s="270"/>
      <c r="T698" s="182">
        <f>9.96/248</f>
        <v>4.0161290322580652E-2</v>
      </c>
      <c r="U698" s="182">
        <v>1</v>
      </c>
      <c r="V698" s="408">
        <v>1</v>
      </c>
      <c r="W698" s="357" t="s">
        <v>204</v>
      </c>
      <c r="X698" s="156">
        <v>697200000</v>
      </c>
      <c r="Y698" s="156">
        <v>697200000</v>
      </c>
      <c r="Z698" s="418" t="s">
        <v>359</v>
      </c>
      <c r="AA698" s="271"/>
      <c r="AB698" s="168"/>
      <c r="AC698" s="156"/>
      <c r="AD698" s="156"/>
      <c r="AE698" s="320"/>
      <c r="AF698" s="168"/>
      <c r="AG698" s="156"/>
      <c r="AH698" s="156"/>
      <c r="AI698" s="410"/>
    </row>
    <row r="699" spans="1:35" ht="19.5" customHeight="1">
      <c r="A699" s="137"/>
      <c r="B699" s="197">
        <f t="shared" si="13"/>
        <v>689</v>
      </c>
      <c r="C699" s="30" t="s">
        <v>202</v>
      </c>
      <c r="D699" s="30" t="s">
        <v>225</v>
      </c>
      <c r="E699" s="234" t="s">
        <v>964</v>
      </c>
      <c r="F699" s="235" t="s">
        <v>1225</v>
      </c>
      <c r="G699" s="284" t="str">
        <f>IFERROR(VLOOKUP(E699,Assign!$C$2:$J$142,8,FALSE),)</f>
        <v>문선영</v>
      </c>
      <c r="H699" s="197" t="s">
        <v>5145</v>
      </c>
      <c r="I699" s="324" t="s">
        <v>5150</v>
      </c>
      <c r="J699" s="237">
        <v>1</v>
      </c>
      <c r="K699" s="237">
        <v>5</v>
      </c>
      <c r="L699" s="265" t="s">
        <v>213</v>
      </c>
      <c r="M699" s="266" t="s">
        <v>298</v>
      </c>
      <c r="N699" s="266" t="s">
        <v>425</v>
      </c>
      <c r="O699" s="267" t="s">
        <v>2662</v>
      </c>
      <c r="P699" s="268" t="s">
        <v>2658</v>
      </c>
      <c r="Q699" s="269">
        <v>248</v>
      </c>
      <c r="R699" s="269">
        <v>18.3</v>
      </c>
      <c r="S699" s="270"/>
      <c r="T699" s="182">
        <f>12.3/248</f>
        <v>4.9596774193548389E-2</v>
      </c>
      <c r="U699" s="182">
        <v>1</v>
      </c>
      <c r="V699" s="408">
        <v>1</v>
      </c>
      <c r="W699" s="357" t="s">
        <v>204</v>
      </c>
      <c r="X699" s="156">
        <v>697200000</v>
      </c>
      <c r="Y699" s="156">
        <v>697200000</v>
      </c>
      <c r="Z699" s="418" t="s">
        <v>359</v>
      </c>
      <c r="AA699" s="271"/>
      <c r="AB699" s="168"/>
      <c r="AC699" s="156"/>
      <c r="AD699" s="156"/>
      <c r="AE699" s="320"/>
      <c r="AF699" s="168"/>
      <c r="AG699" s="156"/>
      <c r="AH699" s="156"/>
      <c r="AI699" s="410"/>
    </row>
    <row r="700" spans="1:35" ht="19.5" customHeight="1">
      <c r="A700" s="137"/>
      <c r="B700" s="197">
        <f t="shared" si="13"/>
        <v>690</v>
      </c>
      <c r="C700" s="30" t="s">
        <v>202</v>
      </c>
      <c r="D700" s="30" t="s">
        <v>225</v>
      </c>
      <c r="E700" s="234" t="s">
        <v>964</v>
      </c>
      <c r="F700" s="235" t="s">
        <v>1225</v>
      </c>
      <c r="G700" s="284" t="str">
        <f>IFERROR(VLOOKUP(E700,Assign!$C$2:$J$142,8,FALSE),)</f>
        <v>문선영</v>
      </c>
      <c r="H700" s="197" t="s">
        <v>5145</v>
      </c>
      <c r="I700" s="324" t="s">
        <v>5151</v>
      </c>
      <c r="J700" s="237">
        <v>1</v>
      </c>
      <c r="K700" s="237">
        <v>6</v>
      </c>
      <c r="L700" s="265" t="s">
        <v>213</v>
      </c>
      <c r="M700" s="266" t="s">
        <v>298</v>
      </c>
      <c r="N700" s="266" t="s">
        <v>425</v>
      </c>
      <c r="O700" s="267" t="s">
        <v>2663</v>
      </c>
      <c r="P700" s="268" t="s">
        <v>2658</v>
      </c>
      <c r="Q700" s="269">
        <v>248</v>
      </c>
      <c r="R700" s="269">
        <v>16.16</v>
      </c>
      <c r="S700" s="270"/>
      <c r="T700" s="182">
        <f>10.87/248</f>
        <v>4.3830645161290323E-2</v>
      </c>
      <c r="U700" s="182">
        <v>1</v>
      </c>
      <c r="V700" s="408">
        <v>1</v>
      </c>
      <c r="W700" s="357" t="s">
        <v>204</v>
      </c>
      <c r="X700" s="156">
        <v>697200000</v>
      </c>
      <c r="Y700" s="156">
        <v>697200000</v>
      </c>
      <c r="Z700" s="418" t="s">
        <v>359</v>
      </c>
      <c r="AA700" s="271"/>
      <c r="AB700" s="168"/>
      <c r="AC700" s="156"/>
      <c r="AD700" s="156"/>
      <c r="AE700" s="320"/>
      <c r="AF700" s="168"/>
      <c r="AG700" s="156"/>
      <c r="AH700" s="156"/>
      <c r="AI700" s="410"/>
    </row>
    <row r="701" spans="1:35" ht="19.5" customHeight="1">
      <c r="A701" s="137"/>
      <c r="B701" s="197">
        <f t="shared" si="13"/>
        <v>691</v>
      </c>
      <c r="C701" s="30" t="s">
        <v>202</v>
      </c>
      <c r="D701" s="30" t="s">
        <v>225</v>
      </c>
      <c r="E701" s="234" t="s">
        <v>964</v>
      </c>
      <c r="F701" s="235" t="s">
        <v>1225</v>
      </c>
      <c r="G701" s="284" t="str">
        <f>IFERROR(VLOOKUP(E701,Assign!$C$2:$J$142,8,FALSE),)</f>
        <v>문선영</v>
      </c>
      <c r="H701" s="197" t="s">
        <v>5145</v>
      </c>
      <c r="I701" s="324" t="s">
        <v>5152</v>
      </c>
      <c r="J701" s="237">
        <v>1</v>
      </c>
      <c r="K701" s="237">
        <v>7</v>
      </c>
      <c r="L701" s="265" t="s">
        <v>213</v>
      </c>
      <c r="M701" s="266" t="s">
        <v>298</v>
      </c>
      <c r="N701" s="266" t="s">
        <v>425</v>
      </c>
      <c r="O701" s="267" t="s">
        <v>2664</v>
      </c>
      <c r="P701" s="268" t="s">
        <v>2658</v>
      </c>
      <c r="Q701" s="269">
        <v>248</v>
      </c>
      <c r="R701" s="269">
        <v>20.12</v>
      </c>
      <c r="S701" s="270"/>
      <c r="T701" s="182">
        <f>13.53/248</f>
        <v>5.455645161290322E-2</v>
      </c>
      <c r="U701" s="182">
        <v>1</v>
      </c>
      <c r="V701" s="408">
        <v>1</v>
      </c>
      <c r="W701" s="357" t="s">
        <v>204</v>
      </c>
      <c r="X701" s="156">
        <v>697200000</v>
      </c>
      <c r="Y701" s="156">
        <v>697200000</v>
      </c>
      <c r="Z701" s="418" t="s">
        <v>359</v>
      </c>
      <c r="AA701" s="271"/>
      <c r="AB701" s="168"/>
      <c r="AC701" s="156"/>
      <c r="AD701" s="156"/>
      <c r="AE701" s="320"/>
      <c r="AF701" s="168"/>
      <c r="AG701" s="156"/>
      <c r="AH701" s="156"/>
      <c r="AI701" s="410"/>
    </row>
    <row r="702" spans="1:35" ht="19.5" customHeight="1">
      <c r="A702" s="137"/>
      <c r="B702" s="197">
        <f t="shared" si="13"/>
        <v>692</v>
      </c>
      <c r="C702" s="30" t="s">
        <v>202</v>
      </c>
      <c r="D702" s="30" t="s">
        <v>225</v>
      </c>
      <c r="E702" s="234" t="s">
        <v>964</v>
      </c>
      <c r="F702" s="235" t="s">
        <v>1225</v>
      </c>
      <c r="G702" s="284" t="str">
        <f>IFERROR(VLOOKUP(E702,Assign!$C$2:$J$142,8,FALSE),)</f>
        <v>문선영</v>
      </c>
      <c r="H702" s="197" t="s">
        <v>5145</v>
      </c>
      <c r="I702" s="324" t="s">
        <v>5153</v>
      </c>
      <c r="J702" s="237">
        <v>1</v>
      </c>
      <c r="K702" s="237">
        <v>8</v>
      </c>
      <c r="L702" s="265" t="s">
        <v>213</v>
      </c>
      <c r="M702" s="266" t="s">
        <v>298</v>
      </c>
      <c r="N702" s="266" t="s">
        <v>425</v>
      </c>
      <c r="O702" s="267" t="s">
        <v>2665</v>
      </c>
      <c r="P702" s="268" t="s">
        <v>2658</v>
      </c>
      <c r="Q702" s="269">
        <v>248</v>
      </c>
      <c r="R702" s="269">
        <v>20.32</v>
      </c>
      <c r="S702" s="270"/>
      <c r="T702" s="182">
        <f>13.66/248</f>
        <v>5.5080645161290326E-2</v>
      </c>
      <c r="U702" s="182">
        <v>1</v>
      </c>
      <c r="V702" s="408">
        <v>1</v>
      </c>
      <c r="W702" s="357" t="s">
        <v>204</v>
      </c>
      <c r="X702" s="156">
        <v>697200000</v>
      </c>
      <c r="Y702" s="156">
        <v>697200000</v>
      </c>
      <c r="Z702" s="418" t="s">
        <v>359</v>
      </c>
      <c r="AA702" s="271"/>
      <c r="AB702" s="168"/>
      <c r="AC702" s="156"/>
      <c r="AD702" s="156"/>
      <c r="AE702" s="320"/>
      <c r="AF702" s="168"/>
      <c r="AG702" s="156"/>
      <c r="AH702" s="156"/>
      <c r="AI702" s="410"/>
    </row>
    <row r="703" spans="1:35" ht="19.5" customHeight="1">
      <c r="A703" s="137"/>
      <c r="B703" s="197">
        <f t="shared" si="13"/>
        <v>693</v>
      </c>
      <c r="C703" s="30" t="s">
        <v>202</v>
      </c>
      <c r="D703" s="30" t="s">
        <v>225</v>
      </c>
      <c r="E703" s="234" t="s">
        <v>964</v>
      </c>
      <c r="F703" s="235" t="s">
        <v>1225</v>
      </c>
      <c r="G703" s="284" t="str">
        <f>IFERROR(VLOOKUP(E703,Assign!$C$2:$J$142,8,FALSE),)</f>
        <v>문선영</v>
      </c>
      <c r="H703" s="197" t="s">
        <v>5145</v>
      </c>
      <c r="I703" s="324" t="s">
        <v>5154</v>
      </c>
      <c r="J703" s="237">
        <v>1</v>
      </c>
      <c r="K703" s="237">
        <v>9</v>
      </c>
      <c r="L703" s="265" t="s">
        <v>213</v>
      </c>
      <c r="M703" s="266" t="s">
        <v>298</v>
      </c>
      <c r="N703" s="266" t="s">
        <v>425</v>
      </c>
      <c r="O703" s="267" t="s">
        <v>2666</v>
      </c>
      <c r="P703" s="268" t="s">
        <v>2658</v>
      </c>
      <c r="Q703" s="269">
        <v>248</v>
      </c>
      <c r="R703" s="269">
        <v>14.82</v>
      </c>
      <c r="S703" s="270"/>
      <c r="T703" s="182">
        <f>9.96/248</f>
        <v>4.0161290322580652E-2</v>
      </c>
      <c r="U703" s="182">
        <v>1</v>
      </c>
      <c r="V703" s="408">
        <v>1</v>
      </c>
      <c r="W703" s="357" t="s">
        <v>204</v>
      </c>
      <c r="X703" s="156">
        <v>697200000</v>
      </c>
      <c r="Y703" s="156">
        <v>697200000</v>
      </c>
      <c r="Z703" s="418" t="s">
        <v>359</v>
      </c>
      <c r="AA703" s="271"/>
      <c r="AB703" s="168"/>
      <c r="AC703" s="156"/>
      <c r="AD703" s="156"/>
      <c r="AE703" s="320"/>
      <c r="AF703" s="168"/>
      <c r="AG703" s="156"/>
      <c r="AH703" s="156"/>
      <c r="AI703" s="410"/>
    </row>
    <row r="704" spans="1:35" ht="19.5" customHeight="1">
      <c r="A704" s="137"/>
      <c r="B704" s="197">
        <f t="shared" si="13"/>
        <v>694</v>
      </c>
      <c r="C704" s="30" t="s">
        <v>202</v>
      </c>
      <c r="D704" s="30" t="s">
        <v>225</v>
      </c>
      <c r="E704" s="234" t="s">
        <v>964</v>
      </c>
      <c r="F704" s="235" t="s">
        <v>1225</v>
      </c>
      <c r="G704" s="284" t="str">
        <f>IFERROR(VLOOKUP(E704,Assign!$C$2:$J$142,8,FALSE),)</f>
        <v>문선영</v>
      </c>
      <c r="H704" s="197" t="s">
        <v>5145</v>
      </c>
      <c r="I704" s="324" t="s">
        <v>5155</v>
      </c>
      <c r="J704" s="237">
        <v>1</v>
      </c>
      <c r="K704" s="237">
        <v>10</v>
      </c>
      <c r="L704" s="265" t="s">
        <v>213</v>
      </c>
      <c r="M704" s="266" t="s">
        <v>298</v>
      </c>
      <c r="N704" s="266" t="s">
        <v>425</v>
      </c>
      <c r="O704" s="267" t="s">
        <v>2667</v>
      </c>
      <c r="P704" s="268" t="s">
        <v>2658</v>
      </c>
      <c r="Q704" s="269">
        <v>248</v>
      </c>
      <c r="R704" s="269">
        <v>18.3</v>
      </c>
      <c r="S704" s="270"/>
      <c r="T704" s="182">
        <f>12.3/248</f>
        <v>4.9596774193548389E-2</v>
      </c>
      <c r="U704" s="182">
        <v>1</v>
      </c>
      <c r="V704" s="408">
        <v>1</v>
      </c>
      <c r="W704" s="357" t="s">
        <v>204</v>
      </c>
      <c r="X704" s="156">
        <v>697200000</v>
      </c>
      <c r="Y704" s="156">
        <v>697200000</v>
      </c>
      <c r="Z704" s="418" t="s">
        <v>359</v>
      </c>
      <c r="AA704" s="271"/>
      <c r="AB704" s="168"/>
      <c r="AC704" s="156"/>
      <c r="AD704" s="156"/>
      <c r="AE704" s="320"/>
      <c r="AF704" s="168"/>
      <c r="AG704" s="156"/>
      <c r="AH704" s="156"/>
      <c r="AI704" s="410"/>
    </row>
    <row r="705" spans="1:35" ht="19.5" customHeight="1">
      <c r="A705" s="137"/>
      <c r="B705" s="197">
        <f t="shared" si="13"/>
        <v>695</v>
      </c>
      <c r="C705" s="30" t="s">
        <v>202</v>
      </c>
      <c r="D705" s="30" t="s">
        <v>225</v>
      </c>
      <c r="E705" s="234" t="s">
        <v>964</v>
      </c>
      <c r="F705" s="235" t="s">
        <v>1225</v>
      </c>
      <c r="G705" s="284" t="str">
        <f>IFERROR(VLOOKUP(E705,Assign!$C$2:$J$142,8,FALSE),)</f>
        <v>문선영</v>
      </c>
      <c r="H705" s="197" t="s">
        <v>5145</v>
      </c>
      <c r="I705" s="324" t="s">
        <v>5156</v>
      </c>
      <c r="J705" s="237">
        <v>1</v>
      </c>
      <c r="K705" s="237">
        <v>11</v>
      </c>
      <c r="L705" s="265" t="s">
        <v>213</v>
      </c>
      <c r="M705" s="266" t="s">
        <v>298</v>
      </c>
      <c r="N705" s="266" t="s">
        <v>425</v>
      </c>
      <c r="O705" s="267" t="s">
        <v>2668</v>
      </c>
      <c r="P705" s="268" t="s">
        <v>2658</v>
      </c>
      <c r="Q705" s="269">
        <v>248</v>
      </c>
      <c r="R705" s="269">
        <v>16.16</v>
      </c>
      <c r="S705" s="270"/>
      <c r="T705" s="182">
        <f>10.87/248</f>
        <v>4.3830645161290323E-2</v>
      </c>
      <c r="U705" s="182">
        <v>1</v>
      </c>
      <c r="V705" s="408">
        <v>1</v>
      </c>
      <c r="W705" s="357" t="s">
        <v>204</v>
      </c>
      <c r="X705" s="156">
        <v>697200000</v>
      </c>
      <c r="Y705" s="156">
        <v>697200000</v>
      </c>
      <c r="Z705" s="418" t="s">
        <v>359</v>
      </c>
      <c r="AA705" s="271"/>
      <c r="AB705" s="168"/>
      <c r="AC705" s="156"/>
      <c r="AD705" s="156"/>
      <c r="AE705" s="320"/>
      <c r="AF705" s="168"/>
      <c r="AG705" s="156"/>
      <c r="AH705" s="156"/>
      <c r="AI705" s="410"/>
    </row>
    <row r="706" spans="1:35" ht="19.5" customHeight="1">
      <c r="A706" s="137"/>
      <c r="B706" s="197">
        <f t="shared" si="13"/>
        <v>696</v>
      </c>
      <c r="C706" s="30" t="s">
        <v>202</v>
      </c>
      <c r="D706" s="30" t="s">
        <v>225</v>
      </c>
      <c r="E706" s="234" t="s">
        <v>964</v>
      </c>
      <c r="F706" s="235" t="s">
        <v>1225</v>
      </c>
      <c r="G706" s="284" t="str">
        <f>IFERROR(VLOOKUP(E706,Assign!$C$2:$J$142,8,FALSE),)</f>
        <v>문선영</v>
      </c>
      <c r="H706" s="197" t="s">
        <v>5145</v>
      </c>
      <c r="I706" s="324" t="s">
        <v>5157</v>
      </c>
      <c r="J706" s="237">
        <v>1</v>
      </c>
      <c r="K706" s="237">
        <v>12</v>
      </c>
      <c r="L706" s="265" t="s">
        <v>213</v>
      </c>
      <c r="M706" s="266" t="s">
        <v>298</v>
      </c>
      <c r="N706" s="266" t="s">
        <v>425</v>
      </c>
      <c r="O706" s="267" t="s">
        <v>2669</v>
      </c>
      <c r="P706" s="268" t="s">
        <v>2658</v>
      </c>
      <c r="Q706" s="269">
        <v>248</v>
      </c>
      <c r="R706" s="269">
        <v>20.12</v>
      </c>
      <c r="S706" s="270"/>
      <c r="T706" s="182">
        <f>13.53/248</f>
        <v>5.455645161290322E-2</v>
      </c>
      <c r="U706" s="182">
        <v>1</v>
      </c>
      <c r="V706" s="408">
        <v>1</v>
      </c>
      <c r="W706" s="357" t="s">
        <v>204</v>
      </c>
      <c r="X706" s="156">
        <v>697200000</v>
      </c>
      <c r="Y706" s="156">
        <v>697200000</v>
      </c>
      <c r="Z706" s="418" t="s">
        <v>359</v>
      </c>
      <c r="AA706" s="271"/>
      <c r="AB706" s="168"/>
      <c r="AC706" s="156"/>
      <c r="AD706" s="156"/>
      <c r="AE706" s="320"/>
      <c r="AF706" s="168"/>
      <c r="AG706" s="156"/>
      <c r="AH706" s="156"/>
      <c r="AI706" s="410"/>
    </row>
    <row r="707" spans="1:35" ht="19.5" customHeight="1">
      <c r="A707" s="137"/>
      <c r="B707" s="197">
        <f t="shared" si="13"/>
        <v>697</v>
      </c>
      <c r="C707" s="30" t="s">
        <v>202</v>
      </c>
      <c r="D707" s="30" t="s">
        <v>225</v>
      </c>
      <c r="E707" s="234" t="s">
        <v>964</v>
      </c>
      <c r="F707" s="235" t="s">
        <v>1225</v>
      </c>
      <c r="G707" s="284" t="str">
        <f>IFERROR(VLOOKUP(E707,Assign!$C$2:$J$142,8,FALSE),)</f>
        <v>문선영</v>
      </c>
      <c r="H707" s="197" t="s">
        <v>5145</v>
      </c>
      <c r="I707" s="324" t="s">
        <v>5158</v>
      </c>
      <c r="J707" s="237">
        <v>1</v>
      </c>
      <c r="K707" s="237">
        <v>13</v>
      </c>
      <c r="L707" s="265" t="s">
        <v>213</v>
      </c>
      <c r="M707" s="266" t="s">
        <v>298</v>
      </c>
      <c r="N707" s="266" t="s">
        <v>425</v>
      </c>
      <c r="O707" s="267" t="s">
        <v>2670</v>
      </c>
      <c r="P707" s="268" t="s">
        <v>2658</v>
      </c>
      <c r="Q707" s="269">
        <v>248</v>
      </c>
      <c r="R707" s="269">
        <v>20.32</v>
      </c>
      <c r="S707" s="270"/>
      <c r="T707" s="182">
        <f>13.66/248</f>
        <v>5.5080645161290326E-2</v>
      </c>
      <c r="U707" s="182">
        <v>1</v>
      </c>
      <c r="V707" s="408">
        <v>1</v>
      </c>
      <c r="W707" s="357" t="s">
        <v>204</v>
      </c>
      <c r="X707" s="156">
        <v>697200000</v>
      </c>
      <c r="Y707" s="156">
        <v>697200000</v>
      </c>
      <c r="Z707" s="418" t="s">
        <v>359</v>
      </c>
      <c r="AA707" s="271"/>
      <c r="AB707" s="168"/>
      <c r="AC707" s="156"/>
      <c r="AD707" s="156"/>
      <c r="AE707" s="320"/>
      <c r="AF707" s="168"/>
      <c r="AG707" s="156"/>
      <c r="AH707" s="156"/>
      <c r="AI707" s="410"/>
    </row>
    <row r="708" spans="1:35" ht="19.5" customHeight="1">
      <c r="A708" s="137"/>
      <c r="B708" s="197">
        <f t="shared" si="13"/>
        <v>698</v>
      </c>
      <c r="C708" s="30" t="s">
        <v>202</v>
      </c>
      <c r="D708" s="30" t="s">
        <v>225</v>
      </c>
      <c r="E708" s="234" t="s">
        <v>964</v>
      </c>
      <c r="F708" s="235" t="s">
        <v>1225</v>
      </c>
      <c r="G708" s="284" t="str">
        <f>IFERROR(VLOOKUP(E708,Assign!$C$2:$J$142,8,FALSE),)</f>
        <v>문선영</v>
      </c>
      <c r="H708" s="197" t="s">
        <v>5145</v>
      </c>
      <c r="I708" s="324" t="s">
        <v>5159</v>
      </c>
      <c r="J708" s="237">
        <v>1</v>
      </c>
      <c r="K708" s="237">
        <v>14</v>
      </c>
      <c r="L708" s="265" t="s">
        <v>213</v>
      </c>
      <c r="M708" s="266" t="s">
        <v>298</v>
      </c>
      <c r="N708" s="266" t="s">
        <v>425</v>
      </c>
      <c r="O708" s="267" t="s">
        <v>2671</v>
      </c>
      <c r="P708" s="268" t="s">
        <v>2658</v>
      </c>
      <c r="Q708" s="269">
        <v>248</v>
      </c>
      <c r="R708" s="269">
        <v>14.82</v>
      </c>
      <c r="S708" s="270"/>
      <c r="T708" s="182">
        <f>9.96/248</f>
        <v>4.0161290322580652E-2</v>
      </c>
      <c r="U708" s="182">
        <v>1</v>
      </c>
      <c r="V708" s="408">
        <v>1</v>
      </c>
      <c r="W708" s="357" t="s">
        <v>204</v>
      </c>
      <c r="X708" s="156">
        <v>697200000</v>
      </c>
      <c r="Y708" s="156">
        <v>697200000</v>
      </c>
      <c r="Z708" s="418" t="s">
        <v>359</v>
      </c>
      <c r="AA708" s="271"/>
      <c r="AB708" s="168"/>
      <c r="AC708" s="156"/>
      <c r="AD708" s="156"/>
      <c r="AE708" s="320"/>
      <c r="AF708" s="168"/>
      <c r="AG708" s="156"/>
      <c r="AH708" s="156"/>
      <c r="AI708" s="410"/>
    </row>
    <row r="709" spans="1:35" ht="19.5" customHeight="1">
      <c r="A709" s="137"/>
      <c r="B709" s="197">
        <f t="shared" si="13"/>
        <v>699</v>
      </c>
      <c r="C709" s="30" t="s">
        <v>202</v>
      </c>
      <c r="D709" s="30" t="s">
        <v>225</v>
      </c>
      <c r="E709" s="234" t="s">
        <v>964</v>
      </c>
      <c r="F709" s="235" t="s">
        <v>1225</v>
      </c>
      <c r="G709" s="284" t="str">
        <f>IFERROR(VLOOKUP(E709,Assign!$C$2:$J$142,8,FALSE),)</f>
        <v>문선영</v>
      </c>
      <c r="H709" s="197" t="s">
        <v>5145</v>
      </c>
      <c r="I709" s="324" t="s">
        <v>5160</v>
      </c>
      <c r="J709" s="237">
        <v>1</v>
      </c>
      <c r="K709" s="237">
        <v>15</v>
      </c>
      <c r="L709" s="265" t="s">
        <v>213</v>
      </c>
      <c r="M709" s="266" t="s">
        <v>298</v>
      </c>
      <c r="N709" s="266" t="s">
        <v>425</v>
      </c>
      <c r="O709" s="267" t="s">
        <v>2672</v>
      </c>
      <c r="P709" s="268" t="s">
        <v>2658</v>
      </c>
      <c r="Q709" s="269">
        <v>248</v>
      </c>
      <c r="R709" s="269">
        <v>18.3</v>
      </c>
      <c r="S709" s="270"/>
      <c r="T709" s="182">
        <f>12.3/248</f>
        <v>4.9596774193548389E-2</v>
      </c>
      <c r="U709" s="182">
        <v>1</v>
      </c>
      <c r="V709" s="408">
        <v>1</v>
      </c>
      <c r="W709" s="357" t="s">
        <v>204</v>
      </c>
      <c r="X709" s="156">
        <v>697200000</v>
      </c>
      <c r="Y709" s="156">
        <v>697200000</v>
      </c>
      <c r="Z709" s="418" t="s">
        <v>359</v>
      </c>
      <c r="AA709" s="271"/>
      <c r="AB709" s="168"/>
      <c r="AC709" s="156"/>
      <c r="AD709" s="156"/>
      <c r="AE709" s="320"/>
      <c r="AF709" s="168"/>
      <c r="AG709" s="156"/>
      <c r="AH709" s="156"/>
      <c r="AI709" s="410"/>
    </row>
    <row r="710" spans="1:35" ht="19.5" customHeight="1">
      <c r="A710" s="137"/>
      <c r="B710" s="197">
        <f t="shared" si="13"/>
        <v>700</v>
      </c>
      <c r="C710" s="30" t="s">
        <v>202</v>
      </c>
      <c r="D710" s="30" t="s">
        <v>225</v>
      </c>
      <c r="E710" s="234" t="s">
        <v>964</v>
      </c>
      <c r="F710" s="235" t="s">
        <v>1225</v>
      </c>
      <c r="G710" s="284" t="str">
        <f>IFERROR(VLOOKUP(E710,Assign!$C$2:$J$142,8,FALSE),)</f>
        <v>문선영</v>
      </c>
      <c r="H710" s="197" t="s">
        <v>5145</v>
      </c>
      <c r="I710" s="324" t="s">
        <v>5161</v>
      </c>
      <c r="J710" s="237">
        <v>1</v>
      </c>
      <c r="K710" s="237">
        <v>16</v>
      </c>
      <c r="L710" s="265" t="s">
        <v>213</v>
      </c>
      <c r="M710" s="266" t="s">
        <v>298</v>
      </c>
      <c r="N710" s="266" t="s">
        <v>425</v>
      </c>
      <c r="O710" s="267" t="s">
        <v>2673</v>
      </c>
      <c r="P710" s="268" t="s">
        <v>2658</v>
      </c>
      <c r="Q710" s="269">
        <v>248</v>
      </c>
      <c r="R710" s="269">
        <v>16.16</v>
      </c>
      <c r="S710" s="270"/>
      <c r="T710" s="182">
        <f>10.87/248</f>
        <v>4.3830645161290323E-2</v>
      </c>
      <c r="U710" s="182">
        <v>1</v>
      </c>
      <c r="V710" s="408">
        <v>1</v>
      </c>
      <c r="W710" s="357" t="s">
        <v>204</v>
      </c>
      <c r="X710" s="156">
        <v>697200000</v>
      </c>
      <c r="Y710" s="156">
        <v>697200000</v>
      </c>
      <c r="Z710" s="418" t="s">
        <v>359</v>
      </c>
      <c r="AA710" s="271"/>
      <c r="AB710" s="168"/>
      <c r="AC710" s="156"/>
      <c r="AD710" s="156"/>
      <c r="AE710" s="320"/>
      <c r="AF710" s="168"/>
      <c r="AG710" s="156"/>
      <c r="AH710" s="156"/>
      <c r="AI710" s="410"/>
    </row>
    <row r="711" spans="1:35" ht="19.5" customHeight="1">
      <c r="A711" s="137"/>
      <c r="B711" s="197">
        <f t="shared" si="13"/>
        <v>701</v>
      </c>
      <c r="C711" s="30" t="s">
        <v>202</v>
      </c>
      <c r="D711" s="30" t="s">
        <v>225</v>
      </c>
      <c r="E711" s="234" t="s">
        <v>964</v>
      </c>
      <c r="F711" s="235" t="s">
        <v>1225</v>
      </c>
      <c r="G711" s="284" t="str">
        <f>IFERROR(VLOOKUP(E711,Assign!$C$2:$J$142,8,FALSE),)</f>
        <v>문선영</v>
      </c>
      <c r="H711" s="197" t="s">
        <v>5145</v>
      </c>
      <c r="I711" s="324" t="s">
        <v>5162</v>
      </c>
      <c r="J711" s="237">
        <v>1</v>
      </c>
      <c r="K711" s="237">
        <v>17</v>
      </c>
      <c r="L711" s="265" t="s">
        <v>213</v>
      </c>
      <c r="M711" s="266" t="s">
        <v>298</v>
      </c>
      <c r="N711" s="266" t="s">
        <v>425</v>
      </c>
      <c r="O711" s="267" t="s">
        <v>2674</v>
      </c>
      <c r="P711" s="268" t="s">
        <v>2658</v>
      </c>
      <c r="Q711" s="269">
        <v>248</v>
      </c>
      <c r="R711" s="269">
        <v>17.100000000000001</v>
      </c>
      <c r="S711" s="270"/>
      <c r="T711" s="182">
        <f>11.5/248</f>
        <v>4.6370967741935484E-2</v>
      </c>
      <c r="U711" s="182">
        <v>1</v>
      </c>
      <c r="V711" s="408">
        <v>1</v>
      </c>
      <c r="W711" s="357" t="s">
        <v>204</v>
      </c>
      <c r="X711" s="156">
        <v>697200000</v>
      </c>
      <c r="Y711" s="156">
        <v>697200000</v>
      </c>
      <c r="Z711" s="418" t="s">
        <v>359</v>
      </c>
      <c r="AA711" s="271"/>
      <c r="AB711" s="168"/>
      <c r="AC711" s="156"/>
      <c r="AD711" s="156"/>
      <c r="AE711" s="320"/>
      <c r="AF711" s="168"/>
      <c r="AG711" s="156"/>
      <c r="AH711" s="156"/>
      <c r="AI711" s="410"/>
    </row>
    <row r="712" spans="1:35" ht="19.5" customHeight="1">
      <c r="A712" s="137"/>
      <c r="B712" s="197">
        <f t="shared" si="13"/>
        <v>702</v>
      </c>
      <c r="C712" s="30" t="s">
        <v>202</v>
      </c>
      <c r="D712" s="30" t="s">
        <v>225</v>
      </c>
      <c r="E712" s="234" t="s">
        <v>964</v>
      </c>
      <c r="F712" s="235" t="s">
        <v>1225</v>
      </c>
      <c r="G712" s="284" t="str">
        <f>IFERROR(VLOOKUP(E712,Assign!$C$2:$J$142,8,FALSE),)</f>
        <v>문선영</v>
      </c>
      <c r="H712" s="197" t="s">
        <v>5145</v>
      </c>
      <c r="I712" s="324" t="s">
        <v>5163</v>
      </c>
      <c r="J712" s="237">
        <v>1</v>
      </c>
      <c r="K712" s="237">
        <v>18</v>
      </c>
      <c r="L712" s="265" t="s">
        <v>213</v>
      </c>
      <c r="M712" s="266" t="s">
        <v>298</v>
      </c>
      <c r="N712" s="266" t="s">
        <v>425</v>
      </c>
      <c r="O712" s="267" t="s">
        <v>2675</v>
      </c>
      <c r="P712" s="268" t="s">
        <v>2658</v>
      </c>
      <c r="Q712" s="269">
        <v>248</v>
      </c>
      <c r="R712" s="269">
        <v>17.28</v>
      </c>
      <c r="S712" s="270"/>
      <c r="T712" s="182">
        <f>11.62/248</f>
        <v>4.6854838709677417E-2</v>
      </c>
      <c r="U712" s="182">
        <v>1</v>
      </c>
      <c r="V712" s="408">
        <v>1</v>
      </c>
      <c r="W712" s="357" t="s">
        <v>204</v>
      </c>
      <c r="X712" s="156">
        <v>697200000</v>
      </c>
      <c r="Y712" s="156">
        <v>697200000</v>
      </c>
      <c r="Z712" s="418" t="s">
        <v>359</v>
      </c>
      <c r="AA712" s="271"/>
      <c r="AB712" s="168"/>
      <c r="AC712" s="156"/>
      <c r="AD712" s="156"/>
      <c r="AE712" s="320"/>
      <c r="AF712" s="168"/>
      <c r="AG712" s="156"/>
      <c r="AH712" s="156"/>
      <c r="AI712" s="410"/>
    </row>
    <row r="713" spans="1:35" ht="19.5" customHeight="1">
      <c r="A713" s="137"/>
      <c r="B713" s="197">
        <f t="shared" si="13"/>
        <v>703</v>
      </c>
      <c r="C713" s="30" t="s">
        <v>202</v>
      </c>
      <c r="D713" s="30" t="s">
        <v>225</v>
      </c>
      <c r="E713" s="234" t="s">
        <v>964</v>
      </c>
      <c r="F713" s="235" t="s">
        <v>1225</v>
      </c>
      <c r="G713" s="284" t="str">
        <f>IFERROR(VLOOKUP(E713,Assign!$C$2:$J$142,8,FALSE),)</f>
        <v>문선영</v>
      </c>
      <c r="H713" s="197" t="s">
        <v>5145</v>
      </c>
      <c r="I713" s="324" t="s">
        <v>5164</v>
      </c>
      <c r="J713" s="237">
        <v>1</v>
      </c>
      <c r="K713" s="237">
        <v>19</v>
      </c>
      <c r="L713" s="265" t="s">
        <v>213</v>
      </c>
      <c r="M713" s="266" t="s">
        <v>298</v>
      </c>
      <c r="N713" s="266" t="s">
        <v>425</v>
      </c>
      <c r="O713" s="267" t="s">
        <v>2676</v>
      </c>
      <c r="P713" s="268" t="s">
        <v>2658</v>
      </c>
      <c r="Q713" s="269">
        <v>248</v>
      </c>
      <c r="R713" s="269">
        <v>29.5</v>
      </c>
      <c r="S713" s="270"/>
      <c r="T713" s="182">
        <f>19.84/248</f>
        <v>0.08</v>
      </c>
      <c r="U713" s="182">
        <v>1</v>
      </c>
      <c r="V713" s="408">
        <v>1</v>
      </c>
      <c r="W713" s="357" t="s">
        <v>204</v>
      </c>
      <c r="X713" s="156">
        <v>697200000</v>
      </c>
      <c r="Y713" s="156">
        <v>697200000</v>
      </c>
      <c r="Z713" s="418" t="s">
        <v>359</v>
      </c>
      <c r="AA713" s="271"/>
      <c r="AB713" s="168"/>
      <c r="AC713" s="156"/>
      <c r="AD713" s="156"/>
      <c r="AE713" s="320"/>
      <c r="AF713" s="168"/>
      <c r="AG713" s="156"/>
      <c r="AH713" s="156"/>
      <c r="AI713" s="410"/>
    </row>
    <row r="714" spans="1:35" ht="19.5" customHeight="1">
      <c r="A714" s="137"/>
      <c r="B714" s="197">
        <f t="shared" si="13"/>
        <v>704</v>
      </c>
      <c r="C714" s="30" t="s">
        <v>202</v>
      </c>
      <c r="D714" s="30" t="s">
        <v>225</v>
      </c>
      <c r="E714" s="234" t="s">
        <v>964</v>
      </c>
      <c r="F714" s="235" t="s">
        <v>1225</v>
      </c>
      <c r="G714" s="284" t="str">
        <f>IFERROR(VLOOKUP(E714,Assign!$C$2:$J$142,8,FALSE),)</f>
        <v>문선영</v>
      </c>
      <c r="H714" s="197" t="s">
        <v>5145</v>
      </c>
      <c r="I714" s="324" t="s">
        <v>5165</v>
      </c>
      <c r="J714" s="237">
        <v>1</v>
      </c>
      <c r="K714" s="237">
        <v>20</v>
      </c>
      <c r="L714" s="265" t="s">
        <v>213</v>
      </c>
      <c r="M714" s="266" t="s">
        <v>298</v>
      </c>
      <c r="N714" s="266" t="s">
        <v>425</v>
      </c>
      <c r="O714" s="267" t="s">
        <v>2677</v>
      </c>
      <c r="P714" s="268" t="s">
        <v>2658</v>
      </c>
      <c r="Q714" s="269">
        <v>248</v>
      </c>
      <c r="R714" s="269">
        <v>26.98</v>
      </c>
      <c r="S714" s="270"/>
      <c r="T714" s="182">
        <f>18.14/248</f>
        <v>7.3145161290322586E-2</v>
      </c>
      <c r="U714" s="182">
        <v>1</v>
      </c>
      <c r="V714" s="408">
        <v>1</v>
      </c>
      <c r="W714" s="357" t="s">
        <v>204</v>
      </c>
      <c r="X714" s="156">
        <v>697200000</v>
      </c>
      <c r="Y714" s="156">
        <v>697200000</v>
      </c>
      <c r="Z714" s="418" t="s">
        <v>359</v>
      </c>
      <c r="AA714" s="271"/>
      <c r="AB714" s="168"/>
      <c r="AC714" s="156"/>
      <c r="AD714" s="156"/>
      <c r="AE714" s="320"/>
      <c r="AF714" s="168"/>
      <c r="AG714" s="156"/>
      <c r="AH714" s="156"/>
      <c r="AI714" s="410"/>
    </row>
    <row r="715" spans="1:35" ht="19.5" customHeight="1">
      <c r="A715" s="137"/>
      <c r="B715" s="197">
        <f t="shared" ref="B715:B778" si="14">ROW()-10</f>
        <v>705</v>
      </c>
      <c r="C715" s="30" t="s">
        <v>202</v>
      </c>
      <c r="D715" s="30" t="s">
        <v>225</v>
      </c>
      <c r="E715" s="234" t="s">
        <v>965</v>
      </c>
      <c r="F715" s="235" t="s">
        <v>1224</v>
      </c>
      <c r="G715" s="284" t="str">
        <f>IFERROR(VLOOKUP(E715,Assign!$C$2:$J$142,8,FALSE),)</f>
        <v>문선영</v>
      </c>
      <c r="H715" s="488" t="s">
        <v>4576</v>
      </c>
      <c r="I715" s="324" t="s">
        <v>4577</v>
      </c>
      <c r="J715" s="237">
        <v>1</v>
      </c>
      <c r="K715" s="237">
        <v>1</v>
      </c>
      <c r="L715" s="265" t="s">
        <v>217</v>
      </c>
      <c r="M715" s="266" t="s">
        <v>336</v>
      </c>
      <c r="N715" s="266" t="s">
        <v>2113</v>
      </c>
      <c r="O715" s="267" t="s">
        <v>2114</v>
      </c>
      <c r="P715" s="268" t="s">
        <v>2115</v>
      </c>
      <c r="Q715" s="269"/>
      <c r="R715" s="269">
        <f>321.045+305.3+305.3+313.165+313.165</f>
        <v>1557.9749999999999</v>
      </c>
      <c r="S715" s="270"/>
      <c r="T715" s="182"/>
      <c r="U715" s="182">
        <v>1</v>
      </c>
      <c r="V715" s="408">
        <v>1</v>
      </c>
      <c r="W715" s="357" t="s">
        <v>204</v>
      </c>
      <c r="X715" s="156">
        <v>826800000</v>
      </c>
      <c r="Y715" s="156">
        <v>826800000</v>
      </c>
      <c r="Z715" s="418" t="s">
        <v>359</v>
      </c>
      <c r="AA715" s="271"/>
      <c r="AB715" s="168"/>
      <c r="AC715" s="156"/>
      <c r="AD715" s="156"/>
      <c r="AE715" s="320"/>
      <c r="AF715" s="168"/>
      <c r="AG715" s="156"/>
      <c r="AH715" s="156"/>
      <c r="AI715" s="410"/>
    </row>
    <row r="716" spans="1:35" ht="19.5" customHeight="1">
      <c r="A716" s="137"/>
      <c r="B716" s="197">
        <f t="shared" si="14"/>
        <v>706</v>
      </c>
      <c r="C716" s="30" t="s">
        <v>202</v>
      </c>
      <c r="D716" s="30" t="s">
        <v>225</v>
      </c>
      <c r="E716" s="234" t="s">
        <v>965</v>
      </c>
      <c r="F716" s="235" t="s">
        <v>1224</v>
      </c>
      <c r="G716" s="284" t="str">
        <f>IFERROR(VLOOKUP(E716,Assign!$C$2:$J$142,8,FALSE),)</f>
        <v>문선영</v>
      </c>
      <c r="H716" s="197" t="s">
        <v>4576</v>
      </c>
      <c r="I716" s="324" t="s">
        <v>4578</v>
      </c>
      <c r="J716" s="237">
        <v>1</v>
      </c>
      <c r="K716" s="237">
        <v>2</v>
      </c>
      <c r="L716" s="265" t="s">
        <v>217</v>
      </c>
      <c r="M716" s="266" t="s">
        <v>336</v>
      </c>
      <c r="N716" s="266" t="s">
        <v>2113</v>
      </c>
      <c r="O716" s="267" t="s">
        <v>2114</v>
      </c>
      <c r="P716" s="268" t="s">
        <v>450</v>
      </c>
      <c r="Q716" s="269">
        <v>452.8</v>
      </c>
      <c r="R716" s="269"/>
      <c r="S716" s="270"/>
      <c r="T716" s="182"/>
      <c r="U716" s="182">
        <v>1</v>
      </c>
      <c r="V716" s="408">
        <v>1</v>
      </c>
      <c r="W716" s="357" t="s">
        <v>204</v>
      </c>
      <c r="X716" s="156">
        <v>826800000</v>
      </c>
      <c r="Y716" s="156">
        <v>826800000</v>
      </c>
      <c r="Z716" s="418" t="s">
        <v>359</v>
      </c>
      <c r="AA716" s="271"/>
      <c r="AB716" s="168"/>
      <c r="AC716" s="156"/>
      <c r="AD716" s="156"/>
      <c r="AE716" s="320"/>
      <c r="AF716" s="168"/>
      <c r="AG716" s="156"/>
      <c r="AH716" s="156"/>
      <c r="AI716" s="410"/>
    </row>
    <row r="717" spans="1:35" ht="19.5" hidden="1" customHeight="1">
      <c r="A717" s="137"/>
      <c r="B717" s="197">
        <f t="shared" si="14"/>
        <v>707</v>
      </c>
      <c r="C717" s="30" t="s">
        <v>202</v>
      </c>
      <c r="D717" s="30" t="s">
        <v>225</v>
      </c>
      <c r="E717" s="234" t="s">
        <v>966</v>
      </c>
      <c r="F717" s="235" t="s">
        <v>1247</v>
      </c>
      <c r="G717" s="284">
        <f>IFERROR(VLOOKUP(E717,Assign!$C$2:$J$142,8,FALSE),)</f>
        <v>0</v>
      </c>
      <c r="H717" s="197" t="s">
        <v>4215</v>
      </c>
      <c r="I717" s="324" t="s">
        <v>4216</v>
      </c>
      <c r="J717" s="237">
        <v>1</v>
      </c>
      <c r="K717" s="237">
        <v>1</v>
      </c>
      <c r="L717" s="265" t="s">
        <v>208</v>
      </c>
      <c r="M717" s="266" t="s">
        <v>234</v>
      </c>
      <c r="N717" s="266" t="s">
        <v>235</v>
      </c>
      <c r="O717" s="267" t="s">
        <v>1793</v>
      </c>
      <c r="P717" s="268" t="s">
        <v>1794</v>
      </c>
      <c r="Q717" s="269">
        <f>17986.5+21997</f>
        <v>39983.5</v>
      </c>
      <c r="R717" s="269">
        <v>49.2</v>
      </c>
      <c r="S717" s="270"/>
      <c r="T717" s="182">
        <f>11.7805/39983.5</f>
        <v>2.9463403654007278E-4</v>
      </c>
      <c r="U717" s="182">
        <v>1</v>
      </c>
      <c r="V717" s="408">
        <v>1</v>
      </c>
      <c r="W717" s="357" t="s">
        <v>204</v>
      </c>
      <c r="X717" s="156">
        <v>768000000</v>
      </c>
      <c r="Y717" s="156">
        <v>768000000</v>
      </c>
      <c r="Z717" s="418" t="s">
        <v>359</v>
      </c>
      <c r="AA717" s="271"/>
      <c r="AB717" s="168"/>
      <c r="AC717" s="156"/>
      <c r="AD717" s="156"/>
      <c r="AE717" s="320"/>
      <c r="AF717" s="168"/>
      <c r="AG717" s="156"/>
      <c r="AH717" s="156"/>
      <c r="AI717" s="410"/>
    </row>
    <row r="718" spans="1:35" ht="19.5" hidden="1" customHeight="1">
      <c r="A718" s="137"/>
      <c r="B718" s="197">
        <f t="shared" si="14"/>
        <v>708</v>
      </c>
      <c r="C718" s="30" t="s">
        <v>202</v>
      </c>
      <c r="D718" s="30" t="s">
        <v>225</v>
      </c>
      <c r="E718" s="234" t="s">
        <v>967</v>
      </c>
      <c r="F718" s="235" t="s">
        <v>1225</v>
      </c>
      <c r="G718" s="284">
        <f>IFERROR(VLOOKUP(E718,Assign!$C$2:$J$142,8,FALSE),)</f>
        <v>0</v>
      </c>
      <c r="H718" s="197" t="s">
        <v>4417</v>
      </c>
      <c r="I718" s="324" t="s">
        <v>4418</v>
      </c>
      <c r="J718" s="237">
        <v>1</v>
      </c>
      <c r="K718" s="237">
        <v>1</v>
      </c>
      <c r="L718" s="265" t="s">
        <v>209</v>
      </c>
      <c r="M718" s="266" t="s">
        <v>248</v>
      </c>
      <c r="N718" s="266" t="s">
        <v>360</v>
      </c>
      <c r="O718" s="267" t="s">
        <v>1973</v>
      </c>
      <c r="P718" s="268" t="s">
        <v>1974</v>
      </c>
      <c r="Q718" s="269">
        <v>17310.7</v>
      </c>
      <c r="R718" s="269">
        <v>89.1</v>
      </c>
      <c r="S718" s="270"/>
      <c r="T718" s="182">
        <f>17.85/17310.7</f>
        <v>1.0311541416580497E-3</v>
      </c>
      <c r="U718" s="182">
        <v>1</v>
      </c>
      <c r="V718" s="408" t="s">
        <v>229</v>
      </c>
      <c r="W718" s="357" t="s">
        <v>204</v>
      </c>
      <c r="X718" s="156">
        <v>612000000</v>
      </c>
      <c r="Y718" s="156">
        <v>612000000</v>
      </c>
      <c r="Z718" s="418" t="s">
        <v>359</v>
      </c>
      <c r="AA718" s="271"/>
      <c r="AB718" s="168"/>
      <c r="AC718" s="156"/>
      <c r="AD718" s="156"/>
      <c r="AE718" s="320"/>
      <c r="AF718" s="168"/>
      <c r="AG718" s="156"/>
      <c r="AH718" s="156"/>
      <c r="AI718" s="410"/>
    </row>
    <row r="719" spans="1:35" ht="19.5" hidden="1" customHeight="1">
      <c r="A719" s="137"/>
      <c r="B719" s="197">
        <f t="shared" si="14"/>
        <v>709</v>
      </c>
      <c r="C719" s="30" t="s">
        <v>202</v>
      </c>
      <c r="D719" s="30" t="s">
        <v>225</v>
      </c>
      <c r="E719" s="234" t="s">
        <v>968</v>
      </c>
      <c r="F719" s="235" t="s">
        <v>1252</v>
      </c>
      <c r="G719" s="284">
        <f>IFERROR(VLOOKUP(E719,Assign!$C$2:$J$142,8,FALSE),)</f>
        <v>0</v>
      </c>
      <c r="H719" s="197" t="s">
        <v>4292</v>
      </c>
      <c r="I719" s="324" t="s">
        <v>4293</v>
      </c>
      <c r="J719" s="237">
        <v>1</v>
      </c>
      <c r="K719" s="237">
        <v>1</v>
      </c>
      <c r="L719" s="265" t="s">
        <v>209</v>
      </c>
      <c r="M719" s="266" t="s">
        <v>291</v>
      </c>
      <c r="N719" s="266" t="s">
        <v>293</v>
      </c>
      <c r="O719" s="267" t="s">
        <v>1860</v>
      </c>
      <c r="P719" s="268" t="s">
        <v>431</v>
      </c>
      <c r="Q719" s="269">
        <f>34102.3+100.5+40.8+2900.9</f>
        <v>37144.500000000007</v>
      </c>
      <c r="R719" s="269">
        <v>59.94</v>
      </c>
      <c r="S719" s="270"/>
      <c r="T719" s="182">
        <f>24.46/37144.5</f>
        <v>6.5850933516402158E-4</v>
      </c>
      <c r="U719" s="182">
        <v>1</v>
      </c>
      <c r="V719" s="408" t="s">
        <v>229</v>
      </c>
      <c r="W719" s="357" t="s">
        <v>204</v>
      </c>
      <c r="X719" s="156">
        <v>480000000</v>
      </c>
      <c r="Y719" s="156">
        <v>480000000</v>
      </c>
      <c r="Z719" s="418" t="s">
        <v>359</v>
      </c>
      <c r="AA719" s="271"/>
      <c r="AB719" s="168"/>
      <c r="AC719" s="156"/>
      <c r="AD719" s="156"/>
      <c r="AE719" s="320"/>
      <c r="AF719" s="168"/>
      <c r="AG719" s="156"/>
      <c r="AH719" s="156"/>
      <c r="AI719" s="410"/>
    </row>
    <row r="720" spans="1:35" ht="19.5" hidden="1" customHeight="1">
      <c r="A720" s="137"/>
      <c r="B720" s="197">
        <f t="shared" si="14"/>
        <v>710</v>
      </c>
      <c r="C720" s="30" t="s">
        <v>202</v>
      </c>
      <c r="D720" s="30" t="s">
        <v>225</v>
      </c>
      <c r="E720" s="234" t="s">
        <v>968</v>
      </c>
      <c r="F720" s="235" t="s">
        <v>1252</v>
      </c>
      <c r="G720" s="284">
        <f>IFERROR(VLOOKUP(E720,Assign!$C$2:$J$142,8,FALSE),)</f>
        <v>0</v>
      </c>
      <c r="H720" s="197" t="s">
        <v>4294</v>
      </c>
      <c r="I720" s="324" t="s">
        <v>4295</v>
      </c>
      <c r="J720" s="237">
        <v>2</v>
      </c>
      <c r="K720" s="237">
        <v>1</v>
      </c>
      <c r="L720" s="265" t="s">
        <v>209</v>
      </c>
      <c r="M720" s="266" t="s">
        <v>282</v>
      </c>
      <c r="N720" s="266" t="s">
        <v>283</v>
      </c>
      <c r="O720" s="267" t="s">
        <v>1861</v>
      </c>
      <c r="P720" s="268" t="s">
        <v>1862</v>
      </c>
      <c r="Q720" s="269">
        <f>498.5+135.9+446.9</f>
        <v>1081.3</v>
      </c>
      <c r="R720" s="269">
        <v>105.29</v>
      </c>
      <c r="S720" s="270"/>
      <c r="T720" s="182">
        <f>13.91/1081.3</f>
        <v>1.2864145010635347E-2</v>
      </c>
      <c r="U720" s="182">
        <v>1</v>
      </c>
      <c r="V720" s="408">
        <v>2</v>
      </c>
      <c r="W720" s="357" t="s">
        <v>204</v>
      </c>
      <c r="X720" s="156">
        <v>228000000</v>
      </c>
      <c r="Y720" s="156">
        <v>228000000</v>
      </c>
      <c r="Z720" s="418" t="s">
        <v>359</v>
      </c>
      <c r="AA720" s="271">
        <v>1</v>
      </c>
      <c r="AB720" s="168" t="s">
        <v>204</v>
      </c>
      <c r="AC720" s="156">
        <v>276000000</v>
      </c>
      <c r="AD720" s="156">
        <v>276000000</v>
      </c>
      <c r="AE720" s="320"/>
      <c r="AF720" s="168"/>
      <c r="AG720" s="156"/>
      <c r="AH720" s="156"/>
      <c r="AI720" s="410"/>
    </row>
    <row r="721" spans="1:35" ht="19.5" hidden="1" customHeight="1">
      <c r="A721" s="137"/>
      <c r="B721" s="197">
        <f t="shared" si="14"/>
        <v>711</v>
      </c>
      <c r="C721" s="30" t="s">
        <v>202</v>
      </c>
      <c r="D721" s="30" t="s">
        <v>225</v>
      </c>
      <c r="E721" s="234" t="s">
        <v>969</v>
      </c>
      <c r="F721" s="235" t="s">
        <v>1229</v>
      </c>
      <c r="G721" s="284">
        <f>IFERROR(VLOOKUP(E721,Assign!$C$2:$J$142,8,FALSE),)</f>
        <v>0</v>
      </c>
      <c r="H721" s="197" t="s">
        <v>4248</v>
      </c>
      <c r="I721" s="324" t="s">
        <v>4249</v>
      </c>
      <c r="J721" s="237">
        <v>1</v>
      </c>
      <c r="K721" s="237">
        <v>1</v>
      </c>
      <c r="L721" s="265" t="s">
        <v>208</v>
      </c>
      <c r="M721" s="266" t="s">
        <v>239</v>
      </c>
      <c r="N721" s="266" t="s">
        <v>240</v>
      </c>
      <c r="O721" s="267" t="s">
        <v>1818</v>
      </c>
      <c r="P721" s="268" t="s">
        <v>433</v>
      </c>
      <c r="Q721" s="269">
        <v>109977.3</v>
      </c>
      <c r="R721" s="269">
        <v>84.81</v>
      </c>
      <c r="S721" s="270"/>
      <c r="T721" s="182">
        <f>59.38/109977.3</f>
        <v>5.3992960365457237E-4</v>
      </c>
      <c r="U721" s="182">
        <v>1</v>
      </c>
      <c r="V721" s="408">
        <v>1</v>
      </c>
      <c r="W721" s="357" t="s">
        <v>204</v>
      </c>
      <c r="X721" s="156">
        <v>714000000</v>
      </c>
      <c r="Y721" s="156">
        <v>714000000</v>
      </c>
      <c r="Z721" s="418" t="s">
        <v>359</v>
      </c>
      <c r="AA721" s="271"/>
      <c r="AB721" s="168"/>
      <c r="AC721" s="156"/>
      <c r="AD721" s="156"/>
      <c r="AE721" s="320"/>
      <c r="AF721" s="168"/>
      <c r="AG721" s="156"/>
      <c r="AH721" s="156"/>
      <c r="AI721" s="410"/>
    </row>
    <row r="722" spans="1:35" ht="19.5" hidden="1" customHeight="1">
      <c r="A722" s="137"/>
      <c r="B722" s="197">
        <f t="shared" si="14"/>
        <v>712</v>
      </c>
      <c r="C722" s="30" t="s">
        <v>202</v>
      </c>
      <c r="D722" s="30" t="s">
        <v>225</v>
      </c>
      <c r="E722" s="234" t="s">
        <v>970</v>
      </c>
      <c r="F722" s="235" t="s">
        <v>1350</v>
      </c>
      <c r="G722" s="284">
        <f>IFERROR(VLOOKUP(E722,Assign!$C$2:$J$142,8,FALSE),)</f>
        <v>0</v>
      </c>
      <c r="H722" s="197" t="s">
        <v>5265</v>
      </c>
      <c r="I722" s="324" t="s">
        <v>5266</v>
      </c>
      <c r="J722" s="237">
        <v>1</v>
      </c>
      <c r="K722" s="237">
        <v>1</v>
      </c>
      <c r="L722" s="265" t="s">
        <v>209</v>
      </c>
      <c r="M722" s="266" t="s">
        <v>226</v>
      </c>
      <c r="N722" s="266" t="s">
        <v>227</v>
      </c>
      <c r="O722" s="267" t="s">
        <v>2753</v>
      </c>
      <c r="P722" s="268" t="s">
        <v>3539</v>
      </c>
      <c r="Q722" s="269">
        <v>4417</v>
      </c>
      <c r="R722" s="269">
        <v>35.64</v>
      </c>
      <c r="S722" s="270"/>
      <c r="T722" s="182">
        <f>9.05/4417</f>
        <v>2.0489019696626671E-3</v>
      </c>
      <c r="U722" s="182">
        <v>1</v>
      </c>
      <c r="V722" s="408">
        <v>1</v>
      </c>
      <c r="W722" s="357" t="s">
        <v>204</v>
      </c>
      <c r="X722" s="156">
        <v>642000000</v>
      </c>
      <c r="Y722" s="156">
        <v>642000000</v>
      </c>
      <c r="Z722" s="418" t="s">
        <v>359</v>
      </c>
      <c r="AA722" s="271"/>
      <c r="AB722" s="168"/>
      <c r="AC722" s="156"/>
      <c r="AD722" s="156"/>
      <c r="AE722" s="320"/>
      <c r="AF722" s="168"/>
      <c r="AG722" s="156"/>
      <c r="AH722" s="156"/>
      <c r="AI722" s="410"/>
    </row>
    <row r="723" spans="1:35" ht="19.5" hidden="1" customHeight="1">
      <c r="A723" s="137"/>
      <c r="B723" s="197">
        <f t="shared" si="14"/>
        <v>713</v>
      </c>
      <c r="C723" s="30" t="s">
        <v>202</v>
      </c>
      <c r="D723" s="30" t="s">
        <v>225</v>
      </c>
      <c r="E723" s="234" t="s">
        <v>970</v>
      </c>
      <c r="F723" s="235" t="s">
        <v>1350</v>
      </c>
      <c r="G723" s="284">
        <f>IFERROR(VLOOKUP(E723,Assign!$C$2:$J$142,8,FALSE),)</f>
        <v>0</v>
      </c>
      <c r="H723" s="197" t="s">
        <v>5265</v>
      </c>
      <c r="I723" s="324" t="s">
        <v>5267</v>
      </c>
      <c r="J723" s="237">
        <v>1</v>
      </c>
      <c r="K723" s="237">
        <v>2</v>
      </c>
      <c r="L723" s="265" t="s">
        <v>209</v>
      </c>
      <c r="M723" s="266" t="s">
        <v>226</v>
      </c>
      <c r="N723" s="266" t="s">
        <v>227</v>
      </c>
      <c r="O723" s="267" t="s">
        <v>2754</v>
      </c>
      <c r="P723" s="268" t="s">
        <v>3539</v>
      </c>
      <c r="Q723" s="269">
        <v>4417</v>
      </c>
      <c r="R723" s="269">
        <v>35.64</v>
      </c>
      <c r="S723" s="270"/>
      <c r="T723" s="182">
        <f>9.05/4417</f>
        <v>2.0489019696626671E-3</v>
      </c>
      <c r="U723" s="182">
        <v>1</v>
      </c>
      <c r="V723" s="408">
        <v>1</v>
      </c>
      <c r="W723" s="357" t="s">
        <v>204</v>
      </c>
      <c r="X723" s="156">
        <v>642000000</v>
      </c>
      <c r="Y723" s="156">
        <v>642000000</v>
      </c>
      <c r="Z723" s="418" t="s">
        <v>359</v>
      </c>
      <c r="AA723" s="271"/>
      <c r="AB723" s="168"/>
      <c r="AC723" s="156"/>
      <c r="AD723" s="156"/>
      <c r="AE723" s="320"/>
      <c r="AF723" s="168"/>
      <c r="AG723" s="156"/>
      <c r="AH723" s="156"/>
      <c r="AI723" s="410"/>
    </row>
    <row r="724" spans="1:35" ht="19.5" hidden="1" customHeight="1">
      <c r="A724" s="137"/>
      <c r="B724" s="197">
        <f t="shared" si="14"/>
        <v>714</v>
      </c>
      <c r="C724" s="30" t="s">
        <v>202</v>
      </c>
      <c r="D724" s="30" t="s">
        <v>225</v>
      </c>
      <c r="E724" s="234" t="s">
        <v>971</v>
      </c>
      <c r="F724" s="235" t="s">
        <v>1352</v>
      </c>
      <c r="G724" s="284">
        <f>IFERROR(VLOOKUP(E724,Assign!$C$2:$J$142,8,FALSE),)</f>
        <v>0</v>
      </c>
      <c r="H724" s="197" t="s">
        <v>5140</v>
      </c>
      <c r="I724" s="324" t="s">
        <v>5141</v>
      </c>
      <c r="J724" s="237">
        <v>1</v>
      </c>
      <c r="K724" s="237">
        <v>1</v>
      </c>
      <c r="L724" s="265" t="s">
        <v>212</v>
      </c>
      <c r="M724" s="266" t="s">
        <v>232</v>
      </c>
      <c r="N724" s="266" t="s">
        <v>293</v>
      </c>
      <c r="O724" s="267" t="s">
        <v>2653</v>
      </c>
      <c r="P724" s="268" t="s">
        <v>473</v>
      </c>
      <c r="Q724" s="269">
        <v>26441.9</v>
      </c>
      <c r="R724" s="269">
        <v>136.29</v>
      </c>
      <c r="S724" s="270"/>
      <c r="T724" s="182">
        <f>42.38/26441.9</f>
        <v>1.6027592570881819E-3</v>
      </c>
      <c r="U724" s="182">
        <v>1</v>
      </c>
      <c r="V724" s="408">
        <v>1</v>
      </c>
      <c r="W724" s="357" t="s">
        <v>204</v>
      </c>
      <c r="X724" s="156">
        <v>708000000</v>
      </c>
      <c r="Y724" s="156">
        <v>708000000</v>
      </c>
      <c r="Z724" s="418" t="s">
        <v>359</v>
      </c>
      <c r="AA724" s="271"/>
      <c r="AB724" s="168"/>
      <c r="AC724" s="156"/>
      <c r="AD724" s="156"/>
      <c r="AE724" s="320"/>
      <c r="AF724" s="168"/>
      <c r="AG724" s="156"/>
      <c r="AH724" s="156"/>
      <c r="AI724" s="410"/>
    </row>
    <row r="725" spans="1:35" ht="19.5" hidden="1" customHeight="1">
      <c r="A725" s="137"/>
      <c r="B725" s="197">
        <f t="shared" si="14"/>
        <v>715</v>
      </c>
      <c r="C725" s="30" t="s">
        <v>202</v>
      </c>
      <c r="D725" s="30" t="s">
        <v>225</v>
      </c>
      <c r="E725" s="234" t="s">
        <v>971</v>
      </c>
      <c r="F725" s="235" t="s">
        <v>1352</v>
      </c>
      <c r="G725" s="284">
        <f>IFERROR(VLOOKUP(E725,Assign!$C$2:$J$142,8,FALSE),)</f>
        <v>0</v>
      </c>
      <c r="H725" s="197" t="s">
        <v>5140</v>
      </c>
      <c r="I725" s="324" t="s">
        <v>5142</v>
      </c>
      <c r="J725" s="237">
        <v>1</v>
      </c>
      <c r="K725" s="237">
        <v>2</v>
      </c>
      <c r="L725" s="265" t="s">
        <v>212</v>
      </c>
      <c r="M725" s="266" t="s">
        <v>232</v>
      </c>
      <c r="N725" s="266" t="s">
        <v>293</v>
      </c>
      <c r="O725" s="267" t="s">
        <v>2654</v>
      </c>
      <c r="P725" s="268" t="s">
        <v>473</v>
      </c>
      <c r="Q725" s="269">
        <v>26441.9</v>
      </c>
      <c r="R725" s="269">
        <v>143.37</v>
      </c>
      <c r="S725" s="270"/>
      <c r="T725" s="182">
        <f>44.59/26441.9</f>
        <v>1.6863387275498358E-3</v>
      </c>
      <c r="U725" s="182">
        <v>1</v>
      </c>
      <c r="V725" s="408">
        <v>1</v>
      </c>
      <c r="W725" s="357" t="s">
        <v>204</v>
      </c>
      <c r="X725" s="156">
        <v>708000000</v>
      </c>
      <c r="Y725" s="156">
        <v>708000000</v>
      </c>
      <c r="Z725" s="418" t="s">
        <v>359</v>
      </c>
      <c r="AA725" s="271"/>
      <c r="AB725" s="168"/>
      <c r="AC725" s="156"/>
      <c r="AD725" s="156"/>
      <c r="AE725" s="320"/>
      <c r="AF725" s="168"/>
      <c r="AG725" s="156"/>
      <c r="AH725" s="156"/>
      <c r="AI725" s="410"/>
    </row>
    <row r="726" spans="1:35" ht="19.5" hidden="1" customHeight="1">
      <c r="A726" s="137"/>
      <c r="B726" s="197">
        <f t="shared" si="14"/>
        <v>716</v>
      </c>
      <c r="C726" s="30" t="s">
        <v>202</v>
      </c>
      <c r="D726" s="30" t="s">
        <v>225</v>
      </c>
      <c r="E726" s="234" t="s">
        <v>972</v>
      </c>
      <c r="F726" s="235" t="s">
        <v>1225</v>
      </c>
      <c r="G726" s="284">
        <f>IFERROR(VLOOKUP(E726,Assign!$C$2:$J$142,8,FALSE),)</f>
        <v>0</v>
      </c>
      <c r="H726" s="197" t="s">
        <v>4541</v>
      </c>
      <c r="I726" s="324" t="s">
        <v>4542</v>
      </c>
      <c r="J726" s="237">
        <v>1</v>
      </c>
      <c r="K726" s="237">
        <v>1</v>
      </c>
      <c r="L726" s="265" t="s">
        <v>212</v>
      </c>
      <c r="M726" s="266" t="s">
        <v>309</v>
      </c>
      <c r="N726" s="266" t="s">
        <v>2081</v>
      </c>
      <c r="O726" s="267" t="s">
        <v>2082</v>
      </c>
      <c r="P726" s="268" t="s">
        <v>2083</v>
      </c>
      <c r="Q726" s="366" t="s">
        <v>265</v>
      </c>
      <c r="R726" s="269">
        <v>74.400000000000006</v>
      </c>
      <c r="S726" s="270"/>
      <c r="T726" s="182" t="s">
        <v>265</v>
      </c>
      <c r="U726" s="182">
        <v>1</v>
      </c>
      <c r="V726" s="408">
        <v>1</v>
      </c>
      <c r="W726" s="357" t="s">
        <v>204</v>
      </c>
      <c r="X726" s="156">
        <v>612000000</v>
      </c>
      <c r="Y726" s="156">
        <v>612000000</v>
      </c>
      <c r="Z726" s="418" t="s">
        <v>359</v>
      </c>
      <c r="AA726" s="271"/>
      <c r="AB726" s="168"/>
      <c r="AC726" s="156"/>
      <c r="AD726" s="156"/>
      <c r="AE726" s="320"/>
      <c r="AF726" s="168"/>
      <c r="AG726" s="156"/>
      <c r="AH726" s="156"/>
      <c r="AI726" s="410"/>
    </row>
    <row r="727" spans="1:35" ht="19.5" hidden="1" customHeight="1">
      <c r="A727" s="137"/>
      <c r="B727" s="197">
        <f t="shared" si="14"/>
        <v>717</v>
      </c>
      <c r="C727" s="30" t="s">
        <v>202</v>
      </c>
      <c r="D727" s="30" t="s">
        <v>225</v>
      </c>
      <c r="E727" s="234" t="s">
        <v>972</v>
      </c>
      <c r="F727" s="235" t="s">
        <v>1225</v>
      </c>
      <c r="G727" s="284">
        <f>IFERROR(VLOOKUP(E727,Assign!$C$2:$J$142,8,FALSE),)</f>
        <v>0</v>
      </c>
      <c r="H727" s="197" t="s">
        <v>4541</v>
      </c>
      <c r="I727" s="324" t="s">
        <v>4543</v>
      </c>
      <c r="J727" s="237">
        <v>1</v>
      </c>
      <c r="K727" s="237">
        <v>2</v>
      </c>
      <c r="L727" s="265" t="s">
        <v>212</v>
      </c>
      <c r="M727" s="266" t="s">
        <v>309</v>
      </c>
      <c r="N727" s="266" t="s">
        <v>2081</v>
      </c>
      <c r="O727" s="267" t="s">
        <v>2084</v>
      </c>
      <c r="P727" s="268" t="s">
        <v>2083</v>
      </c>
      <c r="Q727" s="366" t="s">
        <v>265</v>
      </c>
      <c r="R727" s="269">
        <v>74.400000000000006</v>
      </c>
      <c r="S727" s="270"/>
      <c r="T727" s="182" t="s">
        <v>265</v>
      </c>
      <c r="U727" s="182">
        <v>1</v>
      </c>
      <c r="V727" s="408">
        <v>1</v>
      </c>
      <c r="W727" s="357" t="s">
        <v>204</v>
      </c>
      <c r="X727" s="156">
        <v>612000000</v>
      </c>
      <c r="Y727" s="156">
        <v>612000000</v>
      </c>
      <c r="Z727" s="418" t="s">
        <v>359</v>
      </c>
      <c r="AA727" s="271"/>
      <c r="AB727" s="168"/>
      <c r="AC727" s="156"/>
      <c r="AD727" s="156"/>
      <c r="AE727" s="320"/>
      <c r="AF727" s="168"/>
      <c r="AG727" s="156"/>
      <c r="AH727" s="156"/>
      <c r="AI727" s="410"/>
    </row>
    <row r="728" spans="1:35" ht="19.5" hidden="1" customHeight="1">
      <c r="A728" s="137"/>
      <c r="B728" s="197">
        <f t="shared" si="14"/>
        <v>718</v>
      </c>
      <c r="C728" s="30" t="s">
        <v>202</v>
      </c>
      <c r="D728" s="30" t="s">
        <v>225</v>
      </c>
      <c r="E728" s="234" t="s">
        <v>973</v>
      </c>
      <c r="F728" s="235" t="s">
        <v>1277</v>
      </c>
      <c r="G728" s="284">
        <f>IFERROR(VLOOKUP(E728,Assign!$C$2:$J$142,8,FALSE),)</f>
        <v>0</v>
      </c>
      <c r="H728" s="197" t="s">
        <v>5455</v>
      </c>
      <c r="I728" s="324" t="s">
        <v>5456</v>
      </c>
      <c r="J728" s="237">
        <v>1</v>
      </c>
      <c r="K728" s="237">
        <v>1</v>
      </c>
      <c r="L728" s="265" t="s">
        <v>212</v>
      </c>
      <c r="M728" s="266" t="s">
        <v>232</v>
      </c>
      <c r="N728" s="266" t="s">
        <v>367</v>
      </c>
      <c r="O728" s="267" t="s">
        <v>2931</v>
      </c>
      <c r="P728" s="268" t="s">
        <v>2932</v>
      </c>
      <c r="Q728" s="366" t="s">
        <v>265</v>
      </c>
      <c r="R728" s="269">
        <v>36.67</v>
      </c>
      <c r="S728" s="270"/>
      <c r="T728" s="182" t="s">
        <v>265</v>
      </c>
      <c r="U728" s="182">
        <v>1</v>
      </c>
      <c r="V728" s="408">
        <v>1</v>
      </c>
      <c r="W728" s="357" t="s">
        <v>204</v>
      </c>
      <c r="X728" s="156">
        <v>600000000</v>
      </c>
      <c r="Y728" s="156">
        <v>600000000</v>
      </c>
      <c r="Z728" s="418" t="s">
        <v>359</v>
      </c>
      <c r="AA728" s="271"/>
      <c r="AB728" s="168"/>
      <c r="AC728" s="156"/>
      <c r="AD728" s="156"/>
      <c r="AE728" s="320"/>
      <c r="AF728" s="168"/>
      <c r="AG728" s="156"/>
      <c r="AH728" s="156"/>
      <c r="AI728" s="410"/>
    </row>
    <row r="729" spans="1:35" ht="19.5" hidden="1" customHeight="1">
      <c r="A729" s="137"/>
      <c r="B729" s="197">
        <f t="shared" si="14"/>
        <v>719</v>
      </c>
      <c r="C729" s="30" t="s">
        <v>202</v>
      </c>
      <c r="D729" s="30" t="s">
        <v>225</v>
      </c>
      <c r="E729" s="234" t="s">
        <v>974</v>
      </c>
      <c r="F729" s="235" t="s">
        <v>1353</v>
      </c>
      <c r="G729" s="284">
        <f>IFERROR(VLOOKUP(E729,Assign!$C$2:$J$142,8,FALSE),)</f>
        <v>0</v>
      </c>
      <c r="H729" s="197" t="s">
        <v>5268</v>
      </c>
      <c r="I729" s="324" t="s">
        <v>5269</v>
      </c>
      <c r="J729" s="237">
        <v>1</v>
      </c>
      <c r="K729" s="237">
        <v>1</v>
      </c>
      <c r="L729" s="265" t="s">
        <v>208</v>
      </c>
      <c r="M729" s="266" t="s">
        <v>228</v>
      </c>
      <c r="N729" s="266" t="s">
        <v>2755</v>
      </c>
      <c r="O729" s="267" t="s">
        <v>2756</v>
      </c>
      <c r="P729" s="268" t="s">
        <v>470</v>
      </c>
      <c r="Q729" s="269"/>
      <c r="R729" s="269">
        <f>766.57+598.99</f>
        <v>1365.56</v>
      </c>
      <c r="S729" s="270"/>
      <c r="T729" s="182"/>
      <c r="U729" s="182">
        <v>1</v>
      </c>
      <c r="V729" s="408">
        <v>3</v>
      </c>
      <c r="W729" s="357" t="s">
        <v>204</v>
      </c>
      <c r="X729" s="156">
        <v>1200000000</v>
      </c>
      <c r="Y729" s="156">
        <v>1200000000</v>
      </c>
      <c r="Z729" s="418" t="s">
        <v>359</v>
      </c>
      <c r="AA729" s="271" t="s">
        <v>229</v>
      </c>
      <c r="AB729" s="168" t="s">
        <v>204</v>
      </c>
      <c r="AC729" s="156">
        <v>2268000000</v>
      </c>
      <c r="AD729" s="156">
        <v>2268000000</v>
      </c>
      <c r="AE729" s="320"/>
      <c r="AF729" s="168"/>
      <c r="AG729" s="156"/>
      <c r="AH729" s="156"/>
      <c r="AI729" s="410"/>
    </row>
    <row r="730" spans="1:35" ht="19.5" hidden="1" customHeight="1">
      <c r="A730" s="137"/>
      <c r="B730" s="197">
        <f t="shared" si="14"/>
        <v>720</v>
      </c>
      <c r="C730" s="30" t="s">
        <v>202</v>
      </c>
      <c r="D730" s="30" t="s">
        <v>225</v>
      </c>
      <c r="E730" s="234" t="s">
        <v>974</v>
      </c>
      <c r="F730" s="235" t="s">
        <v>1353</v>
      </c>
      <c r="G730" s="284">
        <f>IFERROR(VLOOKUP(E730,Assign!$C$2:$J$142,8,FALSE),)</f>
        <v>0</v>
      </c>
      <c r="H730" s="197" t="s">
        <v>5268</v>
      </c>
      <c r="I730" s="324" t="s">
        <v>5270</v>
      </c>
      <c r="J730" s="237">
        <v>1</v>
      </c>
      <c r="K730" s="237">
        <v>2</v>
      </c>
      <c r="L730" s="265" t="s">
        <v>208</v>
      </c>
      <c r="M730" s="266" t="s">
        <v>228</v>
      </c>
      <c r="N730" s="266" t="s">
        <v>2755</v>
      </c>
      <c r="O730" s="267" t="s">
        <v>2757</v>
      </c>
      <c r="P730" s="268" t="s">
        <v>447</v>
      </c>
      <c r="Q730" s="269">
        <v>2330</v>
      </c>
      <c r="R730" s="269"/>
      <c r="S730" s="270"/>
      <c r="T730" s="182"/>
      <c r="U730" s="182">
        <v>1</v>
      </c>
      <c r="V730" s="408">
        <v>3</v>
      </c>
      <c r="W730" s="357" t="s">
        <v>204</v>
      </c>
      <c r="X730" s="156">
        <v>1200000000</v>
      </c>
      <c r="Y730" s="156">
        <v>1200000000</v>
      </c>
      <c r="Z730" s="418" t="s">
        <v>359</v>
      </c>
      <c r="AA730" s="271" t="s">
        <v>229</v>
      </c>
      <c r="AB730" s="168" t="s">
        <v>204</v>
      </c>
      <c r="AC730" s="156">
        <v>2268000000</v>
      </c>
      <c r="AD730" s="156">
        <v>2268000000</v>
      </c>
      <c r="AE730" s="320"/>
      <c r="AF730" s="168"/>
      <c r="AG730" s="156"/>
      <c r="AH730" s="156"/>
      <c r="AI730" s="410"/>
    </row>
    <row r="731" spans="1:35" ht="19.5" hidden="1" customHeight="1">
      <c r="A731" s="137"/>
      <c r="B731" s="197">
        <f t="shared" si="14"/>
        <v>721</v>
      </c>
      <c r="C731" s="30" t="s">
        <v>202</v>
      </c>
      <c r="D731" s="30" t="s">
        <v>225</v>
      </c>
      <c r="E731" s="234" t="s">
        <v>975</v>
      </c>
      <c r="F731" s="235" t="s">
        <v>1225</v>
      </c>
      <c r="G731" s="284">
        <f>IFERROR(VLOOKUP(E731,Assign!$C$2:$J$142,8,FALSE),)</f>
        <v>0</v>
      </c>
      <c r="H731" s="29" t="s">
        <v>3908</v>
      </c>
      <c r="I731" s="359" t="s">
        <v>3909</v>
      </c>
      <c r="J731" s="237">
        <v>1</v>
      </c>
      <c r="K731" s="237">
        <v>1</v>
      </c>
      <c r="L731" s="265" t="s">
        <v>208</v>
      </c>
      <c r="M731" s="266" t="s">
        <v>301</v>
      </c>
      <c r="N731" s="266" t="s">
        <v>302</v>
      </c>
      <c r="O731" s="267" t="s">
        <v>1478</v>
      </c>
      <c r="P731" s="268" t="s">
        <v>1479</v>
      </c>
      <c r="Q731" s="269">
        <v>505.9</v>
      </c>
      <c r="R731" s="269">
        <v>40.28</v>
      </c>
      <c r="S731" s="270"/>
      <c r="T731" s="182">
        <f>17.6/505.9</f>
        <v>3.4789484087764382E-2</v>
      </c>
      <c r="U731" s="182">
        <v>1</v>
      </c>
      <c r="V731" s="408">
        <v>1</v>
      </c>
      <c r="W731" s="357" t="s">
        <v>204</v>
      </c>
      <c r="X731" s="156">
        <v>588000000</v>
      </c>
      <c r="Y731" s="156">
        <v>588000000</v>
      </c>
      <c r="Z731" s="418" t="s">
        <v>359</v>
      </c>
      <c r="AA731" s="271"/>
      <c r="AB731" s="168"/>
      <c r="AC731" s="156"/>
      <c r="AD731" s="156"/>
      <c r="AE731" s="320"/>
      <c r="AF731" s="168"/>
      <c r="AG731" s="156"/>
      <c r="AH731" s="156"/>
      <c r="AI731" s="410"/>
    </row>
    <row r="732" spans="1:35" ht="19.5" customHeight="1">
      <c r="A732" s="137"/>
      <c r="B732" s="197">
        <f t="shared" si="14"/>
        <v>722</v>
      </c>
      <c r="C732" s="30" t="s">
        <v>202</v>
      </c>
      <c r="D732" s="30" t="s">
        <v>225</v>
      </c>
      <c r="E732" s="234" t="s">
        <v>976</v>
      </c>
      <c r="F732" s="235" t="s">
        <v>1354</v>
      </c>
      <c r="G732" s="284" t="str">
        <f>IFERROR(VLOOKUP(E732,Assign!$C$2:$J$142,8,FALSE),)</f>
        <v>문선영</v>
      </c>
      <c r="H732" s="197" t="s">
        <v>5306</v>
      </c>
      <c r="I732" s="324" t="s">
        <v>5307</v>
      </c>
      <c r="J732" s="237">
        <v>1</v>
      </c>
      <c r="K732" s="237">
        <v>1</v>
      </c>
      <c r="L732" s="265" t="s">
        <v>208</v>
      </c>
      <c r="M732" s="266" t="s">
        <v>325</v>
      </c>
      <c r="N732" s="266" t="s">
        <v>358</v>
      </c>
      <c r="O732" s="267" t="s">
        <v>2788</v>
      </c>
      <c r="P732" s="268" t="s">
        <v>434</v>
      </c>
      <c r="Q732" s="269">
        <v>70481.5</v>
      </c>
      <c r="R732" s="269">
        <v>134.3218</v>
      </c>
      <c r="S732" s="270"/>
      <c r="T732" s="182">
        <f>80.8068/70481.5</f>
        <v>1.1464965983981612E-3</v>
      </c>
      <c r="U732" s="182">
        <v>1</v>
      </c>
      <c r="V732" s="408">
        <v>2</v>
      </c>
      <c r="W732" s="357" t="s">
        <v>204</v>
      </c>
      <c r="X732" s="156">
        <v>566400000</v>
      </c>
      <c r="Y732" s="156">
        <v>566400000</v>
      </c>
      <c r="Z732" s="418" t="s">
        <v>359</v>
      </c>
      <c r="AA732" s="271">
        <v>1</v>
      </c>
      <c r="AB732" s="168" t="s">
        <v>204</v>
      </c>
      <c r="AC732" s="156">
        <v>97400000</v>
      </c>
      <c r="AD732" s="156">
        <v>97400000</v>
      </c>
      <c r="AE732" s="320"/>
      <c r="AF732" s="168"/>
      <c r="AG732" s="156"/>
      <c r="AH732" s="156"/>
      <c r="AI732" s="410"/>
    </row>
    <row r="733" spans="1:35" ht="19.5" hidden="1" customHeight="1">
      <c r="A733" s="137"/>
      <c r="B733" s="197">
        <f t="shared" si="14"/>
        <v>723</v>
      </c>
      <c r="C733" s="30" t="s">
        <v>202</v>
      </c>
      <c r="D733" s="30" t="s">
        <v>225</v>
      </c>
      <c r="E733" s="234" t="s">
        <v>977</v>
      </c>
      <c r="F733" s="235" t="s">
        <v>1226</v>
      </c>
      <c r="G733" s="284">
        <f>IFERROR(VLOOKUP(E733,Assign!$C$2:$J$142,8,FALSE),)</f>
        <v>0</v>
      </c>
      <c r="H733" s="197" t="s">
        <v>4581</v>
      </c>
      <c r="I733" s="324" t="s">
        <v>4582</v>
      </c>
      <c r="J733" s="237">
        <v>1</v>
      </c>
      <c r="K733" s="237">
        <v>1</v>
      </c>
      <c r="L733" s="265" t="s">
        <v>208</v>
      </c>
      <c r="M733" s="266" t="s">
        <v>242</v>
      </c>
      <c r="N733" s="266" t="s">
        <v>243</v>
      </c>
      <c r="O733" s="267" t="s">
        <v>2118</v>
      </c>
      <c r="P733" s="268" t="s">
        <v>475</v>
      </c>
      <c r="Q733" s="366" t="s">
        <v>265</v>
      </c>
      <c r="R733" s="269">
        <v>84.038700000000006</v>
      </c>
      <c r="S733" s="270"/>
      <c r="T733" s="182" t="s">
        <v>265</v>
      </c>
      <c r="U733" s="182">
        <v>1</v>
      </c>
      <c r="V733" s="408">
        <v>1</v>
      </c>
      <c r="W733" s="357" t="s">
        <v>204</v>
      </c>
      <c r="X733" s="156">
        <v>519100000</v>
      </c>
      <c r="Y733" s="156">
        <v>519100000</v>
      </c>
      <c r="Z733" s="418" t="s">
        <v>359</v>
      </c>
      <c r="AA733" s="271"/>
      <c r="AB733" s="168"/>
      <c r="AC733" s="156"/>
      <c r="AD733" s="156"/>
      <c r="AE733" s="320"/>
      <c r="AF733" s="168"/>
      <c r="AG733" s="156"/>
      <c r="AH733" s="156"/>
      <c r="AI733" s="410"/>
    </row>
    <row r="734" spans="1:35" ht="19.5" hidden="1" customHeight="1">
      <c r="A734" s="137"/>
      <c r="B734" s="197">
        <f t="shared" si="14"/>
        <v>724</v>
      </c>
      <c r="C734" s="30" t="s">
        <v>202</v>
      </c>
      <c r="D734" s="30" t="s">
        <v>225</v>
      </c>
      <c r="E734" s="234" t="s">
        <v>978</v>
      </c>
      <c r="F734" s="235" t="s">
        <v>1234</v>
      </c>
      <c r="G734" s="284">
        <f>IFERROR(VLOOKUP(E734,Assign!$C$2:$J$142,8,FALSE),)</f>
        <v>0</v>
      </c>
      <c r="H734" s="197" t="s">
        <v>4100</v>
      </c>
      <c r="I734" s="324" t="s">
        <v>4101</v>
      </c>
      <c r="J734" s="237">
        <v>1</v>
      </c>
      <c r="K734" s="237">
        <v>1</v>
      </c>
      <c r="L734" s="265" t="s">
        <v>208</v>
      </c>
      <c r="M734" s="266" t="s">
        <v>244</v>
      </c>
      <c r="N734" s="266" t="s">
        <v>278</v>
      </c>
      <c r="O734" s="267" t="s">
        <v>1676</v>
      </c>
      <c r="P734" s="268" t="s">
        <v>1677</v>
      </c>
      <c r="Q734" s="269">
        <v>7253</v>
      </c>
      <c r="R734" s="269">
        <v>56.064500000000002</v>
      </c>
      <c r="S734" s="270"/>
      <c r="T734" s="182">
        <f>10.0993/7253</f>
        <v>1.3924307183234522E-3</v>
      </c>
      <c r="U734" s="182">
        <v>1</v>
      </c>
      <c r="V734" s="408">
        <v>1</v>
      </c>
      <c r="W734" s="357" t="s">
        <v>204</v>
      </c>
      <c r="X734" s="156">
        <v>576000000</v>
      </c>
      <c r="Y734" s="156">
        <v>576000000</v>
      </c>
      <c r="Z734" s="418" t="s">
        <v>359</v>
      </c>
      <c r="AA734" s="271"/>
      <c r="AB734" s="168"/>
      <c r="AC734" s="156"/>
      <c r="AD734" s="156"/>
      <c r="AE734" s="320"/>
      <c r="AF734" s="168"/>
      <c r="AG734" s="156"/>
      <c r="AH734" s="156"/>
      <c r="AI734" s="410"/>
    </row>
    <row r="735" spans="1:35" ht="19.5" hidden="1" customHeight="1">
      <c r="A735" s="137"/>
      <c r="B735" s="197">
        <f t="shared" si="14"/>
        <v>725</v>
      </c>
      <c r="C735" s="30" t="s">
        <v>202</v>
      </c>
      <c r="D735" s="30" t="s">
        <v>225</v>
      </c>
      <c r="E735" s="234" t="s">
        <v>979</v>
      </c>
      <c r="F735" s="235" t="s">
        <v>1225</v>
      </c>
      <c r="G735" s="284">
        <f>IFERROR(VLOOKUP(E735,Assign!$C$2:$J$142,8,FALSE),)</f>
        <v>0</v>
      </c>
      <c r="H735" s="197" t="s">
        <v>4640</v>
      </c>
      <c r="I735" s="324" t="s">
        <v>4641</v>
      </c>
      <c r="J735" s="237">
        <v>1</v>
      </c>
      <c r="K735" s="237">
        <v>1</v>
      </c>
      <c r="L735" s="265" t="s">
        <v>208</v>
      </c>
      <c r="M735" s="266" t="s">
        <v>228</v>
      </c>
      <c r="N735" s="266" t="s">
        <v>2174</v>
      </c>
      <c r="O735" s="267" t="s">
        <v>3053</v>
      </c>
      <c r="P735" s="268" t="s">
        <v>451</v>
      </c>
      <c r="Q735" s="366" t="s">
        <v>265</v>
      </c>
      <c r="R735" s="269">
        <v>84.979500000000002</v>
      </c>
      <c r="S735" s="270"/>
      <c r="T735" s="182" t="s">
        <v>265</v>
      </c>
      <c r="U735" s="182">
        <v>1</v>
      </c>
      <c r="V735" s="408">
        <v>1</v>
      </c>
      <c r="W735" s="357" t="s">
        <v>204</v>
      </c>
      <c r="X735" s="156">
        <v>454300000</v>
      </c>
      <c r="Y735" s="156">
        <v>454300000</v>
      </c>
      <c r="Z735" s="418" t="s">
        <v>359</v>
      </c>
      <c r="AA735" s="271"/>
      <c r="AB735" s="168"/>
      <c r="AC735" s="156"/>
      <c r="AD735" s="156"/>
      <c r="AE735" s="320"/>
      <c r="AF735" s="168"/>
      <c r="AG735" s="156"/>
      <c r="AH735" s="156"/>
      <c r="AI735" s="410"/>
    </row>
    <row r="736" spans="1:35" ht="19.5" hidden="1" customHeight="1">
      <c r="A736" s="137"/>
      <c r="B736" s="197">
        <f t="shared" si="14"/>
        <v>726</v>
      </c>
      <c r="C736" s="30" t="s">
        <v>202</v>
      </c>
      <c r="D736" s="30" t="s">
        <v>225</v>
      </c>
      <c r="E736" s="234" t="s">
        <v>980</v>
      </c>
      <c r="F736" s="235" t="s">
        <v>1248</v>
      </c>
      <c r="G736" s="284">
        <f>IFERROR(VLOOKUP(E736,Assign!$C$2:$J$142,8,FALSE),)</f>
        <v>0</v>
      </c>
      <c r="H736" s="197" t="s">
        <v>5071</v>
      </c>
      <c r="I736" s="324" t="s">
        <v>5072</v>
      </c>
      <c r="J736" s="237">
        <v>1</v>
      </c>
      <c r="K736" s="237">
        <v>1</v>
      </c>
      <c r="L736" s="265" t="s">
        <v>220</v>
      </c>
      <c r="M736" s="266" t="s">
        <v>2584</v>
      </c>
      <c r="N736" s="266" t="s">
        <v>2585</v>
      </c>
      <c r="O736" s="267" t="s">
        <v>2586</v>
      </c>
      <c r="P736" s="268" t="s">
        <v>479</v>
      </c>
      <c r="Q736" s="269">
        <v>34846.6</v>
      </c>
      <c r="R736" s="269">
        <v>59.625999999999998</v>
      </c>
      <c r="S736" s="270"/>
      <c r="T736" s="182">
        <f>40.9492/34846.6</f>
        <v>1.1751275590731951E-3</v>
      </c>
      <c r="U736" s="182">
        <v>1</v>
      </c>
      <c r="V736" s="408" t="s">
        <v>229</v>
      </c>
      <c r="W736" s="357" t="s">
        <v>204</v>
      </c>
      <c r="X736" s="156">
        <v>233600000</v>
      </c>
      <c r="Y736" s="156">
        <v>233600000</v>
      </c>
      <c r="Z736" s="418" t="s">
        <v>359</v>
      </c>
      <c r="AA736" s="271"/>
      <c r="AB736" s="168"/>
      <c r="AC736" s="156"/>
      <c r="AD736" s="156"/>
      <c r="AE736" s="320"/>
      <c r="AF736" s="168"/>
      <c r="AG736" s="156"/>
      <c r="AH736" s="156"/>
      <c r="AI736" s="410"/>
    </row>
    <row r="737" spans="1:35" ht="19.5" hidden="1" customHeight="1">
      <c r="A737" s="137"/>
      <c r="B737" s="197">
        <f t="shared" si="14"/>
        <v>727</v>
      </c>
      <c r="C737" s="30" t="s">
        <v>202</v>
      </c>
      <c r="D737" s="30" t="s">
        <v>225</v>
      </c>
      <c r="E737" s="234" t="s">
        <v>980</v>
      </c>
      <c r="F737" s="235" t="s">
        <v>1248</v>
      </c>
      <c r="G737" s="284">
        <f>IFERROR(VLOOKUP(E737,Assign!$C$2:$J$142,8,FALSE),)</f>
        <v>0</v>
      </c>
      <c r="H737" s="197" t="s">
        <v>5073</v>
      </c>
      <c r="I737" s="324" t="s">
        <v>5074</v>
      </c>
      <c r="J737" s="237">
        <v>2</v>
      </c>
      <c r="K737" s="237">
        <v>1</v>
      </c>
      <c r="L737" s="265" t="s">
        <v>217</v>
      </c>
      <c r="M737" s="266" t="s">
        <v>545</v>
      </c>
      <c r="N737" s="266" t="s">
        <v>3726</v>
      </c>
      <c r="O737" s="267" t="s">
        <v>3727</v>
      </c>
      <c r="P737" s="268" t="s">
        <v>3728</v>
      </c>
      <c r="Q737" s="269"/>
      <c r="R737" s="269"/>
      <c r="S737" s="270"/>
      <c r="T737" s="182"/>
      <c r="U737" s="182">
        <v>1</v>
      </c>
      <c r="V737" s="408">
        <v>1</v>
      </c>
      <c r="W737" s="357" t="s">
        <v>204</v>
      </c>
      <c r="X737" s="156">
        <v>330000000</v>
      </c>
      <c r="Y737" s="156">
        <v>330000000</v>
      </c>
      <c r="Z737" s="418" t="s">
        <v>359</v>
      </c>
      <c r="AA737" s="271"/>
      <c r="AB737" s="168"/>
      <c r="AC737" s="156"/>
      <c r="AD737" s="156"/>
      <c r="AE737" s="320"/>
      <c r="AF737" s="168"/>
      <c r="AG737" s="156"/>
      <c r="AH737" s="156"/>
      <c r="AI737" s="410"/>
    </row>
    <row r="738" spans="1:35" ht="19.5" hidden="1" customHeight="1">
      <c r="A738" s="137"/>
      <c r="B738" s="197">
        <f t="shared" si="14"/>
        <v>728</v>
      </c>
      <c r="C738" s="30" t="s">
        <v>202</v>
      </c>
      <c r="D738" s="30" t="s">
        <v>225</v>
      </c>
      <c r="E738" s="234" t="s">
        <v>981</v>
      </c>
      <c r="F738" s="235" t="s">
        <v>1356</v>
      </c>
      <c r="G738" s="284">
        <f>IFERROR(VLOOKUP(E738,Assign!$C$2:$J$142,8,FALSE),)</f>
        <v>0</v>
      </c>
      <c r="H738" s="197" t="s">
        <v>5302</v>
      </c>
      <c r="I738" s="324" t="s">
        <v>5303</v>
      </c>
      <c r="J738" s="237">
        <v>1</v>
      </c>
      <c r="K738" s="237">
        <v>1</v>
      </c>
      <c r="L738" s="265" t="s">
        <v>208</v>
      </c>
      <c r="M738" s="266" t="s">
        <v>369</v>
      </c>
      <c r="N738" s="266" t="s">
        <v>1931</v>
      </c>
      <c r="O738" s="267" t="s">
        <v>2785</v>
      </c>
      <c r="P738" s="268" t="s">
        <v>449</v>
      </c>
      <c r="Q738" s="269">
        <v>31980</v>
      </c>
      <c r="R738" s="269">
        <v>84.986400000000003</v>
      </c>
      <c r="S738" s="270"/>
      <c r="T738" s="182" t="s">
        <v>273</v>
      </c>
      <c r="U738" s="182">
        <v>1</v>
      </c>
      <c r="V738" s="408">
        <v>1</v>
      </c>
      <c r="W738" s="357" t="s">
        <v>204</v>
      </c>
      <c r="X738" s="156">
        <v>480000000</v>
      </c>
      <c r="Y738" s="156">
        <v>480000000</v>
      </c>
      <c r="Z738" s="418" t="s">
        <v>359</v>
      </c>
      <c r="AA738" s="271"/>
      <c r="AB738" s="168"/>
      <c r="AC738" s="156"/>
      <c r="AD738" s="156"/>
      <c r="AE738" s="320"/>
      <c r="AF738" s="168"/>
      <c r="AG738" s="156"/>
      <c r="AH738" s="156"/>
      <c r="AI738" s="410"/>
    </row>
    <row r="739" spans="1:35" ht="19.5" hidden="1" customHeight="1">
      <c r="A739" s="137"/>
      <c r="B739" s="197">
        <f t="shared" si="14"/>
        <v>729</v>
      </c>
      <c r="C739" s="30" t="s">
        <v>202</v>
      </c>
      <c r="D739" s="30" t="s">
        <v>225</v>
      </c>
      <c r="E739" s="234" t="s">
        <v>982</v>
      </c>
      <c r="F739" s="235" t="s">
        <v>1235</v>
      </c>
      <c r="G739" s="284">
        <f>IFERROR(VLOOKUP(E739,Assign!$C$2:$J$142,8,FALSE),)</f>
        <v>0</v>
      </c>
      <c r="H739" s="197" t="s">
        <v>4229</v>
      </c>
      <c r="I739" s="324" t="s">
        <v>4230</v>
      </c>
      <c r="J739" s="237">
        <v>1</v>
      </c>
      <c r="K739" s="237">
        <v>1</v>
      </c>
      <c r="L739" s="265" t="s">
        <v>208</v>
      </c>
      <c r="M739" s="266" t="s">
        <v>237</v>
      </c>
      <c r="N739" s="266" t="s">
        <v>1804</v>
      </c>
      <c r="O739" s="267" t="s">
        <v>1805</v>
      </c>
      <c r="P739" s="268" t="s">
        <v>482</v>
      </c>
      <c r="Q739" s="269"/>
      <c r="R739" s="269">
        <f>103.32+103.32+14.25</f>
        <v>220.89</v>
      </c>
      <c r="S739" s="270"/>
      <c r="T739" s="182"/>
      <c r="U739" s="182">
        <v>1</v>
      </c>
      <c r="V739" s="408" t="s">
        <v>233</v>
      </c>
      <c r="W739" s="357" t="s">
        <v>204</v>
      </c>
      <c r="X739" s="156">
        <v>571200000</v>
      </c>
      <c r="Y739" s="156">
        <v>571200000</v>
      </c>
      <c r="Z739" s="418" t="s">
        <v>359</v>
      </c>
      <c r="AA739" s="271"/>
      <c r="AB739" s="168"/>
      <c r="AC739" s="156"/>
      <c r="AD739" s="156"/>
      <c r="AE739" s="320"/>
      <c r="AF739" s="168"/>
      <c r="AG739" s="156"/>
      <c r="AH739" s="156"/>
      <c r="AI739" s="410"/>
    </row>
    <row r="740" spans="1:35" ht="19.5" hidden="1" customHeight="1">
      <c r="A740" s="137"/>
      <c r="B740" s="197">
        <f t="shared" si="14"/>
        <v>730</v>
      </c>
      <c r="C740" s="30" t="s">
        <v>202</v>
      </c>
      <c r="D740" s="30" t="s">
        <v>225</v>
      </c>
      <c r="E740" s="234" t="s">
        <v>982</v>
      </c>
      <c r="F740" s="235" t="s">
        <v>1235</v>
      </c>
      <c r="G740" s="284">
        <f>IFERROR(VLOOKUP(E740,Assign!$C$2:$J$142,8,FALSE),)</f>
        <v>0</v>
      </c>
      <c r="H740" s="197" t="s">
        <v>4229</v>
      </c>
      <c r="I740" s="324" t="s">
        <v>4231</v>
      </c>
      <c r="J740" s="237">
        <v>1</v>
      </c>
      <c r="K740" s="237">
        <v>2</v>
      </c>
      <c r="L740" s="265" t="s">
        <v>208</v>
      </c>
      <c r="M740" s="266" t="s">
        <v>237</v>
      </c>
      <c r="N740" s="266" t="s">
        <v>1804</v>
      </c>
      <c r="O740" s="267" t="s">
        <v>1805</v>
      </c>
      <c r="P740" s="268" t="s">
        <v>450</v>
      </c>
      <c r="Q740" s="269">
        <v>250.7</v>
      </c>
      <c r="R740" s="269"/>
      <c r="S740" s="270"/>
      <c r="T740" s="182"/>
      <c r="U740" s="182">
        <v>1</v>
      </c>
      <c r="V740" s="408" t="s">
        <v>233</v>
      </c>
      <c r="W740" s="357" t="s">
        <v>204</v>
      </c>
      <c r="X740" s="156">
        <v>571200000</v>
      </c>
      <c r="Y740" s="156">
        <v>571200000</v>
      </c>
      <c r="Z740" s="418" t="s">
        <v>359</v>
      </c>
      <c r="AA740" s="271"/>
      <c r="AB740" s="168"/>
      <c r="AC740" s="156"/>
      <c r="AD740" s="156"/>
      <c r="AE740" s="320"/>
      <c r="AF740" s="168"/>
      <c r="AG740" s="156"/>
      <c r="AH740" s="156"/>
      <c r="AI740" s="410"/>
    </row>
    <row r="741" spans="1:35" ht="19.5" hidden="1" customHeight="1">
      <c r="A741" s="137"/>
      <c r="B741" s="197">
        <f t="shared" si="14"/>
        <v>731</v>
      </c>
      <c r="C741" s="30" t="s">
        <v>202</v>
      </c>
      <c r="D741" s="30" t="s">
        <v>225</v>
      </c>
      <c r="E741" s="234" t="s">
        <v>983</v>
      </c>
      <c r="F741" s="235" t="s">
        <v>1252</v>
      </c>
      <c r="G741" s="284">
        <f>IFERROR(VLOOKUP(E741,Assign!$C$2:$J$142,8,FALSE),)</f>
        <v>0</v>
      </c>
      <c r="H741" s="197" t="s">
        <v>4737</v>
      </c>
      <c r="I741" s="324" t="s">
        <v>4738</v>
      </c>
      <c r="J741" s="237">
        <v>1</v>
      </c>
      <c r="K741" s="237">
        <v>1</v>
      </c>
      <c r="L741" s="265" t="s">
        <v>212</v>
      </c>
      <c r="M741" s="266" t="s">
        <v>232</v>
      </c>
      <c r="N741" s="266" t="s">
        <v>367</v>
      </c>
      <c r="O741" s="267" t="s">
        <v>2274</v>
      </c>
      <c r="P741" s="268" t="s">
        <v>2275</v>
      </c>
      <c r="Q741" s="269">
        <v>1636.6</v>
      </c>
      <c r="R741" s="269">
        <v>23.130700000000001</v>
      </c>
      <c r="S741" s="270"/>
      <c r="T741" s="182">
        <f>8.5213/1636.6</f>
        <v>5.2067090309177565E-3</v>
      </c>
      <c r="U741" s="182">
        <v>1</v>
      </c>
      <c r="V741" s="408">
        <v>1</v>
      </c>
      <c r="W741" s="357" t="s">
        <v>204</v>
      </c>
      <c r="X741" s="156">
        <v>98400000</v>
      </c>
      <c r="Y741" s="156">
        <v>98400000</v>
      </c>
      <c r="Z741" s="418" t="s">
        <v>359</v>
      </c>
      <c r="AA741" s="271"/>
      <c r="AB741" s="168"/>
      <c r="AC741" s="156"/>
      <c r="AD741" s="156"/>
      <c r="AE741" s="320"/>
      <c r="AF741" s="168"/>
      <c r="AG741" s="156"/>
      <c r="AH741" s="156"/>
      <c r="AI741" s="410"/>
    </row>
    <row r="742" spans="1:35" ht="19.5" hidden="1" customHeight="1">
      <c r="A742" s="137"/>
      <c r="B742" s="197">
        <f t="shared" si="14"/>
        <v>732</v>
      </c>
      <c r="C742" s="30" t="s">
        <v>202</v>
      </c>
      <c r="D742" s="30" t="s">
        <v>225</v>
      </c>
      <c r="E742" s="234" t="s">
        <v>983</v>
      </c>
      <c r="F742" s="235" t="s">
        <v>1252</v>
      </c>
      <c r="G742" s="284">
        <f>IFERROR(VLOOKUP(E742,Assign!$C$2:$J$142,8,FALSE),)</f>
        <v>0</v>
      </c>
      <c r="H742" s="197" t="s">
        <v>4739</v>
      </c>
      <c r="I742" s="324" t="s">
        <v>4740</v>
      </c>
      <c r="J742" s="237">
        <v>2</v>
      </c>
      <c r="K742" s="237">
        <v>1</v>
      </c>
      <c r="L742" s="265" t="s">
        <v>212</v>
      </c>
      <c r="M742" s="266" t="s">
        <v>232</v>
      </c>
      <c r="N742" s="266" t="s">
        <v>367</v>
      </c>
      <c r="O742" s="267" t="s">
        <v>2276</v>
      </c>
      <c r="P742" s="268" t="s">
        <v>2275</v>
      </c>
      <c r="Q742" s="269">
        <v>1636.6</v>
      </c>
      <c r="R742" s="269">
        <v>21.7517</v>
      </c>
      <c r="S742" s="270"/>
      <c r="T742" s="182">
        <f>8.0132/1636.6</f>
        <v>4.8962483196871558E-3</v>
      </c>
      <c r="U742" s="182">
        <v>1</v>
      </c>
      <c r="V742" s="408">
        <v>1</v>
      </c>
      <c r="W742" s="357" t="s">
        <v>204</v>
      </c>
      <c r="X742" s="156">
        <v>97200000</v>
      </c>
      <c r="Y742" s="156">
        <v>97200000</v>
      </c>
      <c r="Z742" s="418" t="s">
        <v>359</v>
      </c>
      <c r="AA742" s="271"/>
      <c r="AB742" s="168"/>
      <c r="AC742" s="156"/>
      <c r="AD742" s="156"/>
      <c r="AE742" s="320"/>
      <c r="AF742" s="168"/>
      <c r="AG742" s="156"/>
      <c r="AH742" s="156"/>
      <c r="AI742" s="410"/>
    </row>
    <row r="743" spans="1:35" ht="19.5" hidden="1" customHeight="1">
      <c r="A743" s="137"/>
      <c r="B743" s="197">
        <f t="shared" si="14"/>
        <v>733</v>
      </c>
      <c r="C743" s="30" t="s">
        <v>202</v>
      </c>
      <c r="D743" s="30" t="s">
        <v>225</v>
      </c>
      <c r="E743" s="234" t="s">
        <v>983</v>
      </c>
      <c r="F743" s="235" t="s">
        <v>1252</v>
      </c>
      <c r="G743" s="284">
        <f>IFERROR(VLOOKUP(E743,Assign!$C$2:$J$142,8,FALSE),)</f>
        <v>0</v>
      </c>
      <c r="H743" s="197" t="s">
        <v>4741</v>
      </c>
      <c r="I743" s="324" t="s">
        <v>4742</v>
      </c>
      <c r="J743" s="237">
        <v>3</v>
      </c>
      <c r="K743" s="237">
        <v>1</v>
      </c>
      <c r="L743" s="265" t="s">
        <v>212</v>
      </c>
      <c r="M743" s="266" t="s">
        <v>232</v>
      </c>
      <c r="N743" s="266" t="s">
        <v>367</v>
      </c>
      <c r="O743" s="267" t="s">
        <v>2277</v>
      </c>
      <c r="P743" s="268" t="s">
        <v>2275</v>
      </c>
      <c r="Q743" s="269">
        <v>1636.6</v>
      </c>
      <c r="R743" s="269">
        <v>21.7517</v>
      </c>
      <c r="S743" s="270"/>
      <c r="T743" s="182">
        <f>8.0132/1636.6</f>
        <v>4.8962483196871558E-3</v>
      </c>
      <c r="U743" s="182">
        <v>1</v>
      </c>
      <c r="V743" s="408">
        <v>1</v>
      </c>
      <c r="W743" s="357" t="s">
        <v>204</v>
      </c>
      <c r="X743" s="156">
        <v>97200000</v>
      </c>
      <c r="Y743" s="156">
        <v>97200000</v>
      </c>
      <c r="Z743" s="418" t="s">
        <v>359</v>
      </c>
      <c r="AA743" s="271"/>
      <c r="AB743" s="168"/>
      <c r="AC743" s="156"/>
      <c r="AD743" s="156"/>
      <c r="AE743" s="320"/>
      <c r="AF743" s="168"/>
      <c r="AG743" s="156"/>
      <c r="AH743" s="156"/>
      <c r="AI743" s="410"/>
    </row>
    <row r="744" spans="1:35" ht="19.5" hidden="1" customHeight="1">
      <c r="A744" s="137"/>
      <c r="B744" s="197">
        <f t="shared" si="14"/>
        <v>734</v>
      </c>
      <c r="C744" s="30" t="s">
        <v>202</v>
      </c>
      <c r="D744" s="30" t="s">
        <v>225</v>
      </c>
      <c r="E744" s="234" t="s">
        <v>983</v>
      </c>
      <c r="F744" s="235" t="s">
        <v>1252</v>
      </c>
      <c r="G744" s="284">
        <f>IFERROR(VLOOKUP(E744,Assign!$C$2:$J$142,8,FALSE),)</f>
        <v>0</v>
      </c>
      <c r="H744" s="197" t="s">
        <v>4743</v>
      </c>
      <c r="I744" s="324" t="s">
        <v>4744</v>
      </c>
      <c r="J744" s="237">
        <v>4</v>
      </c>
      <c r="K744" s="237">
        <v>1</v>
      </c>
      <c r="L744" s="265" t="s">
        <v>212</v>
      </c>
      <c r="M744" s="266" t="s">
        <v>232</v>
      </c>
      <c r="N744" s="266" t="s">
        <v>367</v>
      </c>
      <c r="O744" s="267" t="s">
        <v>2278</v>
      </c>
      <c r="P744" s="268" t="s">
        <v>2275</v>
      </c>
      <c r="Q744" s="269">
        <v>1694.4</v>
      </c>
      <c r="R744" s="269">
        <v>21.7517</v>
      </c>
      <c r="S744" s="270"/>
      <c r="T744" s="182">
        <f>7.7632/1694.4</f>
        <v>4.5816808309726157E-3</v>
      </c>
      <c r="U744" s="182">
        <v>1</v>
      </c>
      <c r="V744" s="408">
        <v>1</v>
      </c>
      <c r="W744" s="357" t="s">
        <v>204</v>
      </c>
      <c r="X744" s="156">
        <v>86400000</v>
      </c>
      <c r="Y744" s="156">
        <v>86400000</v>
      </c>
      <c r="Z744" s="418" t="s">
        <v>359</v>
      </c>
      <c r="AA744" s="271"/>
      <c r="AB744" s="168"/>
      <c r="AC744" s="156"/>
      <c r="AD744" s="156"/>
      <c r="AE744" s="320"/>
      <c r="AF744" s="168"/>
      <c r="AG744" s="156"/>
      <c r="AH744" s="156"/>
      <c r="AI744" s="410"/>
    </row>
    <row r="745" spans="1:35" ht="19.5" hidden="1" customHeight="1">
      <c r="A745" s="137"/>
      <c r="B745" s="197">
        <f t="shared" si="14"/>
        <v>735</v>
      </c>
      <c r="C745" s="30" t="s">
        <v>202</v>
      </c>
      <c r="D745" s="30" t="s">
        <v>225</v>
      </c>
      <c r="E745" s="234" t="s">
        <v>983</v>
      </c>
      <c r="F745" s="235" t="s">
        <v>1252</v>
      </c>
      <c r="G745" s="284">
        <f>IFERROR(VLOOKUP(E745,Assign!$C$2:$J$142,8,FALSE),)</f>
        <v>0</v>
      </c>
      <c r="H745" s="197" t="s">
        <v>4745</v>
      </c>
      <c r="I745" s="324" t="s">
        <v>4746</v>
      </c>
      <c r="J745" s="237">
        <v>5</v>
      </c>
      <c r="K745" s="237">
        <v>1</v>
      </c>
      <c r="L745" s="265" t="s">
        <v>212</v>
      </c>
      <c r="M745" s="266" t="s">
        <v>232</v>
      </c>
      <c r="N745" s="266" t="s">
        <v>367</v>
      </c>
      <c r="O745" s="267" t="s">
        <v>2279</v>
      </c>
      <c r="P745" s="268" t="s">
        <v>2275</v>
      </c>
      <c r="Q745" s="269">
        <v>1694.4</v>
      </c>
      <c r="R745" s="269">
        <v>21.680199999999999</v>
      </c>
      <c r="S745" s="270"/>
      <c r="T745" s="182">
        <f>7.7377/1694.4</f>
        <v>4.5666312559017944E-3</v>
      </c>
      <c r="U745" s="182">
        <v>1</v>
      </c>
      <c r="V745" s="408">
        <v>1</v>
      </c>
      <c r="W745" s="357" t="s">
        <v>204</v>
      </c>
      <c r="X745" s="156">
        <v>86400000</v>
      </c>
      <c r="Y745" s="156">
        <v>86400000</v>
      </c>
      <c r="Z745" s="418" t="s">
        <v>359</v>
      </c>
      <c r="AA745" s="271"/>
      <c r="AB745" s="168"/>
      <c r="AC745" s="156"/>
      <c r="AD745" s="156"/>
      <c r="AE745" s="320"/>
      <c r="AF745" s="168"/>
      <c r="AG745" s="156"/>
      <c r="AH745" s="156"/>
      <c r="AI745" s="410"/>
    </row>
    <row r="746" spans="1:35" ht="19.5" hidden="1" customHeight="1">
      <c r="A746" s="137"/>
      <c r="B746" s="197">
        <f t="shared" si="14"/>
        <v>736</v>
      </c>
      <c r="C746" s="30" t="s">
        <v>202</v>
      </c>
      <c r="D746" s="30" t="s">
        <v>225</v>
      </c>
      <c r="E746" s="234" t="s">
        <v>984</v>
      </c>
      <c r="F746" s="235" t="s">
        <v>1357</v>
      </c>
      <c r="G746" s="284">
        <f>IFERROR(VLOOKUP(E746,Assign!$C$2:$J$142,8,FALSE),)</f>
        <v>0</v>
      </c>
      <c r="H746" s="197" t="s">
        <v>5123</v>
      </c>
      <c r="I746" s="324" t="s">
        <v>5124</v>
      </c>
      <c r="J746" s="237">
        <v>1</v>
      </c>
      <c r="K746" s="237">
        <v>1</v>
      </c>
      <c r="L746" s="265" t="s">
        <v>212</v>
      </c>
      <c r="M746" s="266" t="s">
        <v>232</v>
      </c>
      <c r="N746" s="266" t="s">
        <v>293</v>
      </c>
      <c r="O746" s="267" t="s">
        <v>2636</v>
      </c>
      <c r="P746" s="268" t="s">
        <v>473</v>
      </c>
      <c r="Q746" s="269">
        <v>26441.9</v>
      </c>
      <c r="R746" s="269">
        <v>143.37</v>
      </c>
      <c r="S746" s="270"/>
      <c r="T746" s="182">
        <f>44.59/26441.9</f>
        <v>1.6863387275498358E-3</v>
      </c>
      <c r="U746" s="182">
        <v>1</v>
      </c>
      <c r="V746" s="408">
        <v>1</v>
      </c>
      <c r="W746" s="357" t="s">
        <v>204</v>
      </c>
      <c r="X746" s="156">
        <v>715200000</v>
      </c>
      <c r="Y746" s="156">
        <v>715200000</v>
      </c>
      <c r="Z746" s="418" t="s">
        <v>359</v>
      </c>
      <c r="AA746" s="271"/>
      <c r="AB746" s="168"/>
      <c r="AC746" s="156"/>
      <c r="AD746" s="156"/>
      <c r="AE746" s="320"/>
      <c r="AF746" s="168"/>
      <c r="AG746" s="156"/>
      <c r="AH746" s="156"/>
      <c r="AI746" s="410"/>
    </row>
    <row r="747" spans="1:35" ht="19.5" hidden="1" customHeight="1">
      <c r="A747" s="137"/>
      <c r="B747" s="197">
        <f t="shared" si="14"/>
        <v>737</v>
      </c>
      <c r="C747" s="30" t="s">
        <v>202</v>
      </c>
      <c r="D747" s="30" t="s">
        <v>225</v>
      </c>
      <c r="E747" s="234" t="s">
        <v>984</v>
      </c>
      <c r="F747" s="235" t="s">
        <v>1357</v>
      </c>
      <c r="G747" s="284">
        <f>IFERROR(VLOOKUP(E747,Assign!$C$2:$J$142,8,FALSE),)</f>
        <v>0</v>
      </c>
      <c r="H747" s="197" t="s">
        <v>5123</v>
      </c>
      <c r="I747" s="324" t="s">
        <v>5125</v>
      </c>
      <c r="J747" s="237">
        <v>1</v>
      </c>
      <c r="K747" s="237">
        <v>2</v>
      </c>
      <c r="L747" s="265" t="s">
        <v>212</v>
      </c>
      <c r="M747" s="266" t="s">
        <v>232</v>
      </c>
      <c r="N747" s="266" t="s">
        <v>293</v>
      </c>
      <c r="O747" s="267" t="s">
        <v>2637</v>
      </c>
      <c r="P747" s="268" t="s">
        <v>473</v>
      </c>
      <c r="Q747" s="269">
        <v>26441.9</v>
      </c>
      <c r="R747" s="269">
        <v>143.37</v>
      </c>
      <c r="S747" s="270"/>
      <c r="T747" s="182">
        <f>44.59/26441.9</f>
        <v>1.6863387275498358E-3</v>
      </c>
      <c r="U747" s="182">
        <v>1</v>
      </c>
      <c r="V747" s="408">
        <v>1</v>
      </c>
      <c r="W747" s="357" t="s">
        <v>204</v>
      </c>
      <c r="X747" s="156">
        <v>715200000</v>
      </c>
      <c r="Y747" s="156">
        <v>715200000</v>
      </c>
      <c r="Z747" s="418" t="s">
        <v>359</v>
      </c>
      <c r="AA747" s="271"/>
      <c r="AB747" s="168"/>
      <c r="AC747" s="156"/>
      <c r="AD747" s="156"/>
      <c r="AE747" s="320"/>
      <c r="AF747" s="168"/>
      <c r="AG747" s="156"/>
      <c r="AH747" s="156"/>
      <c r="AI747" s="410"/>
    </row>
    <row r="748" spans="1:35" ht="19.5" hidden="1" customHeight="1">
      <c r="A748" s="137"/>
      <c r="B748" s="197">
        <f t="shared" si="14"/>
        <v>738</v>
      </c>
      <c r="C748" s="30" t="s">
        <v>202</v>
      </c>
      <c r="D748" s="30" t="s">
        <v>225</v>
      </c>
      <c r="E748" s="234" t="s">
        <v>985</v>
      </c>
      <c r="F748" s="235" t="s">
        <v>1229</v>
      </c>
      <c r="G748" s="284">
        <f>IFERROR(VLOOKUP(E748,Assign!$C$2:$J$142,8,FALSE),)</f>
        <v>0</v>
      </c>
      <c r="H748" s="197" t="s">
        <v>4779</v>
      </c>
      <c r="I748" s="324" t="s">
        <v>4780</v>
      </c>
      <c r="J748" s="237">
        <v>1</v>
      </c>
      <c r="K748" s="237">
        <v>1</v>
      </c>
      <c r="L748" s="265" t="s">
        <v>208</v>
      </c>
      <c r="M748" s="266" t="s">
        <v>259</v>
      </c>
      <c r="N748" s="266" t="s">
        <v>2309</v>
      </c>
      <c r="O748" s="267" t="s">
        <v>2310</v>
      </c>
      <c r="P748" s="268" t="s">
        <v>433</v>
      </c>
      <c r="Q748" s="269">
        <v>17693</v>
      </c>
      <c r="R748" s="269">
        <v>84.95</v>
      </c>
      <c r="S748" s="270"/>
      <c r="T748" s="182">
        <f>48.81/17693</f>
        <v>2.7587181371163737E-3</v>
      </c>
      <c r="U748" s="182">
        <v>1</v>
      </c>
      <c r="V748" s="408">
        <v>1</v>
      </c>
      <c r="W748" s="357" t="s">
        <v>204</v>
      </c>
      <c r="X748" s="156">
        <v>424270000</v>
      </c>
      <c r="Y748" s="156">
        <v>424270000</v>
      </c>
      <c r="Z748" s="418" t="s">
        <v>359</v>
      </c>
      <c r="AA748" s="271"/>
      <c r="AB748" s="168"/>
      <c r="AC748" s="156"/>
      <c r="AD748" s="156"/>
      <c r="AE748" s="320"/>
      <c r="AF748" s="168"/>
      <c r="AG748" s="156"/>
      <c r="AH748" s="156"/>
      <c r="AI748" s="410"/>
    </row>
    <row r="749" spans="1:35" ht="19.5" hidden="1" customHeight="1">
      <c r="A749" s="137"/>
      <c r="B749" s="197">
        <f t="shared" si="14"/>
        <v>739</v>
      </c>
      <c r="C749" s="30" t="s">
        <v>202</v>
      </c>
      <c r="D749" s="30" t="s">
        <v>225</v>
      </c>
      <c r="E749" s="234" t="s">
        <v>986</v>
      </c>
      <c r="F749" s="235" t="s">
        <v>1229</v>
      </c>
      <c r="G749" s="284">
        <f>IFERROR(VLOOKUP(E749,Assign!$C$2:$J$142,8,FALSE),)</f>
        <v>0</v>
      </c>
      <c r="H749" s="197" t="s">
        <v>4116</v>
      </c>
      <c r="I749" s="324" t="s">
        <v>4117</v>
      </c>
      <c r="J749" s="237">
        <v>1</v>
      </c>
      <c r="K749" s="237">
        <v>1</v>
      </c>
      <c r="L749" s="265" t="s">
        <v>220</v>
      </c>
      <c r="M749" s="266" t="s">
        <v>384</v>
      </c>
      <c r="N749" s="266" t="s">
        <v>1525</v>
      </c>
      <c r="O749" s="267" t="s">
        <v>1691</v>
      </c>
      <c r="P749" s="268" t="s">
        <v>438</v>
      </c>
      <c r="Q749" s="269">
        <v>30645</v>
      </c>
      <c r="R749" s="269">
        <v>84.945499999999996</v>
      </c>
      <c r="S749" s="270"/>
      <c r="T749" s="182">
        <f>55.0354/30645</f>
        <v>1.7959014521129058E-3</v>
      </c>
      <c r="U749" s="182">
        <v>1</v>
      </c>
      <c r="V749" s="408" t="s">
        <v>229</v>
      </c>
      <c r="W749" s="357" t="s">
        <v>204</v>
      </c>
      <c r="X749" s="156">
        <v>470400000</v>
      </c>
      <c r="Y749" s="156">
        <v>470400000</v>
      </c>
      <c r="Z749" s="418" t="s">
        <v>359</v>
      </c>
      <c r="AA749" s="271"/>
      <c r="AB749" s="168"/>
      <c r="AC749" s="156"/>
      <c r="AD749" s="156"/>
      <c r="AE749" s="320"/>
      <c r="AF749" s="168"/>
      <c r="AG749" s="156"/>
      <c r="AH749" s="156"/>
      <c r="AI749" s="410"/>
    </row>
    <row r="750" spans="1:35" ht="19.5" hidden="1" customHeight="1">
      <c r="A750" s="137"/>
      <c r="B750" s="197">
        <f t="shared" si="14"/>
        <v>740</v>
      </c>
      <c r="C750" s="30" t="s">
        <v>202</v>
      </c>
      <c r="D750" s="30" t="s">
        <v>225</v>
      </c>
      <c r="E750" s="234" t="s">
        <v>987</v>
      </c>
      <c r="F750" s="235" t="s">
        <v>1255</v>
      </c>
      <c r="G750" s="284">
        <f>IFERROR(VLOOKUP(E750,Assign!$C$2:$J$142,8,FALSE),)</f>
        <v>0</v>
      </c>
      <c r="H750" s="197" t="s">
        <v>4023</v>
      </c>
      <c r="I750" s="324" t="s">
        <v>4024</v>
      </c>
      <c r="J750" s="237">
        <v>1</v>
      </c>
      <c r="K750" s="237">
        <v>1</v>
      </c>
      <c r="L750" s="265" t="s">
        <v>209</v>
      </c>
      <c r="M750" s="266" t="s">
        <v>380</v>
      </c>
      <c r="N750" s="266" t="s">
        <v>1597</v>
      </c>
      <c r="O750" s="267" t="s">
        <v>1598</v>
      </c>
      <c r="P750" s="268" t="s">
        <v>1599</v>
      </c>
      <c r="Q750" s="269"/>
      <c r="R750" s="269">
        <f>35.24+5.26</f>
        <v>40.5</v>
      </c>
      <c r="S750" s="270"/>
      <c r="T750" s="182"/>
      <c r="U750" s="182">
        <v>1</v>
      </c>
      <c r="V750" s="408">
        <v>1</v>
      </c>
      <c r="W750" s="357" t="s">
        <v>204</v>
      </c>
      <c r="X750" s="156">
        <v>383620840</v>
      </c>
      <c r="Y750" s="156">
        <v>383620840</v>
      </c>
      <c r="Z750" s="418" t="s">
        <v>359</v>
      </c>
      <c r="AA750" s="271"/>
      <c r="AB750" s="168"/>
      <c r="AC750" s="156"/>
      <c r="AD750" s="156"/>
      <c r="AE750" s="320"/>
      <c r="AF750" s="168"/>
      <c r="AG750" s="156"/>
      <c r="AH750" s="156"/>
      <c r="AI750" s="410"/>
    </row>
    <row r="751" spans="1:35" ht="19.5" hidden="1" customHeight="1">
      <c r="A751" s="137"/>
      <c r="B751" s="197">
        <f t="shared" si="14"/>
        <v>741</v>
      </c>
      <c r="C751" s="30" t="s">
        <v>202</v>
      </c>
      <c r="D751" s="30" t="s">
        <v>225</v>
      </c>
      <c r="E751" s="234" t="s">
        <v>987</v>
      </c>
      <c r="F751" s="235" t="s">
        <v>1255</v>
      </c>
      <c r="G751" s="284">
        <f>IFERROR(VLOOKUP(E751,Assign!$C$2:$J$142,8,FALSE),)</f>
        <v>0</v>
      </c>
      <c r="H751" s="197" t="s">
        <v>4023</v>
      </c>
      <c r="I751" s="324" t="s">
        <v>4025</v>
      </c>
      <c r="J751" s="237">
        <v>1</v>
      </c>
      <c r="K751" s="237">
        <v>2</v>
      </c>
      <c r="L751" s="265" t="s">
        <v>209</v>
      </c>
      <c r="M751" s="266" t="s">
        <v>380</v>
      </c>
      <c r="N751" s="266" t="s">
        <v>1597</v>
      </c>
      <c r="O751" s="267" t="s">
        <v>1598</v>
      </c>
      <c r="P751" s="268" t="s">
        <v>450</v>
      </c>
      <c r="Q751" s="269">
        <v>56.5</v>
      </c>
      <c r="R751" s="269"/>
      <c r="S751" s="270"/>
      <c r="T751" s="182"/>
      <c r="U751" s="182">
        <v>1</v>
      </c>
      <c r="V751" s="408">
        <v>1</v>
      </c>
      <c r="W751" s="357" t="s">
        <v>204</v>
      </c>
      <c r="X751" s="156">
        <v>383620840</v>
      </c>
      <c r="Y751" s="156">
        <v>383620840</v>
      </c>
      <c r="Z751" s="418" t="s">
        <v>359</v>
      </c>
      <c r="AA751" s="271"/>
      <c r="AB751" s="168"/>
      <c r="AC751" s="156"/>
      <c r="AD751" s="156"/>
      <c r="AE751" s="320"/>
      <c r="AF751" s="168"/>
      <c r="AG751" s="156"/>
      <c r="AH751" s="156"/>
      <c r="AI751" s="410"/>
    </row>
    <row r="752" spans="1:35" ht="19.5" hidden="1" customHeight="1">
      <c r="A752" s="137"/>
      <c r="B752" s="197">
        <f t="shared" si="14"/>
        <v>742</v>
      </c>
      <c r="C752" s="30" t="s">
        <v>202</v>
      </c>
      <c r="D752" s="30" t="s">
        <v>225</v>
      </c>
      <c r="E752" s="234" t="s">
        <v>987</v>
      </c>
      <c r="F752" s="235" t="s">
        <v>1255</v>
      </c>
      <c r="G752" s="284">
        <f>IFERROR(VLOOKUP(E752,Assign!$C$2:$J$142,8,FALSE),)</f>
        <v>0</v>
      </c>
      <c r="H752" s="197" t="s">
        <v>4026</v>
      </c>
      <c r="I752" s="324" t="s">
        <v>4027</v>
      </c>
      <c r="J752" s="237">
        <v>2</v>
      </c>
      <c r="K752" s="237">
        <v>1</v>
      </c>
      <c r="L752" s="265" t="s">
        <v>209</v>
      </c>
      <c r="M752" s="266" t="s">
        <v>1546</v>
      </c>
      <c r="N752" s="266" t="s">
        <v>1600</v>
      </c>
      <c r="O752" s="267" t="s">
        <v>1601</v>
      </c>
      <c r="P752" s="268" t="s">
        <v>3509</v>
      </c>
      <c r="Q752" s="269">
        <f>5857.6+5447.2</f>
        <v>11304.8</v>
      </c>
      <c r="R752" s="269">
        <v>84.91</v>
      </c>
      <c r="S752" s="270"/>
      <c r="T752" s="182">
        <f>34.69/11304.8</f>
        <v>3.068608024909773E-3</v>
      </c>
      <c r="U752" s="182">
        <v>1</v>
      </c>
      <c r="V752" s="408">
        <v>2</v>
      </c>
      <c r="W752" s="357" t="s">
        <v>204</v>
      </c>
      <c r="X752" s="156">
        <v>120379160</v>
      </c>
      <c r="Y752" s="156">
        <v>120379160</v>
      </c>
      <c r="Z752" s="418" t="s">
        <v>359</v>
      </c>
      <c r="AA752" s="271">
        <v>1</v>
      </c>
      <c r="AB752" s="168" t="s">
        <v>204</v>
      </c>
      <c r="AC752" s="156">
        <v>295900000</v>
      </c>
      <c r="AD752" s="156">
        <v>295900000</v>
      </c>
      <c r="AE752" s="320"/>
      <c r="AF752" s="168"/>
      <c r="AG752" s="156"/>
      <c r="AH752" s="156"/>
      <c r="AI752" s="410"/>
    </row>
    <row r="753" spans="1:35" ht="19.5" customHeight="1">
      <c r="A753" s="137"/>
      <c r="B753" s="197">
        <f t="shared" si="14"/>
        <v>743</v>
      </c>
      <c r="C753" s="30" t="s">
        <v>202</v>
      </c>
      <c r="D753" s="30" t="s">
        <v>225</v>
      </c>
      <c r="E753" s="234" t="s">
        <v>988</v>
      </c>
      <c r="F753" s="235" t="s">
        <v>1252</v>
      </c>
      <c r="G753" s="284" t="str">
        <f>IFERROR(VLOOKUP(E753,Assign!$C$2:$J$142,8,FALSE),)</f>
        <v>문선영</v>
      </c>
      <c r="H753" s="197" t="s">
        <v>4819</v>
      </c>
      <c r="I753" s="324" t="s">
        <v>4820</v>
      </c>
      <c r="J753" s="237">
        <v>1</v>
      </c>
      <c r="K753" s="237">
        <v>1</v>
      </c>
      <c r="L753" s="265" t="s">
        <v>209</v>
      </c>
      <c r="M753" s="266" t="s">
        <v>341</v>
      </c>
      <c r="N753" s="266" t="s">
        <v>2349</v>
      </c>
      <c r="O753" s="267" t="s">
        <v>2350</v>
      </c>
      <c r="P753" s="268" t="s">
        <v>3542</v>
      </c>
      <c r="Q753" s="269">
        <v>25854.9</v>
      </c>
      <c r="R753" s="269">
        <v>114.9</v>
      </c>
      <c r="S753" s="270"/>
      <c r="T753" s="182">
        <f>117.5569/25854.9</f>
        <v>4.546793837918537E-3</v>
      </c>
      <c r="U753" s="182">
        <v>1</v>
      </c>
      <c r="V753" s="408">
        <v>1</v>
      </c>
      <c r="W753" s="357" t="s">
        <v>204</v>
      </c>
      <c r="X753" s="156">
        <v>657600000</v>
      </c>
      <c r="Y753" s="156">
        <v>657600000</v>
      </c>
      <c r="Z753" s="418" t="s">
        <v>359</v>
      </c>
      <c r="AA753" s="271"/>
      <c r="AB753" s="168"/>
      <c r="AC753" s="156"/>
      <c r="AD753" s="156"/>
      <c r="AE753" s="320"/>
      <c r="AF753" s="168"/>
      <c r="AG753" s="156"/>
      <c r="AH753" s="156"/>
      <c r="AI753" s="410"/>
    </row>
    <row r="754" spans="1:35" ht="19.5" hidden="1" customHeight="1">
      <c r="A754" s="137"/>
      <c r="B754" s="197">
        <f t="shared" si="14"/>
        <v>744</v>
      </c>
      <c r="C754" s="30" t="s">
        <v>202</v>
      </c>
      <c r="D754" s="30" t="s">
        <v>225</v>
      </c>
      <c r="E754" s="234" t="s">
        <v>989</v>
      </c>
      <c r="F754" s="235" t="s">
        <v>611</v>
      </c>
      <c r="G754" s="284">
        <f>IFERROR(VLOOKUP(E754,Assign!$C$2:$J$142,8,FALSE),)</f>
        <v>0</v>
      </c>
      <c r="H754" s="197" t="s">
        <v>4159</v>
      </c>
      <c r="I754" s="324" t="s">
        <v>4160</v>
      </c>
      <c r="J754" s="237">
        <v>1</v>
      </c>
      <c r="K754" s="237">
        <v>1</v>
      </c>
      <c r="L754" s="265" t="s">
        <v>209</v>
      </c>
      <c r="M754" s="266" t="s">
        <v>341</v>
      </c>
      <c r="N754" s="266" t="s">
        <v>342</v>
      </c>
      <c r="O754" s="267" t="s">
        <v>1734</v>
      </c>
      <c r="P754" s="268" t="s">
        <v>599</v>
      </c>
      <c r="Q754" s="269">
        <v>302.89999999999998</v>
      </c>
      <c r="R754" s="269">
        <v>38.22</v>
      </c>
      <c r="S754" s="270"/>
      <c r="T754" s="182">
        <f>26.04/302.9</f>
        <v>8.5968966655661935E-2</v>
      </c>
      <c r="U754" s="182">
        <v>1</v>
      </c>
      <c r="V754" s="408">
        <v>2</v>
      </c>
      <c r="W754" s="357" t="s">
        <v>204</v>
      </c>
      <c r="X754" s="156">
        <v>420000000</v>
      </c>
      <c r="Y754" s="156">
        <v>420000000</v>
      </c>
      <c r="Z754" s="418" t="s">
        <v>359</v>
      </c>
      <c r="AA754" s="271">
        <v>1</v>
      </c>
      <c r="AB754" s="168" t="s">
        <v>204</v>
      </c>
      <c r="AC754" s="156">
        <v>153000000</v>
      </c>
      <c r="AD754" s="156">
        <v>153000000</v>
      </c>
      <c r="AE754" s="320"/>
      <c r="AF754" s="168"/>
      <c r="AG754" s="156"/>
      <c r="AH754" s="156"/>
      <c r="AI754" s="410"/>
    </row>
    <row r="755" spans="1:35" ht="19.5" hidden="1" customHeight="1">
      <c r="A755" s="137"/>
      <c r="B755" s="197">
        <f t="shared" si="14"/>
        <v>745</v>
      </c>
      <c r="C755" s="30" t="s">
        <v>202</v>
      </c>
      <c r="D755" s="30" t="s">
        <v>225</v>
      </c>
      <c r="E755" s="234" t="s">
        <v>990</v>
      </c>
      <c r="F755" s="235" t="s">
        <v>1229</v>
      </c>
      <c r="G755" s="284">
        <f>IFERROR(VLOOKUP(E755,Assign!$C$2:$J$142,8,FALSE),)</f>
        <v>0</v>
      </c>
      <c r="H755" s="197" t="s">
        <v>4348</v>
      </c>
      <c r="I755" s="324" t="s">
        <v>4349</v>
      </c>
      <c r="J755" s="237">
        <v>1</v>
      </c>
      <c r="K755" s="237">
        <v>1</v>
      </c>
      <c r="L755" s="265" t="s">
        <v>209</v>
      </c>
      <c r="M755" s="266" t="s">
        <v>287</v>
      </c>
      <c r="N755" s="266" t="s">
        <v>288</v>
      </c>
      <c r="O755" s="267" t="s">
        <v>1909</v>
      </c>
      <c r="P755" s="268" t="s">
        <v>1570</v>
      </c>
      <c r="Q755" s="269">
        <v>3935.3</v>
      </c>
      <c r="R755" s="269">
        <v>84.885000000000005</v>
      </c>
      <c r="S755" s="270"/>
      <c r="T755" s="182">
        <f>51.2396/3935.3</f>
        <v>1.3020506695804641E-2</v>
      </c>
      <c r="U755" s="182">
        <v>1</v>
      </c>
      <c r="V755" s="408">
        <v>1</v>
      </c>
      <c r="W755" s="357" t="s">
        <v>204</v>
      </c>
      <c r="X755" s="156">
        <v>408100000</v>
      </c>
      <c r="Y755" s="156">
        <v>408100000</v>
      </c>
      <c r="Z755" s="418" t="s">
        <v>359</v>
      </c>
      <c r="AA755" s="271"/>
      <c r="AB755" s="168"/>
      <c r="AC755" s="156"/>
      <c r="AD755" s="156"/>
      <c r="AE755" s="320"/>
      <c r="AF755" s="168"/>
      <c r="AG755" s="156"/>
      <c r="AH755" s="156"/>
      <c r="AI755" s="410"/>
    </row>
    <row r="756" spans="1:35" ht="19.5" customHeight="1">
      <c r="A756" s="137"/>
      <c r="B756" s="197">
        <f t="shared" si="14"/>
        <v>746</v>
      </c>
      <c r="C756" s="30" t="s">
        <v>202</v>
      </c>
      <c r="D756" s="30" t="s">
        <v>225</v>
      </c>
      <c r="E756" s="234" t="s">
        <v>991</v>
      </c>
      <c r="F756" s="235" t="s">
        <v>1358</v>
      </c>
      <c r="G756" s="284" t="str">
        <f>IFERROR(VLOOKUP(E756,Assign!$C$2:$J$142,8,FALSE),)</f>
        <v>문선영</v>
      </c>
      <c r="H756" s="197" t="s">
        <v>5325</v>
      </c>
      <c r="I756" s="324" t="s">
        <v>5326</v>
      </c>
      <c r="J756" s="237">
        <v>1</v>
      </c>
      <c r="K756" s="237">
        <v>1</v>
      </c>
      <c r="L756" s="265" t="s">
        <v>208</v>
      </c>
      <c r="M756" s="266" t="s">
        <v>266</v>
      </c>
      <c r="N756" s="266" t="s">
        <v>2805</v>
      </c>
      <c r="O756" s="267" t="s">
        <v>2806</v>
      </c>
      <c r="P756" s="268" t="s">
        <v>2807</v>
      </c>
      <c r="Q756" s="269">
        <v>5987</v>
      </c>
      <c r="R756" s="269">
        <v>131.22</v>
      </c>
      <c r="S756" s="270"/>
      <c r="T756" s="182">
        <f>40.1503/5987</f>
        <v>6.7062468682144646E-3</v>
      </c>
      <c r="U756" s="182">
        <v>1</v>
      </c>
      <c r="V756" s="408">
        <v>1</v>
      </c>
      <c r="W756" s="357" t="s">
        <v>204</v>
      </c>
      <c r="X756" s="156">
        <v>420000000</v>
      </c>
      <c r="Y756" s="156">
        <v>420000000</v>
      </c>
      <c r="Z756" s="418" t="s">
        <v>359</v>
      </c>
      <c r="AA756" s="271"/>
      <c r="AB756" s="168"/>
      <c r="AC756" s="156"/>
      <c r="AD756" s="156"/>
      <c r="AE756" s="320"/>
      <c r="AF756" s="168"/>
      <c r="AG756" s="156"/>
      <c r="AH756" s="156"/>
      <c r="AI756" s="410"/>
    </row>
    <row r="757" spans="1:35" ht="19.5" customHeight="1">
      <c r="A757" s="137"/>
      <c r="B757" s="197">
        <f t="shared" si="14"/>
        <v>747</v>
      </c>
      <c r="C757" s="30" t="s">
        <v>202</v>
      </c>
      <c r="D757" s="30" t="s">
        <v>225</v>
      </c>
      <c r="E757" s="234" t="s">
        <v>991</v>
      </c>
      <c r="F757" s="235" t="s">
        <v>1358</v>
      </c>
      <c r="G757" s="284" t="str">
        <f>IFERROR(VLOOKUP(E757,Assign!$C$2:$J$142,8,FALSE),)</f>
        <v>문선영</v>
      </c>
      <c r="H757" s="197" t="s">
        <v>5325</v>
      </c>
      <c r="I757" s="324" t="s">
        <v>5327</v>
      </c>
      <c r="J757" s="237">
        <v>1</v>
      </c>
      <c r="K757" s="237">
        <v>2</v>
      </c>
      <c r="L757" s="265" t="s">
        <v>208</v>
      </c>
      <c r="M757" s="266" t="s">
        <v>266</v>
      </c>
      <c r="N757" s="266" t="s">
        <v>2805</v>
      </c>
      <c r="O757" s="267" t="s">
        <v>2808</v>
      </c>
      <c r="P757" s="268" t="s">
        <v>2807</v>
      </c>
      <c r="Q757" s="269">
        <v>5987</v>
      </c>
      <c r="R757" s="269">
        <v>136.08000000000001</v>
      </c>
      <c r="S757" s="270"/>
      <c r="T757" s="182">
        <f>41.6374/5987</f>
        <v>6.9546350425922828E-3</v>
      </c>
      <c r="U757" s="182">
        <v>1</v>
      </c>
      <c r="V757" s="408">
        <v>1</v>
      </c>
      <c r="W757" s="357" t="s">
        <v>204</v>
      </c>
      <c r="X757" s="156">
        <v>420000000</v>
      </c>
      <c r="Y757" s="156">
        <v>420000000</v>
      </c>
      <c r="Z757" s="418" t="s">
        <v>359</v>
      </c>
      <c r="AA757" s="271"/>
      <c r="AB757" s="168"/>
      <c r="AC757" s="156"/>
      <c r="AD757" s="156"/>
      <c r="AE757" s="320"/>
      <c r="AF757" s="168"/>
      <c r="AG757" s="156"/>
      <c r="AH757" s="156"/>
      <c r="AI757" s="410"/>
    </row>
    <row r="758" spans="1:35" ht="19.5" hidden="1" customHeight="1">
      <c r="A758" s="137"/>
      <c r="B758" s="197">
        <f t="shared" si="14"/>
        <v>748</v>
      </c>
      <c r="C758" s="30" t="s">
        <v>202</v>
      </c>
      <c r="D758" s="30" t="s">
        <v>225</v>
      </c>
      <c r="E758" s="234" t="s">
        <v>992</v>
      </c>
      <c r="F758" s="235" t="s">
        <v>611</v>
      </c>
      <c r="G758" s="284">
        <f>IFERROR(VLOOKUP(E758,Assign!$C$2:$J$142,8,FALSE),)</f>
        <v>0</v>
      </c>
      <c r="H758" s="197" t="s">
        <v>4658</v>
      </c>
      <c r="I758" s="324" t="s">
        <v>4659</v>
      </c>
      <c r="J758" s="237">
        <v>1</v>
      </c>
      <c r="K758" s="237">
        <v>1</v>
      </c>
      <c r="L758" s="265" t="s">
        <v>224</v>
      </c>
      <c r="M758" s="266" t="s">
        <v>1458</v>
      </c>
      <c r="N758" s="266" t="s">
        <v>2194</v>
      </c>
      <c r="O758" s="267" t="s">
        <v>2195</v>
      </c>
      <c r="P758" s="268" t="s">
        <v>2196</v>
      </c>
      <c r="Q758" s="269">
        <v>4816</v>
      </c>
      <c r="R758" s="269"/>
      <c r="S758" s="270"/>
      <c r="T758" s="182"/>
      <c r="U758" s="182">
        <v>1</v>
      </c>
      <c r="V758" s="408" t="s">
        <v>233</v>
      </c>
      <c r="W758" s="357" t="s">
        <v>204</v>
      </c>
      <c r="X758" s="156">
        <v>400800000</v>
      </c>
      <c r="Y758" s="156">
        <v>400800000</v>
      </c>
      <c r="Z758" s="418" t="s">
        <v>359</v>
      </c>
      <c r="AA758" s="271"/>
      <c r="AB758" s="168"/>
      <c r="AC758" s="156"/>
      <c r="AD758" s="156"/>
      <c r="AE758" s="320"/>
      <c r="AF758" s="168"/>
      <c r="AG758" s="156"/>
      <c r="AH758" s="156"/>
      <c r="AI758" s="410"/>
    </row>
    <row r="759" spans="1:35" ht="19.5" hidden="1" customHeight="1">
      <c r="A759" s="137"/>
      <c r="B759" s="197">
        <f t="shared" si="14"/>
        <v>749</v>
      </c>
      <c r="C759" s="30" t="s">
        <v>202</v>
      </c>
      <c r="D759" s="30" t="s">
        <v>225</v>
      </c>
      <c r="E759" s="234" t="s">
        <v>992</v>
      </c>
      <c r="F759" s="235" t="s">
        <v>611</v>
      </c>
      <c r="G759" s="284">
        <f>IFERROR(VLOOKUP(E759,Assign!$C$2:$J$142,8,FALSE),)</f>
        <v>0</v>
      </c>
      <c r="H759" s="197" t="s">
        <v>4658</v>
      </c>
      <c r="I759" s="324" t="s">
        <v>4660</v>
      </c>
      <c r="J759" s="237">
        <v>1</v>
      </c>
      <c r="K759" s="237">
        <v>2</v>
      </c>
      <c r="L759" s="265" t="s">
        <v>224</v>
      </c>
      <c r="M759" s="266" t="s">
        <v>1458</v>
      </c>
      <c r="N759" s="266" t="s">
        <v>2194</v>
      </c>
      <c r="O759" s="267" t="s">
        <v>2197</v>
      </c>
      <c r="P759" s="268" t="s">
        <v>456</v>
      </c>
      <c r="Q759" s="269">
        <v>126</v>
      </c>
      <c r="R759" s="269"/>
      <c r="S759" s="270"/>
      <c r="T759" s="182"/>
      <c r="U759" s="182">
        <v>1</v>
      </c>
      <c r="V759" s="408" t="s">
        <v>233</v>
      </c>
      <c r="W759" s="357" t="s">
        <v>204</v>
      </c>
      <c r="X759" s="156">
        <v>400800000</v>
      </c>
      <c r="Y759" s="156">
        <v>400800000</v>
      </c>
      <c r="Z759" s="418" t="s">
        <v>359</v>
      </c>
      <c r="AA759" s="271"/>
      <c r="AB759" s="168"/>
      <c r="AC759" s="156"/>
      <c r="AD759" s="156"/>
      <c r="AE759" s="320"/>
      <c r="AF759" s="168"/>
      <c r="AG759" s="156"/>
      <c r="AH759" s="156"/>
      <c r="AI759" s="410"/>
    </row>
    <row r="760" spans="1:35" ht="19.5" hidden="1" customHeight="1">
      <c r="A760" s="137"/>
      <c r="B760" s="197">
        <f t="shared" si="14"/>
        <v>750</v>
      </c>
      <c r="C760" s="30" t="s">
        <v>202</v>
      </c>
      <c r="D760" s="30" t="s">
        <v>225</v>
      </c>
      <c r="E760" s="234" t="s">
        <v>993</v>
      </c>
      <c r="F760" s="235" t="s">
        <v>1217</v>
      </c>
      <c r="G760" s="284">
        <f>IFERROR(VLOOKUP(E760,Assign!$C$2:$J$142,8,FALSE),)</f>
        <v>0</v>
      </c>
      <c r="H760" s="197" t="s">
        <v>4112</v>
      </c>
      <c r="I760" s="324" t="s">
        <v>4113</v>
      </c>
      <c r="J760" s="237">
        <v>1</v>
      </c>
      <c r="K760" s="237">
        <v>1</v>
      </c>
      <c r="L760" s="265" t="s">
        <v>208</v>
      </c>
      <c r="M760" s="266" t="s">
        <v>258</v>
      </c>
      <c r="N760" s="266" t="s">
        <v>327</v>
      </c>
      <c r="O760" s="267" t="s">
        <v>1688</v>
      </c>
      <c r="P760" s="268" t="s">
        <v>464</v>
      </c>
      <c r="Q760" s="269">
        <v>93799</v>
      </c>
      <c r="R760" s="269">
        <v>84.926400000000001</v>
      </c>
      <c r="S760" s="270"/>
      <c r="T760" s="182">
        <f>33.9397/93799</f>
        <v>3.6183434791415691E-4</v>
      </c>
      <c r="U760" s="182">
        <v>1</v>
      </c>
      <c r="V760" s="408" t="s">
        <v>381</v>
      </c>
      <c r="W760" s="357" t="s">
        <v>204</v>
      </c>
      <c r="X760" s="156">
        <v>420000000</v>
      </c>
      <c r="Y760" s="156">
        <v>420000000</v>
      </c>
      <c r="Z760" s="418" t="s">
        <v>534</v>
      </c>
      <c r="AA760" s="271"/>
      <c r="AB760" s="168"/>
      <c r="AC760" s="156"/>
      <c r="AD760" s="156"/>
      <c r="AE760" s="320">
        <v>2</v>
      </c>
      <c r="AF760" s="168" t="s">
        <v>204</v>
      </c>
      <c r="AG760" s="156">
        <v>120000000</v>
      </c>
      <c r="AH760" s="156">
        <v>120000000</v>
      </c>
      <c r="AI760" s="410"/>
    </row>
    <row r="761" spans="1:35" ht="19.5" customHeight="1">
      <c r="A761" s="137"/>
      <c r="B761" s="197">
        <f t="shared" si="14"/>
        <v>751</v>
      </c>
      <c r="C761" s="30" t="s">
        <v>202</v>
      </c>
      <c r="D761" s="30" t="s">
        <v>225</v>
      </c>
      <c r="E761" s="234" t="s">
        <v>994</v>
      </c>
      <c r="F761" s="235" t="s">
        <v>1217</v>
      </c>
      <c r="G761" s="284" t="str">
        <f>IFERROR(VLOOKUP(E761,Assign!$C$2:$J$142,8,FALSE),)</f>
        <v>문선영</v>
      </c>
      <c r="H761" s="197" t="s">
        <v>5014</v>
      </c>
      <c r="I761" s="324" t="s">
        <v>5015</v>
      </c>
      <c r="J761" s="237">
        <v>1</v>
      </c>
      <c r="K761" s="237">
        <v>1</v>
      </c>
      <c r="L761" s="265" t="s">
        <v>222</v>
      </c>
      <c r="M761" s="266" t="s">
        <v>277</v>
      </c>
      <c r="N761" s="266" t="s">
        <v>2535</v>
      </c>
      <c r="O761" s="267" t="s">
        <v>2536</v>
      </c>
      <c r="P761" s="268" t="s">
        <v>461</v>
      </c>
      <c r="Q761" s="269">
        <v>3343</v>
      </c>
      <c r="R761" s="269">
        <v>84.2102</v>
      </c>
      <c r="S761" s="270"/>
      <c r="T761" s="182">
        <f>20.7866/3343</f>
        <v>6.2179479509422673E-3</v>
      </c>
      <c r="U761" s="182">
        <v>1</v>
      </c>
      <c r="V761" s="408">
        <v>1</v>
      </c>
      <c r="W761" s="357" t="s">
        <v>204</v>
      </c>
      <c r="X761" s="156">
        <v>357940000</v>
      </c>
      <c r="Y761" s="156">
        <v>357940000</v>
      </c>
      <c r="Z761" s="418" t="s">
        <v>359</v>
      </c>
      <c r="AA761" s="271"/>
      <c r="AB761" s="168"/>
      <c r="AC761" s="156"/>
      <c r="AD761" s="156"/>
      <c r="AE761" s="320"/>
      <c r="AF761" s="168"/>
      <c r="AG761" s="156"/>
      <c r="AH761" s="156"/>
      <c r="AI761" s="410"/>
    </row>
    <row r="762" spans="1:35" ht="19.5" hidden="1" customHeight="1">
      <c r="A762" s="137"/>
      <c r="B762" s="197">
        <f t="shared" si="14"/>
        <v>752</v>
      </c>
      <c r="C762" s="30" t="s">
        <v>202</v>
      </c>
      <c r="D762" s="30" t="s">
        <v>225</v>
      </c>
      <c r="E762" s="234" t="s">
        <v>995</v>
      </c>
      <c r="F762" s="235" t="s">
        <v>1229</v>
      </c>
      <c r="G762" s="284">
        <f>IFERROR(VLOOKUP(E762,Assign!$C$2:$J$142,8,FALSE),)</f>
        <v>0</v>
      </c>
      <c r="H762" s="197" t="s">
        <v>5033</v>
      </c>
      <c r="I762" s="324" t="s">
        <v>5034</v>
      </c>
      <c r="J762" s="237">
        <v>1</v>
      </c>
      <c r="K762" s="237">
        <v>1</v>
      </c>
      <c r="L762" s="265" t="s">
        <v>208</v>
      </c>
      <c r="M762" s="266" t="s">
        <v>383</v>
      </c>
      <c r="N762" s="266" t="s">
        <v>2551</v>
      </c>
      <c r="O762" s="267" t="s">
        <v>2552</v>
      </c>
      <c r="P762" s="268" t="s">
        <v>482</v>
      </c>
      <c r="Q762" s="269"/>
      <c r="R762" s="269">
        <f>110.34+88.83</f>
        <v>199.17000000000002</v>
      </c>
      <c r="S762" s="270"/>
      <c r="T762" s="182"/>
      <c r="U762" s="182">
        <v>1</v>
      </c>
      <c r="V762" s="408">
        <v>1</v>
      </c>
      <c r="W762" s="357" t="s">
        <v>204</v>
      </c>
      <c r="X762" s="156">
        <v>540000000</v>
      </c>
      <c r="Y762" s="156">
        <v>540000000</v>
      </c>
      <c r="Z762" s="418" t="s">
        <v>359</v>
      </c>
      <c r="AA762" s="271"/>
      <c r="AB762" s="168"/>
      <c r="AC762" s="156"/>
      <c r="AD762" s="156"/>
      <c r="AE762" s="320"/>
      <c r="AF762" s="168"/>
      <c r="AG762" s="156"/>
      <c r="AH762" s="156"/>
      <c r="AI762" s="410"/>
    </row>
    <row r="763" spans="1:35" ht="19.5" hidden="1" customHeight="1">
      <c r="A763" s="137"/>
      <c r="B763" s="197">
        <f t="shared" si="14"/>
        <v>753</v>
      </c>
      <c r="C763" s="30" t="s">
        <v>202</v>
      </c>
      <c r="D763" s="30" t="s">
        <v>225</v>
      </c>
      <c r="E763" s="234" t="s">
        <v>995</v>
      </c>
      <c r="F763" s="235" t="s">
        <v>1229</v>
      </c>
      <c r="G763" s="284">
        <f>IFERROR(VLOOKUP(E763,Assign!$C$2:$J$142,8,FALSE),)</f>
        <v>0</v>
      </c>
      <c r="H763" s="197" t="s">
        <v>5033</v>
      </c>
      <c r="I763" s="324" t="s">
        <v>5035</v>
      </c>
      <c r="J763" s="237">
        <v>1</v>
      </c>
      <c r="K763" s="237">
        <v>2</v>
      </c>
      <c r="L763" s="265" t="s">
        <v>208</v>
      </c>
      <c r="M763" s="266" t="s">
        <v>383</v>
      </c>
      <c r="N763" s="266" t="s">
        <v>2551</v>
      </c>
      <c r="O763" s="267" t="s">
        <v>2552</v>
      </c>
      <c r="P763" s="268" t="s">
        <v>450</v>
      </c>
      <c r="Q763" s="269">
        <v>912</v>
      </c>
      <c r="R763" s="269"/>
      <c r="S763" s="270"/>
      <c r="T763" s="182"/>
      <c r="U763" s="182">
        <v>1</v>
      </c>
      <c r="V763" s="408">
        <v>1</v>
      </c>
      <c r="W763" s="357" t="s">
        <v>204</v>
      </c>
      <c r="X763" s="156">
        <v>540000000</v>
      </c>
      <c r="Y763" s="156">
        <v>540000000</v>
      </c>
      <c r="Z763" s="418" t="s">
        <v>359</v>
      </c>
      <c r="AA763" s="271"/>
      <c r="AB763" s="168"/>
      <c r="AC763" s="156"/>
      <c r="AD763" s="156"/>
      <c r="AE763" s="320"/>
      <c r="AF763" s="168"/>
      <c r="AG763" s="156"/>
      <c r="AH763" s="156"/>
      <c r="AI763" s="410"/>
    </row>
    <row r="764" spans="1:35" ht="19.5" customHeight="1">
      <c r="A764" s="137"/>
      <c r="B764" s="197">
        <f t="shared" si="14"/>
        <v>754</v>
      </c>
      <c r="C764" s="30" t="s">
        <v>202</v>
      </c>
      <c r="D764" s="30" t="s">
        <v>225</v>
      </c>
      <c r="E764" s="234" t="s">
        <v>996</v>
      </c>
      <c r="F764" s="235" t="s">
        <v>1359</v>
      </c>
      <c r="G764" s="284" t="str">
        <f>IFERROR(VLOOKUP(E764,Assign!$C$2:$J$142,8,FALSE),)</f>
        <v>문선영</v>
      </c>
      <c r="H764" s="197" t="s">
        <v>5308</v>
      </c>
      <c r="I764" s="324" t="s">
        <v>5309</v>
      </c>
      <c r="J764" s="237">
        <v>1</v>
      </c>
      <c r="K764" s="237">
        <v>1</v>
      </c>
      <c r="L764" s="265" t="s">
        <v>208</v>
      </c>
      <c r="M764" s="266" t="s">
        <v>377</v>
      </c>
      <c r="N764" s="266" t="s">
        <v>378</v>
      </c>
      <c r="O764" s="267" t="s">
        <v>2789</v>
      </c>
      <c r="P764" s="268" t="s">
        <v>2790</v>
      </c>
      <c r="Q764" s="269">
        <v>11989.9</v>
      </c>
      <c r="R764" s="269">
        <v>84.998199999999997</v>
      </c>
      <c r="S764" s="270"/>
      <c r="T764" s="182">
        <f>142.7369/11989.9</f>
        <v>1.1904761507602231E-2</v>
      </c>
      <c r="U764" s="182">
        <v>1</v>
      </c>
      <c r="V764" s="408">
        <v>1</v>
      </c>
      <c r="W764" s="357" t="s">
        <v>204</v>
      </c>
      <c r="X764" s="156">
        <v>438000000</v>
      </c>
      <c r="Y764" s="156">
        <v>438000000</v>
      </c>
      <c r="Z764" s="418" t="s">
        <v>359</v>
      </c>
      <c r="AA764" s="271"/>
      <c r="AB764" s="168"/>
      <c r="AC764" s="156"/>
      <c r="AD764" s="156"/>
      <c r="AE764" s="320"/>
      <c r="AF764" s="168"/>
      <c r="AG764" s="156"/>
      <c r="AH764" s="156"/>
      <c r="AI764" s="410"/>
    </row>
    <row r="765" spans="1:35" ht="19.5" hidden="1" customHeight="1">
      <c r="A765" s="137"/>
      <c r="B765" s="197">
        <f t="shared" si="14"/>
        <v>755</v>
      </c>
      <c r="C765" s="30" t="s">
        <v>202</v>
      </c>
      <c r="D765" s="30" t="s">
        <v>225</v>
      </c>
      <c r="E765" s="234" t="s">
        <v>997</v>
      </c>
      <c r="F765" s="235" t="s">
        <v>1229</v>
      </c>
      <c r="G765" s="284">
        <f>IFERROR(VLOOKUP(E765,Assign!$C$2:$J$142,8,FALSE),)</f>
        <v>0</v>
      </c>
      <c r="H765" s="197" t="s">
        <v>4597</v>
      </c>
      <c r="I765" s="324" t="s">
        <v>4598</v>
      </c>
      <c r="J765" s="237">
        <v>1</v>
      </c>
      <c r="K765" s="237">
        <v>1</v>
      </c>
      <c r="L765" s="265" t="s">
        <v>224</v>
      </c>
      <c r="M765" s="266" t="s">
        <v>428</v>
      </c>
      <c r="N765" s="266" t="s">
        <v>2135</v>
      </c>
      <c r="O765" s="267" t="s">
        <v>2136</v>
      </c>
      <c r="P765" s="268" t="s">
        <v>588</v>
      </c>
      <c r="Q765" s="269">
        <v>6943</v>
      </c>
      <c r="R765" s="269">
        <v>68.277299999999997</v>
      </c>
      <c r="S765" s="270"/>
      <c r="T765" s="182">
        <f>144.6458/6943</f>
        <v>2.0833328532334727E-2</v>
      </c>
      <c r="U765" s="182">
        <v>1</v>
      </c>
      <c r="V765" s="408">
        <v>1</v>
      </c>
      <c r="W765" s="357" t="s">
        <v>204</v>
      </c>
      <c r="X765" s="156">
        <v>350900000</v>
      </c>
      <c r="Y765" s="156">
        <v>350900000</v>
      </c>
      <c r="Z765" s="418" t="s">
        <v>359</v>
      </c>
      <c r="AA765" s="271"/>
      <c r="AB765" s="168"/>
      <c r="AC765" s="156"/>
      <c r="AD765" s="156"/>
      <c r="AE765" s="320"/>
      <c r="AF765" s="168"/>
      <c r="AG765" s="156"/>
      <c r="AH765" s="156"/>
      <c r="AI765" s="410"/>
    </row>
    <row r="766" spans="1:35" ht="19.5" hidden="1" customHeight="1">
      <c r="A766" s="137"/>
      <c r="B766" s="197">
        <f t="shared" si="14"/>
        <v>756</v>
      </c>
      <c r="C766" s="30" t="s">
        <v>202</v>
      </c>
      <c r="D766" s="30" t="s">
        <v>225</v>
      </c>
      <c r="E766" s="234" t="s">
        <v>998</v>
      </c>
      <c r="F766" s="235" t="s">
        <v>1221</v>
      </c>
      <c r="G766" s="284">
        <f>IFERROR(VLOOKUP(E766,Assign!$C$2:$J$142,8,FALSE),)</f>
        <v>0</v>
      </c>
      <c r="H766" s="197" t="s">
        <v>4878</v>
      </c>
      <c r="I766" s="324" t="s">
        <v>4879</v>
      </c>
      <c r="J766" s="237">
        <v>1</v>
      </c>
      <c r="K766" s="237">
        <v>1</v>
      </c>
      <c r="L766" s="265" t="s">
        <v>208</v>
      </c>
      <c r="M766" s="266" t="s">
        <v>318</v>
      </c>
      <c r="N766" s="266" t="s">
        <v>404</v>
      </c>
      <c r="O766" s="267" t="s">
        <v>2402</v>
      </c>
      <c r="P766" s="268" t="s">
        <v>2403</v>
      </c>
      <c r="Q766" s="269">
        <v>4224.3</v>
      </c>
      <c r="R766" s="269">
        <v>105.53</v>
      </c>
      <c r="S766" s="270"/>
      <c r="T766" s="182">
        <f>11.8069/4224.3</f>
        <v>2.79499562057619E-3</v>
      </c>
      <c r="U766" s="182">
        <v>1</v>
      </c>
      <c r="V766" s="408">
        <v>1</v>
      </c>
      <c r="W766" s="357" t="s">
        <v>204</v>
      </c>
      <c r="X766" s="156">
        <v>357500000</v>
      </c>
      <c r="Y766" s="156">
        <v>357500000</v>
      </c>
      <c r="Z766" s="418" t="s">
        <v>359</v>
      </c>
      <c r="AA766" s="271"/>
      <c r="AB766" s="168"/>
      <c r="AC766" s="156"/>
      <c r="AD766" s="156"/>
      <c r="AE766" s="320"/>
      <c r="AF766" s="168"/>
      <c r="AG766" s="156"/>
      <c r="AH766" s="156"/>
      <c r="AI766" s="410"/>
    </row>
    <row r="767" spans="1:35" ht="19.5" hidden="1" customHeight="1">
      <c r="A767" s="137"/>
      <c r="B767" s="197">
        <f t="shared" si="14"/>
        <v>757</v>
      </c>
      <c r="C767" s="30" t="s">
        <v>202</v>
      </c>
      <c r="D767" s="30" t="s">
        <v>225</v>
      </c>
      <c r="E767" s="234" t="s">
        <v>999</v>
      </c>
      <c r="F767" s="235" t="s">
        <v>1232</v>
      </c>
      <c r="G767" s="284">
        <f>IFERROR(VLOOKUP(E767,Assign!$C$2:$J$142,8,FALSE),)</f>
        <v>0</v>
      </c>
      <c r="H767" s="197" t="s">
        <v>4344</v>
      </c>
      <c r="I767" s="324" t="s">
        <v>4345</v>
      </c>
      <c r="J767" s="237">
        <v>1</v>
      </c>
      <c r="K767" s="237">
        <v>1</v>
      </c>
      <c r="L767" s="265" t="s">
        <v>209</v>
      </c>
      <c r="M767" s="266" t="s">
        <v>341</v>
      </c>
      <c r="N767" s="266" t="s">
        <v>1905</v>
      </c>
      <c r="O767" s="267" t="s">
        <v>1906</v>
      </c>
      <c r="P767" s="268" t="s">
        <v>442</v>
      </c>
      <c r="Q767" s="269">
        <v>474.5</v>
      </c>
      <c r="R767" s="269">
        <v>107.84</v>
      </c>
      <c r="S767" s="270"/>
      <c r="T767" s="182">
        <f>43.32/474.5</f>
        <v>9.1296101159114865E-2</v>
      </c>
      <c r="U767" s="182">
        <v>1</v>
      </c>
      <c r="V767" s="408" t="s">
        <v>233</v>
      </c>
      <c r="W767" s="357" t="s">
        <v>204</v>
      </c>
      <c r="X767" s="156">
        <v>478600000</v>
      </c>
      <c r="Y767" s="156">
        <v>478600000</v>
      </c>
      <c r="Z767" s="418" t="s">
        <v>359</v>
      </c>
      <c r="AA767" s="271"/>
      <c r="AB767" s="168"/>
      <c r="AC767" s="156"/>
      <c r="AD767" s="156"/>
      <c r="AE767" s="320"/>
      <c r="AF767" s="168"/>
      <c r="AG767" s="156"/>
      <c r="AH767" s="156"/>
      <c r="AI767" s="410"/>
    </row>
    <row r="768" spans="1:35" ht="19.5" customHeight="1">
      <c r="A768" s="137"/>
      <c r="B768" s="197">
        <f t="shared" si="14"/>
        <v>758</v>
      </c>
      <c r="C768" s="30" t="s">
        <v>202</v>
      </c>
      <c r="D768" s="30" t="s">
        <v>225</v>
      </c>
      <c r="E768" s="234" t="s">
        <v>1000</v>
      </c>
      <c r="F768" s="235" t="s">
        <v>1256</v>
      </c>
      <c r="G768" s="284" t="str">
        <f>IFERROR(VLOOKUP(E768,Assign!$C$2:$J$142,8,FALSE),)</f>
        <v>문선영</v>
      </c>
      <c r="H768" s="29" t="s">
        <v>3874</v>
      </c>
      <c r="I768" s="359" t="s">
        <v>3875</v>
      </c>
      <c r="J768" s="237">
        <v>1</v>
      </c>
      <c r="K768" s="237">
        <v>1</v>
      </c>
      <c r="L768" s="265" t="s">
        <v>215</v>
      </c>
      <c r="M768" s="266" t="s">
        <v>307</v>
      </c>
      <c r="N768" s="266" t="s">
        <v>1440</v>
      </c>
      <c r="O768" s="267" t="s">
        <v>1441</v>
      </c>
      <c r="P768" s="268" t="s">
        <v>1442</v>
      </c>
      <c r="Q768" s="269">
        <v>623.4</v>
      </c>
      <c r="R768" s="269">
        <v>45.36</v>
      </c>
      <c r="S768" s="270"/>
      <c r="T768" s="182">
        <f>27.46/623.4</f>
        <v>4.4048764837985248E-2</v>
      </c>
      <c r="U768" s="182">
        <v>1</v>
      </c>
      <c r="V768" s="408">
        <v>1</v>
      </c>
      <c r="W768" s="357" t="s">
        <v>204</v>
      </c>
      <c r="X768" s="156">
        <v>372000000</v>
      </c>
      <c r="Y768" s="156">
        <v>372000000</v>
      </c>
      <c r="Z768" s="418" t="s">
        <v>3861</v>
      </c>
      <c r="AA768" s="271"/>
      <c r="AB768" s="168"/>
      <c r="AC768" s="156"/>
      <c r="AD768" s="156"/>
      <c r="AE768" s="320"/>
      <c r="AF768" s="168"/>
      <c r="AG768" s="156"/>
      <c r="AH768" s="156"/>
      <c r="AI768" s="410"/>
    </row>
    <row r="769" spans="1:35" ht="19.5" hidden="1" customHeight="1">
      <c r="A769" s="137"/>
      <c r="B769" s="197">
        <f t="shared" si="14"/>
        <v>759</v>
      </c>
      <c r="C769" s="30" t="s">
        <v>202</v>
      </c>
      <c r="D769" s="30" t="s">
        <v>225</v>
      </c>
      <c r="E769" s="234" t="s">
        <v>1001</v>
      </c>
      <c r="F769" s="235" t="s">
        <v>1217</v>
      </c>
      <c r="G769" s="284">
        <f>IFERROR(VLOOKUP(E769,Assign!$C$2:$J$142,8,FALSE),)</f>
        <v>0</v>
      </c>
      <c r="H769" s="197" t="s">
        <v>4299</v>
      </c>
      <c r="I769" s="324" t="s">
        <v>4300</v>
      </c>
      <c r="J769" s="237">
        <v>1</v>
      </c>
      <c r="K769" s="237">
        <v>1</v>
      </c>
      <c r="L769" s="265" t="s">
        <v>208</v>
      </c>
      <c r="M769" s="266" t="s">
        <v>372</v>
      </c>
      <c r="N769" s="266" t="s">
        <v>1866</v>
      </c>
      <c r="O769" s="267" t="s">
        <v>1867</v>
      </c>
      <c r="P769" s="268" t="s">
        <v>1702</v>
      </c>
      <c r="Q769" s="269"/>
      <c r="R769" s="269">
        <f>150.95+146.7</f>
        <v>297.64999999999998</v>
      </c>
      <c r="S769" s="270"/>
      <c r="T769" s="182"/>
      <c r="U769" s="182">
        <v>1</v>
      </c>
      <c r="V769" s="408">
        <v>1</v>
      </c>
      <c r="W769" s="357" t="s">
        <v>204</v>
      </c>
      <c r="X769" s="156">
        <v>480000000</v>
      </c>
      <c r="Y769" s="156">
        <v>480000000</v>
      </c>
      <c r="Z769" s="418" t="s">
        <v>359</v>
      </c>
      <c r="AA769" s="271"/>
      <c r="AB769" s="168"/>
      <c r="AC769" s="156"/>
      <c r="AD769" s="156"/>
      <c r="AE769" s="320"/>
      <c r="AF769" s="168"/>
      <c r="AG769" s="156"/>
      <c r="AH769" s="156"/>
      <c r="AI769" s="410"/>
    </row>
    <row r="770" spans="1:35" ht="19.5" hidden="1" customHeight="1">
      <c r="A770" s="137"/>
      <c r="B770" s="197">
        <f t="shared" si="14"/>
        <v>760</v>
      </c>
      <c r="C770" s="30" t="s">
        <v>202</v>
      </c>
      <c r="D770" s="30" t="s">
        <v>225</v>
      </c>
      <c r="E770" s="234" t="s">
        <v>1001</v>
      </c>
      <c r="F770" s="235" t="s">
        <v>1217</v>
      </c>
      <c r="G770" s="284">
        <f>IFERROR(VLOOKUP(E770,Assign!$C$2:$J$142,8,FALSE),)</f>
        <v>0</v>
      </c>
      <c r="H770" s="197" t="s">
        <v>4299</v>
      </c>
      <c r="I770" s="324" t="s">
        <v>4301</v>
      </c>
      <c r="J770" s="237">
        <v>1</v>
      </c>
      <c r="K770" s="237">
        <v>2</v>
      </c>
      <c r="L770" s="265" t="s">
        <v>208</v>
      </c>
      <c r="M770" s="266" t="s">
        <v>372</v>
      </c>
      <c r="N770" s="266" t="s">
        <v>1866</v>
      </c>
      <c r="O770" s="267" t="s">
        <v>1867</v>
      </c>
      <c r="P770" s="268" t="s">
        <v>447</v>
      </c>
      <c r="Q770" s="269">
        <v>360</v>
      </c>
      <c r="R770" s="269"/>
      <c r="S770" s="270"/>
      <c r="T770" s="182"/>
      <c r="U770" s="182">
        <v>1</v>
      </c>
      <c r="V770" s="408">
        <v>1</v>
      </c>
      <c r="W770" s="357" t="s">
        <v>204</v>
      </c>
      <c r="X770" s="156">
        <v>480000000</v>
      </c>
      <c r="Y770" s="156">
        <v>480000000</v>
      </c>
      <c r="Z770" s="418" t="s">
        <v>359</v>
      </c>
      <c r="AA770" s="271"/>
      <c r="AB770" s="168"/>
      <c r="AC770" s="156"/>
      <c r="AD770" s="156"/>
      <c r="AE770" s="320"/>
      <c r="AF770" s="168"/>
      <c r="AG770" s="156"/>
      <c r="AH770" s="156"/>
      <c r="AI770" s="410"/>
    </row>
    <row r="771" spans="1:35" ht="19.5" hidden="1" customHeight="1">
      <c r="A771" s="137"/>
      <c r="B771" s="197">
        <f t="shared" si="14"/>
        <v>761</v>
      </c>
      <c r="C771" s="30" t="s">
        <v>202</v>
      </c>
      <c r="D771" s="30" t="s">
        <v>225</v>
      </c>
      <c r="E771" s="234" t="s">
        <v>1002</v>
      </c>
      <c r="F771" s="235" t="s">
        <v>1360</v>
      </c>
      <c r="G771" s="284">
        <f>IFERROR(VLOOKUP(E771,Assign!$C$2:$J$142,8,FALSE),)</f>
        <v>0</v>
      </c>
      <c r="H771" s="197" t="s">
        <v>5026</v>
      </c>
      <c r="I771" s="324" t="s">
        <v>5027</v>
      </c>
      <c r="J771" s="237">
        <v>1</v>
      </c>
      <c r="K771" s="237">
        <v>1</v>
      </c>
      <c r="L771" s="265" t="s">
        <v>208</v>
      </c>
      <c r="M771" s="266" t="s">
        <v>316</v>
      </c>
      <c r="N771" s="266" t="s">
        <v>1686</v>
      </c>
      <c r="O771" s="267" t="s">
        <v>2546</v>
      </c>
      <c r="P771" s="268" t="s">
        <v>482</v>
      </c>
      <c r="Q771" s="269"/>
      <c r="R771" s="269">
        <f>99.03+48.77+44</f>
        <v>191.8</v>
      </c>
      <c r="S771" s="270"/>
      <c r="T771" s="182"/>
      <c r="U771" s="182">
        <v>1</v>
      </c>
      <c r="V771" s="408">
        <v>2</v>
      </c>
      <c r="W771" s="357" t="s">
        <v>204</v>
      </c>
      <c r="X771" s="156">
        <v>360000000</v>
      </c>
      <c r="Y771" s="156">
        <v>360000000</v>
      </c>
      <c r="Z771" s="418" t="s">
        <v>359</v>
      </c>
      <c r="AA771" s="271">
        <v>1</v>
      </c>
      <c r="AB771" s="168" t="s">
        <v>204</v>
      </c>
      <c r="AC771" s="156">
        <v>360000000</v>
      </c>
      <c r="AD771" s="156">
        <v>360000000</v>
      </c>
      <c r="AE771" s="320"/>
      <c r="AF771" s="168"/>
      <c r="AG771" s="156"/>
      <c r="AH771" s="156"/>
      <c r="AI771" s="410"/>
    </row>
    <row r="772" spans="1:35" ht="19.5" hidden="1" customHeight="1">
      <c r="A772" s="137"/>
      <c r="B772" s="197">
        <f t="shared" si="14"/>
        <v>762</v>
      </c>
      <c r="C772" s="30" t="s">
        <v>202</v>
      </c>
      <c r="D772" s="30" t="s">
        <v>225</v>
      </c>
      <c r="E772" s="234" t="s">
        <v>1002</v>
      </c>
      <c r="F772" s="235" t="s">
        <v>1360</v>
      </c>
      <c r="G772" s="284">
        <f>IFERROR(VLOOKUP(E772,Assign!$C$2:$J$142,8,FALSE),)</f>
        <v>0</v>
      </c>
      <c r="H772" s="197" t="s">
        <v>5026</v>
      </c>
      <c r="I772" s="324" t="s">
        <v>5028</v>
      </c>
      <c r="J772" s="237">
        <v>1</v>
      </c>
      <c r="K772" s="237">
        <v>2</v>
      </c>
      <c r="L772" s="265" t="s">
        <v>208</v>
      </c>
      <c r="M772" s="266" t="s">
        <v>316</v>
      </c>
      <c r="N772" s="266" t="s">
        <v>1686</v>
      </c>
      <c r="O772" s="267" t="s">
        <v>2546</v>
      </c>
      <c r="P772" s="268" t="s">
        <v>450</v>
      </c>
      <c r="Q772" s="269">
        <v>298</v>
      </c>
      <c r="R772" s="269"/>
      <c r="S772" s="270"/>
      <c r="T772" s="182"/>
      <c r="U772" s="182">
        <v>1</v>
      </c>
      <c r="V772" s="408">
        <v>2</v>
      </c>
      <c r="W772" s="357" t="s">
        <v>204</v>
      </c>
      <c r="X772" s="156">
        <v>360000000</v>
      </c>
      <c r="Y772" s="156">
        <v>360000000</v>
      </c>
      <c r="Z772" s="418" t="s">
        <v>359</v>
      </c>
      <c r="AA772" s="271">
        <v>1</v>
      </c>
      <c r="AB772" s="168" t="s">
        <v>204</v>
      </c>
      <c r="AC772" s="156">
        <v>360000000</v>
      </c>
      <c r="AD772" s="156">
        <v>360000000</v>
      </c>
      <c r="AE772" s="320"/>
      <c r="AF772" s="168"/>
      <c r="AG772" s="156"/>
      <c r="AH772" s="156"/>
      <c r="AI772" s="410"/>
    </row>
    <row r="773" spans="1:35" ht="19.5" hidden="1" customHeight="1">
      <c r="A773" s="137"/>
      <c r="B773" s="197">
        <f t="shared" si="14"/>
        <v>763</v>
      </c>
      <c r="C773" s="30" t="s">
        <v>202</v>
      </c>
      <c r="D773" s="30" t="s">
        <v>225</v>
      </c>
      <c r="E773" s="234" t="s">
        <v>1003</v>
      </c>
      <c r="F773" s="235" t="s">
        <v>1231</v>
      </c>
      <c r="G773" s="284">
        <f>IFERROR(VLOOKUP(E773,Assign!$C$2:$J$142,8,FALSE),)</f>
        <v>0</v>
      </c>
      <c r="H773" s="197" t="s">
        <v>4421</v>
      </c>
      <c r="I773" s="324" t="s">
        <v>4422</v>
      </c>
      <c r="J773" s="237">
        <v>1</v>
      </c>
      <c r="K773" s="237">
        <v>1</v>
      </c>
      <c r="L773" s="265" t="s">
        <v>208</v>
      </c>
      <c r="M773" s="266" t="s">
        <v>316</v>
      </c>
      <c r="N773" s="266" t="s">
        <v>1976</v>
      </c>
      <c r="O773" s="267" t="s">
        <v>1977</v>
      </c>
      <c r="P773" s="268" t="s">
        <v>1453</v>
      </c>
      <c r="Q773" s="269">
        <v>839</v>
      </c>
      <c r="R773" s="269">
        <v>74.86</v>
      </c>
      <c r="S773" s="270"/>
      <c r="T773" s="182">
        <f>49.2/839</f>
        <v>5.8641239570917762E-2</v>
      </c>
      <c r="U773" s="182">
        <v>1</v>
      </c>
      <c r="V773" s="408">
        <v>1</v>
      </c>
      <c r="W773" s="357" t="s">
        <v>204</v>
      </c>
      <c r="X773" s="156">
        <v>333300000</v>
      </c>
      <c r="Y773" s="156">
        <v>333300000</v>
      </c>
      <c r="Z773" s="418" t="s">
        <v>359</v>
      </c>
      <c r="AA773" s="271"/>
      <c r="AB773" s="168"/>
      <c r="AC773" s="156"/>
      <c r="AD773" s="156"/>
      <c r="AE773" s="320"/>
      <c r="AF773" s="168"/>
      <c r="AG773" s="156"/>
      <c r="AH773" s="156"/>
      <c r="AI773" s="410"/>
    </row>
    <row r="774" spans="1:35" ht="19.5" customHeight="1">
      <c r="A774" s="137"/>
      <c r="B774" s="197">
        <f t="shared" si="14"/>
        <v>764</v>
      </c>
      <c r="C774" s="30" t="s">
        <v>202</v>
      </c>
      <c r="D774" s="30" t="s">
        <v>225</v>
      </c>
      <c r="E774" s="234" t="s">
        <v>1004</v>
      </c>
      <c r="F774" s="235" t="s">
        <v>1361</v>
      </c>
      <c r="G774" s="284" t="str">
        <f>IFERROR(VLOOKUP(E774,Assign!$C$2:$J$142,8,FALSE),)</f>
        <v>문선영</v>
      </c>
      <c r="H774" s="197" t="s">
        <v>5016</v>
      </c>
      <c r="I774" s="324" t="s">
        <v>5017</v>
      </c>
      <c r="J774" s="237">
        <v>1</v>
      </c>
      <c r="K774" s="237">
        <v>1</v>
      </c>
      <c r="L774" s="265" t="s">
        <v>208</v>
      </c>
      <c r="M774" s="266" t="s">
        <v>301</v>
      </c>
      <c r="N774" s="266" t="s">
        <v>1798</v>
      </c>
      <c r="O774" s="267" t="s">
        <v>2537</v>
      </c>
      <c r="P774" s="268" t="s">
        <v>2538</v>
      </c>
      <c r="Q774" s="269">
        <v>4556</v>
      </c>
      <c r="R774" s="269">
        <v>347.84</v>
      </c>
      <c r="S774" s="270"/>
      <c r="T774" s="182">
        <f>175.6733/4556</f>
        <v>3.8558669885864795E-2</v>
      </c>
      <c r="U774" s="182">
        <v>1</v>
      </c>
      <c r="V774" s="408">
        <v>1</v>
      </c>
      <c r="W774" s="357" t="s">
        <v>204</v>
      </c>
      <c r="X774" s="156">
        <v>1200000000</v>
      </c>
      <c r="Y774" s="156">
        <v>1200000000</v>
      </c>
      <c r="Z774" s="418" t="s">
        <v>359</v>
      </c>
      <c r="AA774" s="271"/>
      <c r="AB774" s="168"/>
      <c r="AC774" s="156"/>
      <c r="AD774" s="156"/>
      <c r="AE774" s="320"/>
      <c r="AF774" s="168"/>
      <c r="AG774" s="156"/>
      <c r="AH774" s="156"/>
      <c r="AI774" s="410"/>
    </row>
    <row r="775" spans="1:35" ht="19.5" customHeight="1">
      <c r="A775" s="137"/>
      <c r="B775" s="197">
        <f t="shared" si="14"/>
        <v>765</v>
      </c>
      <c r="C775" s="30" t="s">
        <v>202</v>
      </c>
      <c r="D775" s="30" t="s">
        <v>225</v>
      </c>
      <c r="E775" s="234" t="s">
        <v>1005</v>
      </c>
      <c r="F775" s="235" t="s">
        <v>1226</v>
      </c>
      <c r="G775" s="284" t="str">
        <f>IFERROR(VLOOKUP(E775,Assign!$C$2:$J$142,8,FALSE),)</f>
        <v>문선영</v>
      </c>
      <c r="H775" s="197" t="s">
        <v>3914</v>
      </c>
      <c r="I775" s="324" t="s">
        <v>3915</v>
      </c>
      <c r="J775" s="237">
        <v>1</v>
      </c>
      <c r="K775" s="237">
        <v>1</v>
      </c>
      <c r="L775" s="265" t="s">
        <v>208</v>
      </c>
      <c r="M775" s="266" t="s">
        <v>258</v>
      </c>
      <c r="N775" s="266" t="s">
        <v>321</v>
      </c>
      <c r="O775" s="267" t="s">
        <v>1485</v>
      </c>
      <c r="P775" s="268" t="s">
        <v>461</v>
      </c>
      <c r="Q775" s="269">
        <v>40178.6</v>
      </c>
      <c r="R775" s="269">
        <v>59.792499999999997</v>
      </c>
      <c r="S775" s="270"/>
      <c r="T775" s="182">
        <f>40.6672/40178.6</f>
        <v>1.0121607024635006E-3</v>
      </c>
      <c r="U775" s="182">
        <v>1</v>
      </c>
      <c r="V775" s="408">
        <v>1</v>
      </c>
      <c r="W775" s="357" t="s">
        <v>204</v>
      </c>
      <c r="X775" s="156">
        <v>319000000</v>
      </c>
      <c r="Y775" s="156">
        <v>319000000</v>
      </c>
      <c r="Z775" s="418" t="s">
        <v>359</v>
      </c>
      <c r="AA775" s="271"/>
      <c r="AB775" s="168"/>
      <c r="AC775" s="156"/>
      <c r="AD775" s="156"/>
      <c r="AE775" s="320"/>
      <c r="AF775" s="168"/>
      <c r="AG775" s="156"/>
      <c r="AH775" s="156"/>
      <c r="AI775" s="410"/>
    </row>
    <row r="776" spans="1:35" ht="19.5" customHeight="1">
      <c r="A776" s="137"/>
      <c r="B776" s="197">
        <f t="shared" si="14"/>
        <v>766</v>
      </c>
      <c r="C776" s="30" t="s">
        <v>202</v>
      </c>
      <c r="D776" s="30" t="s">
        <v>225</v>
      </c>
      <c r="E776" s="234" t="s">
        <v>1006</v>
      </c>
      <c r="F776" s="235" t="s">
        <v>1231</v>
      </c>
      <c r="G776" s="284" t="str">
        <f>IFERROR(VLOOKUP(E776,Assign!$C$2:$J$142,8,FALSE),)</f>
        <v>문선영</v>
      </c>
      <c r="H776" s="197" t="s">
        <v>5463</v>
      </c>
      <c r="I776" s="324" t="s">
        <v>5464</v>
      </c>
      <c r="J776" s="237">
        <v>1</v>
      </c>
      <c r="K776" s="237">
        <v>1</v>
      </c>
      <c r="L776" s="265" t="s">
        <v>216</v>
      </c>
      <c r="M776" s="266" t="s">
        <v>289</v>
      </c>
      <c r="N776" s="266" t="s">
        <v>2936</v>
      </c>
      <c r="O776" s="267" t="s">
        <v>2937</v>
      </c>
      <c r="P776" s="268" t="s">
        <v>468</v>
      </c>
      <c r="Q776" s="269">
        <v>6030.8</v>
      </c>
      <c r="R776" s="269">
        <v>149.9478</v>
      </c>
      <c r="S776" s="270"/>
      <c r="T776" s="182">
        <f>104.0402/6030.8</f>
        <v>1.7251475757776746E-2</v>
      </c>
      <c r="U776" s="182">
        <v>1</v>
      </c>
      <c r="V776" s="408">
        <v>1</v>
      </c>
      <c r="W776" s="357" t="s">
        <v>204</v>
      </c>
      <c r="X776" s="156">
        <v>432000000</v>
      </c>
      <c r="Y776" s="156">
        <v>432000000</v>
      </c>
      <c r="Z776" s="418" t="s">
        <v>359</v>
      </c>
      <c r="AA776" s="271"/>
      <c r="AB776" s="168"/>
      <c r="AC776" s="156"/>
      <c r="AD776" s="156"/>
      <c r="AE776" s="320"/>
      <c r="AF776" s="168"/>
      <c r="AG776" s="156"/>
      <c r="AH776" s="156"/>
      <c r="AI776" s="410"/>
    </row>
    <row r="777" spans="1:35" ht="19.5" hidden="1" customHeight="1">
      <c r="A777" s="137"/>
      <c r="B777" s="197">
        <f t="shared" si="14"/>
        <v>767</v>
      </c>
      <c r="C777" s="30" t="s">
        <v>202</v>
      </c>
      <c r="D777" s="30" t="s">
        <v>225</v>
      </c>
      <c r="E777" s="234" t="s">
        <v>1007</v>
      </c>
      <c r="F777" s="235" t="s">
        <v>1229</v>
      </c>
      <c r="G777" s="284">
        <f>IFERROR(VLOOKUP(E777,Assign!$C$2:$J$142,8,FALSE),)</f>
        <v>0</v>
      </c>
      <c r="H777" s="197" t="s">
        <v>4849</v>
      </c>
      <c r="I777" s="324" t="s">
        <v>4850</v>
      </c>
      <c r="J777" s="237">
        <v>1</v>
      </c>
      <c r="K777" s="237">
        <v>1</v>
      </c>
      <c r="L777" s="265" t="s">
        <v>208</v>
      </c>
      <c r="M777" s="266" t="s">
        <v>259</v>
      </c>
      <c r="N777" s="266" t="s">
        <v>1678</v>
      </c>
      <c r="O777" s="267" t="s">
        <v>2375</v>
      </c>
      <c r="P777" s="268" t="s">
        <v>468</v>
      </c>
      <c r="Q777" s="269">
        <v>38312.400000000001</v>
      </c>
      <c r="R777" s="269">
        <v>55.96</v>
      </c>
      <c r="S777" s="270"/>
      <c r="T777" s="182">
        <f>42.6397/38312.4</f>
        <v>1.1129477662584436E-3</v>
      </c>
      <c r="U777" s="182">
        <v>1</v>
      </c>
      <c r="V777" s="408">
        <v>1</v>
      </c>
      <c r="W777" s="357" t="s">
        <v>204</v>
      </c>
      <c r="X777" s="156">
        <v>321200000</v>
      </c>
      <c r="Y777" s="156">
        <v>321200000</v>
      </c>
      <c r="Z777" s="418" t="s">
        <v>359</v>
      </c>
      <c r="AA777" s="271"/>
      <c r="AB777" s="168"/>
      <c r="AC777" s="156"/>
      <c r="AD777" s="156"/>
      <c r="AE777" s="320"/>
      <c r="AF777" s="168"/>
      <c r="AG777" s="156"/>
      <c r="AH777" s="156"/>
      <c r="AI777" s="410"/>
    </row>
    <row r="778" spans="1:35" ht="19.5" hidden="1" customHeight="1">
      <c r="A778" s="137"/>
      <c r="B778" s="197">
        <f t="shared" si="14"/>
        <v>768</v>
      </c>
      <c r="C778" s="30" t="s">
        <v>202</v>
      </c>
      <c r="D778" s="30" t="s">
        <v>225</v>
      </c>
      <c r="E778" s="234" t="s">
        <v>1008</v>
      </c>
      <c r="F778" s="235" t="s">
        <v>1229</v>
      </c>
      <c r="G778" s="284">
        <f>IFERROR(VLOOKUP(E778,Assign!$C$2:$J$142,8,FALSE),)</f>
        <v>0</v>
      </c>
      <c r="H778" s="197" t="s">
        <v>4677</v>
      </c>
      <c r="I778" s="324" t="s">
        <v>4678</v>
      </c>
      <c r="J778" s="237">
        <v>1</v>
      </c>
      <c r="K778" s="237">
        <v>1</v>
      </c>
      <c r="L778" s="265" t="s">
        <v>208</v>
      </c>
      <c r="M778" s="266" t="s">
        <v>301</v>
      </c>
      <c r="N778" s="266" t="s">
        <v>2214</v>
      </c>
      <c r="O778" s="267" t="s">
        <v>2215</v>
      </c>
      <c r="P778" s="268" t="s">
        <v>451</v>
      </c>
      <c r="Q778" s="269">
        <v>58228</v>
      </c>
      <c r="R778" s="269">
        <v>120.5004</v>
      </c>
      <c r="S778" s="270"/>
      <c r="T778" s="182">
        <f>71.402/58228</f>
        <v>1.2262485402211995E-3</v>
      </c>
      <c r="U778" s="182">
        <v>1</v>
      </c>
      <c r="V778" s="408">
        <v>1</v>
      </c>
      <c r="W778" s="357" t="s">
        <v>204</v>
      </c>
      <c r="X778" s="156">
        <v>306600000</v>
      </c>
      <c r="Y778" s="156">
        <v>306600000</v>
      </c>
      <c r="Z778" s="418" t="s">
        <v>359</v>
      </c>
      <c r="AA778" s="271"/>
      <c r="AB778" s="168"/>
      <c r="AC778" s="156"/>
      <c r="AD778" s="156"/>
      <c r="AE778" s="320"/>
      <c r="AF778" s="168"/>
      <c r="AG778" s="156"/>
      <c r="AH778" s="156"/>
      <c r="AI778" s="410"/>
    </row>
    <row r="779" spans="1:35" ht="19.5" customHeight="1">
      <c r="A779" s="137"/>
      <c r="B779" s="197">
        <f t="shared" ref="B779:B842" si="15">ROW()-10</f>
        <v>769</v>
      </c>
      <c r="C779" s="30" t="s">
        <v>202</v>
      </c>
      <c r="D779" s="30" t="s">
        <v>225</v>
      </c>
      <c r="E779" s="234" t="s">
        <v>1009</v>
      </c>
      <c r="F779" s="235" t="s">
        <v>1221</v>
      </c>
      <c r="G779" s="284" t="str">
        <f>IFERROR(VLOOKUP(E779,Assign!$C$2:$J$142,8,FALSE),)</f>
        <v>문선영</v>
      </c>
      <c r="H779" s="197" t="s">
        <v>4656</v>
      </c>
      <c r="I779" s="324" t="s">
        <v>4657</v>
      </c>
      <c r="J779" s="237">
        <v>1</v>
      </c>
      <c r="K779" s="237">
        <v>1</v>
      </c>
      <c r="L779" s="265" t="s">
        <v>213</v>
      </c>
      <c r="M779" s="266" t="s">
        <v>289</v>
      </c>
      <c r="N779" s="266" t="s">
        <v>2192</v>
      </c>
      <c r="O779" s="267" t="s">
        <v>2193</v>
      </c>
      <c r="P779" s="268" t="s">
        <v>463</v>
      </c>
      <c r="Q779" s="269">
        <f>35+15627+2889+432+795+141+18+134</f>
        <v>20071</v>
      </c>
      <c r="R779" s="269">
        <v>134.78</v>
      </c>
      <c r="S779" s="270"/>
      <c r="T779" s="182">
        <f>41020/20071000</f>
        <v>2.0437447062926612E-3</v>
      </c>
      <c r="U779" s="182">
        <v>1</v>
      </c>
      <c r="V779" s="408" t="s">
        <v>229</v>
      </c>
      <c r="W779" s="357" t="s">
        <v>204</v>
      </c>
      <c r="X779" s="156">
        <v>339600000</v>
      </c>
      <c r="Y779" s="156">
        <v>339600000</v>
      </c>
      <c r="Z779" s="418" t="s">
        <v>359</v>
      </c>
      <c r="AA779" s="271"/>
      <c r="AB779" s="168"/>
      <c r="AC779" s="156"/>
      <c r="AD779" s="156"/>
      <c r="AE779" s="320"/>
      <c r="AF779" s="168"/>
      <c r="AG779" s="156"/>
      <c r="AH779" s="156"/>
      <c r="AI779" s="410"/>
    </row>
    <row r="780" spans="1:35" ht="19.5" hidden="1" customHeight="1">
      <c r="A780" s="137"/>
      <c r="B780" s="197">
        <f t="shared" si="15"/>
        <v>770</v>
      </c>
      <c r="C780" s="30" t="s">
        <v>202</v>
      </c>
      <c r="D780" s="30" t="s">
        <v>225</v>
      </c>
      <c r="E780" s="234" t="s">
        <v>1010</v>
      </c>
      <c r="F780" s="235" t="s">
        <v>1217</v>
      </c>
      <c r="G780" s="284">
        <f>IFERROR(VLOOKUP(E780,Assign!$C$2:$J$142,8,FALSE),)</f>
        <v>0</v>
      </c>
      <c r="H780" s="197" t="s">
        <v>4399</v>
      </c>
      <c r="I780" s="324" t="s">
        <v>4400</v>
      </c>
      <c r="J780" s="237">
        <v>1</v>
      </c>
      <c r="K780" s="237">
        <v>1</v>
      </c>
      <c r="L780" s="265" t="s">
        <v>208</v>
      </c>
      <c r="M780" s="266" t="s">
        <v>258</v>
      </c>
      <c r="N780" s="266" t="s">
        <v>1761</v>
      </c>
      <c r="O780" s="267" t="s">
        <v>1955</v>
      </c>
      <c r="P780" s="268" t="s">
        <v>451</v>
      </c>
      <c r="Q780" s="269">
        <v>21368.2</v>
      </c>
      <c r="R780" s="269">
        <v>84.963800000000006</v>
      </c>
      <c r="S780" s="270"/>
      <c r="T780" s="182">
        <f>50.7195/21368.2</f>
        <v>2.3735972145524655E-3</v>
      </c>
      <c r="U780" s="182">
        <v>1</v>
      </c>
      <c r="V780" s="408">
        <v>1</v>
      </c>
      <c r="W780" s="357" t="s">
        <v>204</v>
      </c>
      <c r="X780" s="156">
        <v>293700000</v>
      </c>
      <c r="Y780" s="156">
        <v>293700000</v>
      </c>
      <c r="Z780" s="418" t="s">
        <v>359</v>
      </c>
      <c r="AA780" s="271"/>
      <c r="AB780" s="168"/>
      <c r="AC780" s="156"/>
      <c r="AD780" s="156"/>
      <c r="AE780" s="320"/>
      <c r="AF780" s="168"/>
      <c r="AG780" s="156"/>
      <c r="AH780" s="156"/>
      <c r="AI780" s="410"/>
    </row>
    <row r="781" spans="1:35" ht="19.5" hidden="1" customHeight="1">
      <c r="A781" s="137"/>
      <c r="B781" s="197">
        <f t="shared" si="15"/>
        <v>771</v>
      </c>
      <c r="C781" s="30" t="s">
        <v>202</v>
      </c>
      <c r="D781" s="30" t="s">
        <v>225</v>
      </c>
      <c r="E781" s="234" t="s">
        <v>1011</v>
      </c>
      <c r="F781" s="235" t="s">
        <v>1220</v>
      </c>
      <c r="G781" s="284">
        <f>IFERROR(VLOOKUP(E781,Assign!$C$2:$J$142,8,FALSE),)</f>
        <v>0</v>
      </c>
      <c r="H781" s="197" t="s">
        <v>4260</v>
      </c>
      <c r="I781" s="324" t="s">
        <v>4261</v>
      </c>
      <c r="J781" s="237">
        <v>1</v>
      </c>
      <c r="K781" s="237">
        <v>1</v>
      </c>
      <c r="L781" s="265" t="s">
        <v>208</v>
      </c>
      <c r="M781" s="266" t="s">
        <v>316</v>
      </c>
      <c r="N781" s="266" t="s">
        <v>1828</v>
      </c>
      <c r="O781" s="267" t="s">
        <v>1829</v>
      </c>
      <c r="P781" s="268" t="s">
        <v>445</v>
      </c>
      <c r="Q781" s="269">
        <v>56063.199999999997</v>
      </c>
      <c r="R781" s="269">
        <v>62.954900000000002</v>
      </c>
      <c r="S781" s="270"/>
      <c r="T781" s="182">
        <f>40.3768/56063.2</f>
        <v>7.2020148689336326E-4</v>
      </c>
      <c r="U781" s="182">
        <v>1</v>
      </c>
      <c r="V781" s="408">
        <v>1</v>
      </c>
      <c r="W781" s="357" t="s">
        <v>204</v>
      </c>
      <c r="X781" s="156">
        <v>284900000</v>
      </c>
      <c r="Y781" s="156">
        <v>284900000</v>
      </c>
      <c r="Z781" s="418" t="s">
        <v>359</v>
      </c>
      <c r="AA781" s="271"/>
      <c r="AB781" s="168"/>
      <c r="AC781" s="156"/>
      <c r="AD781" s="156"/>
      <c r="AE781" s="320"/>
      <c r="AF781" s="168"/>
      <c r="AG781" s="156"/>
      <c r="AH781" s="156"/>
      <c r="AI781" s="410"/>
    </row>
    <row r="782" spans="1:35" ht="19.5" hidden="1" customHeight="1">
      <c r="A782" s="137"/>
      <c r="B782" s="197">
        <f t="shared" si="15"/>
        <v>772</v>
      </c>
      <c r="C782" s="30" t="s">
        <v>202</v>
      </c>
      <c r="D782" s="30" t="s">
        <v>225</v>
      </c>
      <c r="E782" s="234" t="s">
        <v>1012</v>
      </c>
      <c r="F782" s="235" t="s">
        <v>1218</v>
      </c>
      <c r="G782" s="284">
        <f>IFERROR(VLOOKUP(E782,Assign!$C$2:$J$142,8,FALSE),)</f>
        <v>0</v>
      </c>
      <c r="H782" s="197" t="s">
        <v>5392</v>
      </c>
      <c r="I782" s="324" t="s">
        <v>5393</v>
      </c>
      <c r="J782" s="237">
        <v>1</v>
      </c>
      <c r="K782" s="237">
        <v>1</v>
      </c>
      <c r="L782" s="265" t="s">
        <v>208</v>
      </c>
      <c r="M782" s="266" t="s">
        <v>228</v>
      </c>
      <c r="N782" s="266" t="s">
        <v>2174</v>
      </c>
      <c r="O782" s="267" t="s">
        <v>2869</v>
      </c>
      <c r="P782" s="268" t="s">
        <v>451</v>
      </c>
      <c r="Q782" s="366" t="s">
        <v>265</v>
      </c>
      <c r="R782" s="269">
        <v>84.984700000000004</v>
      </c>
      <c r="S782" s="270"/>
      <c r="T782" s="182" t="s">
        <v>265</v>
      </c>
      <c r="U782" s="182">
        <v>1</v>
      </c>
      <c r="V782" s="408">
        <v>1</v>
      </c>
      <c r="W782" s="357" t="s">
        <v>204</v>
      </c>
      <c r="X782" s="156">
        <v>275000000</v>
      </c>
      <c r="Y782" s="156">
        <v>275000000</v>
      </c>
      <c r="Z782" s="418" t="s">
        <v>359</v>
      </c>
      <c r="AA782" s="271"/>
      <c r="AB782" s="168"/>
      <c r="AC782" s="156"/>
      <c r="AD782" s="156"/>
      <c r="AE782" s="320"/>
      <c r="AF782" s="168"/>
      <c r="AG782" s="156"/>
      <c r="AH782" s="156"/>
      <c r="AI782" s="410"/>
    </row>
    <row r="783" spans="1:35" ht="19.5" customHeight="1">
      <c r="A783" s="137"/>
      <c r="B783" s="197">
        <f t="shared" si="15"/>
        <v>773</v>
      </c>
      <c r="C783" s="30" t="s">
        <v>202</v>
      </c>
      <c r="D783" s="30" t="s">
        <v>225</v>
      </c>
      <c r="E783" s="234" t="s">
        <v>1013</v>
      </c>
      <c r="F783" s="235" t="s">
        <v>1278</v>
      </c>
      <c r="G783" s="284" t="str">
        <f>IFERROR(VLOOKUP(E783,Assign!$C$2:$J$142,8,FALSE),)</f>
        <v>문선영</v>
      </c>
      <c r="H783" s="197" t="s">
        <v>4189</v>
      </c>
      <c r="I783" s="324" t="s">
        <v>4190</v>
      </c>
      <c r="J783" s="237">
        <v>1</v>
      </c>
      <c r="K783" s="237">
        <v>1</v>
      </c>
      <c r="L783" s="265" t="s">
        <v>209</v>
      </c>
      <c r="M783" s="266" t="s">
        <v>247</v>
      </c>
      <c r="N783" s="266" t="s">
        <v>1763</v>
      </c>
      <c r="O783" s="267" t="s">
        <v>1764</v>
      </c>
      <c r="P783" s="268" t="s">
        <v>467</v>
      </c>
      <c r="Q783" s="269">
        <f>38336.2+137451.3</f>
        <v>175787.5</v>
      </c>
      <c r="R783" s="269">
        <v>50.54</v>
      </c>
      <c r="S783" s="270"/>
      <c r="T783" s="182">
        <f>43.38/175787.5</f>
        <v>2.4677522576975041E-4</v>
      </c>
      <c r="U783" s="182">
        <v>1</v>
      </c>
      <c r="V783" s="408">
        <v>1</v>
      </c>
      <c r="W783" s="357" t="s">
        <v>204</v>
      </c>
      <c r="X783" s="156">
        <v>333600000</v>
      </c>
      <c r="Y783" s="156">
        <v>333600000</v>
      </c>
      <c r="Z783" s="418" t="s">
        <v>359</v>
      </c>
      <c r="AA783" s="271"/>
      <c r="AB783" s="168"/>
      <c r="AC783" s="156"/>
      <c r="AD783" s="156"/>
      <c r="AE783" s="320"/>
      <c r="AF783" s="168"/>
      <c r="AG783" s="156"/>
      <c r="AH783" s="156"/>
      <c r="AI783" s="410"/>
    </row>
    <row r="784" spans="1:35" ht="19.5" customHeight="1">
      <c r="A784" s="137"/>
      <c r="B784" s="197">
        <f t="shared" si="15"/>
        <v>774</v>
      </c>
      <c r="C784" s="30" t="s">
        <v>202</v>
      </c>
      <c r="D784" s="30" t="s">
        <v>225</v>
      </c>
      <c r="E784" s="234" t="s">
        <v>1014</v>
      </c>
      <c r="F784" s="235" t="s">
        <v>1221</v>
      </c>
      <c r="G784" s="284" t="str">
        <f>IFERROR(VLOOKUP(E784,Assign!$C$2:$J$142,8,FALSE),)</f>
        <v>문선영</v>
      </c>
      <c r="H784" s="197" t="s">
        <v>4358</v>
      </c>
      <c r="I784" s="324" t="s">
        <v>4359</v>
      </c>
      <c r="J784" s="237">
        <v>1</v>
      </c>
      <c r="K784" s="237">
        <v>1</v>
      </c>
      <c r="L784" s="265" t="s">
        <v>213</v>
      </c>
      <c r="M784" s="266" t="s">
        <v>320</v>
      </c>
      <c r="N784" s="266" t="s">
        <v>1916</v>
      </c>
      <c r="O784" s="267" t="s">
        <v>1917</v>
      </c>
      <c r="P784" s="268" t="s">
        <v>451</v>
      </c>
      <c r="Q784" s="269">
        <f>33512.6+446.4</f>
        <v>33959</v>
      </c>
      <c r="R784" s="269">
        <v>84.861000000000004</v>
      </c>
      <c r="S784" s="270"/>
      <c r="T784" s="182">
        <f>54.7031/33959</f>
        <v>1.6108572101651991E-3</v>
      </c>
      <c r="U784" s="182">
        <v>1</v>
      </c>
      <c r="V784" s="408">
        <v>1</v>
      </c>
      <c r="W784" s="357" t="s">
        <v>204</v>
      </c>
      <c r="X784" s="156">
        <v>331200000</v>
      </c>
      <c r="Y784" s="156">
        <v>331200000</v>
      </c>
      <c r="Z784" s="418" t="s">
        <v>359</v>
      </c>
      <c r="AA784" s="271"/>
      <c r="AB784" s="168"/>
      <c r="AC784" s="156"/>
      <c r="AD784" s="156"/>
      <c r="AE784" s="320"/>
      <c r="AF784" s="168"/>
      <c r="AG784" s="156"/>
      <c r="AH784" s="156"/>
      <c r="AI784" s="410"/>
    </row>
    <row r="785" spans="1:35" ht="19.5" hidden="1" customHeight="1">
      <c r="A785" s="137"/>
      <c r="B785" s="197">
        <f t="shared" si="15"/>
        <v>775</v>
      </c>
      <c r="C785" s="30" t="s">
        <v>202</v>
      </c>
      <c r="D785" s="30" t="s">
        <v>225</v>
      </c>
      <c r="E785" s="234" t="s">
        <v>1015</v>
      </c>
      <c r="F785" s="235" t="s">
        <v>1217</v>
      </c>
      <c r="G785" s="284">
        <f>IFERROR(VLOOKUP(E785,Assign!$C$2:$J$142,8,FALSE),)</f>
        <v>0</v>
      </c>
      <c r="H785" s="197" t="s">
        <v>4390</v>
      </c>
      <c r="I785" s="324" t="s">
        <v>4391</v>
      </c>
      <c r="J785" s="237">
        <v>1</v>
      </c>
      <c r="K785" s="237">
        <v>1</v>
      </c>
      <c r="L785" s="265" t="s">
        <v>209</v>
      </c>
      <c r="M785" s="266" t="s">
        <v>294</v>
      </c>
      <c r="N785" s="266" t="s">
        <v>1947</v>
      </c>
      <c r="O785" s="267" t="s">
        <v>1948</v>
      </c>
      <c r="P785" s="268" t="s">
        <v>1949</v>
      </c>
      <c r="Q785" s="269"/>
      <c r="R785" s="269">
        <v>11.7</v>
      </c>
      <c r="S785" s="270"/>
      <c r="T785" s="182"/>
      <c r="U785" s="182">
        <v>1</v>
      </c>
      <c r="V785" s="408">
        <v>1</v>
      </c>
      <c r="W785" s="357" t="s">
        <v>204</v>
      </c>
      <c r="X785" s="156">
        <v>360000000</v>
      </c>
      <c r="Y785" s="156">
        <v>360000000</v>
      </c>
      <c r="Z785" s="418" t="s">
        <v>359</v>
      </c>
      <c r="AA785" s="271"/>
      <c r="AB785" s="168"/>
      <c r="AC785" s="156"/>
      <c r="AD785" s="156"/>
      <c r="AE785" s="320"/>
      <c r="AF785" s="168"/>
      <c r="AG785" s="156"/>
      <c r="AH785" s="156"/>
      <c r="AI785" s="410"/>
    </row>
    <row r="786" spans="1:35" ht="19.5" hidden="1" customHeight="1">
      <c r="A786" s="137"/>
      <c r="B786" s="197">
        <f t="shared" si="15"/>
        <v>776</v>
      </c>
      <c r="C786" s="30" t="s">
        <v>202</v>
      </c>
      <c r="D786" s="30" t="s">
        <v>225</v>
      </c>
      <c r="E786" s="234" t="s">
        <v>1015</v>
      </c>
      <c r="F786" s="235" t="s">
        <v>1217</v>
      </c>
      <c r="G786" s="284">
        <f>IFERROR(VLOOKUP(E786,Assign!$C$2:$J$142,8,FALSE),)</f>
        <v>0</v>
      </c>
      <c r="H786" s="197" t="s">
        <v>4390</v>
      </c>
      <c r="I786" s="324" t="s">
        <v>4392</v>
      </c>
      <c r="J786" s="237">
        <v>1</v>
      </c>
      <c r="K786" s="237">
        <v>2</v>
      </c>
      <c r="L786" s="265" t="s">
        <v>209</v>
      </c>
      <c r="M786" s="266" t="s">
        <v>294</v>
      </c>
      <c r="N786" s="266" t="s">
        <v>1947</v>
      </c>
      <c r="O786" s="267" t="s">
        <v>1950</v>
      </c>
      <c r="P786" s="268" t="s">
        <v>450</v>
      </c>
      <c r="Q786" s="269">
        <v>1488</v>
      </c>
      <c r="R786" s="269"/>
      <c r="S786" s="270"/>
      <c r="T786" s="182"/>
      <c r="U786" s="182">
        <f>3.54/450</f>
        <v>7.8666666666666659E-3</v>
      </c>
      <c r="V786" s="408">
        <v>1</v>
      </c>
      <c r="W786" s="357" t="s">
        <v>204</v>
      </c>
      <c r="X786" s="156">
        <v>360000000</v>
      </c>
      <c r="Y786" s="156">
        <v>360000000</v>
      </c>
      <c r="Z786" s="418" t="s">
        <v>359</v>
      </c>
      <c r="AA786" s="271"/>
      <c r="AB786" s="168"/>
      <c r="AC786" s="156"/>
      <c r="AD786" s="156"/>
      <c r="AE786" s="320"/>
      <c r="AF786" s="168"/>
      <c r="AG786" s="156"/>
      <c r="AH786" s="156"/>
      <c r="AI786" s="410"/>
    </row>
    <row r="787" spans="1:35" ht="19.5" hidden="1" customHeight="1">
      <c r="A787" s="137"/>
      <c r="B787" s="197">
        <f t="shared" si="15"/>
        <v>777</v>
      </c>
      <c r="C787" s="30" t="s">
        <v>202</v>
      </c>
      <c r="D787" s="30" t="s">
        <v>225</v>
      </c>
      <c r="E787" s="234" t="s">
        <v>1016</v>
      </c>
      <c r="F787" s="235" t="s">
        <v>1221</v>
      </c>
      <c r="G787" s="284">
        <f>IFERROR(VLOOKUP(E787,Assign!$C$2:$J$142,8,FALSE),)</f>
        <v>0</v>
      </c>
      <c r="H787" s="197" t="s">
        <v>5398</v>
      </c>
      <c r="I787" s="324" t="s">
        <v>5399</v>
      </c>
      <c r="J787" s="237">
        <v>1</v>
      </c>
      <c r="K787" s="237">
        <v>1</v>
      </c>
      <c r="L787" s="265" t="s">
        <v>212</v>
      </c>
      <c r="M787" s="266" t="s">
        <v>294</v>
      </c>
      <c r="N787" s="266" t="s">
        <v>569</v>
      </c>
      <c r="O787" s="267" t="s">
        <v>2874</v>
      </c>
      <c r="P787" s="268" t="s">
        <v>2875</v>
      </c>
      <c r="Q787" s="269">
        <v>1057.3</v>
      </c>
      <c r="R787" s="269">
        <v>47.04</v>
      </c>
      <c r="S787" s="270"/>
      <c r="T787" s="182">
        <f>13.28/1057.3</f>
        <v>1.2560295091270216E-2</v>
      </c>
      <c r="U787" s="182">
        <v>1</v>
      </c>
      <c r="V787" s="408">
        <v>1</v>
      </c>
      <c r="W787" s="357" t="s">
        <v>204</v>
      </c>
      <c r="X787" s="156">
        <v>300000000</v>
      </c>
      <c r="Y787" s="156">
        <v>300000000</v>
      </c>
      <c r="Z787" s="418" t="s">
        <v>359</v>
      </c>
      <c r="AA787" s="271"/>
      <c r="AB787" s="168"/>
      <c r="AC787" s="156"/>
      <c r="AD787" s="156"/>
      <c r="AE787" s="320"/>
      <c r="AF787" s="168"/>
      <c r="AG787" s="156"/>
      <c r="AH787" s="156"/>
      <c r="AI787" s="410"/>
    </row>
    <row r="788" spans="1:35" ht="19.5" customHeight="1">
      <c r="A788" s="137"/>
      <c r="B788" s="197">
        <f t="shared" si="15"/>
        <v>778</v>
      </c>
      <c r="C788" s="30" t="s">
        <v>202</v>
      </c>
      <c r="D788" s="30" t="s">
        <v>225</v>
      </c>
      <c r="E788" s="234" t="s">
        <v>1017</v>
      </c>
      <c r="F788" s="235" t="s">
        <v>1229</v>
      </c>
      <c r="G788" s="284" t="str">
        <f>IFERROR(VLOOKUP(E788,Assign!$C$2:$J$142,8,FALSE),)</f>
        <v>문선영</v>
      </c>
      <c r="H788" s="197" t="s">
        <v>4561</v>
      </c>
      <c r="I788" s="324" t="s">
        <v>4562</v>
      </c>
      <c r="J788" s="237">
        <v>1</v>
      </c>
      <c r="K788" s="237">
        <v>1</v>
      </c>
      <c r="L788" s="265" t="s">
        <v>209</v>
      </c>
      <c r="M788" s="266" t="s">
        <v>294</v>
      </c>
      <c r="N788" s="266" t="s">
        <v>1947</v>
      </c>
      <c r="O788" s="267" t="s">
        <v>3723</v>
      </c>
      <c r="P788" s="268" t="s">
        <v>2100</v>
      </c>
      <c r="Q788" s="269">
        <v>4072.9</v>
      </c>
      <c r="R788" s="269">
        <v>34.64</v>
      </c>
      <c r="S788" s="270"/>
      <c r="T788" s="182">
        <f>7.42/4072.9</f>
        <v>1.8217977362567212E-3</v>
      </c>
      <c r="U788" s="182">
        <v>1</v>
      </c>
      <c r="V788" s="408">
        <v>1</v>
      </c>
      <c r="W788" s="357" t="s">
        <v>204</v>
      </c>
      <c r="X788" s="156">
        <v>276000000</v>
      </c>
      <c r="Y788" s="156">
        <v>276000000</v>
      </c>
      <c r="Z788" s="418" t="s">
        <v>359</v>
      </c>
      <c r="AA788" s="271"/>
      <c r="AB788" s="168"/>
      <c r="AC788" s="156"/>
      <c r="AD788" s="156"/>
      <c r="AE788" s="320"/>
      <c r="AF788" s="168"/>
      <c r="AG788" s="156"/>
      <c r="AH788" s="156"/>
      <c r="AI788" s="410"/>
    </row>
    <row r="789" spans="1:35" ht="19.5" hidden="1" customHeight="1">
      <c r="A789" s="137"/>
      <c r="B789" s="197">
        <f t="shared" si="15"/>
        <v>779</v>
      </c>
      <c r="C789" s="30" t="s">
        <v>202</v>
      </c>
      <c r="D789" s="30" t="s">
        <v>225</v>
      </c>
      <c r="E789" s="234" t="s">
        <v>1018</v>
      </c>
      <c r="F789" s="235" t="s">
        <v>1229</v>
      </c>
      <c r="G789" s="284">
        <f>IFERROR(VLOOKUP(E789,Assign!$C$2:$J$142,8,FALSE),)</f>
        <v>0</v>
      </c>
      <c r="H789" s="29" t="s">
        <v>3890</v>
      </c>
      <c r="I789" s="359" t="s">
        <v>3891</v>
      </c>
      <c r="J789" s="237">
        <v>1</v>
      </c>
      <c r="K789" s="237">
        <v>1</v>
      </c>
      <c r="L789" s="265" t="s">
        <v>208</v>
      </c>
      <c r="M789" s="266" t="s">
        <v>258</v>
      </c>
      <c r="N789" s="266" t="s">
        <v>345</v>
      </c>
      <c r="O789" s="267" t="s">
        <v>1457</v>
      </c>
      <c r="P789" s="268" t="s">
        <v>449</v>
      </c>
      <c r="Q789" s="269">
        <v>41845</v>
      </c>
      <c r="R789" s="269">
        <v>84.24</v>
      </c>
      <c r="S789" s="270"/>
      <c r="T789" s="182">
        <f>52.6422/41845</f>
        <v>1.258028438284144E-3</v>
      </c>
      <c r="U789" s="182">
        <v>1</v>
      </c>
      <c r="V789" s="408">
        <v>1</v>
      </c>
      <c r="W789" s="357" t="s">
        <v>204</v>
      </c>
      <c r="X789" s="156">
        <v>312000000</v>
      </c>
      <c r="Y789" s="156">
        <v>312000000</v>
      </c>
      <c r="Z789" s="418" t="s">
        <v>359</v>
      </c>
      <c r="AA789" s="271"/>
      <c r="AB789" s="168"/>
      <c r="AC789" s="156"/>
      <c r="AD789" s="156"/>
      <c r="AE789" s="320"/>
      <c r="AF789" s="168"/>
      <c r="AG789" s="156"/>
      <c r="AH789" s="156"/>
      <c r="AI789" s="410"/>
    </row>
    <row r="790" spans="1:35" ht="19.5" customHeight="1">
      <c r="A790" s="137"/>
      <c r="B790" s="197">
        <f t="shared" si="15"/>
        <v>780</v>
      </c>
      <c r="C790" s="30" t="s">
        <v>202</v>
      </c>
      <c r="D790" s="30" t="s">
        <v>225</v>
      </c>
      <c r="E790" s="234" t="s">
        <v>1019</v>
      </c>
      <c r="F790" s="235" t="s">
        <v>1219</v>
      </c>
      <c r="G790" s="284" t="str">
        <f>IFERROR(VLOOKUP(E790,Assign!$C$2:$J$142,8,FALSE),)</f>
        <v>문선영</v>
      </c>
      <c r="H790" s="197" t="s">
        <v>4199</v>
      </c>
      <c r="I790" s="324" t="s">
        <v>4200</v>
      </c>
      <c r="J790" s="237">
        <v>1</v>
      </c>
      <c r="K790" s="237">
        <v>1</v>
      </c>
      <c r="L790" s="265" t="s">
        <v>220</v>
      </c>
      <c r="M790" s="266" t="s">
        <v>384</v>
      </c>
      <c r="N790" s="266" t="s">
        <v>1775</v>
      </c>
      <c r="O790" s="267" t="s">
        <v>1776</v>
      </c>
      <c r="P790" s="268" t="s">
        <v>463</v>
      </c>
      <c r="Q790" s="269">
        <v>41579.199999999997</v>
      </c>
      <c r="R790" s="269">
        <v>101.96</v>
      </c>
      <c r="S790" s="270"/>
      <c r="T790" s="182">
        <f>57.995/41579.2</f>
        <v>1.3948079809135336E-3</v>
      </c>
      <c r="U790" s="182">
        <v>1</v>
      </c>
      <c r="V790" s="408">
        <v>1</v>
      </c>
      <c r="W790" s="357" t="s">
        <v>204</v>
      </c>
      <c r="X790" s="156">
        <v>320400000</v>
      </c>
      <c r="Y790" s="156">
        <v>320400000</v>
      </c>
      <c r="Z790" s="418" t="s">
        <v>359</v>
      </c>
      <c r="AA790" s="271"/>
      <c r="AB790" s="168"/>
      <c r="AC790" s="156"/>
      <c r="AD790" s="156"/>
      <c r="AE790" s="320"/>
      <c r="AF790" s="168"/>
      <c r="AG790" s="156"/>
      <c r="AH790" s="156"/>
      <c r="AI790" s="410"/>
    </row>
    <row r="791" spans="1:35" ht="19.5" hidden="1" customHeight="1">
      <c r="A791" s="137"/>
      <c r="B791" s="197">
        <f t="shared" si="15"/>
        <v>781</v>
      </c>
      <c r="C791" s="30" t="s">
        <v>202</v>
      </c>
      <c r="D791" s="30" t="s">
        <v>225</v>
      </c>
      <c r="E791" s="234" t="s">
        <v>1020</v>
      </c>
      <c r="F791" s="235" t="s">
        <v>1247</v>
      </c>
      <c r="G791" s="284">
        <f>IFERROR(VLOOKUP(E791,Assign!$C$2:$J$142,8,FALSE),)</f>
        <v>0</v>
      </c>
      <c r="H791" s="197" t="s">
        <v>4302</v>
      </c>
      <c r="I791" s="324" t="s">
        <v>4303</v>
      </c>
      <c r="J791" s="237">
        <v>1</v>
      </c>
      <c r="K791" s="237">
        <v>1</v>
      </c>
      <c r="L791" s="265" t="s">
        <v>224</v>
      </c>
      <c r="M791" s="266" t="s">
        <v>1458</v>
      </c>
      <c r="N791" s="266" t="s">
        <v>1868</v>
      </c>
      <c r="O791" s="267" t="s">
        <v>1869</v>
      </c>
      <c r="P791" s="268" t="s">
        <v>1672</v>
      </c>
      <c r="Q791" s="269">
        <f>3792+225+139+668</f>
        <v>4824</v>
      </c>
      <c r="R791" s="269">
        <v>138.41300000000001</v>
      </c>
      <c r="S791" s="270"/>
      <c r="T791" s="182">
        <f>196.409/4824</f>
        <v>4.0714966832504147E-2</v>
      </c>
      <c r="U791" s="182">
        <v>1</v>
      </c>
      <c r="V791" s="408">
        <v>1</v>
      </c>
      <c r="W791" s="357" t="s">
        <v>204</v>
      </c>
      <c r="X791" s="156">
        <v>247200000</v>
      </c>
      <c r="Y791" s="156">
        <v>247200000</v>
      </c>
      <c r="Z791" s="418" t="s">
        <v>359</v>
      </c>
      <c r="AA791" s="271"/>
      <c r="AB791" s="168"/>
      <c r="AC791" s="156"/>
      <c r="AD791" s="156"/>
      <c r="AE791" s="320"/>
      <c r="AF791" s="168"/>
      <c r="AG791" s="156"/>
      <c r="AH791" s="156"/>
      <c r="AI791" s="410"/>
    </row>
    <row r="792" spans="1:35" ht="19.5" hidden="1" customHeight="1">
      <c r="A792" s="137"/>
      <c r="B792" s="197">
        <f t="shared" si="15"/>
        <v>782</v>
      </c>
      <c r="C792" s="30" t="s">
        <v>202</v>
      </c>
      <c r="D792" s="30" t="s">
        <v>225</v>
      </c>
      <c r="E792" s="234" t="s">
        <v>1021</v>
      </c>
      <c r="F792" s="235" t="s">
        <v>1229</v>
      </c>
      <c r="G792" s="284">
        <f>IFERROR(VLOOKUP(E792,Assign!$C$2:$J$142,8,FALSE),)</f>
        <v>0</v>
      </c>
      <c r="H792" s="197" t="s">
        <v>4366</v>
      </c>
      <c r="I792" s="324" t="s">
        <v>4367</v>
      </c>
      <c r="J792" s="237">
        <v>1</v>
      </c>
      <c r="K792" s="237">
        <v>1</v>
      </c>
      <c r="L792" s="265" t="s">
        <v>208</v>
      </c>
      <c r="M792" s="266" t="s">
        <v>234</v>
      </c>
      <c r="N792" s="266" t="s">
        <v>1670</v>
      </c>
      <c r="O792" s="267" t="s">
        <v>1923</v>
      </c>
      <c r="P792" s="268" t="s">
        <v>612</v>
      </c>
      <c r="Q792" s="269">
        <f>1158+12+19+13</f>
        <v>1202</v>
      </c>
      <c r="R792" s="269">
        <f>44.25+40.31</f>
        <v>84.56</v>
      </c>
      <c r="S792" s="270"/>
      <c r="T792" s="182">
        <f>150.1656/1202</f>
        <v>0.12492978369384361</v>
      </c>
      <c r="U792" s="182">
        <v>1</v>
      </c>
      <c r="V792" s="408">
        <v>1</v>
      </c>
      <c r="W792" s="357" t="s">
        <v>204</v>
      </c>
      <c r="X792" s="156">
        <v>245400000</v>
      </c>
      <c r="Y792" s="156">
        <v>245400000</v>
      </c>
      <c r="Z792" s="418" t="s">
        <v>359</v>
      </c>
      <c r="AA792" s="271"/>
      <c r="AB792" s="168"/>
      <c r="AC792" s="156"/>
      <c r="AD792" s="156"/>
      <c r="AE792" s="320"/>
      <c r="AF792" s="168"/>
      <c r="AG792" s="156"/>
      <c r="AH792" s="156"/>
      <c r="AI792" s="410"/>
    </row>
    <row r="793" spans="1:35" ht="19.5" hidden="1" customHeight="1">
      <c r="A793" s="137"/>
      <c r="B793" s="197">
        <f t="shared" si="15"/>
        <v>783</v>
      </c>
      <c r="C793" s="30" t="s">
        <v>202</v>
      </c>
      <c r="D793" s="30" t="s">
        <v>225</v>
      </c>
      <c r="E793" s="234" t="s">
        <v>1022</v>
      </c>
      <c r="F793" s="235" t="s">
        <v>1225</v>
      </c>
      <c r="G793" s="284">
        <f>IFERROR(VLOOKUP(E793,Assign!$C$2:$J$142,8,FALSE),)</f>
        <v>0</v>
      </c>
      <c r="H793" s="197" t="s">
        <v>4862</v>
      </c>
      <c r="I793" s="324" t="s">
        <v>4863</v>
      </c>
      <c r="J793" s="237">
        <v>1</v>
      </c>
      <c r="K793" s="237">
        <v>1</v>
      </c>
      <c r="L793" s="265" t="s">
        <v>208</v>
      </c>
      <c r="M793" s="266" t="s">
        <v>234</v>
      </c>
      <c r="N793" s="266" t="s">
        <v>2387</v>
      </c>
      <c r="O793" s="267" t="s">
        <v>2388</v>
      </c>
      <c r="P793" s="268" t="s">
        <v>2389</v>
      </c>
      <c r="Q793" s="269">
        <v>70964.5</v>
      </c>
      <c r="R793" s="269">
        <v>74.8613</v>
      </c>
      <c r="S793" s="270"/>
      <c r="T793" s="182">
        <f>44.6695/70964.5</f>
        <v>6.294626186332603E-4</v>
      </c>
      <c r="U793" s="182">
        <v>1</v>
      </c>
      <c r="V793" s="408">
        <v>1</v>
      </c>
      <c r="W793" s="357" t="s">
        <v>204</v>
      </c>
      <c r="X793" s="156">
        <v>285600000</v>
      </c>
      <c r="Y793" s="156">
        <v>285600000</v>
      </c>
      <c r="Z793" s="418" t="s">
        <v>359</v>
      </c>
      <c r="AA793" s="271"/>
      <c r="AB793" s="168"/>
      <c r="AC793" s="156"/>
      <c r="AD793" s="156"/>
      <c r="AE793" s="320"/>
      <c r="AF793" s="168"/>
      <c r="AG793" s="156"/>
      <c r="AH793" s="156"/>
      <c r="AI793" s="410"/>
    </row>
    <row r="794" spans="1:35" ht="19.5" hidden="1" customHeight="1">
      <c r="A794" s="137"/>
      <c r="B794" s="197">
        <f t="shared" si="15"/>
        <v>784</v>
      </c>
      <c r="C794" s="30" t="s">
        <v>202</v>
      </c>
      <c r="D794" s="30" t="s">
        <v>225</v>
      </c>
      <c r="E794" s="234" t="s">
        <v>1023</v>
      </c>
      <c r="F794" s="235" t="s">
        <v>1279</v>
      </c>
      <c r="G794" s="284">
        <f>IFERROR(VLOOKUP(E794,Assign!$C$2:$J$142,8,FALSE),)</f>
        <v>0</v>
      </c>
      <c r="H794" s="197" t="s">
        <v>4211</v>
      </c>
      <c r="I794" s="324" t="s">
        <v>4212</v>
      </c>
      <c r="J794" s="237">
        <v>1</v>
      </c>
      <c r="K794" s="237">
        <v>1</v>
      </c>
      <c r="L794" s="265" t="s">
        <v>209</v>
      </c>
      <c r="M794" s="266" t="s">
        <v>246</v>
      </c>
      <c r="N794" s="266" t="s">
        <v>1789</v>
      </c>
      <c r="O794" s="267" t="s">
        <v>1790</v>
      </c>
      <c r="P794" s="268" t="s">
        <v>1791</v>
      </c>
      <c r="Q794" s="269">
        <f>17712.1+2848</f>
        <v>20560.099999999999</v>
      </c>
      <c r="R794" s="269">
        <v>84.88</v>
      </c>
      <c r="S794" s="270"/>
      <c r="T794" s="182">
        <f>29.38/20560.1</f>
        <v>1.428981376549725E-3</v>
      </c>
      <c r="U794" s="182">
        <v>1</v>
      </c>
      <c r="V794" s="408">
        <v>1</v>
      </c>
      <c r="W794" s="357" t="s">
        <v>204</v>
      </c>
      <c r="X794" s="156">
        <v>237754000</v>
      </c>
      <c r="Y794" s="156">
        <v>237754000</v>
      </c>
      <c r="Z794" s="418" t="s">
        <v>359</v>
      </c>
      <c r="AA794" s="271"/>
      <c r="AB794" s="168"/>
      <c r="AC794" s="156"/>
      <c r="AD794" s="156"/>
      <c r="AE794" s="320"/>
      <c r="AF794" s="168"/>
      <c r="AG794" s="156"/>
      <c r="AH794" s="156"/>
      <c r="AI794" s="410"/>
    </row>
    <row r="795" spans="1:35" ht="19.5" hidden="1" customHeight="1">
      <c r="A795" s="137"/>
      <c r="B795" s="197">
        <f t="shared" si="15"/>
        <v>785</v>
      </c>
      <c r="C795" s="30" t="s">
        <v>202</v>
      </c>
      <c r="D795" s="30" t="s">
        <v>225</v>
      </c>
      <c r="E795" s="234" t="s">
        <v>1024</v>
      </c>
      <c r="F795" s="235" t="s">
        <v>1226</v>
      </c>
      <c r="G795" s="284">
        <f>IFERROR(VLOOKUP(E795,Assign!$C$2:$J$142,8,FALSE),)</f>
        <v>0</v>
      </c>
      <c r="H795" s="197" t="s">
        <v>4252</v>
      </c>
      <c r="I795" s="324" t="s">
        <v>4253</v>
      </c>
      <c r="J795" s="237">
        <v>1</v>
      </c>
      <c r="K795" s="237">
        <v>1</v>
      </c>
      <c r="L795" s="265" t="s">
        <v>208</v>
      </c>
      <c r="M795" s="266" t="s">
        <v>372</v>
      </c>
      <c r="N795" s="266" t="s">
        <v>1820</v>
      </c>
      <c r="O795" s="267" t="s">
        <v>1821</v>
      </c>
      <c r="P795" s="268" t="s">
        <v>434</v>
      </c>
      <c r="Q795" s="269">
        <v>86460.2</v>
      </c>
      <c r="R795" s="269">
        <v>84.96</v>
      </c>
      <c r="S795" s="270"/>
      <c r="T795" s="182">
        <f>42.45/86460.2</f>
        <v>4.909773514287499E-4</v>
      </c>
      <c r="U795" s="182">
        <v>1</v>
      </c>
      <c r="V795" s="408">
        <v>1</v>
      </c>
      <c r="W795" s="357" t="s">
        <v>204</v>
      </c>
      <c r="X795" s="156">
        <v>271200000</v>
      </c>
      <c r="Y795" s="156">
        <v>271200000</v>
      </c>
      <c r="Z795" s="418" t="s">
        <v>359</v>
      </c>
      <c r="AA795" s="271"/>
      <c r="AB795" s="168"/>
      <c r="AC795" s="156"/>
      <c r="AD795" s="156"/>
      <c r="AE795" s="320"/>
      <c r="AF795" s="168"/>
      <c r="AG795" s="156"/>
      <c r="AH795" s="156"/>
      <c r="AI795" s="410"/>
    </row>
    <row r="796" spans="1:35" ht="19.5" hidden="1" customHeight="1">
      <c r="A796" s="137"/>
      <c r="B796" s="197">
        <f t="shared" si="15"/>
        <v>786</v>
      </c>
      <c r="C796" s="30" t="s">
        <v>202</v>
      </c>
      <c r="D796" s="30" t="s">
        <v>225</v>
      </c>
      <c r="E796" s="234" t="s">
        <v>1025</v>
      </c>
      <c r="F796" s="235" t="s">
        <v>1232</v>
      </c>
      <c r="G796" s="284">
        <f>IFERROR(VLOOKUP(E796,Assign!$C$2:$J$142,8,FALSE),)</f>
        <v>0</v>
      </c>
      <c r="H796" s="197" t="s">
        <v>4726</v>
      </c>
      <c r="I796" s="324" t="s">
        <v>4727</v>
      </c>
      <c r="J796" s="237">
        <v>1</v>
      </c>
      <c r="K796" s="237">
        <v>1</v>
      </c>
      <c r="L796" s="265" t="s">
        <v>224</v>
      </c>
      <c r="M796" s="266" t="s">
        <v>428</v>
      </c>
      <c r="N796" s="266" t="s">
        <v>2116</v>
      </c>
      <c r="O796" s="267" t="s">
        <v>2260</v>
      </c>
      <c r="P796" s="268" t="s">
        <v>2261</v>
      </c>
      <c r="Q796" s="269">
        <f>271+216+155</f>
        <v>642</v>
      </c>
      <c r="R796" s="269">
        <v>72.180499999999995</v>
      </c>
      <c r="S796" s="270"/>
      <c r="T796" s="182">
        <f>21.7/642</f>
        <v>3.38006230529595E-2</v>
      </c>
      <c r="U796" s="182">
        <v>1</v>
      </c>
      <c r="V796" s="408">
        <v>1</v>
      </c>
      <c r="W796" s="357" t="s">
        <v>204</v>
      </c>
      <c r="X796" s="156">
        <v>235400000</v>
      </c>
      <c r="Y796" s="156">
        <v>235400000</v>
      </c>
      <c r="Z796" s="418" t="s">
        <v>359</v>
      </c>
      <c r="AA796" s="271"/>
      <c r="AB796" s="168"/>
      <c r="AC796" s="156"/>
      <c r="AD796" s="156"/>
      <c r="AE796" s="320"/>
      <c r="AF796" s="168"/>
      <c r="AG796" s="156"/>
      <c r="AH796" s="156"/>
      <c r="AI796" s="410"/>
    </row>
    <row r="797" spans="1:35" ht="19.5" hidden="1" customHeight="1">
      <c r="A797" s="137"/>
      <c r="B797" s="197">
        <f t="shared" si="15"/>
        <v>787</v>
      </c>
      <c r="C797" s="30" t="s">
        <v>202</v>
      </c>
      <c r="D797" s="30" t="s">
        <v>225</v>
      </c>
      <c r="E797" s="234" t="s">
        <v>1026</v>
      </c>
      <c r="F797" s="235" t="s">
        <v>1232</v>
      </c>
      <c r="G797" s="284">
        <f>IFERROR(VLOOKUP(E797,Assign!$C$2:$J$142,8,FALSE),)</f>
        <v>0</v>
      </c>
      <c r="H797" s="197" t="s">
        <v>4352</v>
      </c>
      <c r="I797" s="324" t="s">
        <v>4353</v>
      </c>
      <c r="J797" s="237">
        <v>1</v>
      </c>
      <c r="K797" s="237">
        <v>1</v>
      </c>
      <c r="L797" s="265" t="s">
        <v>208</v>
      </c>
      <c r="M797" s="266" t="s">
        <v>258</v>
      </c>
      <c r="N797" s="266" t="s">
        <v>321</v>
      </c>
      <c r="O797" s="267" t="s">
        <v>3050</v>
      </c>
      <c r="P797" s="268" t="s">
        <v>3051</v>
      </c>
      <c r="Q797" s="269"/>
      <c r="R797" s="269"/>
      <c r="S797" s="270"/>
      <c r="T797" s="182"/>
      <c r="U797" s="182">
        <v>1</v>
      </c>
      <c r="V797" s="408">
        <v>1</v>
      </c>
      <c r="W797" s="357" t="s">
        <v>204</v>
      </c>
      <c r="X797" s="156">
        <v>360000000</v>
      </c>
      <c r="Y797" s="156">
        <v>360000000</v>
      </c>
      <c r="Z797" s="418" t="s">
        <v>359</v>
      </c>
      <c r="AA797" s="271"/>
      <c r="AB797" s="168"/>
      <c r="AC797" s="156"/>
      <c r="AD797" s="156"/>
      <c r="AE797" s="320"/>
      <c r="AF797" s="168"/>
      <c r="AG797" s="156"/>
      <c r="AH797" s="156"/>
      <c r="AI797" s="410"/>
    </row>
    <row r="798" spans="1:35" ht="19.5" hidden="1" customHeight="1">
      <c r="A798" s="137"/>
      <c r="B798" s="197">
        <f t="shared" si="15"/>
        <v>788</v>
      </c>
      <c r="C798" s="30" t="s">
        <v>202</v>
      </c>
      <c r="D798" s="30" t="s">
        <v>225</v>
      </c>
      <c r="E798" s="234" t="s">
        <v>1027</v>
      </c>
      <c r="F798" s="235" t="s">
        <v>1271</v>
      </c>
      <c r="G798" s="284">
        <f>IFERROR(VLOOKUP(E798,Assign!$C$2:$J$142,8,FALSE),)</f>
        <v>0</v>
      </c>
      <c r="H798" s="197" t="s">
        <v>3971</v>
      </c>
      <c r="I798" s="324" t="s">
        <v>3972</v>
      </c>
      <c r="J798" s="237">
        <v>1</v>
      </c>
      <c r="K798" s="237">
        <v>1</v>
      </c>
      <c r="L798" s="265" t="s">
        <v>209</v>
      </c>
      <c r="M798" s="266" t="s">
        <v>295</v>
      </c>
      <c r="N798" s="266" t="s">
        <v>548</v>
      </c>
      <c r="O798" s="267" t="s">
        <v>1550</v>
      </c>
      <c r="P798" s="268" t="s">
        <v>485</v>
      </c>
      <c r="Q798" s="269"/>
      <c r="R798" s="269">
        <f>99.07+100.26+3.31</f>
        <v>202.64</v>
      </c>
      <c r="S798" s="270"/>
      <c r="T798" s="182"/>
      <c r="U798" s="182">
        <v>1</v>
      </c>
      <c r="V798" s="408">
        <v>1</v>
      </c>
      <c r="W798" s="357" t="s">
        <v>204</v>
      </c>
      <c r="X798" s="156">
        <v>360000000</v>
      </c>
      <c r="Y798" s="156">
        <v>360000000</v>
      </c>
      <c r="Z798" s="418" t="s">
        <v>359</v>
      </c>
      <c r="AA798" s="271"/>
      <c r="AB798" s="168"/>
      <c r="AC798" s="156"/>
      <c r="AD798" s="156"/>
      <c r="AE798" s="320"/>
      <c r="AF798" s="168"/>
      <c r="AG798" s="156"/>
      <c r="AH798" s="156"/>
      <c r="AI798" s="410"/>
    </row>
    <row r="799" spans="1:35" ht="19.5" hidden="1" customHeight="1">
      <c r="A799" s="137"/>
      <c r="B799" s="197">
        <f t="shared" si="15"/>
        <v>789</v>
      </c>
      <c r="C799" s="30" t="s">
        <v>202</v>
      </c>
      <c r="D799" s="30" t="s">
        <v>225</v>
      </c>
      <c r="E799" s="234" t="s">
        <v>1027</v>
      </c>
      <c r="F799" s="235" t="s">
        <v>1271</v>
      </c>
      <c r="G799" s="284">
        <f>IFERROR(VLOOKUP(E799,Assign!$C$2:$J$142,8,FALSE),)</f>
        <v>0</v>
      </c>
      <c r="H799" s="197" t="s">
        <v>3971</v>
      </c>
      <c r="I799" s="324" t="s">
        <v>3973</v>
      </c>
      <c r="J799" s="237">
        <v>1</v>
      </c>
      <c r="K799" s="237">
        <v>2</v>
      </c>
      <c r="L799" s="265" t="s">
        <v>209</v>
      </c>
      <c r="M799" s="266" t="s">
        <v>295</v>
      </c>
      <c r="N799" s="266" t="s">
        <v>548</v>
      </c>
      <c r="O799" s="267" t="s">
        <v>1550</v>
      </c>
      <c r="P799" s="268" t="s">
        <v>450</v>
      </c>
      <c r="Q799" s="269">
        <v>272.39999999999998</v>
      </c>
      <c r="R799" s="269"/>
      <c r="S799" s="270"/>
      <c r="T799" s="182"/>
      <c r="U799" s="182">
        <v>1</v>
      </c>
      <c r="V799" s="408">
        <v>1</v>
      </c>
      <c r="W799" s="357" t="s">
        <v>204</v>
      </c>
      <c r="X799" s="156">
        <v>360000000</v>
      </c>
      <c r="Y799" s="156">
        <v>360000000</v>
      </c>
      <c r="Z799" s="418" t="s">
        <v>359</v>
      </c>
      <c r="AA799" s="271"/>
      <c r="AB799" s="168"/>
      <c r="AC799" s="156"/>
      <c r="AD799" s="156"/>
      <c r="AE799" s="320"/>
      <c r="AF799" s="168"/>
      <c r="AG799" s="156"/>
      <c r="AH799" s="156"/>
      <c r="AI799" s="410"/>
    </row>
    <row r="800" spans="1:35" ht="19.5" customHeight="1">
      <c r="A800" s="137"/>
      <c r="B800" s="197">
        <f t="shared" si="15"/>
        <v>790</v>
      </c>
      <c r="C800" s="30" t="s">
        <v>202</v>
      </c>
      <c r="D800" s="30" t="s">
        <v>225</v>
      </c>
      <c r="E800" s="234" t="s">
        <v>1028</v>
      </c>
      <c r="F800" s="235" t="s">
        <v>1218</v>
      </c>
      <c r="G800" s="284" t="str">
        <f>IFERROR(VLOOKUP(E800,Assign!$C$2:$J$142,8,FALSE),)</f>
        <v>문선영</v>
      </c>
      <c r="H800" s="197" t="s">
        <v>3936</v>
      </c>
      <c r="I800" s="487" t="s">
        <v>3937</v>
      </c>
      <c r="J800" s="237">
        <v>1</v>
      </c>
      <c r="K800" s="237">
        <v>1</v>
      </c>
      <c r="L800" s="265" t="s">
        <v>208</v>
      </c>
      <c r="M800" s="266" t="s">
        <v>250</v>
      </c>
      <c r="N800" s="266" t="s">
        <v>417</v>
      </c>
      <c r="O800" s="267" t="s">
        <v>1509</v>
      </c>
      <c r="P800" s="268" t="s">
        <v>1510</v>
      </c>
      <c r="Q800" s="269">
        <v>251</v>
      </c>
      <c r="R800" s="269">
        <v>96.96</v>
      </c>
      <c r="S800" s="270"/>
      <c r="T800" s="182">
        <f>83.67/251</f>
        <v>0.33334661354581674</v>
      </c>
      <c r="U800" s="182">
        <v>1</v>
      </c>
      <c r="V800" s="408">
        <v>1</v>
      </c>
      <c r="W800" s="357" t="s">
        <v>204</v>
      </c>
      <c r="X800" s="156">
        <v>220000000</v>
      </c>
      <c r="Y800" s="156">
        <v>220000000</v>
      </c>
      <c r="Z800" s="418" t="s">
        <v>359</v>
      </c>
      <c r="AA800" s="271"/>
      <c r="AB800" s="168"/>
      <c r="AC800" s="156"/>
      <c r="AD800" s="156"/>
      <c r="AE800" s="320"/>
      <c r="AF800" s="168"/>
      <c r="AG800" s="156"/>
      <c r="AH800" s="156"/>
      <c r="AI800" s="410"/>
    </row>
    <row r="801" spans="1:35" ht="19.5" hidden="1" customHeight="1">
      <c r="A801" s="137"/>
      <c r="B801" s="197">
        <f t="shared" si="15"/>
        <v>791</v>
      </c>
      <c r="C801" s="30" t="s">
        <v>202</v>
      </c>
      <c r="D801" s="30" t="s">
        <v>225</v>
      </c>
      <c r="E801" s="234" t="s">
        <v>1029</v>
      </c>
      <c r="F801" s="235" t="s">
        <v>1280</v>
      </c>
      <c r="G801" s="284">
        <f>IFERROR(VLOOKUP(E801,Assign!$C$2:$J$142,8,FALSE),)</f>
        <v>0</v>
      </c>
      <c r="H801" s="197" t="s">
        <v>5374</v>
      </c>
      <c r="I801" s="324" t="s">
        <v>5375</v>
      </c>
      <c r="J801" s="237">
        <v>1</v>
      </c>
      <c r="K801" s="237">
        <v>1</v>
      </c>
      <c r="L801" s="265" t="s">
        <v>212</v>
      </c>
      <c r="M801" s="266" t="s">
        <v>232</v>
      </c>
      <c r="N801" s="266" t="s">
        <v>367</v>
      </c>
      <c r="O801" s="267" t="s">
        <v>2849</v>
      </c>
      <c r="P801" s="268" t="s">
        <v>2850</v>
      </c>
      <c r="Q801" s="269">
        <v>1969.3</v>
      </c>
      <c r="R801" s="269">
        <v>33.582000000000001</v>
      </c>
      <c r="S801" s="270"/>
      <c r="T801" s="182">
        <f>5.9813/1969.3</f>
        <v>3.0372721271517797E-3</v>
      </c>
      <c r="U801" s="182">
        <v>1</v>
      </c>
      <c r="V801" s="408">
        <v>1</v>
      </c>
      <c r="W801" s="357" t="s">
        <v>204</v>
      </c>
      <c r="X801" s="156">
        <v>120000000</v>
      </c>
      <c r="Y801" s="156">
        <v>120000000</v>
      </c>
      <c r="Z801" s="418" t="s">
        <v>359</v>
      </c>
      <c r="AA801" s="271"/>
      <c r="AB801" s="168"/>
      <c r="AC801" s="156"/>
      <c r="AD801" s="156"/>
      <c r="AE801" s="320"/>
      <c r="AF801" s="168"/>
      <c r="AG801" s="156"/>
      <c r="AH801" s="156"/>
      <c r="AI801" s="410"/>
    </row>
    <row r="802" spans="1:35" ht="19.5" hidden="1" customHeight="1">
      <c r="A802" s="137"/>
      <c r="B802" s="197">
        <f t="shared" si="15"/>
        <v>792</v>
      </c>
      <c r="C802" s="30" t="s">
        <v>202</v>
      </c>
      <c r="D802" s="30" t="s">
        <v>225</v>
      </c>
      <c r="E802" s="234" t="s">
        <v>1029</v>
      </c>
      <c r="F802" s="235" t="s">
        <v>1280</v>
      </c>
      <c r="G802" s="284">
        <f>IFERROR(VLOOKUP(E802,Assign!$C$2:$J$142,8,FALSE),)</f>
        <v>0</v>
      </c>
      <c r="H802" s="197" t="s">
        <v>5376</v>
      </c>
      <c r="I802" s="324" t="s">
        <v>5377</v>
      </c>
      <c r="J802" s="237">
        <v>2</v>
      </c>
      <c r="K802" s="237">
        <v>1</v>
      </c>
      <c r="L802" s="265" t="s">
        <v>212</v>
      </c>
      <c r="M802" s="266" t="s">
        <v>232</v>
      </c>
      <c r="N802" s="266" t="s">
        <v>367</v>
      </c>
      <c r="O802" s="267" t="s">
        <v>2851</v>
      </c>
      <c r="P802" s="268" t="s">
        <v>2850</v>
      </c>
      <c r="Q802" s="269">
        <v>1969.3</v>
      </c>
      <c r="R802" s="269">
        <v>33.582000000000001</v>
      </c>
      <c r="S802" s="270"/>
      <c r="T802" s="182">
        <f>5.9813/1969.3</f>
        <v>3.0372721271517797E-3</v>
      </c>
      <c r="U802" s="182">
        <v>1</v>
      </c>
      <c r="V802" s="408">
        <v>1</v>
      </c>
      <c r="W802" s="357" t="s">
        <v>204</v>
      </c>
      <c r="X802" s="156">
        <v>120000000</v>
      </c>
      <c r="Y802" s="156">
        <v>120000000</v>
      </c>
      <c r="Z802" s="418" t="s">
        <v>359</v>
      </c>
      <c r="AA802" s="271"/>
      <c r="AB802" s="168"/>
      <c r="AC802" s="156"/>
      <c r="AD802" s="156"/>
      <c r="AE802" s="320"/>
      <c r="AF802" s="168"/>
      <c r="AG802" s="156"/>
      <c r="AH802" s="156"/>
      <c r="AI802" s="410"/>
    </row>
    <row r="803" spans="1:35" ht="19.5" hidden="1" customHeight="1">
      <c r="A803" s="137"/>
      <c r="B803" s="197">
        <f t="shared" si="15"/>
        <v>793</v>
      </c>
      <c r="C803" s="30" t="s">
        <v>202</v>
      </c>
      <c r="D803" s="30" t="s">
        <v>225</v>
      </c>
      <c r="E803" s="234" t="s">
        <v>1030</v>
      </c>
      <c r="F803" s="235" t="s">
        <v>1231</v>
      </c>
      <c r="G803" s="284">
        <f>IFERROR(VLOOKUP(E803,Assign!$C$2:$J$142,8,FALSE),)</f>
        <v>0</v>
      </c>
      <c r="H803" s="197" t="s">
        <v>4102</v>
      </c>
      <c r="I803" s="324" t="s">
        <v>4103</v>
      </c>
      <c r="J803" s="237">
        <v>1</v>
      </c>
      <c r="K803" s="237">
        <v>1</v>
      </c>
      <c r="L803" s="265" t="s">
        <v>208</v>
      </c>
      <c r="M803" s="266" t="s">
        <v>259</v>
      </c>
      <c r="N803" s="266" t="s">
        <v>1678</v>
      </c>
      <c r="O803" s="267" t="s">
        <v>1679</v>
      </c>
      <c r="P803" s="268" t="s">
        <v>445</v>
      </c>
      <c r="Q803" s="269">
        <v>38312.400000000001</v>
      </c>
      <c r="R803" s="269">
        <v>55.86</v>
      </c>
      <c r="S803" s="270"/>
      <c r="T803" s="182">
        <f>42.5635/38312.4</f>
        <v>1.1109588540524737E-3</v>
      </c>
      <c r="U803" s="182">
        <v>1</v>
      </c>
      <c r="V803" s="408">
        <v>1</v>
      </c>
      <c r="W803" s="357" t="s">
        <v>204</v>
      </c>
      <c r="X803" s="156">
        <v>220000000</v>
      </c>
      <c r="Y803" s="156">
        <v>220000000</v>
      </c>
      <c r="Z803" s="418" t="s">
        <v>359</v>
      </c>
      <c r="AA803" s="271"/>
      <c r="AB803" s="168"/>
      <c r="AC803" s="156"/>
      <c r="AD803" s="156"/>
      <c r="AE803" s="320"/>
      <c r="AF803" s="168"/>
      <c r="AG803" s="156"/>
      <c r="AH803" s="156"/>
      <c r="AI803" s="410"/>
    </row>
    <row r="804" spans="1:35" ht="19.5" customHeight="1">
      <c r="A804" s="137"/>
      <c r="B804" s="197">
        <f t="shared" si="15"/>
        <v>794</v>
      </c>
      <c r="C804" s="30" t="s">
        <v>202</v>
      </c>
      <c r="D804" s="30" t="s">
        <v>225</v>
      </c>
      <c r="E804" s="234" t="s">
        <v>1031</v>
      </c>
      <c r="F804" s="235" t="s">
        <v>1238</v>
      </c>
      <c r="G804" s="284" t="str">
        <f>IFERROR(VLOOKUP(E804,Assign!$C$2:$J$142,8,FALSE),)</f>
        <v>문선영</v>
      </c>
      <c r="H804" s="197" t="s">
        <v>5257</v>
      </c>
      <c r="I804" s="324" t="s">
        <v>5258</v>
      </c>
      <c r="J804" s="237">
        <v>1</v>
      </c>
      <c r="K804" s="237">
        <v>1</v>
      </c>
      <c r="L804" s="265" t="s">
        <v>208</v>
      </c>
      <c r="M804" s="266" t="s">
        <v>242</v>
      </c>
      <c r="N804" s="266" t="s">
        <v>1680</v>
      </c>
      <c r="O804" s="267" t="s">
        <v>2748</v>
      </c>
      <c r="P804" s="268" t="s">
        <v>2749</v>
      </c>
      <c r="Q804" s="269">
        <v>3446.5</v>
      </c>
      <c r="R804" s="269">
        <v>158.22</v>
      </c>
      <c r="S804" s="270"/>
      <c r="T804" s="182">
        <f>82.537/3446.5</f>
        <v>2.3948063252575078E-2</v>
      </c>
      <c r="U804" s="182">
        <v>1</v>
      </c>
      <c r="V804" s="408">
        <v>1</v>
      </c>
      <c r="W804" s="357" t="s">
        <v>204</v>
      </c>
      <c r="X804" s="156">
        <v>240000000</v>
      </c>
      <c r="Y804" s="156">
        <v>240000000</v>
      </c>
      <c r="Z804" s="418" t="s">
        <v>359</v>
      </c>
      <c r="AA804" s="271"/>
      <c r="AB804" s="168"/>
      <c r="AC804" s="156"/>
      <c r="AD804" s="156"/>
      <c r="AE804" s="320"/>
      <c r="AF804" s="168"/>
      <c r="AG804" s="156"/>
      <c r="AH804" s="156"/>
      <c r="AI804" s="410"/>
    </row>
    <row r="805" spans="1:35" ht="19.5" customHeight="1">
      <c r="A805" s="137"/>
      <c r="B805" s="197">
        <f t="shared" si="15"/>
        <v>795</v>
      </c>
      <c r="C805" s="30" t="s">
        <v>202</v>
      </c>
      <c r="D805" s="30" t="s">
        <v>225</v>
      </c>
      <c r="E805" s="234" t="s">
        <v>1031</v>
      </c>
      <c r="F805" s="235" t="s">
        <v>1238</v>
      </c>
      <c r="G805" s="284" t="str">
        <f>IFERROR(VLOOKUP(E805,Assign!$C$2:$J$142,8,FALSE),)</f>
        <v>문선영</v>
      </c>
      <c r="H805" s="197" t="s">
        <v>5259</v>
      </c>
      <c r="I805" s="324" t="s">
        <v>5260</v>
      </c>
      <c r="J805" s="237">
        <v>2</v>
      </c>
      <c r="K805" s="237">
        <v>1</v>
      </c>
      <c r="L805" s="265" t="s">
        <v>208</v>
      </c>
      <c r="M805" s="266" t="s">
        <v>301</v>
      </c>
      <c r="N805" s="266" t="s">
        <v>1743</v>
      </c>
      <c r="O805" s="267" t="s">
        <v>2750</v>
      </c>
      <c r="P805" s="268" t="s">
        <v>588</v>
      </c>
      <c r="Q805" s="269">
        <f>302+197</f>
        <v>499</v>
      </c>
      <c r="R805" s="269">
        <v>55.789499999999997</v>
      </c>
      <c r="S805" s="270"/>
      <c r="T805" s="182">
        <f>62.48/499</f>
        <v>0.12521042084168335</v>
      </c>
      <c r="U805" s="182">
        <v>1</v>
      </c>
      <c r="V805" s="408">
        <v>1</v>
      </c>
      <c r="W805" s="357" t="s">
        <v>204</v>
      </c>
      <c r="X805" s="156">
        <v>162800000</v>
      </c>
      <c r="Y805" s="156">
        <v>162800000</v>
      </c>
      <c r="Z805" s="418" t="s">
        <v>359</v>
      </c>
      <c r="AA805" s="271"/>
      <c r="AB805" s="168"/>
      <c r="AC805" s="156"/>
      <c r="AD805" s="156"/>
      <c r="AE805" s="320"/>
      <c r="AF805" s="168"/>
      <c r="AG805" s="156"/>
      <c r="AH805" s="156"/>
      <c r="AI805" s="410"/>
    </row>
    <row r="806" spans="1:35" ht="19.5" customHeight="1">
      <c r="A806" s="137"/>
      <c r="B806" s="197">
        <f t="shared" si="15"/>
        <v>796</v>
      </c>
      <c r="C806" s="30" t="s">
        <v>202</v>
      </c>
      <c r="D806" s="30" t="s">
        <v>225</v>
      </c>
      <c r="E806" s="234" t="s">
        <v>1032</v>
      </c>
      <c r="F806" s="235" t="s">
        <v>1231</v>
      </c>
      <c r="G806" s="284" t="str">
        <f>IFERROR(VLOOKUP(E806,Assign!$C$2:$J$142,8,FALSE),)</f>
        <v>문선영</v>
      </c>
      <c r="H806" s="197" t="s">
        <v>4517</v>
      </c>
      <c r="I806" s="324" t="s">
        <v>4518</v>
      </c>
      <c r="J806" s="237">
        <v>1</v>
      </c>
      <c r="K806" s="237">
        <v>1</v>
      </c>
      <c r="L806" s="265" t="s">
        <v>214</v>
      </c>
      <c r="M806" s="266" t="s">
        <v>303</v>
      </c>
      <c r="N806" s="266" t="s">
        <v>1579</v>
      </c>
      <c r="O806" s="267" t="s">
        <v>2058</v>
      </c>
      <c r="P806" s="268" t="s">
        <v>588</v>
      </c>
      <c r="Q806" s="269">
        <v>27995.3</v>
      </c>
      <c r="R806" s="269">
        <v>39.981999999999999</v>
      </c>
      <c r="S806" s="270"/>
      <c r="T806" s="182">
        <f>53.4746/27995.3</f>
        <v>1.9101277714473502E-3</v>
      </c>
      <c r="U806" s="182">
        <v>1</v>
      </c>
      <c r="V806" s="408">
        <v>1</v>
      </c>
      <c r="W806" s="357" t="s">
        <v>204</v>
      </c>
      <c r="X806" s="156">
        <v>115200000</v>
      </c>
      <c r="Y806" s="156">
        <v>115200000</v>
      </c>
      <c r="Z806" s="418" t="s">
        <v>359</v>
      </c>
      <c r="AA806" s="271"/>
      <c r="AB806" s="168"/>
      <c r="AC806" s="156"/>
      <c r="AD806" s="156"/>
      <c r="AE806" s="320"/>
      <c r="AF806" s="168"/>
      <c r="AG806" s="156"/>
      <c r="AH806" s="156"/>
      <c r="AI806" s="410"/>
    </row>
    <row r="807" spans="1:35" ht="19.5" customHeight="1">
      <c r="A807" s="137"/>
      <c r="B807" s="197">
        <f t="shared" si="15"/>
        <v>797</v>
      </c>
      <c r="C807" s="30" t="s">
        <v>202</v>
      </c>
      <c r="D807" s="30" t="s">
        <v>225</v>
      </c>
      <c r="E807" s="234" t="s">
        <v>1032</v>
      </c>
      <c r="F807" s="235" t="s">
        <v>1231</v>
      </c>
      <c r="G807" s="284" t="str">
        <f>IFERROR(VLOOKUP(E807,Assign!$C$2:$J$142,8,FALSE),)</f>
        <v>문선영</v>
      </c>
      <c r="H807" s="197" t="s">
        <v>4519</v>
      </c>
      <c r="I807" s="324" t="s">
        <v>4520</v>
      </c>
      <c r="J807" s="237">
        <v>2</v>
      </c>
      <c r="K807" s="237">
        <v>1</v>
      </c>
      <c r="L807" s="265" t="s">
        <v>214</v>
      </c>
      <c r="M807" s="266" t="s">
        <v>303</v>
      </c>
      <c r="N807" s="266" t="s">
        <v>1579</v>
      </c>
      <c r="O807" s="267" t="s">
        <v>2059</v>
      </c>
      <c r="P807" s="268" t="s">
        <v>588</v>
      </c>
      <c r="Q807" s="269">
        <v>27995.3</v>
      </c>
      <c r="R807" s="269">
        <v>39.981999999999999</v>
      </c>
      <c r="S807" s="270"/>
      <c r="T807" s="182">
        <f>53.5847/27995.3</f>
        <v>1.9140605744535689E-3</v>
      </c>
      <c r="U807" s="182">
        <v>1</v>
      </c>
      <c r="V807" s="408">
        <v>1</v>
      </c>
      <c r="W807" s="357" t="s">
        <v>204</v>
      </c>
      <c r="X807" s="156">
        <v>115200000</v>
      </c>
      <c r="Y807" s="156">
        <v>115200000</v>
      </c>
      <c r="Z807" s="418" t="s">
        <v>359</v>
      </c>
      <c r="AA807" s="271"/>
      <c r="AB807" s="168"/>
      <c r="AC807" s="156"/>
      <c r="AD807" s="156"/>
      <c r="AE807" s="320"/>
      <c r="AF807" s="168"/>
      <c r="AG807" s="156"/>
      <c r="AH807" s="156"/>
      <c r="AI807" s="410"/>
    </row>
    <row r="808" spans="1:35" ht="19.5" customHeight="1">
      <c r="A808" s="137"/>
      <c r="B808" s="197">
        <f t="shared" si="15"/>
        <v>798</v>
      </c>
      <c r="C808" s="30" t="s">
        <v>202</v>
      </c>
      <c r="D808" s="30" t="s">
        <v>225</v>
      </c>
      <c r="E808" s="234" t="s">
        <v>1033</v>
      </c>
      <c r="F808" s="235" t="s">
        <v>1229</v>
      </c>
      <c r="G808" s="284" t="str">
        <f>IFERROR(VLOOKUP(E808,Assign!$C$2:$J$142,8,FALSE),)</f>
        <v>문선영</v>
      </c>
      <c r="H808" s="197" t="s">
        <v>4951</v>
      </c>
      <c r="I808" s="324" t="s">
        <v>4952</v>
      </c>
      <c r="J808" s="237">
        <v>1</v>
      </c>
      <c r="K808" s="237">
        <v>1</v>
      </c>
      <c r="L808" s="265" t="s">
        <v>214</v>
      </c>
      <c r="M808" s="266" t="s">
        <v>303</v>
      </c>
      <c r="N808" s="266" t="s">
        <v>1579</v>
      </c>
      <c r="O808" s="267" t="s">
        <v>2472</v>
      </c>
      <c r="P808" s="268" t="s">
        <v>588</v>
      </c>
      <c r="Q808" s="269">
        <v>27995.3</v>
      </c>
      <c r="R808" s="269">
        <v>39.981999999999999</v>
      </c>
      <c r="S808" s="270"/>
      <c r="T808" s="182">
        <f>53.5847/27995.3</f>
        <v>1.9140605744535689E-3</v>
      </c>
      <c r="U808" s="182">
        <v>1</v>
      </c>
      <c r="V808" s="408">
        <v>1</v>
      </c>
      <c r="W808" s="357" t="s">
        <v>204</v>
      </c>
      <c r="X808" s="156">
        <v>115200000</v>
      </c>
      <c r="Y808" s="156">
        <v>115200000</v>
      </c>
      <c r="Z808" s="418" t="s">
        <v>359</v>
      </c>
      <c r="AA808" s="271"/>
      <c r="AB808" s="168"/>
      <c r="AC808" s="156"/>
      <c r="AD808" s="156"/>
      <c r="AE808" s="320"/>
      <c r="AF808" s="168"/>
      <c r="AG808" s="156"/>
      <c r="AH808" s="156"/>
      <c r="AI808" s="410"/>
    </row>
    <row r="809" spans="1:35" ht="19.5" customHeight="1">
      <c r="A809" s="137"/>
      <c r="B809" s="197">
        <f t="shared" si="15"/>
        <v>799</v>
      </c>
      <c r="C809" s="30" t="s">
        <v>202</v>
      </c>
      <c r="D809" s="30" t="s">
        <v>225</v>
      </c>
      <c r="E809" s="234" t="s">
        <v>1033</v>
      </c>
      <c r="F809" s="235" t="s">
        <v>1229</v>
      </c>
      <c r="G809" s="284" t="str">
        <f>IFERROR(VLOOKUP(E809,Assign!$C$2:$J$142,8,FALSE),)</f>
        <v>문선영</v>
      </c>
      <c r="H809" s="197" t="s">
        <v>4953</v>
      </c>
      <c r="I809" s="324" t="s">
        <v>4954</v>
      </c>
      <c r="J809" s="237">
        <v>2</v>
      </c>
      <c r="K809" s="237">
        <v>1</v>
      </c>
      <c r="L809" s="265" t="s">
        <v>214</v>
      </c>
      <c r="M809" s="266" t="s">
        <v>303</v>
      </c>
      <c r="N809" s="266" t="s">
        <v>1579</v>
      </c>
      <c r="O809" s="267" t="s">
        <v>2473</v>
      </c>
      <c r="P809" s="268" t="s">
        <v>588</v>
      </c>
      <c r="Q809" s="269">
        <v>27995.3</v>
      </c>
      <c r="R809" s="269">
        <v>39.981999999999999</v>
      </c>
      <c r="S809" s="270"/>
      <c r="T809" s="182">
        <f>53.5847/27995.3</f>
        <v>1.9140605744535689E-3</v>
      </c>
      <c r="U809" s="182">
        <v>1</v>
      </c>
      <c r="V809" s="408">
        <v>1</v>
      </c>
      <c r="W809" s="357" t="s">
        <v>204</v>
      </c>
      <c r="X809" s="156">
        <v>115200000</v>
      </c>
      <c r="Y809" s="156">
        <v>115200000</v>
      </c>
      <c r="Z809" s="418" t="s">
        <v>359</v>
      </c>
      <c r="AA809" s="271"/>
      <c r="AB809" s="168"/>
      <c r="AC809" s="156"/>
      <c r="AD809" s="156"/>
      <c r="AE809" s="320"/>
      <c r="AF809" s="168"/>
      <c r="AG809" s="156"/>
      <c r="AH809" s="156"/>
      <c r="AI809" s="410"/>
    </row>
    <row r="810" spans="1:35" ht="19.5" hidden="1" customHeight="1">
      <c r="A810" s="137"/>
      <c r="B810" s="197">
        <f t="shared" si="15"/>
        <v>800</v>
      </c>
      <c r="C810" s="30" t="s">
        <v>202</v>
      </c>
      <c r="D810" s="30" t="s">
        <v>225</v>
      </c>
      <c r="E810" s="234" t="s">
        <v>1034</v>
      </c>
      <c r="F810" s="235" t="s">
        <v>1226</v>
      </c>
      <c r="G810" s="284">
        <f>IFERROR(VLOOKUP(E810,Assign!$C$2:$J$142,8,FALSE),)</f>
        <v>0</v>
      </c>
      <c r="H810" s="197" t="s">
        <v>4521</v>
      </c>
      <c r="I810" s="324" t="s">
        <v>4522</v>
      </c>
      <c r="J810" s="237">
        <v>1</v>
      </c>
      <c r="K810" s="237">
        <v>1</v>
      </c>
      <c r="L810" s="265" t="s">
        <v>209</v>
      </c>
      <c r="M810" s="266" t="s">
        <v>231</v>
      </c>
      <c r="N810" s="266" t="s">
        <v>1602</v>
      </c>
      <c r="O810" s="267" t="s">
        <v>2060</v>
      </c>
      <c r="P810" s="268" t="s">
        <v>2061</v>
      </c>
      <c r="Q810" s="269">
        <f>138.7+186.6</f>
        <v>325.29999999999995</v>
      </c>
      <c r="R810" s="269">
        <v>59.14</v>
      </c>
      <c r="S810" s="270"/>
      <c r="T810" s="182">
        <f>34.05/325.3</f>
        <v>0.10467260989855516</v>
      </c>
      <c r="U810" s="182">
        <v>1</v>
      </c>
      <c r="V810" s="408">
        <v>1</v>
      </c>
      <c r="W810" s="357" t="s">
        <v>204</v>
      </c>
      <c r="X810" s="156">
        <v>217800000</v>
      </c>
      <c r="Y810" s="156">
        <v>217800000</v>
      </c>
      <c r="Z810" s="418" t="s">
        <v>359</v>
      </c>
      <c r="AA810" s="271"/>
      <c r="AB810" s="168"/>
      <c r="AC810" s="156"/>
      <c r="AD810" s="156"/>
      <c r="AE810" s="320"/>
      <c r="AF810" s="168"/>
      <c r="AG810" s="156"/>
      <c r="AH810" s="156"/>
      <c r="AI810" s="410"/>
    </row>
    <row r="811" spans="1:35" ht="19.5" customHeight="1">
      <c r="A811" s="137"/>
      <c r="B811" s="197">
        <f t="shared" si="15"/>
        <v>801</v>
      </c>
      <c r="C811" s="30" t="s">
        <v>202</v>
      </c>
      <c r="D811" s="30" t="s">
        <v>225</v>
      </c>
      <c r="E811" s="234" t="s">
        <v>1035</v>
      </c>
      <c r="F811" s="235" t="s">
        <v>1232</v>
      </c>
      <c r="G811" s="284" t="str">
        <f>IFERROR(VLOOKUP(E811,Assign!$C$2:$J$142,8,FALSE),)</f>
        <v>문선영</v>
      </c>
      <c r="H811" s="197" t="s">
        <v>5168</v>
      </c>
      <c r="I811" s="324" t="s">
        <v>5169</v>
      </c>
      <c r="J811" s="237">
        <v>1</v>
      </c>
      <c r="K811" s="237">
        <v>1</v>
      </c>
      <c r="L811" s="265" t="s">
        <v>214</v>
      </c>
      <c r="M811" s="266" t="s">
        <v>303</v>
      </c>
      <c r="N811" s="266" t="s">
        <v>1579</v>
      </c>
      <c r="O811" s="267" t="s">
        <v>2679</v>
      </c>
      <c r="P811" s="268" t="s">
        <v>588</v>
      </c>
      <c r="Q811" s="269">
        <v>27995.3</v>
      </c>
      <c r="R811" s="269">
        <v>39.981999999999999</v>
      </c>
      <c r="S811" s="270"/>
      <c r="T811" s="182">
        <f>53.5847/27995.3</f>
        <v>1.9140605744535689E-3</v>
      </c>
      <c r="U811" s="182">
        <v>1</v>
      </c>
      <c r="V811" s="408">
        <v>1</v>
      </c>
      <c r="W811" s="357" t="s">
        <v>204</v>
      </c>
      <c r="X811" s="156">
        <v>115200000</v>
      </c>
      <c r="Y811" s="156">
        <v>115200000</v>
      </c>
      <c r="Z811" s="418" t="s">
        <v>359</v>
      </c>
      <c r="AA811" s="271"/>
      <c r="AB811" s="168"/>
      <c r="AC811" s="156"/>
      <c r="AD811" s="156"/>
      <c r="AE811" s="320"/>
      <c r="AF811" s="168"/>
      <c r="AG811" s="156"/>
      <c r="AH811" s="156"/>
      <c r="AI811" s="410"/>
    </row>
    <row r="812" spans="1:35" ht="19.5" customHeight="1">
      <c r="A812" s="137"/>
      <c r="B812" s="197">
        <f t="shared" si="15"/>
        <v>802</v>
      </c>
      <c r="C812" s="30" t="s">
        <v>202</v>
      </c>
      <c r="D812" s="30" t="s">
        <v>225</v>
      </c>
      <c r="E812" s="234" t="s">
        <v>1035</v>
      </c>
      <c r="F812" s="235" t="s">
        <v>1232</v>
      </c>
      <c r="G812" s="284" t="str">
        <f>IFERROR(VLOOKUP(E812,Assign!$C$2:$J$142,8,FALSE),)</f>
        <v>문선영</v>
      </c>
      <c r="H812" s="197" t="s">
        <v>5170</v>
      </c>
      <c r="I812" s="324" t="s">
        <v>5171</v>
      </c>
      <c r="J812" s="237">
        <v>2</v>
      </c>
      <c r="K812" s="237">
        <v>1</v>
      </c>
      <c r="L812" s="265" t="s">
        <v>214</v>
      </c>
      <c r="M812" s="266" t="s">
        <v>303</v>
      </c>
      <c r="N812" s="266" t="s">
        <v>1579</v>
      </c>
      <c r="O812" s="267" t="s">
        <v>2680</v>
      </c>
      <c r="P812" s="268" t="s">
        <v>588</v>
      </c>
      <c r="Q812" s="269">
        <v>27995.3</v>
      </c>
      <c r="R812" s="269">
        <v>39.981999999999999</v>
      </c>
      <c r="S812" s="270"/>
      <c r="T812" s="182">
        <f>53.4746/27995.3</f>
        <v>1.9101277714473502E-3</v>
      </c>
      <c r="U812" s="182">
        <v>1</v>
      </c>
      <c r="V812" s="408">
        <v>1</v>
      </c>
      <c r="W812" s="357" t="s">
        <v>204</v>
      </c>
      <c r="X812" s="156">
        <v>115200000</v>
      </c>
      <c r="Y812" s="156">
        <v>115200000</v>
      </c>
      <c r="Z812" s="418" t="s">
        <v>359</v>
      </c>
      <c r="AA812" s="271"/>
      <c r="AB812" s="168"/>
      <c r="AC812" s="156"/>
      <c r="AD812" s="156"/>
      <c r="AE812" s="320"/>
      <c r="AF812" s="168"/>
      <c r="AG812" s="156"/>
      <c r="AH812" s="156"/>
      <c r="AI812" s="410"/>
    </row>
    <row r="813" spans="1:35" ht="19.5" customHeight="1">
      <c r="A813" s="137"/>
      <c r="B813" s="197">
        <f t="shared" si="15"/>
        <v>803</v>
      </c>
      <c r="C813" s="30" t="s">
        <v>202</v>
      </c>
      <c r="D813" s="30" t="s">
        <v>225</v>
      </c>
      <c r="E813" s="234" t="s">
        <v>1036</v>
      </c>
      <c r="F813" s="235" t="s">
        <v>1244</v>
      </c>
      <c r="G813" s="284" t="str">
        <f>IFERROR(VLOOKUP(E813,Assign!$C$2:$J$142,8,FALSE),)</f>
        <v>문선영</v>
      </c>
      <c r="H813" s="197" t="s">
        <v>4005</v>
      </c>
      <c r="I813" s="324" t="s">
        <v>4006</v>
      </c>
      <c r="J813" s="237">
        <v>1</v>
      </c>
      <c r="K813" s="237">
        <v>1</v>
      </c>
      <c r="L813" s="265" t="s">
        <v>214</v>
      </c>
      <c r="M813" s="266" t="s">
        <v>303</v>
      </c>
      <c r="N813" s="266" t="s">
        <v>1579</v>
      </c>
      <c r="O813" s="267" t="s">
        <v>1580</v>
      </c>
      <c r="P813" s="268" t="s">
        <v>588</v>
      </c>
      <c r="Q813" s="269">
        <v>27995.3</v>
      </c>
      <c r="R813" s="269">
        <v>39.981999999999999</v>
      </c>
      <c r="S813" s="270"/>
      <c r="T813" s="182">
        <f>53.5847/27995.3</f>
        <v>1.9140605744535689E-3</v>
      </c>
      <c r="U813" s="182">
        <v>1</v>
      </c>
      <c r="V813" s="408">
        <v>1</v>
      </c>
      <c r="W813" s="357" t="s">
        <v>204</v>
      </c>
      <c r="X813" s="156">
        <v>115200000</v>
      </c>
      <c r="Y813" s="156">
        <v>115200000</v>
      </c>
      <c r="Z813" s="418" t="s">
        <v>359</v>
      </c>
      <c r="AA813" s="271"/>
      <c r="AB813" s="168"/>
      <c r="AC813" s="156"/>
      <c r="AD813" s="156"/>
      <c r="AE813" s="320"/>
      <c r="AF813" s="168"/>
      <c r="AG813" s="156"/>
      <c r="AH813" s="156"/>
      <c r="AI813" s="410"/>
    </row>
    <row r="814" spans="1:35" ht="19.5" customHeight="1">
      <c r="A814" s="137"/>
      <c r="B814" s="197">
        <f t="shared" si="15"/>
        <v>804</v>
      </c>
      <c r="C814" s="30" t="s">
        <v>202</v>
      </c>
      <c r="D814" s="30" t="s">
        <v>225</v>
      </c>
      <c r="E814" s="234" t="s">
        <v>1036</v>
      </c>
      <c r="F814" s="235" t="s">
        <v>1244</v>
      </c>
      <c r="G814" s="284" t="str">
        <f>IFERROR(VLOOKUP(E814,Assign!$C$2:$J$142,8,FALSE),)</f>
        <v>문선영</v>
      </c>
      <c r="H814" s="197" t="s">
        <v>4007</v>
      </c>
      <c r="I814" s="324" t="s">
        <v>4008</v>
      </c>
      <c r="J814" s="237">
        <v>2</v>
      </c>
      <c r="K814" s="237">
        <v>1</v>
      </c>
      <c r="L814" s="265" t="s">
        <v>214</v>
      </c>
      <c r="M814" s="266" t="s">
        <v>303</v>
      </c>
      <c r="N814" s="266" t="s">
        <v>1579</v>
      </c>
      <c r="O814" s="267" t="s">
        <v>1581</v>
      </c>
      <c r="P814" s="268" t="s">
        <v>588</v>
      </c>
      <c r="Q814" s="269">
        <v>27995.3</v>
      </c>
      <c r="R814" s="269">
        <v>39.981999999999999</v>
      </c>
      <c r="S814" s="270"/>
      <c r="T814" s="182">
        <f>53.4746/27995.3</f>
        <v>1.9101277714473502E-3</v>
      </c>
      <c r="U814" s="182">
        <v>1</v>
      </c>
      <c r="V814" s="408">
        <v>1</v>
      </c>
      <c r="W814" s="357" t="s">
        <v>204</v>
      </c>
      <c r="X814" s="156">
        <v>115200000</v>
      </c>
      <c r="Y814" s="156">
        <v>115200000</v>
      </c>
      <c r="Z814" s="418" t="s">
        <v>359</v>
      </c>
      <c r="AA814" s="271"/>
      <c r="AB814" s="168"/>
      <c r="AC814" s="156"/>
      <c r="AD814" s="156"/>
      <c r="AE814" s="320"/>
      <c r="AF814" s="168"/>
      <c r="AG814" s="156"/>
      <c r="AH814" s="156"/>
      <c r="AI814" s="410"/>
    </row>
    <row r="815" spans="1:35" ht="19.5" hidden="1" customHeight="1">
      <c r="A815" s="137"/>
      <c r="B815" s="197">
        <f t="shared" si="15"/>
        <v>805</v>
      </c>
      <c r="C815" s="30" t="s">
        <v>202</v>
      </c>
      <c r="D815" s="30" t="s">
        <v>225</v>
      </c>
      <c r="E815" s="234" t="s">
        <v>1037</v>
      </c>
      <c r="F815" s="235" t="s">
        <v>1229</v>
      </c>
      <c r="G815" s="284">
        <f>IFERROR(VLOOKUP(E815,Assign!$C$2:$J$142,8,FALSE),)</f>
        <v>0</v>
      </c>
      <c r="H815" s="197" t="s">
        <v>4086</v>
      </c>
      <c r="I815" s="324" t="s">
        <v>4087</v>
      </c>
      <c r="J815" s="237">
        <v>1</v>
      </c>
      <c r="K815" s="237">
        <v>1</v>
      </c>
      <c r="L815" s="265" t="s">
        <v>208</v>
      </c>
      <c r="M815" s="266" t="s">
        <v>259</v>
      </c>
      <c r="N815" s="266" t="s">
        <v>566</v>
      </c>
      <c r="O815" s="267" t="s">
        <v>1662</v>
      </c>
      <c r="P815" s="268" t="s">
        <v>431</v>
      </c>
      <c r="Q815" s="269">
        <v>40744</v>
      </c>
      <c r="R815" s="269">
        <v>84.68</v>
      </c>
      <c r="S815" s="270"/>
      <c r="T815" s="182">
        <f>49.4781/40744</f>
        <v>1.2143653053210289E-3</v>
      </c>
      <c r="U815" s="182">
        <v>1</v>
      </c>
      <c r="V815" s="408">
        <v>1</v>
      </c>
      <c r="W815" s="357" t="s">
        <v>204</v>
      </c>
      <c r="X815" s="156">
        <v>252000000</v>
      </c>
      <c r="Y815" s="156">
        <v>252000000</v>
      </c>
      <c r="Z815" s="418" t="s">
        <v>359</v>
      </c>
      <c r="AA815" s="271"/>
      <c r="AB815" s="168"/>
      <c r="AC815" s="156"/>
      <c r="AD815" s="156"/>
      <c r="AE815" s="320"/>
      <c r="AF815" s="168"/>
      <c r="AG815" s="156"/>
      <c r="AH815" s="156"/>
      <c r="AI815" s="410"/>
    </row>
    <row r="816" spans="1:35" ht="19.5" hidden="1" customHeight="1">
      <c r="A816" s="137"/>
      <c r="B816" s="197">
        <f t="shared" si="15"/>
        <v>806</v>
      </c>
      <c r="C816" s="30" t="s">
        <v>202</v>
      </c>
      <c r="D816" s="30" t="s">
        <v>225</v>
      </c>
      <c r="E816" s="234" t="s">
        <v>1038</v>
      </c>
      <c r="F816" s="235" t="s">
        <v>1225</v>
      </c>
      <c r="G816" s="284">
        <f>IFERROR(VLOOKUP(E816,Assign!$C$2:$J$142,8,FALSE),)</f>
        <v>0</v>
      </c>
      <c r="H816" s="29" t="s">
        <v>3898</v>
      </c>
      <c r="I816" s="359" t="s">
        <v>3899</v>
      </c>
      <c r="J816" s="237">
        <v>1</v>
      </c>
      <c r="K816" s="237">
        <v>1</v>
      </c>
      <c r="L816" s="265" t="s">
        <v>224</v>
      </c>
      <c r="M816" s="266" t="s">
        <v>1458</v>
      </c>
      <c r="N816" s="266" t="s">
        <v>1465</v>
      </c>
      <c r="O816" s="267" t="s">
        <v>1466</v>
      </c>
      <c r="P816" s="268" t="s">
        <v>440</v>
      </c>
      <c r="Q816" s="269">
        <v>788</v>
      </c>
      <c r="R816" s="269">
        <v>83.915000000000006</v>
      </c>
      <c r="S816" s="270"/>
      <c r="T816" s="182">
        <f>48.69/788</f>
        <v>6.1789340101522837E-2</v>
      </c>
      <c r="U816" s="182">
        <v>1</v>
      </c>
      <c r="V816" s="408">
        <v>1</v>
      </c>
      <c r="W816" s="357" t="s">
        <v>204</v>
      </c>
      <c r="X816" s="156">
        <v>209000000</v>
      </c>
      <c r="Y816" s="156">
        <v>209000000</v>
      </c>
      <c r="Z816" s="418" t="s">
        <v>359</v>
      </c>
      <c r="AA816" s="271"/>
      <c r="AB816" s="168"/>
      <c r="AC816" s="156"/>
      <c r="AD816" s="156"/>
      <c r="AE816" s="320"/>
      <c r="AF816" s="168"/>
      <c r="AG816" s="156"/>
      <c r="AH816" s="156"/>
      <c r="AI816" s="410"/>
    </row>
    <row r="817" spans="1:35" ht="19.5" hidden="1" customHeight="1">
      <c r="A817" s="137"/>
      <c r="B817" s="197">
        <f t="shared" si="15"/>
        <v>807</v>
      </c>
      <c r="C817" s="30" t="s">
        <v>202</v>
      </c>
      <c r="D817" s="30" t="s">
        <v>225</v>
      </c>
      <c r="E817" s="234" t="s">
        <v>1039</v>
      </c>
      <c r="F817" s="235" t="s">
        <v>1281</v>
      </c>
      <c r="G817" s="284">
        <f>IFERROR(VLOOKUP(E817,Assign!$C$2:$J$142,8,FALSE),)</f>
        <v>0</v>
      </c>
      <c r="H817" s="197" t="s">
        <v>3978</v>
      </c>
      <c r="I817" s="324" t="s">
        <v>3979</v>
      </c>
      <c r="J817" s="237">
        <v>1</v>
      </c>
      <c r="K817" s="237">
        <v>1</v>
      </c>
      <c r="L817" s="265" t="s">
        <v>208</v>
      </c>
      <c r="M817" s="266" t="s">
        <v>261</v>
      </c>
      <c r="N817" s="266" t="s">
        <v>1555</v>
      </c>
      <c r="O817" s="267" t="s">
        <v>1556</v>
      </c>
      <c r="P817" s="268" t="s">
        <v>437</v>
      </c>
      <c r="Q817" s="269">
        <v>30520.6</v>
      </c>
      <c r="R817" s="269">
        <v>84.935400000000001</v>
      </c>
      <c r="S817" s="270"/>
      <c r="T817" s="182">
        <f>58.6915/30520.6</f>
        <v>1.9230126537486158E-3</v>
      </c>
      <c r="U817" s="182">
        <v>1</v>
      </c>
      <c r="V817" s="408">
        <v>1</v>
      </c>
      <c r="W817" s="357" t="s">
        <v>204</v>
      </c>
      <c r="X817" s="156">
        <v>209000000</v>
      </c>
      <c r="Y817" s="156">
        <v>209000000</v>
      </c>
      <c r="Z817" s="418" t="s">
        <v>359</v>
      </c>
      <c r="AA817" s="271"/>
      <c r="AB817" s="168"/>
      <c r="AC817" s="156"/>
      <c r="AD817" s="156"/>
      <c r="AE817" s="320"/>
      <c r="AF817" s="168"/>
      <c r="AG817" s="156"/>
      <c r="AH817" s="156"/>
      <c r="AI817" s="410"/>
    </row>
    <row r="818" spans="1:35" ht="19.5" customHeight="1">
      <c r="A818" s="137"/>
      <c r="B818" s="197">
        <f t="shared" si="15"/>
        <v>808</v>
      </c>
      <c r="C818" s="30" t="s">
        <v>202</v>
      </c>
      <c r="D818" s="30" t="s">
        <v>225</v>
      </c>
      <c r="E818" s="234" t="s">
        <v>1040</v>
      </c>
      <c r="F818" s="235" t="s">
        <v>1362</v>
      </c>
      <c r="G818" s="284" t="str">
        <f>IFERROR(VLOOKUP(E818,Assign!$C$2:$J$142,8,FALSE),)</f>
        <v>문선영</v>
      </c>
      <c r="H818" s="197" t="s">
        <v>5012</v>
      </c>
      <c r="I818" s="324" t="s">
        <v>5013</v>
      </c>
      <c r="J818" s="237">
        <v>1</v>
      </c>
      <c r="K818" s="237">
        <v>1</v>
      </c>
      <c r="L818" s="265" t="s">
        <v>208</v>
      </c>
      <c r="M818" s="266" t="s">
        <v>301</v>
      </c>
      <c r="N818" s="266" t="s">
        <v>302</v>
      </c>
      <c r="O818" s="267" t="s">
        <v>2534</v>
      </c>
      <c r="P818" s="268" t="s">
        <v>451</v>
      </c>
      <c r="Q818" s="269">
        <v>39924.400000000001</v>
      </c>
      <c r="R818" s="269">
        <v>84.948999999999998</v>
      </c>
      <c r="S818" s="270"/>
      <c r="T818" s="182">
        <f>52.3259/39924.4</f>
        <v>1.3106245804570637E-3</v>
      </c>
      <c r="U818" s="182">
        <v>1</v>
      </c>
      <c r="V818" s="408">
        <v>1</v>
      </c>
      <c r="W818" s="357" t="s">
        <v>204</v>
      </c>
      <c r="X818" s="156">
        <v>240000000</v>
      </c>
      <c r="Y818" s="156">
        <v>240000000</v>
      </c>
      <c r="Z818" s="418" t="s">
        <v>359</v>
      </c>
      <c r="AA818" s="271"/>
      <c r="AB818" s="168"/>
      <c r="AC818" s="156"/>
      <c r="AD818" s="156"/>
      <c r="AE818" s="320"/>
      <c r="AF818" s="168"/>
      <c r="AG818" s="156"/>
      <c r="AH818" s="156"/>
      <c r="AI818" s="410"/>
    </row>
    <row r="819" spans="1:35" ht="19.5" hidden="1" customHeight="1">
      <c r="A819" s="137"/>
      <c r="B819" s="197">
        <f t="shared" si="15"/>
        <v>809</v>
      </c>
      <c r="C819" s="30" t="s">
        <v>202</v>
      </c>
      <c r="D819" s="30" t="s">
        <v>225</v>
      </c>
      <c r="E819" s="234" t="s">
        <v>1041</v>
      </c>
      <c r="F819" s="235" t="s">
        <v>1231</v>
      </c>
      <c r="G819" s="284">
        <f>IFERROR(VLOOKUP(E819,Assign!$C$2:$J$142,8,FALSE),)</f>
        <v>0</v>
      </c>
      <c r="H819" s="197" t="s">
        <v>3993</v>
      </c>
      <c r="I819" s="324" t="s">
        <v>3994</v>
      </c>
      <c r="J819" s="237">
        <v>1</v>
      </c>
      <c r="K819" s="237">
        <v>1</v>
      </c>
      <c r="L819" s="265" t="s">
        <v>208</v>
      </c>
      <c r="M819" s="266" t="s">
        <v>234</v>
      </c>
      <c r="N819" s="266" t="s">
        <v>1568</v>
      </c>
      <c r="O819" s="267" t="s">
        <v>1569</v>
      </c>
      <c r="P819" s="268" t="s">
        <v>1570</v>
      </c>
      <c r="Q819" s="269">
        <v>29189.3</v>
      </c>
      <c r="R819" s="269">
        <v>84.991</v>
      </c>
      <c r="S819" s="270"/>
      <c r="T819" s="182">
        <f>64.6804/29189.3</f>
        <v>2.215894180401723E-3</v>
      </c>
      <c r="U819" s="182">
        <v>1</v>
      </c>
      <c r="V819" s="408" t="s">
        <v>229</v>
      </c>
      <c r="W819" s="357" t="s">
        <v>204</v>
      </c>
      <c r="X819" s="156">
        <v>238800000</v>
      </c>
      <c r="Y819" s="156">
        <v>238800000</v>
      </c>
      <c r="Z819" s="418" t="s">
        <v>359</v>
      </c>
      <c r="AA819" s="271"/>
      <c r="AB819" s="168"/>
      <c r="AC819" s="156"/>
      <c r="AD819" s="156"/>
      <c r="AE819" s="320"/>
      <c r="AF819" s="168"/>
      <c r="AG819" s="156"/>
      <c r="AH819" s="156"/>
      <c r="AI819" s="410"/>
    </row>
    <row r="820" spans="1:35" ht="19.5" hidden="1" customHeight="1">
      <c r="A820" s="137"/>
      <c r="B820" s="197">
        <f t="shared" si="15"/>
        <v>810</v>
      </c>
      <c r="C820" s="30" t="s">
        <v>202</v>
      </c>
      <c r="D820" s="30" t="s">
        <v>225</v>
      </c>
      <c r="E820" s="234" t="s">
        <v>1042</v>
      </c>
      <c r="F820" s="235" t="s">
        <v>1229</v>
      </c>
      <c r="G820" s="284">
        <f>IFERROR(VLOOKUP(E820,Assign!$C$2:$J$142,8,FALSE),)</f>
        <v>0</v>
      </c>
      <c r="H820" s="197" t="s">
        <v>5057</v>
      </c>
      <c r="I820" s="324" t="s">
        <v>5058</v>
      </c>
      <c r="J820" s="237">
        <v>1</v>
      </c>
      <c r="K820" s="237">
        <v>1</v>
      </c>
      <c r="L820" s="265" t="s">
        <v>209</v>
      </c>
      <c r="M820" s="266" t="s">
        <v>287</v>
      </c>
      <c r="N820" s="266" t="s">
        <v>388</v>
      </c>
      <c r="O820" s="267" t="s">
        <v>2572</v>
      </c>
      <c r="P820" s="268" t="s">
        <v>2573</v>
      </c>
      <c r="Q820" s="269">
        <v>507.4</v>
      </c>
      <c r="R820" s="269">
        <v>24.18</v>
      </c>
      <c r="S820" s="270"/>
      <c r="T820" s="182">
        <f>5.72/507.4</f>
        <v>1.1273157272368941E-2</v>
      </c>
      <c r="U820" s="182">
        <v>1</v>
      </c>
      <c r="V820" s="408">
        <v>1</v>
      </c>
      <c r="W820" s="357" t="s">
        <v>204</v>
      </c>
      <c r="X820" s="156">
        <v>228000000</v>
      </c>
      <c r="Y820" s="156">
        <v>228000000</v>
      </c>
      <c r="Z820" s="418" t="s">
        <v>359</v>
      </c>
      <c r="AA820" s="271"/>
      <c r="AB820" s="168"/>
      <c r="AC820" s="156"/>
      <c r="AD820" s="156"/>
      <c r="AE820" s="320"/>
      <c r="AF820" s="168"/>
      <c r="AG820" s="156"/>
      <c r="AH820" s="156"/>
      <c r="AI820" s="410"/>
    </row>
    <row r="821" spans="1:35" ht="19.5" hidden="1" customHeight="1">
      <c r="A821" s="137"/>
      <c r="B821" s="197">
        <f t="shared" si="15"/>
        <v>811</v>
      </c>
      <c r="C821" s="30" t="s">
        <v>202</v>
      </c>
      <c r="D821" s="30" t="s">
        <v>225</v>
      </c>
      <c r="E821" s="234" t="s">
        <v>1043</v>
      </c>
      <c r="F821" s="235" t="s">
        <v>1280</v>
      </c>
      <c r="G821" s="284">
        <f>IFERROR(VLOOKUP(E821,Assign!$C$2:$J$142,8,FALSE),)</f>
        <v>0</v>
      </c>
      <c r="H821" s="197" t="s">
        <v>5134</v>
      </c>
      <c r="I821" s="324" t="s">
        <v>5135</v>
      </c>
      <c r="J821" s="237">
        <v>1</v>
      </c>
      <c r="K821" s="237">
        <v>1</v>
      </c>
      <c r="L821" s="265" t="s">
        <v>224</v>
      </c>
      <c r="M821" s="266" t="s">
        <v>1458</v>
      </c>
      <c r="N821" s="266" t="s">
        <v>2646</v>
      </c>
      <c r="O821" s="267" t="s">
        <v>2647</v>
      </c>
      <c r="P821" s="268" t="s">
        <v>440</v>
      </c>
      <c r="Q821" s="269">
        <v>1049</v>
      </c>
      <c r="R821" s="269">
        <v>64.09</v>
      </c>
      <c r="S821" s="270"/>
      <c r="T821" s="182">
        <f>65.4349/1049</f>
        <v>6.2378360343183982E-2</v>
      </c>
      <c r="U821" s="182">
        <v>1</v>
      </c>
      <c r="V821" s="408">
        <v>1</v>
      </c>
      <c r="W821" s="357" t="s">
        <v>204</v>
      </c>
      <c r="X821" s="156">
        <v>240000000</v>
      </c>
      <c r="Y821" s="156">
        <v>240000000</v>
      </c>
      <c r="Z821" s="418" t="s">
        <v>359</v>
      </c>
      <c r="AA821" s="271"/>
      <c r="AB821" s="168"/>
      <c r="AC821" s="156"/>
      <c r="AD821" s="156"/>
      <c r="AE821" s="320"/>
      <c r="AF821" s="168"/>
      <c r="AG821" s="156"/>
      <c r="AH821" s="156"/>
      <c r="AI821" s="410"/>
    </row>
    <row r="822" spans="1:35" ht="19.5" hidden="1" customHeight="1">
      <c r="A822" s="137"/>
      <c r="B822" s="197">
        <f t="shared" si="15"/>
        <v>812</v>
      </c>
      <c r="C822" s="30" t="s">
        <v>202</v>
      </c>
      <c r="D822" s="30" t="s">
        <v>225</v>
      </c>
      <c r="E822" s="234" t="s">
        <v>1044</v>
      </c>
      <c r="F822" s="235" t="s">
        <v>1217</v>
      </c>
      <c r="G822" s="284">
        <f>IFERROR(VLOOKUP(E822,Assign!$C$2:$J$142,8,FALSE),)</f>
        <v>0</v>
      </c>
      <c r="H822" s="197" t="s">
        <v>4547</v>
      </c>
      <c r="I822" s="324" t="s">
        <v>4548</v>
      </c>
      <c r="J822" s="237">
        <v>1</v>
      </c>
      <c r="K822" s="237">
        <v>1</v>
      </c>
      <c r="L822" s="265" t="s">
        <v>208</v>
      </c>
      <c r="M822" s="266" t="s">
        <v>316</v>
      </c>
      <c r="N822" s="266" t="s">
        <v>2088</v>
      </c>
      <c r="O822" s="267" t="s">
        <v>2089</v>
      </c>
      <c r="P822" s="268" t="s">
        <v>431</v>
      </c>
      <c r="Q822" s="269">
        <v>21748</v>
      </c>
      <c r="R822" s="269">
        <v>101.88</v>
      </c>
      <c r="S822" s="270"/>
      <c r="T822" s="182">
        <f>47.16/21748</f>
        <v>2.168475262093066E-3</v>
      </c>
      <c r="U822" s="182">
        <v>1</v>
      </c>
      <c r="V822" s="408">
        <v>1</v>
      </c>
      <c r="W822" s="357" t="s">
        <v>204</v>
      </c>
      <c r="X822" s="156">
        <v>198000000</v>
      </c>
      <c r="Y822" s="156">
        <v>198000000</v>
      </c>
      <c r="Z822" s="418" t="s">
        <v>359</v>
      </c>
      <c r="AA822" s="271"/>
      <c r="AB822" s="168"/>
      <c r="AC822" s="156"/>
      <c r="AD822" s="156"/>
      <c r="AE822" s="320"/>
      <c r="AF822" s="168"/>
      <c r="AG822" s="156"/>
      <c r="AH822" s="156"/>
      <c r="AI822" s="410"/>
    </row>
    <row r="823" spans="1:35" ht="19.5" customHeight="1">
      <c r="A823" s="137"/>
      <c r="B823" s="197">
        <f t="shared" si="15"/>
        <v>813</v>
      </c>
      <c r="C823" s="30" t="s">
        <v>202</v>
      </c>
      <c r="D823" s="30" t="s">
        <v>225</v>
      </c>
      <c r="E823" s="234" t="s">
        <v>1045</v>
      </c>
      <c r="F823" s="235" t="s">
        <v>1229</v>
      </c>
      <c r="G823" s="284" t="str">
        <f>IFERROR(VLOOKUP(E823,Assign!$C$2:$J$142,8,FALSE),)</f>
        <v>문선영</v>
      </c>
      <c r="H823" s="197" t="s">
        <v>4036</v>
      </c>
      <c r="I823" s="324" t="s">
        <v>4037</v>
      </c>
      <c r="J823" s="237">
        <v>1</v>
      </c>
      <c r="K823" s="237">
        <v>1</v>
      </c>
      <c r="L823" s="265" t="s">
        <v>208</v>
      </c>
      <c r="M823" s="266" t="s">
        <v>259</v>
      </c>
      <c r="N823" s="266" t="s">
        <v>387</v>
      </c>
      <c r="O823" s="267" t="s">
        <v>1611</v>
      </c>
      <c r="P823" s="268" t="s">
        <v>1612</v>
      </c>
      <c r="Q823" s="269">
        <v>4116.3999999999996</v>
      </c>
      <c r="R823" s="269">
        <v>84.86</v>
      </c>
      <c r="S823" s="270"/>
      <c r="T823" s="182">
        <f>34.371/4116.4</f>
        <v>8.349771645126812E-3</v>
      </c>
      <c r="U823" s="182">
        <v>1</v>
      </c>
      <c r="V823" s="408" t="s">
        <v>229</v>
      </c>
      <c r="W823" s="357" t="s">
        <v>204</v>
      </c>
      <c r="X823" s="156">
        <v>182400000</v>
      </c>
      <c r="Y823" s="156">
        <v>182400000</v>
      </c>
      <c r="Z823" s="418" t="s">
        <v>359</v>
      </c>
      <c r="AA823" s="271"/>
      <c r="AB823" s="168"/>
      <c r="AC823" s="156"/>
      <c r="AD823" s="156"/>
      <c r="AE823" s="320"/>
      <c r="AF823" s="168"/>
      <c r="AG823" s="156"/>
      <c r="AH823" s="156"/>
      <c r="AI823" s="410"/>
    </row>
    <row r="824" spans="1:35" ht="19.5" hidden="1" customHeight="1">
      <c r="A824" s="137"/>
      <c r="B824" s="197">
        <f t="shared" si="15"/>
        <v>814</v>
      </c>
      <c r="C824" s="30" t="s">
        <v>202</v>
      </c>
      <c r="D824" s="30" t="s">
        <v>225</v>
      </c>
      <c r="E824" s="234" t="s">
        <v>1046</v>
      </c>
      <c r="F824" s="235" t="s">
        <v>1220</v>
      </c>
      <c r="G824" s="284">
        <f>IFERROR(VLOOKUP(E824,Assign!$C$2:$J$142,8,FALSE),)</f>
        <v>0</v>
      </c>
      <c r="H824" s="197" t="s">
        <v>4052</v>
      </c>
      <c r="I824" s="324" t="s">
        <v>4053</v>
      </c>
      <c r="J824" s="237">
        <v>1</v>
      </c>
      <c r="K824" s="237">
        <v>1</v>
      </c>
      <c r="L824" s="265" t="s">
        <v>214</v>
      </c>
      <c r="M824" s="266" t="s">
        <v>338</v>
      </c>
      <c r="N824" s="266" t="s">
        <v>1627</v>
      </c>
      <c r="O824" s="267" t="s">
        <v>1628</v>
      </c>
      <c r="P824" s="268" t="s">
        <v>455</v>
      </c>
      <c r="Q824" s="269">
        <v>22210</v>
      </c>
      <c r="R824" s="269">
        <v>84.911100000000005</v>
      </c>
      <c r="S824" s="270"/>
      <c r="T824" s="182">
        <f>50.3729/22210</f>
        <v>2.2680279153534447E-3</v>
      </c>
      <c r="U824" s="182">
        <v>1</v>
      </c>
      <c r="V824" s="408">
        <v>1</v>
      </c>
      <c r="W824" s="357" t="s">
        <v>204</v>
      </c>
      <c r="X824" s="156">
        <v>205800000</v>
      </c>
      <c r="Y824" s="156">
        <v>205800000</v>
      </c>
      <c r="Z824" s="418" t="s">
        <v>359</v>
      </c>
      <c r="AA824" s="271"/>
      <c r="AB824" s="168"/>
      <c r="AC824" s="156"/>
      <c r="AD824" s="156"/>
      <c r="AE824" s="320"/>
      <c r="AF824" s="168"/>
      <c r="AG824" s="156"/>
      <c r="AH824" s="156"/>
      <c r="AI824" s="410"/>
    </row>
    <row r="825" spans="1:35" ht="19.5" hidden="1" customHeight="1">
      <c r="A825" s="137"/>
      <c r="B825" s="197">
        <f t="shared" si="15"/>
        <v>815</v>
      </c>
      <c r="C825" s="30" t="s">
        <v>202</v>
      </c>
      <c r="D825" s="30" t="s">
        <v>225</v>
      </c>
      <c r="E825" s="234" t="s">
        <v>1047</v>
      </c>
      <c r="F825" s="235" t="s">
        <v>1244</v>
      </c>
      <c r="G825" s="284">
        <f>IFERROR(VLOOKUP(E825,Assign!$C$2:$J$142,8,FALSE),)</f>
        <v>0</v>
      </c>
      <c r="H825" s="197" t="s">
        <v>4407</v>
      </c>
      <c r="I825" s="324" t="s">
        <v>4408</v>
      </c>
      <c r="J825" s="237">
        <v>1</v>
      </c>
      <c r="K825" s="237">
        <v>1</v>
      </c>
      <c r="L825" s="265" t="s">
        <v>220</v>
      </c>
      <c r="M825" s="266" t="s">
        <v>564</v>
      </c>
      <c r="N825" s="266" t="s">
        <v>1961</v>
      </c>
      <c r="O825" s="267" t="s">
        <v>1962</v>
      </c>
      <c r="P825" s="268" t="s">
        <v>480</v>
      </c>
      <c r="Q825" s="269">
        <v>24397.7</v>
      </c>
      <c r="R825" s="269">
        <v>84.972499999999997</v>
      </c>
      <c r="S825" s="270"/>
      <c r="T825" s="182">
        <f>53.2651/24397.7</f>
        <v>2.1832016952417644E-3</v>
      </c>
      <c r="U825" s="182">
        <v>1</v>
      </c>
      <c r="V825" s="408">
        <v>1</v>
      </c>
      <c r="W825" s="357" t="s">
        <v>204</v>
      </c>
      <c r="X825" s="156">
        <v>188400000</v>
      </c>
      <c r="Y825" s="156">
        <v>188400000</v>
      </c>
      <c r="Z825" s="418" t="s">
        <v>359</v>
      </c>
      <c r="AA825" s="271"/>
      <c r="AB825" s="168"/>
      <c r="AC825" s="156"/>
      <c r="AD825" s="156"/>
      <c r="AE825" s="320"/>
      <c r="AF825" s="168"/>
      <c r="AG825" s="156"/>
      <c r="AH825" s="156"/>
      <c r="AI825" s="410"/>
    </row>
    <row r="826" spans="1:35" ht="19.5" hidden="1" customHeight="1">
      <c r="A826" s="137"/>
      <c r="B826" s="197">
        <f t="shared" si="15"/>
        <v>816</v>
      </c>
      <c r="C826" s="30" t="s">
        <v>202</v>
      </c>
      <c r="D826" s="30" t="s">
        <v>225</v>
      </c>
      <c r="E826" s="234" t="s">
        <v>1048</v>
      </c>
      <c r="F826" s="235" t="s">
        <v>1266</v>
      </c>
      <c r="G826" s="284">
        <f>IFERROR(VLOOKUP(E826,Assign!$C$2:$J$142,8,FALSE),)</f>
        <v>0</v>
      </c>
      <c r="H826" s="197" t="s">
        <v>4197</v>
      </c>
      <c r="I826" s="324" t="s">
        <v>4198</v>
      </c>
      <c r="J826" s="237">
        <v>1</v>
      </c>
      <c r="K826" s="237">
        <v>1</v>
      </c>
      <c r="L826" s="265" t="s">
        <v>208</v>
      </c>
      <c r="M826" s="266" t="s">
        <v>250</v>
      </c>
      <c r="N826" s="266" t="s">
        <v>264</v>
      </c>
      <c r="O826" s="267" t="s">
        <v>1772</v>
      </c>
      <c r="P826" s="268" t="s">
        <v>1773</v>
      </c>
      <c r="Q826" s="269">
        <v>1681</v>
      </c>
      <c r="R826" s="269">
        <v>47.3</v>
      </c>
      <c r="S826" s="270"/>
      <c r="T826" s="182">
        <f>12.51/1681</f>
        <v>7.4419988102320048E-3</v>
      </c>
      <c r="U826" s="182">
        <v>1</v>
      </c>
      <c r="V826" s="408">
        <v>1</v>
      </c>
      <c r="W826" s="357" t="s">
        <v>204</v>
      </c>
      <c r="X826" s="156">
        <v>216000000</v>
      </c>
      <c r="Y826" s="156">
        <v>216000000</v>
      </c>
      <c r="Z826" s="418" t="s">
        <v>359</v>
      </c>
      <c r="AA826" s="271"/>
      <c r="AB826" s="168"/>
      <c r="AC826" s="156"/>
      <c r="AD826" s="156"/>
      <c r="AE826" s="320"/>
      <c r="AF826" s="168"/>
      <c r="AG826" s="156"/>
      <c r="AH826" s="156"/>
      <c r="AI826" s="410"/>
    </row>
    <row r="827" spans="1:35" ht="19.5" hidden="1" customHeight="1">
      <c r="A827" s="137"/>
      <c r="B827" s="197">
        <f t="shared" si="15"/>
        <v>817</v>
      </c>
      <c r="C827" s="30" t="s">
        <v>202</v>
      </c>
      <c r="D827" s="30" t="s">
        <v>225</v>
      </c>
      <c r="E827" s="234" t="s">
        <v>1049</v>
      </c>
      <c r="F827" s="235" t="s">
        <v>1225</v>
      </c>
      <c r="G827" s="284">
        <f>IFERROR(VLOOKUP(E827,Assign!$C$2:$J$142,8,FALSE),)</f>
        <v>0</v>
      </c>
      <c r="H827" s="197" t="s">
        <v>4759</v>
      </c>
      <c r="I827" s="324" t="s">
        <v>4760</v>
      </c>
      <c r="J827" s="237">
        <v>1</v>
      </c>
      <c r="K827" s="237">
        <v>1</v>
      </c>
      <c r="L827" s="265" t="s">
        <v>208</v>
      </c>
      <c r="M827" s="266" t="s">
        <v>301</v>
      </c>
      <c r="N827" s="266" t="s">
        <v>2291</v>
      </c>
      <c r="O827" s="267" t="s">
        <v>2292</v>
      </c>
      <c r="P827" s="268" t="s">
        <v>598</v>
      </c>
      <c r="Q827" s="269">
        <v>18867.400000000001</v>
      </c>
      <c r="R827" s="269">
        <v>59.978200000000001</v>
      </c>
      <c r="S827" s="270"/>
      <c r="T827" s="182">
        <f>38.8918/18867.4</f>
        <v>2.0613227047711928E-3</v>
      </c>
      <c r="U827" s="182">
        <v>1</v>
      </c>
      <c r="V827" s="408">
        <v>1</v>
      </c>
      <c r="W827" s="357" t="s">
        <v>204</v>
      </c>
      <c r="X827" s="156">
        <v>184800000</v>
      </c>
      <c r="Y827" s="156">
        <v>184800000</v>
      </c>
      <c r="Z827" s="418" t="s">
        <v>359</v>
      </c>
      <c r="AA827" s="271"/>
      <c r="AB827" s="168"/>
      <c r="AC827" s="156"/>
      <c r="AD827" s="156"/>
      <c r="AE827" s="320"/>
      <c r="AF827" s="168"/>
      <c r="AG827" s="156"/>
      <c r="AH827" s="156"/>
      <c r="AI827" s="410"/>
    </row>
    <row r="828" spans="1:35" ht="19.5" hidden="1" customHeight="1">
      <c r="A828" s="137"/>
      <c r="B828" s="197">
        <f t="shared" si="15"/>
        <v>818</v>
      </c>
      <c r="C828" s="30" t="s">
        <v>202</v>
      </c>
      <c r="D828" s="30" t="s">
        <v>225</v>
      </c>
      <c r="E828" s="234" t="s">
        <v>1050</v>
      </c>
      <c r="F828" s="235" t="s">
        <v>1271</v>
      </c>
      <c r="G828" s="284">
        <f>IFERROR(VLOOKUP(E828,Assign!$C$2:$J$142,8,FALSE),)</f>
        <v>0</v>
      </c>
      <c r="H828" s="197" t="s">
        <v>4163</v>
      </c>
      <c r="I828" s="324" t="s">
        <v>4164</v>
      </c>
      <c r="J828" s="237">
        <v>1</v>
      </c>
      <c r="K828" s="237">
        <v>1</v>
      </c>
      <c r="L828" s="265" t="s">
        <v>212</v>
      </c>
      <c r="M828" s="266" t="s">
        <v>232</v>
      </c>
      <c r="N828" s="266" t="s">
        <v>1737</v>
      </c>
      <c r="O828" s="267" t="s">
        <v>1738</v>
      </c>
      <c r="P828" s="268" t="s">
        <v>1739</v>
      </c>
      <c r="Q828" s="269">
        <v>403</v>
      </c>
      <c r="R828" s="269">
        <v>58.65</v>
      </c>
      <c r="S828" s="270"/>
      <c r="T828" s="182">
        <f>10/403</f>
        <v>2.4813895781637719E-2</v>
      </c>
      <c r="U828" s="182">
        <v>1</v>
      </c>
      <c r="V828" s="408">
        <v>1</v>
      </c>
      <c r="W828" s="357" t="s">
        <v>204</v>
      </c>
      <c r="X828" s="156">
        <v>198000000</v>
      </c>
      <c r="Y828" s="156">
        <v>198000000</v>
      </c>
      <c r="Z828" s="418" t="s">
        <v>359</v>
      </c>
      <c r="AA828" s="271"/>
      <c r="AB828" s="168"/>
      <c r="AC828" s="156"/>
      <c r="AD828" s="156"/>
      <c r="AE828" s="320"/>
      <c r="AF828" s="168"/>
      <c r="AG828" s="156"/>
      <c r="AH828" s="156"/>
      <c r="AI828" s="410"/>
    </row>
    <row r="829" spans="1:35" ht="19.5" hidden="1" customHeight="1">
      <c r="A829" s="137"/>
      <c r="B829" s="197">
        <f t="shared" si="15"/>
        <v>819</v>
      </c>
      <c r="C829" s="30" t="s">
        <v>202</v>
      </c>
      <c r="D829" s="30" t="s">
        <v>225</v>
      </c>
      <c r="E829" s="234" t="s">
        <v>1051</v>
      </c>
      <c r="F829" s="235" t="s">
        <v>1224</v>
      </c>
      <c r="G829" s="284">
        <f>IFERROR(VLOOKUP(E829,Assign!$C$2:$J$142,8,FALSE),)</f>
        <v>0</v>
      </c>
      <c r="H829" s="197" t="s">
        <v>4388</v>
      </c>
      <c r="I829" s="324" t="s">
        <v>4389</v>
      </c>
      <c r="J829" s="237">
        <v>1</v>
      </c>
      <c r="K829" s="237">
        <v>1</v>
      </c>
      <c r="L829" s="265" t="s">
        <v>224</v>
      </c>
      <c r="M829" s="266" t="s">
        <v>1458</v>
      </c>
      <c r="N829" s="266" t="s">
        <v>1945</v>
      </c>
      <c r="O829" s="267" t="s">
        <v>1946</v>
      </c>
      <c r="P829" s="268" t="s">
        <v>440</v>
      </c>
      <c r="Q829" s="269">
        <f>331+661</f>
        <v>992</v>
      </c>
      <c r="R829" s="269">
        <v>70.709999999999994</v>
      </c>
      <c r="S829" s="270"/>
      <c r="T829" s="182">
        <f>60.4/992</f>
        <v>6.0887096774193544E-2</v>
      </c>
      <c r="U829" s="182">
        <v>1</v>
      </c>
      <c r="V829" s="408">
        <v>1</v>
      </c>
      <c r="W829" s="357" t="s">
        <v>204</v>
      </c>
      <c r="X829" s="156">
        <v>210000000</v>
      </c>
      <c r="Y829" s="156">
        <v>210000000</v>
      </c>
      <c r="Z829" s="418" t="s">
        <v>359</v>
      </c>
      <c r="AA829" s="271"/>
      <c r="AB829" s="168"/>
      <c r="AC829" s="156"/>
      <c r="AD829" s="156"/>
      <c r="AE829" s="320"/>
      <c r="AF829" s="168"/>
      <c r="AG829" s="156"/>
      <c r="AH829" s="156"/>
      <c r="AI829" s="410"/>
    </row>
    <row r="830" spans="1:35" ht="19.5" customHeight="1">
      <c r="A830" s="137"/>
      <c r="B830" s="197">
        <f t="shared" si="15"/>
        <v>820</v>
      </c>
      <c r="C830" s="30" t="s">
        <v>202</v>
      </c>
      <c r="D830" s="30" t="s">
        <v>225</v>
      </c>
      <c r="E830" s="234" t="s">
        <v>1052</v>
      </c>
      <c r="F830" s="235" t="s">
        <v>1225</v>
      </c>
      <c r="G830" s="284" t="str">
        <f>IFERROR(VLOOKUP(E830,Assign!$C$2:$J$142,8,FALSE),)</f>
        <v>문선영</v>
      </c>
      <c r="H830" s="197" t="s">
        <v>4793</v>
      </c>
      <c r="I830" s="324" t="s">
        <v>4794</v>
      </c>
      <c r="J830" s="237">
        <v>1</v>
      </c>
      <c r="K830" s="237">
        <v>1</v>
      </c>
      <c r="L830" s="265" t="s">
        <v>217</v>
      </c>
      <c r="M830" s="266" t="s">
        <v>346</v>
      </c>
      <c r="N830" s="266" t="s">
        <v>2323</v>
      </c>
      <c r="O830" s="267" t="s">
        <v>2324</v>
      </c>
      <c r="P830" s="268" t="s">
        <v>461</v>
      </c>
      <c r="Q830" s="269">
        <v>32163.200000000001</v>
      </c>
      <c r="R830" s="269">
        <v>84.431700000000006</v>
      </c>
      <c r="S830" s="270"/>
      <c r="T830" s="182">
        <f>45.424/32163.2</f>
        <v>1.4122972838523529E-3</v>
      </c>
      <c r="U830" s="182">
        <v>1</v>
      </c>
      <c r="V830" s="408">
        <v>1</v>
      </c>
      <c r="W830" s="357" t="s">
        <v>204</v>
      </c>
      <c r="X830" s="156">
        <v>195600000</v>
      </c>
      <c r="Y830" s="156">
        <v>195600000</v>
      </c>
      <c r="Z830" s="418" t="s">
        <v>359</v>
      </c>
      <c r="AA830" s="271"/>
      <c r="AB830" s="168"/>
      <c r="AC830" s="156"/>
      <c r="AD830" s="156"/>
      <c r="AE830" s="320"/>
      <c r="AF830" s="168"/>
      <c r="AG830" s="156"/>
      <c r="AH830" s="156"/>
      <c r="AI830" s="410"/>
    </row>
    <row r="831" spans="1:35" ht="19.5" customHeight="1">
      <c r="A831" s="137"/>
      <c r="B831" s="197">
        <f t="shared" si="15"/>
        <v>821</v>
      </c>
      <c r="C831" s="30" t="s">
        <v>202</v>
      </c>
      <c r="D831" s="30" t="s">
        <v>225</v>
      </c>
      <c r="E831" s="234" t="s">
        <v>1053</v>
      </c>
      <c r="F831" s="235" t="s">
        <v>1229</v>
      </c>
      <c r="G831" s="284" t="str">
        <f>IFERROR(VLOOKUP(E831,Assign!$C$2:$J$142,8,FALSE),)</f>
        <v>문선영</v>
      </c>
      <c r="H831" s="197" t="s">
        <v>4274</v>
      </c>
      <c r="I831" s="324" t="s">
        <v>4275</v>
      </c>
      <c r="J831" s="237">
        <v>1</v>
      </c>
      <c r="K831" s="237">
        <v>1</v>
      </c>
      <c r="L831" s="265" t="s">
        <v>208</v>
      </c>
      <c r="M831" s="266" t="s">
        <v>301</v>
      </c>
      <c r="N831" s="266" t="s">
        <v>1743</v>
      </c>
      <c r="O831" s="267" t="s">
        <v>1844</v>
      </c>
      <c r="P831" s="268" t="s">
        <v>479</v>
      </c>
      <c r="Q831" s="269">
        <v>69109.600000000006</v>
      </c>
      <c r="R831" s="269">
        <v>84.992000000000004</v>
      </c>
      <c r="S831" s="270"/>
      <c r="T831" s="182">
        <f>58.364/69109.6</f>
        <v>8.4451364209892684E-4</v>
      </c>
      <c r="U831" s="182">
        <v>1</v>
      </c>
      <c r="V831" s="408" t="s">
        <v>229</v>
      </c>
      <c r="W831" s="357" t="s">
        <v>204</v>
      </c>
      <c r="X831" s="156">
        <v>205000000</v>
      </c>
      <c r="Y831" s="156">
        <v>205000000</v>
      </c>
      <c r="Z831" s="418" t="s">
        <v>359</v>
      </c>
      <c r="AA831" s="271"/>
      <c r="AB831" s="168"/>
      <c r="AC831" s="156"/>
      <c r="AD831" s="156"/>
      <c r="AE831" s="320"/>
      <c r="AF831" s="168"/>
      <c r="AG831" s="156"/>
      <c r="AH831" s="156"/>
      <c r="AI831" s="410"/>
    </row>
    <row r="832" spans="1:35" ht="19.5" hidden="1" customHeight="1">
      <c r="A832" s="137"/>
      <c r="B832" s="197">
        <f t="shared" si="15"/>
        <v>822</v>
      </c>
      <c r="C832" s="30" t="s">
        <v>202</v>
      </c>
      <c r="D832" s="30" t="s">
        <v>225</v>
      </c>
      <c r="E832" s="234" t="s">
        <v>1054</v>
      </c>
      <c r="F832" s="235" t="s">
        <v>1251</v>
      </c>
      <c r="G832" s="284">
        <f>IFERROR(VLOOKUP(E832,Assign!$C$2:$J$142,8,FALSE),)</f>
        <v>0</v>
      </c>
      <c r="H832" s="197" t="s">
        <v>4276</v>
      </c>
      <c r="I832" s="324" t="s">
        <v>4277</v>
      </c>
      <c r="J832" s="237">
        <v>1</v>
      </c>
      <c r="K832" s="237">
        <v>1</v>
      </c>
      <c r="L832" s="265" t="s">
        <v>208</v>
      </c>
      <c r="M832" s="266" t="s">
        <v>325</v>
      </c>
      <c r="N832" s="266" t="s">
        <v>1845</v>
      </c>
      <c r="O832" s="267" t="s">
        <v>1846</v>
      </c>
      <c r="P832" s="268" t="s">
        <v>436</v>
      </c>
      <c r="Q832" s="269">
        <v>53639.5</v>
      </c>
      <c r="R832" s="269">
        <v>134.85900000000001</v>
      </c>
      <c r="S832" s="270"/>
      <c r="T832" s="182">
        <f>79.892/53639.5</f>
        <v>1.489424770924412E-3</v>
      </c>
      <c r="U832" s="182">
        <v>1</v>
      </c>
      <c r="V832" s="408">
        <v>2</v>
      </c>
      <c r="W832" s="357" t="s">
        <v>204</v>
      </c>
      <c r="X832" s="156">
        <v>228000000</v>
      </c>
      <c r="Y832" s="156">
        <v>228000000</v>
      </c>
      <c r="Z832" s="418" t="s">
        <v>359</v>
      </c>
      <c r="AA832" s="271">
        <v>1</v>
      </c>
      <c r="AB832" s="168" t="s">
        <v>204</v>
      </c>
      <c r="AC832" s="156">
        <v>592800000</v>
      </c>
      <c r="AD832" s="156">
        <v>592800000</v>
      </c>
      <c r="AE832" s="320"/>
      <c r="AF832" s="168"/>
      <c r="AG832" s="156"/>
      <c r="AH832" s="156"/>
      <c r="AI832" s="410"/>
    </row>
    <row r="833" spans="1:35" ht="19.5" hidden="1" customHeight="1">
      <c r="A833" s="137"/>
      <c r="B833" s="197">
        <f t="shared" si="15"/>
        <v>823</v>
      </c>
      <c r="C833" s="30" t="s">
        <v>202</v>
      </c>
      <c r="D833" s="30" t="s">
        <v>225</v>
      </c>
      <c r="E833" s="234" t="s">
        <v>1055</v>
      </c>
      <c r="F833" s="235" t="s">
        <v>1225</v>
      </c>
      <c r="G833" s="284">
        <f>IFERROR(VLOOKUP(E833,Assign!$C$2:$J$142,8,FALSE),)</f>
        <v>0</v>
      </c>
      <c r="H833" s="197" t="s">
        <v>4336</v>
      </c>
      <c r="I833" s="324" t="s">
        <v>4337</v>
      </c>
      <c r="J833" s="237">
        <v>1</v>
      </c>
      <c r="K833" s="237">
        <v>1</v>
      </c>
      <c r="L833" s="265" t="s">
        <v>208</v>
      </c>
      <c r="M833" s="266" t="s">
        <v>234</v>
      </c>
      <c r="N833" s="266" t="s">
        <v>1898</v>
      </c>
      <c r="O833" s="267" t="s">
        <v>1899</v>
      </c>
      <c r="P833" s="268" t="s">
        <v>3511</v>
      </c>
      <c r="Q833" s="269">
        <f>10600+770+2312+982+21290+15850</f>
        <v>51804</v>
      </c>
      <c r="R833" s="269">
        <v>84.99</v>
      </c>
      <c r="S833" s="270"/>
      <c r="T833" s="182">
        <f>39.998/51803.81</f>
        <v>7.7210537217243288E-4</v>
      </c>
      <c r="U833" s="182">
        <v>1</v>
      </c>
      <c r="V833" s="408">
        <v>1</v>
      </c>
      <c r="W833" s="357" t="s">
        <v>204</v>
      </c>
      <c r="X833" s="156">
        <v>174300000</v>
      </c>
      <c r="Y833" s="156">
        <v>174300000</v>
      </c>
      <c r="Z833" s="418" t="s">
        <v>359</v>
      </c>
      <c r="AA833" s="271"/>
      <c r="AB833" s="168"/>
      <c r="AC833" s="156"/>
      <c r="AD833" s="156"/>
      <c r="AE833" s="320"/>
      <c r="AF833" s="168"/>
      <c r="AG833" s="156"/>
      <c r="AH833" s="156"/>
      <c r="AI833" s="410"/>
    </row>
    <row r="834" spans="1:35" ht="19.5" hidden="1" customHeight="1">
      <c r="A834" s="137"/>
      <c r="B834" s="197">
        <f t="shared" si="15"/>
        <v>824</v>
      </c>
      <c r="C834" s="30" t="s">
        <v>202</v>
      </c>
      <c r="D834" s="30" t="s">
        <v>225</v>
      </c>
      <c r="E834" s="234" t="s">
        <v>1056</v>
      </c>
      <c r="F834" s="235" t="s">
        <v>1229</v>
      </c>
      <c r="G834" s="284">
        <f>IFERROR(VLOOKUP(E834,Assign!$C$2:$J$142,8,FALSE),)</f>
        <v>0</v>
      </c>
      <c r="H834" s="197" t="s">
        <v>4088</v>
      </c>
      <c r="I834" s="324" t="s">
        <v>4089</v>
      </c>
      <c r="J834" s="237">
        <v>1</v>
      </c>
      <c r="K834" s="237">
        <v>1</v>
      </c>
      <c r="L834" s="265" t="s">
        <v>208</v>
      </c>
      <c r="M834" s="266" t="s">
        <v>280</v>
      </c>
      <c r="N834" s="266" t="s">
        <v>323</v>
      </c>
      <c r="O834" s="267" t="s">
        <v>1663</v>
      </c>
      <c r="P834" s="268" t="s">
        <v>1664</v>
      </c>
      <c r="Q834" s="269">
        <v>86267</v>
      </c>
      <c r="R834" s="269">
        <v>79.996600000000001</v>
      </c>
      <c r="S834" s="270"/>
      <c r="T834" s="182">
        <f>44.5768/86267</f>
        <v>5.1673061541493274E-4</v>
      </c>
      <c r="U834" s="182">
        <v>1</v>
      </c>
      <c r="V834" s="408">
        <v>1</v>
      </c>
      <c r="W834" s="357" t="s">
        <v>204</v>
      </c>
      <c r="X834" s="156">
        <v>176500000</v>
      </c>
      <c r="Y834" s="156">
        <v>176500000</v>
      </c>
      <c r="Z834" s="418" t="s">
        <v>359</v>
      </c>
      <c r="AA834" s="271"/>
      <c r="AB834" s="168"/>
      <c r="AC834" s="156"/>
      <c r="AD834" s="156"/>
      <c r="AE834" s="320"/>
      <c r="AF834" s="168"/>
      <c r="AG834" s="156"/>
      <c r="AH834" s="156"/>
      <c r="AI834" s="410"/>
    </row>
    <row r="835" spans="1:35" ht="19.5" hidden="1" customHeight="1">
      <c r="A835" s="137"/>
      <c r="B835" s="197">
        <f t="shared" si="15"/>
        <v>825</v>
      </c>
      <c r="C835" s="30" t="s">
        <v>202</v>
      </c>
      <c r="D835" s="30" t="s">
        <v>225</v>
      </c>
      <c r="E835" s="234" t="s">
        <v>1057</v>
      </c>
      <c r="F835" s="235" t="s">
        <v>1282</v>
      </c>
      <c r="G835" s="284">
        <f>IFERROR(VLOOKUP(E835,Assign!$C$2:$J$142,8,FALSE),)</f>
        <v>0</v>
      </c>
      <c r="H835" s="197" t="s">
        <v>4485</v>
      </c>
      <c r="I835" s="324" t="s">
        <v>4486</v>
      </c>
      <c r="J835" s="237">
        <v>1</v>
      </c>
      <c r="K835" s="237">
        <v>1</v>
      </c>
      <c r="L835" s="265" t="s">
        <v>208</v>
      </c>
      <c r="M835" s="266" t="s">
        <v>324</v>
      </c>
      <c r="N835" s="266" t="s">
        <v>2028</v>
      </c>
      <c r="O835" s="267" t="s">
        <v>2029</v>
      </c>
      <c r="P835" s="268" t="s">
        <v>2030</v>
      </c>
      <c r="Q835" s="269"/>
      <c r="R835" s="269">
        <f>62.73+62.73+20.5</f>
        <v>145.95999999999998</v>
      </c>
      <c r="S835" s="270"/>
      <c r="T835" s="182"/>
      <c r="U835" s="182">
        <v>1</v>
      </c>
      <c r="V835" s="408">
        <v>1</v>
      </c>
      <c r="W835" s="357" t="s">
        <v>204</v>
      </c>
      <c r="X835" s="156">
        <v>192000000</v>
      </c>
      <c r="Y835" s="156">
        <v>192000000</v>
      </c>
      <c r="Z835" s="418" t="s">
        <v>359</v>
      </c>
      <c r="AA835" s="271"/>
      <c r="AB835" s="168"/>
      <c r="AC835" s="156"/>
      <c r="AD835" s="156"/>
      <c r="AE835" s="320"/>
      <c r="AF835" s="168"/>
      <c r="AG835" s="156"/>
      <c r="AH835" s="156"/>
      <c r="AI835" s="410"/>
    </row>
    <row r="836" spans="1:35" ht="19.5" hidden="1" customHeight="1">
      <c r="A836" s="137"/>
      <c r="B836" s="197">
        <f t="shared" si="15"/>
        <v>826</v>
      </c>
      <c r="C836" s="30" t="s">
        <v>202</v>
      </c>
      <c r="D836" s="30" t="s">
        <v>225</v>
      </c>
      <c r="E836" s="234" t="s">
        <v>1057</v>
      </c>
      <c r="F836" s="235" t="s">
        <v>1282</v>
      </c>
      <c r="G836" s="284">
        <f>IFERROR(VLOOKUP(E836,Assign!$C$2:$J$142,8,FALSE),)</f>
        <v>0</v>
      </c>
      <c r="H836" s="197" t="s">
        <v>4485</v>
      </c>
      <c r="I836" s="324" t="s">
        <v>4487</v>
      </c>
      <c r="J836" s="237">
        <v>1</v>
      </c>
      <c r="K836" s="237">
        <v>2</v>
      </c>
      <c r="L836" s="265" t="s">
        <v>208</v>
      </c>
      <c r="M836" s="266" t="s">
        <v>324</v>
      </c>
      <c r="N836" s="266" t="s">
        <v>2028</v>
      </c>
      <c r="O836" s="267" t="s">
        <v>2029</v>
      </c>
      <c r="P836" s="268" t="s">
        <v>450</v>
      </c>
      <c r="Q836" s="269">
        <v>321</v>
      </c>
      <c r="R836" s="269"/>
      <c r="S836" s="270"/>
      <c r="T836" s="182"/>
      <c r="U836" s="182">
        <v>1</v>
      </c>
      <c r="V836" s="408">
        <v>1</v>
      </c>
      <c r="W836" s="357" t="s">
        <v>204</v>
      </c>
      <c r="X836" s="156">
        <v>192000000</v>
      </c>
      <c r="Y836" s="156">
        <v>192000000</v>
      </c>
      <c r="Z836" s="418" t="s">
        <v>359</v>
      </c>
      <c r="AA836" s="271"/>
      <c r="AB836" s="168"/>
      <c r="AC836" s="156"/>
      <c r="AD836" s="156"/>
      <c r="AE836" s="320"/>
      <c r="AF836" s="168"/>
      <c r="AG836" s="156"/>
      <c r="AH836" s="156"/>
      <c r="AI836" s="410"/>
    </row>
    <row r="837" spans="1:35" ht="19.5" hidden="1" customHeight="1">
      <c r="A837" s="137"/>
      <c r="B837" s="197">
        <f t="shared" si="15"/>
        <v>827</v>
      </c>
      <c r="C837" s="30" t="s">
        <v>202</v>
      </c>
      <c r="D837" s="30" t="s">
        <v>225</v>
      </c>
      <c r="E837" s="234" t="s">
        <v>1057</v>
      </c>
      <c r="F837" s="235" t="s">
        <v>1282</v>
      </c>
      <c r="G837" s="284">
        <f>IFERROR(VLOOKUP(E837,Assign!$C$2:$J$142,8,FALSE),)</f>
        <v>0</v>
      </c>
      <c r="H837" s="197" t="s">
        <v>4485</v>
      </c>
      <c r="I837" s="324" t="s">
        <v>4488</v>
      </c>
      <c r="J837" s="237">
        <v>1</v>
      </c>
      <c r="K837" s="237">
        <v>3</v>
      </c>
      <c r="L837" s="265" t="s">
        <v>208</v>
      </c>
      <c r="M837" s="266" t="s">
        <v>324</v>
      </c>
      <c r="N837" s="266" t="s">
        <v>2028</v>
      </c>
      <c r="O837" s="267" t="s">
        <v>2031</v>
      </c>
      <c r="P837" s="268" t="s">
        <v>456</v>
      </c>
      <c r="Q837" s="269">
        <v>520</v>
      </c>
      <c r="R837" s="269"/>
      <c r="S837" s="270"/>
      <c r="T837" s="182"/>
      <c r="U837" s="182">
        <f>19/520</f>
        <v>3.653846153846154E-2</v>
      </c>
      <c r="V837" s="408">
        <v>1</v>
      </c>
      <c r="W837" s="357" t="s">
        <v>204</v>
      </c>
      <c r="X837" s="156">
        <v>192000000</v>
      </c>
      <c r="Y837" s="156">
        <v>192000000</v>
      </c>
      <c r="Z837" s="418" t="s">
        <v>359</v>
      </c>
      <c r="AA837" s="271"/>
      <c r="AB837" s="168"/>
      <c r="AC837" s="156"/>
      <c r="AD837" s="156"/>
      <c r="AE837" s="320"/>
      <c r="AF837" s="168"/>
      <c r="AG837" s="156"/>
      <c r="AH837" s="156"/>
      <c r="AI837" s="410"/>
    </row>
    <row r="838" spans="1:35" ht="19.5" hidden="1" customHeight="1">
      <c r="A838" s="137"/>
      <c r="B838" s="197">
        <f t="shared" si="15"/>
        <v>828</v>
      </c>
      <c r="C838" s="30" t="s">
        <v>202</v>
      </c>
      <c r="D838" s="30" t="s">
        <v>225</v>
      </c>
      <c r="E838" s="234" t="s">
        <v>1057</v>
      </c>
      <c r="F838" s="235" t="s">
        <v>1282</v>
      </c>
      <c r="G838" s="284">
        <f>IFERROR(VLOOKUP(E838,Assign!$C$2:$J$142,8,FALSE),)</f>
        <v>0</v>
      </c>
      <c r="H838" s="197" t="s">
        <v>4485</v>
      </c>
      <c r="I838" s="324" t="s">
        <v>4489</v>
      </c>
      <c r="J838" s="237">
        <v>1</v>
      </c>
      <c r="K838" s="237">
        <v>4</v>
      </c>
      <c r="L838" s="265" t="s">
        <v>208</v>
      </c>
      <c r="M838" s="266" t="s">
        <v>324</v>
      </c>
      <c r="N838" s="266" t="s">
        <v>2028</v>
      </c>
      <c r="O838" s="267" t="s">
        <v>2032</v>
      </c>
      <c r="P838" s="268" t="s">
        <v>456</v>
      </c>
      <c r="Q838" s="269">
        <v>675</v>
      </c>
      <c r="R838" s="269"/>
      <c r="S838" s="270"/>
      <c r="T838" s="182"/>
      <c r="U838" s="182">
        <f>26/675</f>
        <v>3.8518518518518521E-2</v>
      </c>
      <c r="V838" s="408">
        <v>1</v>
      </c>
      <c r="W838" s="357" t="s">
        <v>204</v>
      </c>
      <c r="X838" s="156">
        <v>192000000</v>
      </c>
      <c r="Y838" s="156">
        <v>192000000</v>
      </c>
      <c r="Z838" s="418" t="s">
        <v>359</v>
      </c>
      <c r="AA838" s="271"/>
      <c r="AB838" s="168"/>
      <c r="AC838" s="156"/>
      <c r="AD838" s="156"/>
      <c r="AE838" s="320"/>
      <c r="AF838" s="168"/>
      <c r="AG838" s="156"/>
      <c r="AH838" s="156"/>
      <c r="AI838" s="410"/>
    </row>
    <row r="839" spans="1:35" ht="19.5" hidden="1" customHeight="1">
      <c r="A839" s="137"/>
      <c r="B839" s="197">
        <f t="shared" si="15"/>
        <v>829</v>
      </c>
      <c r="C839" s="30" t="s">
        <v>202</v>
      </c>
      <c r="D839" s="30" t="s">
        <v>225</v>
      </c>
      <c r="E839" s="234" t="s">
        <v>1057</v>
      </c>
      <c r="F839" s="235" t="s">
        <v>1282</v>
      </c>
      <c r="G839" s="284">
        <f>IFERROR(VLOOKUP(E839,Assign!$C$2:$J$142,8,FALSE),)</f>
        <v>0</v>
      </c>
      <c r="H839" s="197" t="s">
        <v>4485</v>
      </c>
      <c r="I839" s="324" t="s">
        <v>4490</v>
      </c>
      <c r="J839" s="237">
        <v>1</v>
      </c>
      <c r="K839" s="237">
        <v>5</v>
      </c>
      <c r="L839" s="265" t="s">
        <v>208</v>
      </c>
      <c r="M839" s="266" t="s">
        <v>324</v>
      </c>
      <c r="N839" s="266" t="s">
        <v>2028</v>
      </c>
      <c r="O839" s="267" t="s">
        <v>2033</v>
      </c>
      <c r="P839" s="268" t="s">
        <v>456</v>
      </c>
      <c r="Q839" s="269">
        <v>105</v>
      </c>
      <c r="R839" s="269"/>
      <c r="S839" s="270"/>
      <c r="T839" s="182"/>
      <c r="U839" s="182">
        <f>35/105</f>
        <v>0.33333333333333331</v>
      </c>
      <c r="V839" s="408">
        <v>1</v>
      </c>
      <c r="W839" s="357" t="s">
        <v>204</v>
      </c>
      <c r="X839" s="156">
        <v>192000000</v>
      </c>
      <c r="Y839" s="156">
        <v>192000000</v>
      </c>
      <c r="Z839" s="418" t="s">
        <v>359</v>
      </c>
      <c r="AA839" s="271"/>
      <c r="AB839" s="168"/>
      <c r="AC839" s="156"/>
      <c r="AD839" s="156"/>
      <c r="AE839" s="320"/>
      <c r="AF839" s="168"/>
      <c r="AG839" s="156"/>
      <c r="AH839" s="156"/>
      <c r="AI839" s="410"/>
    </row>
    <row r="840" spans="1:35" ht="19.5" customHeight="1">
      <c r="A840" s="137"/>
      <c r="B840" s="197">
        <f t="shared" si="15"/>
        <v>830</v>
      </c>
      <c r="C840" s="30" t="s">
        <v>202</v>
      </c>
      <c r="D840" s="30" t="s">
        <v>225</v>
      </c>
      <c r="E840" s="234" t="s">
        <v>1058</v>
      </c>
      <c r="F840" s="235" t="s">
        <v>1229</v>
      </c>
      <c r="G840" s="284" t="str">
        <f>IFERROR(VLOOKUP(E840,Assign!$C$2:$J$142,8,FALSE),)</f>
        <v>문선영</v>
      </c>
      <c r="H840" s="197" t="s">
        <v>4232</v>
      </c>
      <c r="I840" s="324" t="s">
        <v>4233</v>
      </c>
      <c r="J840" s="237">
        <v>1</v>
      </c>
      <c r="K840" s="237">
        <v>1</v>
      </c>
      <c r="L840" s="265" t="s">
        <v>215</v>
      </c>
      <c r="M840" s="266" t="s">
        <v>307</v>
      </c>
      <c r="N840" s="266" t="s">
        <v>415</v>
      </c>
      <c r="O840" s="267" t="s">
        <v>1806</v>
      </c>
      <c r="P840" s="268" t="s">
        <v>3511</v>
      </c>
      <c r="Q840" s="269">
        <v>33068.699999999997</v>
      </c>
      <c r="R840" s="269">
        <v>59.95</v>
      </c>
      <c r="S840" s="270"/>
      <c r="T840" s="182">
        <f>28.918/33068.7</f>
        <v>8.7448251670008202E-4</v>
      </c>
      <c r="U840" s="182">
        <v>1</v>
      </c>
      <c r="V840" s="408" t="s">
        <v>229</v>
      </c>
      <c r="W840" s="357" t="s">
        <v>204</v>
      </c>
      <c r="X840" s="156">
        <v>288000000</v>
      </c>
      <c r="Y840" s="156">
        <v>288000000</v>
      </c>
      <c r="Z840" s="418" t="s">
        <v>359</v>
      </c>
      <c r="AA840" s="271"/>
      <c r="AB840" s="168"/>
      <c r="AC840" s="156"/>
      <c r="AD840" s="156"/>
      <c r="AE840" s="320"/>
      <c r="AF840" s="168"/>
      <c r="AG840" s="156"/>
      <c r="AH840" s="156"/>
      <c r="AI840" s="410"/>
    </row>
    <row r="841" spans="1:35" ht="19.5" hidden="1" customHeight="1">
      <c r="A841" s="137"/>
      <c r="B841" s="197">
        <f t="shared" si="15"/>
        <v>831</v>
      </c>
      <c r="C841" s="30" t="s">
        <v>202</v>
      </c>
      <c r="D841" s="30" t="s">
        <v>225</v>
      </c>
      <c r="E841" s="234" t="s">
        <v>1059</v>
      </c>
      <c r="F841" s="235" t="s">
        <v>1225</v>
      </c>
      <c r="G841" s="284">
        <f>IFERROR(VLOOKUP(E841,Assign!$C$2:$J$142,8,FALSE),)</f>
        <v>0</v>
      </c>
      <c r="H841" s="197" t="s">
        <v>4503</v>
      </c>
      <c r="I841" s="324" t="s">
        <v>4504</v>
      </c>
      <c r="J841" s="237">
        <v>1</v>
      </c>
      <c r="K841" s="237">
        <v>1</v>
      </c>
      <c r="L841" s="265" t="s">
        <v>208</v>
      </c>
      <c r="M841" s="266" t="s">
        <v>234</v>
      </c>
      <c r="N841" s="266" t="s">
        <v>551</v>
      </c>
      <c r="O841" s="267" t="s">
        <v>2046</v>
      </c>
      <c r="P841" s="268" t="s">
        <v>598</v>
      </c>
      <c r="Q841" s="269">
        <v>30439.1</v>
      </c>
      <c r="R841" s="269">
        <v>84.48</v>
      </c>
      <c r="S841" s="270"/>
      <c r="T841" s="182">
        <f>48.62/30439.1</f>
        <v>1.5972876990449783E-3</v>
      </c>
      <c r="U841" s="182">
        <v>1</v>
      </c>
      <c r="V841" s="408">
        <v>1</v>
      </c>
      <c r="W841" s="357" t="s">
        <v>204</v>
      </c>
      <c r="X841" s="156">
        <v>228000000</v>
      </c>
      <c r="Y841" s="156">
        <v>228000000</v>
      </c>
      <c r="Z841" s="418" t="s">
        <v>359</v>
      </c>
      <c r="AA841" s="271"/>
      <c r="AB841" s="168"/>
      <c r="AC841" s="156"/>
      <c r="AD841" s="156"/>
      <c r="AE841" s="320"/>
      <c r="AF841" s="168"/>
      <c r="AG841" s="156"/>
      <c r="AH841" s="156"/>
      <c r="AI841" s="410"/>
    </row>
    <row r="842" spans="1:35" ht="19.5" hidden="1" customHeight="1">
      <c r="A842" s="137"/>
      <c r="B842" s="197">
        <f t="shared" si="15"/>
        <v>832</v>
      </c>
      <c r="C842" s="30" t="s">
        <v>202</v>
      </c>
      <c r="D842" s="30" t="s">
        <v>225</v>
      </c>
      <c r="E842" s="234" t="s">
        <v>1060</v>
      </c>
      <c r="F842" s="235" t="s">
        <v>1229</v>
      </c>
      <c r="G842" s="284">
        <f>IFERROR(VLOOKUP(E842,Assign!$C$2:$J$142,8,FALSE),)</f>
        <v>0</v>
      </c>
      <c r="H842" s="197" t="s">
        <v>4171</v>
      </c>
      <c r="I842" s="324" t="s">
        <v>4172</v>
      </c>
      <c r="J842" s="237">
        <v>1</v>
      </c>
      <c r="K842" s="237">
        <v>1</v>
      </c>
      <c r="L842" s="265" t="s">
        <v>208</v>
      </c>
      <c r="M842" s="266" t="s">
        <v>236</v>
      </c>
      <c r="N842" s="266" t="s">
        <v>1745</v>
      </c>
      <c r="O842" s="267" t="s">
        <v>1746</v>
      </c>
      <c r="P842" s="268" t="s">
        <v>1747</v>
      </c>
      <c r="Q842" s="269">
        <f>1135.8+832.1</f>
        <v>1967.9</v>
      </c>
      <c r="R842" s="269">
        <v>40.86</v>
      </c>
      <c r="S842" s="270"/>
      <c r="T842" s="182">
        <f>5.9905/1967.9</f>
        <v>3.0441079323136337E-3</v>
      </c>
      <c r="U842" s="182">
        <v>1</v>
      </c>
      <c r="V842" s="408">
        <v>1</v>
      </c>
      <c r="W842" s="357" t="s">
        <v>204</v>
      </c>
      <c r="X842" s="156">
        <v>180000000</v>
      </c>
      <c r="Y842" s="156">
        <v>180000000</v>
      </c>
      <c r="Z842" s="418" t="s">
        <v>359</v>
      </c>
      <c r="AA842" s="271"/>
      <c r="AB842" s="168"/>
      <c r="AC842" s="156"/>
      <c r="AD842" s="156"/>
      <c r="AE842" s="320"/>
      <c r="AF842" s="168"/>
      <c r="AG842" s="156"/>
      <c r="AH842" s="156"/>
      <c r="AI842" s="410"/>
    </row>
    <row r="843" spans="1:35" ht="19.5" hidden="1" customHeight="1">
      <c r="A843" s="137"/>
      <c r="B843" s="197">
        <f t="shared" ref="B843:B906" si="16">ROW()-10</f>
        <v>833</v>
      </c>
      <c r="C843" s="30" t="s">
        <v>202</v>
      </c>
      <c r="D843" s="30" t="s">
        <v>225</v>
      </c>
      <c r="E843" s="234" t="s">
        <v>1061</v>
      </c>
      <c r="F843" s="235" t="s">
        <v>1225</v>
      </c>
      <c r="G843" s="284">
        <f>IFERROR(VLOOKUP(E843,Assign!$C$2:$J$142,8,FALSE),)</f>
        <v>0</v>
      </c>
      <c r="H843" s="197" t="s">
        <v>4393</v>
      </c>
      <c r="I843" s="324" t="s">
        <v>4394</v>
      </c>
      <c r="J843" s="237">
        <v>1</v>
      </c>
      <c r="K843" s="237">
        <v>1</v>
      </c>
      <c r="L843" s="265" t="s">
        <v>210</v>
      </c>
      <c r="M843" s="266" t="s">
        <v>232</v>
      </c>
      <c r="N843" s="266" t="s">
        <v>1951</v>
      </c>
      <c r="O843" s="267" t="s">
        <v>1952</v>
      </c>
      <c r="P843" s="268" t="s">
        <v>439</v>
      </c>
      <c r="Q843" s="269">
        <v>59048.800000000003</v>
      </c>
      <c r="R843" s="269">
        <v>134.9</v>
      </c>
      <c r="S843" s="270"/>
      <c r="T843" s="182">
        <f>56.413/59048.8</f>
        <v>9.5536234436601581E-4</v>
      </c>
      <c r="U843" s="182">
        <v>1</v>
      </c>
      <c r="V843" s="408" t="s">
        <v>292</v>
      </c>
      <c r="W843" s="357" t="s">
        <v>204</v>
      </c>
      <c r="X843" s="156">
        <v>180000000</v>
      </c>
      <c r="Y843" s="156">
        <v>180000000</v>
      </c>
      <c r="Z843" s="418" t="s">
        <v>359</v>
      </c>
      <c r="AA843" s="271">
        <v>1</v>
      </c>
      <c r="AB843" s="168" t="s">
        <v>204</v>
      </c>
      <c r="AC843" s="156">
        <v>110000000</v>
      </c>
      <c r="AD843" s="156">
        <v>110000000</v>
      </c>
      <c r="AE843" s="320"/>
      <c r="AF843" s="168"/>
      <c r="AG843" s="156"/>
      <c r="AH843" s="156"/>
      <c r="AI843" s="410"/>
    </row>
    <row r="844" spans="1:35" ht="19.5" customHeight="1">
      <c r="A844" s="137"/>
      <c r="B844" s="197">
        <f t="shared" si="16"/>
        <v>834</v>
      </c>
      <c r="C844" s="30" t="s">
        <v>202</v>
      </c>
      <c r="D844" s="30" t="s">
        <v>225</v>
      </c>
      <c r="E844" s="234" t="s">
        <v>1062</v>
      </c>
      <c r="F844" s="235" t="s">
        <v>1221</v>
      </c>
      <c r="G844" s="284" t="str">
        <f>IFERROR(VLOOKUP(E844,Assign!$C$2:$J$142,8,FALSE),)</f>
        <v>문선영</v>
      </c>
      <c r="H844" s="197" t="s">
        <v>4360</v>
      </c>
      <c r="I844" s="324" t="s">
        <v>4361</v>
      </c>
      <c r="J844" s="237">
        <v>1</v>
      </c>
      <c r="K844" s="237">
        <v>1</v>
      </c>
      <c r="L844" s="265" t="s">
        <v>216</v>
      </c>
      <c r="M844" s="266" t="s">
        <v>277</v>
      </c>
      <c r="N844" s="266" t="s">
        <v>279</v>
      </c>
      <c r="O844" s="267" t="s">
        <v>1918</v>
      </c>
      <c r="P844" s="268" t="s">
        <v>439</v>
      </c>
      <c r="Q844" s="269">
        <v>25282</v>
      </c>
      <c r="R844" s="269">
        <v>73.471800000000002</v>
      </c>
      <c r="S844" s="270"/>
      <c r="T844" s="182">
        <f>39.8749/25282</f>
        <v>1.5772051261767263E-3</v>
      </c>
      <c r="U844" s="182">
        <v>1</v>
      </c>
      <c r="V844" s="408" t="s">
        <v>229</v>
      </c>
      <c r="W844" s="357" t="s">
        <v>204</v>
      </c>
      <c r="X844" s="156">
        <v>194000000</v>
      </c>
      <c r="Y844" s="156">
        <v>194000000</v>
      </c>
      <c r="Z844" s="418" t="s">
        <v>359</v>
      </c>
      <c r="AA844" s="271"/>
      <c r="AB844" s="168"/>
      <c r="AC844" s="156"/>
      <c r="AD844" s="156"/>
      <c r="AE844" s="320"/>
      <c r="AF844" s="168"/>
      <c r="AG844" s="156"/>
      <c r="AH844" s="156"/>
      <c r="AI844" s="410"/>
    </row>
    <row r="845" spans="1:35" ht="19.5" customHeight="1">
      <c r="A845" s="137"/>
      <c r="B845" s="197">
        <f t="shared" si="16"/>
        <v>835</v>
      </c>
      <c r="C845" s="30" t="s">
        <v>202</v>
      </c>
      <c r="D845" s="30" t="s">
        <v>225</v>
      </c>
      <c r="E845" s="234" t="s">
        <v>1063</v>
      </c>
      <c r="F845" s="235" t="s">
        <v>1225</v>
      </c>
      <c r="G845" s="284" t="str">
        <f>IFERROR(VLOOKUP(E845,Assign!$C$2:$J$142,8,FALSE),)</f>
        <v>문선영</v>
      </c>
      <c r="H845" s="197" t="s">
        <v>4670</v>
      </c>
      <c r="I845" s="324" t="s">
        <v>4671</v>
      </c>
      <c r="J845" s="237">
        <v>1</v>
      </c>
      <c r="K845" s="237">
        <v>1</v>
      </c>
      <c r="L845" s="265" t="s">
        <v>213</v>
      </c>
      <c r="M845" s="266" t="s">
        <v>337</v>
      </c>
      <c r="N845" s="266" t="s">
        <v>2206</v>
      </c>
      <c r="O845" s="267" t="s">
        <v>2207</v>
      </c>
      <c r="P845" s="268" t="s">
        <v>2208</v>
      </c>
      <c r="Q845" s="269">
        <v>5876</v>
      </c>
      <c r="R845" s="269">
        <v>84.837999999999994</v>
      </c>
      <c r="S845" s="270"/>
      <c r="T845" s="182">
        <f>11.404/5876</f>
        <v>1.9407760381211709E-3</v>
      </c>
      <c r="U845" s="182">
        <v>1</v>
      </c>
      <c r="V845" s="408">
        <v>1</v>
      </c>
      <c r="W845" s="357" t="s">
        <v>204</v>
      </c>
      <c r="X845" s="156">
        <v>215400000</v>
      </c>
      <c r="Y845" s="156">
        <v>215400000</v>
      </c>
      <c r="Z845" s="418" t="s">
        <v>359</v>
      </c>
      <c r="AA845" s="271"/>
      <c r="AB845" s="168"/>
      <c r="AC845" s="156"/>
      <c r="AD845" s="156"/>
      <c r="AE845" s="320"/>
      <c r="AF845" s="168"/>
      <c r="AG845" s="156"/>
      <c r="AH845" s="156"/>
      <c r="AI845" s="410"/>
    </row>
    <row r="846" spans="1:35" ht="19.5" hidden="1" customHeight="1">
      <c r="A846" s="137"/>
      <c r="B846" s="197">
        <f t="shared" si="16"/>
        <v>836</v>
      </c>
      <c r="C846" s="30" t="s">
        <v>202</v>
      </c>
      <c r="D846" s="30" t="s">
        <v>225</v>
      </c>
      <c r="E846" s="234" t="s">
        <v>1064</v>
      </c>
      <c r="F846" s="235" t="s">
        <v>1225</v>
      </c>
      <c r="G846" s="284">
        <f>IFERROR(VLOOKUP(E846,Assign!$C$2:$J$142,8,FALSE),)</f>
        <v>0</v>
      </c>
      <c r="H846" s="197" t="s">
        <v>4244</v>
      </c>
      <c r="I846" s="324" t="s">
        <v>4245</v>
      </c>
      <c r="J846" s="237">
        <v>1</v>
      </c>
      <c r="K846" s="237">
        <v>1</v>
      </c>
      <c r="L846" s="265" t="s">
        <v>208</v>
      </c>
      <c r="M846" s="266" t="s">
        <v>297</v>
      </c>
      <c r="N846" s="266" t="s">
        <v>1814</v>
      </c>
      <c r="O846" s="267" t="s">
        <v>1815</v>
      </c>
      <c r="P846" s="268" t="s">
        <v>431</v>
      </c>
      <c r="Q846" s="269">
        <f>63386.1+16.2</f>
        <v>63402.299999999996</v>
      </c>
      <c r="R846" s="269">
        <v>161.54900000000001</v>
      </c>
      <c r="S846" s="270"/>
      <c r="T846" s="182">
        <f>98.125/63402.3</f>
        <v>1.5476567884761278E-3</v>
      </c>
      <c r="U846" s="182">
        <v>1</v>
      </c>
      <c r="V846" s="408">
        <v>1</v>
      </c>
      <c r="W846" s="357" t="s">
        <v>204</v>
      </c>
      <c r="X846" s="156">
        <v>172700000</v>
      </c>
      <c r="Y846" s="156">
        <v>172700000</v>
      </c>
      <c r="Z846" s="418" t="s">
        <v>359</v>
      </c>
      <c r="AA846" s="271"/>
      <c r="AB846" s="168"/>
      <c r="AC846" s="156"/>
      <c r="AD846" s="156"/>
      <c r="AE846" s="320"/>
      <c r="AF846" s="168"/>
      <c r="AG846" s="156"/>
      <c r="AH846" s="156"/>
      <c r="AI846" s="410"/>
    </row>
    <row r="847" spans="1:35" ht="19.5" hidden="1" customHeight="1">
      <c r="A847" s="137"/>
      <c r="B847" s="197">
        <f t="shared" si="16"/>
        <v>837</v>
      </c>
      <c r="C847" s="30" t="s">
        <v>202</v>
      </c>
      <c r="D847" s="30" t="s">
        <v>225</v>
      </c>
      <c r="E847" s="234" t="s">
        <v>1065</v>
      </c>
      <c r="F847" s="235" t="s">
        <v>1223</v>
      </c>
      <c r="G847" s="284">
        <f>IFERROR(VLOOKUP(E847,Assign!$C$2:$J$142,8,FALSE),)</f>
        <v>0</v>
      </c>
      <c r="H847" s="197" t="s">
        <v>4661</v>
      </c>
      <c r="I847" s="324" t="s">
        <v>4662</v>
      </c>
      <c r="J847" s="237">
        <v>1</v>
      </c>
      <c r="K847" s="237">
        <v>1</v>
      </c>
      <c r="L847" s="265" t="s">
        <v>212</v>
      </c>
      <c r="M847" s="266" t="s">
        <v>304</v>
      </c>
      <c r="N847" s="266" t="s">
        <v>356</v>
      </c>
      <c r="O847" s="267" t="s">
        <v>2198</v>
      </c>
      <c r="P847" s="268" t="s">
        <v>436</v>
      </c>
      <c r="Q847" s="269">
        <v>26696.3</v>
      </c>
      <c r="R847" s="269">
        <v>59.976900000000001</v>
      </c>
      <c r="S847" s="270"/>
      <c r="T847" s="182">
        <f>33.4363/26696.3</f>
        <v>1.2524694433310984E-3</v>
      </c>
      <c r="U847" s="182">
        <v>1</v>
      </c>
      <c r="V847" s="408">
        <v>1</v>
      </c>
      <c r="W847" s="357" t="s">
        <v>204</v>
      </c>
      <c r="X847" s="156">
        <v>180000000</v>
      </c>
      <c r="Y847" s="156">
        <v>180000000</v>
      </c>
      <c r="Z847" s="418" t="s">
        <v>359</v>
      </c>
      <c r="AA847" s="271"/>
      <c r="AB847" s="168"/>
      <c r="AC847" s="156"/>
      <c r="AD847" s="156"/>
      <c r="AE847" s="320"/>
      <c r="AF847" s="168"/>
      <c r="AG847" s="156"/>
      <c r="AH847" s="156"/>
      <c r="AI847" s="410"/>
    </row>
    <row r="848" spans="1:35" ht="19.5" customHeight="1">
      <c r="A848" s="137"/>
      <c r="B848" s="197">
        <f t="shared" si="16"/>
        <v>838</v>
      </c>
      <c r="C848" s="30" t="s">
        <v>202</v>
      </c>
      <c r="D848" s="30" t="s">
        <v>225</v>
      </c>
      <c r="E848" s="234" t="s">
        <v>1066</v>
      </c>
      <c r="F848" s="235" t="s">
        <v>1217</v>
      </c>
      <c r="G848" s="284" t="str">
        <f>IFERROR(VLOOKUP(E848,Assign!$C$2:$J$142,8,FALSE),)</f>
        <v>문선영</v>
      </c>
      <c r="H848" s="197" t="s">
        <v>4595</v>
      </c>
      <c r="I848" s="324" t="s">
        <v>4596</v>
      </c>
      <c r="J848" s="237">
        <v>1</v>
      </c>
      <c r="K848" s="237">
        <v>1</v>
      </c>
      <c r="L848" s="265" t="s">
        <v>208</v>
      </c>
      <c r="M848" s="266" t="s">
        <v>385</v>
      </c>
      <c r="N848" s="266" t="s">
        <v>2133</v>
      </c>
      <c r="O848" s="267" t="s">
        <v>2134</v>
      </c>
      <c r="P848" s="268" t="s">
        <v>1453</v>
      </c>
      <c r="Q848" s="269">
        <v>327</v>
      </c>
      <c r="R848" s="269">
        <v>67.88</v>
      </c>
      <c r="S848" s="270"/>
      <c r="T848" s="182">
        <f>40.556/327</f>
        <v>0.12402446483180428</v>
      </c>
      <c r="U848" s="182">
        <v>1</v>
      </c>
      <c r="V848" s="408">
        <v>1</v>
      </c>
      <c r="W848" s="357" t="s">
        <v>204</v>
      </c>
      <c r="X848" s="156">
        <v>192000000</v>
      </c>
      <c r="Y848" s="156">
        <v>192000000</v>
      </c>
      <c r="Z848" s="418" t="s">
        <v>359</v>
      </c>
      <c r="AA848" s="271"/>
      <c r="AB848" s="168"/>
      <c r="AC848" s="156"/>
      <c r="AD848" s="156"/>
      <c r="AE848" s="320"/>
      <c r="AF848" s="168"/>
      <c r="AG848" s="156"/>
      <c r="AH848" s="156"/>
      <c r="AI848" s="410"/>
    </row>
    <row r="849" spans="1:35" ht="19.5" hidden="1" customHeight="1">
      <c r="A849" s="137"/>
      <c r="B849" s="197">
        <f t="shared" si="16"/>
        <v>839</v>
      </c>
      <c r="C849" s="30" t="s">
        <v>202</v>
      </c>
      <c r="D849" s="30" t="s">
        <v>225</v>
      </c>
      <c r="E849" s="234" t="s">
        <v>1067</v>
      </c>
      <c r="F849" s="235" t="s">
        <v>1225</v>
      </c>
      <c r="G849" s="284">
        <f>IFERROR(VLOOKUP(E849,Assign!$C$2:$J$142,8,FALSE),)</f>
        <v>0</v>
      </c>
      <c r="H849" s="197" t="s">
        <v>4223</v>
      </c>
      <c r="I849" s="324" t="s">
        <v>4224</v>
      </c>
      <c r="J849" s="237">
        <v>1</v>
      </c>
      <c r="K849" s="237">
        <v>1</v>
      </c>
      <c r="L849" s="265" t="s">
        <v>208</v>
      </c>
      <c r="M849" s="266" t="s">
        <v>316</v>
      </c>
      <c r="N849" s="266" t="s">
        <v>1686</v>
      </c>
      <c r="O849" s="267" t="s">
        <v>1800</v>
      </c>
      <c r="P849" s="268" t="s">
        <v>1463</v>
      </c>
      <c r="Q849" s="269">
        <v>615</v>
      </c>
      <c r="R849" s="269">
        <v>68.010000000000005</v>
      </c>
      <c r="S849" s="270"/>
      <c r="T849" s="182">
        <f>76.875/615</f>
        <v>0.125</v>
      </c>
      <c r="U849" s="182">
        <v>1</v>
      </c>
      <c r="V849" s="408">
        <v>1</v>
      </c>
      <c r="W849" s="357" t="s">
        <v>204</v>
      </c>
      <c r="X849" s="156">
        <v>192000000</v>
      </c>
      <c r="Y849" s="156">
        <v>192000000</v>
      </c>
      <c r="Z849" s="418" t="s">
        <v>359</v>
      </c>
      <c r="AA849" s="271"/>
      <c r="AB849" s="168"/>
      <c r="AC849" s="156"/>
      <c r="AD849" s="156"/>
      <c r="AE849" s="320"/>
      <c r="AF849" s="168"/>
      <c r="AG849" s="156"/>
      <c r="AH849" s="156"/>
      <c r="AI849" s="410"/>
    </row>
    <row r="850" spans="1:35" ht="19.5" hidden="1" customHeight="1">
      <c r="A850" s="137"/>
      <c r="B850" s="197">
        <f t="shared" si="16"/>
        <v>840</v>
      </c>
      <c r="C850" s="30" t="s">
        <v>202</v>
      </c>
      <c r="D850" s="30" t="s">
        <v>225</v>
      </c>
      <c r="E850" s="234" t="s">
        <v>1068</v>
      </c>
      <c r="F850" s="235" t="s">
        <v>1252</v>
      </c>
      <c r="G850" s="284">
        <f>IFERROR(VLOOKUP(E850,Assign!$C$2:$J$142,8,FALSE),)</f>
        <v>0</v>
      </c>
      <c r="H850" s="197" t="s">
        <v>4106</v>
      </c>
      <c r="I850" s="324" t="s">
        <v>4107</v>
      </c>
      <c r="J850" s="237">
        <v>1</v>
      </c>
      <c r="K850" s="237">
        <v>1</v>
      </c>
      <c r="L850" s="265" t="s">
        <v>208</v>
      </c>
      <c r="M850" s="266" t="s">
        <v>259</v>
      </c>
      <c r="N850" s="266" t="s">
        <v>566</v>
      </c>
      <c r="O850" s="267" t="s">
        <v>1683</v>
      </c>
      <c r="P850" s="268" t="s">
        <v>431</v>
      </c>
      <c r="Q850" s="269">
        <v>40744</v>
      </c>
      <c r="R850" s="269">
        <v>84.68</v>
      </c>
      <c r="S850" s="270"/>
      <c r="T850" s="182">
        <f>49.4781/40744</f>
        <v>1.2143653053210289E-3</v>
      </c>
      <c r="U850" s="182">
        <v>1</v>
      </c>
      <c r="V850" s="408" t="s">
        <v>229</v>
      </c>
      <c r="W850" s="357" t="s">
        <v>204</v>
      </c>
      <c r="X850" s="156">
        <v>153230000</v>
      </c>
      <c r="Y850" s="156">
        <v>153230000</v>
      </c>
      <c r="Z850" s="418" t="s">
        <v>359</v>
      </c>
      <c r="AA850" s="271"/>
      <c r="AB850" s="168"/>
      <c r="AC850" s="156"/>
      <c r="AD850" s="156"/>
      <c r="AE850" s="320"/>
      <c r="AF850" s="168"/>
      <c r="AG850" s="156"/>
      <c r="AH850" s="156"/>
      <c r="AI850" s="410"/>
    </row>
    <row r="851" spans="1:35" ht="19.5" hidden="1" customHeight="1">
      <c r="A851" s="137"/>
      <c r="B851" s="197">
        <f t="shared" si="16"/>
        <v>841</v>
      </c>
      <c r="C851" s="30" t="s">
        <v>202</v>
      </c>
      <c r="D851" s="30" t="s">
        <v>225</v>
      </c>
      <c r="E851" s="234" t="s">
        <v>1069</v>
      </c>
      <c r="F851" s="235" t="s">
        <v>1235</v>
      </c>
      <c r="G851" s="284">
        <f>IFERROR(VLOOKUP(E851,Assign!$C$2:$J$142,8,FALSE),)</f>
        <v>0</v>
      </c>
      <c r="H851" s="197" t="s">
        <v>5132</v>
      </c>
      <c r="I851" s="324" t="s">
        <v>5133</v>
      </c>
      <c r="J851" s="237">
        <v>1</v>
      </c>
      <c r="K851" s="237">
        <v>1</v>
      </c>
      <c r="L851" s="265" t="s">
        <v>212</v>
      </c>
      <c r="M851" s="266" t="s">
        <v>389</v>
      </c>
      <c r="N851" s="266" t="s">
        <v>1640</v>
      </c>
      <c r="O851" s="267" t="s">
        <v>2645</v>
      </c>
      <c r="P851" s="268" t="s">
        <v>3055</v>
      </c>
      <c r="Q851" s="269">
        <f>2+331</f>
        <v>333</v>
      </c>
      <c r="R851" s="269">
        <v>58.38</v>
      </c>
      <c r="S851" s="270"/>
      <c r="T851" s="182">
        <f>14.07/333</f>
        <v>4.2252252252252251E-2</v>
      </c>
      <c r="U851" s="182">
        <v>1</v>
      </c>
      <c r="V851" s="408">
        <v>1</v>
      </c>
      <c r="W851" s="357" t="s">
        <v>204</v>
      </c>
      <c r="X851" s="156">
        <v>169200000</v>
      </c>
      <c r="Y851" s="156">
        <v>169200000</v>
      </c>
      <c r="Z851" s="418" t="s">
        <v>359</v>
      </c>
      <c r="AA851" s="271"/>
      <c r="AB851" s="168"/>
      <c r="AC851" s="156"/>
      <c r="AD851" s="156"/>
      <c r="AE851" s="320"/>
      <c r="AF851" s="168"/>
      <c r="AG851" s="156"/>
      <c r="AH851" s="156"/>
      <c r="AI851" s="410"/>
    </row>
    <row r="852" spans="1:35" ht="19.5" hidden="1" customHeight="1">
      <c r="A852" s="137"/>
      <c r="B852" s="197">
        <f t="shared" si="16"/>
        <v>842</v>
      </c>
      <c r="C852" s="30" t="s">
        <v>202</v>
      </c>
      <c r="D852" s="30" t="s">
        <v>225</v>
      </c>
      <c r="E852" s="234" t="s">
        <v>1070</v>
      </c>
      <c r="F852" s="235" t="s">
        <v>1318</v>
      </c>
      <c r="G852" s="284">
        <f>IFERROR(VLOOKUP(E852,Assign!$C$2:$J$142,8,FALSE),)</f>
        <v>0</v>
      </c>
      <c r="H852" s="197" t="s">
        <v>4909</v>
      </c>
      <c r="I852" s="324" t="s">
        <v>4910</v>
      </c>
      <c r="J852" s="237">
        <v>1</v>
      </c>
      <c r="K852" s="237">
        <v>1</v>
      </c>
      <c r="L852" s="265" t="s">
        <v>208</v>
      </c>
      <c r="M852" s="266" t="s">
        <v>365</v>
      </c>
      <c r="N852" s="266" t="s">
        <v>1750</v>
      </c>
      <c r="O852" s="267" t="s">
        <v>2428</v>
      </c>
      <c r="P852" s="268" t="s">
        <v>440</v>
      </c>
      <c r="Q852" s="269">
        <f>216.2+260.8+259.3+206.9</f>
        <v>943.19999999999993</v>
      </c>
      <c r="R852" s="269">
        <v>80.915000000000006</v>
      </c>
      <c r="S852" s="270"/>
      <c r="T852" s="182">
        <f>(8.3755+10.4967+8.752+10.5575)/(206.9+259.3+216.2+260.8)</f>
        <v>4.0481022052586933E-2</v>
      </c>
      <c r="U852" s="182">
        <v>1</v>
      </c>
      <c r="V852" s="408">
        <v>1</v>
      </c>
      <c r="W852" s="357" t="s">
        <v>204</v>
      </c>
      <c r="X852" s="156">
        <v>187200000</v>
      </c>
      <c r="Y852" s="156">
        <v>187200000</v>
      </c>
      <c r="Z852" s="418" t="s">
        <v>359</v>
      </c>
      <c r="AA852" s="271"/>
      <c r="AB852" s="168"/>
      <c r="AC852" s="156"/>
      <c r="AD852" s="156"/>
      <c r="AE852" s="320"/>
      <c r="AF852" s="168"/>
      <c r="AG852" s="156"/>
      <c r="AH852" s="156"/>
      <c r="AI852" s="410"/>
    </row>
    <row r="853" spans="1:35" ht="19.5" hidden="1" customHeight="1">
      <c r="A853" s="137"/>
      <c r="B853" s="197">
        <f t="shared" si="16"/>
        <v>843</v>
      </c>
      <c r="C853" s="30" t="s">
        <v>202</v>
      </c>
      <c r="D853" s="30" t="s">
        <v>225</v>
      </c>
      <c r="E853" s="234" t="s">
        <v>1071</v>
      </c>
      <c r="F853" s="235" t="s">
        <v>1244</v>
      </c>
      <c r="G853" s="284">
        <f>IFERROR(VLOOKUP(E853,Assign!$C$2:$J$142,8,FALSE),)</f>
        <v>0</v>
      </c>
      <c r="H853" s="197" t="s">
        <v>4907</v>
      </c>
      <c r="I853" s="324" t="s">
        <v>4908</v>
      </c>
      <c r="J853" s="237">
        <v>1</v>
      </c>
      <c r="K853" s="237">
        <v>1</v>
      </c>
      <c r="L853" s="265" t="s">
        <v>208</v>
      </c>
      <c r="M853" s="266" t="s">
        <v>280</v>
      </c>
      <c r="N853" s="266" t="s">
        <v>323</v>
      </c>
      <c r="O853" s="267" t="s">
        <v>2426</v>
      </c>
      <c r="P853" s="268" t="s">
        <v>2427</v>
      </c>
      <c r="Q853" s="269">
        <v>29315.599999999999</v>
      </c>
      <c r="R853" s="269">
        <v>79.510800000000003</v>
      </c>
      <c r="S853" s="270"/>
      <c r="T853" s="182">
        <f>50.41/29315.6</f>
        <v>1.7195622808334129E-3</v>
      </c>
      <c r="U853" s="182">
        <v>1</v>
      </c>
      <c r="V853" s="408">
        <v>1</v>
      </c>
      <c r="W853" s="357" t="s">
        <v>204</v>
      </c>
      <c r="X853" s="156">
        <v>181500000</v>
      </c>
      <c r="Y853" s="156">
        <v>181500000</v>
      </c>
      <c r="Z853" s="418" t="s">
        <v>359</v>
      </c>
      <c r="AA853" s="271"/>
      <c r="AB853" s="168"/>
      <c r="AC853" s="156"/>
      <c r="AD853" s="156"/>
      <c r="AE853" s="320"/>
      <c r="AF853" s="168"/>
      <c r="AG853" s="156"/>
      <c r="AH853" s="156"/>
      <c r="AI853" s="410"/>
    </row>
    <row r="854" spans="1:35" ht="19.5" customHeight="1">
      <c r="A854" s="137"/>
      <c r="B854" s="197">
        <f t="shared" si="16"/>
        <v>844</v>
      </c>
      <c r="C854" s="30" t="s">
        <v>202</v>
      </c>
      <c r="D854" s="30" t="s">
        <v>225</v>
      </c>
      <c r="E854" s="234" t="s">
        <v>1072</v>
      </c>
      <c r="F854" s="235" t="s">
        <v>1225</v>
      </c>
      <c r="G854" s="284" t="str">
        <f>IFERROR(VLOOKUP(E854,Assign!$C$2:$J$142,8,FALSE),)</f>
        <v>문선영</v>
      </c>
      <c r="H854" s="197" t="s">
        <v>4749</v>
      </c>
      <c r="I854" s="324" t="s">
        <v>4750</v>
      </c>
      <c r="J854" s="237">
        <v>1</v>
      </c>
      <c r="K854" s="237">
        <v>1</v>
      </c>
      <c r="L854" s="265" t="s">
        <v>212</v>
      </c>
      <c r="M854" s="266" t="s">
        <v>241</v>
      </c>
      <c r="N854" s="266" t="s">
        <v>1678</v>
      </c>
      <c r="O854" s="267" t="s">
        <v>2282</v>
      </c>
      <c r="P854" s="268" t="s">
        <v>3511</v>
      </c>
      <c r="Q854" s="269">
        <f>7831+27815</f>
        <v>35646</v>
      </c>
      <c r="R854" s="269">
        <v>84.87</v>
      </c>
      <c r="S854" s="270"/>
      <c r="T854" s="182">
        <f>35.31/35646</f>
        <v>9.9057397744487462E-4</v>
      </c>
      <c r="U854" s="182">
        <v>1</v>
      </c>
      <c r="V854" s="408" t="s">
        <v>229</v>
      </c>
      <c r="W854" s="357" t="s">
        <v>204</v>
      </c>
      <c r="X854" s="156">
        <v>186900000</v>
      </c>
      <c r="Y854" s="156">
        <v>186900000</v>
      </c>
      <c r="Z854" s="418" t="s">
        <v>359</v>
      </c>
      <c r="AA854" s="271"/>
      <c r="AB854" s="168"/>
      <c r="AC854" s="156"/>
      <c r="AD854" s="156"/>
      <c r="AE854" s="320"/>
      <c r="AF854" s="168"/>
      <c r="AG854" s="156"/>
      <c r="AH854" s="156"/>
      <c r="AI854" s="410"/>
    </row>
    <row r="855" spans="1:35" ht="19.5" hidden="1" customHeight="1">
      <c r="A855" s="137"/>
      <c r="B855" s="197">
        <f t="shared" si="16"/>
        <v>845</v>
      </c>
      <c r="C855" s="30" t="s">
        <v>202</v>
      </c>
      <c r="D855" s="30" t="s">
        <v>225</v>
      </c>
      <c r="E855" s="234" t="s">
        <v>1073</v>
      </c>
      <c r="F855" s="235" t="s">
        <v>1279</v>
      </c>
      <c r="G855" s="284">
        <f>IFERROR(VLOOKUP(E855,Assign!$C$2:$J$142,8,FALSE),)</f>
        <v>0</v>
      </c>
      <c r="H855" s="197" t="s">
        <v>4777</v>
      </c>
      <c r="I855" s="324" t="s">
        <v>4778</v>
      </c>
      <c r="J855" s="237">
        <v>1</v>
      </c>
      <c r="K855" s="237">
        <v>1</v>
      </c>
      <c r="L855" s="265" t="s">
        <v>208</v>
      </c>
      <c r="M855" s="266" t="s">
        <v>242</v>
      </c>
      <c r="N855" s="266" t="s">
        <v>279</v>
      </c>
      <c r="O855" s="267" t="s">
        <v>2308</v>
      </c>
      <c r="P855" s="268" t="s">
        <v>3521</v>
      </c>
      <c r="Q855" s="269">
        <v>45788.800000000003</v>
      </c>
      <c r="R855" s="269">
        <v>59.97</v>
      </c>
      <c r="S855" s="270"/>
      <c r="T855" s="182">
        <f>55.9736/45788.8</f>
        <v>1.2224299391991053E-3</v>
      </c>
      <c r="U855" s="182">
        <v>1</v>
      </c>
      <c r="V855" s="408">
        <v>1</v>
      </c>
      <c r="W855" s="357" t="s">
        <v>204</v>
      </c>
      <c r="X855" s="156">
        <v>153000000</v>
      </c>
      <c r="Y855" s="156">
        <v>153000000</v>
      </c>
      <c r="Z855" s="418" t="s">
        <v>359</v>
      </c>
      <c r="AA855" s="271"/>
      <c r="AB855" s="168"/>
      <c r="AC855" s="156"/>
      <c r="AD855" s="156"/>
      <c r="AE855" s="320"/>
      <c r="AF855" s="168"/>
      <c r="AG855" s="156"/>
      <c r="AH855" s="156"/>
      <c r="AI855" s="410"/>
    </row>
    <row r="856" spans="1:35" ht="19.5" hidden="1" customHeight="1">
      <c r="A856" s="137"/>
      <c r="B856" s="197">
        <f t="shared" si="16"/>
        <v>846</v>
      </c>
      <c r="C856" s="30" t="s">
        <v>202</v>
      </c>
      <c r="D856" s="30" t="s">
        <v>225</v>
      </c>
      <c r="E856" s="234" t="s">
        <v>1074</v>
      </c>
      <c r="F856" s="235" t="s">
        <v>1227</v>
      </c>
      <c r="G856" s="284">
        <f>IFERROR(VLOOKUP(E856,Assign!$C$2:$J$142,8,FALSE),)</f>
        <v>0</v>
      </c>
      <c r="H856" s="197" t="s">
        <v>4611</v>
      </c>
      <c r="I856" s="324" t="s">
        <v>4612</v>
      </c>
      <c r="J856" s="237">
        <v>1</v>
      </c>
      <c r="K856" s="237">
        <v>1</v>
      </c>
      <c r="L856" s="265" t="s">
        <v>209</v>
      </c>
      <c r="M856" s="266" t="s">
        <v>305</v>
      </c>
      <c r="N856" s="266" t="s">
        <v>2147</v>
      </c>
      <c r="O856" s="267" t="s">
        <v>2148</v>
      </c>
      <c r="P856" s="268" t="s">
        <v>2149</v>
      </c>
      <c r="Q856" s="269">
        <f>1918+6.3+45.7</f>
        <v>1970</v>
      </c>
      <c r="R856" s="269">
        <v>66.28</v>
      </c>
      <c r="S856" s="270"/>
      <c r="T856" s="182">
        <f>39.62/1970</f>
        <v>2.0111675126903553E-2</v>
      </c>
      <c r="U856" s="182">
        <v>1</v>
      </c>
      <c r="V856" s="408">
        <v>1</v>
      </c>
      <c r="W856" s="357" t="s">
        <v>204</v>
      </c>
      <c r="X856" s="156">
        <v>182400000</v>
      </c>
      <c r="Y856" s="156">
        <v>182400000</v>
      </c>
      <c r="Z856" s="418" t="s">
        <v>359</v>
      </c>
      <c r="AA856" s="271"/>
      <c r="AB856" s="168"/>
      <c r="AC856" s="156"/>
      <c r="AD856" s="156"/>
      <c r="AE856" s="320"/>
      <c r="AF856" s="168"/>
      <c r="AG856" s="156"/>
      <c r="AH856" s="156"/>
      <c r="AI856" s="410"/>
    </row>
    <row r="857" spans="1:35" ht="19.5" hidden="1" customHeight="1">
      <c r="A857" s="137"/>
      <c r="B857" s="197">
        <f t="shared" si="16"/>
        <v>847</v>
      </c>
      <c r="C857" s="30" t="s">
        <v>202</v>
      </c>
      <c r="D857" s="30" t="s">
        <v>225</v>
      </c>
      <c r="E857" s="234" t="s">
        <v>1075</v>
      </c>
      <c r="F857" s="235" t="s">
        <v>1231</v>
      </c>
      <c r="G857" s="284">
        <f>IFERROR(VLOOKUP(E857,Assign!$C$2:$J$142,8,FALSE),)</f>
        <v>0</v>
      </c>
      <c r="H857" s="197" t="s">
        <v>5281</v>
      </c>
      <c r="I857" s="324" t="s">
        <v>5282</v>
      </c>
      <c r="J857" s="237">
        <v>1</v>
      </c>
      <c r="K857" s="237">
        <v>1</v>
      </c>
      <c r="L857" s="265" t="s">
        <v>208</v>
      </c>
      <c r="M857" s="266" t="s">
        <v>261</v>
      </c>
      <c r="N857" s="266" t="s">
        <v>262</v>
      </c>
      <c r="O857" s="267" t="s">
        <v>2768</v>
      </c>
      <c r="P857" s="268" t="s">
        <v>2769</v>
      </c>
      <c r="Q857" s="269">
        <v>6254.9</v>
      </c>
      <c r="R857" s="269">
        <v>34.4</v>
      </c>
      <c r="S857" s="270"/>
      <c r="T857" s="182">
        <f>13.43/6254.9</f>
        <v>2.1471166605381382E-3</v>
      </c>
      <c r="U857" s="182">
        <v>1</v>
      </c>
      <c r="V857" s="408">
        <v>1</v>
      </c>
      <c r="W857" s="357" t="s">
        <v>204</v>
      </c>
      <c r="X857" s="156">
        <v>156000000</v>
      </c>
      <c r="Y857" s="156">
        <v>156000000</v>
      </c>
      <c r="Z857" s="418" t="s">
        <v>359</v>
      </c>
      <c r="AA857" s="271"/>
      <c r="AB857" s="168"/>
      <c r="AC857" s="156"/>
      <c r="AD857" s="156"/>
      <c r="AE857" s="320"/>
      <c r="AF857" s="168"/>
      <c r="AG857" s="156"/>
      <c r="AH857" s="156"/>
      <c r="AI857" s="410"/>
    </row>
    <row r="858" spans="1:35" ht="19.5" customHeight="1">
      <c r="A858" s="137"/>
      <c r="B858" s="197">
        <f t="shared" si="16"/>
        <v>848</v>
      </c>
      <c r="C858" s="30" t="s">
        <v>202</v>
      </c>
      <c r="D858" s="30" t="s">
        <v>225</v>
      </c>
      <c r="E858" s="234" t="s">
        <v>1076</v>
      </c>
      <c r="F858" s="235" t="s">
        <v>1229</v>
      </c>
      <c r="G858" s="284" t="str">
        <f>IFERROR(VLOOKUP(E858,Assign!$C$2:$J$142,8,FALSE),)</f>
        <v>문선영</v>
      </c>
      <c r="H858" s="197" t="s">
        <v>4221</v>
      </c>
      <c r="I858" s="490" t="s">
        <v>4222</v>
      </c>
      <c r="J858" s="237">
        <v>1</v>
      </c>
      <c r="K858" s="237">
        <v>1</v>
      </c>
      <c r="L858" s="265" t="s">
        <v>208</v>
      </c>
      <c r="M858" s="266" t="s">
        <v>301</v>
      </c>
      <c r="N858" s="266" t="s">
        <v>1798</v>
      </c>
      <c r="O858" s="267" t="s">
        <v>1799</v>
      </c>
      <c r="P858" s="268" t="s">
        <v>3047</v>
      </c>
      <c r="Q858" s="269">
        <v>4556</v>
      </c>
      <c r="R858" s="269">
        <v>31.395</v>
      </c>
      <c r="S858" s="270"/>
      <c r="T858" s="182">
        <f>15.8557/4556</f>
        <v>3.4801799824407376E-3</v>
      </c>
      <c r="U858" s="182">
        <v>1</v>
      </c>
      <c r="V858" s="408">
        <v>1</v>
      </c>
      <c r="W858" s="357" t="s">
        <v>204</v>
      </c>
      <c r="X858" s="156">
        <v>168000000</v>
      </c>
      <c r="Y858" s="156">
        <v>168000000</v>
      </c>
      <c r="Z858" s="418" t="s">
        <v>359</v>
      </c>
      <c r="AA858" s="271"/>
      <c r="AB858" s="168"/>
      <c r="AC858" s="156"/>
      <c r="AD858" s="156"/>
      <c r="AE858" s="320"/>
      <c r="AF858" s="168"/>
      <c r="AG858" s="156"/>
      <c r="AH858" s="156"/>
      <c r="AI858" s="410"/>
    </row>
    <row r="859" spans="1:35" ht="19.5" hidden="1" customHeight="1">
      <c r="A859" s="137"/>
      <c r="B859" s="197">
        <f t="shared" si="16"/>
        <v>849</v>
      </c>
      <c r="C859" s="30" t="s">
        <v>202</v>
      </c>
      <c r="D859" s="30" t="s">
        <v>225</v>
      </c>
      <c r="E859" s="234" t="s">
        <v>1077</v>
      </c>
      <c r="F859" s="235" t="s">
        <v>1231</v>
      </c>
      <c r="G859" s="284">
        <f>IFERROR(VLOOKUP(E859,Assign!$C$2:$J$142,8,FALSE),)</f>
        <v>0</v>
      </c>
      <c r="H859" s="197" t="s">
        <v>4028</v>
      </c>
      <c r="I859" s="324" t="s">
        <v>4029</v>
      </c>
      <c r="J859" s="237">
        <v>1</v>
      </c>
      <c r="K859" s="237">
        <v>1</v>
      </c>
      <c r="L859" s="265" t="s">
        <v>209</v>
      </c>
      <c r="M859" s="266" t="s">
        <v>231</v>
      </c>
      <c r="N859" s="266" t="s">
        <v>1602</v>
      </c>
      <c r="O859" s="267" t="s">
        <v>1603</v>
      </c>
      <c r="P859" s="268" t="s">
        <v>460</v>
      </c>
      <c r="Q859" s="269">
        <v>7909</v>
      </c>
      <c r="R859" s="269">
        <v>79.790000000000006</v>
      </c>
      <c r="S859" s="270"/>
      <c r="T859" s="182">
        <f>44.72/8168</f>
        <v>5.4750244857982369E-3</v>
      </c>
      <c r="U859" s="182">
        <v>1</v>
      </c>
      <c r="V859" s="408">
        <v>1</v>
      </c>
      <c r="W859" s="357" t="s">
        <v>204</v>
      </c>
      <c r="X859" s="156">
        <v>156000000</v>
      </c>
      <c r="Y859" s="156">
        <v>156000000</v>
      </c>
      <c r="Z859" s="418" t="s">
        <v>359</v>
      </c>
      <c r="AA859" s="271"/>
      <c r="AB859" s="168"/>
      <c r="AC859" s="156"/>
      <c r="AD859" s="156"/>
      <c r="AE859" s="320"/>
      <c r="AF859" s="168"/>
      <c r="AG859" s="156"/>
      <c r="AH859" s="156"/>
      <c r="AI859" s="410"/>
    </row>
    <row r="860" spans="1:35" ht="19.5" hidden="1" customHeight="1">
      <c r="A860" s="137"/>
      <c r="B860" s="197">
        <f t="shared" si="16"/>
        <v>850</v>
      </c>
      <c r="C860" s="30" t="s">
        <v>202</v>
      </c>
      <c r="D860" s="30" t="s">
        <v>225</v>
      </c>
      <c r="E860" s="234" t="s">
        <v>1078</v>
      </c>
      <c r="F860" s="235" t="s">
        <v>1217</v>
      </c>
      <c r="G860" s="284">
        <f>IFERROR(VLOOKUP(E860,Assign!$C$2:$J$142,8,FALSE),)</f>
        <v>0</v>
      </c>
      <c r="H860" s="197" t="s">
        <v>4187</v>
      </c>
      <c r="I860" s="324" t="s">
        <v>4188</v>
      </c>
      <c r="J860" s="237">
        <v>1</v>
      </c>
      <c r="K860" s="237">
        <v>1</v>
      </c>
      <c r="L860" s="265" t="s">
        <v>208</v>
      </c>
      <c r="M860" s="266" t="s">
        <v>258</v>
      </c>
      <c r="N860" s="266" t="s">
        <v>1761</v>
      </c>
      <c r="O860" s="267" t="s">
        <v>1762</v>
      </c>
      <c r="P860" s="268" t="s">
        <v>1657</v>
      </c>
      <c r="Q860" s="269">
        <v>58191</v>
      </c>
      <c r="R860" s="269">
        <v>59.988999999999997</v>
      </c>
      <c r="S860" s="270"/>
      <c r="T860" s="182">
        <f>32.852/58191</f>
        <v>5.6455465621831546E-4</v>
      </c>
      <c r="U860" s="182">
        <v>1</v>
      </c>
      <c r="V860" s="408" t="s">
        <v>229</v>
      </c>
      <c r="W860" s="357" t="s">
        <v>204</v>
      </c>
      <c r="X860" s="156">
        <v>174300000</v>
      </c>
      <c r="Y860" s="156">
        <v>174300000</v>
      </c>
      <c r="Z860" s="418" t="s">
        <v>359</v>
      </c>
      <c r="AA860" s="271"/>
      <c r="AB860" s="168"/>
      <c r="AC860" s="156"/>
      <c r="AD860" s="156"/>
      <c r="AE860" s="320"/>
      <c r="AF860" s="168"/>
      <c r="AG860" s="156"/>
      <c r="AH860" s="156"/>
      <c r="AI860" s="410"/>
    </row>
    <row r="861" spans="1:35" ht="19.5" hidden="1" customHeight="1">
      <c r="A861" s="137"/>
      <c r="B861" s="197">
        <f t="shared" si="16"/>
        <v>851</v>
      </c>
      <c r="C861" s="30" t="s">
        <v>202</v>
      </c>
      <c r="D861" s="30" t="s">
        <v>225</v>
      </c>
      <c r="E861" s="234" t="s">
        <v>1079</v>
      </c>
      <c r="F861" s="235" t="s">
        <v>1225</v>
      </c>
      <c r="G861" s="284">
        <f>IFERROR(VLOOKUP(E861,Assign!$C$2:$J$142,8,FALSE),)</f>
        <v>0</v>
      </c>
      <c r="H861" s="197" t="s">
        <v>4432</v>
      </c>
      <c r="I861" s="324" t="s">
        <v>4433</v>
      </c>
      <c r="J861" s="237">
        <v>1</v>
      </c>
      <c r="K861" s="237">
        <v>1</v>
      </c>
      <c r="L861" s="265" t="s">
        <v>221</v>
      </c>
      <c r="M861" s="266" t="s">
        <v>370</v>
      </c>
      <c r="N861" s="266" t="s">
        <v>257</v>
      </c>
      <c r="O861" s="267" t="s">
        <v>1982</v>
      </c>
      <c r="P861" s="268" t="s">
        <v>1657</v>
      </c>
      <c r="Q861" s="269">
        <v>39504</v>
      </c>
      <c r="R861" s="269">
        <v>80.778999999999996</v>
      </c>
      <c r="S861" s="270"/>
      <c r="T861" s="182">
        <f>45.6311/39504</f>
        <v>1.1551007492912112E-3</v>
      </c>
      <c r="U861" s="182">
        <v>1</v>
      </c>
      <c r="V861" s="408">
        <v>1</v>
      </c>
      <c r="W861" s="357" t="s">
        <v>204</v>
      </c>
      <c r="X861" s="156">
        <v>140800000</v>
      </c>
      <c r="Y861" s="156">
        <v>140800000</v>
      </c>
      <c r="Z861" s="418" t="s">
        <v>359</v>
      </c>
      <c r="AA861" s="271"/>
      <c r="AB861" s="168"/>
      <c r="AC861" s="156"/>
      <c r="AD861" s="156"/>
      <c r="AE861" s="320"/>
      <c r="AF861" s="168"/>
      <c r="AG861" s="156"/>
      <c r="AH861" s="156"/>
      <c r="AI861" s="410"/>
    </row>
    <row r="862" spans="1:35" ht="19.5" customHeight="1">
      <c r="A862" s="137"/>
      <c r="B862" s="197">
        <f t="shared" si="16"/>
        <v>852</v>
      </c>
      <c r="C862" s="30" t="s">
        <v>202</v>
      </c>
      <c r="D862" s="30" t="s">
        <v>225</v>
      </c>
      <c r="E862" s="234" t="s">
        <v>1080</v>
      </c>
      <c r="F862" s="235" t="s">
        <v>1232</v>
      </c>
      <c r="G862" s="284" t="str">
        <f>IFERROR(VLOOKUP(E862,Assign!$C$2:$J$142,8,FALSE),)</f>
        <v>문선영</v>
      </c>
      <c r="H862" s="197" t="s">
        <v>5143</v>
      </c>
      <c r="I862" s="490" t="s">
        <v>5144</v>
      </c>
      <c r="J862" s="237">
        <v>1</v>
      </c>
      <c r="K862" s="237">
        <v>1</v>
      </c>
      <c r="L862" s="265" t="s">
        <v>224</v>
      </c>
      <c r="M862" s="266" t="s">
        <v>1458</v>
      </c>
      <c r="N862" s="266" t="s">
        <v>2655</v>
      </c>
      <c r="O862" s="267" t="s">
        <v>2656</v>
      </c>
      <c r="P862" s="268" t="s">
        <v>3527</v>
      </c>
      <c r="Q862" s="269">
        <v>9989.4</v>
      </c>
      <c r="R862" s="269">
        <v>83.738399999999999</v>
      </c>
      <c r="S862" s="270"/>
      <c r="T862" s="182">
        <f>1/72</f>
        <v>1.3888888888888888E-2</v>
      </c>
      <c r="U862" s="182">
        <v>1</v>
      </c>
      <c r="V862" s="408">
        <v>1</v>
      </c>
      <c r="W862" s="357" t="s">
        <v>204</v>
      </c>
      <c r="X862" s="156">
        <v>170400000</v>
      </c>
      <c r="Y862" s="156">
        <v>170400000</v>
      </c>
      <c r="Z862" s="418" t="s">
        <v>359</v>
      </c>
      <c r="AA862" s="271"/>
      <c r="AB862" s="168"/>
      <c r="AC862" s="156"/>
      <c r="AD862" s="156"/>
      <c r="AE862" s="320"/>
      <c r="AF862" s="168"/>
      <c r="AG862" s="156"/>
      <c r="AH862" s="156"/>
      <c r="AI862" s="410"/>
    </row>
    <row r="863" spans="1:35" ht="19.5" hidden="1" customHeight="1">
      <c r="A863" s="137"/>
      <c r="B863" s="197">
        <f t="shared" si="16"/>
        <v>853</v>
      </c>
      <c r="C863" s="30" t="s">
        <v>202</v>
      </c>
      <c r="D863" s="30" t="s">
        <v>225</v>
      </c>
      <c r="E863" s="234" t="s">
        <v>1081</v>
      </c>
      <c r="F863" s="235" t="s">
        <v>1229</v>
      </c>
      <c r="G863" s="284">
        <f>IFERROR(VLOOKUP(E863,Assign!$C$2:$J$142,8,FALSE),)</f>
        <v>0</v>
      </c>
      <c r="H863" s="197" t="s">
        <v>4326</v>
      </c>
      <c r="I863" s="324" t="s">
        <v>4327</v>
      </c>
      <c r="J863" s="237">
        <v>1</v>
      </c>
      <c r="K863" s="237">
        <v>1</v>
      </c>
      <c r="L863" s="265" t="s">
        <v>208</v>
      </c>
      <c r="M863" s="266" t="s">
        <v>228</v>
      </c>
      <c r="N863" s="266" t="s">
        <v>3048</v>
      </c>
      <c r="O863" s="267" t="s">
        <v>3049</v>
      </c>
      <c r="P863" s="268" t="s">
        <v>434</v>
      </c>
      <c r="Q863" s="269">
        <v>31108</v>
      </c>
      <c r="R863" s="269">
        <v>114.4442</v>
      </c>
      <c r="S863" s="270"/>
      <c r="T863" s="182">
        <f>71.5151/31108</f>
        <v>2.2989295358107243E-3</v>
      </c>
      <c r="U863" s="182">
        <v>1</v>
      </c>
      <c r="V863" s="408">
        <v>1</v>
      </c>
      <c r="W863" s="357" t="s">
        <v>204</v>
      </c>
      <c r="X863" s="156">
        <v>194400000</v>
      </c>
      <c r="Y863" s="156">
        <v>194400000</v>
      </c>
      <c r="Z863" s="418" t="s">
        <v>359</v>
      </c>
      <c r="AA863" s="271"/>
      <c r="AB863" s="168"/>
      <c r="AC863" s="156"/>
      <c r="AD863" s="156"/>
      <c r="AE863" s="320"/>
      <c r="AF863" s="168"/>
      <c r="AG863" s="156"/>
      <c r="AH863" s="156"/>
      <c r="AI863" s="410"/>
    </row>
    <row r="864" spans="1:35" ht="19.5" hidden="1" customHeight="1">
      <c r="A864" s="137"/>
      <c r="B864" s="197">
        <f t="shared" si="16"/>
        <v>854</v>
      </c>
      <c r="C864" s="30" t="s">
        <v>202</v>
      </c>
      <c r="D864" s="30" t="s">
        <v>225</v>
      </c>
      <c r="E864" s="234" t="s">
        <v>1082</v>
      </c>
      <c r="F864" s="235" t="s">
        <v>1260</v>
      </c>
      <c r="G864" s="284">
        <f>IFERROR(VLOOKUP(E864,Assign!$C$2:$J$142,8,FALSE),)</f>
        <v>0</v>
      </c>
      <c r="H864" s="197" t="s">
        <v>4493</v>
      </c>
      <c r="I864" s="324" t="s">
        <v>4494</v>
      </c>
      <c r="J864" s="237">
        <v>1</v>
      </c>
      <c r="K864" s="237">
        <v>1</v>
      </c>
      <c r="L864" s="265" t="s">
        <v>214</v>
      </c>
      <c r="M864" s="266" t="s">
        <v>326</v>
      </c>
      <c r="N864" s="266" t="s">
        <v>2036</v>
      </c>
      <c r="O864" s="267" t="s">
        <v>2037</v>
      </c>
      <c r="P864" s="268" t="s">
        <v>449</v>
      </c>
      <c r="Q864" s="269">
        <v>27345.8</v>
      </c>
      <c r="R864" s="269">
        <v>59.917999999999999</v>
      </c>
      <c r="S864" s="270"/>
      <c r="T864" s="182">
        <f>35.2681/27345.8</f>
        <v>1.2897081087406474E-3</v>
      </c>
      <c r="U864" s="182">
        <v>1</v>
      </c>
      <c r="V864" s="408">
        <v>1</v>
      </c>
      <c r="W864" s="357" t="s">
        <v>204</v>
      </c>
      <c r="X864" s="156">
        <v>143000000</v>
      </c>
      <c r="Y864" s="156">
        <v>143000000</v>
      </c>
      <c r="Z864" s="418" t="s">
        <v>359</v>
      </c>
      <c r="AA864" s="271"/>
      <c r="AB864" s="168"/>
      <c r="AC864" s="156"/>
      <c r="AD864" s="156"/>
      <c r="AE864" s="320"/>
      <c r="AF864" s="168"/>
      <c r="AG864" s="156"/>
      <c r="AH864" s="156"/>
      <c r="AI864" s="410"/>
    </row>
    <row r="865" spans="1:35" ht="19.5" hidden="1" customHeight="1">
      <c r="A865" s="137"/>
      <c r="B865" s="197">
        <f t="shared" si="16"/>
        <v>855</v>
      </c>
      <c r="C865" s="30" t="s">
        <v>202</v>
      </c>
      <c r="D865" s="30" t="s">
        <v>225</v>
      </c>
      <c r="E865" s="234" t="s">
        <v>1083</v>
      </c>
      <c r="F865" s="235" t="s">
        <v>1229</v>
      </c>
      <c r="G865" s="284">
        <f>IFERROR(VLOOKUP(E865,Assign!$C$2:$J$142,8,FALSE),)</f>
        <v>0</v>
      </c>
      <c r="H865" s="197" t="s">
        <v>4803</v>
      </c>
      <c r="I865" s="324" t="s">
        <v>4804</v>
      </c>
      <c r="J865" s="237">
        <v>1</v>
      </c>
      <c r="K865" s="237">
        <v>1</v>
      </c>
      <c r="L865" s="265" t="s">
        <v>208</v>
      </c>
      <c r="M865" s="266" t="s">
        <v>250</v>
      </c>
      <c r="N865" s="266" t="s">
        <v>2331</v>
      </c>
      <c r="O865" s="267" t="s">
        <v>2332</v>
      </c>
      <c r="P865" s="268" t="s">
        <v>449</v>
      </c>
      <c r="Q865" s="269">
        <v>43882.7</v>
      </c>
      <c r="R865" s="269">
        <v>84.361599999999996</v>
      </c>
      <c r="S865" s="270"/>
      <c r="T865" s="182">
        <f>58.206/43882.7</f>
        <v>1.3263996973750477E-3</v>
      </c>
      <c r="U865" s="182">
        <v>1</v>
      </c>
      <c r="V865" s="408">
        <v>1</v>
      </c>
      <c r="W865" s="357" t="s">
        <v>204</v>
      </c>
      <c r="X865" s="156">
        <v>168000000</v>
      </c>
      <c r="Y865" s="156">
        <v>168000000</v>
      </c>
      <c r="Z865" s="418" t="s">
        <v>359</v>
      </c>
      <c r="AA865" s="271"/>
      <c r="AB865" s="168"/>
      <c r="AC865" s="156"/>
      <c r="AD865" s="156"/>
      <c r="AE865" s="320"/>
      <c r="AF865" s="168"/>
      <c r="AG865" s="156"/>
      <c r="AH865" s="156"/>
      <c r="AI865" s="410"/>
    </row>
    <row r="866" spans="1:35" ht="19.5" hidden="1" customHeight="1">
      <c r="A866" s="137"/>
      <c r="B866" s="197">
        <f t="shared" si="16"/>
        <v>856</v>
      </c>
      <c r="C866" s="30" t="s">
        <v>202</v>
      </c>
      <c r="D866" s="30" t="s">
        <v>225</v>
      </c>
      <c r="E866" s="234" t="s">
        <v>1084</v>
      </c>
      <c r="F866" s="235" t="s">
        <v>1217</v>
      </c>
      <c r="G866" s="284">
        <f>IFERROR(VLOOKUP(E866,Assign!$C$2:$J$142,8,FALSE),)</f>
        <v>0</v>
      </c>
      <c r="H866" s="197" t="s">
        <v>3974</v>
      </c>
      <c r="I866" s="324" t="s">
        <v>3975</v>
      </c>
      <c r="J866" s="237">
        <v>1</v>
      </c>
      <c r="K866" s="237">
        <v>1</v>
      </c>
      <c r="L866" s="265" t="s">
        <v>208</v>
      </c>
      <c r="M866" s="266" t="s">
        <v>365</v>
      </c>
      <c r="N866" s="266" t="s">
        <v>1551</v>
      </c>
      <c r="O866" s="267" t="s">
        <v>1552</v>
      </c>
      <c r="P866" s="268" t="s">
        <v>1553</v>
      </c>
      <c r="Q866" s="269">
        <v>851</v>
      </c>
      <c r="R866" s="269">
        <v>46.68</v>
      </c>
      <c r="S866" s="270"/>
      <c r="T866" s="182">
        <f>35.215/851</f>
        <v>4.1380728554641602E-2</v>
      </c>
      <c r="U866" s="182">
        <v>1</v>
      </c>
      <c r="V866" s="408">
        <v>1</v>
      </c>
      <c r="W866" s="357" t="s">
        <v>204</v>
      </c>
      <c r="X866" s="156">
        <v>171600000</v>
      </c>
      <c r="Y866" s="156">
        <v>171600000</v>
      </c>
      <c r="Z866" s="418" t="s">
        <v>359</v>
      </c>
      <c r="AA866" s="271"/>
      <c r="AB866" s="168"/>
      <c r="AC866" s="156"/>
      <c r="AD866" s="156"/>
      <c r="AE866" s="320"/>
      <c r="AF866" s="168"/>
      <c r="AG866" s="156"/>
      <c r="AH866" s="156"/>
      <c r="AI866" s="410"/>
    </row>
    <row r="867" spans="1:35" ht="19.5" hidden="1" customHeight="1">
      <c r="A867" s="137"/>
      <c r="B867" s="197">
        <f t="shared" si="16"/>
        <v>857</v>
      </c>
      <c r="C867" s="30" t="s">
        <v>202</v>
      </c>
      <c r="D867" s="30" t="s">
        <v>225</v>
      </c>
      <c r="E867" s="234" t="s">
        <v>1085</v>
      </c>
      <c r="F867" s="235" t="s">
        <v>1218</v>
      </c>
      <c r="G867" s="284">
        <f>IFERROR(VLOOKUP(E867,Assign!$C$2:$J$142,8,FALSE),)</f>
        <v>0</v>
      </c>
      <c r="H867" s="197" t="s">
        <v>4438</v>
      </c>
      <c r="I867" s="324" t="s">
        <v>4439</v>
      </c>
      <c r="J867" s="237">
        <v>1</v>
      </c>
      <c r="K867" s="237">
        <v>1</v>
      </c>
      <c r="L867" s="265" t="s">
        <v>208</v>
      </c>
      <c r="M867" s="266" t="s">
        <v>1987</v>
      </c>
      <c r="N867" s="266" t="s">
        <v>1648</v>
      </c>
      <c r="O867" s="267" t="s">
        <v>1988</v>
      </c>
      <c r="P867" s="268" t="s">
        <v>588</v>
      </c>
      <c r="Q867" s="269">
        <v>882</v>
      </c>
      <c r="R867" s="269">
        <v>66.454999999999998</v>
      </c>
      <c r="S867" s="270"/>
      <c r="T867" s="182">
        <f>110.25/882</f>
        <v>0.125</v>
      </c>
      <c r="U867" s="182">
        <v>1</v>
      </c>
      <c r="V867" s="408">
        <v>1</v>
      </c>
      <c r="W867" s="357" t="s">
        <v>204</v>
      </c>
      <c r="X867" s="156">
        <v>180000000</v>
      </c>
      <c r="Y867" s="156">
        <v>180000000</v>
      </c>
      <c r="Z867" s="418" t="s">
        <v>359</v>
      </c>
      <c r="AA867" s="271"/>
      <c r="AB867" s="168"/>
      <c r="AC867" s="156"/>
      <c r="AD867" s="156"/>
      <c r="AE867" s="320"/>
      <c r="AF867" s="168"/>
      <c r="AG867" s="156"/>
      <c r="AH867" s="156"/>
      <c r="AI867" s="410"/>
    </row>
    <row r="868" spans="1:35" ht="19.5" hidden="1" customHeight="1">
      <c r="A868" s="137"/>
      <c r="B868" s="197">
        <f t="shared" si="16"/>
        <v>858</v>
      </c>
      <c r="C868" s="30" t="s">
        <v>202</v>
      </c>
      <c r="D868" s="30" t="s">
        <v>225</v>
      </c>
      <c r="E868" s="234" t="s">
        <v>1086</v>
      </c>
      <c r="F868" s="235" t="s">
        <v>1221</v>
      </c>
      <c r="G868" s="284">
        <f>IFERROR(VLOOKUP(E868,Assign!$C$2:$J$142,8,FALSE),)</f>
        <v>0</v>
      </c>
      <c r="H868" s="197" t="s">
        <v>5211</v>
      </c>
      <c r="I868" s="324" t="s">
        <v>5212</v>
      </c>
      <c r="J868" s="237">
        <v>1</v>
      </c>
      <c r="K868" s="237">
        <v>1</v>
      </c>
      <c r="L868" s="265" t="s">
        <v>208</v>
      </c>
      <c r="M868" s="266" t="s">
        <v>391</v>
      </c>
      <c r="N868" s="266" t="s">
        <v>2703</v>
      </c>
      <c r="O868" s="267" t="s">
        <v>2704</v>
      </c>
      <c r="P868" s="268" t="s">
        <v>2023</v>
      </c>
      <c r="Q868" s="269">
        <v>42230.400000000001</v>
      </c>
      <c r="R868" s="269">
        <v>84.98</v>
      </c>
      <c r="S868" s="270"/>
      <c r="T868" s="182">
        <f>48.0264/42230.4</f>
        <v>1.1372471016140031E-3</v>
      </c>
      <c r="U868" s="182">
        <v>1</v>
      </c>
      <c r="V868" s="408">
        <v>1</v>
      </c>
      <c r="W868" s="357" t="s">
        <v>204</v>
      </c>
      <c r="X868" s="156">
        <v>137170000</v>
      </c>
      <c r="Y868" s="156">
        <v>137170000</v>
      </c>
      <c r="Z868" s="418" t="s">
        <v>359</v>
      </c>
      <c r="AA868" s="271"/>
      <c r="AB868" s="168"/>
      <c r="AC868" s="156"/>
      <c r="AD868" s="156"/>
      <c r="AE868" s="320"/>
      <c r="AF868" s="168"/>
      <c r="AG868" s="156"/>
      <c r="AH868" s="156"/>
      <c r="AI868" s="410"/>
    </row>
    <row r="869" spans="1:35" ht="19.5" hidden="1" customHeight="1">
      <c r="A869" s="137"/>
      <c r="B869" s="197">
        <f t="shared" si="16"/>
        <v>859</v>
      </c>
      <c r="C869" s="30" t="s">
        <v>202</v>
      </c>
      <c r="D869" s="30" t="s">
        <v>225</v>
      </c>
      <c r="E869" s="234" t="s">
        <v>1087</v>
      </c>
      <c r="F869" s="235" t="s">
        <v>1283</v>
      </c>
      <c r="G869" s="284">
        <f>IFERROR(VLOOKUP(E869,Assign!$C$2:$J$142,8,FALSE),)</f>
        <v>0</v>
      </c>
      <c r="H869" s="197" t="s">
        <v>4847</v>
      </c>
      <c r="I869" s="324" t="s">
        <v>4848</v>
      </c>
      <c r="J869" s="237">
        <v>1</v>
      </c>
      <c r="K869" s="237">
        <v>1</v>
      </c>
      <c r="L869" s="265" t="s">
        <v>214</v>
      </c>
      <c r="M869" s="266" t="s">
        <v>349</v>
      </c>
      <c r="N869" s="266" t="s">
        <v>351</v>
      </c>
      <c r="O869" s="267" t="s">
        <v>2374</v>
      </c>
      <c r="P869" s="268" t="s">
        <v>434</v>
      </c>
      <c r="Q869" s="269">
        <f>1170+1423+803+3495+684+25428+12007+7511+1989+2190+6661+3029</f>
        <v>66390</v>
      </c>
      <c r="R869" s="269">
        <v>84.67</v>
      </c>
      <c r="S869" s="270"/>
      <c r="T869" s="182">
        <f>54.0323/66390</f>
        <v>8.1386202741376716E-4</v>
      </c>
      <c r="U869" s="182">
        <v>1</v>
      </c>
      <c r="V869" s="408">
        <v>1</v>
      </c>
      <c r="W869" s="357" t="s">
        <v>204</v>
      </c>
      <c r="X869" s="156">
        <v>134200000</v>
      </c>
      <c r="Y869" s="156">
        <v>134200000</v>
      </c>
      <c r="Z869" s="418" t="s">
        <v>359</v>
      </c>
      <c r="AA869" s="271"/>
      <c r="AB869" s="168"/>
      <c r="AC869" s="156"/>
      <c r="AD869" s="156"/>
      <c r="AE869" s="320"/>
      <c r="AF869" s="168"/>
      <c r="AG869" s="156"/>
      <c r="AH869" s="156"/>
      <c r="AI869" s="410"/>
    </row>
    <row r="870" spans="1:35" ht="19.5" hidden="1" customHeight="1">
      <c r="A870" s="137"/>
      <c r="B870" s="197">
        <f t="shared" si="16"/>
        <v>860</v>
      </c>
      <c r="C870" s="30" t="s">
        <v>202</v>
      </c>
      <c r="D870" s="30" t="s">
        <v>225</v>
      </c>
      <c r="E870" s="234" t="s">
        <v>1088</v>
      </c>
      <c r="F870" s="235" t="s">
        <v>1266</v>
      </c>
      <c r="G870" s="284">
        <f>IFERROR(VLOOKUP(E870,Assign!$C$2:$J$142,8,FALSE),)</f>
        <v>0</v>
      </c>
      <c r="H870" s="29" t="s">
        <v>3876</v>
      </c>
      <c r="I870" s="359" t="s">
        <v>3877</v>
      </c>
      <c r="J870" s="237">
        <v>1</v>
      </c>
      <c r="K870" s="237">
        <v>1</v>
      </c>
      <c r="L870" s="265" t="s">
        <v>219</v>
      </c>
      <c r="M870" s="266" t="s">
        <v>313</v>
      </c>
      <c r="N870" s="266" t="s">
        <v>1443</v>
      </c>
      <c r="O870" s="267" t="s">
        <v>1444</v>
      </c>
      <c r="P870" s="268" t="s">
        <v>1445</v>
      </c>
      <c r="Q870" s="269">
        <v>24766.2</v>
      </c>
      <c r="R870" s="269">
        <v>95.27</v>
      </c>
      <c r="S870" s="270"/>
      <c r="T870" s="182">
        <f>54.143/24766.2</f>
        <v>2.1861650152223593E-3</v>
      </c>
      <c r="U870" s="182">
        <v>1</v>
      </c>
      <c r="V870" s="408">
        <v>1</v>
      </c>
      <c r="W870" s="357" t="s">
        <v>204</v>
      </c>
      <c r="X870" s="156">
        <v>134200000</v>
      </c>
      <c r="Y870" s="156">
        <v>134200000</v>
      </c>
      <c r="Z870" s="418" t="s">
        <v>3861</v>
      </c>
      <c r="AA870" s="271"/>
      <c r="AB870" s="168"/>
      <c r="AC870" s="156"/>
      <c r="AD870" s="156"/>
      <c r="AE870" s="320"/>
      <c r="AF870" s="168"/>
      <c r="AG870" s="156"/>
      <c r="AH870" s="156"/>
      <c r="AI870" s="410"/>
    </row>
    <row r="871" spans="1:35" ht="19.5" hidden="1" customHeight="1">
      <c r="A871" s="137"/>
      <c r="B871" s="197">
        <f t="shared" si="16"/>
        <v>861</v>
      </c>
      <c r="C871" s="30" t="s">
        <v>202</v>
      </c>
      <c r="D871" s="30" t="s">
        <v>225</v>
      </c>
      <c r="E871" s="234" t="s">
        <v>1089</v>
      </c>
      <c r="F871" s="235" t="s">
        <v>1248</v>
      </c>
      <c r="G871" s="284">
        <f>IFERROR(VLOOKUP(E871,Assign!$C$2:$J$142,8,FALSE),)</f>
        <v>0</v>
      </c>
      <c r="H871" s="197" t="s">
        <v>3980</v>
      </c>
      <c r="I871" s="324" t="s">
        <v>3981</v>
      </c>
      <c r="J871" s="237">
        <v>1</v>
      </c>
      <c r="K871" s="237">
        <v>1</v>
      </c>
      <c r="L871" s="265" t="s">
        <v>208</v>
      </c>
      <c r="M871" s="266" t="s">
        <v>269</v>
      </c>
      <c r="N871" s="266" t="s">
        <v>270</v>
      </c>
      <c r="O871" s="267" t="s">
        <v>1557</v>
      </c>
      <c r="P871" s="268" t="s">
        <v>1558</v>
      </c>
      <c r="Q871" s="269">
        <v>43137.5</v>
      </c>
      <c r="R871" s="269">
        <v>89.081000000000003</v>
      </c>
      <c r="S871" s="270"/>
      <c r="T871" s="182">
        <f>55.9227/43137.5</f>
        <v>1.2963824978267169E-3</v>
      </c>
      <c r="U871" s="182">
        <v>1</v>
      </c>
      <c r="V871" s="408">
        <v>1</v>
      </c>
      <c r="W871" s="357" t="s">
        <v>204</v>
      </c>
      <c r="X871" s="156">
        <v>143000000</v>
      </c>
      <c r="Y871" s="156">
        <v>143000000</v>
      </c>
      <c r="Z871" s="418" t="s">
        <v>359</v>
      </c>
      <c r="AA871" s="271"/>
      <c r="AB871" s="168"/>
      <c r="AC871" s="156"/>
      <c r="AD871" s="156"/>
      <c r="AE871" s="320"/>
      <c r="AF871" s="168"/>
      <c r="AG871" s="156"/>
      <c r="AH871" s="156"/>
      <c r="AI871" s="410"/>
    </row>
    <row r="872" spans="1:35" ht="19.5" customHeight="1">
      <c r="A872" s="137"/>
      <c r="B872" s="197">
        <f t="shared" si="16"/>
        <v>862</v>
      </c>
      <c r="C872" s="30" t="s">
        <v>202</v>
      </c>
      <c r="D872" s="30" t="s">
        <v>225</v>
      </c>
      <c r="E872" s="234" t="s">
        <v>1090</v>
      </c>
      <c r="F872" s="235" t="s">
        <v>1229</v>
      </c>
      <c r="G872" s="284" t="str">
        <f>IFERROR(VLOOKUP(E872,Assign!$C$2:$J$142,8,FALSE),)</f>
        <v>문선영</v>
      </c>
      <c r="H872" s="197" t="s">
        <v>5018</v>
      </c>
      <c r="I872" s="490" t="s">
        <v>5019</v>
      </c>
      <c r="J872" s="237">
        <v>1</v>
      </c>
      <c r="K872" s="237">
        <v>1</v>
      </c>
      <c r="L872" s="265" t="s">
        <v>217</v>
      </c>
      <c r="M872" s="266" t="s">
        <v>406</v>
      </c>
      <c r="N872" s="266" t="s">
        <v>2539</v>
      </c>
      <c r="O872" s="267" t="s">
        <v>2540</v>
      </c>
      <c r="P872" s="268" t="s">
        <v>437</v>
      </c>
      <c r="Q872" s="269">
        <v>23863.7</v>
      </c>
      <c r="R872" s="269">
        <v>84.834500000000006</v>
      </c>
      <c r="S872" s="270"/>
      <c r="T872" s="182">
        <f>54.6702/23863.7</f>
        <v>2.2909356051241006E-3</v>
      </c>
      <c r="U872" s="182">
        <v>1</v>
      </c>
      <c r="V872" s="408">
        <v>1</v>
      </c>
      <c r="W872" s="357" t="s">
        <v>204</v>
      </c>
      <c r="X872" s="156">
        <v>140280000</v>
      </c>
      <c r="Y872" s="156">
        <v>140280000</v>
      </c>
      <c r="Z872" s="418" t="s">
        <v>359</v>
      </c>
      <c r="AA872" s="271"/>
      <c r="AB872" s="168"/>
      <c r="AC872" s="156"/>
      <c r="AD872" s="156"/>
      <c r="AE872" s="320"/>
      <c r="AF872" s="168"/>
      <c r="AG872" s="156"/>
      <c r="AH872" s="156"/>
      <c r="AI872" s="410"/>
    </row>
    <row r="873" spans="1:35" ht="19.5" hidden="1" customHeight="1">
      <c r="A873" s="137"/>
      <c r="B873" s="197">
        <f t="shared" si="16"/>
        <v>863</v>
      </c>
      <c r="C873" s="30" t="s">
        <v>202</v>
      </c>
      <c r="D873" s="30" t="s">
        <v>225</v>
      </c>
      <c r="E873" s="234" t="s">
        <v>1091</v>
      </c>
      <c r="F873" s="235" t="s">
        <v>1226</v>
      </c>
      <c r="G873" s="284">
        <f>IFERROR(VLOOKUP(E873,Assign!$C$2:$J$142,8,FALSE),)</f>
        <v>0</v>
      </c>
      <c r="H873" s="197" t="s">
        <v>4478</v>
      </c>
      <c r="I873" s="324" t="s">
        <v>4479</v>
      </c>
      <c r="J873" s="237">
        <v>1</v>
      </c>
      <c r="K873" s="237">
        <v>1</v>
      </c>
      <c r="L873" s="265" t="s">
        <v>208</v>
      </c>
      <c r="M873" s="266" t="s">
        <v>271</v>
      </c>
      <c r="N873" s="266" t="s">
        <v>1482</v>
      </c>
      <c r="O873" s="267" t="s">
        <v>2022</v>
      </c>
      <c r="P873" s="268" t="s">
        <v>2023</v>
      </c>
      <c r="Q873" s="269">
        <f>2497+184+1864+571</f>
        <v>5116</v>
      </c>
      <c r="R873" s="269">
        <v>148.85</v>
      </c>
      <c r="S873" s="270"/>
      <c r="T873" s="182">
        <f>42.76/5116</f>
        <v>8.3580922595777943E-3</v>
      </c>
      <c r="U873" s="182">
        <v>1</v>
      </c>
      <c r="V873" s="408" t="s">
        <v>229</v>
      </c>
      <c r="W873" s="357" t="s">
        <v>204</v>
      </c>
      <c r="X873" s="156">
        <v>130680000</v>
      </c>
      <c r="Y873" s="156">
        <v>130680000</v>
      </c>
      <c r="Z873" s="418" t="s">
        <v>359</v>
      </c>
      <c r="AA873" s="271"/>
      <c r="AB873" s="168"/>
      <c r="AC873" s="156"/>
      <c r="AD873" s="156"/>
      <c r="AE873" s="320"/>
      <c r="AF873" s="168"/>
      <c r="AG873" s="156"/>
      <c r="AH873" s="156"/>
      <c r="AI873" s="410"/>
    </row>
    <row r="874" spans="1:35" ht="19.5" customHeight="1">
      <c r="A874" s="137"/>
      <c r="B874" s="197">
        <f t="shared" si="16"/>
        <v>864</v>
      </c>
      <c r="C874" s="30" t="s">
        <v>202</v>
      </c>
      <c r="D874" s="30" t="s">
        <v>225</v>
      </c>
      <c r="E874" s="234" t="s">
        <v>1092</v>
      </c>
      <c r="F874" s="235" t="s">
        <v>1229</v>
      </c>
      <c r="G874" s="284" t="str">
        <f>IFERROR(VLOOKUP(E874,Assign!$C$2:$J$142,8,FALSE),)</f>
        <v>문선영</v>
      </c>
      <c r="H874" s="197" t="s">
        <v>4587</v>
      </c>
      <c r="I874" s="490" t="s">
        <v>4588</v>
      </c>
      <c r="J874" s="237">
        <v>1</v>
      </c>
      <c r="K874" s="237">
        <v>1</v>
      </c>
      <c r="L874" s="265" t="s">
        <v>212</v>
      </c>
      <c r="M874" s="266" t="s">
        <v>389</v>
      </c>
      <c r="N874" s="266" t="s">
        <v>1640</v>
      </c>
      <c r="O874" s="267" t="s">
        <v>2125</v>
      </c>
      <c r="P874" s="268" t="s">
        <v>2126</v>
      </c>
      <c r="Q874" s="269">
        <v>373.6</v>
      </c>
      <c r="R874" s="269">
        <v>58.56</v>
      </c>
      <c r="S874" s="270"/>
      <c r="T874" s="182">
        <f>10.281/373.6</f>
        <v>2.7518736616702354E-2</v>
      </c>
      <c r="U874" s="182">
        <v>1</v>
      </c>
      <c r="V874" s="408">
        <v>1</v>
      </c>
      <c r="W874" s="357" t="s">
        <v>204</v>
      </c>
      <c r="X874" s="156">
        <v>168000000</v>
      </c>
      <c r="Y874" s="156">
        <v>168000000</v>
      </c>
      <c r="Z874" s="418" t="s">
        <v>359</v>
      </c>
      <c r="AA874" s="271"/>
      <c r="AB874" s="168"/>
      <c r="AC874" s="156"/>
      <c r="AD874" s="156"/>
      <c r="AE874" s="320"/>
      <c r="AF874" s="168"/>
      <c r="AG874" s="156"/>
      <c r="AH874" s="156"/>
      <c r="AI874" s="410"/>
    </row>
    <row r="875" spans="1:35" ht="19.5" hidden="1" customHeight="1">
      <c r="A875" s="137"/>
      <c r="B875" s="197">
        <f t="shared" si="16"/>
        <v>865</v>
      </c>
      <c r="C875" s="30" t="s">
        <v>202</v>
      </c>
      <c r="D875" s="30" t="s">
        <v>225</v>
      </c>
      <c r="E875" s="234" t="s">
        <v>1093</v>
      </c>
      <c r="F875" s="235" t="s">
        <v>1219</v>
      </c>
      <c r="G875" s="284">
        <f>IFERROR(VLOOKUP(E875,Assign!$C$2:$J$142,8,FALSE),)</f>
        <v>0</v>
      </c>
      <c r="H875" s="197" t="s">
        <v>4011</v>
      </c>
      <c r="I875" s="324" t="s">
        <v>4012</v>
      </c>
      <c r="J875" s="237">
        <v>1</v>
      </c>
      <c r="K875" s="237">
        <v>1</v>
      </c>
      <c r="L875" s="265" t="s">
        <v>208</v>
      </c>
      <c r="M875" s="266" t="s">
        <v>316</v>
      </c>
      <c r="N875" s="266" t="s">
        <v>1585</v>
      </c>
      <c r="O875" s="267" t="s">
        <v>1586</v>
      </c>
      <c r="P875" s="268" t="s">
        <v>1463</v>
      </c>
      <c r="Q875" s="269">
        <f>501+78</f>
        <v>579</v>
      </c>
      <c r="R875" s="269">
        <v>62.52</v>
      </c>
      <c r="S875" s="270"/>
      <c r="T875" s="182">
        <f>71.09/579</f>
        <v>0.12278065630397238</v>
      </c>
      <c r="U875" s="182">
        <v>1</v>
      </c>
      <c r="V875" s="408">
        <v>1</v>
      </c>
      <c r="W875" s="357" t="s">
        <v>204</v>
      </c>
      <c r="X875" s="156">
        <v>130900000</v>
      </c>
      <c r="Y875" s="156">
        <v>130900000</v>
      </c>
      <c r="Z875" s="418" t="s">
        <v>359</v>
      </c>
      <c r="AA875" s="271"/>
      <c r="AB875" s="168"/>
      <c r="AC875" s="156"/>
      <c r="AD875" s="156"/>
      <c r="AE875" s="320"/>
      <c r="AF875" s="168"/>
      <c r="AG875" s="156"/>
      <c r="AH875" s="156"/>
      <c r="AI875" s="410"/>
    </row>
    <row r="876" spans="1:35" ht="19.5" hidden="1" customHeight="1">
      <c r="A876" s="137"/>
      <c r="B876" s="197">
        <f t="shared" si="16"/>
        <v>866</v>
      </c>
      <c r="C876" s="30" t="s">
        <v>202</v>
      </c>
      <c r="D876" s="30" t="s">
        <v>225</v>
      </c>
      <c r="E876" s="234" t="s">
        <v>1094</v>
      </c>
      <c r="F876" s="235" t="s">
        <v>1219</v>
      </c>
      <c r="G876" s="284">
        <f>IFERROR(VLOOKUP(E876,Assign!$C$2:$J$142,8,FALSE),)</f>
        <v>0</v>
      </c>
      <c r="H876" s="197" t="s">
        <v>4837</v>
      </c>
      <c r="I876" s="324" t="s">
        <v>4838</v>
      </c>
      <c r="J876" s="237">
        <v>1</v>
      </c>
      <c r="K876" s="237">
        <v>1</v>
      </c>
      <c r="L876" s="265" t="s">
        <v>208</v>
      </c>
      <c r="M876" s="266" t="s">
        <v>318</v>
      </c>
      <c r="N876" s="266" t="s">
        <v>1939</v>
      </c>
      <c r="O876" s="267" t="s">
        <v>2366</v>
      </c>
      <c r="P876" s="268" t="s">
        <v>2367</v>
      </c>
      <c r="Q876" s="269">
        <f>165.3+100.7+118.8</f>
        <v>384.8</v>
      </c>
      <c r="R876" s="269">
        <v>50.56</v>
      </c>
      <c r="S876" s="270"/>
      <c r="T876" s="182">
        <f>31.49/384.8</f>
        <v>8.1834719334719322E-2</v>
      </c>
      <c r="U876" s="182">
        <v>1</v>
      </c>
      <c r="V876" s="408">
        <v>1</v>
      </c>
      <c r="W876" s="357" t="s">
        <v>204</v>
      </c>
      <c r="X876" s="156">
        <v>158400000</v>
      </c>
      <c r="Y876" s="156">
        <v>158400000</v>
      </c>
      <c r="Z876" s="418" t="s">
        <v>359</v>
      </c>
      <c r="AA876" s="271"/>
      <c r="AB876" s="168"/>
      <c r="AC876" s="156"/>
      <c r="AD876" s="156"/>
      <c r="AE876" s="320"/>
      <c r="AF876" s="168"/>
      <c r="AG876" s="156"/>
      <c r="AH876" s="156"/>
      <c r="AI876" s="410"/>
    </row>
    <row r="877" spans="1:35" ht="19.5" hidden="1" customHeight="1">
      <c r="A877" s="137"/>
      <c r="B877" s="197">
        <f t="shared" si="16"/>
        <v>867</v>
      </c>
      <c r="C877" s="30" t="s">
        <v>202</v>
      </c>
      <c r="D877" s="30" t="s">
        <v>225</v>
      </c>
      <c r="E877" s="234" t="s">
        <v>1095</v>
      </c>
      <c r="F877" s="235" t="s">
        <v>1231</v>
      </c>
      <c r="G877" s="284">
        <f>IFERROR(VLOOKUP(E877,Assign!$C$2:$J$142,8,FALSE),)</f>
        <v>0</v>
      </c>
      <c r="H877" s="197" t="s">
        <v>4465</v>
      </c>
      <c r="I877" s="324" t="s">
        <v>4466</v>
      </c>
      <c r="J877" s="237">
        <v>1</v>
      </c>
      <c r="K877" s="237">
        <v>1</v>
      </c>
      <c r="L877" s="265" t="s">
        <v>208</v>
      </c>
      <c r="M877" s="266" t="s">
        <v>316</v>
      </c>
      <c r="N877" s="266" t="s">
        <v>572</v>
      </c>
      <c r="O877" s="267" t="s">
        <v>2009</v>
      </c>
      <c r="P877" s="268" t="s">
        <v>1958</v>
      </c>
      <c r="Q877" s="269">
        <f>262+93</f>
        <v>355</v>
      </c>
      <c r="R877" s="269">
        <v>76.48</v>
      </c>
      <c r="S877" s="270"/>
      <c r="T877" s="182">
        <f>44.375/355</f>
        <v>0.125</v>
      </c>
      <c r="U877" s="182">
        <v>1</v>
      </c>
      <c r="V877" s="408">
        <v>1</v>
      </c>
      <c r="W877" s="357" t="s">
        <v>204</v>
      </c>
      <c r="X877" s="156">
        <v>146400000</v>
      </c>
      <c r="Y877" s="156">
        <v>146400000</v>
      </c>
      <c r="Z877" s="418" t="s">
        <v>359</v>
      </c>
      <c r="AA877" s="271"/>
      <c r="AB877" s="168"/>
      <c r="AC877" s="156"/>
      <c r="AD877" s="156"/>
      <c r="AE877" s="320"/>
      <c r="AF877" s="168"/>
      <c r="AG877" s="156"/>
      <c r="AH877" s="156"/>
      <c r="AI877" s="410"/>
    </row>
    <row r="878" spans="1:35" ht="19.5" customHeight="1">
      <c r="A878" s="137"/>
      <c r="B878" s="197">
        <f t="shared" si="16"/>
        <v>868</v>
      </c>
      <c r="C878" s="30" t="s">
        <v>202</v>
      </c>
      <c r="D878" s="30" t="s">
        <v>225</v>
      </c>
      <c r="E878" s="234" t="s">
        <v>1096</v>
      </c>
      <c r="F878" s="235" t="s">
        <v>1229</v>
      </c>
      <c r="G878" s="284" t="str">
        <f>IFERROR(VLOOKUP(E878,Assign!$C$2:$J$142,8,FALSE),)</f>
        <v>문선영</v>
      </c>
      <c r="H878" s="197" t="s">
        <v>4040</v>
      </c>
      <c r="I878" s="490" t="s">
        <v>4041</v>
      </c>
      <c r="J878" s="237">
        <v>1</v>
      </c>
      <c r="K878" s="237">
        <v>1</v>
      </c>
      <c r="L878" s="265" t="s">
        <v>208</v>
      </c>
      <c r="M878" s="266" t="s">
        <v>280</v>
      </c>
      <c r="N878" s="266" t="s">
        <v>1615</v>
      </c>
      <c r="O878" s="267" t="s">
        <v>1616</v>
      </c>
      <c r="P878" s="268" t="s">
        <v>1617</v>
      </c>
      <c r="Q878" s="269">
        <v>3172</v>
      </c>
      <c r="R878" s="269">
        <v>67.72</v>
      </c>
      <c r="S878" s="270"/>
      <c r="T878" s="182">
        <f>79.3/3172</f>
        <v>2.4999999999999998E-2</v>
      </c>
      <c r="U878" s="182">
        <v>1</v>
      </c>
      <c r="V878" s="408">
        <v>1</v>
      </c>
      <c r="W878" s="357" t="s">
        <v>204</v>
      </c>
      <c r="X878" s="156">
        <v>156000000</v>
      </c>
      <c r="Y878" s="156">
        <v>156000000</v>
      </c>
      <c r="Z878" s="418" t="s">
        <v>359</v>
      </c>
      <c r="AA878" s="271"/>
      <c r="AB878" s="168"/>
      <c r="AC878" s="156"/>
      <c r="AD878" s="156"/>
      <c r="AE878" s="320"/>
      <c r="AF878" s="168"/>
      <c r="AG878" s="156"/>
      <c r="AH878" s="156"/>
      <c r="AI878" s="410"/>
    </row>
    <row r="879" spans="1:35" ht="19.5" hidden="1" customHeight="1">
      <c r="A879" s="137"/>
      <c r="B879" s="197">
        <f t="shared" si="16"/>
        <v>869</v>
      </c>
      <c r="C879" s="30" t="s">
        <v>202</v>
      </c>
      <c r="D879" s="30" t="s">
        <v>225</v>
      </c>
      <c r="E879" s="234" t="s">
        <v>1097</v>
      </c>
      <c r="F879" s="235" t="s">
        <v>1229</v>
      </c>
      <c r="G879" s="284">
        <f>IFERROR(VLOOKUP(E879,Assign!$C$2:$J$142,8,FALSE),)</f>
        <v>0</v>
      </c>
      <c r="H879" s="197" t="s">
        <v>4334</v>
      </c>
      <c r="I879" s="324" t="s">
        <v>4335</v>
      </c>
      <c r="J879" s="237">
        <v>1</v>
      </c>
      <c r="K879" s="237">
        <v>1</v>
      </c>
      <c r="L879" s="265" t="s">
        <v>208</v>
      </c>
      <c r="M879" s="266" t="s">
        <v>258</v>
      </c>
      <c r="N879" s="266" t="s">
        <v>327</v>
      </c>
      <c r="O879" s="267" t="s">
        <v>1896</v>
      </c>
      <c r="P879" s="268" t="s">
        <v>1897</v>
      </c>
      <c r="Q879" s="269">
        <v>4229.1000000000004</v>
      </c>
      <c r="R879" s="269">
        <v>33.795200000000001</v>
      </c>
      <c r="S879" s="270"/>
      <c r="T879" s="182">
        <f>6.2826/4229.1</f>
        <v>1.4855643044619422E-3</v>
      </c>
      <c r="U879" s="182">
        <v>1</v>
      </c>
      <c r="V879" s="408">
        <v>1</v>
      </c>
      <c r="W879" s="357" t="s">
        <v>204</v>
      </c>
      <c r="X879" s="156">
        <v>156000000</v>
      </c>
      <c r="Y879" s="156">
        <v>156000000</v>
      </c>
      <c r="Z879" s="418" t="s">
        <v>359</v>
      </c>
      <c r="AA879" s="271"/>
      <c r="AB879" s="168"/>
      <c r="AC879" s="156"/>
      <c r="AD879" s="156"/>
      <c r="AE879" s="320"/>
      <c r="AF879" s="168"/>
      <c r="AG879" s="156"/>
      <c r="AH879" s="156"/>
      <c r="AI879" s="410"/>
    </row>
    <row r="880" spans="1:35" ht="19.5" hidden="1" customHeight="1">
      <c r="A880" s="137"/>
      <c r="B880" s="197">
        <f t="shared" si="16"/>
        <v>870</v>
      </c>
      <c r="C880" s="30" t="s">
        <v>202</v>
      </c>
      <c r="D880" s="30" t="s">
        <v>225</v>
      </c>
      <c r="E880" s="234" t="s">
        <v>1098</v>
      </c>
      <c r="F880" s="235" t="s">
        <v>1271</v>
      </c>
      <c r="G880" s="284">
        <f>IFERROR(VLOOKUP(E880,Assign!$C$2:$J$142,8,FALSE),)</f>
        <v>0</v>
      </c>
      <c r="H880" s="29" t="s">
        <v>3892</v>
      </c>
      <c r="I880" s="359" t="s">
        <v>3893</v>
      </c>
      <c r="J880" s="237">
        <v>1</v>
      </c>
      <c r="K880" s="237">
        <v>1</v>
      </c>
      <c r="L880" s="265" t="s">
        <v>224</v>
      </c>
      <c r="M880" s="266" t="s">
        <v>1458</v>
      </c>
      <c r="N880" s="266" t="s">
        <v>1459</v>
      </c>
      <c r="O880" s="267" t="s">
        <v>1460</v>
      </c>
      <c r="P880" s="268" t="s">
        <v>440</v>
      </c>
      <c r="Q880" s="269">
        <v>389</v>
      </c>
      <c r="R880" s="269">
        <v>55.95</v>
      </c>
      <c r="S880" s="270"/>
      <c r="T880" s="182">
        <f>44.5484/389</f>
        <v>0.11452030848329049</v>
      </c>
      <c r="U880" s="182">
        <v>1</v>
      </c>
      <c r="V880" s="408">
        <v>1</v>
      </c>
      <c r="W880" s="357" t="s">
        <v>204</v>
      </c>
      <c r="X880" s="156">
        <v>150000000</v>
      </c>
      <c r="Y880" s="156">
        <v>150000000</v>
      </c>
      <c r="Z880" s="418" t="s">
        <v>359</v>
      </c>
      <c r="AA880" s="271"/>
      <c r="AB880" s="168"/>
      <c r="AC880" s="156"/>
      <c r="AD880" s="156"/>
      <c r="AE880" s="320"/>
      <c r="AF880" s="168"/>
      <c r="AG880" s="156"/>
      <c r="AH880" s="156"/>
      <c r="AI880" s="410"/>
    </row>
    <row r="881" spans="1:35" ht="19.5" hidden="1" customHeight="1">
      <c r="A881" s="137"/>
      <c r="B881" s="197">
        <f t="shared" si="16"/>
        <v>871</v>
      </c>
      <c r="C881" s="30" t="s">
        <v>202</v>
      </c>
      <c r="D881" s="30" t="s">
        <v>225</v>
      </c>
      <c r="E881" s="234" t="s">
        <v>1099</v>
      </c>
      <c r="F881" s="235" t="s">
        <v>1284</v>
      </c>
      <c r="G881" s="284">
        <f>IFERROR(VLOOKUP(E881,Assign!$C$2:$J$142,8,FALSE),)</f>
        <v>0</v>
      </c>
      <c r="H881" s="197" t="s">
        <v>4242</v>
      </c>
      <c r="I881" s="324" t="s">
        <v>4243</v>
      </c>
      <c r="J881" s="237">
        <v>1</v>
      </c>
      <c r="K881" s="237">
        <v>1</v>
      </c>
      <c r="L881" s="265" t="s">
        <v>212</v>
      </c>
      <c r="M881" s="266" t="s">
        <v>309</v>
      </c>
      <c r="N881" s="266" t="s">
        <v>1812</v>
      </c>
      <c r="O881" s="267" t="s">
        <v>1813</v>
      </c>
      <c r="P881" s="268" t="s">
        <v>467</v>
      </c>
      <c r="Q881" s="269">
        <f>18441.9+7208</f>
        <v>25649.9</v>
      </c>
      <c r="R881" s="269">
        <v>59.984999999999999</v>
      </c>
      <c r="S881" s="270"/>
      <c r="T881" s="182">
        <f>32.038/25649.9</f>
        <v>1.2490497038974808E-3</v>
      </c>
      <c r="U881" s="182">
        <v>1</v>
      </c>
      <c r="V881" s="408">
        <v>1</v>
      </c>
      <c r="W881" s="357" t="s">
        <v>204</v>
      </c>
      <c r="X881" s="156">
        <v>159600000</v>
      </c>
      <c r="Y881" s="156">
        <v>159600000</v>
      </c>
      <c r="Z881" s="418" t="s">
        <v>359</v>
      </c>
      <c r="AA881" s="271"/>
      <c r="AB881" s="168"/>
      <c r="AC881" s="156"/>
      <c r="AD881" s="156"/>
      <c r="AE881" s="320"/>
      <c r="AF881" s="168"/>
      <c r="AG881" s="156"/>
      <c r="AH881" s="156"/>
      <c r="AI881" s="410"/>
    </row>
    <row r="882" spans="1:35" ht="19.5" customHeight="1">
      <c r="A882" s="137"/>
      <c r="B882" s="197">
        <f t="shared" si="16"/>
        <v>872</v>
      </c>
      <c r="C882" s="30" t="s">
        <v>202</v>
      </c>
      <c r="D882" s="30" t="s">
        <v>225</v>
      </c>
      <c r="E882" s="234" t="s">
        <v>1100</v>
      </c>
      <c r="F882" s="235" t="s">
        <v>1246</v>
      </c>
      <c r="G882" s="284" t="str">
        <f>IFERROR(VLOOKUP(E882,Assign!$C$2:$J$142,8,FALSE),)</f>
        <v>문선영</v>
      </c>
      <c r="H882" s="197" t="s">
        <v>4397</v>
      </c>
      <c r="I882" s="490" t="s">
        <v>4398</v>
      </c>
      <c r="J882" s="237">
        <v>1</v>
      </c>
      <c r="K882" s="237">
        <v>1</v>
      </c>
      <c r="L882" s="265" t="s">
        <v>213</v>
      </c>
      <c r="M882" s="266" t="s">
        <v>1832</v>
      </c>
      <c r="N882" s="266" t="s">
        <v>260</v>
      </c>
      <c r="O882" s="267" t="s">
        <v>1954</v>
      </c>
      <c r="P882" s="268" t="s">
        <v>1834</v>
      </c>
      <c r="Q882" s="269">
        <v>6054</v>
      </c>
      <c r="R882" s="269">
        <v>24.687899999999999</v>
      </c>
      <c r="S882" s="270"/>
      <c r="T882" s="182">
        <f>8.1302/6054</f>
        <v>1.3429468120251073E-3</v>
      </c>
      <c r="U882" s="182">
        <v>1</v>
      </c>
      <c r="V882" s="408">
        <v>1</v>
      </c>
      <c r="W882" s="357" t="s">
        <v>204</v>
      </c>
      <c r="X882" s="156">
        <v>138000000</v>
      </c>
      <c r="Y882" s="156">
        <v>138000000</v>
      </c>
      <c r="Z882" s="418" t="s">
        <v>359</v>
      </c>
      <c r="AA882" s="271"/>
      <c r="AB882" s="168"/>
      <c r="AC882" s="156"/>
      <c r="AD882" s="156"/>
      <c r="AE882" s="320"/>
      <c r="AF882" s="168"/>
      <c r="AG882" s="156"/>
      <c r="AH882" s="156"/>
      <c r="AI882" s="410"/>
    </row>
    <row r="883" spans="1:35" ht="19.5" customHeight="1">
      <c r="A883" s="137"/>
      <c r="B883" s="197">
        <f t="shared" si="16"/>
        <v>873</v>
      </c>
      <c r="C883" s="30" t="s">
        <v>202</v>
      </c>
      <c r="D883" s="30" t="s">
        <v>225</v>
      </c>
      <c r="E883" s="234" t="s">
        <v>1101</v>
      </c>
      <c r="F883" s="235" t="s">
        <v>1225</v>
      </c>
      <c r="G883" s="284" t="str">
        <f>IFERROR(VLOOKUP(E883,Assign!$C$2:$J$142,8,FALSE),)</f>
        <v>문선영</v>
      </c>
      <c r="H883" s="197" t="s">
        <v>4821</v>
      </c>
      <c r="I883" s="490" t="s">
        <v>4822</v>
      </c>
      <c r="J883" s="237">
        <v>1</v>
      </c>
      <c r="K883" s="237">
        <v>1</v>
      </c>
      <c r="L883" s="265" t="s">
        <v>213</v>
      </c>
      <c r="M883" s="266" t="s">
        <v>256</v>
      </c>
      <c r="N883" s="266" t="s">
        <v>2351</v>
      </c>
      <c r="O883" s="267" t="s">
        <v>2352</v>
      </c>
      <c r="P883" s="268" t="s">
        <v>2353</v>
      </c>
      <c r="Q883" s="269">
        <v>11853.6</v>
      </c>
      <c r="R883" s="269">
        <v>84.916700000000006</v>
      </c>
      <c r="S883" s="270"/>
      <c r="T883" s="182">
        <f>25.6048/11853.6</f>
        <v>2.1600863872578793E-3</v>
      </c>
      <c r="U883" s="182">
        <v>1</v>
      </c>
      <c r="V883" s="408">
        <v>1</v>
      </c>
      <c r="W883" s="357" t="s">
        <v>204</v>
      </c>
      <c r="X883" s="156">
        <v>132000000</v>
      </c>
      <c r="Y883" s="156">
        <v>132000000</v>
      </c>
      <c r="Z883" s="418" t="s">
        <v>359</v>
      </c>
      <c r="AA883" s="271"/>
      <c r="AB883" s="168"/>
      <c r="AC883" s="156"/>
      <c r="AD883" s="156"/>
      <c r="AE883" s="320"/>
      <c r="AF883" s="168"/>
      <c r="AG883" s="156"/>
      <c r="AH883" s="156"/>
      <c r="AI883" s="410"/>
    </row>
    <row r="884" spans="1:35" ht="19.5" hidden="1" customHeight="1">
      <c r="A884" s="137"/>
      <c r="B884" s="197">
        <f t="shared" si="16"/>
        <v>874</v>
      </c>
      <c r="C884" s="30" t="s">
        <v>202</v>
      </c>
      <c r="D884" s="30" t="s">
        <v>225</v>
      </c>
      <c r="E884" s="234" t="s">
        <v>1102</v>
      </c>
      <c r="F884" s="235" t="s">
        <v>1229</v>
      </c>
      <c r="G884" s="284">
        <f>IFERROR(VLOOKUP(E884,Assign!$C$2:$J$142,8,FALSE),)</f>
        <v>0</v>
      </c>
      <c r="H884" s="197" t="s">
        <v>4217</v>
      </c>
      <c r="I884" s="324" t="s">
        <v>4218</v>
      </c>
      <c r="J884" s="237">
        <v>1</v>
      </c>
      <c r="K884" s="237">
        <v>1</v>
      </c>
      <c r="L884" s="265" t="s">
        <v>208</v>
      </c>
      <c r="M884" s="266" t="s">
        <v>318</v>
      </c>
      <c r="N884" s="266" t="s">
        <v>257</v>
      </c>
      <c r="O884" s="267" t="s">
        <v>1795</v>
      </c>
      <c r="P884" s="268" t="s">
        <v>1796</v>
      </c>
      <c r="Q884" s="269">
        <f>1121+1137.3+1137.2+1120.7</f>
        <v>4516.2</v>
      </c>
      <c r="R884" s="269">
        <v>115.2</v>
      </c>
      <c r="S884" s="270"/>
      <c r="T884" s="182">
        <f>13.51/4516.2</f>
        <v>2.9914529914529917E-3</v>
      </c>
      <c r="U884" s="182">
        <v>1</v>
      </c>
      <c r="V884" s="408">
        <v>1</v>
      </c>
      <c r="W884" s="357" t="s">
        <v>204</v>
      </c>
      <c r="X884" s="156">
        <v>294000000</v>
      </c>
      <c r="Y884" s="156">
        <v>294000000</v>
      </c>
      <c r="Z884" s="418" t="s">
        <v>359</v>
      </c>
      <c r="AA884" s="271"/>
      <c r="AB884" s="168"/>
      <c r="AC884" s="156"/>
      <c r="AD884" s="156"/>
      <c r="AE884" s="320"/>
      <c r="AF884" s="168"/>
      <c r="AG884" s="156"/>
      <c r="AH884" s="156"/>
      <c r="AI884" s="410"/>
    </row>
    <row r="885" spans="1:35" ht="19.5" customHeight="1">
      <c r="A885" s="137"/>
      <c r="B885" s="197">
        <f t="shared" si="16"/>
        <v>875</v>
      </c>
      <c r="C885" s="30" t="s">
        <v>202</v>
      </c>
      <c r="D885" s="30" t="s">
        <v>225</v>
      </c>
      <c r="E885" s="234" t="s">
        <v>1103</v>
      </c>
      <c r="F885" s="235" t="s">
        <v>1232</v>
      </c>
      <c r="G885" s="284" t="str">
        <f>IFERROR(VLOOKUP(E885,Assign!$C$2:$J$142,8,FALSE),)</f>
        <v>문선영</v>
      </c>
      <c r="H885" s="197" t="s">
        <v>4264</v>
      </c>
      <c r="I885" s="490" t="s">
        <v>4265</v>
      </c>
      <c r="J885" s="237">
        <v>1</v>
      </c>
      <c r="K885" s="237">
        <v>1</v>
      </c>
      <c r="L885" s="265" t="s">
        <v>213</v>
      </c>
      <c r="M885" s="266" t="s">
        <v>1832</v>
      </c>
      <c r="N885" s="266" t="s">
        <v>260</v>
      </c>
      <c r="O885" s="267" t="s">
        <v>1833</v>
      </c>
      <c r="P885" s="268" t="s">
        <v>1834</v>
      </c>
      <c r="Q885" s="269">
        <v>6054</v>
      </c>
      <c r="R885" s="269">
        <v>21.454000000000001</v>
      </c>
      <c r="S885" s="270"/>
      <c r="T885" s="182">
        <f>7.0653/6054</f>
        <v>1.1670465807730426E-3</v>
      </c>
      <c r="U885" s="182">
        <v>1</v>
      </c>
      <c r="V885" s="408">
        <v>1</v>
      </c>
      <c r="W885" s="357" t="s">
        <v>204</v>
      </c>
      <c r="X885" s="156">
        <v>132000000</v>
      </c>
      <c r="Y885" s="156">
        <v>132000000</v>
      </c>
      <c r="Z885" s="418" t="s">
        <v>359</v>
      </c>
      <c r="AA885" s="271"/>
      <c r="AB885" s="168"/>
      <c r="AC885" s="156"/>
      <c r="AD885" s="156"/>
      <c r="AE885" s="320"/>
      <c r="AF885" s="168"/>
      <c r="AG885" s="156"/>
      <c r="AH885" s="156"/>
      <c r="AI885" s="410"/>
    </row>
    <row r="886" spans="1:35" ht="19.5" hidden="1" customHeight="1">
      <c r="A886" s="137"/>
      <c r="B886" s="197">
        <f t="shared" si="16"/>
        <v>876</v>
      </c>
      <c r="C886" s="30" t="s">
        <v>202</v>
      </c>
      <c r="D886" s="30" t="s">
        <v>225</v>
      </c>
      <c r="E886" s="234" t="s">
        <v>1104</v>
      </c>
      <c r="F886" s="235" t="s">
        <v>1285</v>
      </c>
      <c r="G886" s="284">
        <f>IFERROR(VLOOKUP(E886,Assign!$C$2:$J$142,8,FALSE),)</f>
        <v>0</v>
      </c>
      <c r="H886" s="197" t="s">
        <v>4262</v>
      </c>
      <c r="I886" s="324" t="s">
        <v>4263</v>
      </c>
      <c r="J886" s="237">
        <v>1</v>
      </c>
      <c r="K886" s="237">
        <v>1</v>
      </c>
      <c r="L886" s="265" t="s">
        <v>208</v>
      </c>
      <c r="M886" s="266" t="s">
        <v>316</v>
      </c>
      <c r="N886" s="266" t="s">
        <v>1830</v>
      </c>
      <c r="O886" s="267" t="s">
        <v>1831</v>
      </c>
      <c r="P886" s="268" t="s">
        <v>588</v>
      </c>
      <c r="Q886" s="269">
        <v>661</v>
      </c>
      <c r="R886" s="269">
        <v>50.77</v>
      </c>
      <c r="S886" s="270"/>
      <c r="T886" s="182">
        <f>59.9535/661</f>
        <v>9.0701210287443268E-2</v>
      </c>
      <c r="U886" s="182">
        <v>1</v>
      </c>
      <c r="V886" s="408">
        <v>1</v>
      </c>
      <c r="W886" s="357" t="s">
        <v>204</v>
      </c>
      <c r="X886" s="156">
        <v>136800000</v>
      </c>
      <c r="Y886" s="156">
        <v>136800000</v>
      </c>
      <c r="Z886" s="418" t="s">
        <v>359</v>
      </c>
      <c r="AA886" s="271"/>
      <c r="AB886" s="168"/>
      <c r="AC886" s="156"/>
      <c r="AD886" s="156"/>
      <c r="AE886" s="320"/>
      <c r="AF886" s="168"/>
      <c r="AG886" s="156"/>
      <c r="AH886" s="156"/>
      <c r="AI886" s="410"/>
    </row>
    <row r="887" spans="1:35" ht="19.5" hidden="1" customHeight="1">
      <c r="A887" s="137"/>
      <c r="B887" s="197">
        <f t="shared" si="16"/>
        <v>877</v>
      </c>
      <c r="C887" s="30" t="s">
        <v>202</v>
      </c>
      <c r="D887" s="30" t="s">
        <v>225</v>
      </c>
      <c r="E887" s="234" t="s">
        <v>1105</v>
      </c>
      <c r="F887" s="235" t="s">
        <v>1219</v>
      </c>
      <c r="G887" s="284">
        <f>IFERROR(VLOOKUP(E887,Assign!$C$2:$J$142,8,FALSE),)</f>
        <v>0</v>
      </c>
      <c r="H887" s="197" t="s">
        <v>4403</v>
      </c>
      <c r="I887" s="324" t="s">
        <v>4404</v>
      </c>
      <c r="J887" s="237">
        <v>1</v>
      </c>
      <c r="K887" s="237">
        <v>1</v>
      </c>
      <c r="L887" s="265" t="s">
        <v>209</v>
      </c>
      <c r="M887" s="266" t="s">
        <v>319</v>
      </c>
      <c r="N887" s="266" t="s">
        <v>1885</v>
      </c>
      <c r="O887" s="267" t="s">
        <v>1957</v>
      </c>
      <c r="P887" s="268" t="s">
        <v>1958</v>
      </c>
      <c r="Q887" s="269">
        <v>357.6</v>
      </c>
      <c r="R887" s="269">
        <v>65.78</v>
      </c>
      <c r="S887" s="270"/>
      <c r="T887" s="182">
        <f>39.8/357.6</f>
        <v>0.11129753914988813</v>
      </c>
      <c r="U887" s="182">
        <v>1</v>
      </c>
      <c r="V887" s="408" t="s">
        <v>229</v>
      </c>
      <c r="W887" s="357" t="s">
        <v>204</v>
      </c>
      <c r="X887" s="156">
        <v>147600000</v>
      </c>
      <c r="Y887" s="156">
        <v>147600000</v>
      </c>
      <c r="Z887" s="418" t="s">
        <v>359</v>
      </c>
      <c r="AA887" s="271"/>
      <c r="AB887" s="168"/>
      <c r="AC887" s="156"/>
      <c r="AD887" s="156"/>
      <c r="AE887" s="320"/>
      <c r="AF887" s="168"/>
      <c r="AG887" s="156"/>
      <c r="AH887" s="156"/>
      <c r="AI887" s="410"/>
    </row>
    <row r="888" spans="1:35" ht="19.5" customHeight="1">
      <c r="A888" s="137"/>
      <c r="B888" s="197">
        <f t="shared" si="16"/>
        <v>878</v>
      </c>
      <c r="C888" s="30" t="s">
        <v>202</v>
      </c>
      <c r="D888" s="30" t="s">
        <v>225</v>
      </c>
      <c r="E888" s="234" t="s">
        <v>1106</v>
      </c>
      <c r="F888" s="235" t="s">
        <v>1226</v>
      </c>
      <c r="G888" s="284" t="str">
        <f>IFERROR(VLOOKUP(E888,Assign!$C$2:$J$142,8,FALSE),)</f>
        <v>문선영</v>
      </c>
      <c r="H888" s="197" t="s">
        <v>5086</v>
      </c>
      <c r="I888" s="490" t="s">
        <v>5087</v>
      </c>
      <c r="J888" s="237">
        <v>1</v>
      </c>
      <c r="K888" s="237">
        <v>1</v>
      </c>
      <c r="L888" s="265" t="s">
        <v>208</v>
      </c>
      <c r="M888" s="266" t="s">
        <v>250</v>
      </c>
      <c r="N888" s="266" t="s">
        <v>417</v>
      </c>
      <c r="O888" s="267" t="s">
        <v>2600</v>
      </c>
      <c r="P888" s="268" t="s">
        <v>3531</v>
      </c>
      <c r="Q888" s="269">
        <f>102+302+62</f>
        <v>466</v>
      </c>
      <c r="R888" s="269">
        <v>51.93</v>
      </c>
      <c r="S888" s="270"/>
      <c r="T888" s="182">
        <f>43.256/466</f>
        <v>9.2824034334763952E-2</v>
      </c>
      <c r="U888" s="182">
        <v>1</v>
      </c>
      <c r="V888" s="408">
        <v>1</v>
      </c>
      <c r="W888" s="357" t="s">
        <v>204</v>
      </c>
      <c r="X888" s="156">
        <v>144000000</v>
      </c>
      <c r="Y888" s="156">
        <v>144000000</v>
      </c>
      <c r="Z888" s="418" t="s">
        <v>359</v>
      </c>
      <c r="AA888" s="271"/>
      <c r="AB888" s="168"/>
      <c r="AC888" s="156"/>
      <c r="AD888" s="156"/>
      <c r="AE888" s="320"/>
      <c r="AF888" s="168"/>
      <c r="AG888" s="156"/>
      <c r="AH888" s="156"/>
      <c r="AI888" s="410"/>
    </row>
    <row r="889" spans="1:35" ht="19.5" hidden="1" customHeight="1">
      <c r="A889" s="137"/>
      <c r="B889" s="197">
        <f t="shared" si="16"/>
        <v>879</v>
      </c>
      <c r="C889" s="30" t="s">
        <v>202</v>
      </c>
      <c r="D889" s="30" t="s">
        <v>225</v>
      </c>
      <c r="E889" s="234" t="s">
        <v>1107</v>
      </c>
      <c r="F889" s="235" t="s">
        <v>1225</v>
      </c>
      <c r="G889" s="284">
        <f>IFERROR(VLOOKUP(E889,Assign!$C$2:$J$142,8,FALSE),)</f>
        <v>0</v>
      </c>
      <c r="H889" s="197" t="s">
        <v>4747</v>
      </c>
      <c r="I889" s="324" t="s">
        <v>4748</v>
      </c>
      <c r="J889" s="237">
        <v>1</v>
      </c>
      <c r="K889" s="237">
        <v>1</v>
      </c>
      <c r="L889" s="265" t="s">
        <v>212</v>
      </c>
      <c r="M889" s="266" t="s">
        <v>389</v>
      </c>
      <c r="N889" s="266" t="s">
        <v>2055</v>
      </c>
      <c r="O889" s="267" t="s">
        <v>2280</v>
      </c>
      <c r="P889" s="268" t="s">
        <v>2281</v>
      </c>
      <c r="Q889" s="269">
        <v>365.2</v>
      </c>
      <c r="R889" s="269">
        <v>18.2</v>
      </c>
      <c r="S889" s="270"/>
      <c r="T889" s="182">
        <f>3.27/365.2</f>
        <v>8.9539978094194967E-3</v>
      </c>
      <c r="U889" s="182">
        <v>1</v>
      </c>
      <c r="V889" s="408">
        <v>1</v>
      </c>
      <c r="W889" s="357" t="s">
        <v>204</v>
      </c>
      <c r="X889" s="156">
        <v>120000000</v>
      </c>
      <c r="Y889" s="156">
        <v>120000000</v>
      </c>
      <c r="Z889" s="418" t="s">
        <v>359</v>
      </c>
      <c r="AA889" s="271"/>
      <c r="AB889" s="168"/>
      <c r="AC889" s="156"/>
      <c r="AD889" s="156"/>
      <c r="AE889" s="320"/>
      <c r="AF889" s="168"/>
      <c r="AG889" s="156"/>
      <c r="AH889" s="156"/>
      <c r="AI889" s="410"/>
    </row>
    <row r="890" spans="1:35" ht="19.5" hidden="1" customHeight="1">
      <c r="A890" s="137"/>
      <c r="B890" s="197">
        <f t="shared" si="16"/>
        <v>880</v>
      </c>
      <c r="C890" s="30" t="s">
        <v>202</v>
      </c>
      <c r="D890" s="30" t="s">
        <v>225</v>
      </c>
      <c r="E890" s="234" t="s">
        <v>1108</v>
      </c>
      <c r="F890" s="235" t="s">
        <v>1263</v>
      </c>
      <c r="G890" s="284">
        <f>IFERROR(VLOOKUP(E890,Assign!$C$2:$J$142,8,FALSE),)</f>
        <v>0</v>
      </c>
      <c r="H890" s="197" t="s">
        <v>3995</v>
      </c>
      <c r="I890" s="324" t="s">
        <v>3996</v>
      </c>
      <c r="J890" s="237">
        <v>1</v>
      </c>
      <c r="K890" s="237">
        <v>1</v>
      </c>
      <c r="L890" s="265" t="s">
        <v>208</v>
      </c>
      <c r="M890" s="266" t="s">
        <v>244</v>
      </c>
      <c r="N890" s="266" t="s">
        <v>249</v>
      </c>
      <c r="O890" s="267" t="s">
        <v>1571</v>
      </c>
      <c r="P890" s="268" t="s">
        <v>1572</v>
      </c>
      <c r="Q890" s="269">
        <v>1567.5</v>
      </c>
      <c r="R890" s="269">
        <v>67.94</v>
      </c>
      <c r="S890" s="270"/>
      <c r="T890" s="182">
        <f>14.42/1567.5</f>
        <v>9.1993620414673044E-3</v>
      </c>
      <c r="U890" s="182">
        <v>1</v>
      </c>
      <c r="V890" s="408">
        <v>1</v>
      </c>
      <c r="W890" s="357" t="s">
        <v>204</v>
      </c>
      <c r="X890" s="156">
        <v>120000000</v>
      </c>
      <c r="Y890" s="156">
        <v>120000000</v>
      </c>
      <c r="Z890" s="418" t="s">
        <v>359</v>
      </c>
      <c r="AA890" s="271"/>
      <c r="AB890" s="168"/>
      <c r="AC890" s="156"/>
      <c r="AD890" s="156"/>
      <c r="AE890" s="320"/>
      <c r="AF890" s="168"/>
      <c r="AG890" s="156"/>
      <c r="AH890" s="156"/>
      <c r="AI890" s="410"/>
    </row>
    <row r="891" spans="1:35" ht="19.5" hidden="1" customHeight="1">
      <c r="A891" s="137"/>
      <c r="B891" s="197">
        <f t="shared" si="16"/>
        <v>881</v>
      </c>
      <c r="C891" s="30" t="s">
        <v>202</v>
      </c>
      <c r="D891" s="30" t="s">
        <v>225</v>
      </c>
      <c r="E891" s="234" t="s">
        <v>1109</v>
      </c>
      <c r="F891" s="235" t="s">
        <v>1249</v>
      </c>
      <c r="G891" s="284">
        <f>IFERROR(VLOOKUP(E891,Assign!$C$2:$J$142,8,FALSE),)</f>
        <v>0</v>
      </c>
      <c r="H891" s="197" t="s">
        <v>4384</v>
      </c>
      <c r="I891" s="324" t="s">
        <v>4385</v>
      </c>
      <c r="J891" s="237">
        <v>1</v>
      </c>
      <c r="K891" s="237">
        <v>1</v>
      </c>
      <c r="L891" s="265" t="s">
        <v>212</v>
      </c>
      <c r="M891" s="266" t="s">
        <v>232</v>
      </c>
      <c r="N891" s="266" t="s">
        <v>1939</v>
      </c>
      <c r="O891" s="267" t="s">
        <v>1940</v>
      </c>
      <c r="P891" s="268" t="s">
        <v>454</v>
      </c>
      <c r="Q891" s="269">
        <f>15998.8+2500.7+992.8</f>
        <v>19492.3</v>
      </c>
      <c r="R891" s="269">
        <v>84.78</v>
      </c>
      <c r="S891" s="270"/>
      <c r="T891" s="182">
        <f>34.728/19492.3</f>
        <v>1.7816265910128616E-3</v>
      </c>
      <c r="U891" s="182">
        <v>1</v>
      </c>
      <c r="V891" s="408">
        <v>1</v>
      </c>
      <c r="W891" s="357" t="s">
        <v>204</v>
      </c>
      <c r="X891" s="156">
        <v>120000000</v>
      </c>
      <c r="Y891" s="156">
        <v>120000000</v>
      </c>
      <c r="Z891" s="418" t="s">
        <v>359</v>
      </c>
      <c r="AA891" s="271"/>
      <c r="AB891" s="168"/>
      <c r="AC891" s="156"/>
      <c r="AD891" s="156"/>
      <c r="AE891" s="320"/>
      <c r="AF891" s="168"/>
      <c r="AG891" s="156"/>
      <c r="AH891" s="156"/>
      <c r="AI891" s="410"/>
    </row>
    <row r="892" spans="1:35" ht="19.5" customHeight="1">
      <c r="A892" s="137"/>
      <c r="B892" s="197">
        <f t="shared" si="16"/>
        <v>882</v>
      </c>
      <c r="C892" s="30" t="s">
        <v>202</v>
      </c>
      <c r="D892" s="30" t="s">
        <v>225</v>
      </c>
      <c r="E892" s="234" t="s">
        <v>1110</v>
      </c>
      <c r="F892" s="235" t="s">
        <v>1249</v>
      </c>
      <c r="G892" s="284" t="str">
        <f>IFERROR(VLOOKUP(E892,Assign!$C$2:$J$142,8,FALSE),)</f>
        <v>문선영</v>
      </c>
      <c r="H892" s="197" t="s">
        <v>4454</v>
      </c>
      <c r="I892" s="490" t="s">
        <v>4455</v>
      </c>
      <c r="J892" s="237">
        <v>1</v>
      </c>
      <c r="K892" s="237">
        <v>1</v>
      </c>
      <c r="L892" s="265" t="s">
        <v>213</v>
      </c>
      <c r="M892" s="266" t="s">
        <v>256</v>
      </c>
      <c r="N892" s="266" t="s">
        <v>1648</v>
      </c>
      <c r="O892" s="267" t="s">
        <v>2000</v>
      </c>
      <c r="P892" s="268" t="s">
        <v>2001</v>
      </c>
      <c r="Q892" s="269">
        <v>901.5</v>
      </c>
      <c r="R892" s="269">
        <v>62.238700000000001</v>
      </c>
      <c r="S892" s="270"/>
      <c r="T892" s="182">
        <f>17.2572/901.5</f>
        <v>1.9142762063227955E-2</v>
      </c>
      <c r="U892" s="182">
        <v>1</v>
      </c>
      <c r="V892" s="408">
        <v>1</v>
      </c>
      <c r="W892" s="357" t="s">
        <v>204</v>
      </c>
      <c r="X892" s="156">
        <v>120000000</v>
      </c>
      <c r="Y892" s="156">
        <v>120000000</v>
      </c>
      <c r="Z892" s="418" t="s">
        <v>359</v>
      </c>
      <c r="AA892" s="271"/>
      <c r="AB892" s="168"/>
      <c r="AC892" s="156"/>
      <c r="AD892" s="156"/>
      <c r="AE892" s="320"/>
      <c r="AF892" s="168"/>
      <c r="AG892" s="156"/>
      <c r="AH892" s="156"/>
      <c r="AI892" s="410"/>
    </row>
    <row r="893" spans="1:35" ht="19.5" hidden="1" customHeight="1">
      <c r="A893" s="137"/>
      <c r="B893" s="197">
        <f t="shared" si="16"/>
        <v>883</v>
      </c>
      <c r="C893" s="30" t="s">
        <v>202</v>
      </c>
      <c r="D893" s="30" t="s">
        <v>225</v>
      </c>
      <c r="E893" s="234" t="s">
        <v>1111</v>
      </c>
      <c r="F893" s="235" t="s">
        <v>1235</v>
      </c>
      <c r="G893" s="284">
        <f>IFERROR(VLOOKUP(E893,Assign!$C$2:$J$142,8,FALSE),)</f>
        <v>0</v>
      </c>
      <c r="H893" s="197" t="s">
        <v>4872</v>
      </c>
      <c r="I893" s="324" t="s">
        <v>4873</v>
      </c>
      <c r="J893" s="237">
        <v>1</v>
      </c>
      <c r="K893" s="237">
        <v>1</v>
      </c>
      <c r="L893" s="265" t="s">
        <v>208</v>
      </c>
      <c r="M893" s="266" t="s">
        <v>301</v>
      </c>
      <c r="N893" s="266" t="s">
        <v>2214</v>
      </c>
      <c r="O893" s="267" t="s">
        <v>2396</v>
      </c>
      <c r="P893" s="268" t="s">
        <v>451</v>
      </c>
      <c r="Q893" s="269">
        <v>58228</v>
      </c>
      <c r="R893" s="269">
        <v>120.5004</v>
      </c>
      <c r="S893" s="270"/>
      <c r="T893" s="182">
        <f>71.402/58228</f>
        <v>1.2262485402211995E-3</v>
      </c>
      <c r="U893" s="182">
        <v>1</v>
      </c>
      <c r="V893" s="408">
        <v>2</v>
      </c>
      <c r="W893" s="357" t="s">
        <v>204</v>
      </c>
      <c r="X893" s="156">
        <v>120000000</v>
      </c>
      <c r="Y893" s="156">
        <v>120000000</v>
      </c>
      <c r="Z893" s="418" t="s">
        <v>359</v>
      </c>
      <c r="AA893" s="271">
        <v>1</v>
      </c>
      <c r="AB893" s="168" t="s">
        <v>3855</v>
      </c>
      <c r="AC893" s="156">
        <v>288200000</v>
      </c>
      <c r="AD893" s="156">
        <v>288200000</v>
      </c>
      <c r="AE893" s="320"/>
      <c r="AF893" s="168"/>
      <c r="AG893" s="156"/>
      <c r="AH893" s="156"/>
      <c r="AI893" s="410"/>
    </row>
    <row r="894" spans="1:35" ht="19.5" hidden="1" customHeight="1">
      <c r="A894" s="137"/>
      <c r="B894" s="197">
        <f t="shared" si="16"/>
        <v>884</v>
      </c>
      <c r="C894" s="30" t="s">
        <v>202</v>
      </c>
      <c r="D894" s="30" t="s">
        <v>225</v>
      </c>
      <c r="E894" s="234" t="s">
        <v>1112</v>
      </c>
      <c r="F894" s="235" t="s">
        <v>1266</v>
      </c>
      <c r="G894" s="284">
        <f>IFERROR(VLOOKUP(E894,Assign!$C$2:$J$142,8,FALSE),)</f>
        <v>0</v>
      </c>
      <c r="H894" s="197" t="s">
        <v>4880</v>
      </c>
      <c r="I894" s="324" t="s">
        <v>4881</v>
      </c>
      <c r="J894" s="237">
        <v>1</v>
      </c>
      <c r="K894" s="237">
        <v>1</v>
      </c>
      <c r="L894" s="265" t="s">
        <v>208</v>
      </c>
      <c r="M894" s="266" t="s">
        <v>280</v>
      </c>
      <c r="N894" s="266" t="s">
        <v>281</v>
      </c>
      <c r="O894" s="267" t="s">
        <v>2404</v>
      </c>
      <c r="P894" s="268" t="s">
        <v>451</v>
      </c>
      <c r="Q894" s="269">
        <v>64574</v>
      </c>
      <c r="R894" s="269">
        <v>84.650700000000001</v>
      </c>
      <c r="S894" s="270"/>
      <c r="T894" s="182">
        <f>54.7653/64574</f>
        <v>8.4810140304147181E-4</v>
      </c>
      <c r="U894" s="182">
        <v>1</v>
      </c>
      <c r="V894" s="408" t="s">
        <v>3857</v>
      </c>
      <c r="W894" s="357" t="s">
        <v>204</v>
      </c>
      <c r="X894" s="156">
        <v>123600000</v>
      </c>
      <c r="Y894" s="156">
        <v>123600000</v>
      </c>
      <c r="Z894" s="418" t="s">
        <v>359</v>
      </c>
      <c r="AA894" s="271">
        <v>1</v>
      </c>
      <c r="AB894" s="168" t="s">
        <v>3855</v>
      </c>
      <c r="AC894" s="156">
        <v>176000000</v>
      </c>
      <c r="AD894" s="156">
        <v>176000000</v>
      </c>
      <c r="AE894" s="320"/>
      <c r="AF894" s="168"/>
      <c r="AG894" s="156"/>
      <c r="AH894" s="156"/>
      <c r="AI894" s="410"/>
    </row>
    <row r="895" spans="1:35" ht="19.5" hidden="1" customHeight="1">
      <c r="A895" s="137"/>
      <c r="B895" s="197">
        <f t="shared" si="16"/>
        <v>885</v>
      </c>
      <c r="C895" s="30" t="s">
        <v>202</v>
      </c>
      <c r="D895" s="30" t="s">
        <v>225</v>
      </c>
      <c r="E895" s="234" t="s">
        <v>1113</v>
      </c>
      <c r="F895" s="235" t="s">
        <v>1286</v>
      </c>
      <c r="G895" s="284">
        <f>IFERROR(VLOOKUP(E895,Assign!$C$2:$J$142,8,FALSE),)</f>
        <v>0</v>
      </c>
      <c r="H895" s="197" t="s">
        <v>5031</v>
      </c>
      <c r="I895" s="324" t="s">
        <v>5032</v>
      </c>
      <c r="J895" s="237">
        <v>1</v>
      </c>
      <c r="K895" s="237">
        <v>1</v>
      </c>
      <c r="L895" s="265" t="s">
        <v>208</v>
      </c>
      <c r="M895" s="266" t="s">
        <v>250</v>
      </c>
      <c r="N895" s="266" t="s">
        <v>544</v>
      </c>
      <c r="O895" s="267" t="s">
        <v>2549</v>
      </c>
      <c r="P895" s="268" t="s">
        <v>2550</v>
      </c>
      <c r="Q895" s="269">
        <v>964</v>
      </c>
      <c r="R895" s="269">
        <v>72.930000000000007</v>
      </c>
      <c r="S895" s="270"/>
      <c r="T895" s="182">
        <f>60.25/964</f>
        <v>6.25E-2</v>
      </c>
      <c r="U895" s="182">
        <v>1</v>
      </c>
      <c r="V895" s="408">
        <v>1</v>
      </c>
      <c r="W895" s="357" t="s">
        <v>204</v>
      </c>
      <c r="X895" s="156">
        <v>151200000</v>
      </c>
      <c r="Y895" s="156">
        <v>151200000</v>
      </c>
      <c r="Z895" s="418" t="s">
        <v>359</v>
      </c>
      <c r="AA895" s="271"/>
      <c r="AB895" s="168"/>
      <c r="AC895" s="156"/>
      <c r="AD895" s="156"/>
      <c r="AE895" s="320"/>
      <c r="AF895" s="168"/>
      <c r="AG895" s="156"/>
      <c r="AH895" s="156"/>
      <c r="AI895" s="410"/>
    </row>
    <row r="896" spans="1:35" ht="19.5" hidden="1" customHeight="1">
      <c r="A896" s="137"/>
      <c r="B896" s="197">
        <f t="shared" si="16"/>
        <v>886</v>
      </c>
      <c r="C896" s="30" t="s">
        <v>202</v>
      </c>
      <c r="D896" s="30" t="s">
        <v>225</v>
      </c>
      <c r="E896" s="234" t="s">
        <v>1114</v>
      </c>
      <c r="F896" s="235" t="s">
        <v>1221</v>
      </c>
      <c r="G896" s="284">
        <f>IFERROR(VLOOKUP(E896,Assign!$C$2:$J$142,8,FALSE),)</f>
        <v>0</v>
      </c>
      <c r="H896" s="197" t="s">
        <v>5055</v>
      </c>
      <c r="I896" s="324" t="s">
        <v>5056</v>
      </c>
      <c r="J896" s="237">
        <v>1</v>
      </c>
      <c r="K896" s="237">
        <v>1</v>
      </c>
      <c r="L896" s="265" t="s">
        <v>208</v>
      </c>
      <c r="M896" s="266" t="s">
        <v>234</v>
      </c>
      <c r="N896" s="266" t="s">
        <v>414</v>
      </c>
      <c r="O896" s="267" t="s">
        <v>2571</v>
      </c>
      <c r="P896" s="268" t="s">
        <v>431</v>
      </c>
      <c r="Q896" s="269">
        <v>4819</v>
      </c>
      <c r="R896" s="269">
        <v>59.96</v>
      </c>
      <c r="S896" s="270"/>
      <c r="T896" s="182">
        <f>21.36/4819</f>
        <v>4.4324548661548039E-3</v>
      </c>
      <c r="U896" s="182">
        <v>1</v>
      </c>
      <c r="V896" s="408">
        <v>1</v>
      </c>
      <c r="W896" s="357" t="s">
        <v>204</v>
      </c>
      <c r="X896" s="156">
        <v>131000000</v>
      </c>
      <c r="Y896" s="156">
        <v>131000000</v>
      </c>
      <c r="Z896" s="418" t="s">
        <v>359</v>
      </c>
      <c r="AA896" s="271"/>
      <c r="AB896" s="168"/>
      <c r="AC896" s="156"/>
      <c r="AD896" s="156"/>
      <c r="AE896" s="320"/>
      <c r="AF896" s="168"/>
      <c r="AG896" s="156"/>
      <c r="AH896" s="156"/>
      <c r="AI896" s="410"/>
    </row>
    <row r="897" spans="1:35" ht="19.5" hidden="1" customHeight="1">
      <c r="A897" s="137"/>
      <c r="B897" s="197">
        <f t="shared" si="16"/>
        <v>887</v>
      </c>
      <c r="C897" s="30" t="s">
        <v>202</v>
      </c>
      <c r="D897" s="30" t="s">
        <v>225</v>
      </c>
      <c r="E897" s="234" t="s">
        <v>1115</v>
      </c>
      <c r="F897" s="235" t="s">
        <v>1279</v>
      </c>
      <c r="G897" s="284">
        <f>IFERROR(VLOOKUP(E897,Assign!$C$2:$J$142,8,FALSE),)</f>
        <v>0</v>
      </c>
      <c r="H897" s="197" t="s">
        <v>4884</v>
      </c>
      <c r="I897" s="324" t="s">
        <v>4885</v>
      </c>
      <c r="J897" s="237">
        <v>1</v>
      </c>
      <c r="K897" s="237">
        <v>1</v>
      </c>
      <c r="L897" s="265" t="s">
        <v>212</v>
      </c>
      <c r="M897" s="266" t="s">
        <v>389</v>
      </c>
      <c r="N897" s="266" t="s">
        <v>2055</v>
      </c>
      <c r="O897" s="267" t="s">
        <v>2406</v>
      </c>
      <c r="P897" s="268" t="s">
        <v>431</v>
      </c>
      <c r="Q897" s="269">
        <v>13169.8</v>
      </c>
      <c r="R897" s="269">
        <v>78.784000000000006</v>
      </c>
      <c r="S897" s="270"/>
      <c r="T897" s="182">
        <f>40.271/18228</f>
        <v>2.2092933947772658E-3</v>
      </c>
      <c r="U897" s="182">
        <v>1</v>
      </c>
      <c r="V897" s="408" t="s">
        <v>229</v>
      </c>
      <c r="W897" s="357" t="s">
        <v>204</v>
      </c>
      <c r="X897" s="156">
        <v>145500000</v>
      </c>
      <c r="Y897" s="156">
        <v>145500000</v>
      </c>
      <c r="Z897" s="418" t="s">
        <v>359</v>
      </c>
      <c r="AA897" s="271"/>
      <c r="AB897" s="168"/>
      <c r="AC897" s="156"/>
      <c r="AD897" s="156"/>
      <c r="AE897" s="320"/>
      <c r="AF897" s="168"/>
      <c r="AG897" s="156"/>
      <c r="AH897" s="156"/>
      <c r="AI897" s="410"/>
    </row>
    <row r="898" spans="1:35" ht="19.5" hidden="1" customHeight="1">
      <c r="A898" s="137"/>
      <c r="B898" s="197">
        <f t="shared" si="16"/>
        <v>888</v>
      </c>
      <c r="C898" s="30" t="s">
        <v>202</v>
      </c>
      <c r="D898" s="30" t="s">
        <v>225</v>
      </c>
      <c r="E898" s="234" t="s">
        <v>1116</v>
      </c>
      <c r="F898" s="235" t="s">
        <v>1221</v>
      </c>
      <c r="G898" s="284">
        <f>IFERROR(VLOOKUP(E898,Assign!$C$2:$J$142,8,FALSE),)</f>
        <v>0</v>
      </c>
      <c r="H898" s="197" t="s">
        <v>4495</v>
      </c>
      <c r="I898" s="324" t="s">
        <v>4496</v>
      </c>
      <c r="J898" s="237">
        <v>1</v>
      </c>
      <c r="K898" s="237">
        <v>1</v>
      </c>
      <c r="L898" s="265" t="s">
        <v>208</v>
      </c>
      <c r="M898" s="266" t="s">
        <v>274</v>
      </c>
      <c r="N898" s="266" t="s">
        <v>2038</v>
      </c>
      <c r="O898" s="267" t="s">
        <v>2039</v>
      </c>
      <c r="P898" s="268" t="s">
        <v>2040</v>
      </c>
      <c r="Q898" s="269">
        <f>20365.5+194</f>
        <v>20559.5</v>
      </c>
      <c r="R898" s="269">
        <v>84.873999999999995</v>
      </c>
      <c r="S898" s="270"/>
      <c r="T898" s="182" t="s">
        <v>273</v>
      </c>
      <c r="U898" s="182">
        <v>1</v>
      </c>
      <c r="V898" s="408">
        <v>1</v>
      </c>
      <c r="W898" s="357" t="s">
        <v>204</v>
      </c>
      <c r="X898" s="156">
        <v>144000000</v>
      </c>
      <c r="Y898" s="156">
        <v>144000000</v>
      </c>
      <c r="Z898" s="418" t="s">
        <v>359</v>
      </c>
      <c r="AA898" s="271"/>
      <c r="AB898" s="168"/>
      <c r="AC898" s="156"/>
      <c r="AD898" s="156"/>
      <c r="AE898" s="320"/>
      <c r="AF898" s="168"/>
      <c r="AG898" s="156"/>
      <c r="AH898" s="156"/>
      <c r="AI898" s="410"/>
    </row>
    <row r="899" spans="1:35" ht="19.5" customHeight="1">
      <c r="A899" s="137"/>
      <c r="B899" s="197">
        <f t="shared" si="16"/>
        <v>889</v>
      </c>
      <c r="C899" s="30" t="s">
        <v>202</v>
      </c>
      <c r="D899" s="30" t="s">
        <v>225</v>
      </c>
      <c r="E899" s="234" t="s">
        <v>1117</v>
      </c>
      <c r="F899" s="235" t="s">
        <v>1225</v>
      </c>
      <c r="G899" s="284" t="str">
        <f>IFERROR(VLOOKUP(E899,Assign!$C$2:$J$142,8,FALSE),)</f>
        <v>문선영</v>
      </c>
      <c r="H899" s="197" t="s">
        <v>5117</v>
      </c>
      <c r="I899" s="490" t="s">
        <v>5118</v>
      </c>
      <c r="J899" s="237">
        <v>1</v>
      </c>
      <c r="K899" s="237">
        <v>1</v>
      </c>
      <c r="L899" s="265" t="s">
        <v>215</v>
      </c>
      <c r="M899" s="266" t="s">
        <v>284</v>
      </c>
      <c r="N899" s="266" t="s">
        <v>2631</v>
      </c>
      <c r="O899" s="267" t="s">
        <v>2632</v>
      </c>
      <c r="P899" s="268" t="s">
        <v>434</v>
      </c>
      <c r="Q899" s="269">
        <v>8108</v>
      </c>
      <c r="R899" s="269">
        <v>59.45</v>
      </c>
      <c r="S899" s="270"/>
      <c r="T899" s="182">
        <f>23.5537/8108</f>
        <v>2.9049950666008881E-3</v>
      </c>
      <c r="U899" s="182">
        <v>1</v>
      </c>
      <c r="V899" s="408">
        <v>1</v>
      </c>
      <c r="W899" s="357" t="s">
        <v>204</v>
      </c>
      <c r="X899" s="156">
        <v>110000000</v>
      </c>
      <c r="Y899" s="156">
        <v>110000000</v>
      </c>
      <c r="Z899" s="418" t="s">
        <v>359</v>
      </c>
      <c r="AA899" s="271"/>
      <c r="AB899" s="168"/>
      <c r="AC899" s="156"/>
      <c r="AD899" s="156"/>
      <c r="AE899" s="320"/>
      <c r="AF899" s="168"/>
      <c r="AG899" s="156"/>
      <c r="AH899" s="156"/>
      <c r="AI899" s="410"/>
    </row>
    <row r="900" spans="1:35" ht="19.5" hidden="1" customHeight="1">
      <c r="A900" s="137"/>
      <c r="B900" s="197">
        <f t="shared" si="16"/>
        <v>890</v>
      </c>
      <c r="C900" s="30" t="s">
        <v>202</v>
      </c>
      <c r="D900" s="30" t="s">
        <v>225</v>
      </c>
      <c r="E900" s="234" t="s">
        <v>1118</v>
      </c>
      <c r="F900" s="235" t="s">
        <v>1229</v>
      </c>
      <c r="G900" s="284">
        <f>IFERROR(VLOOKUP(E900,Assign!$C$2:$J$142,8,FALSE),)</f>
        <v>0</v>
      </c>
      <c r="H900" s="197" t="s">
        <v>4219</v>
      </c>
      <c r="I900" s="324" t="s">
        <v>4220</v>
      </c>
      <c r="J900" s="237">
        <v>1</v>
      </c>
      <c r="K900" s="237">
        <v>1</v>
      </c>
      <c r="L900" s="265" t="s">
        <v>212</v>
      </c>
      <c r="M900" s="266" t="s">
        <v>549</v>
      </c>
      <c r="N900" s="266" t="s">
        <v>550</v>
      </c>
      <c r="O900" s="267" t="s">
        <v>1797</v>
      </c>
      <c r="P900" s="268" t="s">
        <v>590</v>
      </c>
      <c r="Q900" s="269">
        <v>1335.4</v>
      </c>
      <c r="R900" s="269">
        <v>29.895199999999999</v>
      </c>
      <c r="S900" s="270"/>
      <c r="T900" s="182">
        <f>142837/13354000</f>
        <v>1.0696195896360641E-2</v>
      </c>
      <c r="U900" s="182">
        <v>1</v>
      </c>
      <c r="V900" s="408">
        <v>1</v>
      </c>
      <c r="W900" s="357" t="s">
        <v>204</v>
      </c>
      <c r="X900" s="156">
        <v>112800000</v>
      </c>
      <c r="Y900" s="156">
        <v>112800000</v>
      </c>
      <c r="Z900" s="418" t="s">
        <v>359</v>
      </c>
      <c r="AA900" s="271"/>
      <c r="AB900" s="168"/>
      <c r="AC900" s="156"/>
      <c r="AD900" s="156"/>
      <c r="AE900" s="320"/>
      <c r="AF900" s="168"/>
      <c r="AG900" s="156"/>
      <c r="AH900" s="156"/>
      <c r="AI900" s="410"/>
    </row>
    <row r="901" spans="1:35" ht="19.5" hidden="1" customHeight="1">
      <c r="A901" s="137"/>
      <c r="B901" s="197">
        <f t="shared" si="16"/>
        <v>891</v>
      </c>
      <c r="C901" s="30" t="s">
        <v>202</v>
      </c>
      <c r="D901" s="30" t="s">
        <v>225</v>
      </c>
      <c r="E901" s="234" t="s">
        <v>1119</v>
      </c>
      <c r="F901" s="235" t="s">
        <v>1224</v>
      </c>
      <c r="G901" s="284">
        <f>IFERROR(VLOOKUP(E901,Assign!$C$2:$J$142,8,FALSE),)</f>
        <v>0</v>
      </c>
      <c r="H901" s="197" t="s">
        <v>5121</v>
      </c>
      <c r="I901" s="324" t="s">
        <v>5122</v>
      </c>
      <c r="J901" s="237">
        <v>1</v>
      </c>
      <c r="K901" s="237">
        <v>1</v>
      </c>
      <c r="L901" s="265" t="s">
        <v>208</v>
      </c>
      <c r="M901" s="266" t="s">
        <v>365</v>
      </c>
      <c r="N901" s="266" t="s">
        <v>1750</v>
      </c>
      <c r="O901" s="267" t="s">
        <v>2635</v>
      </c>
      <c r="P901" s="268" t="s">
        <v>1958</v>
      </c>
      <c r="Q901" s="269">
        <v>452.9</v>
      </c>
      <c r="R901" s="269">
        <v>31.13</v>
      </c>
      <c r="S901" s="270"/>
      <c r="T901" s="182">
        <f>24.7/452.9</f>
        <v>5.4537425480238468E-2</v>
      </c>
      <c r="U901" s="182">
        <v>1</v>
      </c>
      <c r="V901" s="408">
        <v>1</v>
      </c>
      <c r="W901" s="357" t="s">
        <v>204</v>
      </c>
      <c r="X901" s="156">
        <v>130800000</v>
      </c>
      <c r="Y901" s="156">
        <v>130800000</v>
      </c>
      <c r="Z901" s="418" t="s">
        <v>359</v>
      </c>
      <c r="AA901" s="271"/>
      <c r="AB901" s="168"/>
      <c r="AC901" s="156"/>
      <c r="AD901" s="156"/>
      <c r="AE901" s="320"/>
      <c r="AF901" s="168"/>
      <c r="AG901" s="156"/>
      <c r="AH901" s="156"/>
      <c r="AI901" s="410"/>
    </row>
    <row r="902" spans="1:35" ht="19.5" hidden="1" customHeight="1">
      <c r="A902" s="137"/>
      <c r="B902" s="197">
        <f t="shared" si="16"/>
        <v>892</v>
      </c>
      <c r="C902" s="30" t="s">
        <v>202</v>
      </c>
      <c r="D902" s="30" t="s">
        <v>225</v>
      </c>
      <c r="E902" s="234" t="s">
        <v>1120</v>
      </c>
      <c r="F902" s="235" t="s">
        <v>1229</v>
      </c>
      <c r="G902" s="284">
        <f>IFERROR(VLOOKUP(E902,Assign!$C$2:$J$142,8,FALSE),)</f>
        <v>0</v>
      </c>
      <c r="H902" s="197" t="s">
        <v>4855</v>
      </c>
      <c r="I902" s="324" t="s">
        <v>4856</v>
      </c>
      <c r="J902" s="237">
        <v>1</v>
      </c>
      <c r="K902" s="237">
        <v>1</v>
      </c>
      <c r="L902" s="265" t="s">
        <v>208</v>
      </c>
      <c r="M902" s="266" t="s">
        <v>269</v>
      </c>
      <c r="N902" s="266" t="s">
        <v>2380</v>
      </c>
      <c r="O902" s="267" t="s">
        <v>2381</v>
      </c>
      <c r="P902" s="268" t="s">
        <v>3530</v>
      </c>
      <c r="Q902" s="269">
        <v>826.7</v>
      </c>
      <c r="R902" s="269">
        <v>19.940000000000001</v>
      </c>
      <c r="S902" s="270"/>
      <c r="T902" s="182">
        <f>8.21/826.7</f>
        <v>9.9310511672916421E-3</v>
      </c>
      <c r="U902" s="182">
        <v>1</v>
      </c>
      <c r="V902" s="408">
        <v>1</v>
      </c>
      <c r="W902" s="357" t="s">
        <v>204</v>
      </c>
      <c r="X902" s="156">
        <v>111600000</v>
      </c>
      <c r="Y902" s="156">
        <v>111600000</v>
      </c>
      <c r="Z902" s="418" t="s">
        <v>359</v>
      </c>
      <c r="AA902" s="271"/>
      <c r="AB902" s="168"/>
      <c r="AC902" s="156"/>
      <c r="AD902" s="156"/>
      <c r="AE902" s="320"/>
      <c r="AF902" s="168"/>
      <c r="AG902" s="156"/>
      <c r="AH902" s="156"/>
      <c r="AI902" s="410"/>
    </row>
    <row r="903" spans="1:35" ht="19.5" hidden="1" customHeight="1">
      <c r="A903" s="137"/>
      <c r="B903" s="197">
        <f t="shared" si="16"/>
        <v>893</v>
      </c>
      <c r="C903" s="30" t="s">
        <v>202</v>
      </c>
      <c r="D903" s="30" t="s">
        <v>225</v>
      </c>
      <c r="E903" s="234" t="s">
        <v>1121</v>
      </c>
      <c r="F903" s="235" t="s">
        <v>1218</v>
      </c>
      <c r="G903" s="284">
        <f>IFERROR(VLOOKUP(E903,Assign!$C$2:$J$142,8,FALSE),)</f>
        <v>0</v>
      </c>
      <c r="H903" s="197" t="s">
        <v>4795</v>
      </c>
      <c r="I903" s="324" t="s">
        <v>4796</v>
      </c>
      <c r="J903" s="237">
        <v>1</v>
      </c>
      <c r="K903" s="237">
        <v>1</v>
      </c>
      <c r="L903" s="265" t="s">
        <v>209</v>
      </c>
      <c r="M903" s="266" t="s">
        <v>380</v>
      </c>
      <c r="N903" s="266" t="s">
        <v>2325</v>
      </c>
      <c r="O903" s="267" t="s">
        <v>2326</v>
      </c>
      <c r="P903" s="268" t="s">
        <v>2327</v>
      </c>
      <c r="Q903" s="269">
        <f>110.7+96.2</f>
        <v>206.9</v>
      </c>
      <c r="R903" s="269">
        <v>48.21</v>
      </c>
      <c r="S903" s="270"/>
      <c r="T903" s="182">
        <f>27.2/206.9</f>
        <v>0.13146447559207347</v>
      </c>
      <c r="U903" s="182">
        <v>1</v>
      </c>
      <c r="V903" s="408">
        <v>1</v>
      </c>
      <c r="W903" s="357" t="s">
        <v>204</v>
      </c>
      <c r="X903" s="156">
        <v>104500000</v>
      </c>
      <c r="Y903" s="156">
        <v>104500000</v>
      </c>
      <c r="Z903" s="418" t="s">
        <v>359</v>
      </c>
      <c r="AA903" s="271"/>
      <c r="AB903" s="168"/>
      <c r="AC903" s="156"/>
      <c r="AD903" s="156"/>
      <c r="AE903" s="320"/>
      <c r="AF903" s="168"/>
      <c r="AG903" s="156"/>
      <c r="AH903" s="156"/>
      <c r="AI903" s="410"/>
    </row>
    <row r="904" spans="1:35" ht="19.5" hidden="1" customHeight="1">
      <c r="A904" s="137"/>
      <c r="B904" s="197">
        <f t="shared" si="16"/>
        <v>894</v>
      </c>
      <c r="C904" s="30" t="s">
        <v>202</v>
      </c>
      <c r="D904" s="30" t="s">
        <v>225</v>
      </c>
      <c r="E904" s="234" t="s">
        <v>1122</v>
      </c>
      <c r="F904" s="235" t="s">
        <v>1225</v>
      </c>
      <c r="G904" s="284">
        <f>IFERROR(VLOOKUP(E904,Assign!$C$2:$J$142,8,FALSE),)</f>
        <v>0</v>
      </c>
      <c r="H904" s="197" t="s">
        <v>3991</v>
      </c>
      <c r="I904" s="324" t="s">
        <v>3992</v>
      </c>
      <c r="J904" s="237">
        <v>1</v>
      </c>
      <c r="K904" s="237">
        <v>1</v>
      </c>
      <c r="L904" s="265" t="s">
        <v>208</v>
      </c>
      <c r="M904" s="266" t="s">
        <v>301</v>
      </c>
      <c r="N904" s="266" t="s">
        <v>400</v>
      </c>
      <c r="O904" s="267" t="s">
        <v>1567</v>
      </c>
      <c r="P904" s="268" t="s">
        <v>434</v>
      </c>
      <c r="Q904" s="269">
        <v>40489.1</v>
      </c>
      <c r="R904" s="269">
        <v>84.99</v>
      </c>
      <c r="S904" s="270"/>
      <c r="T904" s="182">
        <f>62.454/40489.1</f>
        <v>1.5424892131462543E-3</v>
      </c>
      <c r="U904" s="182">
        <v>1</v>
      </c>
      <c r="V904" s="408">
        <v>1</v>
      </c>
      <c r="W904" s="357" t="s">
        <v>204</v>
      </c>
      <c r="X904" s="156">
        <v>108000000</v>
      </c>
      <c r="Y904" s="156">
        <v>108000000</v>
      </c>
      <c r="Z904" s="418" t="s">
        <v>359</v>
      </c>
      <c r="AA904" s="271"/>
      <c r="AB904" s="168"/>
      <c r="AC904" s="156"/>
      <c r="AD904" s="156"/>
      <c r="AE904" s="320"/>
      <c r="AF904" s="168"/>
      <c r="AG904" s="156"/>
      <c r="AH904" s="156"/>
      <c r="AI904" s="410"/>
    </row>
    <row r="905" spans="1:35" ht="19.5" hidden="1" customHeight="1">
      <c r="A905" s="137"/>
      <c r="B905" s="197">
        <f t="shared" si="16"/>
        <v>895</v>
      </c>
      <c r="C905" s="30" t="s">
        <v>202</v>
      </c>
      <c r="D905" s="30" t="s">
        <v>225</v>
      </c>
      <c r="E905" s="234" t="s">
        <v>1123</v>
      </c>
      <c r="F905" s="235" t="s">
        <v>1225</v>
      </c>
      <c r="G905" s="284">
        <f>IFERROR(VLOOKUP(E905,Assign!$C$2:$J$142,8,FALSE),)</f>
        <v>0</v>
      </c>
      <c r="H905" s="197" t="s">
        <v>4142</v>
      </c>
      <c r="I905" s="324" t="s">
        <v>4143</v>
      </c>
      <c r="J905" s="237">
        <v>1</v>
      </c>
      <c r="K905" s="237">
        <v>1</v>
      </c>
      <c r="L905" s="265" t="s">
        <v>214</v>
      </c>
      <c r="M905" s="266" t="s">
        <v>338</v>
      </c>
      <c r="N905" s="266" t="s">
        <v>1717</v>
      </c>
      <c r="O905" s="267" t="s">
        <v>1718</v>
      </c>
      <c r="P905" s="268" t="s">
        <v>478</v>
      </c>
      <c r="Q905" s="269">
        <v>25606.799999999999</v>
      </c>
      <c r="R905" s="269">
        <v>176.65629999999999</v>
      </c>
      <c r="S905" s="270"/>
      <c r="T905" s="182">
        <f>92.4206/25606.8</f>
        <v>3.609220988175016E-3</v>
      </c>
      <c r="U905" s="182">
        <v>1</v>
      </c>
      <c r="V905" s="408">
        <v>2</v>
      </c>
      <c r="W905" s="357" t="s">
        <v>204</v>
      </c>
      <c r="X905" s="156">
        <v>120000000</v>
      </c>
      <c r="Y905" s="156">
        <v>120000000</v>
      </c>
      <c r="Z905" s="418" t="s">
        <v>359</v>
      </c>
      <c r="AA905" s="271">
        <v>1</v>
      </c>
      <c r="AB905" s="168" t="s">
        <v>204</v>
      </c>
      <c r="AC905" s="156">
        <v>58000000</v>
      </c>
      <c r="AD905" s="156">
        <v>58000000</v>
      </c>
      <c r="AE905" s="320"/>
      <c r="AF905" s="168"/>
      <c r="AG905" s="156"/>
      <c r="AH905" s="156"/>
      <c r="AI905" s="410"/>
    </row>
    <row r="906" spans="1:35" ht="19.5" hidden="1" customHeight="1">
      <c r="A906" s="137"/>
      <c r="B906" s="197">
        <f t="shared" si="16"/>
        <v>896</v>
      </c>
      <c r="C906" s="30" t="s">
        <v>202</v>
      </c>
      <c r="D906" s="30" t="s">
        <v>225</v>
      </c>
      <c r="E906" s="234" t="s">
        <v>1124</v>
      </c>
      <c r="F906" s="235" t="s">
        <v>1221</v>
      </c>
      <c r="G906" s="284">
        <f>IFERROR(VLOOKUP(E906,Assign!$C$2:$J$142,8,FALSE),)</f>
        <v>0</v>
      </c>
      <c r="H906" s="197" t="s">
        <v>4042</v>
      </c>
      <c r="I906" s="324" t="s">
        <v>4043</v>
      </c>
      <c r="J906" s="237">
        <v>1</v>
      </c>
      <c r="K906" s="237">
        <v>1</v>
      </c>
      <c r="L906" s="265" t="s">
        <v>220</v>
      </c>
      <c r="M906" s="266" t="s">
        <v>564</v>
      </c>
      <c r="N906" s="266" t="s">
        <v>1618</v>
      </c>
      <c r="O906" s="267" t="s">
        <v>1619</v>
      </c>
      <c r="P906" s="268" t="s">
        <v>3528</v>
      </c>
      <c r="Q906" s="269">
        <f>376+1214+4339+2127+3</f>
        <v>8059</v>
      </c>
      <c r="R906" s="269">
        <v>59.88</v>
      </c>
      <c r="S906" s="270"/>
      <c r="T906" s="182">
        <f>(1.7345+5.6003+20.0162+9.812+0.014)/(376+1214+4339+2127+3)</f>
        <v>4.6131033627000865E-3</v>
      </c>
      <c r="U906" s="182">
        <v>1</v>
      </c>
      <c r="V906" s="408">
        <v>1</v>
      </c>
      <c r="W906" s="357" t="s">
        <v>204</v>
      </c>
      <c r="X906" s="156">
        <v>134400000</v>
      </c>
      <c r="Y906" s="156">
        <v>134400000</v>
      </c>
      <c r="Z906" s="418" t="s">
        <v>359</v>
      </c>
      <c r="AA906" s="271"/>
      <c r="AB906" s="168"/>
      <c r="AC906" s="156"/>
      <c r="AD906" s="156"/>
      <c r="AE906" s="320"/>
      <c r="AF906" s="168"/>
      <c r="AG906" s="156"/>
      <c r="AH906" s="156"/>
      <c r="AI906" s="410"/>
    </row>
    <row r="907" spans="1:35" ht="19.5" hidden="1" customHeight="1">
      <c r="A907" s="137"/>
      <c r="B907" s="197">
        <f t="shared" ref="B907:B970" si="17">ROW()-10</f>
        <v>897</v>
      </c>
      <c r="C907" s="30" t="s">
        <v>202</v>
      </c>
      <c r="D907" s="30" t="s">
        <v>225</v>
      </c>
      <c r="E907" s="234" t="s">
        <v>1125</v>
      </c>
      <c r="F907" s="235" t="s">
        <v>1287</v>
      </c>
      <c r="G907" s="284">
        <f>IFERROR(VLOOKUP(E907,Assign!$C$2:$J$142,8,FALSE),)</f>
        <v>0</v>
      </c>
      <c r="H907" s="197" t="s">
        <v>4773</v>
      </c>
      <c r="I907" s="324" t="s">
        <v>4774</v>
      </c>
      <c r="J907" s="237">
        <v>1</v>
      </c>
      <c r="K907" s="237">
        <v>1</v>
      </c>
      <c r="L907" s="265" t="s">
        <v>208</v>
      </c>
      <c r="M907" s="266" t="s">
        <v>234</v>
      </c>
      <c r="N907" s="266" t="s">
        <v>2305</v>
      </c>
      <c r="O907" s="267" t="s">
        <v>2306</v>
      </c>
      <c r="P907" s="268" t="s">
        <v>1664</v>
      </c>
      <c r="Q907" s="269">
        <v>30237</v>
      </c>
      <c r="R907" s="269">
        <v>59.88</v>
      </c>
      <c r="S907" s="270"/>
      <c r="T907" s="182">
        <f>36.941/30237</f>
        <v>1.2217151172404671E-3</v>
      </c>
      <c r="U907" s="182">
        <v>1</v>
      </c>
      <c r="V907" s="408">
        <v>1</v>
      </c>
      <c r="W907" s="357" t="s">
        <v>204</v>
      </c>
      <c r="X907" s="156">
        <v>134400000</v>
      </c>
      <c r="Y907" s="156">
        <v>134400000</v>
      </c>
      <c r="Z907" s="418" t="s">
        <v>359</v>
      </c>
      <c r="AA907" s="271"/>
      <c r="AB907" s="168"/>
      <c r="AC907" s="156"/>
      <c r="AD907" s="156"/>
      <c r="AE907" s="320"/>
      <c r="AF907" s="168"/>
      <c r="AG907" s="156"/>
      <c r="AH907" s="156"/>
      <c r="AI907" s="410"/>
    </row>
    <row r="908" spans="1:35" ht="19.5" customHeight="1">
      <c r="A908" s="137"/>
      <c r="B908" s="197">
        <f t="shared" si="17"/>
        <v>898</v>
      </c>
      <c r="C908" s="30" t="s">
        <v>202</v>
      </c>
      <c r="D908" s="30" t="s">
        <v>225</v>
      </c>
      <c r="E908" s="234" t="s">
        <v>1126</v>
      </c>
      <c r="F908" s="235" t="s">
        <v>1265</v>
      </c>
      <c r="G908" s="284" t="str">
        <f>IFERROR(VLOOKUP(E908,Assign!$C$2:$J$142,8,FALSE),)</f>
        <v>문선영</v>
      </c>
      <c r="H908" s="197" t="s">
        <v>4132</v>
      </c>
      <c r="I908" s="490" t="s">
        <v>4133</v>
      </c>
      <c r="J908" s="237">
        <v>1</v>
      </c>
      <c r="K908" s="237">
        <v>1</v>
      </c>
      <c r="L908" s="265" t="s">
        <v>211</v>
      </c>
      <c r="M908" s="266" t="s">
        <v>329</v>
      </c>
      <c r="N908" s="266" t="s">
        <v>1708</v>
      </c>
      <c r="O908" s="267" t="s">
        <v>1709</v>
      </c>
      <c r="P908" s="268" t="s">
        <v>3508</v>
      </c>
      <c r="Q908" s="269">
        <v>42480.4</v>
      </c>
      <c r="R908" s="269">
        <v>59.840400000000002</v>
      </c>
      <c r="S908" s="270"/>
      <c r="T908" s="182">
        <f>36.2/42480.4</f>
        <v>8.5215770096326777E-4</v>
      </c>
      <c r="U908" s="182">
        <v>1</v>
      </c>
      <c r="V908" s="408">
        <v>1</v>
      </c>
      <c r="W908" s="357" t="s">
        <v>204</v>
      </c>
      <c r="X908" s="156">
        <v>104400000</v>
      </c>
      <c r="Y908" s="156">
        <v>104400000</v>
      </c>
      <c r="Z908" s="418" t="s">
        <v>359</v>
      </c>
      <c r="AA908" s="271"/>
      <c r="AB908" s="168"/>
      <c r="AC908" s="156"/>
      <c r="AD908" s="156"/>
      <c r="AE908" s="320"/>
      <c r="AF908" s="168"/>
      <c r="AG908" s="156"/>
      <c r="AH908" s="156"/>
      <c r="AI908" s="410"/>
    </row>
    <row r="909" spans="1:35" ht="19.5" hidden="1" customHeight="1">
      <c r="A909" s="137"/>
      <c r="B909" s="197">
        <f t="shared" si="17"/>
        <v>899</v>
      </c>
      <c r="C909" s="30" t="s">
        <v>202</v>
      </c>
      <c r="D909" s="30" t="s">
        <v>225</v>
      </c>
      <c r="E909" s="234" t="s">
        <v>1127</v>
      </c>
      <c r="F909" s="235" t="s">
        <v>1224</v>
      </c>
      <c r="G909" s="284">
        <f>IFERROR(VLOOKUP(E909,Assign!$C$2:$J$142,8,FALSE),)</f>
        <v>0</v>
      </c>
      <c r="H909" s="197" t="s">
        <v>4650</v>
      </c>
      <c r="I909" s="324" t="s">
        <v>4651</v>
      </c>
      <c r="J909" s="237">
        <v>1</v>
      </c>
      <c r="K909" s="237">
        <v>1</v>
      </c>
      <c r="L909" s="265" t="s">
        <v>212</v>
      </c>
      <c r="M909" s="266" t="s">
        <v>232</v>
      </c>
      <c r="N909" s="266" t="s">
        <v>367</v>
      </c>
      <c r="O909" s="267" t="s">
        <v>2183</v>
      </c>
      <c r="P909" s="268" t="s">
        <v>432</v>
      </c>
      <c r="Q909" s="269">
        <v>15786.5</v>
      </c>
      <c r="R909" s="269">
        <v>25.58</v>
      </c>
      <c r="S909" s="270"/>
      <c r="T909" s="182">
        <f>7.59/15786.5</f>
        <v>4.8079054888670701E-4</v>
      </c>
      <c r="U909" s="182">
        <v>1</v>
      </c>
      <c r="V909" s="408">
        <v>1</v>
      </c>
      <c r="W909" s="357" t="s">
        <v>204</v>
      </c>
      <c r="X909" s="156">
        <v>103200000</v>
      </c>
      <c r="Y909" s="156">
        <v>103200000</v>
      </c>
      <c r="Z909" s="418" t="s">
        <v>359</v>
      </c>
      <c r="AA909" s="271"/>
      <c r="AB909" s="168"/>
      <c r="AC909" s="156"/>
      <c r="AD909" s="156"/>
      <c r="AE909" s="320"/>
      <c r="AF909" s="168"/>
      <c r="AG909" s="156"/>
      <c r="AH909" s="156"/>
      <c r="AI909" s="410"/>
    </row>
    <row r="910" spans="1:35" ht="19.5" hidden="1" customHeight="1">
      <c r="A910" s="137"/>
      <c r="B910" s="197">
        <f t="shared" si="17"/>
        <v>900</v>
      </c>
      <c r="C910" s="30" t="s">
        <v>202</v>
      </c>
      <c r="D910" s="30" t="s">
        <v>225</v>
      </c>
      <c r="E910" s="234" t="s">
        <v>1128</v>
      </c>
      <c r="F910" s="235" t="s">
        <v>1225</v>
      </c>
      <c r="G910" s="284">
        <f>IFERROR(VLOOKUP(E910,Assign!$C$2:$J$142,8,FALSE),)</f>
        <v>0</v>
      </c>
      <c r="H910" s="197" t="s">
        <v>4901</v>
      </c>
      <c r="I910" s="324" t="s">
        <v>4902</v>
      </c>
      <c r="J910" s="237">
        <v>1</v>
      </c>
      <c r="K910" s="237">
        <v>1</v>
      </c>
      <c r="L910" s="265" t="s">
        <v>208</v>
      </c>
      <c r="M910" s="266" t="s">
        <v>385</v>
      </c>
      <c r="N910" s="266" t="s">
        <v>2420</v>
      </c>
      <c r="O910" s="267" t="s">
        <v>2421</v>
      </c>
      <c r="P910" s="268" t="s">
        <v>1453</v>
      </c>
      <c r="Q910" s="269">
        <v>550</v>
      </c>
      <c r="R910" s="269">
        <v>42.49</v>
      </c>
      <c r="S910" s="270"/>
      <c r="T910" s="182">
        <f>41.845/550</f>
        <v>7.6081818181818181E-2</v>
      </c>
      <c r="U910" s="182">
        <v>1</v>
      </c>
      <c r="V910" s="408">
        <v>1</v>
      </c>
      <c r="W910" s="357" t="s">
        <v>204</v>
      </c>
      <c r="X910" s="156">
        <v>132000000</v>
      </c>
      <c r="Y910" s="156">
        <v>132000000</v>
      </c>
      <c r="Z910" s="418" t="s">
        <v>359</v>
      </c>
      <c r="AA910" s="271"/>
      <c r="AB910" s="168"/>
      <c r="AC910" s="156"/>
      <c r="AD910" s="156"/>
      <c r="AE910" s="320"/>
      <c r="AF910" s="168"/>
      <c r="AG910" s="156"/>
      <c r="AH910" s="156"/>
      <c r="AI910" s="410"/>
    </row>
    <row r="911" spans="1:35" ht="19.5" hidden="1" customHeight="1">
      <c r="A911" s="137"/>
      <c r="B911" s="197">
        <f t="shared" si="17"/>
        <v>901</v>
      </c>
      <c r="C911" s="30" t="s">
        <v>202</v>
      </c>
      <c r="D911" s="30" t="s">
        <v>225</v>
      </c>
      <c r="E911" s="234" t="s">
        <v>1129</v>
      </c>
      <c r="F911" s="235" t="s">
        <v>1218</v>
      </c>
      <c r="G911" s="284">
        <f>IFERROR(VLOOKUP(E911,Assign!$C$2:$J$142,8,FALSE),)</f>
        <v>0</v>
      </c>
      <c r="H911" s="197" t="s">
        <v>4108</v>
      </c>
      <c r="I911" s="324" t="s">
        <v>4109</v>
      </c>
      <c r="J911" s="237">
        <v>1</v>
      </c>
      <c r="K911" s="237">
        <v>1</v>
      </c>
      <c r="L911" s="265" t="s">
        <v>212</v>
      </c>
      <c r="M911" s="266" t="s">
        <v>300</v>
      </c>
      <c r="N911" s="266" t="s">
        <v>1684</v>
      </c>
      <c r="O911" s="267" t="s">
        <v>1685</v>
      </c>
      <c r="P911" s="268" t="s">
        <v>440</v>
      </c>
      <c r="Q911" s="269">
        <v>437.2</v>
      </c>
      <c r="R911" s="269">
        <v>33.6</v>
      </c>
      <c r="S911" s="270"/>
      <c r="T911" s="182">
        <f>27.33/437.2</f>
        <v>6.2511436413540705E-2</v>
      </c>
      <c r="U911" s="182">
        <v>1</v>
      </c>
      <c r="V911" s="408">
        <v>1</v>
      </c>
      <c r="W911" s="357" t="s">
        <v>204</v>
      </c>
      <c r="X911" s="156">
        <v>120000000</v>
      </c>
      <c r="Y911" s="156">
        <v>120000000</v>
      </c>
      <c r="Z911" s="418" t="s">
        <v>359</v>
      </c>
      <c r="AA911" s="271"/>
      <c r="AB911" s="168"/>
      <c r="AC911" s="156"/>
      <c r="AD911" s="156"/>
      <c r="AE911" s="320"/>
      <c r="AF911" s="168"/>
      <c r="AG911" s="156"/>
      <c r="AH911" s="156"/>
      <c r="AI911" s="410"/>
    </row>
    <row r="912" spans="1:35" ht="19.5" customHeight="1">
      <c r="A912" s="137"/>
      <c r="B912" s="197">
        <f t="shared" si="17"/>
        <v>902</v>
      </c>
      <c r="C912" s="30" t="s">
        <v>202</v>
      </c>
      <c r="D912" s="30" t="s">
        <v>225</v>
      </c>
      <c r="E912" s="234" t="s">
        <v>1130</v>
      </c>
      <c r="F912" s="235" t="s">
        <v>1217</v>
      </c>
      <c r="G912" s="284" t="str">
        <f>IFERROR(VLOOKUP(E912,Assign!$C$2:$J$142,8,FALSE),)</f>
        <v>문선영</v>
      </c>
      <c r="H912" s="197" t="s">
        <v>4801</v>
      </c>
      <c r="I912" s="490" t="s">
        <v>4802</v>
      </c>
      <c r="J912" s="237">
        <v>1</v>
      </c>
      <c r="K912" s="237">
        <v>1</v>
      </c>
      <c r="L912" s="265" t="s">
        <v>208</v>
      </c>
      <c r="M912" s="266" t="s">
        <v>228</v>
      </c>
      <c r="N912" s="266" t="s">
        <v>374</v>
      </c>
      <c r="O912" s="267" t="s">
        <v>2330</v>
      </c>
      <c r="P912" s="268" t="s">
        <v>1664</v>
      </c>
      <c r="Q912" s="269">
        <v>36894.1</v>
      </c>
      <c r="R912" s="269">
        <v>84.2119</v>
      </c>
      <c r="S912" s="270"/>
      <c r="T912" s="182">
        <f>52.7058/36894.1</f>
        <v>1.4285698797368686E-3</v>
      </c>
      <c r="U912" s="182">
        <v>1</v>
      </c>
      <c r="V912" s="408">
        <v>1</v>
      </c>
      <c r="W912" s="357" t="s">
        <v>204</v>
      </c>
      <c r="X912" s="156">
        <v>108000000</v>
      </c>
      <c r="Y912" s="156">
        <v>108000000</v>
      </c>
      <c r="Z912" s="418" t="s">
        <v>359</v>
      </c>
      <c r="AA912" s="271"/>
      <c r="AB912" s="168"/>
      <c r="AC912" s="156"/>
      <c r="AD912" s="156"/>
      <c r="AE912" s="320"/>
      <c r="AF912" s="168"/>
      <c r="AG912" s="156"/>
      <c r="AH912" s="156"/>
      <c r="AI912" s="410"/>
    </row>
    <row r="913" spans="1:35" ht="19.5" customHeight="1">
      <c r="A913" s="137"/>
      <c r="B913" s="197">
        <f t="shared" si="17"/>
        <v>903</v>
      </c>
      <c r="C913" s="30" t="s">
        <v>202</v>
      </c>
      <c r="D913" s="30" t="s">
        <v>225</v>
      </c>
      <c r="E913" s="234" t="s">
        <v>1131</v>
      </c>
      <c r="F913" s="235" t="s">
        <v>1223</v>
      </c>
      <c r="G913" s="284" t="str">
        <f>IFERROR(VLOOKUP(E913,Assign!$C$2:$J$142,8,FALSE),)</f>
        <v>문선영</v>
      </c>
      <c r="H913" s="197" t="s">
        <v>4272</v>
      </c>
      <c r="I913" s="490" t="s">
        <v>4273</v>
      </c>
      <c r="J913" s="237">
        <v>1</v>
      </c>
      <c r="K913" s="237">
        <v>1</v>
      </c>
      <c r="L913" s="265" t="s">
        <v>213</v>
      </c>
      <c r="M913" s="266" t="s">
        <v>1840</v>
      </c>
      <c r="N913" s="266" t="s">
        <v>1841</v>
      </c>
      <c r="O913" s="267" t="s">
        <v>1842</v>
      </c>
      <c r="P913" s="268" t="s">
        <v>1843</v>
      </c>
      <c r="Q913" s="269">
        <v>850.7</v>
      </c>
      <c r="R913" s="269">
        <v>75.099999999999994</v>
      </c>
      <c r="S913" s="270"/>
      <c r="T913" s="182">
        <f>12.05/850.7</f>
        <v>1.4164805454331728E-2</v>
      </c>
      <c r="U913" s="182">
        <v>1</v>
      </c>
      <c r="V913" s="408">
        <v>1</v>
      </c>
      <c r="W913" s="357" t="s">
        <v>204</v>
      </c>
      <c r="X913" s="156">
        <v>151200000</v>
      </c>
      <c r="Y913" s="156">
        <v>151200000</v>
      </c>
      <c r="Z913" s="418" t="s">
        <v>359</v>
      </c>
      <c r="AA913" s="271"/>
      <c r="AB913" s="168"/>
      <c r="AC913" s="156"/>
      <c r="AD913" s="156"/>
      <c r="AE913" s="320"/>
      <c r="AF913" s="168"/>
      <c r="AG913" s="156"/>
      <c r="AH913" s="156"/>
      <c r="AI913" s="410"/>
    </row>
    <row r="914" spans="1:35" ht="19.5" hidden="1" customHeight="1">
      <c r="A914" s="137"/>
      <c r="B914" s="197">
        <f t="shared" si="17"/>
        <v>904</v>
      </c>
      <c r="C914" s="30" t="s">
        <v>202</v>
      </c>
      <c r="D914" s="30" t="s">
        <v>225</v>
      </c>
      <c r="E914" s="234" t="s">
        <v>1132</v>
      </c>
      <c r="F914" s="235" t="s">
        <v>1217</v>
      </c>
      <c r="G914" s="284">
        <f>IFERROR(VLOOKUP(E914,Assign!$C$2:$J$142,8,FALSE),)</f>
        <v>0</v>
      </c>
      <c r="H914" s="197" t="s">
        <v>4258</v>
      </c>
      <c r="I914" s="324" t="s">
        <v>4259</v>
      </c>
      <c r="J914" s="237">
        <v>1</v>
      </c>
      <c r="K914" s="237">
        <v>1</v>
      </c>
      <c r="L914" s="265" t="s">
        <v>214</v>
      </c>
      <c r="M914" s="266" t="s">
        <v>1673</v>
      </c>
      <c r="N914" s="266" t="s">
        <v>1825</v>
      </c>
      <c r="O914" s="267" t="s">
        <v>1826</v>
      </c>
      <c r="P914" s="268" t="s">
        <v>1827</v>
      </c>
      <c r="Q914" s="269">
        <f>3334.2+5975.9</f>
        <v>9310.0999999999985</v>
      </c>
      <c r="R914" s="269">
        <v>23.4589</v>
      </c>
      <c r="S914" s="270"/>
      <c r="T914" s="182">
        <f>6.8683/9310.1</f>
        <v>7.3772569574977707E-4</v>
      </c>
      <c r="U914" s="182">
        <v>1</v>
      </c>
      <c r="V914" s="408">
        <v>1</v>
      </c>
      <c r="W914" s="357" t="s">
        <v>204</v>
      </c>
      <c r="X914" s="156">
        <v>120000000</v>
      </c>
      <c r="Y914" s="156">
        <v>120000000</v>
      </c>
      <c r="Z914" s="418" t="s">
        <v>359</v>
      </c>
      <c r="AA914" s="271"/>
      <c r="AB914" s="168"/>
      <c r="AC914" s="156"/>
      <c r="AD914" s="156"/>
      <c r="AE914" s="320"/>
      <c r="AF914" s="168"/>
      <c r="AG914" s="156"/>
      <c r="AH914" s="156"/>
      <c r="AI914" s="410"/>
    </row>
    <row r="915" spans="1:35" ht="19.5" hidden="1" customHeight="1">
      <c r="A915" s="137"/>
      <c r="B915" s="197">
        <f t="shared" si="17"/>
        <v>905</v>
      </c>
      <c r="C915" s="30" t="s">
        <v>202</v>
      </c>
      <c r="D915" s="30" t="s">
        <v>225</v>
      </c>
      <c r="E915" s="234" t="s">
        <v>1133</v>
      </c>
      <c r="F915" s="235" t="s">
        <v>1229</v>
      </c>
      <c r="G915" s="284">
        <f>IFERROR(VLOOKUP(E915,Assign!$C$2:$J$142,8,FALSE),)</f>
        <v>0</v>
      </c>
      <c r="H915" s="197" t="s">
        <v>4151</v>
      </c>
      <c r="I915" s="324" t="s">
        <v>4152</v>
      </c>
      <c r="J915" s="237">
        <v>1</v>
      </c>
      <c r="K915" s="237">
        <v>1</v>
      </c>
      <c r="L915" s="265" t="s">
        <v>208</v>
      </c>
      <c r="M915" s="266" t="s">
        <v>228</v>
      </c>
      <c r="N915" s="266" t="s">
        <v>1725</v>
      </c>
      <c r="O915" s="267" t="s">
        <v>1726</v>
      </c>
      <c r="P915" s="268" t="s">
        <v>434</v>
      </c>
      <c r="Q915" s="269">
        <v>32157</v>
      </c>
      <c r="R915" s="269">
        <v>84.988399999999999</v>
      </c>
      <c r="S915" s="270"/>
      <c r="T915" s="182">
        <f>54.764/33256</f>
        <v>1.6467404378157325E-3</v>
      </c>
      <c r="U915" s="182">
        <v>1</v>
      </c>
      <c r="V915" s="408">
        <v>2</v>
      </c>
      <c r="W915" s="357" t="s">
        <v>204</v>
      </c>
      <c r="X915" s="156">
        <v>108000000</v>
      </c>
      <c r="Y915" s="156">
        <v>108000000</v>
      </c>
      <c r="Z915" s="418" t="s">
        <v>359</v>
      </c>
      <c r="AA915" s="271">
        <v>1</v>
      </c>
      <c r="AB915" s="168" t="s">
        <v>204</v>
      </c>
      <c r="AC915" s="156">
        <v>155000000</v>
      </c>
      <c r="AD915" s="156">
        <v>155000000</v>
      </c>
      <c r="AE915" s="320"/>
      <c r="AF915" s="168"/>
      <c r="AG915" s="156"/>
      <c r="AH915" s="156"/>
      <c r="AI915" s="410"/>
    </row>
    <row r="916" spans="1:35" ht="19.5" hidden="1" customHeight="1">
      <c r="A916" s="137"/>
      <c r="B916" s="197">
        <f t="shared" si="17"/>
        <v>906</v>
      </c>
      <c r="C916" s="30" t="s">
        <v>202</v>
      </c>
      <c r="D916" s="30" t="s">
        <v>225</v>
      </c>
      <c r="E916" s="234" t="s">
        <v>1134</v>
      </c>
      <c r="F916" s="235" t="s">
        <v>1265</v>
      </c>
      <c r="G916" s="284">
        <f>IFERROR(VLOOKUP(E916,Assign!$C$2:$J$142,8,FALSE),)</f>
        <v>0</v>
      </c>
      <c r="H916" s="197" t="s">
        <v>4474</v>
      </c>
      <c r="I916" s="324" t="s">
        <v>4475</v>
      </c>
      <c r="J916" s="237">
        <v>1</v>
      </c>
      <c r="K916" s="237">
        <v>1</v>
      </c>
      <c r="L916" s="265" t="s">
        <v>208</v>
      </c>
      <c r="M916" s="266" t="s">
        <v>315</v>
      </c>
      <c r="N916" s="266" t="s">
        <v>2017</v>
      </c>
      <c r="O916" s="267" t="s">
        <v>2018</v>
      </c>
      <c r="P916" s="268" t="s">
        <v>2019</v>
      </c>
      <c r="Q916" s="269">
        <v>6643.7</v>
      </c>
      <c r="R916" s="269">
        <v>24.03</v>
      </c>
      <c r="S916" s="270"/>
      <c r="T916" s="182">
        <f>8.038/6643.7</f>
        <v>1.2098679952436144E-3</v>
      </c>
      <c r="U916" s="182">
        <v>1</v>
      </c>
      <c r="V916" s="408">
        <v>1</v>
      </c>
      <c r="W916" s="357" t="s">
        <v>204</v>
      </c>
      <c r="X916" s="156">
        <v>93600000</v>
      </c>
      <c r="Y916" s="156">
        <v>93600000</v>
      </c>
      <c r="Z916" s="418" t="s">
        <v>359</v>
      </c>
      <c r="AA916" s="271"/>
      <c r="AB916" s="168"/>
      <c r="AC916" s="156"/>
      <c r="AD916" s="156"/>
      <c r="AE916" s="320"/>
      <c r="AF916" s="168"/>
      <c r="AG916" s="156"/>
      <c r="AH916" s="156"/>
      <c r="AI916" s="410"/>
    </row>
    <row r="917" spans="1:35" ht="19.5" hidden="1" customHeight="1">
      <c r="A917" s="137"/>
      <c r="B917" s="197">
        <f t="shared" si="17"/>
        <v>907</v>
      </c>
      <c r="C917" s="30" t="s">
        <v>202</v>
      </c>
      <c r="D917" s="30" t="s">
        <v>225</v>
      </c>
      <c r="E917" s="234" t="s">
        <v>1135</v>
      </c>
      <c r="F917" s="235" t="s">
        <v>1232</v>
      </c>
      <c r="G917" s="284">
        <f>IFERROR(VLOOKUP(E917,Assign!$C$2:$J$142,8,FALSE),)</f>
        <v>0</v>
      </c>
      <c r="H917" s="197" t="s">
        <v>4563</v>
      </c>
      <c r="I917" s="324" t="s">
        <v>4564</v>
      </c>
      <c r="J917" s="237">
        <v>1</v>
      </c>
      <c r="K917" s="237">
        <v>1</v>
      </c>
      <c r="L917" s="265" t="s">
        <v>209</v>
      </c>
      <c r="M917" s="266" t="s">
        <v>319</v>
      </c>
      <c r="N917" s="266" t="s">
        <v>1928</v>
      </c>
      <c r="O917" s="267" t="s">
        <v>2101</v>
      </c>
      <c r="P917" s="268" t="s">
        <v>2102</v>
      </c>
      <c r="Q917" s="269">
        <v>224</v>
      </c>
      <c r="R917" s="269">
        <v>59.63</v>
      </c>
      <c r="S917" s="270"/>
      <c r="T917" s="182">
        <f>28/224</f>
        <v>0.125</v>
      </c>
      <c r="U917" s="182">
        <v>1</v>
      </c>
      <c r="V917" s="408">
        <v>1</v>
      </c>
      <c r="W917" s="357" t="s">
        <v>204</v>
      </c>
      <c r="X917" s="156">
        <v>129600000</v>
      </c>
      <c r="Y917" s="156">
        <v>129600000</v>
      </c>
      <c r="Z917" s="418" t="s">
        <v>359</v>
      </c>
      <c r="AA917" s="271"/>
      <c r="AB917" s="168"/>
      <c r="AC917" s="156"/>
      <c r="AD917" s="156"/>
      <c r="AE917" s="320"/>
      <c r="AF917" s="168"/>
      <c r="AG917" s="156"/>
      <c r="AH917" s="156"/>
      <c r="AI917" s="410"/>
    </row>
    <row r="918" spans="1:35" ht="19.5" customHeight="1">
      <c r="A918" s="137"/>
      <c r="B918" s="197">
        <f t="shared" si="17"/>
        <v>908</v>
      </c>
      <c r="C918" s="30" t="s">
        <v>202</v>
      </c>
      <c r="D918" s="30" t="s">
        <v>225</v>
      </c>
      <c r="E918" s="234" t="s">
        <v>1136</v>
      </c>
      <c r="F918" s="235" t="s">
        <v>1239</v>
      </c>
      <c r="G918" s="284" t="str">
        <f>IFERROR(VLOOKUP(E918,Assign!$C$2:$J$142,8,FALSE),)</f>
        <v>문선영</v>
      </c>
      <c r="H918" s="197" t="s">
        <v>4467</v>
      </c>
      <c r="I918" s="490" t="s">
        <v>4468</v>
      </c>
      <c r="J918" s="237">
        <v>1</v>
      </c>
      <c r="K918" s="237">
        <v>1</v>
      </c>
      <c r="L918" s="265" t="s">
        <v>217</v>
      </c>
      <c r="M918" s="266" t="s">
        <v>2010</v>
      </c>
      <c r="N918" s="266" t="s">
        <v>2011</v>
      </c>
      <c r="O918" s="267" t="s">
        <v>2012</v>
      </c>
      <c r="P918" s="268" t="s">
        <v>3519</v>
      </c>
      <c r="Q918" s="269">
        <v>10766</v>
      </c>
      <c r="R918" s="269">
        <v>84.93</v>
      </c>
      <c r="S918" s="270"/>
      <c r="T918" s="182">
        <f>4007/1076600</f>
        <v>3.7219022849712055E-3</v>
      </c>
      <c r="U918" s="182">
        <v>1</v>
      </c>
      <c r="V918" s="408">
        <v>1</v>
      </c>
      <c r="W918" s="357" t="s">
        <v>204</v>
      </c>
      <c r="X918" s="156">
        <v>129600000</v>
      </c>
      <c r="Y918" s="156">
        <v>129600000</v>
      </c>
      <c r="Z918" s="418" t="s">
        <v>359</v>
      </c>
      <c r="AA918" s="271"/>
      <c r="AB918" s="168"/>
      <c r="AC918" s="156"/>
      <c r="AD918" s="156"/>
      <c r="AE918" s="320"/>
      <c r="AF918" s="168"/>
      <c r="AG918" s="156"/>
      <c r="AH918" s="156"/>
      <c r="AI918" s="410"/>
    </row>
    <row r="919" spans="1:35" ht="19.5" customHeight="1">
      <c r="A919" s="137"/>
      <c r="B919" s="197">
        <f t="shared" si="17"/>
        <v>909</v>
      </c>
      <c r="C919" s="30" t="s">
        <v>202</v>
      </c>
      <c r="D919" s="30" t="s">
        <v>225</v>
      </c>
      <c r="E919" s="234" t="s">
        <v>1137</v>
      </c>
      <c r="F919" s="235" t="s">
        <v>1363</v>
      </c>
      <c r="G919" s="284" t="str">
        <f>IFERROR(VLOOKUP(E919,Assign!$C$2:$J$142,8,FALSE),)</f>
        <v>문선영</v>
      </c>
      <c r="H919" s="197" t="s">
        <v>5288</v>
      </c>
      <c r="I919" s="490" t="s">
        <v>5289</v>
      </c>
      <c r="J919" s="237">
        <v>1</v>
      </c>
      <c r="K919" s="237">
        <v>1</v>
      </c>
      <c r="L919" s="265" t="s">
        <v>208</v>
      </c>
      <c r="M919" s="266" t="s">
        <v>1987</v>
      </c>
      <c r="N919" s="266" t="s">
        <v>2774</v>
      </c>
      <c r="O919" s="267" t="s">
        <v>2775</v>
      </c>
      <c r="P919" s="268" t="s">
        <v>434</v>
      </c>
      <c r="Q919" s="269">
        <v>22040</v>
      </c>
      <c r="R919" s="269">
        <v>35.768000000000001</v>
      </c>
      <c r="S919" s="270"/>
      <c r="T919" s="182">
        <f>33.508/22040</f>
        <v>1.5203266787658803E-3</v>
      </c>
      <c r="U919" s="182">
        <v>1</v>
      </c>
      <c r="V919" s="408">
        <v>1</v>
      </c>
      <c r="W919" s="357" t="s">
        <v>204</v>
      </c>
      <c r="X919" s="156">
        <v>36000000</v>
      </c>
      <c r="Y919" s="156">
        <v>36000000</v>
      </c>
      <c r="Z919" s="418" t="s">
        <v>359</v>
      </c>
      <c r="AA919" s="271"/>
      <c r="AB919" s="168"/>
      <c r="AC919" s="156"/>
      <c r="AD919" s="156"/>
      <c r="AE919" s="320"/>
      <c r="AF919" s="168"/>
      <c r="AG919" s="156"/>
      <c r="AH919" s="156"/>
      <c r="AI919" s="410"/>
    </row>
    <row r="920" spans="1:35" ht="19.5" customHeight="1">
      <c r="A920" s="137"/>
      <c r="B920" s="197">
        <f t="shared" si="17"/>
        <v>910</v>
      </c>
      <c r="C920" s="30" t="s">
        <v>202</v>
      </c>
      <c r="D920" s="30" t="s">
        <v>225</v>
      </c>
      <c r="E920" s="234" t="s">
        <v>1137</v>
      </c>
      <c r="F920" s="235" t="s">
        <v>1363</v>
      </c>
      <c r="G920" s="284" t="str">
        <f>IFERROR(VLOOKUP(E920,Assign!$C$2:$J$142,8,FALSE),)</f>
        <v>문선영</v>
      </c>
      <c r="H920" s="197" t="s">
        <v>5290</v>
      </c>
      <c r="I920" s="490" t="s">
        <v>5291</v>
      </c>
      <c r="J920" s="237">
        <v>2</v>
      </c>
      <c r="K920" s="237">
        <v>1</v>
      </c>
      <c r="L920" s="265" t="s">
        <v>208</v>
      </c>
      <c r="M920" s="266" t="s">
        <v>1987</v>
      </c>
      <c r="N920" s="266" t="s">
        <v>2774</v>
      </c>
      <c r="O920" s="267" t="s">
        <v>2776</v>
      </c>
      <c r="P920" s="268" t="s">
        <v>434</v>
      </c>
      <c r="Q920" s="269">
        <v>22040</v>
      </c>
      <c r="R920" s="269">
        <v>35.768000000000001</v>
      </c>
      <c r="S920" s="270"/>
      <c r="T920" s="182">
        <f>33.508/22040</f>
        <v>1.5203266787658803E-3</v>
      </c>
      <c r="U920" s="182">
        <v>1</v>
      </c>
      <c r="V920" s="408">
        <v>1</v>
      </c>
      <c r="W920" s="357" t="s">
        <v>204</v>
      </c>
      <c r="X920" s="156">
        <v>36000000</v>
      </c>
      <c r="Y920" s="156">
        <v>36000000</v>
      </c>
      <c r="Z920" s="418" t="s">
        <v>359</v>
      </c>
      <c r="AA920" s="271"/>
      <c r="AB920" s="168"/>
      <c r="AC920" s="156"/>
      <c r="AD920" s="156"/>
      <c r="AE920" s="320"/>
      <c r="AF920" s="168"/>
      <c r="AG920" s="156"/>
      <c r="AH920" s="156"/>
      <c r="AI920" s="410"/>
    </row>
    <row r="921" spans="1:35" ht="19.5" customHeight="1">
      <c r="A921" s="137"/>
      <c r="B921" s="197">
        <f t="shared" si="17"/>
        <v>911</v>
      </c>
      <c r="C921" s="30" t="s">
        <v>202</v>
      </c>
      <c r="D921" s="30" t="s">
        <v>225</v>
      </c>
      <c r="E921" s="234" t="s">
        <v>1137</v>
      </c>
      <c r="F921" s="235" t="s">
        <v>1363</v>
      </c>
      <c r="G921" s="284" t="str">
        <f>IFERROR(VLOOKUP(E921,Assign!$C$2:$J$142,8,FALSE),)</f>
        <v>문선영</v>
      </c>
      <c r="H921" s="197" t="s">
        <v>5292</v>
      </c>
      <c r="I921" s="490" t="s">
        <v>5293</v>
      </c>
      <c r="J921" s="237">
        <v>3</v>
      </c>
      <c r="K921" s="237">
        <v>1</v>
      </c>
      <c r="L921" s="265" t="s">
        <v>208</v>
      </c>
      <c r="M921" s="266" t="s">
        <v>1987</v>
      </c>
      <c r="N921" s="266" t="s">
        <v>2774</v>
      </c>
      <c r="O921" s="267" t="s">
        <v>2777</v>
      </c>
      <c r="P921" s="268" t="s">
        <v>434</v>
      </c>
      <c r="Q921" s="269">
        <v>22040</v>
      </c>
      <c r="R921" s="269">
        <v>35.768000000000001</v>
      </c>
      <c r="S921" s="270"/>
      <c r="T921" s="182">
        <f>33.508/22040</f>
        <v>1.5203266787658803E-3</v>
      </c>
      <c r="U921" s="182">
        <v>1</v>
      </c>
      <c r="V921" s="408">
        <v>1</v>
      </c>
      <c r="W921" s="357" t="s">
        <v>204</v>
      </c>
      <c r="X921" s="156">
        <v>36000000</v>
      </c>
      <c r="Y921" s="156">
        <v>36000000</v>
      </c>
      <c r="Z921" s="418" t="s">
        <v>359</v>
      </c>
      <c r="AA921" s="271"/>
      <c r="AB921" s="168"/>
      <c r="AC921" s="156"/>
      <c r="AD921" s="156"/>
      <c r="AE921" s="320"/>
      <c r="AF921" s="168"/>
      <c r="AG921" s="156"/>
      <c r="AH921" s="156"/>
      <c r="AI921" s="410"/>
    </row>
    <row r="922" spans="1:35" ht="19.5" customHeight="1">
      <c r="A922" s="137"/>
      <c r="B922" s="197">
        <f t="shared" si="17"/>
        <v>912</v>
      </c>
      <c r="C922" s="30" t="s">
        <v>202</v>
      </c>
      <c r="D922" s="30" t="s">
        <v>225</v>
      </c>
      <c r="E922" s="234" t="s">
        <v>1138</v>
      </c>
      <c r="F922" s="235" t="s">
        <v>1225</v>
      </c>
      <c r="G922" s="284" t="str">
        <f>IFERROR(VLOOKUP(E922,Assign!$C$2:$J$142,8,FALSE),)</f>
        <v>문선영</v>
      </c>
      <c r="H922" s="197" t="s">
        <v>4968</v>
      </c>
      <c r="I922" s="490" t="s">
        <v>4969</v>
      </c>
      <c r="J922" s="237">
        <v>1</v>
      </c>
      <c r="K922" s="237">
        <v>1</v>
      </c>
      <c r="L922" s="265" t="s">
        <v>213</v>
      </c>
      <c r="M922" s="266" t="s">
        <v>339</v>
      </c>
      <c r="N922" s="266" t="s">
        <v>2486</v>
      </c>
      <c r="O922" s="267" t="s">
        <v>2487</v>
      </c>
      <c r="P922" s="268" t="s">
        <v>2488</v>
      </c>
      <c r="Q922" s="269">
        <v>616.9</v>
      </c>
      <c r="R922" s="269">
        <v>84.22</v>
      </c>
      <c r="S922" s="270"/>
      <c r="T922" s="182">
        <f>2417/61690</f>
        <v>3.9179769816826068E-2</v>
      </c>
      <c r="U922" s="182">
        <v>1</v>
      </c>
      <c r="V922" s="408">
        <v>1</v>
      </c>
      <c r="W922" s="357" t="s">
        <v>204</v>
      </c>
      <c r="X922" s="156">
        <v>168000000</v>
      </c>
      <c r="Y922" s="156">
        <v>168000000</v>
      </c>
      <c r="Z922" s="418" t="s">
        <v>359</v>
      </c>
      <c r="AA922" s="271"/>
      <c r="AB922" s="168"/>
      <c r="AC922" s="156"/>
      <c r="AD922" s="156"/>
      <c r="AE922" s="320"/>
      <c r="AF922" s="168"/>
      <c r="AG922" s="156"/>
      <c r="AH922" s="156"/>
      <c r="AI922" s="410"/>
    </row>
    <row r="923" spans="1:35" ht="19.5" hidden="1" customHeight="1">
      <c r="A923" s="137"/>
      <c r="B923" s="197">
        <f t="shared" si="17"/>
        <v>913</v>
      </c>
      <c r="C923" s="30" t="s">
        <v>202</v>
      </c>
      <c r="D923" s="30" t="s">
        <v>225</v>
      </c>
      <c r="E923" s="234" t="s">
        <v>1139</v>
      </c>
      <c r="F923" s="235" t="s">
        <v>1225</v>
      </c>
      <c r="G923" s="284">
        <f>IFERROR(VLOOKUP(E923,Assign!$C$2:$J$142,8,FALSE),)</f>
        <v>0</v>
      </c>
      <c r="H923" s="197" t="s">
        <v>4077</v>
      </c>
      <c r="I923" s="324" t="s">
        <v>4078</v>
      </c>
      <c r="J923" s="237">
        <v>1</v>
      </c>
      <c r="K923" s="237">
        <v>1</v>
      </c>
      <c r="L923" s="265" t="s">
        <v>208</v>
      </c>
      <c r="M923" s="266" t="s">
        <v>250</v>
      </c>
      <c r="N923" s="266" t="s">
        <v>1652</v>
      </c>
      <c r="O923" s="267" t="s">
        <v>1653</v>
      </c>
      <c r="P923" s="268" t="s">
        <v>1654</v>
      </c>
      <c r="Q923" s="269">
        <v>546.79999999999995</v>
      </c>
      <c r="R923" s="269">
        <v>59.72</v>
      </c>
      <c r="S923" s="270"/>
      <c r="T923" s="182">
        <f>25.171/546.8</f>
        <v>4.6033284564740311E-2</v>
      </c>
      <c r="U923" s="182">
        <v>1</v>
      </c>
      <c r="V923" s="408">
        <v>2</v>
      </c>
      <c r="W923" s="357" t="s">
        <v>204</v>
      </c>
      <c r="X923" s="156">
        <v>96000000</v>
      </c>
      <c r="Y923" s="156">
        <v>96000000</v>
      </c>
      <c r="Z923" s="418" t="s">
        <v>359</v>
      </c>
      <c r="AA923" s="271">
        <v>1</v>
      </c>
      <c r="AB923" s="168" t="s">
        <v>204</v>
      </c>
      <c r="AC923" s="156">
        <v>6000000</v>
      </c>
      <c r="AD923" s="156">
        <v>6000000</v>
      </c>
      <c r="AE923" s="320"/>
      <c r="AF923" s="168"/>
      <c r="AG923" s="156"/>
      <c r="AH923" s="156"/>
      <c r="AI923" s="410"/>
    </row>
    <row r="924" spans="1:35" ht="19.5" hidden="1" customHeight="1">
      <c r="A924" s="137"/>
      <c r="B924" s="197">
        <f t="shared" si="17"/>
        <v>914</v>
      </c>
      <c r="C924" s="30" t="s">
        <v>202</v>
      </c>
      <c r="D924" s="30" t="s">
        <v>225</v>
      </c>
      <c r="E924" s="234" t="s">
        <v>1140</v>
      </c>
      <c r="F924" s="235" t="s">
        <v>1239</v>
      </c>
      <c r="G924" s="284">
        <f>IFERROR(VLOOKUP(E924,Assign!$C$2:$J$142,8,FALSE),)</f>
        <v>0</v>
      </c>
      <c r="H924" s="197" t="s">
        <v>4452</v>
      </c>
      <c r="I924" s="324" t="s">
        <v>4453</v>
      </c>
      <c r="J924" s="237">
        <v>1</v>
      </c>
      <c r="K924" s="237">
        <v>1</v>
      </c>
      <c r="L924" s="265" t="s">
        <v>208</v>
      </c>
      <c r="M924" s="266" t="s">
        <v>271</v>
      </c>
      <c r="N924" s="266" t="s">
        <v>1482</v>
      </c>
      <c r="O924" s="267" t="s">
        <v>1999</v>
      </c>
      <c r="P924" s="268" t="s">
        <v>3518</v>
      </c>
      <c r="Q924" s="269">
        <v>21073</v>
      </c>
      <c r="R924" s="269">
        <v>59.32</v>
      </c>
      <c r="S924" s="270"/>
      <c r="T924" s="182">
        <f>24.25/21073</f>
        <v>1.1507616381151236E-3</v>
      </c>
      <c r="U924" s="182">
        <v>1</v>
      </c>
      <c r="V924" s="408">
        <v>1</v>
      </c>
      <c r="W924" s="357" t="s">
        <v>204</v>
      </c>
      <c r="X924" s="156">
        <v>91200000</v>
      </c>
      <c r="Y924" s="156">
        <v>91200000</v>
      </c>
      <c r="Z924" s="418" t="s">
        <v>359</v>
      </c>
      <c r="AA924" s="271"/>
      <c r="AB924" s="168"/>
      <c r="AC924" s="156"/>
      <c r="AD924" s="156"/>
      <c r="AE924" s="320"/>
      <c r="AF924" s="168"/>
      <c r="AG924" s="156"/>
      <c r="AH924" s="156"/>
      <c r="AI924" s="410"/>
    </row>
    <row r="925" spans="1:35" ht="19.5" hidden="1" customHeight="1">
      <c r="A925" s="137"/>
      <c r="B925" s="197">
        <f t="shared" si="17"/>
        <v>915</v>
      </c>
      <c r="C925" s="30" t="s">
        <v>202</v>
      </c>
      <c r="D925" s="30" t="s">
        <v>225</v>
      </c>
      <c r="E925" s="234" t="s">
        <v>1141</v>
      </c>
      <c r="F925" s="235" t="s">
        <v>1220</v>
      </c>
      <c r="G925" s="284">
        <f>IFERROR(VLOOKUP(E925,Assign!$C$2:$J$142,8,FALSE),)</f>
        <v>0</v>
      </c>
      <c r="H925" s="29" t="s">
        <v>3906</v>
      </c>
      <c r="I925" s="359" t="s">
        <v>3907</v>
      </c>
      <c r="J925" s="237">
        <v>1</v>
      </c>
      <c r="K925" s="237">
        <v>1</v>
      </c>
      <c r="L925" s="265" t="s">
        <v>208</v>
      </c>
      <c r="M925" s="266" t="s">
        <v>297</v>
      </c>
      <c r="N925" s="266" t="s">
        <v>1475</v>
      </c>
      <c r="O925" s="267" t="s">
        <v>1476</v>
      </c>
      <c r="P925" s="268" t="s">
        <v>1477</v>
      </c>
      <c r="Q925" s="269">
        <v>2648.9</v>
      </c>
      <c r="R925" s="269">
        <v>18.760000000000002</v>
      </c>
      <c r="S925" s="270"/>
      <c r="T925" s="182">
        <f>4.858/2648.9</f>
        <v>1.833968817244894E-3</v>
      </c>
      <c r="U925" s="182">
        <v>1</v>
      </c>
      <c r="V925" s="408">
        <v>1</v>
      </c>
      <c r="W925" s="357" t="s">
        <v>204</v>
      </c>
      <c r="X925" s="156">
        <v>86400000</v>
      </c>
      <c r="Y925" s="156">
        <v>86400000</v>
      </c>
      <c r="Z925" s="418" t="s">
        <v>359</v>
      </c>
      <c r="AA925" s="271"/>
      <c r="AB925" s="168"/>
      <c r="AC925" s="156"/>
      <c r="AD925" s="156"/>
      <c r="AE925" s="320"/>
      <c r="AF925" s="168"/>
      <c r="AG925" s="156"/>
      <c r="AH925" s="156"/>
      <c r="AI925" s="410"/>
    </row>
    <row r="926" spans="1:35" ht="19.5" hidden="1" customHeight="1">
      <c r="A926" s="137"/>
      <c r="B926" s="197">
        <f t="shared" si="17"/>
        <v>916</v>
      </c>
      <c r="C926" s="30" t="s">
        <v>202</v>
      </c>
      <c r="D926" s="30" t="s">
        <v>225</v>
      </c>
      <c r="E926" s="234" t="s">
        <v>1142</v>
      </c>
      <c r="F926" s="235" t="s">
        <v>1251</v>
      </c>
      <c r="G926" s="284">
        <f>IFERROR(VLOOKUP(E926,Assign!$C$2:$J$142,8,FALSE),)</f>
        <v>0</v>
      </c>
      <c r="H926" s="197" t="s">
        <v>4934</v>
      </c>
      <c r="I926" s="324" t="s">
        <v>4935</v>
      </c>
      <c r="J926" s="237">
        <v>1</v>
      </c>
      <c r="K926" s="237">
        <v>1</v>
      </c>
      <c r="L926" s="265" t="s">
        <v>210</v>
      </c>
      <c r="M926" s="266" t="s">
        <v>375</v>
      </c>
      <c r="N926" s="266" t="s">
        <v>2455</v>
      </c>
      <c r="O926" s="267" t="s">
        <v>2456</v>
      </c>
      <c r="P926" s="268" t="s">
        <v>3523</v>
      </c>
      <c r="Q926" s="269">
        <v>353.9</v>
      </c>
      <c r="R926" s="269">
        <v>48.6</v>
      </c>
      <c r="S926" s="270"/>
      <c r="T926" s="182">
        <f>32.43/353.9</f>
        <v>9.163605538287653E-2</v>
      </c>
      <c r="U926" s="182">
        <v>1</v>
      </c>
      <c r="V926" s="408">
        <v>1</v>
      </c>
      <c r="W926" s="357" t="s">
        <v>204</v>
      </c>
      <c r="X926" s="156">
        <v>84000000</v>
      </c>
      <c r="Y926" s="156">
        <v>84000000</v>
      </c>
      <c r="Z926" s="418" t="s">
        <v>359</v>
      </c>
      <c r="AA926" s="271"/>
      <c r="AB926" s="168"/>
      <c r="AC926" s="156"/>
      <c r="AD926" s="156"/>
      <c r="AE926" s="320"/>
      <c r="AF926" s="168"/>
      <c r="AG926" s="156"/>
      <c r="AH926" s="156"/>
      <c r="AI926" s="410"/>
    </row>
    <row r="927" spans="1:35" ht="19.5" customHeight="1">
      <c r="A927" s="137"/>
      <c r="B927" s="197">
        <f t="shared" si="17"/>
        <v>917</v>
      </c>
      <c r="C927" s="30" t="s">
        <v>202</v>
      </c>
      <c r="D927" s="30" t="s">
        <v>225</v>
      </c>
      <c r="E927" s="234" t="s">
        <v>1143</v>
      </c>
      <c r="F927" s="235" t="s">
        <v>1217</v>
      </c>
      <c r="G927" s="284" t="str">
        <f>IFERROR(VLOOKUP(E927,Assign!$C$2:$J$142,8,FALSE),)</f>
        <v>문선영</v>
      </c>
      <c r="H927" s="197" t="s">
        <v>4081</v>
      </c>
      <c r="I927" s="490" t="s">
        <v>4082</v>
      </c>
      <c r="J927" s="237">
        <v>1</v>
      </c>
      <c r="K927" s="237">
        <v>1</v>
      </c>
      <c r="L927" s="265" t="s">
        <v>213</v>
      </c>
      <c r="M927" s="266" t="s">
        <v>371</v>
      </c>
      <c r="N927" s="266" t="s">
        <v>1658</v>
      </c>
      <c r="O927" s="267" t="s">
        <v>1659</v>
      </c>
      <c r="P927" s="268" t="s">
        <v>1610</v>
      </c>
      <c r="Q927" s="269">
        <v>4825</v>
      </c>
      <c r="R927" s="269">
        <v>59.91</v>
      </c>
      <c r="S927" s="270"/>
      <c r="T927" s="182">
        <f>21310/4825000</f>
        <v>4.4165803108808287E-3</v>
      </c>
      <c r="U927" s="182">
        <v>1</v>
      </c>
      <c r="V927" s="408">
        <v>1</v>
      </c>
      <c r="W927" s="357" t="s">
        <v>204</v>
      </c>
      <c r="X927" s="156">
        <v>90000000</v>
      </c>
      <c r="Y927" s="156">
        <v>90000000</v>
      </c>
      <c r="Z927" s="418" t="s">
        <v>359</v>
      </c>
      <c r="AA927" s="271"/>
      <c r="AB927" s="168"/>
      <c r="AC927" s="156"/>
      <c r="AD927" s="156"/>
      <c r="AE927" s="320"/>
      <c r="AF927" s="168"/>
      <c r="AG927" s="156"/>
      <c r="AH927" s="156"/>
      <c r="AI927" s="410"/>
    </row>
    <row r="928" spans="1:35" ht="19.5" hidden="1" customHeight="1">
      <c r="A928" s="137"/>
      <c r="B928" s="197">
        <f t="shared" si="17"/>
        <v>918</v>
      </c>
      <c r="C928" s="30" t="s">
        <v>202</v>
      </c>
      <c r="D928" s="30" t="s">
        <v>225</v>
      </c>
      <c r="E928" s="234" t="s">
        <v>1144</v>
      </c>
      <c r="F928" s="235" t="s">
        <v>1269</v>
      </c>
      <c r="G928" s="284">
        <f>IFERROR(VLOOKUP(E928,Assign!$C$2:$J$142,8,FALSE),)</f>
        <v>0</v>
      </c>
      <c r="H928" s="197" t="s">
        <v>4046</v>
      </c>
      <c r="I928" s="324" t="s">
        <v>4047</v>
      </c>
      <c r="J928" s="237">
        <v>1</v>
      </c>
      <c r="K928" s="237">
        <v>1</v>
      </c>
      <c r="L928" s="265" t="s">
        <v>214</v>
      </c>
      <c r="M928" s="266" t="s">
        <v>349</v>
      </c>
      <c r="N928" s="266" t="s">
        <v>560</v>
      </c>
      <c r="O928" s="267" t="s">
        <v>1623</v>
      </c>
      <c r="P928" s="268" t="s">
        <v>1614</v>
      </c>
      <c r="Q928" s="269">
        <v>3450.7</v>
      </c>
      <c r="R928" s="269">
        <v>20.731999999999999</v>
      </c>
      <c r="S928" s="270"/>
      <c r="T928" s="182">
        <f>4.0161/3450.7</f>
        <v>1.1638508128785463E-3</v>
      </c>
      <c r="U928" s="182">
        <v>1</v>
      </c>
      <c r="V928" s="408">
        <v>1</v>
      </c>
      <c r="W928" s="357" t="s">
        <v>204</v>
      </c>
      <c r="X928" s="156">
        <v>93600000</v>
      </c>
      <c r="Y928" s="156">
        <v>93600000</v>
      </c>
      <c r="Z928" s="418" t="s">
        <v>359</v>
      </c>
      <c r="AA928" s="271"/>
      <c r="AB928" s="168"/>
      <c r="AC928" s="156"/>
      <c r="AD928" s="156"/>
      <c r="AE928" s="320"/>
      <c r="AF928" s="168"/>
      <c r="AG928" s="156"/>
      <c r="AH928" s="156"/>
      <c r="AI928" s="410"/>
    </row>
    <row r="929" spans="1:35" ht="19.5" hidden="1" customHeight="1">
      <c r="A929" s="137"/>
      <c r="B929" s="197">
        <f t="shared" si="17"/>
        <v>919</v>
      </c>
      <c r="C929" s="30" t="s">
        <v>202</v>
      </c>
      <c r="D929" s="30" t="s">
        <v>225</v>
      </c>
      <c r="E929" s="234" t="s">
        <v>1145</v>
      </c>
      <c r="F929" s="235" t="s">
        <v>1234</v>
      </c>
      <c r="G929" s="284">
        <f>IFERROR(VLOOKUP(E929,Assign!$C$2:$J$142,8,FALSE),)</f>
        <v>0</v>
      </c>
      <c r="H929" s="197" t="s">
        <v>4038</v>
      </c>
      <c r="I929" s="324" t="s">
        <v>4039</v>
      </c>
      <c r="J929" s="237">
        <v>1</v>
      </c>
      <c r="K929" s="237">
        <v>1</v>
      </c>
      <c r="L929" s="265" t="s">
        <v>214</v>
      </c>
      <c r="M929" s="266" t="s">
        <v>349</v>
      </c>
      <c r="N929" s="266" t="s">
        <v>560</v>
      </c>
      <c r="O929" s="267" t="s">
        <v>1613</v>
      </c>
      <c r="P929" s="268" t="s">
        <v>1614</v>
      </c>
      <c r="Q929" s="269">
        <v>3450.7</v>
      </c>
      <c r="R929" s="269">
        <v>20.731999999999999</v>
      </c>
      <c r="S929" s="270"/>
      <c r="T929" s="182">
        <f>4.0161/3450.7</f>
        <v>1.1638508128785463E-3</v>
      </c>
      <c r="U929" s="182">
        <v>1</v>
      </c>
      <c r="V929" s="408">
        <v>1</v>
      </c>
      <c r="W929" s="357" t="s">
        <v>204</v>
      </c>
      <c r="X929" s="156">
        <v>84000000</v>
      </c>
      <c r="Y929" s="156">
        <v>84000000</v>
      </c>
      <c r="Z929" s="418" t="s">
        <v>359</v>
      </c>
      <c r="AA929" s="271"/>
      <c r="AB929" s="168"/>
      <c r="AC929" s="156"/>
      <c r="AD929" s="156"/>
      <c r="AE929" s="320"/>
      <c r="AF929" s="168"/>
      <c r="AG929" s="156"/>
      <c r="AH929" s="156"/>
      <c r="AI929" s="410"/>
    </row>
    <row r="930" spans="1:35" ht="19.5" customHeight="1">
      <c r="A930" s="137"/>
      <c r="B930" s="197">
        <f t="shared" si="17"/>
        <v>920</v>
      </c>
      <c r="C930" s="30" t="s">
        <v>202</v>
      </c>
      <c r="D930" s="30" t="s">
        <v>225</v>
      </c>
      <c r="E930" s="234" t="s">
        <v>1146</v>
      </c>
      <c r="F930" s="235" t="s">
        <v>1220</v>
      </c>
      <c r="G930" s="284" t="str">
        <f>IFERROR(VLOOKUP(E930,Assign!$C$2:$J$142,8,FALSE),)</f>
        <v>문선영</v>
      </c>
      <c r="H930" s="197" t="s">
        <v>4976</v>
      </c>
      <c r="I930" s="490" t="s">
        <v>4977</v>
      </c>
      <c r="J930" s="237">
        <v>1</v>
      </c>
      <c r="K930" s="237">
        <v>1</v>
      </c>
      <c r="L930" s="265" t="s">
        <v>211</v>
      </c>
      <c r="M930" s="266" t="s">
        <v>299</v>
      </c>
      <c r="N930" s="266" t="s">
        <v>1710</v>
      </c>
      <c r="O930" s="267" t="s">
        <v>2495</v>
      </c>
      <c r="P930" s="268" t="s">
        <v>434</v>
      </c>
      <c r="Q930" s="269">
        <v>42838</v>
      </c>
      <c r="R930" s="269">
        <v>49.841999999999999</v>
      </c>
      <c r="S930" s="270"/>
      <c r="T930" s="182">
        <f>28.9746/42838</f>
        <v>6.7637611466455012E-4</v>
      </c>
      <c r="U930" s="182">
        <v>1</v>
      </c>
      <c r="V930" s="408">
        <v>1</v>
      </c>
      <c r="W930" s="357" t="s">
        <v>204</v>
      </c>
      <c r="X930" s="156">
        <v>98400000</v>
      </c>
      <c r="Y930" s="156">
        <v>98400000</v>
      </c>
      <c r="Z930" s="418" t="s">
        <v>359</v>
      </c>
      <c r="AA930" s="271"/>
      <c r="AB930" s="168"/>
      <c r="AC930" s="156"/>
      <c r="AD930" s="156"/>
      <c r="AE930" s="320"/>
      <c r="AF930" s="168"/>
      <c r="AG930" s="156"/>
      <c r="AH930" s="156"/>
      <c r="AI930" s="410"/>
    </row>
    <row r="931" spans="1:35" ht="19.5" hidden="1" customHeight="1">
      <c r="A931" s="137"/>
      <c r="B931" s="197">
        <f t="shared" si="17"/>
        <v>921</v>
      </c>
      <c r="C931" s="30" t="s">
        <v>202</v>
      </c>
      <c r="D931" s="30" t="s">
        <v>225</v>
      </c>
      <c r="E931" s="234" t="s">
        <v>1147</v>
      </c>
      <c r="F931" s="235" t="s">
        <v>1229</v>
      </c>
      <c r="G931" s="284">
        <f>IFERROR(VLOOKUP(E931,Assign!$C$2:$J$142,8,FALSE),)</f>
        <v>0</v>
      </c>
      <c r="H931" s="197" t="s">
        <v>4434</v>
      </c>
      <c r="I931" s="324" t="s">
        <v>4435</v>
      </c>
      <c r="J931" s="237">
        <v>1</v>
      </c>
      <c r="K931" s="237">
        <v>1</v>
      </c>
      <c r="L931" s="265" t="s">
        <v>208</v>
      </c>
      <c r="M931" s="266" t="s">
        <v>301</v>
      </c>
      <c r="N931" s="266" t="s">
        <v>1743</v>
      </c>
      <c r="O931" s="267" t="s">
        <v>1983</v>
      </c>
      <c r="P931" s="268" t="s">
        <v>1984</v>
      </c>
      <c r="Q931" s="269">
        <v>2640.8</v>
      </c>
      <c r="R931" s="269">
        <v>17.510000000000002</v>
      </c>
      <c r="S931" s="270"/>
      <c r="T931" s="182">
        <f>3.51/2640.8</f>
        <v>1.3291426840351408E-3</v>
      </c>
      <c r="U931" s="182">
        <v>1</v>
      </c>
      <c r="V931" s="408">
        <v>1</v>
      </c>
      <c r="W931" s="357" t="s">
        <v>204</v>
      </c>
      <c r="X931" s="156">
        <v>84000000</v>
      </c>
      <c r="Y931" s="156">
        <v>84000000</v>
      </c>
      <c r="Z931" s="418" t="s">
        <v>359</v>
      </c>
      <c r="AA931" s="271"/>
      <c r="AB931" s="168"/>
      <c r="AC931" s="156"/>
      <c r="AD931" s="156"/>
      <c r="AE931" s="320"/>
      <c r="AF931" s="168"/>
      <c r="AG931" s="156"/>
      <c r="AH931" s="156"/>
      <c r="AI931" s="410"/>
    </row>
    <row r="932" spans="1:35" ht="19.5" customHeight="1">
      <c r="A932" s="137"/>
      <c r="B932" s="197">
        <f t="shared" si="17"/>
        <v>922</v>
      </c>
      <c r="C932" s="30" t="s">
        <v>202</v>
      </c>
      <c r="D932" s="30" t="s">
        <v>225</v>
      </c>
      <c r="E932" s="234" t="s">
        <v>1148</v>
      </c>
      <c r="F932" s="235" t="s">
        <v>1217</v>
      </c>
      <c r="G932" s="284" t="str">
        <f>IFERROR(VLOOKUP(E932,Assign!$C$2:$J$142,8,FALSE),)</f>
        <v>문선영</v>
      </c>
      <c r="H932" s="197" t="s">
        <v>4926</v>
      </c>
      <c r="I932" s="490" t="s">
        <v>4927</v>
      </c>
      <c r="J932" s="237">
        <v>1</v>
      </c>
      <c r="K932" s="237">
        <v>1</v>
      </c>
      <c r="L932" s="265" t="s">
        <v>208</v>
      </c>
      <c r="M932" s="266" t="s">
        <v>237</v>
      </c>
      <c r="N932" s="266" t="s">
        <v>2349</v>
      </c>
      <c r="O932" s="267" t="s">
        <v>2447</v>
      </c>
      <c r="P932" s="268" t="s">
        <v>430</v>
      </c>
      <c r="Q932" s="269">
        <v>53568</v>
      </c>
      <c r="R932" s="269">
        <v>66.034599999999998</v>
      </c>
      <c r="S932" s="270"/>
      <c r="T932" s="182">
        <f>47.0563/53568</f>
        <v>8.7844048685782562E-4</v>
      </c>
      <c r="U932" s="182">
        <v>1</v>
      </c>
      <c r="V932" s="408">
        <v>3</v>
      </c>
      <c r="W932" s="357" t="s">
        <v>204</v>
      </c>
      <c r="X932" s="156">
        <v>84000000</v>
      </c>
      <c r="Y932" s="156">
        <v>84000000</v>
      </c>
      <c r="Z932" s="418" t="s">
        <v>359</v>
      </c>
      <c r="AA932" s="271" t="s">
        <v>229</v>
      </c>
      <c r="AB932" s="168" t="s">
        <v>204</v>
      </c>
      <c r="AC932" s="156">
        <v>380600000</v>
      </c>
      <c r="AD932" s="156">
        <v>380600000</v>
      </c>
      <c r="AE932" s="320"/>
      <c r="AF932" s="168"/>
      <c r="AG932" s="156"/>
      <c r="AH932" s="156"/>
      <c r="AI932" s="410"/>
    </row>
    <row r="933" spans="1:35" ht="19.5" hidden="1" customHeight="1">
      <c r="A933" s="137"/>
      <c r="B933" s="197">
        <f t="shared" si="17"/>
        <v>923</v>
      </c>
      <c r="C933" s="30" t="s">
        <v>202</v>
      </c>
      <c r="D933" s="30" t="s">
        <v>225</v>
      </c>
      <c r="E933" s="234" t="s">
        <v>1149</v>
      </c>
      <c r="F933" s="235" t="s">
        <v>1232</v>
      </c>
      <c r="G933" s="284">
        <f>IFERROR(VLOOKUP(E933,Assign!$C$2:$J$142,8,FALSE),)</f>
        <v>0</v>
      </c>
      <c r="H933" s="197" t="s">
        <v>4079</v>
      </c>
      <c r="I933" s="324" t="s">
        <v>4080</v>
      </c>
      <c r="J933" s="237">
        <v>1</v>
      </c>
      <c r="K933" s="237">
        <v>1</v>
      </c>
      <c r="L933" s="265" t="s">
        <v>208</v>
      </c>
      <c r="M933" s="266" t="s">
        <v>259</v>
      </c>
      <c r="N933" s="266" t="s">
        <v>1655</v>
      </c>
      <c r="O933" s="267" t="s">
        <v>1656</v>
      </c>
      <c r="P933" s="268" t="s">
        <v>1657</v>
      </c>
      <c r="Q933" s="269">
        <v>24000</v>
      </c>
      <c r="R933" s="269">
        <v>59.72</v>
      </c>
      <c r="S933" s="270"/>
      <c r="T933" s="182">
        <f>39.7317/24000</f>
        <v>1.6554874999999999E-3</v>
      </c>
      <c r="U933" s="182">
        <v>1</v>
      </c>
      <c r="V933" s="408">
        <v>1</v>
      </c>
      <c r="W933" s="357" t="s">
        <v>204</v>
      </c>
      <c r="X933" s="156">
        <v>84000000</v>
      </c>
      <c r="Y933" s="156">
        <v>84000000</v>
      </c>
      <c r="Z933" s="418" t="s">
        <v>359</v>
      </c>
      <c r="AA933" s="271"/>
      <c r="AB933" s="168"/>
      <c r="AC933" s="156"/>
      <c r="AD933" s="156"/>
      <c r="AE933" s="320"/>
      <c r="AF933" s="168"/>
      <c r="AG933" s="156"/>
      <c r="AH933" s="156"/>
      <c r="AI933" s="410"/>
    </row>
    <row r="934" spans="1:35" ht="19.5" hidden="1" customHeight="1">
      <c r="A934" s="137"/>
      <c r="B934" s="197">
        <f t="shared" si="17"/>
        <v>924</v>
      </c>
      <c r="C934" s="30" t="s">
        <v>202</v>
      </c>
      <c r="D934" s="30" t="s">
        <v>225</v>
      </c>
      <c r="E934" s="234" t="s">
        <v>1150</v>
      </c>
      <c r="F934" s="235" t="s">
        <v>1233</v>
      </c>
      <c r="G934" s="284">
        <f>IFERROR(VLOOKUP(E934,Assign!$C$2:$J$142,8,FALSE),)</f>
        <v>0</v>
      </c>
      <c r="H934" s="197" t="s">
        <v>4350</v>
      </c>
      <c r="I934" s="324" t="s">
        <v>4351</v>
      </c>
      <c r="J934" s="237">
        <v>1</v>
      </c>
      <c r="K934" s="237">
        <v>1</v>
      </c>
      <c r="L934" s="265" t="s">
        <v>208</v>
      </c>
      <c r="M934" s="266" t="s">
        <v>261</v>
      </c>
      <c r="N934" s="266" t="s">
        <v>1910</v>
      </c>
      <c r="O934" s="267" t="s">
        <v>1911</v>
      </c>
      <c r="P934" s="268" t="s">
        <v>3515</v>
      </c>
      <c r="Q934" s="269">
        <v>596</v>
      </c>
      <c r="R934" s="269">
        <v>49.68</v>
      </c>
      <c r="S934" s="270"/>
      <c r="T934" s="182">
        <f>60.77/596</f>
        <v>0.10196308724832215</v>
      </c>
      <c r="U934" s="182">
        <v>1</v>
      </c>
      <c r="V934" s="408">
        <v>1</v>
      </c>
      <c r="W934" s="357" t="s">
        <v>204</v>
      </c>
      <c r="X934" s="156">
        <v>75900000</v>
      </c>
      <c r="Y934" s="156">
        <v>75900000</v>
      </c>
      <c r="Z934" s="418" t="s">
        <v>359</v>
      </c>
      <c r="AA934" s="271"/>
      <c r="AB934" s="168"/>
      <c r="AC934" s="156"/>
      <c r="AD934" s="156"/>
      <c r="AE934" s="320"/>
      <c r="AF934" s="168"/>
      <c r="AG934" s="156"/>
      <c r="AH934" s="156"/>
      <c r="AI934" s="410"/>
    </row>
    <row r="935" spans="1:35" ht="19.5" hidden="1" customHeight="1">
      <c r="A935" s="137"/>
      <c r="B935" s="197">
        <f t="shared" si="17"/>
        <v>925</v>
      </c>
      <c r="C935" s="30" t="s">
        <v>202</v>
      </c>
      <c r="D935" s="30" t="s">
        <v>225</v>
      </c>
      <c r="E935" s="234" t="s">
        <v>1151</v>
      </c>
      <c r="F935" s="235" t="s">
        <v>1231</v>
      </c>
      <c r="G935" s="284">
        <f>IFERROR(VLOOKUP(E935,Assign!$C$2:$J$142,8,FALSE),)</f>
        <v>0</v>
      </c>
      <c r="H935" s="197" t="s">
        <v>4565</v>
      </c>
      <c r="I935" s="324" t="s">
        <v>4566</v>
      </c>
      <c r="J935" s="237">
        <v>1</v>
      </c>
      <c r="K935" s="237">
        <v>1</v>
      </c>
      <c r="L935" s="265" t="s">
        <v>220</v>
      </c>
      <c r="M935" s="266" t="s">
        <v>390</v>
      </c>
      <c r="N935" s="266" t="s">
        <v>574</v>
      </c>
      <c r="O935" s="267" t="s">
        <v>2103</v>
      </c>
      <c r="P935" s="268" t="s">
        <v>2104</v>
      </c>
      <c r="Q935" s="269">
        <v>2511.1</v>
      </c>
      <c r="R935" s="269">
        <v>59.94</v>
      </c>
      <c r="S935" s="270"/>
      <c r="T935" s="182">
        <f>28.27/2511.1</f>
        <v>1.1258014415992992E-2</v>
      </c>
      <c r="U935" s="182">
        <v>1</v>
      </c>
      <c r="V935" s="408">
        <v>1</v>
      </c>
      <c r="W935" s="357" t="s">
        <v>204</v>
      </c>
      <c r="X935" s="156">
        <v>94800000</v>
      </c>
      <c r="Y935" s="156">
        <v>94800000</v>
      </c>
      <c r="Z935" s="418" t="s">
        <v>359</v>
      </c>
      <c r="AA935" s="271"/>
      <c r="AB935" s="168"/>
      <c r="AC935" s="156"/>
      <c r="AD935" s="156"/>
      <c r="AE935" s="320"/>
      <c r="AF935" s="168"/>
      <c r="AG935" s="156"/>
      <c r="AH935" s="156"/>
      <c r="AI935" s="410"/>
    </row>
    <row r="936" spans="1:35" ht="19.5" hidden="1" customHeight="1">
      <c r="A936" s="137"/>
      <c r="B936" s="197">
        <f t="shared" si="17"/>
        <v>926</v>
      </c>
      <c r="C936" s="30" t="s">
        <v>202</v>
      </c>
      <c r="D936" s="30" t="s">
        <v>225</v>
      </c>
      <c r="E936" s="234" t="s">
        <v>1152</v>
      </c>
      <c r="F936" s="235" t="s">
        <v>1220</v>
      </c>
      <c r="G936" s="284">
        <f>IFERROR(VLOOKUP(E936,Assign!$C$2:$J$142,8,FALSE),)</f>
        <v>0</v>
      </c>
      <c r="H936" s="197" t="s">
        <v>4138</v>
      </c>
      <c r="I936" s="324" t="s">
        <v>4139</v>
      </c>
      <c r="J936" s="237">
        <v>1</v>
      </c>
      <c r="K936" s="237">
        <v>1</v>
      </c>
      <c r="L936" s="265" t="s">
        <v>208</v>
      </c>
      <c r="M936" s="266" t="s">
        <v>297</v>
      </c>
      <c r="N936" s="266" t="s">
        <v>1714</v>
      </c>
      <c r="O936" s="267" t="s">
        <v>1715</v>
      </c>
      <c r="P936" s="268" t="s">
        <v>431</v>
      </c>
      <c r="Q936" s="269">
        <v>35001</v>
      </c>
      <c r="R936" s="269">
        <v>84.87</v>
      </c>
      <c r="S936" s="270"/>
      <c r="T936" s="182">
        <f>64.06/35001</f>
        <v>1.8302334219022314E-3</v>
      </c>
      <c r="U936" s="182">
        <v>1</v>
      </c>
      <c r="V936" s="408" t="s">
        <v>229</v>
      </c>
      <c r="W936" s="357" t="s">
        <v>204</v>
      </c>
      <c r="X936" s="156">
        <v>119880000</v>
      </c>
      <c r="Y936" s="156">
        <v>119880000</v>
      </c>
      <c r="Z936" s="418" t="s">
        <v>359</v>
      </c>
      <c r="AA936" s="271"/>
      <c r="AB936" s="168"/>
      <c r="AC936" s="156"/>
      <c r="AD936" s="156"/>
      <c r="AE936" s="320"/>
      <c r="AF936" s="168"/>
      <c r="AG936" s="156"/>
      <c r="AH936" s="156"/>
      <c r="AI936" s="410"/>
    </row>
    <row r="937" spans="1:35" ht="19.5" hidden="1" customHeight="1">
      <c r="A937" s="137"/>
      <c r="B937" s="197">
        <f t="shared" si="17"/>
        <v>927</v>
      </c>
      <c r="C937" s="30" t="s">
        <v>202</v>
      </c>
      <c r="D937" s="30" t="s">
        <v>225</v>
      </c>
      <c r="E937" s="234" t="s">
        <v>1153</v>
      </c>
      <c r="F937" s="235" t="s">
        <v>1229</v>
      </c>
      <c r="G937" s="284">
        <f>IFERROR(VLOOKUP(E937,Assign!$C$2:$J$142,8,FALSE),)</f>
        <v>0</v>
      </c>
      <c r="H937" s="197" t="s">
        <v>5115</v>
      </c>
      <c r="I937" s="324" t="s">
        <v>5116</v>
      </c>
      <c r="J937" s="237">
        <v>1</v>
      </c>
      <c r="K937" s="237">
        <v>1</v>
      </c>
      <c r="L937" s="265" t="s">
        <v>208</v>
      </c>
      <c r="M937" s="266" t="s">
        <v>2628</v>
      </c>
      <c r="N937" s="266" t="s">
        <v>2629</v>
      </c>
      <c r="O937" s="267" t="s">
        <v>2630</v>
      </c>
      <c r="P937" s="268" t="s">
        <v>434</v>
      </c>
      <c r="Q937" s="269">
        <f>2526+3204+1012</f>
        <v>6742</v>
      </c>
      <c r="R937" s="269">
        <v>59.99</v>
      </c>
      <c r="S937" s="270"/>
      <c r="T937" s="182">
        <f>32.17/6742</f>
        <v>4.7715811331948983E-3</v>
      </c>
      <c r="U937" s="182">
        <v>1</v>
      </c>
      <c r="V937" s="408">
        <v>1</v>
      </c>
      <c r="W937" s="357" t="s">
        <v>204</v>
      </c>
      <c r="X937" s="156">
        <v>81600000</v>
      </c>
      <c r="Y937" s="156">
        <v>81600000</v>
      </c>
      <c r="Z937" s="418" t="s">
        <v>359</v>
      </c>
      <c r="AA937" s="271"/>
      <c r="AB937" s="168"/>
      <c r="AC937" s="156"/>
      <c r="AD937" s="156"/>
      <c r="AE937" s="320"/>
      <c r="AF937" s="168"/>
      <c r="AG937" s="156"/>
      <c r="AH937" s="156"/>
      <c r="AI937" s="410"/>
    </row>
    <row r="938" spans="1:35" ht="19.5" hidden="1" customHeight="1">
      <c r="A938" s="137"/>
      <c r="B938" s="197">
        <f t="shared" si="17"/>
        <v>928</v>
      </c>
      <c r="C938" s="30" t="s">
        <v>202</v>
      </c>
      <c r="D938" s="30" t="s">
        <v>225</v>
      </c>
      <c r="E938" s="234" t="s">
        <v>1154</v>
      </c>
      <c r="F938" s="235" t="s">
        <v>1223</v>
      </c>
      <c r="G938" s="284">
        <f>IFERROR(VLOOKUP(E938,Assign!$C$2:$J$142,8,FALSE),)</f>
        <v>0</v>
      </c>
      <c r="H938" s="197" t="s">
        <v>4823</v>
      </c>
      <c r="I938" s="324" t="s">
        <v>4824</v>
      </c>
      <c r="J938" s="237">
        <v>1</v>
      </c>
      <c r="K938" s="237">
        <v>1</v>
      </c>
      <c r="L938" s="265" t="s">
        <v>208</v>
      </c>
      <c r="M938" s="266" t="s">
        <v>398</v>
      </c>
      <c r="N938" s="266" t="s">
        <v>399</v>
      </c>
      <c r="O938" s="267" t="s">
        <v>2354</v>
      </c>
      <c r="P938" s="268" t="s">
        <v>434</v>
      </c>
      <c r="Q938" s="269">
        <v>64526.2</v>
      </c>
      <c r="R938" s="269">
        <v>58.14</v>
      </c>
      <c r="S938" s="270"/>
      <c r="T938" s="182">
        <f>36.41/64526.2</f>
        <v>5.6426691793411046E-4</v>
      </c>
      <c r="U938" s="182">
        <v>1</v>
      </c>
      <c r="V938" s="408">
        <v>7</v>
      </c>
      <c r="W938" s="357" t="s">
        <v>204</v>
      </c>
      <c r="X938" s="156">
        <v>72200000</v>
      </c>
      <c r="Y938" s="156">
        <v>72200000</v>
      </c>
      <c r="Z938" s="418" t="s">
        <v>359</v>
      </c>
      <c r="AA938" s="271" t="s">
        <v>3072</v>
      </c>
      <c r="AB938" s="168" t="s">
        <v>204</v>
      </c>
      <c r="AC938" s="156">
        <v>233500000</v>
      </c>
      <c r="AD938" s="156">
        <v>233500000</v>
      </c>
      <c r="AE938" s="320"/>
      <c r="AF938" s="168"/>
      <c r="AG938" s="156"/>
      <c r="AH938" s="156"/>
      <c r="AI938" s="410"/>
    </row>
    <row r="939" spans="1:35" ht="19.5" hidden="1" customHeight="1">
      <c r="A939" s="137"/>
      <c r="B939" s="197">
        <f t="shared" si="17"/>
        <v>929</v>
      </c>
      <c r="C939" s="30" t="s">
        <v>202</v>
      </c>
      <c r="D939" s="30" t="s">
        <v>225</v>
      </c>
      <c r="E939" s="234" t="s">
        <v>1154</v>
      </c>
      <c r="F939" s="235" t="s">
        <v>1223</v>
      </c>
      <c r="G939" s="284">
        <f>IFERROR(VLOOKUP(E939,Assign!$C$2:$J$142,8,FALSE),)</f>
        <v>0</v>
      </c>
      <c r="H939" s="197" t="s">
        <v>4825</v>
      </c>
      <c r="I939" s="324" t="s">
        <v>4826</v>
      </c>
      <c r="J939" s="237">
        <v>2</v>
      </c>
      <c r="K939" s="237">
        <v>1</v>
      </c>
      <c r="L939" s="265" t="s">
        <v>208</v>
      </c>
      <c r="M939" s="266" t="s">
        <v>398</v>
      </c>
      <c r="N939" s="266" t="s">
        <v>2355</v>
      </c>
      <c r="O939" s="267" t="s">
        <v>2356</v>
      </c>
      <c r="P939" s="268" t="s">
        <v>2357</v>
      </c>
      <c r="Q939" s="269">
        <v>9264.2000000000007</v>
      </c>
      <c r="R939" s="269">
        <v>20.43</v>
      </c>
      <c r="S939" s="270"/>
      <c r="T939" s="182">
        <f>10.39/9264.2</f>
        <v>1.1215215560976663E-3</v>
      </c>
      <c r="U939" s="182">
        <v>1</v>
      </c>
      <c r="V939" s="408">
        <v>1</v>
      </c>
      <c r="W939" s="357" t="s">
        <v>204</v>
      </c>
      <c r="X939" s="156">
        <v>47900000</v>
      </c>
      <c r="Y939" s="156">
        <v>47900000</v>
      </c>
      <c r="Z939" s="418" t="s">
        <v>359</v>
      </c>
      <c r="AA939" s="271"/>
      <c r="AB939" s="168"/>
      <c r="AC939" s="156"/>
      <c r="AD939" s="156"/>
      <c r="AE939" s="320"/>
      <c r="AF939" s="168"/>
      <c r="AG939" s="156"/>
      <c r="AH939" s="156"/>
      <c r="AI939" s="410"/>
    </row>
    <row r="940" spans="1:35" ht="19.5" hidden="1" customHeight="1">
      <c r="A940" s="137"/>
      <c r="B940" s="197">
        <f t="shared" si="17"/>
        <v>930</v>
      </c>
      <c r="C940" s="30" t="s">
        <v>202</v>
      </c>
      <c r="D940" s="30" t="s">
        <v>225</v>
      </c>
      <c r="E940" s="234" t="s">
        <v>1155</v>
      </c>
      <c r="F940" s="235" t="s">
        <v>1229</v>
      </c>
      <c r="G940" s="284">
        <f>IFERROR(VLOOKUP(E940,Assign!$C$2:$J$142,8,FALSE),)</f>
        <v>0</v>
      </c>
      <c r="H940" s="197" t="s">
        <v>3925</v>
      </c>
      <c r="I940" s="324" t="s">
        <v>3926</v>
      </c>
      <c r="J940" s="237">
        <v>1</v>
      </c>
      <c r="K940" s="237">
        <v>1</v>
      </c>
      <c r="L940" s="265" t="s">
        <v>208</v>
      </c>
      <c r="M940" s="266" t="s">
        <v>259</v>
      </c>
      <c r="N940" s="266" t="s">
        <v>1496</v>
      </c>
      <c r="O940" s="267" t="s">
        <v>1497</v>
      </c>
      <c r="P940" s="268" t="s">
        <v>1498</v>
      </c>
      <c r="Q940" s="269">
        <v>1285.5999999999999</v>
      </c>
      <c r="R940" s="269">
        <v>17.489999999999998</v>
      </c>
      <c r="S940" s="270"/>
      <c r="T940" s="182">
        <f>3.088/1285.6</f>
        <v>2.4019912881144993E-3</v>
      </c>
      <c r="U940" s="182">
        <v>1</v>
      </c>
      <c r="V940" s="408">
        <v>1</v>
      </c>
      <c r="W940" s="357" t="s">
        <v>204</v>
      </c>
      <c r="X940" s="156">
        <v>73200000</v>
      </c>
      <c r="Y940" s="156">
        <v>73200000</v>
      </c>
      <c r="Z940" s="418" t="s">
        <v>359</v>
      </c>
      <c r="AA940" s="271"/>
      <c r="AB940" s="168"/>
      <c r="AC940" s="156"/>
      <c r="AD940" s="156"/>
      <c r="AE940" s="320"/>
      <c r="AF940" s="168"/>
      <c r="AG940" s="156"/>
      <c r="AH940" s="156"/>
      <c r="AI940" s="410"/>
    </row>
    <row r="941" spans="1:35" ht="19.5" customHeight="1">
      <c r="A941" s="137"/>
      <c r="B941" s="197">
        <f t="shared" si="17"/>
        <v>931</v>
      </c>
      <c r="C941" s="30" t="s">
        <v>202</v>
      </c>
      <c r="D941" s="30" t="s">
        <v>225</v>
      </c>
      <c r="E941" s="234" t="s">
        <v>1156</v>
      </c>
      <c r="F941" s="235" t="s">
        <v>1288</v>
      </c>
      <c r="G941" s="284" t="str">
        <f>IFERROR(VLOOKUP(E941,Assign!$C$2:$J$142,8,FALSE),)</f>
        <v>문선영</v>
      </c>
      <c r="H941" s="197" t="s">
        <v>5010</v>
      </c>
      <c r="I941" s="324" t="s">
        <v>5011</v>
      </c>
      <c r="J941" s="237">
        <v>1</v>
      </c>
      <c r="K941" s="237">
        <v>1</v>
      </c>
      <c r="L941" s="265" t="s">
        <v>213</v>
      </c>
      <c r="M941" s="266" t="s">
        <v>289</v>
      </c>
      <c r="N941" s="266" t="s">
        <v>2531</v>
      </c>
      <c r="O941" s="267" t="s">
        <v>2532</v>
      </c>
      <c r="P941" s="268" t="s">
        <v>2533</v>
      </c>
      <c r="Q941" s="269">
        <f>606.8+463</f>
        <v>1069.8</v>
      </c>
      <c r="R941" s="269">
        <v>27.13</v>
      </c>
      <c r="S941" s="270"/>
      <c r="T941" s="182">
        <f>4.059/1069.8</f>
        <v>3.7941671340437468E-3</v>
      </c>
      <c r="U941" s="182">
        <v>1</v>
      </c>
      <c r="V941" s="408">
        <v>1</v>
      </c>
      <c r="W941" s="357" t="s">
        <v>204</v>
      </c>
      <c r="X941" s="156">
        <v>96000000</v>
      </c>
      <c r="Y941" s="156">
        <v>96000000</v>
      </c>
      <c r="Z941" s="418" t="s">
        <v>359</v>
      </c>
      <c r="AA941" s="271"/>
      <c r="AB941" s="168"/>
      <c r="AC941" s="156"/>
      <c r="AD941" s="156"/>
      <c r="AE941" s="320"/>
      <c r="AF941" s="168"/>
      <c r="AG941" s="156"/>
      <c r="AH941" s="156"/>
      <c r="AI941" s="410"/>
    </row>
    <row r="942" spans="1:35" ht="19.5" hidden="1" customHeight="1">
      <c r="A942" s="137"/>
      <c r="B942" s="197">
        <f t="shared" si="17"/>
        <v>932</v>
      </c>
      <c r="C942" s="30" t="s">
        <v>202</v>
      </c>
      <c r="D942" s="30" t="s">
        <v>225</v>
      </c>
      <c r="E942" s="234" t="s">
        <v>1157</v>
      </c>
      <c r="F942" s="235" t="s">
        <v>1229</v>
      </c>
      <c r="G942" s="284">
        <f>IFERROR(VLOOKUP(E942,Assign!$C$2:$J$142,8,FALSE),)</f>
        <v>0</v>
      </c>
      <c r="H942" s="197" t="s">
        <v>5587</v>
      </c>
      <c r="I942" s="324" t="s">
        <v>5588</v>
      </c>
      <c r="J942" s="237">
        <v>1</v>
      </c>
      <c r="K942" s="237">
        <v>1</v>
      </c>
      <c r="L942" s="265"/>
      <c r="M942" s="266"/>
      <c r="N942" s="266"/>
      <c r="O942" s="267"/>
      <c r="P942" s="268"/>
      <c r="Q942" s="269"/>
      <c r="R942" s="269"/>
      <c r="S942" s="270"/>
      <c r="T942" s="182"/>
      <c r="U942" s="182">
        <v>1</v>
      </c>
      <c r="V942" s="408">
        <v>1</v>
      </c>
      <c r="W942" s="357"/>
      <c r="X942" s="156"/>
      <c r="Y942" s="156"/>
      <c r="Z942" s="418" t="s">
        <v>359</v>
      </c>
      <c r="AA942" s="271"/>
      <c r="AB942" s="168"/>
      <c r="AC942" s="156"/>
      <c r="AD942" s="156"/>
      <c r="AE942" s="320"/>
      <c r="AF942" s="168"/>
      <c r="AG942" s="156"/>
      <c r="AH942" s="156"/>
      <c r="AI942" s="410"/>
    </row>
    <row r="943" spans="1:35" ht="19.5" hidden="1" customHeight="1">
      <c r="A943" s="137"/>
      <c r="B943" s="197">
        <f t="shared" si="17"/>
        <v>933</v>
      </c>
      <c r="C943" s="30" t="s">
        <v>202</v>
      </c>
      <c r="D943" s="30" t="s">
        <v>225</v>
      </c>
      <c r="E943" s="234" t="s">
        <v>1158</v>
      </c>
      <c r="F943" s="235" t="s">
        <v>1229</v>
      </c>
      <c r="G943" s="284">
        <f>IFERROR(VLOOKUP(E943,Assign!$C$2:$J$142,8,FALSE),)</f>
        <v>0</v>
      </c>
      <c r="H943" s="197" t="s">
        <v>4728</v>
      </c>
      <c r="I943" s="324" t="s">
        <v>4729</v>
      </c>
      <c r="J943" s="237">
        <v>1</v>
      </c>
      <c r="K943" s="237">
        <v>1</v>
      </c>
      <c r="L943" s="265" t="s">
        <v>208</v>
      </c>
      <c r="M943" s="266" t="s">
        <v>250</v>
      </c>
      <c r="N943" s="266" t="s">
        <v>2262</v>
      </c>
      <c r="O943" s="267" t="s">
        <v>2263</v>
      </c>
      <c r="P943" s="268" t="s">
        <v>2264</v>
      </c>
      <c r="Q943" s="269">
        <v>1047</v>
      </c>
      <c r="R943" s="269">
        <v>18.32</v>
      </c>
      <c r="S943" s="270"/>
      <c r="T943" s="182">
        <f>3.5128/1047</f>
        <v>3.3551098376313274E-3</v>
      </c>
      <c r="U943" s="182">
        <v>1</v>
      </c>
      <c r="V943" s="408">
        <v>1</v>
      </c>
      <c r="W943" s="357" t="s">
        <v>204</v>
      </c>
      <c r="X943" s="156">
        <v>72000000</v>
      </c>
      <c r="Y943" s="156">
        <v>72000000</v>
      </c>
      <c r="Z943" s="418" t="s">
        <v>359</v>
      </c>
      <c r="AA943" s="271"/>
      <c r="AB943" s="168"/>
      <c r="AC943" s="156"/>
      <c r="AD943" s="156"/>
      <c r="AE943" s="320"/>
      <c r="AF943" s="168"/>
      <c r="AG943" s="156"/>
      <c r="AH943" s="156"/>
      <c r="AI943" s="410"/>
    </row>
    <row r="944" spans="1:35" ht="19.5" hidden="1" customHeight="1">
      <c r="A944" s="137"/>
      <c r="B944" s="197">
        <f t="shared" si="17"/>
        <v>934</v>
      </c>
      <c r="C944" s="30" t="s">
        <v>202</v>
      </c>
      <c r="D944" s="30" t="s">
        <v>225</v>
      </c>
      <c r="E944" s="234" t="s">
        <v>1159</v>
      </c>
      <c r="F944" s="235" t="s">
        <v>1221</v>
      </c>
      <c r="G944" s="284">
        <f>IFERROR(VLOOKUP(E944,Assign!$C$2:$J$142,8,FALSE),)</f>
        <v>0</v>
      </c>
      <c r="H944" s="197" t="s">
        <v>4401</v>
      </c>
      <c r="I944" s="324" t="s">
        <v>4402</v>
      </c>
      <c r="J944" s="237">
        <v>1</v>
      </c>
      <c r="K944" s="237">
        <v>1</v>
      </c>
      <c r="L944" s="265" t="s">
        <v>209</v>
      </c>
      <c r="M944" s="266" t="s">
        <v>319</v>
      </c>
      <c r="N944" s="266" t="s">
        <v>1928</v>
      </c>
      <c r="O944" s="267" t="s">
        <v>1956</v>
      </c>
      <c r="P944" s="268" t="s">
        <v>458</v>
      </c>
      <c r="Q944" s="269">
        <v>180</v>
      </c>
      <c r="R944" s="269">
        <v>43.05</v>
      </c>
      <c r="S944" s="270"/>
      <c r="T944" s="182">
        <f>19.47/180</f>
        <v>0.10816666666666666</v>
      </c>
      <c r="U944" s="182">
        <v>1</v>
      </c>
      <c r="V944" s="408">
        <v>1</v>
      </c>
      <c r="W944" s="357" t="s">
        <v>204</v>
      </c>
      <c r="X944" s="156">
        <v>92400000</v>
      </c>
      <c r="Y944" s="156">
        <v>92400000</v>
      </c>
      <c r="Z944" s="418" t="s">
        <v>359</v>
      </c>
      <c r="AA944" s="271"/>
      <c r="AB944" s="168"/>
      <c r="AC944" s="156"/>
      <c r="AD944" s="156"/>
      <c r="AE944" s="320"/>
      <c r="AF944" s="168"/>
      <c r="AG944" s="156"/>
      <c r="AH944" s="156"/>
      <c r="AI944" s="410"/>
    </row>
    <row r="945" spans="1:35" ht="19.5" hidden="1" customHeight="1">
      <c r="A945" s="137"/>
      <c r="B945" s="197">
        <f t="shared" si="17"/>
        <v>935</v>
      </c>
      <c r="C945" s="30" t="s">
        <v>202</v>
      </c>
      <c r="D945" s="30" t="s">
        <v>225</v>
      </c>
      <c r="E945" s="234" t="s">
        <v>1160</v>
      </c>
      <c r="F945" s="235" t="s">
        <v>1285</v>
      </c>
      <c r="G945" s="284">
        <f>IFERROR(VLOOKUP(E945,Assign!$C$2:$J$142,8,FALSE),)</f>
        <v>0</v>
      </c>
      <c r="H945" s="197" t="s">
        <v>4368</v>
      </c>
      <c r="I945" s="324" t="s">
        <v>4369</v>
      </c>
      <c r="J945" s="237">
        <v>1</v>
      </c>
      <c r="K945" s="237">
        <v>1</v>
      </c>
      <c r="L945" s="265" t="s">
        <v>208</v>
      </c>
      <c r="M945" s="266" t="s">
        <v>234</v>
      </c>
      <c r="N945" s="266" t="s">
        <v>317</v>
      </c>
      <c r="O945" s="267" t="s">
        <v>1924</v>
      </c>
      <c r="P945" s="268" t="s">
        <v>454</v>
      </c>
      <c r="Q945" s="269">
        <v>15333.6</v>
      </c>
      <c r="R945" s="269">
        <v>55.71</v>
      </c>
      <c r="S945" s="270"/>
      <c r="T945" s="182">
        <f>41.9584/15333.6</f>
        <v>2.7363698022643082E-3</v>
      </c>
      <c r="U945" s="182">
        <v>1</v>
      </c>
      <c r="V945" s="408">
        <v>2</v>
      </c>
      <c r="W945" s="357" t="s">
        <v>204</v>
      </c>
      <c r="X945" s="156">
        <v>62590000</v>
      </c>
      <c r="Y945" s="156">
        <v>62590000</v>
      </c>
      <c r="Z945" s="418" t="s">
        <v>359</v>
      </c>
      <c r="AA945" s="271">
        <v>1</v>
      </c>
      <c r="AB945" s="168" t="s">
        <v>3855</v>
      </c>
      <c r="AC945" s="156">
        <v>293930000</v>
      </c>
      <c r="AD945" s="156">
        <v>293930000</v>
      </c>
      <c r="AE945" s="320"/>
      <c r="AF945" s="168"/>
      <c r="AG945" s="156"/>
      <c r="AH945" s="156"/>
      <c r="AI945" s="410"/>
    </row>
    <row r="946" spans="1:35" ht="19.5" hidden="1" customHeight="1">
      <c r="A946" s="137"/>
      <c r="B946" s="197">
        <f t="shared" si="17"/>
        <v>936</v>
      </c>
      <c r="C946" s="30" t="s">
        <v>202</v>
      </c>
      <c r="D946" s="30" t="s">
        <v>225</v>
      </c>
      <c r="E946" s="234" t="s">
        <v>1161</v>
      </c>
      <c r="F946" s="235" t="s">
        <v>1229</v>
      </c>
      <c r="G946" s="284">
        <f>IFERROR(VLOOKUP(E946,Assign!$C$2:$J$142,8,FALSE),)</f>
        <v>0</v>
      </c>
      <c r="H946" s="197" t="s">
        <v>5362</v>
      </c>
      <c r="I946" s="324" t="s">
        <v>5363</v>
      </c>
      <c r="J946" s="237">
        <v>1</v>
      </c>
      <c r="K946" s="237">
        <v>1</v>
      </c>
      <c r="L946" s="265" t="s">
        <v>214</v>
      </c>
      <c r="M946" s="266" t="s">
        <v>349</v>
      </c>
      <c r="N946" s="266" t="s">
        <v>2839</v>
      </c>
      <c r="O946" s="267" t="s">
        <v>2840</v>
      </c>
      <c r="P946" s="268" t="s">
        <v>434</v>
      </c>
      <c r="Q946" s="269">
        <v>5083.8</v>
      </c>
      <c r="R946" s="269">
        <v>42.66</v>
      </c>
      <c r="S946" s="270"/>
      <c r="T946" s="182">
        <f>23.446/5083.8</f>
        <v>4.611904480900114E-3</v>
      </c>
      <c r="U946" s="182">
        <v>1</v>
      </c>
      <c r="V946" s="408">
        <v>1</v>
      </c>
      <c r="W946" s="357" t="s">
        <v>204</v>
      </c>
      <c r="X946" s="156">
        <v>62700000</v>
      </c>
      <c r="Y946" s="156">
        <v>62700000</v>
      </c>
      <c r="Z946" s="418" t="s">
        <v>359</v>
      </c>
      <c r="AA946" s="271"/>
      <c r="AB946" s="168"/>
      <c r="AC946" s="156"/>
      <c r="AD946" s="156"/>
      <c r="AE946" s="320"/>
      <c r="AF946" s="168"/>
      <c r="AG946" s="156"/>
      <c r="AH946" s="156"/>
      <c r="AI946" s="410"/>
    </row>
    <row r="947" spans="1:35" ht="19.5" hidden="1" customHeight="1">
      <c r="A947" s="137"/>
      <c r="B947" s="197">
        <f t="shared" si="17"/>
        <v>937</v>
      </c>
      <c r="C947" s="30" t="s">
        <v>202</v>
      </c>
      <c r="D947" s="30" t="s">
        <v>225</v>
      </c>
      <c r="E947" s="234" t="s">
        <v>1162</v>
      </c>
      <c r="F947" s="235" t="s">
        <v>1225</v>
      </c>
      <c r="G947" s="284">
        <f>IFERROR(VLOOKUP(E947,Assign!$C$2:$J$142,8,FALSE),)</f>
        <v>0</v>
      </c>
      <c r="H947" s="197" t="s">
        <v>5428</v>
      </c>
      <c r="I947" s="324" t="s">
        <v>5429</v>
      </c>
      <c r="J947" s="237">
        <v>1</v>
      </c>
      <c r="K947" s="237">
        <v>1</v>
      </c>
      <c r="L947" s="265" t="s">
        <v>214</v>
      </c>
      <c r="M947" s="266" t="s">
        <v>349</v>
      </c>
      <c r="N947" s="266" t="s">
        <v>2903</v>
      </c>
      <c r="O947" s="267" t="s">
        <v>2904</v>
      </c>
      <c r="P947" s="268" t="s">
        <v>465</v>
      </c>
      <c r="Q947" s="269">
        <v>8190</v>
      </c>
      <c r="R947" s="269">
        <v>59.79</v>
      </c>
      <c r="S947" s="270"/>
      <c r="T947" s="182">
        <f>39.0425/8190</f>
        <v>4.7670940170940167E-3</v>
      </c>
      <c r="U947" s="182">
        <v>1</v>
      </c>
      <c r="V947" s="408">
        <v>1</v>
      </c>
      <c r="W947" s="357" t="s">
        <v>204</v>
      </c>
      <c r="X947" s="156">
        <v>60500000</v>
      </c>
      <c r="Y947" s="156">
        <v>60500000</v>
      </c>
      <c r="Z947" s="418" t="s">
        <v>359</v>
      </c>
      <c r="AA947" s="271"/>
      <c r="AB947" s="168"/>
      <c r="AC947" s="156"/>
      <c r="AD947" s="156"/>
      <c r="AE947" s="320"/>
      <c r="AF947" s="168"/>
      <c r="AG947" s="156"/>
      <c r="AH947" s="156"/>
      <c r="AI947" s="410"/>
    </row>
    <row r="948" spans="1:35" ht="19.5" customHeight="1">
      <c r="A948" s="137"/>
      <c r="B948" s="197">
        <f t="shared" si="17"/>
        <v>938</v>
      </c>
      <c r="C948" s="30" t="s">
        <v>202</v>
      </c>
      <c r="D948" s="30" t="s">
        <v>225</v>
      </c>
      <c r="E948" s="234" t="s">
        <v>1163</v>
      </c>
      <c r="F948" s="235" t="s">
        <v>1252</v>
      </c>
      <c r="G948" s="284" t="str">
        <f>IFERROR(VLOOKUP(E948,Assign!$C$2:$J$142,8,FALSE),)</f>
        <v>문선영</v>
      </c>
      <c r="H948" s="197" t="s">
        <v>4613</v>
      </c>
      <c r="I948" s="324" t="s">
        <v>4614</v>
      </c>
      <c r="J948" s="237">
        <v>1</v>
      </c>
      <c r="K948" s="237">
        <v>1</v>
      </c>
      <c r="L948" s="265" t="s">
        <v>213</v>
      </c>
      <c r="M948" s="266" t="s">
        <v>256</v>
      </c>
      <c r="N948" s="266" t="s">
        <v>407</v>
      </c>
      <c r="O948" s="267" t="s">
        <v>2150</v>
      </c>
      <c r="P948" s="268" t="s">
        <v>2151</v>
      </c>
      <c r="Q948" s="269">
        <v>3031.1</v>
      </c>
      <c r="R948" s="269">
        <v>28.305</v>
      </c>
      <c r="S948" s="270"/>
      <c r="T948" s="182">
        <f>3.503/3031.1</f>
        <v>1.1556860545676487E-3</v>
      </c>
      <c r="U948" s="182">
        <v>1</v>
      </c>
      <c r="V948" s="408">
        <v>1</v>
      </c>
      <c r="W948" s="357" t="s">
        <v>204</v>
      </c>
      <c r="X948" s="156">
        <v>94680000</v>
      </c>
      <c r="Y948" s="156">
        <v>94680000</v>
      </c>
      <c r="Z948" s="418" t="s">
        <v>359</v>
      </c>
      <c r="AA948" s="271"/>
      <c r="AB948" s="168"/>
      <c r="AC948" s="156"/>
      <c r="AD948" s="156"/>
      <c r="AE948" s="320"/>
      <c r="AF948" s="168"/>
      <c r="AG948" s="156"/>
      <c r="AH948" s="156"/>
      <c r="AI948" s="410"/>
    </row>
    <row r="949" spans="1:35" ht="19.5" hidden="1" customHeight="1">
      <c r="A949" s="137"/>
      <c r="B949" s="197">
        <f t="shared" si="17"/>
        <v>939</v>
      </c>
      <c r="C949" s="30" t="s">
        <v>202</v>
      </c>
      <c r="D949" s="30" t="s">
        <v>225</v>
      </c>
      <c r="E949" s="234" t="s">
        <v>1164</v>
      </c>
      <c r="F949" s="235" t="s">
        <v>1218</v>
      </c>
      <c r="G949" s="284">
        <f>IFERROR(VLOOKUP(E949,Assign!$C$2:$J$142,8,FALSE),)</f>
        <v>0</v>
      </c>
      <c r="H949" s="197" t="s">
        <v>4583</v>
      </c>
      <c r="I949" s="324" t="s">
        <v>4584</v>
      </c>
      <c r="J949" s="237">
        <v>1</v>
      </c>
      <c r="K949" s="237">
        <v>1</v>
      </c>
      <c r="L949" s="265" t="s">
        <v>214</v>
      </c>
      <c r="M949" s="266" t="s">
        <v>303</v>
      </c>
      <c r="N949" s="266" t="s">
        <v>2119</v>
      </c>
      <c r="O949" s="267" t="s">
        <v>2120</v>
      </c>
      <c r="P949" s="268" t="s">
        <v>459</v>
      </c>
      <c r="Q949" s="269">
        <f>74929+12637</f>
        <v>87566</v>
      </c>
      <c r="R949" s="269">
        <v>49.92</v>
      </c>
      <c r="S949" s="270"/>
      <c r="T949" s="182">
        <f>43.926/87566</f>
        <v>5.0163305392503937E-4</v>
      </c>
      <c r="U949" s="182">
        <v>1</v>
      </c>
      <c r="V949" s="408">
        <v>1</v>
      </c>
      <c r="W949" s="357" t="s">
        <v>204</v>
      </c>
      <c r="X949" s="156">
        <v>70560000</v>
      </c>
      <c r="Y949" s="156">
        <v>70560000</v>
      </c>
      <c r="Z949" s="418" t="s">
        <v>359</v>
      </c>
      <c r="AA949" s="271"/>
      <c r="AB949" s="168"/>
      <c r="AC949" s="156"/>
      <c r="AD949" s="156"/>
      <c r="AE949" s="320"/>
      <c r="AF949" s="168"/>
      <c r="AG949" s="156"/>
      <c r="AH949" s="156"/>
      <c r="AI949" s="410"/>
    </row>
    <row r="950" spans="1:35" ht="19.5" hidden="1" customHeight="1">
      <c r="A950" s="137"/>
      <c r="B950" s="197">
        <f t="shared" si="17"/>
        <v>940</v>
      </c>
      <c r="C950" s="30" t="s">
        <v>202</v>
      </c>
      <c r="D950" s="30" t="s">
        <v>225</v>
      </c>
      <c r="E950" s="234" t="s">
        <v>1165</v>
      </c>
      <c r="F950" s="235" t="s">
        <v>1229</v>
      </c>
      <c r="G950" s="284">
        <f>IFERROR(VLOOKUP(E950,Assign!$C$2:$J$142,8,FALSE),)</f>
        <v>0</v>
      </c>
      <c r="H950" s="197" t="s">
        <v>4827</v>
      </c>
      <c r="I950" s="324" t="s">
        <v>4828</v>
      </c>
      <c r="J950" s="237">
        <v>1</v>
      </c>
      <c r="K950" s="237">
        <v>1</v>
      </c>
      <c r="L950" s="265" t="s">
        <v>212</v>
      </c>
      <c r="M950" s="266" t="s">
        <v>389</v>
      </c>
      <c r="N950" s="266" t="s">
        <v>2055</v>
      </c>
      <c r="O950" s="267" t="s">
        <v>2358</v>
      </c>
      <c r="P950" s="268" t="s">
        <v>440</v>
      </c>
      <c r="Q950" s="269">
        <v>257.8</v>
      </c>
      <c r="R950" s="269">
        <v>50.5</v>
      </c>
      <c r="S950" s="270"/>
      <c r="T950" s="182">
        <f>28.84/257.8</f>
        <v>0.11186966640806827</v>
      </c>
      <c r="U950" s="182">
        <v>1</v>
      </c>
      <c r="V950" s="408" t="s">
        <v>229</v>
      </c>
      <c r="W950" s="357" t="s">
        <v>204</v>
      </c>
      <c r="X950" s="156">
        <v>90000000</v>
      </c>
      <c r="Y950" s="156">
        <v>90000000</v>
      </c>
      <c r="Z950" s="418" t="s">
        <v>359</v>
      </c>
      <c r="AA950" s="271"/>
      <c r="AB950" s="168"/>
      <c r="AC950" s="156"/>
      <c r="AD950" s="156"/>
      <c r="AE950" s="320"/>
      <c r="AF950" s="168"/>
      <c r="AG950" s="156"/>
      <c r="AH950" s="156"/>
      <c r="AI950" s="410"/>
    </row>
    <row r="951" spans="1:35" ht="19.5" hidden="1" customHeight="1">
      <c r="A951" s="137"/>
      <c r="B951" s="197">
        <f t="shared" si="17"/>
        <v>941</v>
      </c>
      <c r="C951" s="30" t="s">
        <v>202</v>
      </c>
      <c r="D951" s="30" t="s">
        <v>225</v>
      </c>
      <c r="E951" s="234" t="s">
        <v>1166</v>
      </c>
      <c r="F951" s="235" t="s">
        <v>1222</v>
      </c>
      <c r="G951" s="284">
        <f>IFERROR(VLOOKUP(E951,Assign!$C$2:$J$142,8,FALSE),)</f>
        <v>0</v>
      </c>
      <c r="H951" s="197" t="s">
        <v>4571</v>
      </c>
      <c r="I951" s="324" t="s">
        <v>4572</v>
      </c>
      <c r="J951" s="237">
        <v>1</v>
      </c>
      <c r="K951" s="237">
        <v>1</v>
      </c>
      <c r="L951" s="265" t="s">
        <v>208</v>
      </c>
      <c r="M951" s="266" t="s">
        <v>234</v>
      </c>
      <c r="N951" s="266" t="s">
        <v>1568</v>
      </c>
      <c r="O951" s="267" t="s">
        <v>2109</v>
      </c>
      <c r="P951" s="268" t="s">
        <v>457</v>
      </c>
      <c r="Q951" s="269">
        <v>29189.3</v>
      </c>
      <c r="R951" s="269">
        <v>84.991</v>
      </c>
      <c r="S951" s="270"/>
      <c r="T951" s="182">
        <f>64.6804/29189.3</f>
        <v>2.215894180401723E-3</v>
      </c>
      <c r="U951" s="182">
        <v>1</v>
      </c>
      <c r="V951" s="408">
        <v>2</v>
      </c>
      <c r="W951" s="357" t="s">
        <v>204</v>
      </c>
      <c r="X951" s="156">
        <v>59400000</v>
      </c>
      <c r="Y951" s="156">
        <v>59400000</v>
      </c>
      <c r="Z951" s="418" t="s">
        <v>359</v>
      </c>
      <c r="AA951" s="271">
        <v>1</v>
      </c>
      <c r="AB951" s="168" t="s">
        <v>204</v>
      </c>
      <c r="AC951" s="156">
        <v>219450000</v>
      </c>
      <c r="AD951" s="156">
        <v>219450000</v>
      </c>
      <c r="AE951" s="320"/>
      <c r="AF951" s="168"/>
      <c r="AG951" s="156"/>
      <c r="AH951" s="156"/>
      <c r="AI951" s="410"/>
    </row>
    <row r="952" spans="1:35" ht="19.5" hidden="1" customHeight="1">
      <c r="A952" s="137"/>
      <c r="B952" s="197">
        <f t="shared" si="17"/>
        <v>942</v>
      </c>
      <c r="C952" s="30" t="s">
        <v>202</v>
      </c>
      <c r="D952" s="30" t="s">
        <v>225</v>
      </c>
      <c r="E952" s="234" t="s">
        <v>1167</v>
      </c>
      <c r="F952" s="235" t="s">
        <v>1225</v>
      </c>
      <c r="G952" s="284">
        <f>IFERROR(VLOOKUP(E952,Assign!$C$2:$J$142,8,FALSE),)</f>
        <v>0</v>
      </c>
      <c r="H952" s="197" t="s">
        <v>4034</v>
      </c>
      <c r="I952" s="324" t="s">
        <v>4035</v>
      </c>
      <c r="J952" s="237">
        <v>1</v>
      </c>
      <c r="K952" s="237">
        <v>1</v>
      </c>
      <c r="L952" s="265" t="s">
        <v>208</v>
      </c>
      <c r="M952" s="266" t="s">
        <v>234</v>
      </c>
      <c r="N952" s="266" t="s">
        <v>1608</v>
      </c>
      <c r="O952" s="267" t="s">
        <v>1609</v>
      </c>
      <c r="P952" s="268" t="s">
        <v>1610</v>
      </c>
      <c r="Q952" s="269">
        <v>29248</v>
      </c>
      <c r="R952" s="269">
        <v>112.702</v>
      </c>
      <c r="S952" s="270"/>
      <c r="T952" s="182">
        <f>69.514/29248</f>
        <v>2.376709518599562E-3</v>
      </c>
      <c r="U952" s="182">
        <v>1</v>
      </c>
      <c r="V952" s="408">
        <v>2</v>
      </c>
      <c r="W952" s="357" t="s">
        <v>204</v>
      </c>
      <c r="X952" s="156">
        <v>60000000</v>
      </c>
      <c r="Y952" s="156">
        <v>60000000</v>
      </c>
      <c r="Z952" s="418" t="s">
        <v>359</v>
      </c>
      <c r="AA952" s="271">
        <v>1</v>
      </c>
      <c r="AB952" s="168" t="s">
        <v>204</v>
      </c>
      <c r="AC952" s="156">
        <v>258000000</v>
      </c>
      <c r="AD952" s="156">
        <v>258000000</v>
      </c>
      <c r="AE952" s="320"/>
      <c r="AF952" s="168"/>
      <c r="AG952" s="156"/>
      <c r="AH952" s="156"/>
      <c r="AI952" s="410"/>
    </row>
    <row r="953" spans="1:35" ht="19.5" hidden="1" customHeight="1">
      <c r="A953" s="137"/>
      <c r="B953" s="197">
        <f t="shared" si="17"/>
        <v>943</v>
      </c>
      <c r="C953" s="30" t="s">
        <v>202</v>
      </c>
      <c r="D953" s="30" t="s">
        <v>225</v>
      </c>
      <c r="E953" s="234" t="s">
        <v>1168</v>
      </c>
      <c r="F953" s="235" t="s">
        <v>1232</v>
      </c>
      <c r="G953" s="284">
        <f>IFERROR(VLOOKUP(E953,Assign!$C$2:$J$142,8,FALSE),)</f>
        <v>0</v>
      </c>
      <c r="H953" s="197" t="s">
        <v>5323</v>
      </c>
      <c r="I953" s="324" t="s">
        <v>5324</v>
      </c>
      <c r="J953" s="237">
        <v>1</v>
      </c>
      <c r="K953" s="237">
        <v>1</v>
      </c>
      <c r="L953" s="265" t="s">
        <v>208</v>
      </c>
      <c r="M953" s="266" t="s">
        <v>368</v>
      </c>
      <c r="N953" s="266" t="s">
        <v>2803</v>
      </c>
      <c r="O953" s="267" t="s">
        <v>2804</v>
      </c>
      <c r="P953" s="268" t="s">
        <v>599</v>
      </c>
      <c r="Q953" s="269">
        <v>229.9</v>
      </c>
      <c r="R953" s="269">
        <v>38.799999999999997</v>
      </c>
      <c r="S953" s="270"/>
      <c r="T953" s="182">
        <f>38.32/229.9</f>
        <v>0.16668116572422792</v>
      </c>
      <c r="U953" s="182">
        <v>1</v>
      </c>
      <c r="V953" s="408">
        <v>1</v>
      </c>
      <c r="W953" s="357" t="s">
        <v>204</v>
      </c>
      <c r="X953" s="156">
        <v>180000000</v>
      </c>
      <c r="Y953" s="156">
        <v>180000000</v>
      </c>
      <c r="Z953" s="418" t="s">
        <v>359</v>
      </c>
      <c r="AA953" s="271"/>
      <c r="AB953" s="168"/>
      <c r="AC953" s="156"/>
      <c r="AD953" s="156"/>
      <c r="AE953" s="320"/>
      <c r="AF953" s="168"/>
      <c r="AG953" s="156"/>
      <c r="AH953" s="156"/>
      <c r="AI953" s="410"/>
    </row>
    <row r="954" spans="1:35" ht="19.5" customHeight="1">
      <c r="A954" s="137"/>
      <c r="B954" s="197">
        <f t="shared" si="17"/>
        <v>944</v>
      </c>
      <c r="C954" s="30" t="s">
        <v>202</v>
      </c>
      <c r="D954" s="30" t="s">
        <v>225</v>
      </c>
      <c r="E954" s="234" t="s">
        <v>1169</v>
      </c>
      <c r="F954" s="235" t="s">
        <v>1226</v>
      </c>
      <c r="G954" s="284" t="str">
        <f>IFERROR(VLOOKUP(E954,Assign!$C$2:$J$142,8,FALSE),)</f>
        <v>문선영</v>
      </c>
      <c r="H954" s="197" t="s">
        <v>4791</v>
      </c>
      <c r="I954" s="324" t="s">
        <v>4792</v>
      </c>
      <c r="J954" s="237">
        <v>1</v>
      </c>
      <c r="K954" s="237">
        <v>1</v>
      </c>
      <c r="L954" s="265" t="s">
        <v>213</v>
      </c>
      <c r="M954" s="266" t="s">
        <v>339</v>
      </c>
      <c r="N954" s="266" t="s">
        <v>567</v>
      </c>
      <c r="O954" s="267" t="s">
        <v>2321</v>
      </c>
      <c r="P954" s="268" t="s">
        <v>2322</v>
      </c>
      <c r="Q954" s="269">
        <v>9279.5</v>
      </c>
      <c r="R954" s="269">
        <v>84.57</v>
      </c>
      <c r="S954" s="270"/>
      <c r="T954" s="182">
        <f>2926/939870</f>
        <v>3.1131965058997521E-3</v>
      </c>
      <c r="U954" s="182">
        <v>1</v>
      </c>
      <c r="V954" s="408">
        <v>3</v>
      </c>
      <c r="W954" s="357" t="s">
        <v>204</v>
      </c>
      <c r="X954" s="156">
        <v>72000000</v>
      </c>
      <c r="Y954" s="156">
        <v>72000000</v>
      </c>
      <c r="Z954" s="418" t="s">
        <v>359</v>
      </c>
      <c r="AA954" s="271" t="s">
        <v>229</v>
      </c>
      <c r="AB954" s="168" t="s">
        <v>204</v>
      </c>
      <c r="AC954" s="156">
        <v>180000000</v>
      </c>
      <c r="AD954" s="156">
        <v>180000000</v>
      </c>
      <c r="AE954" s="320"/>
      <c r="AF954" s="168"/>
      <c r="AG954" s="156"/>
      <c r="AH954" s="156"/>
      <c r="AI954" s="410"/>
    </row>
    <row r="955" spans="1:35" ht="19.5" hidden="1" customHeight="1">
      <c r="A955" s="137"/>
      <c r="B955" s="197">
        <f t="shared" si="17"/>
        <v>945</v>
      </c>
      <c r="C955" s="30" t="s">
        <v>202</v>
      </c>
      <c r="D955" s="30" t="s">
        <v>225</v>
      </c>
      <c r="E955" s="234" t="s">
        <v>1170</v>
      </c>
      <c r="F955" s="235" t="s">
        <v>1225</v>
      </c>
      <c r="G955" s="284">
        <f>IFERROR(VLOOKUP(E955,Assign!$C$2:$J$142,8,FALSE),)</f>
        <v>0</v>
      </c>
      <c r="H955" s="197" t="s">
        <v>4888</v>
      </c>
      <c r="I955" s="324" t="s">
        <v>4889</v>
      </c>
      <c r="J955" s="237">
        <v>1</v>
      </c>
      <c r="K955" s="237">
        <v>1</v>
      </c>
      <c r="L955" s="265" t="s">
        <v>208</v>
      </c>
      <c r="M955" s="266" t="s">
        <v>322</v>
      </c>
      <c r="N955" s="266" t="s">
        <v>2410</v>
      </c>
      <c r="O955" s="267" t="s">
        <v>2411</v>
      </c>
      <c r="P955" s="268" t="s">
        <v>3522</v>
      </c>
      <c r="Q955" s="269">
        <v>47128.5</v>
      </c>
      <c r="R955" s="269">
        <v>50.55</v>
      </c>
      <c r="S955" s="270"/>
      <c r="T955" s="182">
        <f>87.279/47128.5</f>
        <v>1.8519367261847926E-3</v>
      </c>
      <c r="U955" s="182">
        <v>1</v>
      </c>
      <c r="V955" s="408">
        <v>1</v>
      </c>
      <c r="W955" s="357" t="s">
        <v>204</v>
      </c>
      <c r="X955" s="156">
        <v>55000000</v>
      </c>
      <c r="Y955" s="156">
        <v>55000000</v>
      </c>
      <c r="Z955" s="418" t="s">
        <v>359</v>
      </c>
      <c r="AA955" s="271"/>
      <c r="AB955" s="168"/>
      <c r="AC955" s="156"/>
      <c r="AD955" s="156"/>
      <c r="AE955" s="320"/>
      <c r="AF955" s="168"/>
      <c r="AG955" s="156"/>
      <c r="AH955" s="156"/>
      <c r="AI955" s="410"/>
    </row>
    <row r="956" spans="1:35" ht="19.5" hidden="1" customHeight="1">
      <c r="A956" s="137"/>
      <c r="B956" s="197">
        <f t="shared" si="17"/>
        <v>946</v>
      </c>
      <c r="C956" s="30" t="s">
        <v>202</v>
      </c>
      <c r="D956" s="30" t="s">
        <v>225</v>
      </c>
      <c r="E956" s="234" t="s">
        <v>1171</v>
      </c>
      <c r="F956" s="235" t="s">
        <v>1252</v>
      </c>
      <c r="G956" s="284">
        <f>IFERROR(VLOOKUP(E956,Assign!$C$2:$J$142,8,FALSE),)</f>
        <v>0</v>
      </c>
      <c r="H956" s="197" t="s">
        <v>4663</v>
      </c>
      <c r="I956" s="324" t="s">
        <v>4664</v>
      </c>
      <c r="J956" s="237">
        <v>1</v>
      </c>
      <c r="K956" s="237">
        <v>1</v>
      </c>
      <c r="L956" s="265" t="s">
        <v>209</v>
      </c>
      <c r="M956" s="266" t="s">
        <v>332</v>
      </c>
      <c r="N956" s="266" t="s">
        <v>2199</v>
      </c>
      <c r="O956" s="267" t="s">
        <v>2200</v>
      </c>
      <c r="P956" s="268" t="s">
        <v>431</v>
      </c>
      <c r="Q956" s="269">
        <f>143827.4+34265.7</f>
        <v>178093.09999999998</v>
      </c>
      <c r="R956" s="269">
        <v>84.32</v>
      </c>
      <c r="S956" s="270"/>
      <c r="T956" s="182">
        <f>39.06/178093.1</f>
        <v>2.1932348866969019E-4</v>
      </c>
      <c r="U956" s="182">
        <v>1</v>
      </c>
      <c r="V956" s="408">
        <v>1</v>
      </c>
      <c r="W956" s="357" t="s">
        <v>204</v>
      </c>
      <c r="X956" s="156">
        <v>72000000</v>
      </c>
      <c r="Y956" s="156">
        <v>72000000</v>
      </c>
      <c r="Z956" s="418" t="s">
        <v>359</v>
      </c>
      <c r="AA956" s="271"/>
      <c r="AB956" s="168"/>
      <c r="AC956" s="156"/>
      <c r="AD956" s="156"/>
      <c r="AE956" s="320"/>
      <c r="AF956" s="168"/>
      <c r="AG956" s="156"/>
      <c r="AH956" s="156"/>
      <c r="AI956" s="410"/>
    </row>
    <row r="957" spans="1:35" ht="19.5" hidden="1" customHeight="1">
      <c r="A957" s="137"/>
      <c r="B957" s="197">
        <f t="shared" si="17"/>
        <v>947</v>
      </c>
      <c r="C957" s="30" t="s">
        <v>202</v>
      </c>
      <c r="D957" s="30" t="s">
        <v>225</v>
      </c>
      <c r="E957" s="234" t="s">
        <v>1172</v>
      </c>
      <c r="F957" s="235" t="s">
        <v>1233</v>
      </c>
      <c r="G957" s="284">
        <f>IFERROR(VLOOKUP(E957,Assign!$C$2:$J$142,8,FALSE),)</f>
        <v>0</v>
      </c>
      <c r="H957" s="197" t="s">
        <v>4120</v>
      </c>
      <c r="I957" s="324" t="s">
        <v>4121</v>
      </c>
      <c r="J957" s="237">
        <v>1</v>
      </c>
      <c r="K957" s="237">
        <v>1</v>
      </c>
      <c r="L957" s="265" t="s">
        <v>212</v>
      </c>
      <c r="M957" s="266" t="s">
        <v>309</v>
      </c>
      <c r="N957" s="266" t="s">
        <v>1694</v>
      </c>
      <c r="O957" s="267" t="s">
        <v>1695</v>
      </c>
      <c r="P957" s="268" t="s">
        <v>434</v>
      </c>
      <c r="Q957" s="269">
        <v>35955.300000000003</v>
      </c>
      <c r="R957" s="269">
        <v>44.66</v>
      </c>
      <c r="S957" s="270"/>
      <c r="T957" s="182">
        <f>30.731/35955.3</f>
        <v>8.5470014156466495E-4</v>
      </c>
      <c r="U957" s="182">
        <v>1</v>
      </c>
      <c r="V957" s="408">
        <v>1</v>
      </c>
      <c r="W957" s="357" t="s">
        <v>204</v>
      </c>
      <c r="X957" s="156">
        <v>55000000</v>
      </c>
      <c r="Y957" s="156">
        <v>55000000</v>
      </c>
      <c r="Z957" s="418" t="s">
        <v>359</v>
      </c>
      <c r="AA957" s="271"/>
      <c r="AB957" s="168"/>
      <c r="AC957" s="156"/>
      <c r="AD957" s="156"/>
      <c r="AE957" s="320"/>
      <c r="AF957" s="168"/>
      <c r="AG957" s="156"/>
      <c r="AH957" s="156"/>
      <c r="AI957" s="410"/>
    </row>
    <row r="958" spans="1:35" ht="19.5" hidden="1" customHeight="1">
      <c r="A958" s="137"/>
      <c r="B958" s="197">
        <f t="shared" si="17"/>
        <v>948</v>
      </c>
      <c r="C958" s="30" t="s">
        <v>202</v>
      </c>
      <c r="D958" s="30" t="s">
        <v>225</v>
      </c>
      <c r="E958" s="234" t="s">
        <v>1173</v>
      </c>
      <c r="F958" s="235" t="s">
        <v>1229</v>
      </c>
      <c r="G958" s="284">
        <f>IFERROR(VLOOKUP(E958,Assign!$C$2:$J$142,8,FALSE),)</f>
        <v>0</v>
      </c>
      <c r="H958" s="197" t="s">
        <v>4017</v>
      </c>
      <c r="I958" s="324" t="s">
        <v>4018</v>
      </c>
      <c r="J958" s="237">
        <v>1</v>
      </c>
      <c r="K958" s="237">
        <v>1</v>
      </c>
      <c r="L958" s="265" t="s">
        <v>220</v>
      </c>
      <c r="M958" s="266" t="s">
        <v>390</v>
      </c>
      <c r="N958" s="266" t="s">
        <v>1592</v>
      </c>
      <c r="O958" s="267" t="s">
        <v>3046</v>
      </c>
      <c r="P958" s="268" t="s">
        <v>435</v>
      </c>
      <c r="Q958" s="269">
        <v>65639.7</v>
      </c>
      <c r="R958" s="269">
        <v>84.94</v>
      </c>
      <c r="S958" s="270"/>
      <c r="T958" s="182">
        <f>57.4/65639.7</f>
        <v>8.7447078521077945E-4</v>
      </c>
      <c r="U958" s="182">
        <v>1</v>
      </c>
      <c r="V958" s="408">
        <v>1</v>
      </c>
      <c r="W958" s="357" t="s">
        <v>204</v>
      </c>
      <c r="X958" s="156">
        <v>52800000</v>
      </c>
      <c r="Y958" s="156">
        <v>52800000</v>
      </c>
      <c r="Z958" s="418" t="s">
        <v>359</v>
      </c>
      <c r="AA958" s="271"/>
      <c r="AB958" s="168"/>
      <c r="AC958" s="156"/>
      <c r="AD958" s="156"/>
      <c r="AE958" s="320"/>
      <c r="AF958" s="168"/>
      <c r="AG958" s="156"/>
      <c r="AH958" s="156"/>
      <c r="AI958" s="410"/>
    </row>
    <row r="959" spans="1:35" ht="19.5" hidden="1" customHeight="1">
      <c r="A959" s="137"/>
      <c r="B959" s="197">
        <f t="shared" si="17"/>
        <v>949</v>
      </c>
      <c r="C959" s="30" t="s">
        <v>202</v>
      </c>
      <c r="D959" s="30" t="s">
        <v>225</v>
      </c>
      <c r="E959" s="234" t="s">
        <v>1174</v>
      </c>
      <c r="F959" s="235" t="s">
        <v>1364</v>
      </c>
      <c r="G959" s="284">
        <f>IFERROR(VLOOKUP(E959,Assign!$C$2:$J$142,8,FALSE),)</f>
        <v>0</v>
      </c>
      <c r="H959" s="197" t="s">
        <v>4775</v>
      </c>
      <c r="I959" s="324" t="s">
        <v>4776</v>
      </c>
      <c r="J959" s="237">
        <v>1</v>
      </c>
      <c r="K959" s="237">
        <v>1</v>
      </c>
      <c r="L959" s="265" t="s">
        <v>208</v>
      </c>
      <c r="M959" s="266" t="s">
        <v>398</v>
      </c>
      <c r="N959" s="266" t="s">
        <v>399</v>
      </c>
      <c r="O959" s="267" t="s">
        <v>2307</v>
      </c>
      <c r="P959" s="268" t="s">
        <v>440</v>
      </c>
      <c r="Q959" s="269">
        <f>123.8+123.9+138+149+149+149.1+115.3</f>
        <v>948.1</v>
      </c>
      <c r="R959" s="269">
        <v>46.73</v>
      </c>
      <c r="S959" s="270"/>
      <c r="T959" s="182">
        <f>39.95/948.1</f>
        <v>4.2136905389726823E-2</v>
      </c>
      <c r="U959" s="182">
        <v>1</v>
      </c>
      <c r="V959" s="408">
        <v>1</v>
      </c>
      <c r="W959" s="357" t="s">
        <v>204</v>
      </c>
      <c r="X959" s="156">
        <v>156000000</v>
      </c>
      <c r="Y959" s="156">
        <v>156000000</v>
      </c>
      <c r="Z959" s="418" t="s">
        <v>359</v>
      </c>
      <c r="AA959" s="271"/>
      <c r="AB959" s="168"/>
      <c r="AC959" s="156"/>
      <c r="AD959" s="156"/>
      <c r="AE959" s="320"/>
      <c r="AF959" s="168"/>
      <c r="AG959" s="156"/>
      <c r="AH959" s="156"/>
      <c r="AI959" s="410"/>
    </row>
    <row r="960" spans="1:35" ht="19.5" hidden="1" customHeight="1">
      <c r="A960" s="137"/>
      <c r="B960" s="197">
        <f t="shared" si="17"/>
        <v>950</v>
      </c>
      <c r="C960" s="30" t="s">
        <v>202</v>
      </c>
      <c r="D960" s="30" t="s">
        <v>225</v>
      </c>
      <c r="E960" s="234" t="s">
        <v>1175</v>
      </c>
      <c r="F960" s="235" t="s">
        <v>1232</v>
      </c>
      <c r="G960" s="284">
        <f>IFERROR(VLOOKUP(E960,Assign!$C$2:$J$142,8,FALSE),)</f>
        <v>0</v>
      </c>
      <c r="H960" s="197" t="s">
        <v>4065</v>
      </c>
      <c r="I960" s="324" t="s">
        <v>4066</v>
      </c>
      <c r="J960" s="237">
        <v>1</v>
      </c>
      <c r="K960" s="237">
        <v>1</v>
      </c>
      <c r="L960" s="265" t="s">
        <v>212</v>
      </c>
      <c r="M960" s="266" t="s">
        <v>389</v>
      </c>
      <c r="N960" s="266" t="s">
        <v>1640</v>
      </c>
      <c r="O960" s="267" t="s">
        <v>1641</v>
      </c>
      <c r="P960" s="268" t="s">
        <v>442</v>
      </c>
      <c r="Q960" s="269">
        <v>2033</v>
      </c>
      <c r="R960" s="269">
        <f>64.79+5.38</f>
        <v>70.17</v>
      </c>
      <c r="S960" s="270"/>
      <c r="T960" s="182">
        <f>44.04/2033</f>
        <v>2.1662567634038368E-2</v>
      </c>
      <c r="U960" s="182">
        <v>1</v>
      </c>
      <c r="V960" s="408">
        <v>1</v>
      </c>
      <c r="W960" s="357" t="s">
        <v>204</v>
      </c>
      <c r="X960" s="156">
        <v>66000000</v>
      </c>
      <c r="Y960" s="156">
        <v>66000000</v>
      </c>
      <c r="Z960" s="418" t="s">
        <v>359</v>
      </c>
      <c r="AA960" s="271"/>
      <c r="AB960" s="168"/>
      <c r="AC960" s="156"/>
      <c r="AD960" s="156"/>
      <c r="AE960" s="320"/>
      <c r="AF960" s="168"/>
      <c r="AG960" s="156"/>
      <c r="AH960" s="156"/>
      <c r="AI960" s="410"/>
    </row>
    <row r="961" spans="1:35" ht="19.5" hidden="1" customHeight="1">
      <c r="A961" s="137"/>
      <c r="B961" s="197">
        <f t="shared" si="17"/>
        <v>951</v>
      </c>
      <c r="C961" s="30" t="s">
        <v>202</v>
      </c>
      <c r="D961" s="30" t="s">
        <v>225</v>
      </c>
      <c r="E961" s="234" t="s">
        <v>1176</v>
      </c>
      <c r="F961" s="235" t="s">
        <v>1235</v>
      </c>
      <c r="G961" s="284">
        <f>IFERROR(VLOOKUP(E961,Assign!$C$2:$J$142,8,FALSE),)</f>
        <v>0</v>
      </c>
      <c r="H961" s="29" t="s">
        <v>3900</v>
      </c>
      <c r="I961" s="359" t="s">
        <v>3901</v>
      </c>
      <c r="J961" s="237">
        <v>1</v>
      </c>
      <c r="K961" s="237">
        <v>1</v>
      </c>
      <c r="L961" s="265" t="s">
        <v>221</v>
      </c>
      <c r="M961" s="266" t="s">
        <v>405</v>
      </c>
      <c r="N961" s="266" t="s">
        <v>1467</v>
      </c>
      <c r="O961" s="267" t="s">
        <v>1468</v>
      </c>
      <c r="P961" s="268" t="s">
        <v>1469</v>
      </c>
      <c r="Q961" s="269">
        <f>18834+4233</f>
        <v>23067</v>
      </c>
      <c r="R961" s="269">
        <v>60</v>
      </c>
      <c r="S961" s="270"/>
      <c r="T961" s="182">
        <f>35.39/23067</f>
        <v>1.5342263840117918E-3</v>
      </c>
      <c r="U961" s="182">
        <v>1</v>
      </c>
      <c r="V961" s="408">
        <v>1</v>
      </c>
      <c r="W961" s="357" t="s">
        <v>204</v>
      </c>
      <c r="X961" s="156">
        <v>56100000</v>
      </c>
      <c r="Y961" s="156">
        <v>56100000</v>
      </c>
      <c r="Z961" s="418" t="s">
        <v>359</v>
      </c>
      <c r="AA961" s="271"/>
      <c r="AB961" s="168"/>
      <c r="AC961" s="156"/>
      <c r="AD961" s="156"/>
      <c r="AE961" s="320"/>
      <c r="AF961" s="168"/>
      <c r="AG961" s="156"/>
      <c r="AH961" s="156"/>
      <c r="AI961" s="410"/>
    </row>
    <row r="962" spans="1:35" ht="19.5" hidden="1" customHeight="1">
      <c r="A962" s="137"/>
      <c r="B962" s="197">
        <f t="shared" si="17"/>
        <v>952</v>
      </c>
      <c r="C962" s="30" t="s">
        <v>202</v>
      </c>
      <c r="D962" s="30" t="s">
        <v>225</v>
      </c>
      <c r="E962" s="234" t="s">
        <v>1177</v>
      </c>
      <c r="F962" s="235" t="s">
        <v>1263</v>
      </c>
      <c r="G962" s="284">
        <f>IFERROR(VLOOKUP(E962,Assign!$C$2:$J$142,8,FALSE),)</f>
        <v>0</v>
      </c>
      <c r="H962" s="197" t="s">
        <v>4155</v>
      </c>
      <c r="I962" s="324" t="s">
        <v>4156</v>
      </c>
      <c r="J962" s="237">
        <v>1</v>
      </c>
      <c r="K962" s="237">
        <v>1</v>
      </c>
      <c r="L962" s="265" t="s">
        <v>214</v>
      </c>
      <c r="M962" s="266" t="s">
        <v>303</v>
      </c>
      <c r="N962" s="266" t="s">
        <v>1731</v>
      </c>
      <c r="O962" s="267" t="s">
        <v>1732</v>
      </c>
      <c r="P962" s="268" t="s">
        <v>434</v>
      </c>
      <c r="Q962" s="269">
        <v>31957.1</v>
      </c>
      <c r="R962" s="269">
        <v>84.974199999999996</v>
      </c>
      <c r="S962" s="270"/>
      <c r="T962" s="182">
        <f>40.8709/31957.1</f>
        <v>1.2789301907870239E-3</v>
      </c>
      <c r="U962" s="182">
        <v>1</v>
      </c>
      <c r="V962" s="408">
        <v>1</v>
      </c>
      <c r="W962" s="357" t="s">
        <v>204</v>
      </c>
      <c r="X962" s="156">
        <v>112800000</v>
      </c>
      <c r="Y962" s="156">
        <v>112800000</v>
      </c>
      <c r="Z962" s="418" t="s">
        <v>359</v>
      </c>
      <c r="AA962" s="271"/>
      <c r="AB962" s="168"/>
      <c r="AC962" s="156"/>
      <c r="AD962" s="156"/>
      <c r="AE962" s="320"/>
      <c r="AF962" s="168"/>
      <c r="AG962" s="156"/>
      <c r="AH962" s="156"/>
      <c r="AI962" s="410"/>
    </row>
    <row r="963" spans="1:35" ht="19.5" hidden="1" customHeight="1">
      <c r="A963" s="137"/>
      <c r="B963" s="197">
        <f t="shared" si="17"/>
        <v>953</v>
      </c>
      <c r="C963" s="30" t="s">
        <v>202</v>
      </c>
      <c r="D963" s="30" t="s">
        <v>225</v>
      </c>
      <c r="E963" s="234" t="s">
        <v>1178</v>
      </c>
      <c r="F963" s="235" t="s">
        <v>1251</v>
      </c>
      <c r="G963" s="284">
        <f>IFERROR(VLOOKUP(E963,Assign!$C$2:$J$142,8,FALSE),)</f>
        <v>0</v>
      </c>
      <c r="H963" s="197" t="s">
        <v>4346</v>
      </c>
      <c r="I963" s="324" t="s">
        <v>4347</v>
      </c>
      <c r="J963" s="237">
        <v>1</v>
      </c>
      <c r="K963" s="237">
        <v>1</v>
      </c>
      <c r="L963" s="265" t="s">
        <v>214</v>
      </c>
      <c r="M963" s="266" t="s">
        <v>338</v>
      </c>
      <c r="N963" s="266" t="s">
        <v>1907</v>
      </c>
      <c r="O963" s="267" t="s">
        <v>1908</v>
      </c>
      <c r="P963" s="268" t="s">
        <v>1791</v>
      </c>
      <c r="Q963" s="269">
        <v>19834</v>
      </c>
      <c r="R963" s="269">
        <v>59.756</v>
      </c>
      <c r="S963" s="270"/>
      <c r="T963" s="182">
        <f>47.049/19834</f>
        <v>2.3721387516386005E-3</v>
      </c>
      <c r="U963" s="182">
        <v>1</v>
      </c>
      <c r="V963" s="408">
        <v>1</v>
      </c>
      <c r="W963" s="357" t="s">
        <v>204</v>
      </c>
      <c r="X963" s="156">
        <v>50600000</v>
      </c>
      <c r="Y963" s="156">
        <v>50600000</v>
      </c>
      <c r="Z963" s="418" t="s">
        <v>359</v>
      </c>
      <c r="AA963" s="271"/>
      <c r="AB963" s="168"/>
      <c r="AC963" s="156"/>
      <c r="AD963" s="156"/>
      <c r="AE963" s="320"/>
      <c r="AF963" s="168"/>
      <c r="AG963" s="156"/>
      <c r="AH963" s="156"/>
      <c r="AI963" s="410"/>
    </row>
    <row r="964" spans="1:35" ht="19.5" hidden="1" customHeight="1">
      <c r="A964" s="137"/>
      <c r="B964" s="197">
        <f t="shared" si="17"/>
        <v>954</v>
      </c>
      <c r="C964" s="30" t="s">
        <v>202</v>
      </c>
      <c r="D964" s="30" t="s">
        <v>225</v>
      </c>
      <c r="E964" s="234" t="s">
        <v>1179</v>
      </c>
      <c r="F964" s="235" t="s">
        <v>1226</v>
      </c>
      <c r="G964" s="284">
        <f>IFERROR(VLOOKUP(E964,Assign!$C$2:$J$142,8,FALSE),)</f>
        <v>0</v>
      </c>
      <c r="H964" s="197" t="s">
        <v>4284</v>
      </c>
      <c r="I964" s="324" t="s">
        <v>4285</v>
      </c>
      <c r="J964" s="237">
        <v>1</v>
      </c>
      <c r="K964" s="237">
        <v>1</v>
      </c>
      <c r="L964" s="265" t="s">
        <v>214</v>
      </c>
      <c r="M964" s="266" t="s">
        <v>349</v>
      </c>
      <c r="N964" s="266" t="s">
        <v>351</v>
      </c>
      <c r="O964" s="267" t="s">
        <v>1852</v>
      </c>
      <c r="P964" s="268" t="s">
        <v>434</v>
      </c>
      <c r="Q964" s="269">
        <f>1170+1423+803+3495+684+25428+12007+7511+1989+2190+6661+3029</f>
        <v>66390</v>
      </c>
      <c r="R964" s="269">
        <v>84.67</v>
      </c>
      <c r="S964" s="270"/>
      <c r="T964" s="182">
        <f>54.0323/66390</f>
        <v>8.1386202741376716E-4</v>
      </c>
      <c r="U964" s="182">
        <v>1</v>
      </c>
      <c r="V964" s="408">
        <v>1</v>
      </c>
      <c r="W964" s="357" t="s">
        <v>204</v>
      </c>
      <c r="X964" s="156">
        <v>114000000</v>
      </c>
      <c r="Y964" s="156">
        <v>114000000</v>
      </c>
      <c r="Z964" s="418" t="s">
        <v>359</v>
      </c>
      <c r="AA964" s="271"/>
      <c r="AB964" s="168"/>
      <c r="AC964" s="156"/>
      <c r="AD964" s="156"/>
      <c r="AE964" s="320"/>
      <c r="AF964" s="168"/>
      <c r="AG964" s="156"/>
      <c r="AH964" s="156"/>
      <c r="AI964" s="410"/>
    </row>
    <row r="965" spans="1:35" ht="19.5" hidden="1" customHeight="1">
      <c r="A965" s="137"/>
      <c r="B965" s="197">
        <f t="shared" si="17"/>
        <v>955</v>
      </c>
      <c r="C965" s="30" t="s">
        <v>202</v>
      </c>
      <c r="D965" s="30" t="s">
        <v>225</v>
      </c>
      <c r="E965" s="234" t="s">
        <v>1180</v>
      </c>
      <c r="F965" s="235" t="s">
        <v>1226</v>
      </c>
      <c r="G965" s="284">
        <f>IFERROR(VLOOKUP(E965,Assign!$C$2:$J$142,8,FALSE),)</f>
        <v>0</v>
      </c>
      <c r="H965" s="197" t="s">
        <v>4173</v>
      </c>
      <c r="I965" s="324" t="s">
        <v>4174</v>
      </c>
      <c r="J965" s="237">
        <v>1</v>
      </c>
      <c r="K965" s="237">
        <v>1</v>
      </c>
      <c r="L965" s="265" t="s">
        <v>208</v>
      </c>
      <c r="M965" s="266" t="s">
        <v>258</v>
      </c>
      <c r="N965" s="266" t="s">
        <v>327</v>
      </c>
      <c r="O965" s="267" t="s">
        <v>1748</v>
      </c>
      <c r="P965" s="268" t="s">
        <v>1749</v>
      </c>
      <c r="Q965" s="269">
        <v>93799</v>
      </c>
      <c r="R965" s="269">
        <v>71.873999999999995</v>
      </c>
      <c r="S965" s="270"/>
      <c r="T965" s="182">
        <f>28.7235/93799</f>
        <v>3.0622394695039397E-4</v>
      </c>
      <c r="U965" s="182">
        <v>1</v>
      </c>
      <c r="V965" s="408">
        <v>3</v>
      </c>
      <c r="W965" s="357" t="s">
        <v>204</v>
      </c>
      <c r="X965" s="156">
        <v>44000000</v>
      </c>
      <c r="Y965" s="156">
        <v>44000000</v>
      </c>
      <c r="Z965" s="418" t="s">
        <v>359</v>
      </c>
      <c r="AA965" s="271" t="s">
        <v>229</v>
      </c>
      <c r="AB965" s="168" t="s">
        <v>204</v>
      </c>
      <c r="AC965" s="156">
        <v>118800000</v>
      </c>
      <c r="AD965" s="156">
        <v>118800000</v>
      </c>
      <c r="AE965" s="320"/>
      <c r="AF965" s="168"/>
      <c r="AG965" s="156"/>
      <c r="AH965" s="156"/>
      <c r="AI965" s="410"/>
    </row>
    <row r="966" spans="1:35" ht="19.5" customHeight="1">
      <c r="A966" s="137"/>
      <c r="B966" s="197">
        <f t="shared" si="17"/>
        <v>956</v>
      </c>
      <c r="C966" s="30" t="s">
        <v>202</v>
      </c>
      <c r="D966" s="30" t="s">
        <v>225</v>
      </c>
      <c r="E966" s="234" t="s">
        <v>1181</v>
      </c>
      <c r="F966" s="235" t="s">
        <v>1229</v>
      </c>
      <c r="G966" s="284" t="str">
        <f>IFERROR(VLOOKUP(E966,Assign!$C$2:$J$142,8,FALSE),)</f>
        <v>문선영</v>
      </c>
      <c r="H966" s="29" t="s">
        <v>3902</v>
      </c>
      <c r="I966" s="359" t="s">
        <v>3903</v>
      </c>
      <c r="J966" s="237">
        <v>1</v>
      </c>
      <c r="K966" s="237">
        <v>1</v>
      </c>
      <c r="L966" s="265" t="s">
        <v>211</v>
      </c>
      <c r="M966" s="266" t="s">
        <v>1470</v>
      </c>
      <c r="N966" s="266" t="s">
        <v>1471</v>
      </c>
      <c r="O966" s="267" t="s">
        <v>1472</v>
      </c>
      <c r="P966" s="268" t="s">
        <v>1473</v>
      </c>
      <c r="Q966" s="269">
        <v>750.2</v>
      </c>
      <c r="R966" s="269">
        <v>73.3</v>
      </c>
      <c r="S966" s="270"/>
      <c r="T966" s="182">
        <f>2680/74780</f>
        <v>3.583845948114469E-2</v>
      </c>
      <c r="U966" s="182">
        <v>1</v>
      </c>
      <c r="V966" s="408">
        <v>1</v>
      </c>
      <c r="W966" s="357" t="s">
        <v>204</v>
      </c>
      <c r="X966" s="156">
        <v>60000000</v>
      </c>
      <c r="Y966" s="156">
        <v>60000000</v>
      </c>
      <c r="Z966" s="418" t="s">
        <v>359</v>
      </c>
      <c r="AA966" s="271"/>
      <c r="AB966" s="168"/>
      <c r="AC966" s="156"/>
      <c r="AD966" s="156"/>
      <c r="AE966" s="320"/>
      <c r="AF966" s="168"/>
      <c r="AG966" s="156"/>
      <c r="AH966" s="156"/>
      <c r="AI966" s="410"/>
    </row>
    <row r="967" spans="1:35" ht="19.5" hidden="1" customHeight="1">
      <c r="A967" s="137"/>
      <c r="B967" s="197">
        <f t="shared" si="17"/>
        <v>957</v>
      </c>
      <c r="C967" s="30" t="s">
        <v>202</v>
      </c>
      <c r="D967" s="30" t="s">
        <v>225</v>
      </c>
      <c r="E967" s="234" t="s">
        <v>1182</v>
      </c>
      <c r="F967" s="235" t="s">
        <v>1225</v>
      </c>
      <c r="G967" s="284">
        <f>IFERROR(VLOOKUP(E967,Assign!$C$2:$J$142,8,FALSE),)</f>
        <v>0</v>
      </c>
      <c r="H967" s="197" t="s">
        <v>4636</v>
      </c>
      <c r="I967" s="324" t="s">
        <v>4637</v>
      </c>
      <c r="J967" s="237">
        <v>1</v>
      </c>
      <c r="K967" s="237">
        <v>1</v>
      </c>
      <c r="L967" s="265" t="s">
        <v>214</v>
      </c>
      <c r="M967" s="266" t="s">
        <v>303</v>
      </c>
      <c r="N967" s="266" t="s">
        <v>553</v>
      </c>
      <c r="O967" s="267" t="s">
        <v>2172</v>
      </c>
      <c r="P967" s="268" t="s">
        <v>442</v>
      </c>
      <c r="Q967" s="269">
        <v>5368.5</v>
      </c>
      <c r="R967" s="269">
        <v>82.53</v>
      </c>
      <c r="S967" s="270"/>
      <c r="T967" s="182">
        <f>52.2/5368.5</f>
        <v>9.7233864207879293E-3</v>
      </c>
      <c r="U967" s="182">
        <v>1</v>
      </c>
      <c r="V967" s="408">
        <v>1</v>
      </c>
      <c r="W967" s="357" t="s">
        <v>204</v>
      </c>
      <c r="X967" s="156">
        <v>46200000</v>
      </c>
      <c r="Y967" s="156">
        <v>46200000</v>
      </c>
      <c r="Z967" s="418" t="s">
        <v>359</v>
      </c>
      <c r="AA967" s="271"/>
      <c r="AB967" s="168"/>
      <c r="AC967" s="156"/>
      <c r="AD967" s="156"/>
      <c r="AE967" s="320"/>
      <c r="AF967" s="168"/>
      <c r="AG967" s="156"/>
      <c r="AH967" s="156"/>
      <c r="AI967" s="410"/>
    </row>
    <row r="968" spans="1:35" ht="19.5" hidden="1" customHeight="1">
      <c r="A968" s="137"/>
      <c r="B968" s="197">
        <f t="shared" si="17"/>
        <v>958</v>
      </c>
      <c r="C968" s="30" t="s">
        <v>202</v>
      </c>
      <c r="D968" s="30" t="s">
        <v>225</v>
      </c>
      <c r="E968" s="234" t="s">
        <v>1183</v>
      </c>
      <c r="F968" s="235" t="s">
        <v>1227</v>
      </c>
      <c r="G968" s="284">
        <f>IFERROR(VLOOKUP(E968,Assign!$C$2:$J$142,8,FALSE),)</f>
        <v>0</v>
      </c>
      <c r="H968" s="197" t="s">
        <v>4213</v>
      </c>
      <c r="I968" s="324" t="s">
        <v>4214</v>
      </c>
      <c r="J968" s="237">
        <v>1</v>
      </c>
      <c r="K968" s="237">
        <v>1</v>
      </c>
      <c r="L968" s="265" t="s">
        <v>208</v>
      </c>
      <c r="M968" s="266" t="s">
        <v>250</v>
      </c>
      <c r="N968" s="266" t="s">
        <v>1652</v>
      </c>
      <c r="O968" s="267" t="s">
        <v>1792</v>
      </c>
      <c r="P968" s="268" t="s">
        <v>3513</v>
      </c>
      <c r="Q968" s="269">
        <v>59694.5</v>
      </c>
      <c r="R968" s="269">
        <v>39.61</v>
      </c>
      <c r="S968" s="270"/>
      <c r="T968" s="182">
        <f>53.12/59694.5</f>
        <v>8.8986422534739382E-4</v>
      </c>
      <c r="U968" s="182">
        <v>1</v>
      </c>
      <c r="V968" s="408">
        <v>1</v>
      </c>
      <c r="W968" s="357" t="s">
        <v>204</v>
      </c>
      <c r="X968" s="156">
        <v>80400000</v>
      </c>
      <c r="Y968" s="156">
        <v>80400000</v>
      </c>
      <c r="Z968" s="418" t="s">
        <v>359</v>
      </c>
      <c r="AA968" s="271"/>
      <c r="AB968" s="168"/>
      <c r="AC968" s="156"/>
      <c r="AD968" s="156"/>
      <c r="AE968" s="320"/>
      <c r="AF968" s="168"/>
      <c r="AG968" s="156"/>
      <c r="AH968" s="156"/>
      <c r="AI968" s="410"/>
    </row>
    <row r="969" spans="1:35" ht="19.5" hidden="1" customHeight="1">
      <c r="A969" s="137"/>
      <c r="B969" s="197">
        <f t="shared" si="17"/>
        <v>959</v>
      </c>
      <c r="C969" s="30" t="s">
        <v>202</v>
      </c>
      <c r="D969" s="30" t="s">
        <v>225</v>
      </c>
      <c r="E969" s="234" t="s">
        <v>1184</v>
      </c>
      <c r="F969" s="235" t="s">
        <v>1266</v>
      </c>
      <c r="G969" s="284">
        <f>IFERROR(VLOOKUP(E969,Assign!$C$2:$J$142,8,FALSE),)</f>
        <v>0</v>
      </c>
      <c r="H969" s="197" t="s">
        <v>4167</v>
      </c>
      <c r="I969" s="324" t="s">
        <v>4168</v>
      </c>
      <c r="J969" s="237">
        <v>1</v>
      </c>
      <c r="K969" s="237">
        <v>1</v>
      </c>
      <c r="L969" s="265" t="s">
        <v>208</v>
      </c>
      <c r="M969" s="266" t="s">
        <v>259</v>
      </c>
      <c r="N969" s="266" t="s">
        <v>1655</v>
      </c>
      <c r="O969" s="267" t="s">
        <v>1742</v>
      </c>
      <c r="P969" s="268" t="s">
        <v>599</v>
      </c>
      <c r="Q969" s="269">
        <v>193</v>
      </c>
      <c r="R969" s="269">
        <v>43.2</v>
      </c>
      <c r="S969" s="270"/>
      <c r="T969" s="182">
        <f>32.26/193</f>
        <v>0.1671502590673575</v>
      </c>
      <c r="U969" s="182">
        <v>1</v>
      </c>
      <c r="V969" s="408">
        <v>1</v>
      </c>
      <c r="W969" s="357" t="s">
        <v>204</v>
      </c>
      <c r="X969" s="156">
        <v>53760000</v>
      </c>
      <c r="Y969" s="156">
        <v>53760000</v>
      </c>
      <c r="Z969" s="418" t="s">
        <v>359</v>
      </c>
      <c r="AA969" s="271"/>
      <c r="AB969" s="168"/>
      <c r="AC969" s="156"/>
      <c r="AD969" s="156"/>
      <c r="AE969" s="320"/>
      <c r="AF969" s="168"/>
      <c r="AG969" s="156"/>
      <c r="AH969" s="156"/>
      <c r="AI969" s="410"/>
    </row>
    <row r="970" spans="1:35" ht="19.5" customHeight="1">
      <c r="A970" s="137"/>
      <c r="B970" s="197">
        <f t="shared" si="17"/>
        <v>960</v>
      </c>
      <c r="C970" s="30" t="s">
        <v>202</v>
      </c>
      <c r="D970" s="30" t="s">
        <v>225</v>
      </c>
      <c r="E970" s="234" t="s">
        <v>1185</v>
      </c>
      <c r="F970" s="235" t="s">
        <v>1289</v>
      </c>
      <c r="G970" s="284" t="str">
        <f>IFERROR(VLOOKUP(E970,Assign!$C$2:$J$142,8,FALSE),)</f>
        <v>문선영</v>
      </c>
      <c r="H970" s="197" t="s">
        <v>4609</v>
      </c>
      <c r="I970" s="324" t="s">
        <v>4610</v>
      </c>
      <c r="J970" s="237">
        <v>1</v>
      </c>
      <c r="K970" s="237">
        <v>1</v>
      </c>
      <c r="L970" s="265" t="s">
        <v>217</v>
      </c>
      <c r="M970" s="266" t="s">
        <v>336</v>
      </c>
      <c r="N970" s="266" t="s">
        <v>2145</v>
      </c>
      <c r="O970" s="267" t="s">
        <v>2146</v>
      </c>
      <c r="P970" s="268" t="s">
        <v>1610</v>
      </c>
      <c r="Q970" s="269">
        <f>1551+5997+139+17+3774+683+1</f>
        <v>12162</v>
      </c>
      <c r="R970" s="269">
        <v>59.87</v>
      </c>
      <c r="S970" s="270"/>
      <c r="T970" s="182">
        <f>23.93/7704</f>
        <v>3.1061786085150572E-3</v>
      </c>
      <c r="U970" s="182">
        <v>1</v>
      </c>
      <c r="V970" s="408">
        <v>1</v>
      </c>
      <c r="W970" s="357" t="s">
        <v>204</v>
      </c>
      <c r="X970" s="156">
        <v>49200000</v>
      </c>
      <c r="Y970" s="156">
        <v>49200000</v>
      </c>
      <c r="Z970" s="418" t="s">
        <v>359</v>
      </c>
      <c r="AA970" s="271"/>
      <c r="AB970" s="168"/>
      <c r="AC970" s="156"/>
      <c r="AD970" s="156"/>
      <c r="AE970" s="320"/>
      <c r="AF970" s="168"/>
      <c r="AG970" s="156"/>
      <c r="AH970" s="156"/>
      <c r="AI970" s="410"/>
    </row>
    <row r="971" spans="1:35" ht="19.5" customHeight="1">
      <c r="A971" s="137"/>
      <c r="B971" s="197">
        <f t="shared" ref="B971:B1034" si="18">ROW()-10</f>
        <v>961</v>
      </c>
      <c r="C971" s="30" t="s">
        <v>202</v>
      </c>
      <c r="D971" s="30" t="s">
        <v>225</v>
      </c>
      <c r="E971" s="234" t="s">
        <v>1186</v>
      </c>
      <c r="F971" s="235" t="s">
        <v>1221</v>
      </c>
      <c r="G971" s="284" t="str">
        <f>IFERROR(VLOOKUP(E971,Assign!$C$2:$J$142,8,FALSE),)</f>
        <v>문선영</v>
      </c>
      <c r="H971" s="197" t="s">
        <v>4030</v>
      </c>
      <c r="I971" s="324" t="s">
        <v>4031</v>
      </c>
      <c r="J971" s="237">
        <v>1</v>
      </c>
      <c r="K971" s="237">
        <v>1</v>
      </c>
      <c r="L971" s="265" t="s">
        <v>217</v>
      </c>
      <c r="M971" s="266" t="s">
        <v>336</v>
      </c>
      <c r="N971" s="266" t="s">
        <v>1604</v>
      </c>
      <c r="O971" s="267" t="s">
        <v>1605</v>
      </c>
      <c r="P971" s="268" t="s">
        <v>434</v>
      </c>
      <c r="Q971" s="269">
        <f>15393+348</f>
        <v>15741</v>
      </c>
      <c r="R971" s="269">
        <v>70.510000000000005</v>
      </c>
      <c r="S971" s="270"/>
      <c r="T971" s="182">
        <f>44.82/15741</f>
        <v>2.8473413379073755E-3</v>
      </c>
      <c r="U971" s="182">
        <v>1</v>
      </c>
      <c r="V971" s="408">
        <v>1</v>
      </c>
      <c r="W971" s="357" t="s">
        <v>204</v>
      </c>
      <c r="X971" s="156">
        <v>61200000</v>
      </c>
      <c r="Y971" s="156">
        <v>61200000</v>
      </c>
      <c r="Z971" s="418" t="s">
        <v>359</v>
      </c>
      <c r="AA971" s="271"/>
      <c r="AB971" s="168"/>
      <c r="AC971" s="156"/>
      <c r="AD971" s="156"/>
      <c r="AE971" s="320"/>
      <c r="AF971" s="168"/>
      <c r="AG971" s="156"/>
      <c r="AH971" s="156"/>
      <c r="AI971" s="410"/>
    </row>
    <row r="972" spans="1:35" ht="19.5" hidden="1" customHeight="1">
      <c r="A972" s="137"/>
      <c r="B972" s="197">
        <f t="shared" si="18"/>
        <v>962</v>
      </c>
      <c r="C972" s="30" t="s">
        <v>202</v>
      </c>
      <c r="D972" s="30" t="s">
        <v>225</v>
      </c>
      <c r="E972" s="234" t="s">
        <v>1187</v>
      </c>
      <c r="F972" s="235" t="s">
        <v>1242</v>
      </c>
      <c r="G972" s="284">
        <f>IFERROR(VLOOKUP(E972,Assign!$C$2:$J$142,8,FALSE),)</f>
        <v>0</v>
      </c>
      <c r="H972" s="197" t="s">
        <v>4894</v>
      </c>
      <c r="I972" s="324" t="s">
        <v>4895</v>
      </c>
      <c r="J972" s="237">
        <v>1</v>
      </c>
      <c r="K972" s="237">
        <v>1</v>
      </c>
      <c r="L972" s="265" t="s">
        <v>212</v>
      </c>
      <c r="M972" s="266" t="s">
        <v>309</v>
      </c>
      <c r="N972" s="266" t="s">
        <v>1812</v>
      </c>
      <c r="O972" s="267" t="s">
        <v>2414</v>
      </c>
      <c r="P972" s="268" t="s">
        <v>458</v>
      </c>
      <c r="Q972" s="269">
        <v>410</v>
      </c>
      <c r="R972" s="269">
        <v>42.18</v>
      </c>
      <c r="S972" s="270"/>
      <c r="T972" s="182">
        <f>28.62/410</f>
        <v>6.9804878048780494E-2</v>
      </c>
      <c r="U972" s="182">
        <v>1</v>
      </c>
      <c r="V972" s="408">
        <v>1</v>
      </c>
      <c r="W972" s="357" t="s">
        <v>204</v>
      </c>
      <c r="X972" s="156">
        <v>46200000</v>
      </c>
      <c r="Y972" s="156">
        <v>46200000</v>
      </c>
      <c r="Z972" s="418" t="s">
        <v>359</v>
      </c>
      <c r="AA972" s="271"/>
      <c r="AB972" s="168"/>
      <c r="AC972" s="156"/>
      <c r="AD972" s="156"/>
      <c r="AE972" s="320"/>
      <c r="AF972" s="168"/>
      <c r="AG972" s="156"/>
      <c r="AH972" s="156"/>
      <c r="AI972" s="410"/>
    </row>
    <row r="973" spans="1:35" ht="19.5" hidden="1" customHeight="1">
      <c r="A973" s="137"/>
      <c r="B973" s="197">
        <f t="shared" si="18"/>
        <v>963</v>
      </c>
      <c r="C973" s="30" t="s">
        <v>202</v>
      </c>
      <c r="D973" s="30" t="s">
        <v>225</v>
      </c>
      <c r="E973" s="234" t="s">
        <v>1188</v>
      </c>
      <c r="F973" s="235" t="s">
        <v>1225</v>
      </c>
      <c r="G973" s="284">
        <f>IFERROR(VLOOKUP(E973,Assign!$C$2:$J$142,8,FALSE),)</f>
        <v>0</v>
      </c>
      <c r="H973" s="197" t="s">
        <v>4549</v>
      </c>
      <c r="I973" s="324" t="s">
        <v>4550</v>
      </c>
      <c r="J973" s="237">
        <v>1</v>
      </c>
      <c r="K973" s="237">
        <v>1</v>
      </c>
      <c r="L973" s="265" t="s">
        <v>220</v>
      </c>
      <c r="M973" s="266" t="s">
        <v>2090</v>
      </c>
      <c r="N973" s="266" t="s">
        <v>2091</v>
      </c>
      <c r="O973" s="267" t="s">
        <v>2092</v>
      </c>
      <c r="P973" s="268" t="s">
        <v>434</v>
      </c>
      <c r="Q973" s="269">
        <f>2884+1860</f>
        <v>4744</v>
      </c>
      <c r="R973" s="269">
        <v>59.52</v>
      </c>
      <c r="S973" s="270"/>
      <c r="T973" s="182">
        <f>24.1609/4744</f>
        <v>5.0929384485666109E-3</v>
      </c>
      <c r="U973" s="182">
        <v>1</v>
      </c>
      <c r="V973" s="408">
        <v>1</v>
      </c>
      <c r="W973" s="357" t="s">
        <v>204</v>
      </c>
      <c r="X973" s="156">
        <v>62400000</v>
      </c>
      <c r="Y973" s="156">
        <v>62400000</v>
      </c>
      <c r="Z973" s="418" t="s">
        <v>359</v>
      </c>
      <c r="AA973" s="271"/>
      <c r="AB973" s="168"/>
      <c r="AC973" s="156"/>
      <c r="AD973" s="156"/>
      <c r="AE973" s="320"/>
      <c r="AF973" s="168"/>
      <c r="AG973" s="156"/>
      <c r="AH973" s="156"/>
      <c r="AI973" s="410"/>
    </row>
    <row r="974" spans="1:35" ht="19.5" hidden="1" customHeight="1">
      <c r="A974" s="137"/>
      <c r="B974" s="197">
        <f t="shared" si="18"/>
        <v>964</v>
      </c>
      <c r="C974" s="30" t="s">
        <v>202</v>
      </c>
      <c r="D974" s="30" t="s">
        <v>225</v>
      </c>
      <c r="E974" s="234" t="s">
        <v>1189</v>
      </c>
      <c r="F974" s="235" t="s">
        <v>1260</v>
      </c>
      <c r="G974" s="284">
        <f>IFERROR(VLOOKUP(E974,Assign!$C$2:$J$142,8,FALSE),)</f>
        <v>0</v>
      </c>
      <c r="H974" s="197" t="s">
        <v>4763</v>
      </c>
      <c r="I974" s="324" t="s">
        <v>4764</v>
      </c>
      <c r="J974" s="237">
        <v>1</v>
      </c>
      <c r="K974" s="237">
        <v>1</v>
      </c>
      <c r="L974" s="265" t="s">
        <v>212</v>
      </c>
      <c r="M974" s="266" t="s">
        <v>304</v>
      </c>
      <c r="N974" s="266" t="s">
        <v>356</v>
      </c>
      <c r="O974" s="267" t="s">
        <v>2295</v>
      </c>
      <c r="P974" s="268" t="s">
        <v>2296</v>
      </c>
      <c r="Q974" s="269">
        <v>2634</v>
      </c>
      <c r="R974" s="269">
        <v>59.85</v>
      </c>
      <c r="S974" s="270"/>
      <c r="T974" s="182">
        <f>19.902/2634</f>
        <v>7.5558086560364472E-3</v>
      </c>
      <c r="U974" s="182">
        <v>1</v>
      </c>
      <c r="V974" s="408">
        <v>1</v>
      </c>
      <c r="W974" s="357" t="s">
        <v>204</v>
      </c>
      <c r="X974" s="156">
        <v>69600000</v>
      </c>
      <c r="Y974" s="156">
        <v>69600000</v>
      </c>
      <c r="Z974" s="418" t="s">
        <v>359</v>
      </c>
      <c r="AA974" s="271"/>
      <c r="AB974" s="168"/>
      <c r="AC974" s="156"/>
      <c r="AD974" s="156"/>
      <c r="AE974" s="320"/>
      <c r="AF974" s="168"/>
      <c r="AG974" s="156"/>
      <c r="AH974" s="156"/>
      <c r="AI974" s="410"/>
    </row>
    <row r="975" spans="1:35" ht="19.5" customHeight="1">
      <c r="A975" s="137"/>
      <c r="B975" s="197">
        <f t="shared" si="18"/>
        <v>965</v>
      </c>
      <c r="C975" s="30" t="s">
        <v>202</v>
      </c>
      <c r="D975" s="30" t="s">
        <v>225</v>
      </c>
      <c r="E975" s="234" t="s">
        <v>1190</v>
      </c>
      <c r="F975" s="235" t="s">
        <v>1244</v>
      </c>
      <c r="G975" s="284" t="str">
        <f>IFERROR(VLOOKUP(E975,Assign!$C$2:$J$142,8,FALSE),)</f>
        <v>문선영</v>
      </c>
      <c r="H975" s="197" t="s">
        <v>4932</v>
      </c>
      <c r="I975" s="324" t="s">
        <v>4933</v>
      </c>
      <c r="J975" s="237">
        <v>1</v>
      </c>
      <c r="K975" s="237">
        <v>1</v>
      </c>
      <c r="L975" s="265" t="s">
        <v>213</v>
      </c>
      <c r="M975" s="266" t="s">
        <v>2451</v>
      </c>
      <c r="N975" s="266" t="s">
        <v>2452</v>
      </c>
      <c r="O975" s="267" t="s">
        <v>2453</v>
      </c>
      <c r="P975" s="268" t="s">
        <v>2454</v>
      </c>
      <c r="Q975" s="269">
        <v>696.9</v>
      </c>
      <c r="R975" s="269">
        <v>17.760000000000002</v>
      </c>
      <c r="S975" s="270"/>
      <c r="T975" s="182">
        <f>3.1141/696.9</f>
        <v>4.468503372076338E-3</v>
      </c>
      <c r="U975" s="182">
        <v>1</v>
      </c>
      <c r="V975" s="408">
        <v>1</v>
      </c>
      <c r="W975" s="357" t="s">
        <v>204</v>
      </c>
      <c r="X975" s="156">
        <v>48000000</v>
      </c>
      <c r="Y975" s="156">
        <v>48000000</v>
      </c>
      <c r="Z975" s="418" t="s">
        <v>359</v>
      </c>
      <c r="AA975" s="271"/>
      <c r="AB975" s="168"/>
      <c r="AC975" s="156"/>
      <c r="AD975" s="156"/>
      <c r="AE975" s="320"/>
      <c r="AF975" s="168"/>
      <c r="AG975" s="156"/>
      <c r="AH975" s="156"/>
      <c r="AI975" s="410"/>
    </row>
    <row r="976" spans="1:35" ht="19.5" hidden="1" customHeight="1">
      <c r="A976" s="137"/>
      <c r="B976" s="197">
        <f t="shared" si="18"/>
        <v>966</v>
      </c>
      <c r="C976" s="30" t="s">
        <v>202</v>
      </c>
      <c r="D976" s="30" t="s">
        <v>225</v>
      </c>
      <c r="E976" s="234" t="s">
        <v>1191</v>
      </c>
      <c r="F976" s="235" t="s">
        <v>1229</v>
      </c>
      <c r="G976" s="284">
        <f>IFERROR(VLOOKUP(E976,Assign!$C$2:$J$142,8,FALSE),)</f>
        <v>0</v>
      </c>
      <c r="H976" s="197" t="s">
        <v>4765</v>
      </c>
      <c r="I976" s="324" t="s">
        <v>4766</v>
      </c>
      <c r="J976" s="237">
        <v>1</v>
      </c>
      <c r="K976" s="237">
        <v>1</v>
      </c>
      <c r="L976" s="265" t="s">
        <v>208</v>
      </c>
      <c r="M976" s="266" t="s">
        <v>234</v>
      </c>
      <c r="N976" s="266" t="s">
        <v>2297</v>
      </c>
      <c r="O976" s="267" t="s">
        <v>2298</v>
      </c>
      <c r="P976" s="268" t="s">
        <v>3520</v>
      </c>
      <c r="Q976" s="269">
        <v>3082</v>
      </c>
      <c r="R976" s="269">
        <f>55.2+12.12</f>
        <v>67.320000000000007</v>
      </c>
      <c r="S976" s="270"/>
      <c r="T976" s="182">
        <f>57.73/3082</f>
        <v>1.8731343283582089E-2</v>
      </c>
      <c r="U976" s="182">
        <v>1</v>
      </c>
      <c r="V976" s="408">
        <v>1</v>
      </c>
      <c r="W976" s="357" t="s">
        <v>204</v>
      </c>
      <c r="X976" s="156">
        <v>46800000</v>
      </c>
      <c r="Y976" s="156">
        <v>46800000</v>
      </c>
      <c r="Z976" s="418" t="s">
        <v>359</v>
      </c>
      <c r="AA976" s="271"/>
      <c r="AB976" s="168"/>
      <c r="AC976" s="156"/>
      <c r="AD976" s="156"/>
      <c r="AE976" s="320"/>
      <c r="AF976" s="168"/>
      <c r="AG976" s="156"/>
      <c r="AH976" s="156"/>
      <c r="AI976" s="410"/>
    </row>
    <row r="977" spans="1:35" ht="19.5" hidden="1" customHeight="1">
      <c r="A977" s="137"/>
      <c r="B977" s="197">
        <f t="shared" si="18"/>
        <v>967</v>
      </c>
      <c r="C977" s="30" t="s">
        <v>202</v>
      </c>
      <c r="D977" s="30" t="s">
        <v>225</v>
      </c>
      <c r="E977" s="234" t="s">
        <v>1192</v>
      </c>
      <c r="F977" s="235" t="s">
        <v>1234</v>
      </c>
      <c r="G977" s="284">
        <f>IFERROR(VLOOKUP(E977,Assign!$C$2:$J$142,8,FALSE),)</f>
        <v>0</v>
      </c>
      <c r="H977" s="197" t="s">
        <v>4256</v>
      </c>
      <c r="I977" s="324" t="s">
        <v>4257</v>
      </c>
      <c r="J977" s="237">
        <v>1</v>
      </c>
      <c r="K977" s="237">
        <v>1</v>
      </c>
      <c r="L977" s="265" t="s">
        <v>208</v>
      </c>
      <c r="M977" s="266" t="s">
        <v>259</v>
      </c>
      <c r="N977" s="266" t="s">
        <v>387</v>
      </c>
      <c r="O977" s="267" t="s">
        <v>1824</v>
      </c>
      <c r="P977" s="268" t="s">
        <v>1510</v>
      </c>
      <c r="Q977" s="269">
        <v>228</v>
      </c>
      <c r="R977" s="269">
        <v>36.450000000000003</v>
      </c>
      <c r="S977" s="270"/>
      <c r="T977" s="182">
        <f>28.5/228</f>
        <v>0.125</v>
      </c>
      <c r="U977" s="182">
        <v>1</v>
      </c>
      <c r="V977" s="408">
        <v>1</v>
      </c>
      <c r="W977" s="357" t="s">
        <v>204</v>
      </c>
      <c r="X977" s="156">
        <v>48000000</v>
      </c>
      <c r="Y977" s="156">
        <v>48000000</v>
      </c>
      <c r="Z977" s="418" t="s">
        <v>359</v>
      </c>
      <c r="AA977" s="271"/>
      <c r="AB977" s="168"/>
      <c r="AC977" s="156"/>
      <c r="AD977" s="156"/>
      <c r="AE977" s="320"/>
      <c r="AF977" s="168"/>
      <c r="AG977" s="156"/>
      <c r="AH977" s="156"/>
      <c r="AI977" s="410"/>
    </row>
    <row r="978" spans="1:35" ht="19.5" hidden="1" customHeight="1">
      <c r="A978" s="137"/>
      <c r="B978" s="197">
        <f t="shared" si="18"/>
        <v>968</v>
      </c>
      <c r="C978" s="30" t="s">
        <v>202</v>
      </c>
      <c r="D978" s="30" t="s">
        <v>225</v>
      </c>
      <c r="E978" s="234" t="s">
        <v>1193</v>
      </c>
      <c r="F978" s="235" t="s">
        <v>1232</v>
      </c>
      <c r="G978" s="284">
        <f>IFERROR(VLOOKUP(E978,Assign!$C$2:$J$142,8,FALSE),)</f>
        <v>0</v>
      </c>
      <c r="H978" s="197" t="s">
        <v>5007</v>
      </c>
      <c r="I978" s="324" t="s">
        <v>5008</v>
      </c>
      <c r="J978" s="237">
        <v>1</v>
      </c>
      <c r="K978" s="237">
        <v>1</v>
      </c>
      <c r="L978" s="265" t="s">
        <v>221</v>
      </c>
      <c r="M978" s="266" t="s">
        <v>2529</v>
      </c>
      <c r="N978" s="266" t="s">
        <v>382</v>
      </c>
      <c r="O978" s="267" t="s">
        <v>2530</v>
      </c>
      <c r="P978" s="268" t="s">
        <v>602</v>
      </c>
      <c r="Q978" s="269"/>
      <c r="R978" s="269">
        <f>72.79+16.5</f>
        <v>89.29</v>
      </c>
      <c r="S978" s="270"/>
      <c r="T978" s="182"/>
      <c r="U978" s="182">
        <v>1</v>
      </c>
      <c r="V978" s="408">
        <v>1</v>
      </c>
      <c r="W978" s="357" t="s">
        <v>204</v>
      </c>
      <c r="X978" s="156">
        <v>48000000</v>
      </c>
      <c r="Y978" s="156">
        <v>48000000</v>
      </c>
      <c r="Z978" s="418" t="s">
        <v>359</v>
      </c>
      <c r="AA978" s="271"/>
      <c r="AB978" s="168"/>
      <c r="AC978" s="156"/>
      <c r="AD978" s="156"/>
      <c r="AE978" s="320"/>
      <c r="AF978" s="168"/>
      <c r="AG978" s="156"/>
      <c r="AH978" s="156"/>
      <c r="AI978" s="410"/>
    </row>
    <row r="979" spans="1:35" ht="19.5" hidden="1" customHeight="1">
      <c r="A979" s="137"/>
      <c r="B979" s="197">
        <f t="shared" si="18"/>
        <v>969</v>
      </c>
      <c r="C979" s="30" t="s">
        <v>202</v>
      </c>
      <c r="D979" s="30" t="s">
        <v>225</v>
      </c>
      <c r="E979" s="234" t="s">
        <v>1193</v>
      </c>
      <c r="F979" s="235" t="s">
        <v>1232</v>
      </c>
      <c r="G979" s="284">
        <f>IFERROR(VLOOKUP(E979,Assign!$C$2:$J$142,8,FALSE),)</f>
        <v>0</v>
      </c>
      <c r="H979" s="197" t="s">
        <v>5007</v>
      </c>
      <c r="I979" s="324" t="s">
        <v>5009</v>
      </c>
      <c r="J979" s="237">
        <v>1</v>
      </c>
      <c r="K979" s="237">
        <v>2</v>
      </c>
      <c r="L979" s="265" t="s">
        <v>221</v>
      </c>
      <c r="M979" s="266" t="s">
        <v>2529</v>
      </c>
      <c r="N979" s="266" t="s">
        <v>382</v>
      </c>
      <c r="O979" s="267" t="s">
        <v>2530</v>
      </c>
      <c r="P979" s="268" t="s">
        <v>450</v>
      </c>
      <c r="Q979" s="269">
        <v>192</v>
      </c>
      <c r="R979" s="269"/>
      <c r="S979" s="270"/>
      <c r="T979" s="182"/>
      <c r="U979" s="182">
        <v>1</v>
      </c>
      <c r="V979" s="408">
        <v>1</v>
      </c>
      <c r="W979" s="357" t="s">
        <v>204</v>
      </c>
      <c r="X979" s="156">
        <v>48000000</v>
      </c>
      <c r="Y979" s="156">
        <v>48000000</v>
      </c>
      <c r="Z979" s="418" t="s">
        <v>359</v>
      </c>
      <c r="AA979" s="271"/>
      <c r="AB979" s="168"/>
      <c r="AC979" s="156"/>
      <c r="AD979" s="156"/>
      <c r="AE979" s="320"/>
      <c r="AF979" s="168"/>
      <c r="AG979" s="156"/>
      <c r="AH979" s="156"/>
      <c r="AI979" s="410"/>
    </row>
    <row r="980" spans="1:35" ht="19.5" hidden="1" customHeight="1">
      <c r="A980" s="137"/>
      <c r="B980" s="197">
        <f t="shared" si="18"/>
        <v>970</v>
      </c>
      <c r="C980" s="30" t="s">
        <v>202</v>
      </c>
      <c r="D980" s="30" t="s">
        <v>225</v>
      </c>
      <c r="E980" s="234" t="s">
        <v>1194</v>
      </c>
      <c r="F980" s="235" t="s">
        <v>1247</v>
      </c>
      <c r="G980" s="284">
        <f>IFERROR(VLOOKUP(E980,Assign!$C$2:$J$142,8,FALSE),)</f>
        <v>0</v>
      </c>
      <c r="H980" s="197" t="s">
        <v>4322</v>
      </c>
      <c r="I980" s="324" t="s">
        <v>4323</v>
      </c>
      <c r="J980" s="237">
        <v>1</v>
      </c>
      <c r="K980" s="237">
        <v>1</v>
      </c>
      <c r="L980" s="265" t="s">
        <v>208</v>
      </c>
      <c r="M980" s="266" t="s">
        <v>254</v>
      </c>
      <c r="N980" s="266" t="s">
        <v>1887</v>
      </c>
      <c r="O980" s="267" t="s">
        <v>1888</v>
      </c>
      <c r="P980" s="268" t="s">
        <v>439</v>
      </c>
      <c r="Q980" s="269">
        <v>191659.9</v>
      </c>
      <c r="R980" s="269">
        <v>164.935</v>
      </c>
      <c r="S980" s="270"/>
      <c r="T980" s="182">
        <f>68.3168/191659.9</f>
        <v>3.5644806242724744E-4</v>
      </c>
      <c r="U980" s="182">
        <v>1</v>
      </c>
      <c r="V980" s="408">
        <v>2</v>
      </c>
      <c r="W980" s="357" t="s">
        <v>204</v>
      </c>
      <c r="X980" s="156">
        <v>36000000</v>
      </c>
      <c r="Y980" s="156">
        <v>36000000</v>
      </c>
      <c r="Z980" s="418" t="s">
        <v>359</v>
      </c>
      <c r="AA980" s="271">
        <v>1</v>
      </c>
      <c r="AB980" s="168" t="s">
        <v>204</v>
      </c>
      <c r="AC980" s="156">
        <v>377300000</v>
      </c>
      <c r="AD980" s="156">
        <v>377300000</v>
      </c>
      <c r="AE980" s="320"/>
      <c r="AF980" s="168"/>
      <c r="AG980" s="156"/>
      <c r="AH980" s="156"/>
      <c r="AI980" s="410"/>
    </row>
    <row r="981" spans="1:35" ht="19.5" hidden="1" customHeight="1">
      <c r="A981" s="137"/>
      <c r="B981" s="197">
        <f t="shared" si="18"/>
        <v>971</v>
      </c>
      <c r="C981" s="30" t="s">
        <v>202</v>
      </c>
      <c r="D981" s="30" t="s">
        <v>225</v>
      </c>
      <c r="E981" s="234" t="s">
        <v>1195</v>
      </c>
      <c r="F981" s="235" t="s">
        <v>1222</v>
      </c>
      <c r="G981" s="284">
        <f>IFERROR(VLOOKUP(E981,Assign!$C$2:$J$142,8,FALSE),)</f>
        <v>0</v>
      </c>
      <c r="H981" s="197" t="s">
        <v>4090</v>
      </c>
      <c r="I981" s="324" t="s">
        <v>4091</v>
      </c>
      <c r="J981" s="237">
        <v>1</v>
      </c>
      <c r="K981" s="237">
        <v>1</v>
      </c>
      <c r="L981" s="265" t="s">
        <v>214</v>
      </c>
      <c r="M981" s="266" t="s">
        <v>353</v>
      </c>
      <c r="N981" s="266" t="s">
        <v>1665</v>
      </c>
      <c r="O981" s="267" t="s">
        <v>1666</v>
      </c>
      <c r="P981" s="268" t="s">
        <v>442</v>
      </c>
      <c r="Q981" s="269">
        <f>1747+2789</f>
        <v>4536</v>
      </c>
      <c r="R981" s="269">
        <v>81.66</v>
      </c>
      <c r="S981" s="270"/>
      <c r="T981" s="182">
        <f>43.11/4536</f>
        <v>9.5039682539682542E-3</v>
      </c>
      <c r="U981" s="182">
        <v>1</v>
      </c>
      <c r="V981" s="408">
        <v>1</v>
      </c>
      <c r="W981" s="357" t="s">
        <v>204</v>
      </c>
      <c r="X981" s="156">
        <v>43200000</v>
      </c>
      <c r="Y981" s="156">
        <v>43200000</v>
      </c>
      <c r="Z981" s="418" t="s">
        <v>359</v>
      </c>
      <c r="AA981" s="271"/>
      <c r="AB981" s="168"/>
      <c r="AC981" s="156"/>
      <c r="AD981" s="156"/>
      <c r="AE981" s="320"/>
      <c r="AF981" s="168"/>
      <c r="AG981" s="156"/>
      <c r="AH981" s="156"/>
      <c r="AI981" s="410"/>
    </row>
    <row r="982" spans="1:35" ht="19.5" hidden="1" customHeight="1">
      <c r="A982" s="137"/>
      <c r="B982" s="197">
        <f t="shared" si="18"/>
        <v>972</v>
      </c>
      <c r="C982" s="30" t="s">
        <v>202</v>
      </c>
      <c r="D982" s="30" t="s">
        <v>225</v>
      </c>
      <c r="E982" s="234" t="s">
        <v>1196</v>
      </c>
      <c r="F982" s="235" t="s">
        <v>1218</v>
      </c>
      <c r="G982" s="284">
        <f>IFERROR(VLOOKUP(E982,Assign!$C$2:$J$142,8,FALSE),)</f>
        <v>0</v>
      </c>
      <c r="H982" s="197" t="s">
        <v>3976</v>
      </c>
      <c r="I982" s="324" t="s">
        <v>3977</v>
      </c>
      <c r="J982" s="237">
        <v>1</v>
      </c>
      <c r="K982" s="237">
        <v>1</v>
      </c>
      <c r="L982" s="265" t="s">
        <v>208</v>
      </c>
      <c r="M982" s="266" t="s">
        <v>242</v>
      </c>
      <c r="N982" s="266" t="s">
        <v>243</v>
      </c>
      <c r="O982" s="267" t="s">
        <v>1554</v>
      </c>
      <c r="P982" s="268" t="s">
        <v>458</v>
      </c>
      <c r="Q982" s="269">
        <v>1068</v>
      </c>
      <c r="R982" s="269">
        <v>64.760000000000005</v>
      </c>
      <c r="S982" s="270"/>
      <c r="T982" s="182">
        <f>59.48/1068</f>
        <v>5.5692883895131086E-2</v>
      </c>
      <c r="U982" s="182">
        <v>1</v>
      </c>
      <c r="V982" s="408">
        <v>1</v>
      </c>
      <c r="W982" s="357" t="s">
        <v>204</v>
      </c>
      <c r="X982" s="156">
        <v>60000000</v>
      </c>
      <c r="Y982" s="156">
        <v>60000000</v>
      </c>
      <c r="Z982" s="418" t="s">
        <v>359</v>
      </c>
      <c r="AA982" s="271"/>
      <c r="AB982" s="168"/>
      <c r="AC982" s="156"/>
      <c r="AD982" s="156"/>
      <c r="AE982" s="320"/>
      <c r="AF982" s="168"/>
      <c r="AG982" s="156"/>
      <c r="AH982" s="156"/>
      <c r="AI982" s="410"/>
    </row>
    <row r="983" spans="1:35" ht="19.5" hidden="1" customHeight="1">
      <c r="A983" s="137"/>
      <c r="B983" s="197">
        <f t="shared" si="18"/>
        <v>973</v>
      </c>
      <c r="C983" s="30" t="s">
        <v>202</v>
      </c>
      <c r="D983" s="30" t="s">
        <v>225</v>
      </c>
      <c r="E983" s="234" t="s">
        <v>1197</v>
      </c>
      <c r="F983" s="235" t="s">
        <v>1232</v>
      </c>
      <c r="G983" s="284">
        <f>IFERROR(VLOOKUP(E983,Assign!$C$2:$J$142,8,FALSE),)</f>
        <v>0</v>
      </c>
      <c r="H983" s="197" t="s">
        <v>5020</v>
      </c>
      <c r="I983" s="324" t="s">
        <v>5021</v>
      </c>
      <c r="J983" s="237">
        <v>1</v>
      </c>
      <c r="K983" s="237">
        <v>1</v>
      </c>
      <c r="L983" s="265" t="s">
        <v>212</v>
      </c>
      <c r="M983" s="266" t="s">
        <v>232</v>
      </c>
      <c r="N983" s="266" t="s">
        <v>263</v>
      </c>
      <c r="O983" s="267" t="s">
        <v>2541</v>
      </c>
      <c r="P983" s="268" t="s">
        <v>458</v>
      </c>
      <c r="Q983" s="269">
        <v>365</v>
      </c>
      <c r="R983" s="269">
        <v>42.2</v>
      </c>
      <c r="S983" s="270"/>
      <c r="T983" s="182">
        <f>24.4/365</f>
        <v>6.6849315068493148E-2</v>
      </c>
      <c r="U983" s="182">
        <v>1</v>
      </c>
      <c r="V983" s="408">
        <v>1</v>
      </c>
      <c r="W983" s="357" t="s">
        <v>204</v>
      </c>
      <c r="X983" s="156">
        <v>36000000</v>
      </c>
      <c r="Y983" s="156">
        <v>36000000</v>
      </c>
      <c r="Z983" s="418" t="s">
        <v>359</v>
      </c>
      <c r="AA983" s="271"/>
      <c r="AB983" s="168"/>
      <c r="AC983" s="156"/>
      <c r="AD983" s="156"/>
      <c r="AE983" s="320"/>
      <c r="AF983" s="168"/>
      <c r="AG983" s="156"/>
      <c r="AH983" s="156"/>
      <c r="AI983" s="410"/>
    </row>
    <row r="984" spans="1:35" ht="19.5" hidden="1" customHeight="1">
      <c r="A984" s="137"/>
      <c r="B984" s="197">
        <f t="shared" si="18"/>
        <v>974</v>
      </c>
      <c r="C984" s="30" t="s">
        <v>202</v>
      </c>
      <c r="D984" s="30" t="s">
        <v>225</v>
      </c>
      <c r="E984" s="234" t="s">
        <v>1198</v>
      </c>
      <c r="F984" s="235" t="s">
        <v>1252</v>
      </c>
      <c r="G984" s="284">
        <f>IFERROR(VLOOKUP(E984,Assign!$C$2:$J$142,8,FALSE),)</f>
        <v>0</v>
      </c>
      <c r="H984" s="29" t="s">
        <v>3910</v>
      </c>
      <c r="I984" s="359" t="s">
        <v>3911</v>
      </c>
      <c r="J984" s="237">
        <v>1</v>
      </c>
      <c r="K984" s="237">
        <v>1</v>
      </c>
      <c r="L984" s="265" t="s">
        <v>212</v>
      </c>
      <c r="M984" s="266" t="s">
        <v>294</v>
      </c>
      <c r="N984" s="266" t="s">
        <v>1480</v>
      </c>
      <c r="O984" s="267" t="s">
        <v>1481</v>
      </c>
      <c r="P984" s="268" t="s">
        <v>588</v>
      </c>
      <c r="Q984" s="269">
        <v>330.8</v>
      </c>
      <c r="R984" s="269">
        <v>70.819999999999993</v>
      </c>
      <c r="S984" s="270"/>
      <c r="T984" s="182">
        <f>43.51/330.8</f>
        <v>0.13152962515114872</v>
      </c>
      <c r="U984" s="182">
        <v>1</v>
      </c>
      <c r="V984" s="408">
        <v>1</v>
      </c>
      <c r="W984" s="357" t="s">
        <v>204</v>
      </c>
      <c r="X984" s="156">
        <v>45600000</v>
      </c>
      <c r="Y984" s="156">
        <v>45600000</v>
      </c>
      <c r="Z984" s="418" t="s">
        <v>359</v>
      </c>
      <c r="AA984" s="271"/>
      <c r="AB984" s="168"/>
      <c r="AC984" s="156"/>
      <c r="AD984" s="156"/>
      <c r="AE984" s="320"/>
      <c r="AF984" s="168"/>
      <c r="AG984" s="156"/>
      <c r="AH984" s="156"/>
      <c r="AI984" s="410"/>
    </row>
    <row r="985" spans="1:35" ht="19.5" customHeight="1">
      <c r="A985" s="137"/>
      <c r="B985" s="197">
        <f t="shared" si="18"/>
        <v>975</v>
      </c>
      <c r="C985" s="30" t="s">
        <v>202</v>
      </c>
      <c r="D985" s="30" t="s">
        <v>225</v>
      </c>
      <c r="E985" s="234" t="s">
        <v>1199</v>
      </c>
      <c r="F985" s="235" t="s">
        <v>1351</v>
      </c>
      <c r="G985" s="284" t="str">
        <f>IFERROR(VLOOKUP(E985,Assign!$C$2:$J$142,8,FALSE),)</f>
        <v>문선영</v>
      </c>
      <c r="H985" s="197" t="s">
        <v>5075</v>
      </c>
      <c r="I985" s="324" t="s">
        <v>5076</v>
      </c>
      <c r="J985" s="237">
        <v>1</v>
      </c>
      <c r="K985" s="237">
        <v>1</v>
      </c>
      <c r="L985" s="265" t="s">
        <v>211</v>
      </c>
      <c r="M985" s="266" t="s">
        <v>299</v>
      </c>
      <c r="N985" s="266" t="s">
        <v>2587</v>
      </c>
      <c r="O985" s="267" t="s">
        <v>2588</v>
      </c>
      <c r="P985" s="268" t="s">
        <v>2589</v>
      </c>
      <c r="Q985" s="269">
        <v>628.5</v>
      </c>
      <c r="R985" s="269">
        <v>66.3</v>
      </c>
      <c r="S985" s="270"/>
      <c r="T985" s="182">
        <f>14.87/628.5</f>
        <v>2.3659506762132059E-2</v>
      </c>
      <c r="U985" s="182">
        <v>1</v>
      </c>
      <c r="V985" s="408">
        <v>1</v>
      </c>
      <c r="W985" s="357" t="s">
        <v>204</v>
      </c>
      <c r="X985" s="156">
        <v>40800000</v>
      </c>
      <c r="Y985" s="156">
        <v>40800000</v>
      </c>
      <c r="Z985" s="418" t="s">
        <v>359</v>
      </c>
      <c r="AA985" s="271"/>
      <c r="AB985" s="168"/>
      <c r="AC985" s="156"/>
      <c r="AD985" s="156"/>
      <c r="AE985" s="320"/>
      <c r="AF985" s="168"/>
      <c r="AG985" s="156"/>
      <c r="AH985" s="156"/>
      <c r="AI985" s="410"/>
    </row>
    <row r="986" spans="1:35" ht="19.5" customHeight="1">
      <c r="A986" s="137"/>
      <c r="B986" s="197">
        <f t="shared" si="18"/>
        <v>976</v>
      </c>
      <c r="C986" s="30" t="s">
        <v>202</v>
      </c>
      <c r="D986" s="30" t="s">
        <v>225</v>
      </c>
      <c r="E986" s="234" t="s">
        <v>1199</v>
      </c>
      <c r="F986" s="235" t="s">
        <v>1351</v>
      </c>
      <c r="G986" s="284" t="str">
        <f>IFERROR(VLOOKUP(E986,Assign!$C$2:$J$142,8,FALSE),)</f>
        <v>문선영</v>
      </c>
      <c r="H986" s="197" t="s">
        <v>5075</v>
      </c>
      <c r="I986" s="324" t="s">
        <v>5077</v>
      </c>
      <c r="J986" s="237">
        <v>1</v>
      </c>
      <c r="K986" s="237">
        <v>2</v>
      </c>
      <c r="L986" s="265" t="s">
        <v>211</v>
      </c>
      <c r="M986" s="266" t="s">
        <v>299</v>
      </c>
      <c r="N986" s="266" t="s">
        <v>2587</v>
      </c>
      <c r="O986" s="267" t="s">
        <v>2590</v>
      </c>
      <c r="P986" s="268" t="s">
        <v>2589</v>
      </c>
      <c r="Q986" s="269">
        <v>628.5</v>
      </c>
      <c r="R986" s="269">
        <v>61.49</v>
      </c>
      <c r="S986" s="270"/>
      <c r="T986" s="182">
        <f>13.79/628.5</f>
        <v>2.1941129673826571E-2</v>
      </c>
      <c r="U986" s="182">
        <v>1</v>
      </c>
      <c r="V986" s="408">
        <v>1</v>
      </c>
      <c r="W986" s="357" t="s">
        <v>204</v>
      </c>
      <c r="X986" s="156">
        <v>40800000</v>
      </c>
      <c r="Y986" s="156">
        <v>40800000</v>
      </c>
      <c r="Z986" s="418" t="s">
        <v>359</v>
      </c>
      <c r="AA986" s="271"/>
      <c r="AB986" s="168"/>
      <c r="AC986" s="156"/>
      <c r="AD986" s="156"/>
      <c r="AE986" s="320"/>
      <c r="AF986" s="168"/>
      <c r="AG986" s="156"/>
      <c r="AH986" s="156"/>
      <c r="AI986" s="410"/>
    </row>
    <row r="987" spans="1:35" ht="19.5" hidden="1" customHeight="1">
      <c r="A987" s="137"/>
      <c r="B987" s="197">
        <f t="shared" si="18"/>
        <v>977</v>
      </c>
      <c r="C987" s="30" t="s">
        <v>202</v>
      </c>
      <c r="D987" s="30" t="s">
        <v>225</v>
      </c>
      <c r="E987" s="234" t="s">
        <v>1200</v>
      </c>
      <c r="F987" s="235" t="s">
        <v>1229</v>
      </c>
      <c r="G987" s="284">
        <f>IFERROR(VLOOKUP(E987,Assign!$C$2:$J$142,8,FALSE),)</f>
        <v>0</v>
      </c>
      <c r="H987" s="197" t="s">
        <v>4094</v>
      </c>
      <c r="I987" s="324" t="s">
        <v>4095</v>
      </c>
      <c r="J987" s="237">
        <v>1</v>
      </c>
      <c r="K987" s="237">
        <v>1</v>
      </c>
      <c r="L987" s="265" t="s">
        <v>208</v>
      </c>
      <c r="M987" s="266" t="s">
        <v>394</v>
      </c>
      <c r="N987" s="266" t="s">
        <v>427</v>
      </c>
      <c r="O987" s="267" t="s">
        <v>1669</v>
      </c>
      <c r="P987" s="268" t="s">
        <v>476</v>
      </c>
      <c r="Q987" s="269">
        <f>13964.7+3667.1</f>
        <v>17631.8</v>
      </c>
      <c r="R987" s="269">
        <v>59.95</v>
      </c>
      <c r="S987" s="270"/>
      <c r="T987" s="182">
        <f>29.38/17631.8</f>
        <v>1.6663074671899637E-3</v>
      </c>
      <c r="U987" s="182">
        <v>1</v>
      </c>
      <c r="V987" s="408" t="s">
        <v>292</v>
      </c>
      <c r="W987" s="357" t="s">
        <v>204</v>
      </c>
      <c r="X987" s="156">
        <v>62400000</v>
      </c>
      <c r="Y987" s="156">
        <v>62400000</v>
      </c>
      <c r="Z987" s="418" t="s">
        <v>359</v>
      </c>
      <c r="AA987" s="271">
        <v>1</v>
      </c>
      <c r="AB987" s="168" t="s">
        <v>204</v>
      </c>
      <c r="AC987" s="156">
        <v>22000000</v>
      </c>
      <c r="AD987" s="156">
        <v>22000000</v>
      </c>
      <c r="AE987" s="320"/>
      <c r="AF987" s="168"/>
      <c r="AG987" s="156"/>
      <c r="AH987" s="156"/>
      <c r="AI987" s="410"/>
    </row>
    <row r="988" spans="1:35" ht="19.5" hidden="1" customHeight="1">
      <c r="A988" s="137"/>
      <c r="B988" s="197">
        <f t="shared" si="18"/>
        <v>978</v>
      </c>
      <c r="C988" s="30" t="s">
        <v>202</v>
      </c>
      <c r="D988" s="30" t="s">
        <v>225</v>
      </c>
      <c r="E988" s="234" t="s">
        <v>1201</v>
      </c>
      <c r="F988" s="235" t="s">
        <v>1217</v>
      </c>
      <c r="G988" s="284">
        <f>IFERROR(VLOOKUP(E988,Assign!$C$2:$J$142,8,FALSE),)</f>
        <v>0</v>
      </c>
      <c r="H988" s="197" t="s">
        <v>4246</v>
      </c>
      <c r="I988" s="324" t="s">
        <v>4247</v>
      </c>
      <c r="J988" s="237">
        <v>1</v>
      </c>
      <c r="K988" s="237">
        <v>1</v>
      </c>
      <c r="L988" s="265" t="s">
        <v>209</v>
      </c>
      <c r="M988" s="266" t="s">
        <v>248</v>
      </c>
      <c r="N988" s="266" t="s">
        <v>360</v>
      </c>
      <c r="O988" s="267" t="s">
        <v>1816</v>
      </c>
      <c r="P988" s="268" t="s">
        <v>1817</v>
      </c>
      <c r="Q988" s="269">
        <v>41732.1</v>
      </c>
      <c r="R988" s="269">
        <v>11.44</v>
      </c>
      <c r="S988" s="270"/>
      <c r="T988" s="182">
        <f>3.287/41732.1</f>
        <v>7.8764308529884672E-5</v>
      </c>
      <c r="U988" s="182">
        <v>1</v>
      </c>
      <c r="V988" s="408">
        <v>1</v>
      </c>
      <c r="W988" s="357" t="s">
        <v>204</v>
      </c>
      <c r="X988" s="156">
        <v>15600000</v>
      </c>
      <c r="Y988" s="156">
        <v>15600000</v>
      </c>
      <c r="Z988" s="418" t="s">
        <v>359</v>
      </c>
      <c r="AA988" s="271"/>
      <c r="AB988" s="168"/>
      <c r="AC988" s="156"/>
      <c r="AD988" s="156"/>
      <c r="AE988" s="320"/>
      <c r="AF988" s="168"/>
      <c r="AG988" s="156"/>
      <c r="AH988" s="156"/>
      <c r="AI988" s="410"/>
    </row>
    <row r="989" spans="1:35" ht="19.5" hidden="1" customHeight="1">
      <c r="A989" s="137"/>
      <c r="B989" s="197">
        <f t="shared" si="18"/>
        <v>979</v>
      </c>
      <c r="C989" s="30" t="s">
        <v>202</v>
      </c>
      <c r="D989" s="30" t="s">
        <v>225</v>
      </c>
      <c r="E989" s="234" t="s">
        <v>1202</v>
      </c>
      <c r="F989" s="235" t="s">
        <v>1231</v>
      </c>
      <c r="G989" s="284">
        <f>IFERROR(VLOOKUP(E989,Assign!$C$2:$J$142,8,FALSE),)</f>
        <v>0</v>
      </c>
      <c r="H989" s="197" t="s">
        <v>4054</v>
      </c>
      <c r="I989" s="324" t="s">
        <v>4055</v>
      </c>
      <c r="J989" s="237">
        <v>1</v>
      </c>
      <c r="K989" s="237">
        <v>1</v>
      </c>
      <c r="L989" s="265" t="s">
        <v>212</v>
      </c>
      <c r="M989" s="266" t="s">
        <v>389</v>
      </c>
      <c r="N989" s="266" t="s">
        <v>1629</v>
      </c>
      <c r="O989" s="267" t="s">
        <v>1630</v>
      </c>
      <c r="P989" s="268" t="s">
        <v>1510</v>
      </c>
      <c r="Q989" s="269">
        <v>239.2</v>
      </c>
      <c r="R989" s="269">
        <v>31.52</v>
      </c>
      <c r="S989" s="270"/>
      <c r="T989" s="182">
        <f>24.23/239.2</f>
        <v>0.10129598662207359</v>
      </c>
      <c r="U989" s="182">
        <v>1</v>
      </c>
      <c r="V989" s="408">
        <v>1</v>
      </c>
      <c r="W989" s="357" t="s">
        <v>204</v>
      </c>
      <c r="X989" s="156">
        <v>38400000</v>
      </c>
      <c r="Y989" s="156">
        <v>38400000</v>
      </c>
      <c r="Z989" s="418" t="s">
        <v>359</v>
      </c>
      <c r="AA989" s="271"/>
      <c r="AB989" s="168"/>
      <c r="AC989" s="156"/>
      <c r="AD989" s="156"/>
      <c r="AE989" s="320"/>
      <c r="AF989" s="168"/>
      <c r="AG989" s="156"/>
      <c r="AH989" s="156"/>
      <c r="AI989" s="410"/>
    </row>
    <row r="990" spans="1:35" ht="19.5" hidden="1" customHeight="1">
      <c r="A990" s="137"/>
      <c r="B990" s="197">
        <f t="shared" si="18"/>
        <v>980</v>
      </c>
      <c r="C990" s="30" t="s">
        <v>202</v>
      </c>
      <c r="D990" s="30" t="s">
        <v>225</v>
      </c>
      <c r="E990" s="234" t="s">
        <v>1203</v>
      </c>
      <c r="F990" s="235" t="s">
        <v>1229</v>
      </c>
      <c r="G990" s="284">
        <f>IFERROR(VLOOKUP(E990,Assign!$C$2:$J$142,8,FALSE),)</f>
        <v>0</v>
      </c>
      <c r="H990" s="197" t="s">
        <v>4203</v>
      </c>
      <c r="I990" s="324" t="s">
        <v>4204</v>
      </c>
      <c r="J990" s="237">
        <v>1</v>
      </c>
      <c r="K990" s="237">
        <v>1</v>
      </c>
      <c r="L990" s="265" t="s">
        <v>209</v>
      </c>
      <c r="M990" s="266" t="s">
        <v>1779</v>
      </c>
      <c r="N990" s="266" t="s">
        <v>1780</v>
      </c>
      <c r="O990" s="267" t="s">
        <v>1781</v>
      </c>
      <c r="P990" s="268" t="s">
        <v>455</v>
      </c>
      <c r="Q990" s="269">
        <f>46111.5+804.9+20625.6+4622</f>
        <v>72164</v>
      </c>
      <c r="R990" s="269">
        <v>114.98</v>
      </c>
      <c r="S990" s="270"/>
      <c r="T990" s="182">
        <f>62.97/72164</f>
        <v>8.7259575411562551E-4</v>
      </c>
      <c r="U990" s="182">
        <v>1</v>
      </c>
      <c r="V990" s="408">
        <v>1</v>
      </c>
      <c r="W990" s="357" t="s">
        <v>204</v>
      </c>
      <c r="X990" s="156">
        <v>60000000</v>
      </c>
      <c r="Y990" s="156">
        <v>60000000</v>
      </c>
      <c r="Z990" s="418" t="s">
        <v>359</v>
      </c>
      <c r="AA990" s="271"/>
      <c r="AB990" s="168"/>
      <c r="AC990" s="156"/>
      <c r="AD990" s="156"/>
      <c r="AE990" s="320"/>
      <c r="AF990" s="168"/>
      <c r="AG990" s="156"/>
      <c r="AH990" s="156"/>
      <c r="AI990" s="410"/>
    </row>
    <row r="991" spans="1:35" ht="19.5" hidden="1" customHeight="1">
      <c r="A991" s="137"/>
      <c r="B991" s="197">
        <f t="shared" si="18"/>
        <v>981</v>
      </c>
      <c r="C991" s="30" t="s">
        <v>202</v>
      </c>
      <c r="D991" s="30" t="s">
        <v>225</v>
      </c>
      <c r="E991" s="234" t="s">
        <v>1204</v>
      </c>
      <c r="F991" s="235" t="s">
        <v>1217</v>
      </c>
      <c r="G991" s="284">
        <f>IFERROR(VLOOKUP(E991,Assign!$C$2:$J$142,8,FALSE),)</f>
        <v>0</v>
      </c>
      <c r="H991" s="197" t="s">
        <v>4652</v>
      </c>
      <c r="I991" s="324" t="s">
        <v>4653</v>
      </c>
      <c r="J991" s="237">
        <v>1</v>
      </c>
      <c r="K991" s="237">
        <v>1</v>
      </c>
      <c r="L991" s="265" t="s">
        <v>220</v>
      </c>
      <c r="M991" s="266" t="s">
        <v>2184</v>
      </c>
      <c r="N991" s="266" t="s">
        <v>2185</v>
      </c>
      <c r="O991" s="267" t="s">
        <v>2186</v>
      </c>
      <c r="P991" s="268" t="s">
        <v>2187</v>
      </c>
      <c r="Q991" s="269">
        <f>402+1239+1356</f>
        <v>2997</v>
      </c>
      <c r="R991" s="269">
        <v>70.47</v>
      </c>
      <c r="S991" s="270"/>
      <c r="T991" s="182">
        <f>37.32/2997</f>
        <v>1.2452452452452453E-2</v>
      </c>
      <c r="U991" s="182">
        <v>1</v>
      </c>
      <c r="V991" s="408" t="s">
        <v>3725</v>
      </c>
      <c r="W991" s="357" t="s">
        <v>204</v>
      </c>
      <c r="X991" s="156">
        <v>57000000</v>
      </c>
      <c r="Y991" s="156">
        <v>57000000</v>
      </c>
      <c r="Z991" s="418" t="s">
        <v>359</v>
      </c>
      <c r="AA991" s="271"/>
      <c r="AB991" s="168"/>
      <c r="AC991" s="156"/>
      <c r="AD991" s="156"/>
      <c r="AE991" s="320"/>
      <c r="AF991" s="168"/>
      <c r="AG991" s="156"/>
      <c r="AH991" s="156"/>
      <c r="AI991" s="410"/>
    </row>
    <row r="992" spans="1:35" ht="19.5" hidden="1" customHeight="1">
      <c r="A992" s="137"/>
      <c r="B992" s="197">
        <f t="shared" si="18"/>
        <v>982</v>
      </c>
      <c r="C992" s="30" t="s">
        <v>202</v>
      </c>
      <c r="D992" s="30" t="s">
        <v>225</v>
      </c>
      <c r="E992" s="234" t="s">
        <v>1205</v>
      </c>
      <c r="F992" s="235" t="s">
        <v>1229</v>
      </c>
      <c r="G992" s="284">
        <f>IFERROR(VLOOKUP(E992,Assign!$C$2:$J$142,8,FALSE),)</f>
        <v>0</v>
      </c>
      <c r="H992" s="197" t="s">
        <v>3967</v>
      </c>
      <c r="I992" s="324" t="s">
        <v>3968</v>
      </c>
      <c r="J992" s="237">
        <v>1</v>
      </c>
      <c r="K992" s="237">
        <v>1</v>
      </c>
      <c r="L992" s="265" t="s">
        <v>220</v>
      </c>
      <c r="M992" s="266" t="s">
        <v>1543</v>
      </c>
      <c r="N992" s="266" t="s">
        <v>1544</v>
      </c>
      <c r="O992" s="267" t="s">
        <v>1545</v>
      </c>
      <c r="P992" s="268" t="s">
        <v>434</v>
      </c>
      <c r="Q992" s="269">
        <v>44634</v>
      </c>
      <c r="R992" s="269">
        <v>59.71</v>
      </c>
      <c r="S992" s="270"/>
      <c r="T992" s="182">
        <f>35.4118/44634</f>
        <v>7.9338172693462384E-4</v>
      </c>
      <c r="U992" s="182">
        <v>1</v>
      </c>
      <c r="V992" s="408">
        <v>1</v>
      </c>
      <c r="W992" s="357" t="s">
        <v>204</v>
      </c>
      <c r="X992" s="156">
        <v>36000000</v>
      </c>
      <c r="Y992" s="156">
        <v>36000000</v>
      </c>
      <c r="Z992" s="418" t="s">
        <v>359</v>
      </c>
      <c r="AA992" s="271"/>
      <c r="AB992" s="168"/>
      <c r="AC992" s="156"/>
      <c r="AD992" s="156"/>
      <c r="AE992" s="320"/>
      <c r="AF992" s="168"/>
      <c r="AG992" s="156"/>
      <c r="AH992" s="156"/>
      <c r="AI992" s="410"/>
    </row>
    <row r="993" spans="1:35" ht="19.5" hidden="1" customHeight="1">
      <c r="A993" s="137"/>
      <c r="B993" s="197">
        <f t="shared" si="18"/>
        <v>983</v>
      </c>
      <c r="C993" s="30" t="s">
        <v>202</v>
      </c>
      <c r="D993" s="30" t="s">
        <v>359</v>
      </c>
      <c r="E993" s="234" t="s">
        <v>1206</v>
      </c>
      <c r="F993" s="235" t="s">
        <v>1365</v>
      </c>
      <c r="G993" s="284">
        <f>IFERROR(VLOOKUP(E993,Assign!$C$2:$J$142,8,FALSE),)</f>
        <v>0</v>
      </c>
      <c r="H993" s="197" t="s">
        <v>4296</v>
      </c>
      <c r="I993" s="324" t="s">
        <v>4297</v>
      </c>
      <c r="J993" s="237">
        <v>1</v>
      </c>
      <c r="K993" s="237">
        <v>1</v>
      </c>
      <c r="L993" s="265" t="s">
        <v>208</v>
      </c>
      <c r="M993" s="266" t="s">
        <v>402</v>
      </c>
      <c r="N993" s="266" t="s">
        <v>1863</v>
      </c>
      <c r="O993" s="267" t="s">
        <v>1864</v>
      </c>
      <c r="P993" s="268" t="s">
        <v>1865</v>
      </c>
      <c r="Q993" s="269"/>
      <c r="R993" s="269">
        <f>988.98+1268.82+81.96+62.19+20.85+11.44</f>
        <v>2434.2400000000002</v>
      </c>
      <c r="S993" s="270"/>
      <c r="T993" s="182"/>
      <c r="U993" s="182">
        <v>1</v>
      </c>
      <c r="V993" s="408">
        <v>1</v>
      </c>
      <c r="W993" s="357" t="s">
        <v>204</v>
      </c>
      <c r="X993" s="156">
        <v>5160000000</v>
      </c>
      <c r="Y993" s="156">
        <v>5160000000</v>
      </c>
      <c r="Z993" s="418" t="s">
        <v>359</v>
      </c>
      <c r="AA993" s="271"/>
      <c r="AB993" s="168"/>
      <c r="AC993" s="156"/>
      <c r="AD993" s="156"/>
      <c r="AE993" s="320"/>
      <c r="AF993" s="168"/>
      <c r="AG993" s="156"/>
      <c r="AH993" s="156"/>
      <c r="AI993" s="410"/>
    </row>
    <row r="994" spans="1:35" ht="19.5" hidden="1" customHeight="1">
      <c r="A994" s="137"/>
      <c r="B994" s="197">
        <f t="shared" si="18"/>
        <v>984</v>
      </c>
      <c r="C994" s="30" t="s">
        <v>202</v>
      </c>
      <c r="D994" s="30" t="s">
        <v>359</v>
      </c>
      <c r="E994" s="234" t="s">
        <v>1206</v>
      </c>
      <c r="F994" s="235" t="s">
        <v>1365</v>
      </c>
      <c r="G994" s="284">
        <f>IFERROR(VLOOKUP(E994,Assign!$C$2:$J$142,8,FALSE),)</f>
        <v>0</v>
      </c>
      <c r="H994" s="197" t="s">
        <v>4296</v>
      </c>
      <c r="I994" s="324" t="s">
        <v>4298</v>
      </c>
      <c r="J994" s="237">
        <v>1</v>
      </c>
      <c r="K994" s="237">
        <v>2</v>
      </c>
      <c r="L994" s="265" t="s">
        <v>208</v>
      </c>
      <c r="M994" s="266" t="s">
        <v>402</v>
      </c>
      <c r="N994" s="266" t="s">
        <v>1863</v>
      </c>
      <c r="O994" s="267" t="s">
        <v>1864</v>
      </c>
      <c r="P994" s="268" t="s">
        <v>447</v>
      </c>
      <c r="Q994" s="269">
        <v>14608</v>
      </c>
      <c r="R994" s="269"/>
      <c r="S994" s="270"/>
      <c r="T994" s="182"/>
      <c r="U994" s="182">
        <v>1</v>
      </c>
      <c r="V994" s="408">
        <v>1</v>
      </c>
      <c r="W994" s="357" t="s">
        <v>204</v>
      </c>
      <c r="X994" s="156">
        <v>5160000000</v>
      </c>
      <c r="Y994" s="156">
        <v>5160000000</v>
      </c>
      <c r="Z994" s="418" t="s">
        <v>359</v>
      </c>
      <c r="AA994" s="271"/>
      <c r="AB994" s="168"/>
      <c r="AC994" s="156"/>
      <c r="AD994" s="156"/>
      <c r="AE994" s="320"/>
      <c r="AF994" s="168"/>
      <c r="AG994" s="156"/>
      <c r="AH994" s="156"/>
      <c r="AI994" s="410"/>
    </row>
    <row r="995" spans="1:35" ht="19.5" hidden="1" customHeight="1">
      <c r="A995" s="137"/>
      <c r="B995" s="197">
        <f t="shared" si="18"/>
        <v>985</v>
      </c>
      <c r="C995" s="30" t="s">
        <v>202</v>
      </c>
      <c r="D995" s="30" t="s">
        <v>359</v>
      </c>
      <c r="E995" s="234" t="s">
        <v>1207</v>
      </c>
      <c r="F995" s="235" t="s">
        <v>1290</v>
      </c>
      <c r="G995" s="284">
        <f>IFERROR(VLOOKUP(E995,Assign!$C$2:$J$142,8,FALSE),)</f>
        <v>0</v>
      </c>
      <c r="H995" s="197" t="s">
        <v>4866</v>
      </c>
      <c r="I995" s="324" t="s">
        <v>4867</v>
      </c>
      <c r="J995" s="237">
        <v>1</v>
      </c>
      <c r="K995" s="237">
        <v>1</v>
      </c>
      <c r="L995" s="265" t="s">
        <v>209</v>
      </c>
      <c r="M995" s="266" t="s">
        <v>248</v>
      </c>
      <c r="N995" s="266" t="s">
        <v>360</v>
      </c>
      <c r="O995" s="267" t="s">
        <v>2392</v>
      </c>
      <c r="P995" s="268" t="s">
        <v>592</v>
      </c>
      <c r="Q995" s="269">
        <v>16357.2</v>
      </c>
      <c r="R995" s="269">
        <v>92</v>
      </c>
      <c r="S995" s="270"/>
      <c r="T995" s="182">
        <f>19.16/16357.2</f>
        <v>1.1713496197393197E-3</v>
      </c>
      <c r="U995" s="182">
        <v>1</v>
      </c>
      <c r="V995" s="408" t="s">
        <v>229</v>
      </c>
      <c r="W995" s="357" t="s">
        <v>204</v>
      </c>
      <c r="X995" s="156">
        <v>1454400000</v>
      </c>
      <c r="Y995" s="156">
        <v>1454400000</v>
      </c>
      <c r="Z995" s="418" t="s">
        <v>359</v>
      </c>
      <c r="AA995" s="271"/>
      <c r="AB995" s="168"/>
      <c r="AC995" s="156"/>
      <c r="AD995" s="156"/>
      <c r="AE995" s="320"/>
      <c r="AF995" s="168"/>
      <c r="AG995" s="156"/>
      <c r="AH995" s="156"/>
      <c r="AI995" s="410"/>
    </row>
    <row r="996" spans="1:35" ht="19.5" hidden="1" customHeight="1">
      <c r="A996" s="137"/>
      <c r="B996" s="197">
        <f t="shared" si="18"/>
        <v>986</v>
      </c>
      <c r="C996" s="30" t="s">
        <v>202</v>
      </c>
      <c r="D996" s="30" t="s">
        <v>359</v>
      </c>
      <c r="E996" s="234" t="s">
        <v>1207</v>
      </c>
      <c r="F996" s="235" t="s">
        <v>1290</v>
      </c>
      <c r="G996" s="284">
        <f>IFERROR(VLOOKUP(E996,Assign!$C$2:$J$142,8,FALSE),)</f>
        <v>0</v>
      </c>
      <c r="H996" s="197" t="s">
        <v>4868</v>
      </c>
      <c r="I996" s="324" t="s">
        <v>4869</v>
      </c>
      <c r="J996" s="237">
        <v>2</v>
      </c>
      <c r="K996" s="237">
        <v>1</v>
      </c>
      <c r="L996" s="265" t="s">
        <v>209</v>
      </c>
      <c r="M996" s="266" t="s">
        <v>248</v>
      </c>
      <c r="N996" s="266" t="s">
        <v>360</v>
      </c>
      <c r="O996" s="267" t="s">
        <v>2393</v>
      </c>
      <c r="P996" s="268" t="s">
        <v>592</v>
      </c>
      <c r="Q996" s="269">
        <v>16357.2</v>
      </c>
      <c r="R996" s="269">
        <v>78.2</v>
      </c>
      <c r="S996" s="270"/>
      <c r="T996" s="182">
        <f>16.29/16357.2</f>
        <v>9.9589171740884744E-4</v>
      </c>
      <c r="U996" s="182">
        <v>1</v>
      </c>
      <c r="V996" s="408">
        <v>1</v>
      </c>
      <c r="W996" s="357" t="s">
        <v>204</v>
      </c>
      <c r="X996" s="156">
        <v>1380000000</v>
      </c>
      <c r="Y996" s="156">
        <v>1380000000</v>
      </c>
      <c r="Z996" s="418" t="s">
        <v>359</v>
      </c>
      <c r="AA996" s="271"/>
      <c r="AB996" s="168"/>
      <c r="AC996" s="156"/>
      <c r="AD996" s="156"/>
      <c r="AE996" s="320"/>
      <c r="AF996" s="168"/>
      <c r="AG996" s="156"/>
      <c r="AH996" s="156"/>
      <c r="AI996" s="410"/>
    </row>
    <row r="997" spans="1:35" ht="19.5" customHeight="1">
      <c r="A997" s="137"/>
      <c r="B997" s="197">
        <f t="shared" si="18"/>
        <v>987</v>
      </c>
      <c r="C997" s="30" t="s">
        <v>202</v>
      </c>
      <c r="D997" s="30" t="s">
        <v>359</v>
      </c>
      <c r="E997" s="234" t="s">
        <v>1208</v>
      </c>
      <c r="F997" s="235" t="s">
        <v>1225</v>
      </c>
      <c r="G997" s="284" t="str">
        <f>IFERROR(VLOOKUP(E997,Assign!$C$2:$J$142,8,FALSE),)</f>
        <v>문선영</v>
      </c>
      <c r="H997" s="197" t="s">
        <v>4681</v>
      </c>
      <c r="I997" s="324" t="s">
        <v>4682</v>
      </c>
      <c r="J997" s="237">
        <v>1</v>
      </c>
      <c r="K997" s="237">
        <v>1</v>
      </c>
      <c r="L997" s="265" t="s">
        <v>215</v>
      </c>
      <c r="M997" s="266" t="s">
        <v>307</v>
      </c>
      <c r="N997" s="266" t="s">
        <v>2217</v>
      </c>
      <c r="O997" s="267" t="s">
        <v>2218</v>
      </c>
      <c r="P997" s="268" t="s">
        <v>3536</v>
      </c>
      <c r="Q997" s="269">
        <v>33806</v>
      </c>
      <c r="R997" s="269">
        <v>175.55</v>
      </c>
      <c r="S997" s="270"/>
      <c r="T997" s="182">
        <f>38.4067/33806</f>
        <v>1.1360912264095132E-3</v>
      </c>
      <c r="U997" s="182">
        <v>1</v>
      </c>
      <c r="V997" s="408" t="s">
        <v>233</v>
      </c>
      <c r="W997" s="357" t="s">
        <v>204</v>
      </c>
      <c r="X997" s="156">
        <v>2016000000</v>
      </c>
      <c r="Y997" s="156">
        <v>2016000000</v>
      </c>
      <c r="Z997" s="418" t="s">
        <v>359</v>
      </c>
      <c r="AA997" s="271"/>
      <c r="AB997" s="168"/>
      <c r="AC997" s="156"/>
      <c r="AD997" s="156"/>
      <c r="AE997" s="320"/>
      <c r="AF997" s="168"/>
      <c r="AG997" s="156"/>
      <c r="AH997" s="156"/>
      <c r="AI997" s="410"/>
    </row>
    <row r="998" spans="1:35" ht="19.5" customHeight="1">
      <c r="A998" s="137"/>
      <c r="B998" s="197">
        <f t="shared" si="18"/>
        <v>988</v>
      </c>
      <c r="C998" s="30" t="s">
        <v>202</v>
      </c>
      <c r="D998" s="30" t="s">
        <v>359</v>
      </c>
      <c r="E998" s="234" t="s">
        <v>1208</v>
      </c>
      <c r="F998" s="235" t="s">
        <v>1225</v>
      </c>
      <c r="G998" s="284" t="str">
        <f>IFERROR(VLOOKUP(E998,Assign!$C$2:$J$142,8,FALSE),)</f>
        <v>문선영</v>
      </c>
      <c r="H998" s="197" t="s">
        <v>4683</v>
      </c>
      <c r="I998" s="324" t="s">
        <v>4684</v>
      </c>
      <c r="J998" s="237">
        <v>2</v>
      </c>
      <c r="K998" s="237">
        <v>1</v>
      </c>
      <c r="L998" s="265" t="s">
        <v>215</v>
      </c>
      <c r="M998" s="266" t="s">
        <v>307</v>
      </c>
      <c r="N998" s="266" t="s">
        <v>2219</v>
      </c>
      <c r="O998" s="267" t="s">
        <v>2220</v>
      </c>
      <c r="P998" s="268" t="s">
        <v>437</v>
      </c>
      <c r="Q998" s="269">
        <v>17281</v>
      </c>
      <c r="R998" s="269">
        <v>127.9973</v>
      </c>
      <c r="S998" s="270"/>
      <c r="T998" s="182">
        <f>63.6807/17281</f>
        <v>3.6850124414096407E-3</v>
      </c>
      <c r="U998" s="182">
        <v>1</v>
      </c>
      <c r="V998" s="408" t="s">
        <v>229</v>
      </c>
      <c r="W998" s="357" t="s">
        <v>204</v>
      </c>
      <c r="X998" s="156">
        <v>1440000000</v>
      </c>
      <c r="Y998" s="156">
        <v>1440000000</v>
      </c>
      <c r="Z998" s="418" t="s">
        <v>359</v>
      </c>
      <c r="AA998" s="271"/>
      <c r="AB998" s="168"/>
      <c r="AC998" s="156"/>
      <c r="AD998" s="156"/>
      <c r="AE998" s="320"/>
      <c r="AF998" s="168"/>
      <c r="AG998" s="156"/>
      <c r="AH998" s="156"/>
      <c r="AI998" s="410"/>
    </row>
    <row r="999" spans="1:35" ht="19.5" customHeight="1">
      <c r="A999" s="137"/>
      <c r="B999" s="197">
        <f t="shared" si="18"/>
        <v>989</v>
      </c>
      <c r="C999" s="30" t="s">
        <v>202</v>
      </c>
      <c r="D999" s="30" t="s">
        <v>359</v>
      </c>
      <c r="E999" s="234" t="s">
        <v>1208</v>
      </c>
      <c r="F999" s="235" t="s">
        <v>1225</v>
      </c>
      <c r="G999" s="284" t="str">
        <f>IFERROR(VLOOKUP(E999,Assign!$C$2:$J$142,8,FALSE),)</f>
        <v>문선영</v>
      </c>
      <c r="H999" s="197" t="s">
        <v>4685</v>
      </c>
      <c r="I999" s="324" t="s">
        <v>4686</v>
      </c>
      <c r="J999" s="237">
        <v>3</v>
      </c>
      <c r="K999" s="237">
        <v>1</v>
      </c>
      <c r="L999" s="265" t="s">
        <v>217</v>
      </c>
      <c r="M999" s="266" t="s">
        <v>545</v>
      </c>
      <c r="N999" s="266" t="s">
        <v>2221</v>
      </c>
      <c r="O999" s="267" t="s">
        <v>2222</v>
      </c>
      <c r="P999" s="268" t="s">
        <v>2223</v>
      </c>
      <c r="Q999" s="269"/>
      <c r="R999" s="269">
        <v>1439.31</v>
      </c>
      <c r="S999" s="270"/>
      <c r="T999" s="182"/>
      <c r="U999" s="182">
        <v>1</v>
      </c>
      <c r="V999" s="408" t="s">
        <v>571</v>
      </c>
      <c r="W999" s="357" t="s">
        <v>204</v>
      </c>
      <c r="X999" s="156">
        <v>1440000000</v>
      </c>
      <c r="Y999" s="156">
        <v>1440000000</v>
      </c>
      <c r="Z999" s="418" t="s">
        <v>359</v>
      </c>
      <c r="AA999" s="271" t="s">
        <v>233</v>
      </c>
      <c r="AB999" s="168" t="s">
        <v>204</v>
      </c>
      <c r="AC999" s="156">
        <v>2110000000</v>
      </c>
      <c r="AD999" s="156">
        <v>2110000000</v>
      </c>
      <c r="AE999" s="320"/>
      <c r="AF999" s="168"/>
      <c r="AG999" s="156"/>
      <c r="AH999" s="156"/>
      <c r="AI999" s="410"/>
    </row>
    <row r="1000" spans="1:35" ht="19.5" customHeight="1">
      <c r="A1000" s="137"/>
      <c r="B1000" s="197">
        <f t="shared" si="18"/>
        <v>990</v>
      </c>
      <c r="C1000" s="30" t="s">
        <v>202</v>
      </c>
      <c r="D1000" s="30" t="s">
        <v>359</v>
      </c>
      <c r="E1000" s="234" t="s">
        <v>1208</v>
      </c>
      <c r="F1000" s="235" t="s">
        <v>1225</v>
      </c>
      <c r="G1000" s="284" t="str">
        <f>IFERROR(VLOOKUP(E1000,Assign!$C$2:$J$142,8,FALSE),)</f>
        <v>문선영</v>
      </c>
      <c r="H1000" s="197" t="s">
        <v>4685</v>
      </c>
      <c r="I1000" s="324" t="s">
        <v>4687</v>
      </c>
      <c r="J1000" s="237">
        <v>3</v>
      </c>
      <c r="K1000" s="237">
        <v>2</v>
      </c>
      <c r="L1000" s="265" t="s">
        <v>217</v>
      </c>
      <c r="M1000" s="266" t="s">
        <v>545</v>
      </c>
      <c r="N1000" s="266" t="s">
        <v>2221</v>
      </c>
      <c r="O1000" s="267" t="s">
        <v>2224</v>
      </c>
      <c r="P1000" s="268" t="s">
        <v>447</v>
      </c>
      <c r="Q1000" s="269">
        <v>9082</v>
      </c>
      <c r="R1000" s="269"/>
      <c r="S1000" s="270"/>
      <c r="T1000" s="182"/>
      <c r="U1000" s="182">
        <v>1</v>
      </c>
      <c r="V1000" s="408" t="s">
        <v>571</v>
      </c>
      <c r="W1000" s="357" t="s">
        <v>204</v>
      </c>
      <c r="X1000" s="156">
        <v>1440000000</v>
      </c>
      <c r="Y1000" s="156">
        <v>1440000000</v>
      </c>
      <c r="Z1000" s="418" t="s">
        <v>359</v>
      </c>
      <c r="AA1000" s="271" t="s">
        <v>233</v>
      </c>
      <c r="AB1000" s="168" t="s">
        <v>204</v>
      </c>
      <c r="AC1000" s="156">
        <v>2110000000</v>
      </c>
      <c r="AD1000" s="156">
        <v>2110000000</v>
      </c>
      <c r="AE1000" s="320"/>
      <c r="AF1000" s="168"/>
      <c r="AG1000" s="156"/>
      <c r="AH1000" s="156"/>
      <c r="AI1000" s="410"/>
    </row>
    <row r="1001" spans="1:35" ht="19.5" customHeight="1">
      <c r="A1001" s="137"/>
      <c r="B1001" s="197">
        <f t="shared" si="18"/>
        <v>991</v>
      </c>
      <c r="C1001" s="30" t="s">
        <v>202</v>
      </c>
      <c r="D1001" s="30" t="s">
        <v>359</v>
      </c>
      <c r="E1001" s="234" t="s">
        <v>1208</v>
      </c>
      <c r="F1001" s="235" t="s">
        <v>1225</v>
      </c>
      <c r="G1001" s="284" t="str">
        <f>IFERROR(VLOOKUP(E1001,Assign!$C$2:$J$142,8,FALSE),)</f>
        <v>문선영</v>
      </c>
      <c r="H1001" s="197" t="s">
        <v>4688</v>
      </c>
      <c r="I1001" s="324" t="s">
        <v>4689</v>
      </c>
      <c r="J1001" s="237">
        <v>4</v>
      </c>
      <c r="K1001" s="237">
        <v>1</v>
      </c>
      <c r="L1001" s="265" t="s">
        <v>217</v>
      </c>
      <c r="M1001" s="266" t="s">
        <v>545</v>
      </c>
      <c r="N1001" s="266" t="s">
        <v>2221</v>
      </c>
      <c r="O1001" s="267" t="s">
        <v>2225</v>
      </c>
      <c r="P1001" s="268" t="s">
        <v>470</v>
      </c>
      <c r="Q1001" s="269"/>
      <c r="R1001" s="269">
        <f>253.06+159.64</f>
        <v>412.7</v>
      </c>
      <c r="S1001" s="270"/>
      <c r="T1001" s="182"/>
      <c r="U1001" s="182">
        <v>1</v>
      </c>
      <c r="V1001" s="408" t="s">
        <v>3062</v>
      </c>
      <c r="W1001" s="357" t="s">
        <v>204</v>
      </c>
      <c r="X1001" s="156">
        <v>1440000000</v>
      </c>
      <c r="Y1001" s="156">
        <v>1440000000</v>
      </c>
      <c r="Z1001" s="418" t="s">
        <v>359</v>
      </c>
      <c r="AA1001" s="271" t="s">
        <v>268</v>
      </c>
      <c r="AB1001" s="168" t="s">
        <v>204</v>
      </c>
      <c r="AC1001" s="156">
        <v>4490000000</v>
      </c>
      <c r="AD1001" s="156">
        <v>4490000000</v>
      </c>
      <c r="AE1001" s="320"/>
      <c r="AF1001" s="168"/>
      <c r="AG1001" s="156"/>
      <c r="AH1001" s="156"/>
      <c r="AI1001" s="410"/>
    </row>
    <row r="1002" spans="1:35" ht="19.5" customHeight="1">
      <c r="A1002" s="137"/>
      <c r="B1002" s="197">
        <f t="shared" si="18"/>
        <v>992</v>
      </c>
      <c r="C1002" s="30" t="s">
        <v>202</v>
      </c>
      <c r="D1002" s="30" t="s">
        <v>359</v>
      </c>
      <c r="E1002" s="234" t="s">
        <v>1208</v>
      </c>
      <c r="F1002" s="235" t="s">
        <v>1225</v>
      </c>
      <c r="G1002" s="284" t="str">
        <f>IFERROR(VLOOKUP(E1002,Assign!$C$2:$J$142,8,FALSE),)</f>
        <v>문선영</v>
      </c>
      <c r="H1002" s="197" t="s">
        <v>4688</v>
      </c>
      <c r="I1002" s="324" t="s">
        <v>4690</v>
      </c>
      <c r="J1002" s="237">
        <v>4</v>
      </c>
      <c r="K1002" s="237">
        <v>2</v>
      </c>
      <c r="L1002" s="265" t="s">
        <v>217</v>
      </c>
      <c r="M1002" s="266" t="s">
        <v>545</v>
      </c>
      <c r="N1002" s="266" t="s">
        <v>2221</v>
      </c>
      <c r="O1002" s="267" t="s">
        <v>2225</v>
      </c>
      <c r="P1002" s="268" t="s">
        <v>538</v>
      </c>
      <c r="Q1002" s="269">
        <v>4107</v>
      </c>
      <c r="R1002" s="269"/>
      <c r="S1002" s="270"/>
      <c r="T1002" s="182"/>
      <c r="U1002" s="182">
        <v>1</v>
      </c>
      <c r="V1002" s="408" t="s">
        <v>3062</v>
      </c>
      <c r="W1002" s="357" t="s">
        <v>204</v>
      </c>
      <c r="X1002" s="156">
        <v>1440000000</v>
      </c>
      <c r="Y1002" s="156">
        <v>1440000000</v>
      </c>
      <c r="Z1002" s="418" t="s">
        <v>359</v>
      </c>
      <c r="AA1002" s="271" t="s">
        <v>268</v>
      </c>
      <c r="AB1002" s="168" t="s">
        <v>204</v>
      </c>
      <c r="AC1002" s="156">
        <v>4490000000</v>
      </c>
      <c r="AD1002" s="156">
        <v>4490000000</v>
      </c>
      <c r="AE1002" s="320"/>
      <c r="AF1002" s="168"/>
      <c r="AG1002" s="156"/>
      <c r="AH1002" s="156"/>
      <c r="AI1002" s="410"/>
    </row>
    <row r="1003" spans="1:35" ht="19.5" customHeight="1">
      <c r="A1003" s="137"/>
      <c r="B1003" s="197">
        <f t="shared" si="18"/>
        <v>993</v>
      </c>
      <c r="C1003" s="30" t="s">
        <v>202</v>
      </c>
      <c r="D1003" s="30" t="s">
        <v>359</v>
      </c>
      <c r="E1003" s="234" t="s">
        <v>1208</v>
      </c>
      <c r="F1003" s="235" t="s">
        <v>1225</v>
      </c>
      <c r="G1003" s="284" t="str">
        <f>IFERROR(VLOOKUP(E1003,Assign!$C$2:$J$142,8,FALSE),)</f>
        <v>문선영</v>
      </c>
      <c r="H1003" s="197" t="s">
        <v>4688</v>
      </c>
      <c r="I1003" s="324" t="s">
        <v>4691</v>
      </c>
      <c r="J1003" s="237">
        <v>4</v>
      </c>
      <c r="K1003" s="237">
        <v>3</v>
      </c>
      <c r="L1003" s="265" t="s">
        <v>217</v>
      </c>
      <c r="M1003" s="266" t="s">
        <v>545</v>
      </c>
      <c r="N1003" s="266" t="s">
        <v>2221</v>
      </c>
      <c r="O1003" s="267" t="s">
        <v>2226</v>
      </c>
      <c r="P1003" s="268" t="s">
        <v>470</v>
      </c>
      <c r="Q1003" s="269"/>
      <c r="R1003" s="269">
        <f>204+510</f>
        <v>714</v>
      </c>
      <c r="S1003" s="270"/>
      <c r="T1003" s="182"/>
      <c r="U1003" s="182">
        <v>1</v>
      </c>
      <c r="V1003" s="408" t="s">
        <v>3062</v>
      </c>
      <c r="W1003" s="357" t="s">
        <v>204</v>
      </c>
      <c r="X1003" s="156">
        <v>1440000000</v>
      </c>
      <c r="Y1003" s="156">
        <v>1440000000</v>
      </c>
      <c r="Z1003" s="418" t="s">
        <v>359</v>
      </c>
      <c r="AA1003" s="271" t="s">
        <v>268</v>
      </c>
      <c r="AB1003" s="168" t="s">
        <v>204</v>
      </c>
      <c r="AC1003" s="156">
        <v>4490000000</v>
      </c>
      <c r="AD1003" s="156">
        <v>4490000000</v>
      </c>
      <c r="AE1003" s="320"/>
      <c r="AF1003" s="168"/>
      <c r="AG1003" s="156"/>
      <c r="AH1003" s="156"/>
      <c r="AI1003" s="410"/>
    </row>
    <row r="1004" spans="1:35" ht="19.5" customHeight="1">
      <c r="A1004" s="137"/>
      <c r="B1004" s="197">
        <f t="shared" si="18"/>
        <v>994</v>
      </c>
      <c r="C1004" s="30" t="s">
        <v>202</v>
      </c>
      <c r="D1004" s="30" t="s">
        <v>359</v>
      </c>
      <c r="E1004" s="234" t="s">
        <v>1208</v>
      </c>
      <c r="F1004" s="235" t="s">
        <v>1225</v>
      </c>
      <c r="G1004" s="284" t="str">
        <f>IFERROR(VLOOKUP(E1004,Assign!$C$2:$J$142,8,FALSE),)</f>
        <v>문선영</v>
      </c>
      <c r="H1004" s="197" t="s">
        <v>4688</v>
      </c>
      <c r="I1004" s="324" t="s">
        <v>4692</v>
      </c>
      <c r="J1004" s="237">
        <v>4</v>
      </c>
      <c r="K1004" s="237">
        <v>4</v>
      </c>
      <c r="L1004" s="265" t="s">
        <v>217</v>
      </c>
      <c r="M1004" s="266" t="s">
        <v>545</v>
      </c>
      <c r="N1004" s="266" t="s">
        <v>2221</v>
      </c>
      <c r="O1004" s="267" t="s">
        <v>2226</v>
      </c>
      <c r="P1004" s="268" t="s">
        <v>538</v>
      </c>
      <c r="Q1004" s="269">
        <v>4913</v>
      </c>
      <c r="R1004" s="269"/>
      <c r="S1004" s="270"/>
      <c r="T1004" s="182"/>
      <c r="U1004" s="182">
        <v>1</v>
      </c>
      <c r="V1004" s="408" t="s">
        <v>3062</v>
      </c>
      <c r="W1004" s="357" t="s">
        <v>204</v>
      </c>
      <c r="X1004" s="156">
        <v>1440000000</v>
      </c>
      <c r="Y1004" s="156">
        <v>1440000000</v>
      </c>
      <c r="Z1004" s="418" t="s">
        <v>359</v>
      </c>
      <c r="AA1004" s="271" t="s">
        <v>268</v>
      </c>
      <c r="AB1004" s="168" t="s">
        <v>204</v>
      </c>
      <c r="AC1004" s="156">
        <v>4490000000</v>
      </c>
      <c r="AD1004" s="156">
        <v>4490000000</v>
      </c>
      <c r="AE1004" s="320"/>
      <c r="AF1004" s="168"/>
      <c r="AG1004" s="156"/>
      <c r="AH1004" s="156"/>
      <c r="AI1004" s="410"/>
    </row>
    <row r="1005" spans="1:35" ht="19.5" customHeight="1">
      <c r="A1005" s="137"/>
      <c r="B1005" s="197">
        <f t="shared" si="18"/>
        <v>995</v>
      </c>
      <c r="C1005" s="30" t="s">
        <v>202</v>
      </c>
      <c r="D1005" s="30" t="s">
        <v>359</v>
      </c>
      <c r="E1005" s="234" t="s">
        <v>1208</v>
      </c>
      <c r="F1005" s="235" t="s">
        <v>1225</v>
      </c>
      <c r="G1005" s="284" t="str">
        <f>IFERROR(VLOOKUP(E1005,Assign!$C$2:$J$142,8,FALSE),)</f>
        <v>문선영</v>
      </c>
      <c r="H1005" s="197" t="s">
        <v>4688</v>
      </c>
      <c r="I1005" s="324" t="s">
        <v>4693</v>
      </c>
      <c r="J1005" s="237">
        <v>4</v>
      </c>
      <c r="K1005" s="237">
        <v>5</v>
      </c>
      <c r="L1005" s="265" t="s">
        <v>217</v>
      </c>
      <c r="M1005" s="266" t="s">
        <v>545</v>
      </c>
      <c r="N1005" s="266" t="s">
        <v>2221</v>
      </c>
      <c r="O1005" s="267" t="s">
        <v>2227</v>
      </c>
      <c r="P1005" s="268" t="s">
        <v>2228</v>
      </c>
      <c r="Q1005" s="269"/>
      <c r="R1005" s="269">
        <v>518.88</v>
      </c>
      <c r="S1005" s="270"/>
      <c r="T1005" s="182"/>
      <c r="U1005" s="182">
        <v>1</v>
      </c>
      <c r="V1005" s="408" t="s">
        <v>3062</v>
      </c>
      <c r="W1005" s="357" t="s">
        <v>204</v>
      </c>
      <c r="X1005" s="156">
        <v>1440000000</v>
      </c>
      <c r="Y1005" s="156">
        <v>1440000000</v>
      </c>
      <c r="Z1005" s="418" t="s">
        <v>359</v>
      </c>
      <c r="AA1005" s="271" t="s">
        <v>268</v>
      </c>
      <c r="AB1005" s="168" t="s">
        <v>204</v>
      </c>
      <c r="AC1005" s="156">
        <v>4490000000</v>
      </c>
      <c r="AD1005" s="156">
        <v>4490000000</v>
      </c>
      <c r="AE1005" s="320"/>
      <c r="AF1005" s="168"/>
      <c r="AG1005" s="156"/>
      <c r="AH1005" s="156"/>
      <c r="AI1005" s="410"/>
    </row>
    <row r="1006" spans="1:35" ht="19.5" customHeight="1">
      <c r="A1006" s="137"/>
      <c r="B1006" s="197">
        <f t="shared" si="18"/>
        <v>996</v>
      </c>
      <c r="C1006" s="30" t="s">
        <v>202</v>
      </c>
      <c r="D1006" s="30" t="s">
        <v>359</v>
      </c>
      <c r="E1006" s="234" t="s">
        <v>1208</v>
      </c>
      <c r="F1006" s="235" t="s">
        <v>1225</v>
      </c>
      <c r="G1006" s="284" t="str">
        <f>IFERROR(VLOOKUP(E1006,Assign!$C$2:$J$142,8,FALSE),)</f>
        <v>문선영</v>
      </c>
      <c r="H1006" s="197" t="s">
        <v>4688</v>
      </c>
      <c r="I1006" s="324" t="s">
        <v>4694</v>
      </c>
      <c r="J1006" s="237">
        <v>4</v>
      </c>
      <c r="K1006" s="237">
        <v>6</v>
      </c>
      <c r="L1006" s="265" t="s">
        <v>217</v>
      </c>
      <c r="M1006" s="266" t="s">
        <v>545</v>
      </c>
      <c r="N1006" s="266" t="s">
        <v>2221</v>
      </c>
      <c r="O1006" s="267" t="s">
        <v>2227</v>
      </c>
      <c r="P1006" s="268" t="s">
        <v>450</v>
      </c>
      <c r="Q1006" s="269">
        <v>2800</v>
      </c>
      <c r="R1006" s="269"/>
      <c r="S1006" s="270"/>
      <c r="T1006" s="182"/>
      <c r="U1006" s="182">
        <v>1</v>
      </c>
      <c r="V1006" s="408" t="s">
        <v>3062</v>
      </c>
      <c r="W1006" s="357" t="s">
        <v>204</v>
      </c>
      <c r="X1006" s="156">
        <v>1440000000</v>
      </c>
      <c r="Y1006" s="156">
        <v>1440000000</v>
      </c>
      <c r="Z1006" s="418" t="s">
        <v>359</v>
      </c>
      <c r="AA1006" s="271" t="s">
        <v>268</v>
      </c>
      <c r="AB1006" s="168" t="s">
        <v>204</v>
      </c>
      <c r="AC1006" s="156">
        <v>4490000000</v>
      </c>
      <c r="AD1006" s="156">
        <v>4490000000</v>
      </c>
      <c r="AE1006" s="320"/>
      <c r="AF1006" s="168"/>
      <c r="AG1006" s="156"/>
      <c r="AH1006" s="156"/>
      <c r="AI1006" s="410"/>
    </row>
    <row r="1007" spans="1:35" ht="19.5" customHeight="1">
      <c r="A1007" s="137"/>
      <c r="B1007" s="197">
        <f t="shared" si="18"/>
        <v>997</v>
      </c>
      <c r="C1007" s="30" t="s">
        <v>202</v>
      </c>
      <c r="D1007" s="30" t="s">
        <v>359</v>
      </c>
      <c r="E1007" s="234" t="s">
        <v>1208</v>
      </c>
      <c r="F1007" s="235" t="s">
        <v>1225</v>
      </c>
      <c r="G1007" s="284" t="str">
        <f>IFERROR(VLOOKUP(E1007,Assign!$C$2:$J$142,8,FALSE),)</f>
        <v>문선영</v>
      </c>
      <c r="H1007" s="197" t="s">
        <v>4688</v>
      </c>
      <c r="I1007" s="324" t="s">
        <v>4695</v>
      </c>
      <c r="J1007" s="237">
        <v>4</v>
      </c>
      <c r="K1007" s="237">
        <v>7</v>
      </c>
      <c r="L1007" s="265" t="s">
        <v>217</v>
      </c>
      <c r="M1007" s="266" t="s">
        <v>545</v>
      </c>
      <c r="N1007" s="266" t="s">
        <v>2221</v>
      </c>
      <c r="O1007" s="267" t="s">
        <v>2229</v>
      </c>
      <c r="P1007" s="268" t="s">
        <v>2230</v>
      </c>
      <c r="Q1007" s="269"/>
      <c r="R1007" s="269">
        <f>171+25+16</f>
        <v>212</v>
      </c>
      <c r="S1007" s="270"/>
      <c r="T1007" s="182"/>
      <c r="U1007" s="182">
        <v>1</v>
      </c>
      <c r="V1007" s="408" t="s">
        <v>3062</v>
      </c>
      <c r="W1007" s="357" t="s">
        <v>204</v>
      </c>
      <c r="X1007" s="156">
        <v>1440000000</v>
      </c>
      <c r="Y1007" s="156">
        <v>1440000000</v>
      </c>
      <c r="Z1007" s="418" t="s">
        <v>359</v>
      </c>
      <c r="AA1007" s="271" t="s">
        <v>268</v>
      </c>
      <c r="AB1007" s="168" t="s">
        <v>204</v>
      </c>
      <c r="AC1007" s="156">
        <v>4490000000</v>
      </c>
      <c r="AD1007" s="156">
        <v>4490000000</v>
      </c>
      <c r="AE1007" s="320"/>
      <c r="AF1007" s="168"/>
      <c r="AG1007" s="156"/>
      <c r="AH1007" s="156"/>
      <c r="AI1007" s="410"/>
    </row>
    <row r="1008" spans="1:35" ht="19.5" customHeight="1">
      <c r="A1008" s="137"/>
      <c r="B1008" s="197">
        <f t="shared" si="18"/>
        <v>998</v>
      </c>
      <c r="C1008" s="30" t="s">
        <v>202</v>
      </c>
      <c r="D1008" s="30" t="s">
        <v>359</v>
      </c>
      <c r="E1008" s="234" t="s">
        <v>1208</v>
      </c>
      <c r="F1008" s="235" t="s">
        <v>1225</v>
      </c>
      <c r="G1008" s="284" t="str">
        <f>IFERROR(VLOOKUP(E1008,Assign!$C$2:$J$142,8,FALSE),)</f>
        <v>문선영</v>
      </c>
      <c r="H1008" s="197" t="s">
        <v>4688</v>
      </c>
      <c r="I1008" s="324" t="s">
        <v>4696</v>
      </c>
      <c r="J1008" s="237">
        <v>4</v>
      </c>
      <c r="K1008" s="237">
        <v>8</v>
      </c>
      <c r="L1008" s="265" t="s">
        <v>217</v>
      </c>
      <c r="M1008" s="266" t="s">
        <v>545</v>
      </c>
      <c r="N1008" s="266" t="s">
        <v>2221</v>
      </c>
      <c r="O1008" s="267" t="s">
        <v>2231</v>
      </c>
      <c r="P1008" s="268" t="s">
        <v>466</v>
      </c>
      <c r="Q1008" s="269"/>
      <c r="R1008" s="269">
        <v>468.16</v>
      </c>
      <c r="S1008" s="270"/>
      <c r="T1008" s="182"/>
      <c r="U1008" s="182">
        <v>1</v>
      </c>
      <c r="V1008" s="408" t="s">
        <v>3062</v>
      </c>
      <c r="W1008" s="357" t="s">
        <v>204</v>
      </c>
      <c r="X1008" s="156">
        <v>1440000000</v>
      </c>
      <c r="Y1008" s="156">
        <v>1440000000</v>
      </c>
      <c r="Z1008" s="418" t="s">
        <v>359</v>
      </c>
      <c r="AA1008" s="271" t="s">
        <v>268</v>
      </c>
      <c r="AB1008" s="168" t="s">
        <v>204</v>
      </c>
      <c r="AC1008" s="156">
        <v>4490000000</v>
      </c>
      <c r="AD1008" s="156">
        <v>4490000000</v>
      </c>
      <c r="AE1008" s="320"/>
      <c r="AF1008" s="168"/>
      <c r="AG1008" s="156"/>
      <c r="AH1008" s="156"/>
      <c r="AI1008" s="410"/>
    </row>
    <row r="1009" spans="1:35" ht="19.5" customHeight="1">
      <c r="A1009" s="137"/>
      <c r="B1009" s="197">
        <f t="shared" si="18"/>
        <v>999</v>
      </c>
      <c r="C1009" s="30" t="s">
        <v>202</v>
      </c>
      <c r="D1009" s="30" t="s">
        <v>359</v>
      </c>
      <c r="E1009" s="234" t="s">
        <v>1208</v>
      </c>
      <c r="F1009" s="235" t="s">
        <v>1225</v>
      </c>
      <c r="G1009" s="284" t="str">
        <f>IFERROR(VLOOKUP(E1009,Assign!$C$2:$J$142,8,FALSE),)</f>
        <v>문선영</v>
      </c>
      <c r="H1009" s="197" t="s">
        <v>4688</v>
      </c>
      <c r="I1009" s="324" t="s">
        <v>4697</v>
      </c>
      <c r="J1009" s="237">
        <v>4</v>
      </c>
      <c r="K1009" s="237">
        <v>9</v>
      </c>
      <c r="L1009" s="265" t="s">
        <v>217</v>
      </c>
      <c r="M1009" s="266" t="s">
        <v>545</v>
      </c>
      <c r="N1009" s="266" t="s">
        <v>2221</v>
      </c>
      <c r="O1009" s="267" t="s">
        <v>2229</v>
      </c>
      <c r="P1009" s="268" t="s">
        <v>245</v>
      </c>
      <c r="Q1009" s="269">
        <v>48283</v>
      </c>
      <c r="R1009" s="269"/>
      <c r="S1009" s="270"/>
      <c r="T1009" s="182"/>
      <c r="U1009" s="182">
        <v>1</v>
      </c>
      <c r="V1009" s="408" t="s">
        <v>3062</v>
      </c>
      <c r="W1009" s="357" t="s">
        <v>204</v>
      </c>
      <c r="X1009" s="156">
        <v>1440000000</v>
      </c>
      <c r="Y1009" s="156">
        <v>1440000000</v>
      </c>
      <c r="Z1009" s="418" t="s">
        <v>359</v>
      </c>
      <c r="AA1009" s="271" t="s">
        <v>268</v>
      </c>
      <c r="AB1009" s="168" t="s">
        <v>204</v>
      </c>
      <c r="AC1009" s="156">
        <v>4490000000</v>
      </c>
      <c r="AD1009" s="156">
        <v>4490000000</v>
      </c>
      <c r="AE1009" s="320"/>
      <c r="AF1009" s="168"/>
      <c r="AG1009" s="156"/>
      <c r="AH1009" s="156"/>
      <c r="AI1009" s="410"/>
    </row>
    <row r="1010" spans="1:35" ht="19.5" customHeight="1">
      <c r="A1010" s="137"/>
      <c r="B1010" s="197">
        <f t="shared" si="18"/>
        <v>1000</v>
      </c>
      <c r="C1010" s="30" t="s">
        <v>202</v>
      </c>
      <c r="D1010" s="30" t="s">
        <v>359</v>
      </c>
      <c r="E1010" s="234" t="s">
        <v>1208</v>
      </c>
      <c r="F1010" s="235" t="s">
        <v>1225</v>
      </c>
      <c r="G1010" s="284" t="str">
        <f>IFERROR(VLOOKUP(E1010,Assign!$C$2:$J$142,8,FALSE),)</f>
        <v>문선영</v>
      </c>
      <c r="H1010" s="197" t="s">
        <v>4688</v>
      </c>
      <c r="I1010" s="324" t="s">
        <v>4698</v>
      </c>
      <c r="J1010" s="237">
        <v>4</v>
      </c>
      <c r="K1010" s="237">
        <v>10</v>
      </c>
      <c r="L1010" s="265" t="s">
        <v>217</v>
      </c>
      <c r="M1010" s="266" t="s">
        <v>545</v>
      </c>
      <c r="N1010" s="266" t="s">
        <v>2221</v>
      </c>
      <c r="O1010" s="267" t="s">
        <v>2232</v>
      </c>
      <c r="P1010" s="268" t="s">
        <v>538</v>
      </c>
      <c r="Q1010" s="269">
        <v>1058</v>
      </c>
      <c r="R1010" s="269"/>
      <c r="S1010" s="270"/>
      <c r="T1010" s="182"/>
      <c r="U1010" s="182">
        <v>1</v>
      </c>
      <c r="V1010" s="408" t="s">
        <v>3062</v>
      </c>
      <c r="W1010" s="357" t="s">
        <v>204</v>
      </c>
      <c r="X1010" s="156">
        <v>1440000000</v>
      </c>
      <c r="Y1010" s="156">
        <v>1440000000</v>
      </c>
      <c r="Z1010" s="418" t="s">
        <v>359</v>
      </c>
      <c r="AA1010" s="271" t="s">
        <v>268</v>
      </c>
      <c r="AB1010" s="168" t="s">
        <v>204</v>
      </c>
      <c r="AC1010" s="156">
        <v>4490000000</v>
      </c>
      <c r="AD1010" s="156">
        <v>4490000000</v>
      </c>
      <c r="AE1010" s="320"/>
      <c r="AF1010" s="168"/>
      <c r="AG1010" s="156"/>
      <c r="AH1010" s="156"/>
      <c r="AI1010" s="410"/>
    </row>
    <row r="1011" spans="1:35" ht="19.5" customHeight="1">
      <c r="A1011" s="137"/>
      <c r="B1011" s="197">
        <f t="shared" si="18"/>
        <v>1001</v>
      </c>
      <c r="C1011" s="30" t="s">
        <v>202</v>
      </c>
      <c r="D1011" s="30" t="s">
        <v>359</v>
      </c>
      <c r="E1011" s="234" t="s">
        <v>1208</v>
      </c>
      <c r="F1011" s="235" t="s">
        <v>1225</v>
      </c>
      <c r="G1011" s="284" t="str">
        <f>IFERROR(VLOOKUP(E1011,Assign!$C$2:$J$142,8,FALSE),)</f>
        <v>문선영</v>
      </c>
      <c r="H1011" s="197" t="s">
        <v>4688</v>
      </c>
      <c r="I1011" s="324" t="s">
        <v>4699</v>
      </c>
      <c r="J1011" s="237">
        <v>4</v>
      </c>
      <c r="K1011" s="237">
        <v>11</v>
      </c>
      <c r="L1011" s="265" t="s">
        <v>217</v>
      </c>
      <c r="M1011" s="266" t="s">
        <v>545</v>
      </c>
      <c r="N1011" s="266" t="s">
        <v>2221</v>
      </c>
      <c r="O1011" s="267" t="s">
        <v>2233</v>
      </c>
      <c r="P1011" s="268" t="s">
        <v>538</v>
      </c>
      <c r="Q1011" s="269">
        <v>2795</v>
      </c>
      <c r="R1011" s="269"/>
      <c r="S1011" s="270"/>
      <c r="T1011" s="182"/>
      <c r="U1011" s="182">
        <v>1</v>
      </c>
      <c r="V1011" s="408" t="s">
        <v>3062</v>
      </c>
      <c r="W1011" s="357" t="s">
        <v>204</v>
      </c>
      <c r="X1011" s="156">
        <v>1440000000</v>
      </c>
      <c r="Y1011" s="156">
        <v>1440000000</v>
      </c>
      <c r="Z1011" s="418" t="s">
        <v>359</v>
      </c>
      <c r="AA1011" s="271" t="s">
        <v>268</v>
      </c>
      <c r="AB1011" s="168" t="s">
        <v>204</v>
      </c>
      <c r="AC1011" s="156">
        <v>4490000000</v>
      </c>
      <c r="AD1011" s="156">
        <v>4490000000</v>
      </c>
      <c r="AE1011" s="320"/>
      <c r="AF1011" s="168"/>
      <c r="AG1011" s="156"/>
      <c r="AH1011" s="156"/>
      <c r="AI1011" s="410"/>
    </row>
    <row r="1012" spans="1:35" ht="19.5" customHeight="1">
      <c r="A1012" s="137"/>
      <c r="B1012" s="197">
        <f t="shared" si="18"/>
        <v>1002</v>
      </c>
      <c r="C1012" s="30" t="s">
        <v>202</v>
      </c>
      <c r="D1012" s="30" t="s">
        <v>359</v>
      </c>
      <c r="E1012" s="234" t="s">
        <v>1208</v>
      </c>
      <c r="F1012" s="235" t="s">
        <v>1225</v>
      </c>
      <c r="G1012" s="284" t="str">
        <f>IFERROR(VLOOKUP(E1012,Assign!$C$2:$J$142,8,FALSE),)</f>
        <v>문선영</v>
      </c>
      <c r="H1012" s="197" t="s">
        <v>4688</v>
      </c>
      <c r="I1012" s="324" t="s">
        <v>4700</v>
      </c>
      <c r="J1012" s="237">
        <v>4</v>
      </c>
      <c r="K1012" s="237">
        <v>12</v>
      </c>
      <c r="L1012" s="265" t="s">
        <v>217</v>
      </c>
      <c r="M1012" s="266" t="s">
        <v>545</v>
      </c>
      <c r="N1012" s="266" t="s">
        <v>2221</v>
      </c>
      <c r="O1012" s="267" t="s">
        <v>2234</v>
      </c>
      <c r="P1012" s="268" t="s">
        <v>456</v>
      </c>
      <c r="Q1012" s="269">
        <v>1015</v>
      </c>
      <c r="R1012" s="269"/>
      <c r="S1012" s="270"/>
      <c r="T1012" s="182"/>
      <c r="U1012" s="182">
        <v>1</v>
      </c>
      <c r="V1012" s="408" t="s">
        <v>3062</v>
      </c>
      <c r="W1012" s="357" t="s">
        <v>204</v>
      </c>
      <c r="X1012" s="156">
        <v>1440000000</v>
      </c>
      <c r="Y1012" s="156">
        <v>1440000000</v>
      </c>
      <c r="Z1012" s="418" t="s">
        <v>359</v>
      </c>
      <c r="AA1012" s="271" t="s">
        <v>268</v>
      </c>
      <c r="AB1012" s="168" t="s">
        <v>204</v>
      </c>
      <c r="AC1012" s="156">
        <v>4490000000</v>
      </c>
      <c r="AD1012" s="156">
        <v>4490000000</v>
      </c>
      <c r="AE1012" s="320"/>
      <c r="AF1012" s="168"/>
      <c r="AG1012" s="156"/>
      <c r="AH1012" s="156"/>
      <c r="AI1012" s="410"/>
    </row>
    <row r="1013" spans="1:35" ht="19.5" customHeight="1">
      <c r="A1013" s="137"/>
      <c r="B1013" s="197">
        <f t="shared" si="18"/>
        <v>1003</v>
      </c>
      <c r="C1013" s="30" t="s">
        <v>202</v>
      </c>
      <c r="D1013" s="30" t="s">
        <v>359</v>
      </c>
      <c r="E1013" s="234" t="s">
        <v>1208</v>
      </c>
      <c r="F1013" s="235" t="s">
        <v>1225</v>
      </c>
      <c r="G1013" s="284" t="str">
        <f>IFERROR(VLOOKUP(E1013,Assign!$C$2:$J$142,8,FALSE),)</f>
        <v>문선영</v>
      </c>
      <c r="H1013" s="197" t="s">
        <v>4688</v>
      </c>
      <c r="I1013" s="324" t="s">
        <v>4701</v>
      </c>
      <c r="J1013" s="237">
        <v>4</v>
      </c>
      <c r="K1013" s="237">
        <v>13</v>
      </c>
      <c r="L1013" s="265" t="s">
        <v>217</v>
      </c>
      <c r="M1013" s="266" t="s">
        <v>545</v>
      </c>
      <c r="N1013" s="266" t="s">
        <v>2221</v>
      </c>
      <c r="O1013" s="267" t="s">
        <v>2235</v>
      </c>
      <c r="P1013" s="268" t="s">
        <v>456</v>
      </c>
      <c r="Q1013" s="269">
        <v>1100</v>
      </c>
      <c r="R1013" s="269"/>
      <c r="S1013" s="270"/>
      <c r="T1013" s="182"/>
      <c r="U1013" s="182">
        <v>1</v>
      </c>
      <c r="V1013" s="408" t="s">
        <v>3062</v>
      </c>
      <c r="W1013" s="357" t="s">
        <v>204</v>
      </c>
      <c r="X1013" s="156">
        <v>1440000000</v>
      </c>
      <c r="Y1013" s="156">
        <v>1440000000</v>
      </c>
      <c r="Z1013" s="418" t="s">
        <v>359</v>
      </c>
      <c r="AA1013" s="271" t="s">
        <v>268</v>
      </c>
      <c r="AB1013" s="168" t="s">
        <v>204</v>
      </c>
      <c r="AC1013" s="156">
        <v>4490000000</v>
      </c>
      <c r="AD1013" s="156">
        <v>4490000000</v>
      </c>
      <c r="AE1013" s="320"/>
      <c r="AF1013" s="168"/>
      <c r="AG1013" s="156"/>
      <c r="AH1013" s="156"/>
      <c r="AI1013" s="410"/>
    </row>
    <row r="1014" spans="1:35" ht="19.5" customHeight="1">
      <c r="A1014" s="137"/>
      <c r="B1014" s="197">
        <f t="shared" si="18"/>
        <v>1004</v>
      </c>
      <c r="C1014" s="30" t="s">
        <v>202</v>
      </c>
      <c r="D1014" s="30" t="s">
        <v>359</v>
      </c>
      <c r="E1014" s="234" t="s">
        <v>1208</v>
      </c>
      <c r="F1014" s="235" t="s">
        <v>1225</v>
      </c>
      <c r="G1014" s="284" t="str">
        <f>IFERROR(VLOOKUP(E1014,Assign!$C$2:$J$142,8,FALSE),)</f>
        <v>문선영</v>
      </c>
      <c r="H1014" s="197" t="s">
        <v>4688</v>
      </c>
      <c r="I1014" s="324" t="s">
        <v>4702</v>
      </c>
      <c r="J1014" s="237">
        <v>4</v>
      </c>
      <c r="K1014" s="237">
        <v>14</v>
      </c>
      <c r="L1014" s="265" t="s">
        <v>217</v>
      </c>
      <c r="M1014" s="266" t="s">
        <v>545</v>
      </c>
      <c r="N1014" s="266" t="s">
        <v>2221</v>
      </c>
      <c r="O1014" s="267" t="s">
        <v>2236</v>
      </c>
      <c r="P1014" s="268" t="s">
        <v>456</v>
      </c>
      <c r="Q1014" s="269">
        <v>710</v>
      </c>
      <c r="R1014" s="269"/>
      <c r="S1014" s="270"/>
      <c r="T1014" s="182"/>
      <c r="U1014" s="182">
        <v>1</v>
      </c>
      <c r="V1014" s="408" t="s">
        <v>3062</v>
      </c>
      <c r="W1014" s="357" t="s">
        <v>204</v>
      </c>
      <c r="X1014" s="156">
        <v>1440000000</v>
      </c>
      <c r="Y1014" s="156">
        <v>1440000000</v>
      </c>
      <c r="Z1014" s="418" t="s">
        <v>359</v>
      </c>
      <c r="AA1014" s="271" t="s">
        <v>268</v>
      </c>
      <c r="AB1014" s="168" t="s">
        <v>204</v>
      </c>
      <c r="AC1014" s="156">
        <v>4490000000</v>
      </c>
      <c r="AD1014" s="156">
        <v>4490000000</v>
      </c>
      <c r="AE1014" s="320"/>
      <c r="AF1014" s="168"/>
      <c r="AG1014" s="156"/>
      <c r="AH1014" s="156"/>
      <c r="AI1014" s="410"/>
    </row>
    <row r="1015" spans="1:35" ht="19.5" customHeight="1">
      <c r="A1015" s="137"/>
      <c r="B1015" s="197">
        <f t="shared" si="18"/>
        <v>1005</v>
      </c>
      <c r="C1015" s="30" t="s">
        <v>202</v>
      </c>
      <c r="D1015" s="30" t="s">
        <v>359</v>
      </c>
      <c r="E1015" s="234" t="s">
        <v>1208</v>
      </c>
      <c r="F1015" s="235" t="s">
        <v>1225</v>
      </c>
      <c r="G1015" s="284" t="str">
        <f>IFERROR(VLOOKUP(E1015,Assign!$C$2:$J$142,8,FALSE),)</f>
        <v>문선영</v>
      </c>
      <c r="H1015" s="197" t="s">
        <v>4688</v>
      </c>
      <c r="I1015" s="324" t="s">
        <v>4703</v>
      </c>
      <c r="J1015" s="237">
        <v>4</v>
      </c>
      <c r="K1015" s="237">
        <v>15</v>
      </c>
      <c r="L1015" s="265" t="s">
        <v>217</v>
      </c>
      <c r="M1015" s="266" t="s">
        <v>545</v>
      </c>
      <c r="N1015" s="266" t="s">
        <v>2221</v>
      </c>
      <c r="O1015" s="267" t="s">
        <v>2237</v>
      </c>
      <c r="P1015" s="268" t="s">
        <v>447</v>
      </c>
      <c r="Q1015" s="269">
        <v>2791</v>
      </c>
      <c r="R1015" s="269"/>
      <c r="S1015" s="270"/>
      <c r="T1015" s="182"/>
      <c r="U1015" s="182">
        <v>1</v>
      </c>
      <c r="V1015" s="408" t="s">
        <v>3062</v>
      </c>
      <c r="W1015" s="357" t="s">
        <v>204</v>
      </c>
      <c r="X1015" s="156">
        <v>1440000000</v>
      </c>
      <c r="Y1015" s="156">
        <v>1440000000</v>
      </c>
      <c r="Z1015" s="418" t="s">
        <v>359</v>
      </c>
      <c r="AA1015" s="271" t="s">
        <v>268</v>
      </c>
      <c r="AB1015" s="168" t="s">
        <v>204</v>
      </c>
      <c r="AC1015" s="156">
        <v>4490000000</v>
      </c>
      <c r="AD1015" s="156">
        <v>4490000000</v>
      </c>
      <c r="AE1015" s="320"/>
      <c r="AF1015" s="168"/>
      <c r="AG1015" s="156"/>
      <c r="AH1015" s="156"/>
      <c r="AI1015" s="410"/>
    </row>
    <row r="1016" spans="1:35" ht="19.5" customHeight="1">
      <c r="A1016" s="137"/>
      <c r="B1016" s="197">
        <f t="shared" si="18"/>
        <v>1006</v>
      </c>
      <c r="C1016" s="30" t="s">
        <v>202</v>
      </c>
      <c r="D1016" s="30" t="s">
        <v>359</v>
      </c>
      <c r="E1016" s="234" t="s">
        <v>1208</v>
      </c>
      <c r="F1016" s="235" t="s">
        <v>1225</v>
      </c>
      <c r="G1016" s="284" t="str">
        <f>IFERROR(VLOOKUP(E1016,Assign!$C$2:$J$142,8,FALSE),)</f>
        <v>문선영</v>
      </c>
      <c r="H1016" s="197" t="s">
        <v>4688</v>
      </c>
      <c r="I1016" s="324" t="s">
        <v>4704</v>
      </c>
      <c r="J1016" s="237">
        <v>4</v>
      </c>
      <c r="K1016" s="237">
        <v>16</v>
      </c>
      <c r="L1016" s="265" t="s">
        <v>217</v>
      </c>
      <c r="M1016" s="266" t="s">
        <v>545</v>
      </c>
      <c r="N1016" s="266" t="s">
        <v>2221</v>
      </c>
      <c r="O1016" s="267" t="s">
        <v>2238</v>
      </c>
      <c r="P1016" s="268" t="s">
        <v>456</v>
      </c>
      <c r="Q1016" s="269">
        <v>9231</v>
      </c>
      <c r="R1016" s="269"/>
      <c r="S1016" s="270"/>
      <c r="T1016" s="182"/>
      <c r="U1016" s="182">
        <v>1</v>
      </c>
      <c r="V1016" s="408" t="s">
        <v>3062</v>
      </c>
      <c r="W1016" s="357" t="s">
        <v>204</v>
      </c>
      <c r="X1016" s="156">
        <v>1440000000</v>
      </c>
      <c r="Y1016" s="156">
        <v>1440000000</v>
      </c>
      <c r="Z1016" s="418" t="s">
        <v>359</v>
      </c>
      <c r="AA1016" s="271" t="s">
        <v>268</v>
      </c>
      <c r="AB1016" s="168" t="s">
        <v>204</v>
      </c>
      <c r="AC1016" s="156">
        <v>4490000000</v>
      </c>
      <c r="AD1016" s="156">
        <v>4490000000</v>
      </c>
      <c r="AE1016" s="320"/>
      <c r="AF1016" s="168"/>
      <c r="AG1016" s="156"/>
      <c r="AH1016" s="156"/>
      <c r="AI1016" s="410"/>
    </row>
    <row r="1017" spans="1:35" ht="19.5" customHeight="1">
      <c r="A1017" s="137"/>
      <c r="B1017" s="197">
        <f t="shared" si="18"/>
        <v>1007</v>
      </c>
      <c r="C1017" s="30" t="s">
        <v>202</v>
      </c>
      <c r="D1017" s="30" t="s">
        <v>359</v>
      </c>
      <c r="E1017" s="234" t="s">
        <v>1208</v>
      </c>
      <c r="F1017" s="235" t="s">
        <v>1225</v>
      </c>
      <c r="G1017" s="284" t="str">
        <f>IFERROR(VLOOKUP(E1017,Assign!$C$2:$J$142,8,FALSE),)</f>
        <v>문선영</v>
      </c>
      <c r="H1017" s="197" t="s">
        <v>4688</v>
      </c>
      <c r="I1017" s="324" t="s">
        <v>4705</v>
      </c>
      <c r="J1017" s="237">
        <v>4</v>
      </c>
      <c r="K1017" s="237">
        <v>17</v>
      </c>
      <c r="L1017" s="265" t="s">
        <v>217</v>
      </c>
      <c r="M1017" s="266" t="s">
        <v>545</v>
      </c>
      <c r="N1017" s="266" t="s">
        <v>2221</v>
      </c>
      <c r="O1017" s="267" t="s">
        <v>2239</v>
      </c>
      <c r="P1017" s="268" t="s">
        <v>538</v>
      </c>
      <c r="Q1017" s="269">
        <v>605</v>
      </c>
      <c r="R1017" s="269"/>
      <c r="S1017" s="270"/>
      <c r="T1017" s="182"/>
      <c r="U1017" s="182">
        <v>1</v>
      </c>
      <c r="V1017" s="408" t="s">
        <v>3062</v>
      </c>
      <c r="W1017" s="357" t="s">
        <v>204</v>
      </c>
      <c r="X1017" s="156">
        <v>1440000000</v>
      </c>
      <c r="Y1017" s="156">
        <v>1440000000</v>
      </c>
      <c r="Z1017" s="418" t="s">
        <v>359</v>
      </c>
      <c r="AA1017" s="271" t="s">
        <v>268</v>
      </c>
      <c r="AB1017" s="168" t="s">
        <v>204</v>
      </c>
      <c r="AC1017" s="156">
        <v>4490000000</v>
      </c>
      <c r="AD1017" s="156">
        <v>4490000000</v>
      </c>
      <c r="AE1017" s="320"/>
      <c r="AF1017" s="168"/>
      <c r="AG1017" s="156"/>
      <c r="AH1017" s="156"/>
      <c r="AI1017" s="410"/>
    </row>
    <row r="1018" spans="1:35" ht="19.5" customHeight="1">
      <c r="A1018" s="137"/>
      <c r="B1018" s="197">
        <f t="shared" si="18"/>
        <v>1008</v>
      </c>
      <c r="C1018" s="30" t="s">
        <v>202</v>
      </c>
      <c r="D1018" s="30" t="s">
        <v>359</v>
      </c>
      <c r="E1018" s="234" t="s">
        <v>1208</v>
      </c>
      <c r="F1018" s="235" t="s">
        <v>1225</v>
      </c>
      <c r="G1018" s="284" t="str">
        <f>IFERROR(VLOOKUP(E1018,Assign!$C$2:$J$142,8,FALSE),)</f>
        <v>문선영</v>
      </c>
      <c r="H1018" s="197" t="s">
        <v>4688</v>
      </c>
      <c r="I1018" s="324" t="s">
        <v>4706</v>
      </c>
      <c r="J1018" s="237">
        <v>4</v>
      </c>
      <c r="K1018" s="237">
        <v>18</v>
      </c>
      <c r="L1018" s="265" t="s">
        <v>217</v>
      </c>
      <c r="M1018" s="266" t="s">
        <v>545</v>
      </c>
      <c r="N1018" s="266" t="s">
        <v>2221</v>
      </c>
      <c r="O1018" s="267" t="s">
        <v>2240</v>
      </c>
      <c r="P1018" s="268" t="s">
        <v>538</v>
      </c>
      <c r="Q1018" s="269">
        <v>1002</v>
      </c>
      <c r="R1018" s="269"/>
      <c r="S1018" s="270"/>
      <c r="T1018" s="182"/>
      <c r="U1018" s="182">
        <v>1</v>
      </c>
      <c r="V1018" s="408" t="s">
        <v>3062</v>
      </c>
      <c r="W1018" s="357" t="s">
        <v>204</v>
      </c>
      <c r="X1018" s="156">
        <v>1440000000</v>
      </c>
      <c r="Y1018" s="156">
        <v>1440000000</v>
      </c>
      <c r="Z1018" s="418" t="s">
        <v>359</v>
      </c>
      <c r="AA1018" s="271" t="s">
        <v>268</v>
      </c>
      <c r="AB1018" s="168" t="s">
        <v>204</v>
      </c>
      <c r="AC1018" s="156">
        <v>4490000000</v>
      </c>
      <c r="AD1018" s="156">
        <v>4490000000</v>
      </c>
      <c r="AE1018" s="320"/>
      <c r="AF1018" s="168"/>
      <c r="AG1018" s="156"/>
      <c r="AH1018" s="156"/>
      <c r="AI1018" s="410"/>
    </row>
    <row r="1019" spans="1:35" ht="19.5" customHeight="1">
      <c r="A1019" s="137"/>
      <c r="B1019" s="197">
        <f t="shared" si="18"/>
        <v>1009</v>
      </c>
      <c r="C1019" s="30" t="s">
        <v>202</v>
      </c>
      <c r="D1019" s="30" t="s">
        <v>359</v>
      </c>
      <c r="E1019" s="234" t="s">
        <v>1208</v>
      </c>
      <c r="F1019" s="235" t="s">
        <v>1225</v>
      </c>
      <c r="G1019" s="284" t="str">
        <f>IFERROR(VLOOKUP(E1019,Assign!$C$2:$J$142,8,FALSE),)</f>
        <v>문선영</v>
      </c>
      <c r="H1019" s="197" t="s">
        <v>4688</v>
      </c>
      <c r="I1019" s="324" t="s">
        <v>4707</v>
      </c>
      <c r="J1019" s="237">
        <v>4</v>
      </c>
      <c r="K1019" s="237">
        <v>19</v>
      </c>
      <c r="L1019" s="265" t="s">
        <v>217</v>
      </c>
      <c r="M1019" s="266" t="s">
        <v>545</v>
      </c>
      <c r="N1019" s="266" t="s">
        <v>2221</v>
      </c>
      <c r="O1019" s="267" t="s">
        <v>2241</v>
      </c>
      <c r="P1019" s="268" t="s">
        <v>450</v>
      </c>
      <c r="Q1019" s="269">
        <v>206</v>
      </c>
      <c r="R1019" s="269"/>
      <c r="S1019" s="270"/>
      <c r="T1019" s="182"/>
      <c r="U1019" s="182">
        <v>1</v>
      </c>
      <c r="V1019" s="408" t="s">
        <v>3062</v>
      </c>
      <c r="W1019" s="357" t="s">
        <v>204</v>
      </c>
      <c r="X1019" s="156">
        <v>1440000000</v>
      </c>
      <c r="Y1019" s="156">
        <v>1440000000</v>
      </c>
      <c r="Z1019" s="418" t="s">
        <v>359</v>
      </c>
      <c r="AA1019" s="271" t="s">
        <v>268</v>
      </c>
      <c r="AB1019" s="168" t="s">
        <v>204</v>
      </c>
      <c r="AC1019" s="156">
        <v>4490000000</v>
      </c>
      <c r="AD1019" s="156">
        <v>4490000000</v>
      </c>
      <c r="AE1019" s="320"/>
      <c r="AF1019" s="168"/>
      <c r="AG1019" s="156"/>
      <c r="AH1019" s="156"/>
      <c r="AI1019" s="410"/>
    </row>
    <row r="1020" spans="1:35" ht="19.5" customHeight="1">
      <c r="A1020" s="137"/>
      <c r="B1020" s="197">
        <f t="shared" si="18"/>
        <v>1010</v>
      </c>
      <c r="C1020" s="30" t="s">
        <v>202</v>
      </c>
      <c r="D1020" s="30" t="s">
        <v>359</v>
      </c>
      <c r="E1020" s="234" t="s">
        <v>1208</v>
      </c>
      <c r="F1020" s="235" t="s">
        <v>1225</v>
      </c>
      <c r="G1020" s="284" t="str">
        <f>IFERROR(VLOOKUP(E1020,Assign!$C$2:$J$142,8,FALSE),)</f>
        <v>문선영</v>
      </c>
      <c r="H1020" s="197" t="s">
        <v>4688</v>
      </c>
      <c r="I1020" s="324" t="s">
        <v>4708</v>
      </c>
      <c r="J1020" s="237">
        <v>4</v>
      </c>
      <c r="K1020" s="237">
        <v>20</v>
      </c>
      <c r="L1020" s="265" t="s">
        <v>217</v>
      </c>
      <c r="M1020" s="266" t="s">
        <v>545</v>
      </c>
      <c r="N1020" s="266" t="s">
        <v>2221</v>
      </c>
      <c r="O1020" s="267" t="s">
        <v>2242</v>
      </c>
      <c r="P1020" s="268" t="s">
        <v>538</v>
      </c>
      <c r="Q1020" s="269">
        <v>306</v>
      </c>
      <c r="R1020" s="269"/>
      <c r="S1020" s="270"/>
      <c r="T1020" s="182"/>
      <c r="U1020" s="182">
        <v>1</v>
      </c>
      <c r="V1020" s="408" t="s">
        <v>3062</v>
      </c>
      <c r="W1020" s="357" t="s">
        <v>204</v>
      </c>
      <c r="X1020" s="156">
        <v>1440000000</v>
      </c>
      <c r="Y1020" s="156">
        <v>1440000000</v>
      </c>
      <c r="Z1020" s="418" t="s">
        <v>359</v>
      </c>
      <c r="AA1020" s="271" t="s">
        <v>268</v>
      </c>
      <c r="AB1020" s="168" t="s">
        <v>204</v>
      </c>
      <c r="AC1020" s="156">
        <v>4490000000</v>
      </c>
      <c r="AD1020" s="156">
        <v>4490000000</v>
      </c>
      <c r="AE1020" s="320"/>
      <c r="AF1020" s="168"/>
      <c r="AG1020" s="156"/>
      <c r="AH1020" s="156"/>
      <c r="AI1020" s="410"/>
    </row>
    <row r="1021" spans="1:35" ht="19.5" customHeight="1">
      <c r="A1021" s="137"/>
      <c r="B1021" s="197">
        <f t="shared" si="18"/>
        <v>1011</v>
      </c>
      <c r="C1021" s="30" t="s">
        <v>202</v>
      </c>
      <c r="D1021" s="30" t="s">
        <v>359</v>
      </c>
      <c r="E1021" s="234" t="s">
        <v>1208</v>
      </c>
      <c r="F1021" s="235" t="s">
        <v>1225</v>
      </c>
      <c r="G1021" s="284" t="str">
        <f>IFERROR(VLOOKUP(E1021,Assign!$C$2:$J$142,8,FALSE),)</f>
        <v>문선영</v>
      </c>
      <c r="H1021" s="197" t="s">
        <v>4688</v>
      </c>
      <c r="I1021" s="324" t="s">
        <v>4709</v>
      </c>
      <c r="J1021" s="237">
        <v>4</v>
      </c>
      <c r="K1021" s="237">
        <v>21</v>
      </c>
      <c r="L1021" s="265" t="s">
        <v>217</v>
      </c>
      <c r="M1021" s="266" t="s">
        <v>545</v>
      </c>
      <c r="N1021" s="266" t="s">
        <v>2221</v>
      </c>
      <c r="O1021" s="267" t="s">
        <v>2243</v>
      </c>
      <c r="P1021" s="268" t="s">
        <v>245</v>
      </c>
      <c r="Q1021" s="269">
        <v>22563</v>
      </c>
      <c r="R1021" s="269"/>
      <c r="S1021" s="270"/>
      <c r="T1021" s="182"/>
      <c r="U1021" s="182">
        <v>1</v>
      </c>
      <c r="V1021" s="408" t="s">
        <v>3062</v>
      </c>
      <c r="W1021" s="357" t="s">
        <v>204</v>
      </c>
      <c r="X1021" s="156">
        <v>1440000000</v>
      </c>
      <c r="Y1021" s="156">
        <v>1440000000</v>
      </c>
      <c r="Z1021" s="418" t="s">
        <v>359</v>
      </c>
      <c r="AA1021" s="271" t="s">
        <v>268</v>
      </c>
      <c r="AB1021" s="168" t="s">
        <v>204</v>
      </c>
      <c r="AC1021" s="156">
        <v>4490000000</v>
      </c>
      <c r="AD1021" s="156">
        <v>4490000000</v>
      </c>
      <c r="AE1021" s="320"/>
      <c r="AF1021" s="168"/>
      <c r="AG1021" s="156"/>
      <c r="AH1021" s="156"/>
      <c r="AI1021" s="410"/>
    </row>
    <row r="1022" spans="1:35" ht="19.5" customHeight="1">
      <c r="A1022" s="137"/>
      <c r="B1022" s="197">
        <f t="shared" si="18"/>
        <v>1012</v>
      </c>
      <c r="C1022" s="30" t="s">
        <v>202</v>
      </c>
      <c r="D1022" s="30" t="s">
        <v>359</v>
      </c>
      <c r="E1022" s="234" t="s">
        <v>1208</v>
      </c>
      <c r="F1022" s="235" t="s">
        <v>1225</v>
      </c>
      <c r="G1022" s="284" t="str">
        <f>IFERROR(VLOOKUP(E1022,Assign!$C$2:$J$142,8,FALSE),)</f>
        <v>문선영</v>
      </c>
      <c r="H1022" s="197" t="s">
        <v>4710</v>
      </c>
      <c r="I1022" s="324" t="s">
        <v>4711</v>
      </c>
      <c r="J1022" s="237">
        <v>5</v>
      </c>
      <c r="K1022" s="237">
        <v>1</v>
      </c>
      <c r="L1022" s="265" t="s">
        <v>217</v>
      </c>
      <c r="M1022" s="266" t="s">
        <v>545</v>
      </c>
      <c r="N1022" s="266" t="s">
        <v>2221</v>
      </c>
      <c r="O1022" s="267" t="s">
        <v>2244</v>
      </c>
      <c r="P1022" s="268" t="s">
        <v>456</v>
      </c>
      <c r="Q1022" s="269">
        <v>1125</v>
      </c>
      <c r="R1022" s="269"/>
      <c r="S1022" s="270"/>
      <c r="T1022" s="182"/>
      <c r="U1022" s="182">
        <v>1</v>
      </c>
      <c r="V1022" s="408" t="s">
        <v>3063</v>
      </c>
      <c r="W1022" s="357" t="s">
        <v>204</v>
      </c>
      <c r="X1022" s="156">
        <v>1440000000</v>
      </c>
      <c r="Y1022" s="156">
        <v>1440000000</v>
      </c>
      <c r="Z1022" s="418" t="s">
        <v>359</v>
      </c>
      <c r="AA1022" s="271" t="s">
        <v>3072</v>
      </c>
      <c r="AB1022" s="168" t="s">
        <v>204</v>
      </c>
      <c r="AC1022" s="156">
        <v>6490000000</v>
      </c>
      <c r="AD1022" s="156">
        <v>6490000000</v>
      </c>
      <c r="AE1022" s="320"/>
      <c r="AF1022" s="168"/>
      <c r="AG1022" s="156"/>
      <c r="AH1022" s="156"/>
      <c r="AI1022" s="410"/>
    </row>
    <row r="1023" spans="1:35" ht="19.5" customHeight="1">
      <c r="A1023" s="137"/>
      <c r="B1023" s="197">
        <f t="shared" si="18"/>
        <v>1013</v>
      </c>
      <c r="C1023" s="30" t="s">
        <v>202</v>
      </c>
      <c r="D1023" s="30" t="s">
        <v>359</v>
      </c>
      <c r="E1023" s="234" t="s">
        <v>1208</v>
      </c>
      <c r="F1023" s="235" t="s">
        <v>1225</v>
      </c>
      <c r="G1023" s="284" t="str">
        <f>IFERROR(VLOOKUP(E1023,Assign!$C$2:$J$142,8,FALSE),)</f>
        <v>문선영</v>
      </c>
      <c r="H1023" s="197" t="s">
        <v>4710</v>
      </c>
      <c r="I1023" s="324" t="s">
        <v>4712</v>
      </c>
      <c r="J1023" s="237">
        <v>5</v>
      </c>
      <c r="K1023" s="237">
        <v>2</v>
      </c>
      <c r="L1023" s="265" t="s">
        <v>217</v>
      </c>
      <c r="M1023" s="266" t="s">
        <v>545</v>
      </c>
      <c r="N1023" s="266" t="s">
        <v>2221</v>
      </c>
      <c r="O1023" s="267" t="s">
        <v>2245</v>
      </c>
      <c r="P1023" s="268" t="s">
        <v>456</v>
      </c>
      <c r="Q1023" s="269">
        <v>161</v>
      </c>
      <c r="R1023" s="269"/>
      <c r="S1023" s="270"/>
      <c r="T1023" s="182"/>
      <c r="U1023" s="182">
        <v>1</v>
      </c>
      <c r="V1023" s="408" t="s">
        <v>3063</v>
      </c>
      <c r="W1023" s="357" t="s">
        <v>204</v>
      </c>
      <c r="X1023" s="156">
        <v>1440000000</v>
      </c>
      <c r="Y1023" s="156">
        <v>1440000000</v>
      </c>
      <c r="Z1023" s="418" t="s">
        <v>359</v>
      </c>
      <c r="AA1023" s="271" t="s">
        <v>3072</v>
      </c>
      <c r="AB1023" s="168" t="s">
        <v>204</v>
      </c>
      <c r="AC1023" s="156">
        <v>6490000000</v>
      </c>
      <c r="AD1023" s="156">
        <v>6490000000</v>
      </c>
      <c r="AE1023" s="320"/>
      <c r="AF1023" s="168"/>
      <c r="AG1023" s="156"/>
      <c r="AH1023" s="156"/>
      <c r="AI1023" s="410"/>
    </row>
    <row r="1024" spans="1:35" ht="19.5" customHeight="1">
      <c r="A1024" s="137"/>
      <c r="B1024" s="197">
        <f t="shared" si="18"/>
        <v>1014</v>
      </c>
      <c r="C1024" s="30" t="s">
        <v>202</v>
      </c>
      <c r="D1024" s="30" t="s">
        <v>359</v>
      </c>
      <c r="E1024" s="234" t="s">
        <v>1208</v>
      </c>
      <c r="F1024" s="235" t="s">
        <v>1225</v>
      </c>
      <c r="G1024" s="284" t="str">
        <f>IFERROR(VLOOKUP(E1024,Assign!$C$2:$J$142,8,FALSE),)</f>
        <v>문선영</v>
      </c>
      <c r="H1024" s="197" t="s">
        <v>4710</v>
      </c>
      <c r="I1024" s="324" t="s">
        <v>4713</v>
      </c>
      <c r="J1024" s="237">
        <v>5</v>
      </c>
      <c r="K1024" s="237">
        <v>3</v>
      </c>
      <c r="L1024" s="265" t="s">
        <v>217</v>
      </c>
      <c r="M1024" s="266" t="s">
        <v>545</v>
      </c>
      <c r="N1024" s="266" t="s">
        <v>2221</v>
      </c>
      <c r="O1024" s="267" t="s">
        <v>2246</v>
      </c>
      <c r="P1024" s="268" t="s">
        <v>456</v>
      </c>
      <c r="Q1024" s="269">
        <v>495</v>
      </c>
      <c r="R1024" s="269"/>
      <c r="S1024" s="270"/>
      <c r="T1024" s="182"/>
      <c r="U1024" s="182">
        <v>1</v>
      </c>
      <c r="V1024" s="408" t="s">
        <v>3063</v>
      </c>
      <c r="W1024" s="357" t="s">
        <v>204</v>
      </c>
      <c r="X1024" s="156">
        <v>1440000000</v>
      </c>
      <c r="Y1024" s="156">
        <v>1440000000</v>
      </c>
      <c r="Z1024" s="418" t="s">
        <v>359</v>
      </c>
      <c r="AA1024" s="271" t="s">
        <v>3072</v>
      </c>
      <c r="AB1024" s="168" t="s">
        <v>204</v>
      </c>
      <c r="AC1024" s="156">
        <v>6490000000</v>
      </c>
      <c r="AD1024" s="156">
        <v>6490000000</v>
      </c>
      <c r="AE1024" s="320"/>
      <c r="AF1024" s="168"/>
      <c r="AG1024" s="156"/>
      <c r="AH1024" s="156"/>
      <c r="AI1024" s="410"/>
    </row>
    <row r="1025" spans="1:35" ht="19.5" customHeight="1">
      <c r="A1025" s="137"/>
      <c r="B1025" s="197">
        <f t="shared" si="18"/>
        <v>1015</v>
      </c>
      <c r="C1025" s="30" t="s">
        <v>202</v>
      </c>
      <c r="D1025" s="30" t="s">
        <v>359</v>
      </c>
      <c r="E1025" s="234" t="s">
        <v>1208</v>
      </c>
      <c r="F1025" s="235" t="s">
        <v>1225</v>
      </c>
      <c r="G1025" s="284" t="str">
        <f>IFERROR(VLOOKUP(E1025,Assign!$C$2:$J$142,8,FALSE),)</f>
        <v>문선영</v>
      </c>
      <c r="H1025" s="197" t="s">
        <v>4710</v>
      </c>
      <c r="I1025" s="324" t="s">
        <v>4714</v>
      </c>
      <c r="J1025" s="237">
        <v>5</v>
      </c>
      <c r="K1025" s="237">
        <v>4</v>
      </c>
      <c r="L1025" s="265" t="s">
        <v>217</v>
      </c>
      <c r="M1025" s="266" t="s">
        <v>545</v>
      </c>
      <c r="N1025" s="266" t="s">
        <v>2221</v>
      </c>
      <c r="O1025" s="267" t="s">
        <v>2247</v>
      </c>
      <c r="P1025" s="268" t="s">
        <v>447</v>
      </c>
      <c r="Q1025" s="269">
        <v>435</v>
      </c>
      <c r="R1025" s="269"/>
      <c r="S1025" s="270"/>
      <c r="T1025" s="182"/>
      <c r="U1025" s="182">
        <v>1</v>
      </c>
      <c r="V1025" s="408" t="s">
        <v>3063</v>
      </c>
      <c r="W1025" s="357" t="s">
        <v>204</v>
      </c>
      <c r="X1025" s="156">
        <v>1440000000</v>
      </c>
      <c r="Y1025" s="156">
        <v>1440000000</v>
      </c>
      <c r="Z1025" s="418" t="s">
        <v>359</v>
      </c>
      <c r="AA1025" s="271" t="s">
        <v>3072</v>
      </c>
      <c r="AB1025" s="168" t="s">
        <v>204</v>
      </c>
      <c r="AC1025" s="156">
        <v>6490000000</v>
      </c>
      <c r="AD1025" s="156">
        <v>6490000000</v>
      </c>
      <c r="AE1025" s="320"/>
      <c r="AF1025" s="168"/>
      <c r="AG1025" s="156"/>
      <c r="AH1025" s="156"/>
      <c r="AI1025" s="410"/>
    </row>
    <row r="1026" spans="1:35" ht="19.5" customHeight="1">
      <c r="A1026" s="137"/>
      <c r="B1026" s="197">
        <f t="shared" si="18"/>
        <v>1016</v>
      </c>
      <c r="C1026" s="30" t="s">
        <v>202</v>
      </c>
      <c r="D1026" s="30" t="s">
        <v>359</v>
      </c>
      <c r="E1026" s="234" t="s">
        <v>1208</v>
      </c>
      <c r="F1026" s="235" t="s">
        <v>1225</v>
      </c>
      <c r="G1026" s="284" t="str">
        <f>IFERROR(VLOOKUP(E1026,Assign!$C$2:$J$142,8,FALSE),)</f>
        <v>문선영</v>
      </c>
      <c r="H1026" s="197" t="s">
        <v>4710</v>
      </c>
      <c r="I1026" s="324" t="s">
        <v>4715</v>
      </c>
      <c r="J1026" s="237">
        <v>5</v>
      </c>
      <c r="K1026" s="237">
        <v>5</v>
      </c>
      <c r="L1026" s="265" t="s">
        <v>217</v>
      </c>
      <c r="M1026" s="266" t="s">
        <v>545</v>
      </c>
      <c r="N1026" s="266" t="s">
        <v>2221</v>
      </c>
      <c r="O1026" s="267" t="s">
        <v>2248</v>
      </c>
      <c r="P1026" s="268" t="s">
        <v>456</v>
      </c>
      <c r="Q1026" s="269">
        <v>942</v>
      </c>
      <c r="R1026" s="269"/>
      <c r="S1026" s="270"/>
      <c r="T1026" s="182"/>
      <c r="U1026" s="182">
        <v>1</v>
      </c>
      <c r="V1026" s="408" t="s">
        <v>3063</v>
      </c>
      <c r="W1026" s="357" t="s">
        <v>204</v>
      </c>
      <c r="X1026" s="156">
        <v>1440000000</v>
      </c>
      <c r="Y1026" s="156">
        <v>1440000000</v>
      </c>
      <c r="Z1026" s="418" t="s">
        <v>359</v>
      </c>
      <c r="AA1026" s="271" t="s">
        <v>3072</v>
      </c>
      <c r="AB1026" s="168" t="s">
        <v>204</v>
      </c>
      <c r="AC1026" s="156">
        <v>6490000000</v>
      </c>
      <c r="AD1026" s="156">
        <v>6490000000</v>
      </c>
      <c r="AE1026" s="320"/>
      <c r="AF1026" s="168"/>
      <c r="AG1026" s="156"/>
      <c r="AH1026" s="156"/>
      <c r="AI1026" s="410"/>
    </row>
    <row r="1027" spans="1:35" ht="19.5" customHeight="1">
      <c r="A1027" s="137"/>
      <c r="B1027" s="197">
        <f t="shared" si="18"/>
        <v>1017</v>
      </c>
      <c r="C1027" s="30" t="s">
        <v>202</v>
      </c>
      <c r="D1027" s="30" t="s">
        <v>359</v>
      </c>
      <c r="E1027" s="234" t="s">
        <v>1208</v>
      </c>
      <c r="F1027" s="235" t="s">
        <v>1225</v>
      </c>
      <c r="G1027" s="284" t="str">
        <f>IFERROR(VLOOKUP(E1027,Assign!$C$2:$J$142,8,FALSE),)</f>
        <v>문선영</v>
      </c>
      <c r="H1027" s="197" t="s">
        <v>4710</v>
      </c>
      <c r="I1027" s="324" t="s">
        <v>4716</v>
      </c>
      <c r="J1027" s="237">
        <v>5</v>
      </c>
      <c r="K1027" s="237">
        <v>6</v>
      </c>
      <c r="L1027" s="265" t="s">
        <v>217</v>
      </c>
      <c r="M1027" s="266" t="s">
        <v>545</v>
      </c>
      <c r="N1027" s="266" t="s">
        <v>2221</v>
      </c>
      <c r="O1027" s="267" t="s">
        <v>2249</v>
      </c>
      <c r="P1027" s="268" t="s">
        <v>456</v>
      </c>
      <c r="Q1027" s="269">
        <v>2162</v>
      </c>
      <c r="R1027" s="269"/>
      <c r="S1027" s="270"/>
      <c r="T1027" s="182"/>
      <c r="U1027" s="182">
        <v>1</v>
      </c>
      <c r="V1027" s="408" t="s">
        <v>3063</v>
      </c>
      <c r="W1027" s="357" t="s">
        <v>204</v>
      </c>
      <c r="X1027" s="156">
        <v>1440000000</v>
      </c>
      <c r="Y1027" s="156">
        <v>1440000000</v>
      </c>
      <c r="Z1027" s="418" t="s">
        <v>359</v>
      </c>
      <c r="AA1027" s="271" t="s">
        <v>3072</v>
      </c>
      <c r="AB1027" s="168" t="s">
        <v>204</v>
      </c>
      <c r="AC1027" s="156">
        <v>6490000000</v>
      </c>
      <c r="AD1027" s="156">
        <v>6490000000</v>
      </c>
      <c r="AE1027" s="320"/>
      <c r="AF1027" s="168"/>
      <c r="AG1027" s="156"/>
      <c r="AH1027" s="156"/>
      <c r="AI1027" s="410"/>
    </row>
    <row r="1028" spans="1:35" ht="19.5" customHeight="1">
      <c r="A1028" s="137"/>
      <c r="B1028" s="197">
        <f t="shared" si="18"/>
        <v>1018</v>
      </c>
      <c r="C1028" s="30" t="s">
        <v>202</v>
      </c>
      <c r="D1028" s="30" t="s">
        <v>359</v>
      </c>
      <c r="E1028" s="234" t="s">
        <v>1208</v>
      </c>
      <c r="F1028" s="235" t="s">
        <v>1225</v>
      </c>
      <c r="G1028" s="284" t="str">
        <f>IFERROR(VLOOKUP(E1028,Assign!$C$2:$J$142,8,FALSE),)</f>
        <v>문선영</v>
      </c>
      <c r="H1028" s="197" t="s">
        <v>4710</v>
      </c>
      <c r="I1028" s="324" t="s">
        <v>4717</v>
      </c>
      <c r="J1028" s="237">
        <v>5</v>
      </c>
      <c r="K1028" s="237">
        <v>7</v>
      </c>
      <c r="L1028" s="265" t="s">
        <v>217</v>
      </c>
      <c r="M1028" s="266" t="s">
        <v>545</v>
      </c>
      <c r="N1028" s="266" t="s">
        <v>2221</v>
      </c>
      <c r="O1028" s="267" t="s">
        <v>2250</v>
      </c>
      <c r="P1028" s="268" t="s">
        <v>456</v>
      </c>
      <c r="Q1028" s="269">
        <v>8148</v>
      </c>
      <c r="R1028" s="269"/>
      <c r="S1028" s="270"/>
      <c r="T1028" s="182"/>
      <c r="U1028" s="182">
        <v>1</v>
      </c>
      <c r="V1028" s="408" t="s">
        <v>3063</v>
      </c>
      <c r="W1028" s="357" t="s">
        <v>204</v>
      </c>
      <c r="X1028" s="156">
        <v>1440000000</v>
      </c>
      <c r="Y1028" s="156">
        <v>1440000000</v>
      </c>
      <c r="Z1028" s="418" t="s">
        <v>359</v>
      </c>
      <c r="AA1028" s="271" t="s">
        <v>3072</v>
      </c>
      <c r="AB1028" s="168" t="s">
        <v>204</v>
      </c>
      <c r="AC1028" s="156">
        <v>6490000000</v>
      </c>
      <c r="AD1028" s="156">
        <v>6490000000</v>
      </c>
      <c r="AE1028" s="320"/>
      <c r="AF1028" s="168"/>
      <c r="AG1028" s="156"/>
      <c r="AH1028" s="156"/>
      <c r="AI1028" s="410"/>
    </row>
    <row r="1029" spans="1:35" ht="19.5" customHeight="1">
      <c r="A1029" s="137"/>
      <c r="B1029" s="197">
        <f t="shared" si="18"/>
        <v>1019</v>
      </c>
      <c r="C1029" s="30" t="s">
        <v>202</v>
      </c>
      <c r="D1029" s="30" t="s">
        <v>359</v>
      </c>
      <c r="E1029" s="234" t="s">
        <v>1208</v>
      </c>
      <c r="F1029" s="235" t="s">
        <v>1225</v>
      </c>
      <c r="G1029" s="284" t="str">
        <f>IFERROR(VLOOKUP(E1029,Assign!$C$2:$J$142,8,FALSE),)</f>
        <v>문선영</v>
      </c>
      <c r="H1029" s="197" t="s">
        <v>4710</v>
      </c>
      <c r="I1029" s="324" t="s">
        <v>4718</v>
      </c>
      <c r="J1029" s="237">
        <v>5</v>
      </c>
      <c r="K1029" s="237">
        <v>8</v>
      </c>
      <c r="L1029" s="265" t="s">
        <v>217</v>
      </c>
      <c r="M1029" s="266" t="s">
        <v>545</v>
      </c>
      <c r="N1029" s="266" t="s">
        <v>2221</v>
      </c>
      <c r="O1029" s="267" t="s">
        <v>2251</v>
      </c>
      <c r="P1029" s="268" t="s">
        <v>456</v>
      </c>
      <c r="Q1029" s="269">
        <v>942</v>
      </c>
      <c r="R1029" s="269"/>
      <c r="S1029" s="270"/>
      <c r="T1029" s="182"/>
      <c r="U1029" s="182">
        <v>1</v>
      </c>
      <c r="V1029" s="408" t="s">
        <v>3063</v>
      </c>
      <c r="W1029" s="357" t="s">
        <v>204</v>
      </c>
      <c r="X1029" s="156">
        <v>1440000000</v>
      </c>
      <c r="Y1029" s="156">
        <v>1440000000</v>
      </c>
      <c r="Z1029" s="418" t="s">
        <v>359</v>
      </c>
      <c r="AA1029" s="271" t="s">
        <v>3072</v>
      </c>
      <c r="AB1029" s="168" t="s">
        <v>204</v>
      </c>
      <c r="AC1029" s="156">
        <v>6490000000</v>
      </c>
      <c r="AD1029" s="156">
        <v>6490000000</v>
      </c>
      <c r="AE1029" s="320"/>
      <c r="AF1029" s="168"/>
      <c r="AG1029" s="156"/>
      <c r="AH1029" s="156"/>
      <c r="AI1029" s="410"/>
    </row>
    <row r="1030" spans="1:35" ht="19.5" customHeight="1">
      <c r="A1030" s="137"/>
      <c r="B1030" s="197">
        <f t="shared" si="18"/>
        <v>1020</v>
      </c>
      <c r="C1030" s="30" t="s">
        <v>202</v>
      </c>
      <c r="D1030" s="30" t="s">
        <v>359</v>
      </c>
      <c r="E1030" s="234" t="s">
        <v>1208</v>
      </c>
      <c r="F1030" s="235" t="s">
        <v>1225</v>
      </c>
      <c r="G1030" s="284" t="str">
        <f>IFERROR(VLOOKUP(E1030,Assign!$C$2:$J$142,8,FALSE),)</f>
        <v>문선영</v>
      </c>
      <c r="H1030" s="197" t="s">
        <v>4710</v>
      </c>
      <c r="I1030" s="324" t="s">
        <v>4719</v>
      </c>
      <c r="J1030" s="237">
        <v>5</v>
      </c>
      <c r="K1030" s="237">
        <v>9</v>
      </c>
      <c r="L1030" s="265" t="s">
        <v>217</v>
      </c>
      <c r="M1030" s="266" t="s">
        <v>545</v>
      </c>
      <c r="N1030" s="266" t="s">
        <v>2221</v>
      </c>
      <c r="O1030" s="267" t="s">
        <v>2252</v>
      </c>
      <c r="P1030" s="268" t="s">
        <v>456</v>
      </c>
      <c r="Q1030" s="269">
        <v>925</v>
      </c>
      <c r="R1030" s="269"/>
      <c r="S1030" s="270"/>
      <c r="T1030" s="182"/>
      <c r="U1030" s="182">
        <v>1</v>
      </c>
      <c r="V1030" s="408" t="s">
        <v>3063</v>
      </c>
      <c r="W1030" s="357" t="s">
        <v>204</v>
      </c>
      <c r="X1030" s="156">
        <v>1440000000</v>
      </c>
      <c r="Y1030" s="156">
        <v>1440000000</v>
      </c>
      <c r="Z1030" s="418" t="s">
        <v>359</v>
      </c>
      <c r="AA1030" s="271" t="s">
        <v>3072</v>
      </c>
      <c r="AB1030" s="168" t="s">
        <v>204</v>
      </c>
      <c r="AC1030" s="156">
        <v>6490000000</v>
      </c>
      <c r="AD1030" s="156">
        <v>6490000000</v>
      </c>
      <c r="AE1030" s="320"/>
      <c r="AF1030" s="168"/>
      <c r="AG1030" s="156"/>
      <c r="AH1030" s="156"/>
      <c r="AI1030" s="410"/>
    </row>
    <row r="1031" spans="1:35" ht="19.5" customHeight="1">
      <c r="A1031" s="137"/>
      <c r="B1031" s="197">
        <f t="shared" si="18"/>
        <v>1021</v>
      </c>
      <c r="C1031" s="30" t="s">
        <v>202</v>
      </c>
      <c r="D1031" s="30" t="s">
        <v>359</v>
      </c>
      <c r="E1031" s="234" t="s">
        <v>1208</v>
      </c>
      <c r="F1031" s="235" t="s">
        <v>1225</v>
      </c>
      <c r="G1031" s="284" t="str">
        <f>IFERROR(VLOOKUP(E1031,Assign!$C$2:$J$142,8,FALSE),)</f>
        <v>문선영</v>
      </c>
      <c r="H1031" s="197" t="s">
        <v>4710</v>
      </c>
      <c r="I1031" s="324" t="s">
        <v>4720</v>
      </c>
      <c r="J1031" s="237">
        <v>5</v>
      </c>
      <c r="K1031" s="237">
        <v>10</v>
      </c>
      <c r="L1031" s="265" t="s">
        <v>217</v>
      </c>
      <c r="M1031" s="266" t="s">
        <v>545</v>
      </c>
      <c r="N1031" s="266" t="s">
        <v>2221</v>
      </c>
      <c r="O1031" s="267" t="s">
        <v>2253</v>
      </c>
      <c r="P1031" s="268" t="s">
        <v>456</v>
      </c>
      <c r="Q1031" s="269">
        <v>613</v>
      </c>
      <c r="R1031" s="269"/>
      <c r="S1031" s="270"/>
      <c r="T1031" s="182"/>
      <c r="U1031" s="182">
        <v>1</v>
      </c>
      <c r="V1031" s="408" t="s">
        <v>3063</v>
      </c>
      <c r="W1031" s="357" t="s">
        <v>204</v>
      </c>
      <c r="X1031" s="156">
        <v>1440000000</v>
      </c>
      <c r="Y1031" s="156">
        <v>1440000000</v>
      </c>
      <c r="Z1031" s="418" t="s">
        <v>359</v>
      </c>
      <c r="AA1031" s="271" t="s">
        <v>3072</v>
      </c>
      <c r="AB1031" s="168" t="s">
        <v>204</v>
      </c>
      <c r="AC1031" s="156">
        <v>6490000000</v>
      </c>
      <c r="AD1031" s="156">
        <v>6490000000</v>
      </c>
      <c r="AE1031" s="320"/>
      <c r="AF1031" s="168"/>
      <c r="AG1031" s="156"/>
      <c r="AH1031" s="156"/>
      <c r="AI1031" s="410"/>
    </row>
    <row r="1032" spans="1:35" ht="19.5" customHeight="1">
      <c r="A1032" s="137"/>
      <c r="B1032" s="197">
        <f t="shared" si="18"/>
        <v>1022</v>
      </c>
      <c r="C1032" s="30" t="s">
        <v>202</v>
      </c>
      <c r="D1032" s="30" t="s">
        <v>359</v>
      </c>
      <c r="E1032" s="234" t="s">
        <v>1208</v>
      </c>
      <c r="F1032" s="235" t="s">
        <v>1225</v>
      </c>
      <c r="G1032" s="284" t="str">
        <f>IFERROR(VLOOKUP(E1032,Assign!$C$2:$J$142,8,FALSE),)</f>
        <v>문선영</v>
      </c>
      <c r="H1032" s="197" t="s">
        <v>4710</v>
      </c>
      <c r="I1032" s="324" t="s">
        <v>4721</v>
      </c>
      <c r="J1032" s="237">
        <v>5</v>
      </c>
      <c r="K1032" s="237">
        <v>11</v>
      </c>
      <c r="L1032" s="265" t="s">
        <v>217</v>
      </c>
      <c r="M1032" s="266" t="s">
        <v>545</v>
      </c>
      <c r="N1032" s="266" t="s">
        <v>2221</v>
      </c>
      <c r="O1032" s="267" t="s">
        <v>2254</v>
      </c>
      <c r="P1032" s="268" t="s">
        <v>456</v>
      </c>
      <c r="Q1032" s="269">
        <v>218</v>
      </c>
      <c r="R1032" s="269"/>
      <c r="S1032" s="270"/>
      <c r="T1032" s="182"/>
      <c r="U1032" s="182">
        <v>1</v>
      </c>
      <c r="V1032" s="408" t="s">
        <v>3063</v>
      </c>
      <c r="W1032" s="357" t="s">
        <v>204</v>
      </c>
      <c r="X1032" s="156">
        <v>1440000000</v>
      </c>
      <c r="Y1032" s="156">
        <v>1440000000</v>
      </c>
      <c r="Z1032" s="418" t="s">
        <v>359</v>
      </c>
      <c r="AA1032" s="271" t="s">
        <v>3072</v>
      </c>
      <c r="AB1032" s="168" t="s">
        <v>204</v>
      </c>
      <c r="AC1032" s="156">
        <v>6490000000</v>
      </c>
      <c r="AD1032" s="156">
        <v>6490000000</v>
      </c>
      <c r="AE1032" s="320"/>
      <c r="AF1032" s="168"/>
      <c r="AG1032" s="156"/>
      <c r="AH1032" s="156"/>
      <c r="AI1032" s="410"/>
    </row>
    <row r="1033" spans="1:35" ht="19.5" customHeight="1">
      <c r="A1033" s="137"/>
      <c r="B1033" s="197">
        <f t="shared" si="18"/>
        <v>1023</v>
      </c>
      <c r="C1033" s="30" t="s">
        <v>202</v>
      </c>
      <c r="D1033" s="30" t="s">
        <v>359</v>
      </c>
      <c r="E1033" s="234" t="s">
        <v>1208</v>
      </c>
      <c r="F1033" s="235" t="s">
        <v>1225</v>
      </c>
      <c r="G1033" s="284" t="str">
        <f>IFERROR(VLOOKUP(E1033,Assign!$C$2:$J$142,8,FALSE),)</f>
        <v>문선영</v>
      </c>
      <c r="H1033" s="197" t="s">
        <v>4710</v>
      </c>
      <c r="I1033" s="324" t="s">
        <v>4722</v>
      </c>
      <c r="J1033" s="237">
        <v>5</v>
      </c>
      <c r="K1033" s="237">
        <v>12</v>
      </c>
      <c r="L1033" s="265" t="s">
        <v>217</v>
      </c>
      <c r="M1033" s="266" t="s">
        <v>545</v>
      </c>
      <c r="N1033" s="266" t="s">
        <v>2221</v>
      </c>
      <c r="O1033" s="267" t="s">
        <v>2255</v>
      </c>
      <c r="P1033" s="268" t="s">
        <v>245</v>
      </c>
      <c r="Q1033" s="269">
        <v>340</v>
      </c>
      <c r="R1033" s="269"/>
      <c r="S1033" s="270"/>
      <c r="T1033" s="182"/>
      <c r="U1033" s="182">
        <v>1</v>
      </c>
      <c r="V1033" s="408" t="s">
        <v>3063</v>
      </c>
      <c r="W1033" s="357" t="s">
        <v>204</v>
      </c>
      <c r="X1033" s="156">
        <v>1440000000</v>
      </c>
      <c r="Y1033" s="156">
        <v>1440000000</v>
      </c>
      <c r="Z1033" s="418" t="s">
        <v>359</v>
      </c>
      <c r="AA1033" s="271" t="s">
        <v>3072</v>
      </c>
      <c r="AB1033" s="168" t="s">
        <v>204</v>
      </c>
      <c r="AC1033" s="156">
        <v>6490000000</v>
      </c>
      <c r="AD1033" s="156">
        <v>6490000000</v>
      </c>
      <c r="AE1033" s="320"/>
      <c r="AF1033" s="168"/>
      <c r="AG1033" s="156"/>
      <c r="AH1033" s="156"/>
      <c r="AI1033" s="410"/>
    </row>
    <row r="1034" spans="1:35" ht="19.5" customHeight="1">
      <c r="A1034" s="137"/>
      <c r="B1034" s="197">
        <f t="shared" si="18"/>
        <v>1024</v>
      </c>
      <c r="C1034" s="30" t="s">
        <v>202</v>
      </c>
      <c r="D1034" s="30" t="s">
        <v>359</v>
      </c>
      <c r="E1034" s="234" t="s">
        <v>1208</v>
      </c>
      <c r="F1034" s="235" t="s">
        <v>1225</v>
      </c>
      <c r="G1034" s="284" t="str">
        <f>IFERROR(VLOOKUP(E1034,Assign!$C$2:$J$142,8,FALSE),)</f>
        <v>문선영</v>
      </c>
      <c r="H1034" s="197" t="s">
        <v>4723</v>
      </c>
      <c r="I1034" s="324" t="s">
        <v>4724</v>
      </c>
      <c r="J1034" s="237">
        <v>6</v>
      </c>
      <c r="K1034" s="237">
        <v>1</v>
      </c>
      <c r="L1034" s="265" t="s">
        <v>215</v>
      </c>
      <c r="M1034" s="266" t="s">
        <v>294</v>
      </c>
      <c r="N1034" s="266" t="s">
        <v>2256</v>
      </c>
      <c r="O1034" s="267" t="s">
        <v>2257</v>
      </c>
      <c r="P1034" s="268" t="s">
        <v>2258</v>
      </c>
      <c r="Q1034" s="269"/>
      <c r="R1034" s="269">
        <f>110.35+110.35+110.35</f>
        <v>331.04999999999995</v>
      </c>
      <c r="S1034" s="270"/>
      <c r="T1034" s="182"/>
      <c r="U1034" s="182">
        <v>1</v>
      </c>
      <c r="V1034" s="408">
        <v>5</v>
      </c>
      <c r="W1034" s="357" t="s">
        <v>204</v>
      </c>
      <c r="X1034" s="156">
        <v>1200000000</v>
      </c>
      <c r="Y1034" s="156">
        <v>1200000000</v>
      </c>
      <c r="Z1034" s="418" t="s">
        <v>359</v>
      </c>
      <c r="AA1034" s="271" t="s">
        <v>268</v>
      </c>
      <c r="AB1034" s="168" t="s">
        <v>204</v>
      </c>
      <c r="AC1034" s="156">
        <v>936000000</v>
      </c>
      <c r="AD1034" s="156">
        <v>936000000</v>
      </c>
      <c r="AE1034" s="320"/>
      <c r="AF1034" s="168"/>
      <c r="AG1034" s="156"/>
      <c r="AH1034" s="156"/>
      <c r="AI1034" s="410"/>
    </row>
    <row r="1035" spans="1:35" ht="19.5" customHeight="1">
      <c r="A1035" s="137"/>
      <c r="B1035" s="197">
        <f t="shared" ref="B1035:B1076" si="19">ROW()-10</f>
        <v>1025</v>
      </c>
      <c r="C1035" s="30" t="s">
        <v>202</v>
      </c>
      <c r="D1035" s="30" t="s">
        <v>359</v>
      </c>
      <c r="E1035" s="234" t="s">
        <v>1208</v>
      </c>
      <c r="F1035" s="235" t="s">
        <v>1225</v>
      </c>
      <c r="G1035" s="284" t="str">
        <f>IFERROR(VLOOKUP(E1035,Assign!$C$2:$J$142,8,FALSE),)</f>
        <v>문선영</v>
      </c>
      <c r="H1035" s="197" t="s">
        <v>4723</v>
      </c>
      <c r="I1035" s="324" t="s">
        <v>4725</v>
      </c>
      <c r="J1035" s="237">
        <v>6</v>
      </c>
      <c r="K1035" s="237">
        <v>2</v>
      </c>
      <c r="L1035" s="265" t="s">
        <v>215</v>
      </c>
      <c r="M1035" s="266" t="s">
        <v>294</v>
      </c>
      <c r="N1035" s="266" t="s">
        <v>2256</v>
      </c>
      <c r="O1035" s="267" t="s">
        <v>2259</v>
      </c>
      <c r="P1035" s="268" t="s">
        <v>450</v>
      </c>
      <c r="Q1035" s="269">
        <v>202</v>
      </c>
      <c r="R1035" s="269"/>
      <c r="S1035" s="270"/>
      <c r="T1035" s="182"/>
      <c r="U1035" s="182">
        <v>1</v>
      </c>
      <c r="V1035" s="408">
        <v>5</v>
      </c>
      <c r="W1035" s="357" t="s">
        <v>204</v>
      </c>
      <c r="X1035" s="156">
        <v>1200000000</v>
      </c>
      <c r="Y1035" s="156">
        <v>1200000000</v>
      </c>
      <c r="Z1035" s="418" t="s">
        <v>359</v>
      </c>
      <c r="AA1035" s="271" t="s">
        <v>268</v>
      </c>
      <c r="AB1035" s="168" t="s">
        <v>204</v>
      </c>
      <c r="AC1035" s="156">
        <v>936000000</v>
      </c>
      <c r="AD1035" s="156">
        <v>936000000</v>
      </c>
      <c r="AE1035" s="320"/>
      <c r="AF1035" s="168"/>
      <c r="AG1035" s="156"/>
      <c r="AH1035" s="156"/>
      <c r="AI1035" s="410"/>
    </row>
    <row r="1036" spans="1:35" ht="19.5" hidden="1" customHeight="1">
      <c r="A1036" s="137"/>
      <c r="B1036" s="197">
        <f t="shared" si="19"/>
        <v>1026</v>
      </c>
      <c r="C1036" s="30" t="s">
        <v>202</v>
      </c>
      <c r="D1036" s="30" t="s">
        <v>359</v>
      </c>
      <c r="E1036" s="234" t="s">
        <v>1209</v>
      </c>
      <c r="F1036" s="235" t="s">
        <v>1236</v>
      </c>
      <c r="G1036" s="284">
        <f>IFERROR(VLOOKUP(E1036,Assign!$C$2:$J$142,8,FALSE),)</f>
        <v>0</v>
      </c>
      <c r="H1036" s="197" t="s">
        <v>4523</v>
      </c>
      <c r="I1036" s="324" t="s">
        <v>4524</v>
      </c>
      <c r="J1036" s="237">
        <v>1</v>
      </c>
      <c r="K1036" s="237">
        <v>1</v>
      </c>
      <c r="L1036" s="265" t="s">
        <v>208</v>
      </c>
      <c r="M1036" s="266" t="s">
        <v>301</v>
      </c>
      <c r="N1036" s="266" t="s">
        <v>2062</v>
      </c>
      <c r="O1036" s="267" t="s">
        <v>2063</v>
      </c>
      <c r="P1036" s="268" t="s">
        <v>466</v>
      </c>
      <c r="Q1036" s="269"/>
      <c r="R1036" s="269">
        <v>968.75</v>
      </c>
      <c r="S1036" s="270"/>
      <c r="T1036" s="182"/>
      <c r="U1036" s="182">
        <v>1</v>
      </c>
      <c r="V1036" s="408">
        <v>1</v>
      </c>
      <c r="W1036" s="357" t="s">
        <v>204</v>
      </c>
      <c r="X1036" s="156">
        <v>1926000000</v>
      </c>
      <c r="Y1036" s="156">
        <v>1926000000</v>
      </c>
      <c r="Z1036" s="418" t="s">
        <v>359</v>
      </c>
      <c r="AA1036" s="271"/>
      <c r="AB1036" s="168"/>
      <c r="AC1036" s="156"/>
      <c r="AD1036" s="156"/>
      <c r="AE1036" s="320"/>
      <c r="AF1036" s="168"/>
      <c r="AG1036" s="156"/>
      <c r="AH1036" s="156"/>
      <c r="AI1036" s="410"/>
    </row>
    <row r="1037" spans="1:35" ht="19.5" hidden="1" customHeight="1">
      <c r="A1037" s="137"/>
      <c r="B1037" s="197">
        <f t="shared" si="19"/>
        <v>1027</v>
      </c>
      <c r="C1037" s="30" t="s">
        <v>202</v>
      </c>
      <c r="D1037" s="30" t="s">
        <v>359</v>
      </c>
      <c r="E1037" s="234" t="s">
        <v>1209</v>
      </c>
      <c r="F1037" s="235" t="s">
        <v>1236</v>
      </c>
      <c r="G1037" s="284">
        <f>IFERROR(VLOOKUP(E1037,Assign!$C$2:$J$142,8,FALSE),)</f>
        <v>0</v>
      </c>
      <c r="H1037" s="197" t="s">
        <v>4523</v>
      </c>
      <c r="I1037" s="324" t="s">
        <v>4525</v>
      </c>
      <c r="J1037" s="237">
        <v>1</v>
      </c>
      <c r="K1037" s="237">
        <v>2</v>
      </c>
      <c r="L1037" s="265" t="s">
        <v>208</v>
      </c>
      <c r="M1037" s="266" t="s">
        <v>301</v>
      </c>
      <c r="N1037" s="266" t="s">
        <v>2062</v>
      </c>
      <c r="O1037" s="267" t="s">
        <v>2064</v>
      </c>
      <c r="P1037" s="268" t="s">
        <v>466</v>
      </c>
      <c r="Q1037" s="269"/>
      <c r="R1037" s="269">
        <v>101.25</v>
      </c>
      <c r="S1037" s="270"/>
      <c r="T1037" s="182"/>
      <c r="U1037" s="182">
        <v>1</v>
      </c>
      <c r="V1037" s="408">
        <v>1</v>
      </c>
      <c r="W1037" s="357" t="s">
        <v>204</v>
      </c>
      <c r="X1037" s="156">
        <v>1926000000</v>
      </c>
      <c r="Y1037" s="156">
        <v>1926000000</v>
      </c>
      <c r="Z1037" s="418" t="s">
        <v>359</v>
      </c>
      <c r="AA1037" s="271"/>
      <c r="AB1037" s="168"/>
      <c r="AC1037" s="156"/>
      <c r="AD1037" s="156"/>
      <c r="AE1037" s="320"/>
      <c r="AF1037" s="168"/>
      <c r="AG1037" s="156"/>
      <c r="AH1037" s="156"/>
      <c r="AI1037" s="410"/>
    </row>
    <row r="1038" spans="1:35" ht="19.5" hidden="1" customHeight="1">
      <c r="A1038" s="137"/>
      <c r="B1038" s="197">
        <f t="shared" si="19"/>
        <v>1028</v>
      </c>
      <c r="C1038" s="30" t="s">
        <v>202</v>
      </c>
      <c r="D1038" s="30" t="s">
        <v>359</v>
      </c>
      <c r="E1038" s="234" t="s">
        <v>1209</v>
      </c>
      <c r="F1038" s="235" t="s">
        <v>1236</v>
      </c>
      <c r="G1038" s="284">
        <f>IFERROR(VLOOKUP(E1038,Assign!$C$2:$J$142,8,FALSE),)</f>
        <v>0</v>
      </c>
      <c r="H1038" s="197" t="s">
        <v>4523</v>
      </c>
      <c r="I1038" s="324" t="s">
        <v>4526</v>
      </c>
      <c r="J1038" s="237">
        <v>1</v>
      </c>
      <c r="K1038" s="237">
        <v>3</v>
      </c>
      <c r="L1038" s="265" t="s">
        <v>208</v>
      </c>
      <c r="M1038" s="266" t="s">
        <v>301</v>
      </c>
      <c r="N1038" s="266" t="s">
        <v>2062</v>
      </c>
      <c r="O1038" s="267" t="s">
        <v>2065</v>
      </c>
      <c r="P1038" s="268" t="s">
        <v>447</v>
      </c>
      <c r="Q1038" s="269">
        <v>684</v>
      </c>
      <c r="R1038" s="269"/>
      <c r="S1038" s="270"/>
      <c r="T1038" s="182"/>
      <c r="U1038" s="182">
        <v>1</v>
      </c>
      <c r="V1038" s="408">
        <v>1</v>
      </c>
      <c r="W1038" s="357" t="s">
        <v>204</v>
      </c>
      <c r="X1038" s="156">
        <v>1926000000</v>
      </c>
      <c r="Y1038" s="156">
        <v>1926000000</v>
      </c>
      <c r="Z1038" s="418" t="s">
        <v>359</v>
      </c>
      <c r="AA1038" s="271"/>
      <c r="AB1038" s="168"/>
      <c r="AC1038" s="156"/>
      <c r="AD1038" s="156"/>
      <c r="AE1038" s="320"/>
      <c r="AF1038" s="168"/>
      <c r="AG1038" s="156"/>
      <c r="AH1038" s="156"/>
      <c r="AI1038" s="410"/>
    </row>
    <row r="1039" spans="1:35" ht="19.5" hidden="1" customHeight="1">
      <c r="A1039" s="137"/>
      <c r="B1039" s="197">
        <f t="shared" si="19"/>
        <v>1029</v>
      </c>
      <c r="C1039" s="30" t="s">
        <v>202</v>
      </c>
      <c r="D1039" s="30" t="s">
        <v>359</v>
      </c>
      <c r="E1039" s="234" t="s">
        <v>1209</v>
      </c>
      <c r="F1039" s="235" t="s">
        <v>1236</v>
      </c>
      <c r="G1039" s="284">
        <f>IFERROR(VLOOKUP(E1039,Assign!$C$2:$J$142,8,FALSE),)</f>
        <v>0</v>
      </c>
      <c r="H1039" s="197" t="s">
        <v>4523</v>
      </c>
      <c r="I1039" s="324" t="s">
        <v>4527</v>
      </c>
      <c r="J1039" s="237">
        <v>1</v>
      </c>
      <c r="K1039" s="237">
        <v>4</v>
      </c>
      <c r="L1039" s="265" t="s">
        <v>208</v>
      </c>
      <c r="M1039" s="266" t="s">
        <v>301</v>
      </c>
      <c r="N1039" s="266" t="s">
        <v>2062</v>
      </c>
      <c r="O1039" s="267" t="s">
        <v>2066</v>
      </c>
      <c r="P1039" s="268" t="s">
        <v>447</v>
      </c>
      <c r="Q1039" s="269">
        <v>2774</v>
      </c>
      <c r="R1039" s="269"/>
      <c r="S1039" s="270"/>
      <c r="T1039" s="182"/>
      <c r="U1039" s="182">
        <v>1</v>
      </c>
      <c r="V1039" s="408">
        <v>1</v>
      </c>
      <c r="W1039" s="357" t="s">
        <v>204</v>
      </c>
      <c r="X1039" s="156">
        <v>1926000000</v>
      </c>
      <c r="Y1039" s="156">
        <v>1926000000</v>
      </c>
      <c r="Z1039" s="418" t="s">
        <v>359</v>
      </c>
      <c r="AA1039" s="271"/>
      <c r="AB1039" s="168"/>
      <c r="AC1039" s="156"/>
      <c r="AD1039" s="156"/>
      <c r="AE1039" s="320"/>
      <c r="AF1039" s="168"/>
      <c r="AG1039" s="156"/>
      <c r="AH1039" s="156"/>
      <c r="AI1039" s="410"/>
    </row>
    <row r="1040" spans="1:35" ht="19.5" hidden="1" customHeight="1">
      <c r="A1040" s="137"/>
      <c r="B1040" s="197">
        <f t="shared" si="19"/>
        <v>1030</v>
      </c>
      <c r="C1040" s="30" t="s">
        <v>202</v>
      </c>
      <c r="D1040" s="30" t="s">
        <v>359</v>
      </c>
      <c r="E1040" s="234" t="s">
        <v>1209</v>
      </c>
      <c r="F1040" s="235" t="s">
        <v>1236</v>
      </c>
      <c r="G1040" s="284">
        <f>IFERROR(VLOOKUP(E1040,Assign!$C$2:$J$142,8,FALSE),)</f>
        <v>0</v>
      </c>
      <c r="H1040" s="197" t="s">
        <v>4523</v>
      </c>
      <c r="I1040" s="324" t="s">
        <v>4528</v>
      </c>
      <c r="J1040" s="237">
        <v>1</v>
      </c>
      <c r="K1040" s="237">
        <v>5</v>
      </c>
      <c r="L1040" s="265" t="s">
        <v>208</v>
      </c>
      <c r="M1040" s="266" t="s">
        <v>301</v>
      </c>
      <c r="N1040" s="266" t="s">
        <v>2062</v>
      </c>
      <c r="O1040" s="267" t="s">
        <v>2067</v>
      </c>
      <c r="P1040" s="268" t="s">
        <v>456</v>
      </c>
      <c r="Q1040" s="269">
        <v>318</v>
      </c>
      <c r="R1040" s="269"/>
      <c r="S1040" s="270"/>
      <c r="T1040" s="182"/>
      <c r="U1040" s="182">
        <f t="shared" ref="U1040:U1046" si="20">269/1000</f>
        <v>0.26900000000000002</v>
      </c>
      <c r="V1040" s="408">
        <v>1</v>
      </c>
      <c r="W1040" s="357" t="s">
        <v>204</v>
      </c>
      <c r="X1040" s="156">
        <v>1926000000</v>
      </c>
      <c r="Y1040" s="156">
        <v>1926000000</v>
      </c>
      <c r="Z1040" s="418" t="s">
        <v>359</v>
      </c>
      <c r="AA1040" s="271"/>
      <c r="AB1040" s="168"/>
      <c r="AC1040" s="156"/>
      <c r="AD1040" s="156"/>
      <c r="AE1040" s="320"/>
      <c r="AF1040" s="168"/>
      <c r="AG1040" s="156"/>
      <c r="AH1040" s="156"/>
      <c r="AI1040" s="410"/>
    </row>
    <row r="1041" spans="1:35" ht="19.5" hidden="1" customHeight="1">
      <c r="A1041" s="137"/>
      <c r="B1041" s="197">
        <f t="shared" si="19"/>
        <v>1031</v>
      </c>
      <c r="C1041" s="30" t="s">
        <v>202</v>
      </c>
      <c r="D1041" s="30" t="s">
        <v>359</v>
      </c>
      <c r="E1041" s="234" t="s">
        <v>1209</v>
      </c>
      <c r="F1041" s="235" t="s">
        <v>1236</v>
      </c>
      <c r="G1041" s="284">
        <f>IFERROR(VLOOKUP(E1041,Assign!$C$2:$J$142,8,FALSE),)</f>
        <v>0</v>
      </c>
      <c r="H1041" s="197" t="s">
        <v>4523</v>
      </c>
      <c r="I1041" s="324" t="s">
        <v>4529</v>
      </c>
      <c r="J1041" s="237">
        <v>1</v>
      </c>
      <c r="K1041" s="237">
        <v>6</v>
      </c>
      <c r="L1041" s="265" t="s">
        <v>208</v>
      </c>
      <c r="M1041" s="266" t="s">
        <v>301</v>
      </c>
      <c r="N1041" s="266" t="s">
        <v>2062</v>
      </c>
      <c r="O1041" s="267" t="s">
        <v>2068</v>
      </c>
      <c r="P1041" s="268" t="s">
        <v>456</v>
      </c>
      <c r="Q1041" s="269">
        <v>242</v>
      </c>
      <c r="R1041" s="269"/>
      <c r="S1041" s="270"/>
      <c r="T1041" s="182"/>
      <c r="U1041" s="182">
        <f t="shared" si="20"/>
        <v>0.26900000000000002</v>
      </c>
      <c r="V1041" s="408">
        <v>1</v>
      </c>
      <c r="W1041" s="357" t="s">
        <v>204</v>
      </c>
      <c r="X1041" s="156">
        <v>1926000000</v>
      </c>
      <c r="Y1041" s="156">
        <v>1926000000</v>
      </c>
      <c r="Z1041" s="418" t="s">
        <v>359</v>
      </c>
      <c r="AA1041" s="271"/>
      <c r="AB1041" s="168"/>
      <c r="AC1041" s="156"/>
      <c r="AD1041" s="156"/>
      <c r="AE1041" s="320"/>
      <c r="AF1041" s="168"/>
      <c r="AG1041" s="156"/>
      <c r="AH1041" s="156"/>
      <c r="AI1041" s="410"/>
    </row>
    <row r="1042" spans="1:35" ht="19.5" hidden="1" customHeight="1">
      <c r="A1042" s="137"/>
      <c r="B1042" s="197">
        <f t="shared" si="19"/>
        <v>1032</v>
      </c>
      <c r="C1042" s="30" t="s">
        <v>202</v>
      </c>
      <c r="D1042" s="30" t="s">
        <v>359</v>
      </c>
      <c r="E1042" s="234" t="s">
        <v>1209</v>
      </c>
      <c r="F1042" s="235" t="s">
        <v>1236</v>
      </c>
      <c r="G1042" s="284">
        <f>IFERROR(VLOOKUP(E1042,Assign!$C$2:$J$142,8,FALSE),)</f>
        <v>0</v>
      </c>
      <c r="H1042" s="197" t="s">
        <v>4523</v>
      </c>
      <c r="I1042" s="324" t="s">
        <v>4530</v>
      </c>
      <c r="J1042" s="237">
        <v>1</v>
      </c>
      <c r="K1042" s="237">
        <v>7</v>
      </c>
      <c r="L1042" s="265" t="s">
        <v>208</v>
      </c>
      <c r="M1042" s="266" t="s">
        <v>301</v>
      </c>
      <c r="N1042" s="266" t="s">
        <v>2062</v>
      </c>
      <c r="O1042" s="267" t="s">
        <v>2069</v>
      </c>
      <c r="P1042" s="268" t="s">
        <v>456</v>
      </c>
      <c r="Q1042" s="269">
        <v>63</v>
      </c>
      <c r="R1042" s="269"/>
      <c r="S1042" s="270"/>
      <c r="T1042" s="182"/>
      <c r="U1042" s="182">
        <f t="shared" si="20"/>
        <v>0.26900000000000002</v>
      </c>
      <c r="V1042" s="408">
        <v>1</v>
      </c>
      <c r="W1042" s="357" t="s">
        <v>204</v>
      </c>
      <c r="X1042" s="156">
        <v>1926000000</v>
      </c>
      <c r="Y1042" s="156">
        <v>1926000000</v>
      </c>
      <c r="Z1042" s="418" t="s">
        <v>359</v>
      </c>
      <c r="AA1042" s="271"/>
      <c r="AB1042" s="168"/>
      <c r="AC1042" s="156"/>
      <c r="AD1042" s="156"/>
      <c r="AE1042" s="320"/>
      <c r="AF1042" s="168"/>
      <c r="AG1042" s="156"/>
      <c r="AH1042" s="156"/>
      <c r="AI1042" s="410"/>
    </row>
    <row r="1043" spans="1:35" ht="19.5" hidden="1" customHeight="1">
      <c r="A1043" s="137"/>
      <c r="B1043" s="197">
        <f t="shared" si="19"/>
        <v>1033</v>
      </c>
      <c r="C1043" s="30" t="s">
        <v>202</v>
      </c>
      <c r="D1043" s="30" t="s">
        <v>359</v>
      </c>
      <c r="E1043" s="234" t="s">
        <v>1209</v>
      </c>
      <c r="F1043" s="235" t="s">
        <v>1236</v>
      </c>
      <c r="G1043" s="284">
        <f>IFERROR(VLOOKUP(E1043,Assign!$C$2:$J$142,8,FALSE),)</f>
        <v>0</v>
      </c>
      <c r="H1043" s="197" t="s">
        <v>4523</v>
      </c>
      <c r="I1043" s="324" t="s">
        <v>4531</v>
      </c>
      <c r="J1043" s="237">
        <v>1</v>
      </c>
      <c r="K1043" s="237">
        <v>8</v>
      </c>
      <c r="L1043" s="265" t="s">
        <v>208</v>
      </c>
      <c r="M1043" s="266" t="s">
        <v>301</v>
      </c>
      <c r="N1043" s="266" t="s">
        <v>2062</v>
      </c>
      <c r="O1043" s="267" t="s">
        <v>2070</v>
      </c>
      <c r="P1043" s="268" t="s">
        <v>456</v>
      </c>
      <c r="Q1043" s="269">
        <v>17</v>
      </c>
      <c r="R1043" s="269"/>
      <c r="S1043" s="270"/>
      <c r="T1043" s="182"/>
      <c r="U1043" s="182">
        <f t="shared" si="20"/>
        <v>0.26900000000000002</v>
      </c>
      <c r="V1043" s="408">
        <v>1</v>
      </c>
      <c r="W1043" s="357" t="s">
        <v>204</v>
      </c>
      <c r="X1043" s="156">
        <v>1926000000</v>
      </c>
      <c r="Y1043" s="156">
        <v>1926000000</v>
      </c>
      <c r="Z1043" s="418" t="s">
        <v>359</v>
      </c>
      <c r="AA1043" s="271"/>
      <c r="AB1043" s="168"/>
      <c r="AC1043" s="156"/>
      <c r="AD1043" s="156"/>
      <c r="AE1043" s="320"/>
      <c r="AF1043" s="168"/>
      <c r="AG1043" s="156"/>
      <c r="AH1043" s="156"/>
      <c r="AI1043" s="410"/>
    </row>
    <row r="1044" spans="1:35" ht="19.5" hidden="1" customHeight="1">
      <c r="A1044" s="137"/>
      <c r="B1044" s="197">
        <f t="shared" si="19"/>
        <v>1034</v>
      </c>
      <c r="C1044" s="30" t="s">
        <v>202</v>
      </c>
      <c r="D1044" s="30" t="s">
        <v>359</v>
      </c>
      <c r="E1044" s="234" t="s">
        <v>1209</v>
      </c>
      <c r="F1044" s="235" t="s">
        <v>1236</v>
      </c>
      <c r="G1044" s="284">
        <f>IFERROR(VLOOKUP(E1044,Assign!$C$2:$J$142,8,FALSE),)</f>
        <v>0</v>
      </c>
      <c r="H1044" s="197" t="s">
        <v>4523</v>
      </c>
      <c r="I1044" s="324" t="s">
        <v>4532</v>
      </c>
      <c r="J1044" s="237">
        <v>1</v>
      </c>
      <c r="K1044" s="237">
        <v>9</v>
      </c>
      <c r="L1044" s="265" t="s">
        <v>208</v>
      </c>
      <c r="M1044" s="266" t="s">
        <v>301</v>
      </c>
      <c r="N1044" s="266" t="s">
        <v>2062</v>
      </c>
      <c r="O1044" s="267" t="s">
        <v>2071</v>
      </c>
      <c r="P1044" s="268" t="s">
        <v>456</v>
      </c>
      <c r="Q1044" s="269">
        <v>170</v>
      </c>
      <c r="R1044" s="269"/>
      <c r="S1044" s="270"/>
      <c r="T1044" s="182"/>
      <c r="U1044" s="182">
        <f t="shared" si="20"/>
        <v>0.26900000000000002</v>
      </c>
      <c r="V1044" s="408">
        <v>1</v>
      </c>
      <c r="W1044" s="357" t="s">
        <v>204</v>
      </c>
      <c r="X1044" s="156">
        <v>1926000000</v>
      </c>
      <c r="Y1044" s="156">
        <v>1926000000</v>
      </c>
      <c r="Z1044" s="418" t="s">
        <v>359</v>
      </c>
      <c r="AA1044" s="271"/>
      <c r="AB1044" s="168"/>
      <c r="AC1044" s="156"/>
      <c r="AD1044" s="156"/>
      <c r="AE1044" s="320"/>
      <c r="AF1044" s="168"/>
      <c r="AG1044" s="156"/>
      <c r="AH1044" s="156"/>
      <c r="AI1044" s="410"/>
    </row>
    <row r="1045" spans="1:35" ht="19.5" hidden="1" customHeight="1">
      <c r="A1045" s="137"/>
      <c r="B1045" s="197">
        <f t="shared" si="19"/>
        <v>1035</v>
      </c>
      <c r="C1045" s="30" t="s">
        <v>202</v>
      </c>
      <c r="D1045" s="30" t="s">
        <v>359</v>
      </c>
      <c r="E1045" s="234" t="s">
        <v>1209</v>
      </c>
      <c r="F1045" s="235" t="s">
        <v>1236</v>
      </c>
      <c r="G1045" s="284">
        <f>IFERROR(VLOOKUP(E1045,Assign!$C$2:$J$142,8,FALSE),)</f>
        <v>0</v>
      </c>
      <c r="H1045" s="197" t="s">
        <v>4523</v>
      </c>
      <c r="I1045" s="324" t="s">
        <v>4533</v>
      </c>
      <c r="J1045" s="237">
        <v>1</v>
      </c>
      <c r="K1045" s="237">
        <v>10</v>
      </c>
      <c r="L1045" s="265" t="s">
        <v>208</v>
      </c>
      <c r="M1045" s="266" t="s">
        <v>301</v>
      </c>
      <c r="N1045" s="266" t="s">
        <v>2062</v>
      </c>
      <c r="O1045" s="267" t="s">
        <v>601</v>
      </c>
      <c r="P1045" s="268" t="s">
        <v>456</v>
      </c>
      <c r="Q1045" s="269">
        <v>194</v>
      </c>
      <c r="R1045" s="269"/>
      <c r="S1045" s="270"/>
      <c r="T1045" s="182"/>
      <c r="U1045" s="182">
        <f t="shared" si="20"/>
        <v>0.26900000000000002</v>
      </c>
      <c r="V1045" s="408">
        <v>1</v>
      </c>
      <c r="W1045" s="357" t="s">
        <v>204</v>
      </c>
      <c r="X1045" s="156">
        <v>1926000000</v>
      </c>
      <c r="Y1045" s="156">
        <v>1926000000</v>
      </c>
      <c r="Z1045" s="418" t="s">
        <v>359</v>
      </c>
      <c r="AA1045" s="271"/>
      <c r="AB1045" s="168"/>
      <c r="AC1045" s="156"/>
      <c r="AD1045" s="156"/>
      <c r="AE1045" s="320"/>
      <c r="AF1045" s="168"/>
      <c r="AG1045" s="156"/>
      <c r="AH1045" s="156"/>
      <c r="AI1045" s="410"/>
    </row>
    <row r="1046" spans="1:35" ht="19.5" hidden="1" customHeight="1">
      <c r="A1046" s="137"/>
      <c r="B1046" s="197">
        <f t="shared" si="19"/>
        <v>1036</v>
      </c>
      <c r="C1046" s="30" t="s">
        <v>202</v>
      </c>
      <c r="D1046" s="30" t="s">
        <v>359</v>
      </c>
      <c r="E1046" s="234" t="s">
        <v>1209</v>
      </c>
      <c r="F1046" s="235" t="s">
        <v>1236</v>
      </c>
      <c r="G1046" s="284">
        <f>IFERROR(VLOOKUP(E1046,Assign!$C$2:$J$142,8,FALSE),)</f>
        <v>0</v>
      </c>
      <c r="H1046" s="197" t="s">
        <v>4523</v>
      </c>
      <c r="I1046" s="324" t="s">
        <v>4534</v>
      </c>
      <c r="J1046" s="237">
        <v>1</v>
      </c>
      <c r="K1046" s="237">
        <v>11</v>
      </c>
      <c r="L1046" s="265" t="s">
        <v>208</v>
      </c>
      <c r="M1046" s="266" t="s">
        <v>301</v>
      </c>
      <c r="N1046" s="266" t="s">
        <v>2062</v>
      </c>
      <c r="O1046" s="267" t="s">
        <v>2072</v>
      </c>
      <c r="P1046" s="268" t="s">
        <v>456</v>
      </c>
      <c r="Q1046" s="269">
        <v>219</v>
      </c>
      <c r="R1046" s="269"/>
      <c r="S1046" s="270"/>
      <c r="T1046" s="182"/>
      <c r="U1046" s="182">
        <f t="shared" si="20"/>
        <v>0.26900000000000002</v>
      </c>
      <c r="V1046" s="408">
        <v>1</v>
      </c>
      <c r="W1046" s="357" t="s">
        <v>204</v>
      </c>
      <c r="X1046" s="156">
        <v>1926000000</v>
      </c>
      <c r="Y1046" s="156">
        <v>1926000000</v>
      </c>
      <c r="Z1046" s="418" t="s">
        <v>359</v>
      </c>
      <c r="AA1046" s="271"/>
      <c r="AB1046" s="168"/>
      <c r="AC1046" s="156"/>
      <c r="AD1046" s="156"/>
      <c r="AE1046" s="320"/>
      <c r="AF1046" s="168"/>
      <c r="AG1046" s="156"/>
      <c r="AH1046" s="156"/>
      <c r="AI1046" s="410"/>
    </row>
    <row r="1047" spans="1:35" ht="19.5" hidden="1" customHeight="1">
      <c r="A1047" s="137"/>
      <c r="B1047" s="197">
        <f t="shared" si="19"/>
        <v>1037</v>
      </c>
      <c r="C1047" s="30" t="s">
        <v>202</v>
      </c>
      <c r="D1047" s="30" t="s">
        <v>359</v>
      </c>
      <c r="E1047" s="234" t="s">
        <v>1209</v>
      </c>
      <c r="F1047" s="235" t="s">
        <v>1236</v>
      </c>
      <c r="G1047" s="284">
        <f>IFERROR(VLOOKUP(E1047,Assign!$C$2:$J$142,8,FALSE),)</f>
        <v>0</v>
      </c>
      <c r="H1047" s="197" t="s">
        <v>4535</v>
      </c>
      <c r="I1047" s="324" t="s">
        <v>4536</v>
      </c>
      <c r="J1047" s="237">
        <v>2</v>
      </c>
      <c r="K1047" s="237">
        <v>1</v>
      </c>
      <c r="L1047" s="265" t="s">
        <v>208</v>
      </c>
      <c r="M1047" s="266" t="s">
        <v>258</v>
      </c>
      <c r="N1047" s="266" t="s">
        <v>321</v>
      </c>
      <c r="O1047" s="267" t="s">
        <v>2073</v>
      </c>
      <c r="P1047" s="268" t="s">
        <v>2074</v>
      </c>
      <c r="Q1047" s="269">
        <v>46327.4</v>
      </c>
      <c r="R1047" s="269">
        <v>59.62</v>
      </c>
      <c r="S1047" s="270"/>
      <c r="T1047" s="182">
        <f>58.44/46327.4</f>
        <v>1.2614565030629821E-3</v>
      </c>
      <c r="U1047" s="182">
        <v>1</v>
      </c>
      <c r="V1047" s="408">
        <v>2</v>
      </c>
      <c r="W1047" s="357" t="s">
        <v>204</v>
      </c>
      <c r="X1047" s="156">
        <v>1926000000</v>
      </c>
      <c r="Y1047" s="156">
        <v>1926000000</v>
      </c>
      <c r="Z1047" s="418" t="s">
        <v>359</v>
      </c>
      <c r="AA1047" s="271">
        <v>1</v>
      </c>
      <c r="AB1047" s="168" t="s">
        <v>204</v>
      </c>
      <c r="AC1047" s="156">
        <v>96000000</v>
      </c>
      <c r="AD1047" s="156">
        <v>96000000</v>
      </c>
      <c r="AE1047" s="320"/>
      <c r="AF1047" s="168"/>
      <c r="AG1047" s="156"/>
      <c r="AH1047" s="156"/>
      <c r="AI1047" s="410"/>
    </row>
    <row r="1048" spans="1:35" ht="19.5" hidden="1" customHeight="1">
      <c r="A1048" s="137"/>
      <c r="B1048" s="197">
        <f t="shared" si="19"/>
        <v>1038</v>
      </c>
      <c r="C1048" s="30" t="s">
        <v>202</v>
      </c>
      <c r="D1048" s="30" t="s">
        <v>359</v>
      </c>
      <c r="E1048" s="234" t="s">
        <v>1210</v>
      </c>
      <c r="F1048" s="235" t="s">
        <v>1291</v>
      </c>
      <c r="G1048" s="284">
        <f>IFERROR(VLOOKUP(E1048,Assign!$C$2:$J$142,8,FALSE),)</f>
        <v>0</v>
      </c>
      <c r="H1048" s="197" t="s">
        <v>4874</v>
      </c>
      <c r="I1048" s="324" t="s">
        <v>4875</v>
      </c>
      <c r="J1048" s="237">
        <v>1</v>
      </c>
      <c r="K1048" s="237">
        <v>1</v>
      </c>
      <c r="L1048" s="265" t="s">
        <v>208</v>
      </c>
      <c r="M1048" s="266" t="s">
        <v>383</v>
      </c>
      <c r="N1048" s="266" t="s">
        <v>2397</v>
      </c>
      <c r="O1048" s="267" t="s">
        <v>2398</v>
      </c>
      <c r="P1048" s="268" t="s">
        <v>2399</v>
      </c>
      <c r="Q1048" s="269"/>
      <c r="R1048" s="269">
        <f>222.33+176.87+13.16+217.08+99.4+21.8</f>
        <v>750.64</v>
      </c>
      <c r="S1048" s="270"/>
      <c r="T1048" s="182"/>
      <c r="U1048" s="182">
        <v>1</v>
      </c>
      <c r="V1048" s="408" t="s">
        <v>229</v>
      </c>
      <c r="W1048" s="357" t="s">
        <v>204</v>
      </c>
      <c r="X1048" s="156">
        <v>828000000</v>
      </c>
      <c r="Y1048" s="156">
        <v>828000000</v>
      </c>
      <c r="Z1048" s="418" t="s">
        <v>359</v>
      </c>
      <c r="AA1048" s="271"/>
      <c r="AB1048" s="168"/>
      <c r="AC1048" s="156"/>
      <c r="AD1048" s="156"/>
      <c r="AE1048" s="320"/>
      <c r="AF1048" s="168"/>
      <c r="AG1048" s="156"/>
      <c r="AH1048" s="156"/>
      <c r="AI1048" s="410"/>
    </row>
    <row r="1049" spans="1:35" ht="19.5" hidden="1" customHeight="1">
      <c r="A1049" s="137"/>
      <c r="B1049" s="197">
        <f t="shared" si="19"/>
        <v>1039</v>
      </c>
      <c r="C1049" s="30" t="s">
        <v>202</v>
      </c>
      <c r="D1049" s="30" t="s">
        <v>359</v>
      </c>
      <c r="E1049" s="234" t="s">
        <v>1210</v>
      </c>
      <c r="F1049" s="235" t="s">
        <v>1291</v>
      </c>
      <c r="G1049" s="284">
        <f>IFERROR(VLOOKUP(E1049,Assign!$C$2:$J$142,8,FALSE),)</f>
        <v>0</v>
      </c>
      <c r="H1049" s="197" t="s">
        <v>4874</v>
      </c>
      <c r="I1049" s="324" t="s">
        <v>4876</v>
      </c>
      <c r="J1049" s="237">
        <v>1</v>
      </c>
      <c r="K1049" s="237">
        <v>2</v>
      </c>
      <c r="L1049" s="265" t="s">
        <v>208</v>
      </c>
      <c r="M1049" s="266" t="s">
        <v>383</v>
      </c>
      <c r="N1049" s="266" t="s">
        <v>2397</v>
      </c>
      <c r="O1049" s="267" t="s">
        <v>2400</v>
      </c>
      <c r="P1049" s="268" t="s">
        <v>450</v>
      </c>
      <c r="Q1049" s="269">
        <v>851</v>
      </c>
      <c r="R1049" s="269"/>
      <c r="S1049" s="270"/>
      <c r="T1049" s="182"/>
      <c r="U1049" s="182">
        <v>1</v>
      </c>
      <c r="V1049" s="408" t="s">
        <v>229</v>
      </c>
      <c r="W1049" s="357" t="s">
        <v>204</v>
      </c>
      <c r="X1049" s="156">
        <v>828000000</v>
      </c>
      <c r="Y1049" s="156">
        <v>828000000</v>
      </c>
      <c r="Z1049" s="418" t="s">
        <v>359</v>
      </c>
      <c r="AA1049" s="271"/>
      <c r="AB1049" s="168"/>
      <c r="AC1049" s="156"/>
      <c r="AD1049" s="156"/>
      <c r="AE1049" s="320"/>
      <c r="AF1049" s="168"/>
      <c r="AG1049" s="156"/>
      <c r="AH1049" s="156"/>
      <c r="AI1049" s="410"/>
    </row>
    <row r="1050" spans="1:35" ht="19.5" hidden="1" customHeight="1">
      <c r="A1050" s="137"/>
      <c r="B1050" s="197">
        <f t="shared" si="19"/>
        <v>1040</v>
      </c>
      <c r="C1050" s="30" t="s">
        <v>202</v>
      </c>
      <c r="D1050" s="30" t="s">
        <v>359</v>
      </c>
      <c r="E1050" s="234" t="s">
        <v>1210</v>
      </c>
      <c r="F1050" s="235" t="s">
        <v>1291</v>
      </c>
      <c r="G1050" s="284">
        <f>IFERROR(VLOOKUP(E1050,Assign!$C$2:$J$142,8,FALSE),)</f>
        <v>0</v>
      </c>
      <c r="H1050" s="197" t="s">
        <v>4874</v>
      </c>
      <c r="I1050" s="324" t="s">
        <v>4877</v>
      </c>
      <c r="J1050" s="237">
        <v>1</v>
      </c>
      <c r="K1050" s="237">
        <v>3</v>
      </c>
      <c r="L1050" s="265" t="s">
        <v>208</v>
      </c>
      <c r="M1050" s="266" t="s">
        <v>383</v>
      </c>
      <c r="N1050" s="266" t="s">
        <v>2397</v>
      </c>
      <c r="O1050" s="267" t="s">
        <v>2401</v>
      </c>
      <c r="P1050" s="268" t="s">
        <v>450</v>
      </c>
      <c r="Q1050" s="269">
        <v>224</v>
      </c>
      <c r="R1050" s="269"/>
      <c r="S1050" s="270"/>
      <c r="T1050" s="182"/>
      <c r="U1050" s="182">
        <v>1</v>
      </c>
      <c r="V1050" s="408" t="s">
        <v>229</v>
      </c>
      <c r="W1050" s="357" t="s">
        <v>204</v>
      </c>
      <c r="X1050" s="156">
        <v>828000000</v>
      </c>
      <c r="Y1050" s="156">
        <v>828000000</v>
      </c>
      <c r="Z1050" s="418" t="s">
        <v>359</v>
      </c>
      <c r="AA1050" s="271"/>
      <c r="AB1050" s="168"/>
      <c r="AC1050" s="156"/>
      <c r="AD1050" s="156"/>
      <c r="AE1050" s="320"/>
      <c r="AF1050" s="168"/>
      <c r="AG1050" s="156"/>
      <c r="AH1050" s="156"/>
      <c r="AI1050" s="410"/>
    </row>
    <row r="1051" spans="1:35" ht="19.5" customHeight="1">
      <c r="A1051" s="137"/>
      <c r="B1051" s="197">
        <f t="shared" si="19"/>
        <v>1041</v>
      </c>
      <c r="C1051" s="30" t="s">
        <v>202</v>
      </c>
      <c r="D1051" s="30" t="s">
        <v>359</v>
      </c>
      <c r="E1051" s="234" t="s">
        <v>1211</v>
      </c>
      <c r="F1051" s="235" t="s">
        <v>1225</v>
      </c>
      <c r="G1051" s="284" t="str">
        <f>IFERROR(VLOOKUP(E1051,Assign!$C$2:$J$142,8,FALSE),)</f>
        <v>문선영</v>
      </c>
      <c r="H1051" s="29" t="s">
        <v>3882</v>
      </c>
      <c r="I1051" s="359" t="s">
        <v>3883</v>
      </c>
      <c r="J1051" s="237">
        <v>1</v>
      </c>
      <c r="K1051" s="237">
        <v>1</v>
      </c>
      <c r="L1051" s="265" t="s">
        <v>215</v>
      </c>
      <c r="M1051" s="266" t="s">
        <v>307</v>
      </c>
      <c r="N1051" s="266" t="s">
        <v>308</v>
      </c>
      <c r="O1051" s="267" t="s">
        <v>1449</v>
      </c>
      <c r="P1051" s="268" t="s">
        <v>448</v>
      </c>
      <c r="Q1051" s="269">
        <v>85172</v>
      </c>
      <c r="R1051" s="269">
        <v>158.018</v>
      </c>
      <c r="S1051" s="270"/>
      <c r="T1051" s="182">
        <f>70.2435/85172</f>
        <v>8.2472526182313436E-4</v>
      </c>
      <c r="U1051" s="182">
        <v>1</v>
      </c>
      <c r="V1051" s="408" t="s">
        <v>233</v>
      </c>
      <c r="W1051" s="357" t="s">
        <v>204</v>
      </c>
      <c r="X1051" s="156">
        <v>663600000</v>
      </c>
      <c r="Y1051" s="156">
        <v>663600000</v>
      </c>
      <c r="Z1051" s="418" t="s">
        <v>359</v>
      </c>
      <c r="AA1051" s="271"/>
      <c r="AB1051" s="168"/>
      <c r="AC1051" s="156"/>
      <c r="AD1051" s="156"/>
      <c r="AE1051" s="320"/>
      <c r="AF1051" s="168"/>
      <c r="AG1051" s="156"/>
      <c r="AH1051" s="156"/>
      <c r="AI1051" s="410"/>
    </row>
    <row r="1052" spans="1:35" ht="19.5" customHeight="1">
      <c r="A1052" s="137"/>
      <c r="B1052" s="197">
        <f t="shared" si="19"/>
        <v>1042</v>
      </c>
      <c r="C1052" s="30" t="s">
        <v>202</v>
      </c>
      <c r="D1052" s="30" t="s">
        <v>359</v>
      </c>
      <c r="E1052" s="234" t="s">
        <v>1212</v>
      </c>
      <c r="F1052" s="235" t="s">
        <v>1292</v>
      </c>
      <c r="G1052" s="284" t="str">
        <f>IFERROR(VLOOKUP(E1052,Assign!$C$2:$J$142,8,FALSE),)</f>
        <v>문선영</v>
      </c>
      <c r="H1052" s="197" t="s">
        <v>4946</v>
      </c>
      <c r="I1052" s="324" t="s">
        <v>4947</v>
      </c>
      <c r="J1052" s="237">
        <v>1</v>
      </c>
      <c r="K1052" s="237">
        <v>1</v>
      </c>
      <c r="L1052" s="265" t="s">
        <v>215</v>
      </c>
      <c r="M1052" s="266" t="s">
        <v>232</v>
      </c>
      <c r="N1052" s="266" t="s">
        <v>427</v>
      </c>
      <c r="O1052" s="267" t="s">
        <v>2467</v>
      </c>
      <c r="P1052" s="268" t="s">
        <v>2468</v>
      </c>
      <c r="Q1052" s="269"/>
      <c r="R1052" s="269">
        <f>37.4+145+33.12+138.13+2</f>
        <v>355.65</v>
      </c>
      <c r="S1052" s="270"/>
      <c r="T1052" s="182"/>
      <c r="U1052" s="182">
        <v>1</v>
      </c>
      <c r="V1052" s="408">
        <v>1</v>
      </c>
      <c r="W1052" s="357" t="s">
        <v>204</v>
      </c>
      <c r="X1052" s="156">
        <v>612000000</v>
      </c>
      <c r="Y1052" s="156">
        <v>612000000</v>
      </c>
      <c r="Z1052" s="418" t="s">
        <v>359</v>
      </c>
      <c r="AA1052" s="271"/>
      <c r="AB1052" s="168"/>
      <c r="AC1052" s="156"/>
      <c r="AD1052" s="156"/>
      <c r="AE1052" s="320"/>
      <c r="AF1052" s="168"/>
      <c r="AG1052" s="156"/>
      <c r="AH1052" s="156"/>
      <c r="AI1052" s="410"/>
    </row>
    <row r="1053" spans="1:35" ht="19.5" customHeight="1">
      <c r="A1053" s="137"/>
      <c r="B1053" s="197">
        <f t="shared" si="19"/>
        <v>1043</v>
      </c>
      <c r="C1053" s="30" t="s">
        <v>202</v>
      </c>
      <c r="D1053" s="30" t="s">
        <v>359</v>
      </c>
      <c r="E1053" s="234" t="s">
        <v>1212</v>
      </c>
      <c r="F1053" s="235" t="s">
        <v>1292</v>
      </c>
      <c r="G1053" s="284" t="str">
        <f>IFERROR(VLOOKUP(E1053,Assign!$C$2:$J$142,8,FALSE),)</f>
        <v>문선영</v>
      </c>
      <c r="H1053" s="197" t="s">
        <v>4946</v>
      </c>
      <c r="I1053" s="324" t="s">
        <v>4948</v>
      </c>
      <c r="J1053" s="237">
        <v>1</v>
      </c>
      <c r="K1053" s="237">
        <v>2</v>
      </c>
      <c r="L1053" s="265" t="s">
        <v>215</v>
      </c>
      <c r="M1053" s="266" t="s">
        <v>232</v>
      </c>
      <c r="N1053" s="266" t="s">
        <v>427</v>
      </c>
      <c r="O1053" s="267" t="s">
        <v>2467</v>
      </c>
      <c r="P1053" s="268" t="s">
        <v>352</v>
      </c>
      <c r="Q1053" s="269">
        <v>288</v>
      </c>
      <c r="R1053" s="269"/>
      <c r="S1053" s="270"/>
      <c r="T1053" s="182"/>
      <c r="U1053" s="182">
        <v>1</v>
      </c>
      <c r="V1053" s="408">
        <v>1</v>
      </c>
      <c r="W1053" s="357" t="s">
        <v>204</v>
      </c>
      <c r="X1053" s="156">
        <v>612000000</v>
      </c>
      <c r="Y1053" s="156">
        <v>612000000</v>
      </c>
      <c r="Z1053" s="418" t="s">
        <v>359</v>
      </c>
      <c r="AA1053" s="271"/>
      <c r="AB1053" s="168"/>
      <c r="AC1053" s="156"/>
      <c r="AD1053" s="156"/>
      <c r="AE1053" s="320"/>
      <c r="AF1053" s="168"/>
      <c r="AG1053" s="156"/>
      <c r="AH1053" s="156"/>
      <c r="AI1053" s="410"/>
    </row>
    <row r="1054" spans="1:35" ht="19.5" customHeight="1">
      <c r="A1054" s="137"/>
      <c r="B1054" s="197">
        <f t="shared" si="19"/>
        <v>1044</v>
      </c>
      <c r="C1054" s="30" t="s">
        <v>202</v>
      </c>
      <c r="D1054" s="30" t="s">
        <v>359</v>
      </c>
      <c r="E1054" s="234" t="s">
        <v>1213</v>
      </c>
      <c r="F1054" s="235" t="s">
        <v>1229</v>
      </c>
      <c r="G1054" s="284" t="str">
        <f>IFERROR(VLOOKUP(E1054,Assign!$C$2:$J$142,8,FALSE),)</f>
        <v>문선영</v>
      </c>
      <c r="H1054" s="197" t="s">
        <v>4537</v>
      </c>
      <c r="I1054" s="324" t="s">
        <v>4538</v>
      </c>
      <c r="J1054" s="237">
        <v>1</v>
      </c>
      <c r="K1054" s="237">
        <v>1</v>
      </c>
      <c r="L1054" s="265" t="s">
        <v>209</v>
      </c>
      <c r="M1054" s="266" t="s">
        <v>247</v>
      </c>
      <c r="N1054" s="266" t="s">
        <v>2075</v>
      </c>
      <c r="O1054" s="267" t="s">
        <v>2076</v>
      </c>
      <c r="P1054" s="268" t="s">
        <v>2077</v>
      </c>
      <c r="Q1054" s="366" t="s">
        <v>265</v>
      </c>
      <c r="R1054" s="269">
        <v>47.61</v>
      </c>
      <c r="S1054" s="270"/>
      <c r="T1054" s="182" t="s">
        <v>265</v>
      </c>
      <c r="U1054" s="182">
        <v>1</v>
      </c>
      <c r="V1054" s="408">
        <v>1</v>
      </c>
      <c r="W1054" s="357" t="s">
        <v>204</v>
      </c>
      <c r="X1054" s="156">
        <v>220000000</v>
      </c>
      <c r="Y1054" s="156">
        <v>220000000</v>
      </c>
      <c r="Z1054" s="418" t="s">
        <v>359</v>
      </c>
      <c r="AA1054" s="271"/>
      <c r="AB1054" s="168"/>
      <c r="AC1054" s="156"/>
      <c r="AD1054" s="156"/>
      <c r="AE1054" s="320"/>
      <c r="AF1054" s="168"/>
      <c r="AG1054" s="156"/>
      <c r="AH1054" s="156"/>
      <c r="AI1054" s="410"/>
    </row>
    <row r="1055" spans="1:35" ht="19.5" hidden="1" customHeight="1">
      <c r="A1055" s="137"/>
      <c r="B1055" s="197">
        <f t="shared" si="19"/>
        <v>1045</v>
      </c>
      <c r="C1055" s="30" t="s">
        <v>202</v>
      </c>
      <c r="D1055" s="30" t="s">
        <v>359</v>
      </c>
      <c r="E1055" s="234" t="s">
        <v>7150</v>
      </c>
      <c r="F1055" s="235" t="s">
        <v>1328</v>
      </c>
      <c r="G1055" s="284">
        <f>IFERROR(VLOOKUP(E1055,Assign!$C$2:$J$142,8,FALSE),)</f>
        <v>0</v>
      </c>
      <c r="H1055" s="197" t="s">
        <v>4672</v>
      </c>
      <c r="I1055" s="324" t="s">
        <v>4673</v>
      </c>
      <c r="J1055" s="237">
        <v>1</v>
      </c>
      <c r="K1055" s="237">
        <v>1</v>
      </c>
      <c r="L1055" s="265" t="s">
        <v>224</v>
      </c>
      <c r="M1055" s="266" t="s">
        <v>428</v>
      </c>
      <c r="N1055" s="266" t="s">
        <v>2209</v>
      </c>
      <c r="O1055" s="267" t="s">
        <v>2210</v>
      </c>
      <c r="P1055" s="268" t="s">
        <v>2211</v>
      </c>
      <c r="Q1055" s="269"/>
      <c r="R1055" s="269">
        <f>455.4+455.4+296.48+44.74</f>
        <v>1252.02</v>
      </c>
      <c r="S1055" s="270"/>
      <c r="T1055" s="182"/>
      <c r="U1055" s="182">
        <v>1</v>
      </c>
      <c r="V1055" s="408">
        <v>1</v>
      </c>
      <c r="W1055" s="357" t="s">
        <v>204</v>
      </c>
      <c r="X1055" s="156">
        <v>10800000000</v>
      </c>
      <c r="Y1055" s="156">
        <v>10800000000</v>
      </c>
      <c r="Z1055" s="418" t="s">
        <v>359</v>
      </c>
      <c r="AA1055" s="271"/>
      <c r="AB1055" s="168"/>
      <c r="AC1055" s="156"/>
      <c r="AD1055" s="156"/>
      <c r="AE1055" s="320"/>
      <c r="AF1055" s="168"/>
      <c r="AG1055" s="156"/>
      <c r="AH1055" s="156"/>
      <c r="AI1055" s="410"/>
    </row>
    <row r="1056" spans="1:35" ht="19.5" hidden="1" customHeight="1">
      <c r="A1056" s="137"/>
      <c r="B1056" s="197">
        <f t="shared" si="19"/>
        <v>1046</v>
      </c>
      <c r="C1056" s="30" t="s">
        <v>202</v>
      </c>
      <c r="D1056" s="30" t="s">
        <v>359</v>
      </c>
      <c r="E1056" s="234" t="s">
        <v>7150</v>
      </c>
      <c r="F1056" s="235" t="s">
        <v>1328</v>
      </c>
      <c r="G1056" s="284">
        <f>IFERROR(VLOOKUP(E1056,Assign!$C$2:$J$142,8,FALSE),)</f>
        <v>0</v>
      </c>
      <c r="H1056" s="197" t="s">
        <v>4672</v>
      </c>
      <c r="I1056" s="324" t="s">
        <v>4674</v>
      </c>
      <c r="J1056" s="237">
        <v>1</v>
      </c>
      <c r="K1056" s="237">
        <v>2</v>
      </c>
      <c r="L1056" s="265" t="s">
        <v>224</v>
      </c>
      <c r="M1056" s="266" t="s">
        <v>428</v>
      </c>
      <c r="N1056" s="266" t="s">
        <v>2209</v>
      </c>
      <c r="O1056" s="267" t="s">
        <v>2212</v>
      </c>
      <c r="P1056" s="268" t="s">
        <v>450</v>
      </c>
      <c r="Q1056" s="269">
        <v>3615</v>
      </c>
      <c r="R1056" s="269"/>
      <c r="S1056" s="270"/>
      <c r="T1056" s="182"/>
      <c r="U1056" s="182">
        <v>1</v>
      </c>
      <c r="V1056" s="408">
        <v>1</v>
      </c>
      <c r="W1056" s="357" t="s">
        <v>204</v>
      </c>
      <c r="X1056" s="156">
        <v>10800000000</v>
      </c>
      <c r="Y1056" s="156">
        <v>10800000000</v>
      </c>
      <c r="Z1056" s="418" t="s">
        <v>359</v>
      </c>
      <c r="AA1056" s="404"/>
      <c r="AB1056" s="270"/>
      <c r="AC1056" s="156"/>
      <c r="AD1056" s="156"/>
      <c r="AE1056" s="320"/>
      <c r="AF1056" s="168"/>
      <c r="AG1056" s="156"/>
      <c r="AH1056" s="156"/>
      <c r="AI1056" s="410"/>
    </row>
    <row r="1057" spans="1:35" ht="19.5" hidden="1" customHeight="1">
      <c r="A1057" s="137"/>
      <c r="B1057" s="197">
        <f t="shared" si="19"/>
        <v>1047</v>
      </c>
      <c r="C1057" s="30" t="s">
        <v>202</v>
      </c>
      <c r="D1057" s="30" t="s">
        <v>359</v>
      </c>
      <c r="E1057" s="234" t="s">
        <v>7151</v>
      </c>
      <c r="F1057" s="235" t="s">
        <v>1337</v>
      </c>
      <c r="G1057" s="284">
        <f>IFERROR(VLOOKUP(E1057,Assign!$C$2:$J$142,8,FALSE),)</f>
        <v>0</v>
      </c>
      <c r="H1057" s="197" t="s">
        <v>5350</v>
      </c>
      <c r="I1057" s="324" t="s">
        <v>5351</v>
      </c>
      <c r="J1057" s="237">
        <v>1</v>
      </c>
      <c r="K1057" s="237">
        <v>1</v>
      </c>
      <c r="L1057" s="265" t="s">
        <v>215</v>
      </c>
      <c r="M1057" s="266" t="s">
        <v>337</v>
      </c>
      <c r="N1057" s="266" t="s">
        <v>2828</v>
      </c>
      <c r="O1057" s="267" t="s">
        <v>2829</v>
      </c>
      <c r="P1057" s="268" t="s">
        <v>2830</v>
      </c>
      <c r="Q1057" s="269"/>
      <c r="R1057" s="269">
        <f>583.62+198.36+89.82</f>
        <v>871.8</v>
      </c>
      <c r="S1057" s="270"/>
      <c r="T1057" s="182"/>
      <c r="U1057" s="182">
        <v>1</v>
      </c>
      <c r="V1057" s="408">
        <v>1</v>
      </c>
      <c r="W1057" s="357" t="s">
        <v>204</v>
      </c>
      <c r="X1057" s="156">
        <v>3360000000</v>
      </c>
      <c r="Y1057" s="156">
        <v>3360000000</v>
      </c>
      <c r="Z1057" s="418" t="s">
        <v>359</v>
      </c>
      <c r="AA1057" s="271"/>
      <c r="AB1057" s="168"/>
      <c r="AC1057" s="156"/>
      <c r="AD1057" s="156"/>
      <c r="AE1057" s="320"/>
      <c r="AF1057" s="168"/>
      <c r="AG1057" s="156"/>
      <c r="AH1057" s="156"/>
      <c r="AI1057" s="410"/>
    </row>
    <row r="1058" spans="1:35" ht="19.5" hidden="1" customHeight="1">
      <c r="A1058" s="137"/>
      <c r="B1058" s="197">
        <f t="shared" si="19"/>
        <v>1048</v>
      </c>
      <c r="C1058" s="30" t="s">
        <v>202</v>
      </c>
      <c r="D1058" s="30" t="s">
        <v>359</v>
      </c>
      <c r="E1058" s="234" t="s">
        <v>7151</v>
      </c>
      <c r="F1058" s="235" t="s">
        <v>1337</v>
      </c>
      <c r="G1058" s="284">
        <f>IFERROR(VLOOKUP(E1058,Assign!$C$2:$J$142,8,FALSE),)</f>
        <v>0</v>
      </c>
      <c r="H1058" s="197" t="s">
        <v>5350</v>
      </c>
      <c r="I1058" s="324" t="s">
        <v>5352</v>
      </c>
      <c r="J1058" s="237">
        <v>1</v>
      </c>
      <c r="K1058" s="237">
        <v>2</v>
      </c>
      <c r="L1058" s="265" t="s">
        <v>215</v>
      </c>
      <c r="M1058" s="266" t="s">
        <v>337</v>
      </c>
      <c r="N1058" s="266" t="s">
        <v>2828</v>
      </c>
      <c r="O1058" s="267" t="s">
        <v>2831</v>
      </c>
      <c r="P1058" s="268" t="s">
        <v>447</v>
      </c>
      <c r="Q1058" s="269">
        <v>1661.9</v>
      </c>
      <c r="R1058" s="269"/>
      <c r="S1058" s="270"/>
      <c r="T1058" s="182"/>
      <c r="U1058" s="182">
        <v>1</v>
      </c>
      <c r="V1058" s="408">
        <v>1</v>
      </c>
      <c r="W1058" s="357" t="s">
        <v>204</v>
      </c>
      <c r="X1058" s="156">
        <v>3360000000</v>
      </c>
      <c r="Y1058" s="156">
        <v>3360000000</v>
      </c>
      <c r="Z1058" s="418" t="s">
        <v>359</v>
      </c>
      <c r="AA1058" s="271"/>
      <c r="AB1058" s="168"/>
      <c r="AC1058" s="156"/>
      <c r="AD1058" s="156"/>
      <c r="AE1058" s="320"/>
      <c r="AF1058" s="168"/>
      <c r="AG1058" s="156"/>
      <c r="AH1058" s="156"/>
      <c r="AI1058" s="410"/>
    </row>
    <row r="1059" spans="1:35" ht="19.5" hidden="1" customHeight="1">
      <c r="A1059" s="137"/>
      <c r="B1059" s="197">
        <f t="shared" si="19"/>
        <v>1049</v>
      </c>
      <c r="C1059" s="30" t="s">
        <v>202</v>
      </c>
      <c r="D1059" s="30" t="s">
        <v>359</v>
      </c>
      <c r="E1059" s="234" t="s">
        <v>7151</v>
      </c>
      <c r="F1059" s="235" t="s">
        <v>1337</v>
      </c>
      <c r="G1059" s="284">
        <f>IFERROR(VLOOKUP(E1059,Assign!$C$2:$J$142,8,FALSE),)</f>
        <v>0</v>
      </c>
      <c r="H1059" s="197" t="s">
        <v>5353</v>
      </c>
      <c r="I1059" s="324" t="s">
        <v>5354</v>
      </c>
      <c r="J1059" s="237">
        <v>2</v>
      </c>
      <c r="K1059" s="237">
        <v>1</v>
      </c>
      <c r="L1059" s="265" t="s">
        <v>215</v>
      </c>
      <c r="M1059" s="266" t="s">
        <v>311</v>
      </c>
      <c r="N1059" s="266" t="s">
        <v>570</v>
      </c>
      <c r="O1059" s="267" t="s">
        <v>2832</v>
      </c>
      <c r="P1059" s="268" t="s">
        <v>431</v>
      </c>
      <c r="Q1059" s="269">
        <v>40978</v>
      </c>
      <c r="R1059" s="269">
        <v>107.9</v>
      </c>
      <c r="S1059" s="270"/>
      <c r="T1059" s="182">
        <f>44.1828/40978</f>
        <v>1.078207818829616E-3</v>
      </c>
      <c r="U1059" s="182">
        <v>1</v>
      </c>
      <c r="V1059" s="408">
        <v>4</v>
      </c>
      <c r="W1059" s="357" t="s">
        <v>204</v>
      </c>
      <c r="X1059" s="156">
        <v>58800000</v>
      </c>
      <c r="Y1059" s="156">
        <v>58800000</v>
      </c>
      <c r="Z1059" s="418" t="s">
        <v>359</v>
      </c>
      <c r="AA1059" s="271" t="s">
        <v>233</v>
      </c>
      <c r="AB1059" s="168" t="s">
        <v>204</v>
      </c>
      <c r="AC1059" s="156">
        <v>820500000</v>
      </c>
      <c r="AD1059" s="156">
        <v>820500000</v>
      </c>
      <c r="AE1059" s="320"/>
      <c r="AF1059" s="168"/>
      <c r="AG1059" s="156"/>
      <c r="AH1059" s="156"/>
      <c r="AI1059" s="410"/>
    </row>
    <row r="1060" spans="1:35" ht="19.5" customHeight="1">
      <c r="A1060" s="137"/>
      <c r="B1060" s="197">
        <f t="shared" si="19"/>
        <v>1050</v>
      </c>
      <c r="C1060" s="30" t="s">
        <v>202</v>
      </c>
      <c r="D1060" s="30" t="s">
        <v>359</v>
      </c>
      <c r="E1060" s="234" t="s">
        <v>7152</v>
      </c>
      <c r="F1060" s="235" t="s">
        <v>1345</v>
      </c>
      <c r="G1060" s="284" t="str">
        <f>IFERROR(VLOOKUP(E1060,Assign!$C$2:$J$142,8,FALSE),)</f>
        <v>문선영</v>
      </c>
      <c r="H1060" s="197" t="s">
        <v>4589</v>
      </c>
      <c r="I1060" s="324" t="s">
        <v>4590</v>
      </c>
      <c r="J1060" s="237">
        <v>1</v>
      </c>
      <c r="K1060" s="237">
        <v>1</v>
      </c>
      <c r="L1060" s="265" t="s">
        <v>217</v>
      </c>
      <c r="M1060" s="266" t="s">
        <v>336</v>
      </c>
      <c r="N1060" s="266" t="s">
        <v>1604</v>
      </c>
      <c r="O1060" s="267" t="s">
        <v>2127</v>
      </c>
      <c r="P1060" s="268" t="s">
        <v>2128</v>
      </c>
      <c r="Q1060" s="269">
        <f>555+91+96+60+157+5+305+219+94+103+3</f>
        <v>1688</v>
      </c>
      <c r="R1060" s="269">
        <v>116.54</v>
      </c>
      <c r="S1060" s="270"/>
      <c r="T1060" s="182">
        <f>26.85/1688</f>
        <v>1.5906398104265404E-2</v>
      </c>
      <c r="U1060" s="182">
        <v>1</v>
      </c>
      <c r="V1060" s="408">
        <v>1</v>
      </c>
      <c r="W1060" s="357" t="s">
        <v>204</v>
      </c>
      <c r="X1060" s="156">
        <v>240000000</v>
      </c>
      <c r="Y1060" s="156">
        <v>240000000</v>
      </c>
      <c r="Z1060" s="418" t="s">
        <v>359</v>
      </c>
      <c r="AA1060" s="271"/>
      <c r="AB1060" s="168"/>
      <c r="AC1060" s="156"/>
      <c r="AD1060" s="156"/>
      <c r="AE1060" s="320"/>
      <c r="AF1060" s="168"/>
      <c r="AG1060" s="156"/>
      <c r="AH1060" s="156"/>
      <c r="AI1060" s="410"/>
    </row>
    <row r="1061" spans="1:35" ht="19.5" customHeight="1" thickBot="1">
      <c r="A1061" s="137"/>
      <c r="B1061" s="197">
        <f t="shared" si="19"/>
        <v>1051</v>
      </c>
      <c r="C1061" s="30" t="s">
        <v>202</v>
      </c>
      <c r="D1061" s="30" t="s">
        <v>359</v>
      </c>
      <c r="E1061" s="234" t="s">
        <v>7152</v>
      </c>
      <c r="F1061" s="235" t="s">
        <v>1345</v>
      </c>
      <c r="G1061" s="284" t="str">
        <f>IFERROR(VLOOKUP(E1061,Assign!$C$2:$J$142,8,FALSE),)</f>
        <v>문선영</v>
      </c>
      <c r="H1061" s="197" t="s">
        <v>4591</v>
      </c>
      <c r="I1061" s="324" t="s">
        <v>4592</v>
      </c>
      <c r="J1061" s="237">
        <v>2</v>
      </c>
      <c r="K1061" s="237">
        <v>1</v>
      </c>
      <c r="L1061" s="265" t="s">
        <v>222</v>
      </c>
      <c r="M1061" s="266" t="s">
        <v>232</v>
      </c>
      <c r="N1061" s="266" t="s">
        <v>2129</v>
      </c>
      <c r="O1061" s="267" t="s">
        <v>2130</v>
      </c>
      <c r="P1061" s="268" t="s">
        <v>2131</v>
      </c>
      <c r="Q1061" s="269">
        <v>18963.099999999999</v>
      </c>
      <c r="R1061" s="269">
        <v>84.75</v>
      </c>
      <c r="S1061" s="270"/>
      <c r="T1061" s="182">
        <f>41.654/18963.1</f>
        <v>2.1965817825144625E-3</v>
      </c>
      <c r="U1061" s="182">
        <v>1</v>
      </c>
      <c r="V1061" s="408">
        <v>3</v>
      </c>
      <c r="W1061" s="357" t="s">
        <v>204</v>
      </c>
      <c r="X1061" s="156">
        <v>240000000</v>
      </c>
      <c r="Y1061" s="156">
        <v>240000000</v>
      </c>
      <c r="Z1061" s="418" t="s">
        <v>359</v>
      </c>
      <c r="AA1061" s="271" t="s">
        <v>229</v>
      </c>
      <c r="AB1061" s="168" t="s">
        <v>204</v>
      </c>
      <c r="AC1061" s="156">
        <v>106000000</v>
      </c>
      <c r="AD1061" s="156">
        <v>106000000</v>
      </c>
      <c r="AE1061" s="320"/>
      <c r="AF1061" s="168"/>
      <c r="AG1061" s="156"/>
      <c r="AH1061" s="156"/>
      <c r="AI1061" s="410"/>
    </row>
    <row r="1062" spans="1:35" ht="19.5" hidden="1" customHeight="1">
      <c r="A1062" s="137"/>
      <c r="B1062" s="197">
        <f t="shared" si="19"/>
        <v>1052</v>
      </c>
      <c r="C1062" s="30" t="s">
        <v>202</v>
      </c>
      <c r="D1062" s="30" t="s">
        <v>359</v>
      </c>
      <c r="E1062" s="234" t="s">
        <v>7153</v>
      </c>
      <c r="F1062" s="235" t="s">
        <v>1351</v>
      </c>
      <c r="G1062" s="284">
        <f>IFERROR(VLOOKUP(E1062,Assign!$C$2:$J$142,8,FALSE),)</f>
        <v>0</v>
      </c>
      <c r="H1062" s="197" t="s">
        <v>4936</v>
      </c>
      <c r="I1062" s="324" t="s">
        <v>4937</v>
      </c>
      <c r="J1062" s="237">
        <v>1</v>
      </c>
      <c r="K1062" s="237">
        <v>1</v>
      </c>
      <c r="L1062" s="265" t="s">
        <v>208</v>
      </c>
      <c r="M1062" s="266" t="s">
        <v>2188</v>
      </c>
      <c r="N1062" s="266" t="s">
        <v>2457</v>
      </c>
      <c r="O1062" s="267" t="s">
        <v>2458</v>
      </c>
      <c r="P1062" s="268" t="s">
        <v>3524</v>
      </c>
      <c r="Q1062" s="269">
        <v>211.1</v>
      </c>
      <c r="R1062" s="269">
        <v>41.145000000000003</v>
      </c>
      <c r="S1062" s="270"/>
      <c r="T1062" s="182">
        <f>26.39/211.1</f>
        <v>0.12501184272856466</v>
      </c>
      <c r="U1062" s="182">
        <v>1</v>
      </c>
      <c r="V1062" s="408" t="s">
        <v>229</v>
      </c>
      <c r="W1062" s="357" t="s">
        <v>204</v>
      </c>
      <c r="X1062" s="156">
        <v>444000000</v>
      </c>
      <c r="Y1062" s="156">
        <v>444000000</v>
      </c>
      <c r="Z1062" s="418" t="s">
        <v>359</v>
      </c>
      <c r="AA1062" s="271"/>
      <c r="AB1062" s="168"/>
      <c r="AC1062" s="156"/>
      <c r="AD1062" s="156"/>
      <c r="AE1062" s="320"/>
      <c r="AF1062" s="168"/>
      <c r="AG1062" s="156"/>
      <c r="AH1062" s="156"/>
      <c r="AI1062" s="410"/>
    </row>
    <row r="1063" spans="1:35" ht="19.5" hidden="1" customHeight="1">
      <c r="A1063" s="137"/>
      <c r="B1063" s="197">
        <f t="shared" si="19"/>
        <v>1053</v>
      </c>
      <c r="C1063" s="30" t="s">
        <v>202</v>
      </c>
      <c r="D1063" s="30" t="s">
        <v>359</v>
      </c>
      <c r="E1063" s="234" t="s">
        <v>7153</v>
      </c>
      <c r="F1063" s="235" t="s">
        <v>1351</v>
      </c>
      <c r="G1063" s="284">
        <f>IFERROR(VLOOKUP(E1063,Assign!$C$2:$J$142,8,FALSE),)</f>
        <v>0</v>
      </c>
      <c r="H1063" s="197" t="s">
        <v>4938</v>
      </c>
      <c r="I1063" s="324" t="s">
        <v>4939</v>
      </c>
      <c r="J1063" s="237">
        <v>2</v>
      </c>
      <c r="K1063" s="237">
        <v>1</v>
      </c>
      <c r="L1063" s="265" t="s">
        <v>213</v>
      </c>
      <c r="M1063" s="266" t="s">
        <v>371</v>
      </c>
      <c r="N1063" s="266" t="s">
        <v>2459</v>
      </c>
      <c r="O1063" s="267" t="s">
        <v>2460</v>
      </c>
      <c r="P1063" s="268" t="s">
        <v>2461</v>
      </c>
      <c r="Q1063" s="269">
        <v>10851</v>
      </c>
      <c r="R1063" s="269">
        <v>62.48</v>
      </c>
      <c r="S1063" s="270"/>
      <c r="T1063" s="182">
        <f>3649/1085100</f>
        <v>3.3628237028845267E-3</v>
      </c>
      <c r="U1063" s="182">
        <v>1</v>
      </c>
      <c r="V1063" s="408" t="s">
        <v>3840</v>
      </c>
      <c r="W1063" s="357" t="s">
        <v>204</v>
      </c>
      <c r="X1063" s="156">
        <v>564000000</v>
      </c>
      <c r="Y1063" s="156">
        <v>564000000</v>
      </c>
      <c r="Z1063" s="418" t="s">
        <v>359</v>
      </c>
      <c r="AA1063" s="271"/>
      <c r="AB1063" s="168"/>
      <c r="AC1063" s="156"/>
      <c r="AD1063" s="156"/>
      <c r="AE1063" s="320"/>
      <c r="AF1063" s="168"/>
      <c r="AG1063" s="156"/>
      <c r="AH1063" s="156"/>
      <c r="AI1063" s="410"/>
    </row>
    <row r="1064" spans="1:35" ht="19.5" hidden="1" customHeight="1">
      <c r="A1064" s="137"/>
      <c r="B1064" s="197">
        <f t="shared" si="19"/>
        <v>1054</v>
      </c>
      <c r="C1064" s="30" t="s">
        <v>202</v>
      </c>
      <c r="D1064" s="30" t="s">
        <v>359</v>
      </c>
      <c r="E1064" s="234" t="s">
        <v>7154</v>
      </c>
      <c r="F1064" s="235" t="s">
        <v>1355</v>
      </c>
      <c r="G1064" s="284">
        <f>IFERROR(VLOOKUP(E1064,Assign!$C$2:$J$142,8,FALSE),)</f>
        <v>0</v>
      </c>
      <c r="H1064" s="197" t="s">
        <v>4882</v>
      </c>
      <c r="I1064" s="324" t="s">
        <v>4883</v>
      </c>
      <c r="J1064" s="237">
        <v>1</v>
      </c>
      <c r="K1064" s="237">
        <v>1</v>
      </c>
      <c r="L1064" s="265" t="s">
        <v>209</v>
      </c>
      <c r="M1064" s="266" t="s">
        <v>247</v>
      </c>
      <c r="N1064" s="266" t="s">
        <v>558</v>
      </c>
      <c r="O1064" s="267" t="s">
        <v>2405</v>
      </c>
      <c r="P1064" s="268" t="s">
        <v>437</v>
      </c>
      <c r="Q1064" s="269">
        <v>6164</v>
      </c>
      <c r="R1064" s="269">
        <v>84.96</v>
      </c>
      <c r="S1064" s="270"/>
      <c r="T1064" s="182">
        <f>26.2/6164</f>
        <v>4.2504866969500319E-3</v>
      </c>
      <c r="U1064" s="182">
        <v>1</v>
      </c>
      <c r="V1064" s="408">
        <v>3</v>
      </c>
      <c r="W1064" s="357" t="s">
        <v>204</v>
      </c>
      <c r="X1064" s="156">
        <v>528000000</v>
      </c>
      <c r="Y1064" s="156">
        <v>528000000</v>
      </c>
      <c r="Z1064" s="418" t="s">
        <v>359</v>
      </c>
      <c r="AA1064" s="271" t="s">
        <v>229</v>
      </c>
      <c r="AB1064" s="168" t="s">
        <v>204</v>
      </c>
      <c r="AC1064" s="156">
        <v>374000000</v>
      </c>
      <c r="AD1064" s="156">
        <v>374000000</v>
      </c>
      <c r="AE1064" s="320"/>
      <c r="AF1064" s="168"/>
      <c r="AG1064" s="156"/>
      <c r="AH1064" s="156"/>
      <c r="AI1064" s="410"/>
    </row>
    <row r="1065" spans="1:35" ht="19.5" hidden="1" customHeight="1">
      <c r="A1065" s="137"/>
      <c r="B1065" s="197">
        <f t="shared" si="19"/>
        <v>1055</v>
      </c>
      <c r="C1065" s="30" t="s">
        <v>201</v>
      </c>
      <c r="D1065" s="30" t="s">
        <v>225</v>
      </c>
      <c r="E1065" s="234" t="s">
        <v>1214</v>
      </c>
      <c r="F1065" s="235" t="s">
        <v>1366</v>
      </c>
      <c r="G1065" s="284">
        <f>IFERROR(VLOOKUP(E1065,Assign!$C$2:$J$142,8,FALSE),)</f>
        <v>0</v>
      </c>
      <c r="H1065" s="197" t="s">
        <v>5283</v>
      </c>
      <c r="I1065" s="324" t="s">
        <v>5284</v>
      </c>
      <c r="J1065" s="237">
        <v>1</v>
      </c>
      <c r="K1065" s="237">
        <v>1</v>
      </c>
      <c r="L1065" s="265" t="s">
        <v>208</v>
      </c>
      <c r="M1065" s="266" t="s">
        <v>324</v>
      </c>
      <c r="N1065" s="266" t="s">
        <v>2770</v>
      </c>
      <c r="O1065" s="267" t="s">
        <v>2771</v>
      </c>
      <c r="P1065" s="268" t="s">
        <v>2772</v>
      </c>
      <c r="Q1065" s="269"/>
      <c r="R1065" s="269">
        <f>10550.69+8519.32+4964.51+4939.64+4939.64+4939.64</f>
        <v>38853.440000000002</v>
      </c>
      <c r="S1065" s="270"/>
      <c r="T1065" s="182"/>
      <c r="U1065" s="182">
        <v>1</v>
      </c>
      <c r="V1065" s="408" t="s">
        <v>418</v>
      </c>
      <c r="W1065" s="357" t="s">
        <v>204</v>
      </c>
      <c r="X1065" s="156">
        <v>23520000000</v>
      </c>
      <c r="Y1065" s="156">
        <v>23520000000</v>
      </c>
      <c r="Z1065" s="418" t="s">
        <v>359</v>
      </c>
      <c r="AA1065" s="271" t="s">
        <v>418</v>
      </c>
      <c r="AB1065" s="168" t="s">
        <v>204</v>
      </c>
      <c r="AC1065" s="156">
        <v>48000000000</v>
      </c>
      <c r="AD1065" s="156">
        <v>48000000000</v>
      </c>
      <c r="AE1065" s="320"/>
      <c r="AF1065" s="168"/>
      <c r="AG1065" s="156"/>
      <c r="AH1065" s="156"/>
      <c r="AI1065" s="410"/>
    </row>
    <row r="1066" spans="1:35" ht="19.5" hidden="1" customHeight="1">
      <c r="A1066" s="137"/>
      <c r="B1066" s="197">
        <f t="shared" si="19"/>
        <v>1056</v>
      </c>
      <c r="C1066" s="30" t="s">
        <v>201</v>
      </c>
      <c r="D1066" s="30" t="s">
        <v>225</v>
      </c>
      <c r="E1066" s="234" t="s">
        <v>1214</v>
      </c>
      <c r="F1066" s="235" t="s">
        <v>1366</v>
      </c>
      <c r="G1066" s="284">
        <f>IFERROR(VLOOKUP(E1066,Assign!$C$2:$J$142,8,FALSE),)</f>
        <v>0</v>
      </c>
      <c r="H1066" s="197" t="s">
        <v>5283</v>
      </c>
      <c r="I1066" s="324" t="s">
        <v>5285</v>
      </c>
      <c r="J1066" s="237">
        <v>1</v>
      </c>
      <c r="K1066" s="237">
        <v>2</v>
      </c>
      <c r="L1066" s="265" t="s">
        <v>208</v>
      </c>
      <c r="M1066" s="266" t="s">
        <v>324</v>
      </c>
      <c r="N1066" s="266" t="s">
        <v>2770</v>
      </c>
      <c r="O1066" s="267" t="s">
        <v>2771</v>
      </c>
      <c r="P1066" s="268" t="s">
        <v>446</v>
      </c>
      <c r="Q1066" s="269">
        <v>26289</v>
      </c>
      <c r="R1066" s="269"/>
      <c r="S1066" s="270"/>
      <c r="T1066" s="182"/>
      <c r="U1066" s="182">
        <v>1</v>
      </c>
      <c r="V1066" s="408" t="s">
        <v>418</v>
      </c>
      <c r="W1066" s="357" t="s">
        <v>204</v>
      </c>
      <c r="X1066" s="156">
        <v>23520000000</v>
      </c>
      <c r="Y1066" s="156">
        <v>23520000000</v>
      </c>
      <c r="Z1066" s="418" t="s">
        <v>359</v>
      </c>
      <c r="AA1066" s="271" t="s">
        <v>418</v>
      </c>
      <c r="AB1066" s="168" t="s">
        <v>204</v>
      </c>
      <c r="AC1066" s="156">
        <v>48000000000</v>
      </c>
      <c r="AD1066" s="156">
        <v>48000000000</v>
      </c>
      <c r="AE1066" s="320"/>
      <c r="AF1066" s="168"/>
      <c r="AG1066" s="156"/>
      <c r="AH1066" s="156"/>
      <c r="AI1066" s="410"/>
    </row>
    <row r="1067" spans="1:35" ht="19.5" hidden="1" customHeight="1">
      <c r="A1067" s="137"/>
      <c r="B1067" s="197">
        <f t="shared" si="19"/>
        <v>1057</v>
      </c>
      <c r="C1067" s="30" t="s">
        <v>541</v>
      </c>
      <c r="D1067" s="30" t="s">
        <v>225</v>
      </c>
      <c r="E1067" s="234" t="s">
        <v>1215</v>
      </c>
      <c r="F1067" s="235" t="s">
        <v>1293</v>
      </c>
      <c r="G1067" s="284">
        <f>IFERROR(VLOOKUP(E1067,Assign!$C$2:$J$142,8,FALSE),)</f>
        <v>0</v>
      </c>
      <c r="H1067" s="197" t="s">
        <v>5457</v>
      </c>
      <c r="I1067" s="324" t="s">
        <v>5458</v>
      </c>
      <c r="J1067" s="237">
        <v>1</v>
      </c>
      <c r="K1067" s="237">
        <v>1</v>
      </c>
      <c r="L1067" s="265" t="s">
        <v>221</v>
      </c>
      <c r="M1067" s="266" t="s">
        <v>370</v>
      </c>
      <c r="N1067" s="266" t="s">
        <v>2129</v>
      </c>
      <c r="O1067" s="267" t="s">
        <v>2933</v>
      </c>
      <c r="P1067" s="268" t="s">
        <v>3057</v>
      </c>
      <c r="Q1067" s="269"/>
      <c r="R1067" s="269">
        <f>229.83+4056.21+3695.97+3661.37+555.84</f>
        <v>12199.220000000001</v>
      </c>
      <c r="S1067" s="270"/>
      <c r="T1067" s="182"/>
      <c r="U1067" s="182">
        <v>1</v>
      </c>
      <c r="V1067" s="408">
        <v>1</v>
      </c>
      <c r="W1067" s="357" t="s">
        <v>204</v>
      </c>
      <c r="X1067" s="156">
        <v>15240000000</v>
      </c>
      <c r="Y1067" s="156">
        <v>15240000000</v>
      </c>
      <c r="Z1067" s="418" t="s">
        <v>359</v>
      </c>
      <c r="AA1067" s="271"/>
      <c r="AB1067" s="168"/>
      <c r="AC1067" s="156"/>
      <c r="AD1067" s="156"/>
      <c r="AE1067" s="320"/>
      <c r="AF1067" s="168"/>
      <c r="AG1067" s="156"/>
      <c r="AH1067" s="156"/>
      <c r="AI1067" s="410"/>
    </row>
    <row r="1068" spans="1:35" ht="19.5" hidden="1" customHeight="1">
      <c r="A1068" s="137"/>
      <c r="B1068" s="197">
        <f t="shared" si="19"/>
        <v>1058</v>
      </c>
      <c r="C1068" s="30" t="s">
        <v>541</v>
      </c>
      <c r="D1068" s="30" t="s">
        <v>225</v>
      </c>
      <c r="E1068" s="234" t="s">
        <v>1215</v>
      </c>
      <c r="F1068" s="235" t="s">
        <v>1293</v>
      </c>
      <c r="G1068" s="284">
        <f>IFERROR(VLOOKUP(E1068,Assign!$C$2:$J$142,8,FALSE),)</f>
        <v>0</v>
      </c>
      <c r="H1068" s="197" t="s">
        <v>5457</v>
      </c>
      <c r="I1068" s="324" t="s">
        <v>5459</v>
      </c>
      <c r="J1068" s="237">
        <v>1</v>
      </c>
      <c r="K1068" s="237">
        <v>2</v>
      </c>
      <c r="L1068" s="265" t="s">
        <v>221</v>
      </c>
      <c r="M1068" s="266" t="s">
        <v>370</v>
      </c>
      <c r="N1068" s="266" t="s">
        <v>2129</v>
      </c>
      <c r="O1068" s="267" t="s">
        <v>3058</v>
      </c>
      <c r="P1068" s="268" t="s">
        <v>450</v>
      </c>
      <c r="Q1068" s="269">
        <v>13223</v>
      </c>
      <c r="R1068" s="269"/>
      <c r="S1068" s="270"/>
      <c r="T1068" s="182"/>
      <c r="U1068" s="182">
        <v>1</v>
      </c>
      <c r="V1068" s="408">
        <v>1</v>
      </c>
      <c r="W1068" s="357" t="s">
        <v>204</v>
      </c>
      <c r="X1068" s="156">
        <v>15240000000</v>
      </c>
      <c r="Y1068" s="156">
        <v>15240000000</v>
      </c>
      <c r="Z1068" s="418" t="s">
        <v>359</v>
      </c>
      <c r="AA1068" s="271"/>
      <c r="AB1068" s="168"/>
      <c r="AC1068" s="156"/>
      <c r="AD1068" s="156"/>
      <c r="AE1068" s="320"/>
      <c r="AF1068" s="168"/>
      <c r="AG1068" s="156"/>
      <c r="AH1068" s="156"/>
      <c r="AI1068" s="410"/>
    </row>
    <row r="1069" spans="1:35" ht="19.5" hidden="1" customHeight="1">
      <c r="A1069" s="137"/>
      <c r="B1069" s="197">
        <f t="shared" si="19"/>
        <v>1059</v>
      </c>
      <c r="C1069" s="30" t="s">
        <v>635</v>
      </c>
      <c r="D1069" s="30" t="s">
        <v>225</v>
      </c>
      <c r="E1069" s="234" t="s">
        <v>1216</v>
      </c>
      <c r="F1069" s="235" t="s">
        <v>1243</v>
      </c>
      <c r="G1069" s="284">
        <f>IFERROR(VLOOKUP(E1069,Assign!$C$2:$J$142,8,FALSE),)</f>
        <v>0</v>
      </c>
      <c r="H1069" s="197" t="s">
        <v>5341</v>
      </c>
      <c r="I1069" s="324" t="s">
        <v>5342</v>
      </c>
      <c r="J1069" s="237">
        <v>1</v>
      </c>
      <c r="K1069" s="237">
        <v>1</v>
      </c>
      <c r="L1069" s="265" t="s">
        <v>215</v>
      </c>
      <c r="M1069" s="266" t="s">
        <v>277</v>
      </c>
      <c r="N1069" s="266" t="s">
        <v>2819</v>
      </c>
      <c r="O1069" s="267" t="s">
        <v>2820</v>
      </c>
      <c r="P1069" s="268" t="s">
        <v>3541</v>
      </c>
      <c r="Q1069" s="269">
        <f t="shared" ref="Q1069:Q1076" si="21">2066.4+396.7+890.9</f>
        <v>3354</v>
      </c>
      <c r="R1069" s="269">
        <v>1376.17</v>
      </c>
      <c r="S1069" s="270"/>
      <c r="T1069" s="182">
        <f>551.34/3354</f>
        <v>0.16438282647584973</v>
      </c>
      <c r="U1069" s="182">
        <v>1</v>
      </c>
      <c r="V1069" s="408" t="s">
        <v>229</v>
      </c>
      <c r="W1069" s="357" t="s">
        <v>204</v>
      </c>
      <c r="X1069" s="156">
        <v>22800000000</v>
      </c>
      <c r="Y1069" s="156">
        <v>22800000000</v>
      </c>
      <c r="Z1069" s="418" t="s">
        <v>359</v>
      </c>
      <c r="AA1069" s="271"/>
      <c r="AB1069" s="168"/>
      <c r="AC1069" s="156"/>
      <c r="AD1069" s="156"/>
      <c r="AE1069" s="320"/>
      <c r="AF1069" s="168"/>
      <c r="AG1069" s="156"/>
      <c r="AH1069" s="156"/>
      <c r="AI1069" s="410"/>
    </row>
    <row r="1070" spans="1:35" ht="19.5" hidden="1" customHeight="1">
      <c r="A1070" s="137"/>
      <c r="B1070" s="197">
        <f t="shared" si="19"/>
        <v>1060</v>
      </c>
      <c r="C1070" s="30" t="s">
        <v>635</v>
      </c>
      <c r="D1070" s="30" t="s">
        <v>225</v>
      </c>
      <c r="E1070" s="234" t="s">
        <v>1216</v>
      </c>
      <c r="F1070" s="235" t="s">
        <v>1243</v>
      </c>
      <c r="G1070" s="284">
        <f>IFERROR(VLOOKUP(E1070,Assign!$C$2:$J$142,8,FALSE),)</f>
        <v>0</v>
      </c>
      <c r="H1070" s="197" t="s">
        <v>5341</v>
      </c>
      <c r="I1070" s="324" t="s">
        <v>5343</v>
      </c>
      <c r="J1070" s="237">
        <v>1</v>
      </c>
      <c r="K1070" s="237">
        <v>2</v>
      </c>
      <c r="L1070" s="265" t="s">
        <v>215</v>
      </c>
      <c r="M1070" s="266" t="s">
        <v>277</v>
      </c>
      <c r="N1070" s="266" t="s">
        <v>2819</v>
      </c>
      <c r="O1070" s="267" t="s">
        <v>2821</v>
      </c>
      <c r="P1070" s="268" t="s">
        <v>3541</v>
      </c>
      <c r="Q1070" s="269">
        <f t="shared" si="21"/>
        <v>3354</v>
      </c>
      <c r="R1070" s="269">
        <v>1751.61</v>
      </c>
      <c r="S1070" s="270"/>
      <c r="T1070" s="182">
        <f>701.76/3354</f>
        <v>0.20923076923076922</v>
      </c>
      <c r="U1070" s="182">
        <v>1</v>
      </c>
      <c r="V1070" s="408" t="s">
        <v>229</v>
      </c>
      <c r="W1070" s="357" t="s">
        <v>204</v>
      </c>
      <c r="X1070" s="156">
        <v>22800000000</v>
      </c>
      <c r="Y1070" s="156">
        <v>22800000000</v>
      </c>
      <c r="Z1070" s="418" t="s">
        <v>359</v>
      </c>
      <c r="AA1070" s="271"/>
      <c r="AB1070" s="168"/>
      <c r="AC1070" s="156"/>
      <c r="AD1070" s="156"/>
      <c r="AE1070" s="320"/>
      <c r="AF1070" s="168"/>
      <c r="AG1070" s="156"/>
      <c r="AH1070" s="156"/>
      <c r="AI1070" s="410"/>
    </row>
    <row r="1071" spans="1:35" ht="19.5" hidden="1" customHeight="1">
      <c r="A1071" s="137"/>
      <c r="B1071" s="197">
        <f t="shared" si="19"/>
        <v>1061</v>
      </c>
      <c r="C1071" s="30" t="s">
        <v>635</v>
      </c>
      <c r="D1071" s="30" t="s">
        <v>225</v>
      </c>
      <c r="E1071" s="234" t="s">
        <v>1216</v>
      </c>
      <c r="F1071" s="235" t="s">
        <v>1243</v>
      </c>
      <c r="G1071" s="284">
        <f>IFERROR(VLOOKUP(E1071,Assign!$C$2:$J$142,8,FALSE),)</f>
        <v>0</v>
      </c>
      <c r="H1071" s="197" t="s">
        <v>5341</v>
      </c>
      <c r="I1071" s="324" t="s">
        <v>5344</v>
      </c>
      <c r="J1071" s="237">
        <v>1</v>
      </c>
      <c r="K1071" s="237">
        <v>3</v>
      </c>
      <c r="L1071" s="265" t="s">
        <v>215</v>
      </c>
      <c r="M1071" s="266" t="s">
        <v>277</v>
      </c>
      <c r="N1071" s="266" t="s">
        <v>2819</v>
      </c>
      <c r="O1071" s="267" t="s">
        <v>2822</v>
      </c>
      <c r="P1071" s="268" t="s">
        <v>3541</v>
      </c>
      <c r="Q1071" s="269">
        <f t="shared" si="21"/>
        <v>3354</v>
      </c>
      <c r="R1071" s="269">
        <v>1837.36</v>
      </c>
      <c r="S1071" s="270"/>
      <c r="T1071" s="182">
        <f>736.11/3354</f>
        <v>0.21947227191413238</v>
      </c>
      <c r="U1071" s="182">
        <v>1</v>
      </c>
      <c r="V1071" s="408" t="s">
        <v>229</v>
      </c>
      <c r="W1071" s="357" t="s">
        <v>204</v>
      </c>
      <c r="X1071" s="156">
        <v>22800000000</v>
      </c>
      <c r="Y1071" s="156">
        <v>22800000000</v>
      </c>
      <c r="Z1071" s="418" t="s">
        <v>359</v>
      </c>
      <c r="AA1071" s="271"/>
      <c r="AB1071" s="168"/>
      <c r="AC1071" s="156"/>
      <c r="AD1071" s="156"/>
      <c r="AE1071" s="320"/>
      <c r="AF1071" s="168"/>
      <c r="AG1071" s="156"/>
      <c r="AH1071" s="156"/>
      <c r="AI1071" s="410"/>
    </row>
    <row r="1072" spans="1:35" ht="19.5" hidden="1" customHeight="1">
      <c r="A1072" s="137"/>
      <c r="B1072" s="197">
        <f t="shared" si="19"/>
        <v>1062</v>
      </c>
      <c r="C1072" s="30" t="s">
        <v>635</v>
      </c>
      <c r="D1072" s="30" t="s">
        <v>225</v>
      </c>
      <c r="E1072" s="234" t="s">
        <v>1216</v>
      </c>
      <c r="F1072" s="235" t="s">
        <v>1243</v>
      </c>
      <c r="G1072" s="284">
        <f>IFERROR(VLOOKUP(E1072,Assign!$C$2:$J$142,8,FALSE),)</f>
        <v>0</v>
      </c>
      <c r="H1072" s="197" t="s">
        <v>5341</v>
      </c>
      <c r="I1072" s="324" t="s">
        <v>5345</v>
      </c>
      <c r="J1072" s="237">
        <v>1</v>
      </c>
      <c r="K1072" s="237">
        <v>4</v>
      </c>
      <c r="L1072" s="265" t="s">
        <v>215</v>
      </c>
      <c r="M1072" s="266" t="s">
        <v>277</v>
      </c>
      <c r="N1072" s="266" t="s">
        <v>2819</v>
      </c>
      <c r="O1072" s="267" t="s">
        <v>2823</v>
      </c>
      <c r="P1072" s="268" t="s">
        <v>3541</v>
      </c>
      <c r="Q1072" s="269">
        <f t="shared" si="21"/>
        <v>3354</v>
      </c>
      <c r="R1072" s="269">
        <v>973.55</v>
      </c>
      <c r="S1072" s="270"/>
      <c r="T1072" s="182">
        <f>390.04/3354</f>
        <v>0.11629099582587955</v>
      </c>
      <c r="U1072" s="182">
        <v>1</v>
      </c>
      <c r="V1072" s="408" t="s">
        <v>229</v>
      </c>
      <c r="W1072" s="357" t="s">
        <v>204</v>
      </c>
      <c r="X1072" s="156">
        <v>22800000000</v>
      </c>
      <c r="Y1072" s="156">
        <v>22800000000</v>
      </c>
      <c r="Z1072" s="418" t="s">
        <v>359</v>
      </c>
      <c r="AA1072" s="271"/>
      <c r="AB1072" s="168"/>
      <c r="AC1072" s="156"/>
      <c r="AD1072" s="156"/>
      <c r="AE1072" s="320"/>
      <c r="AF1072" s="168"/>
      <c r="AG1072" s="156"/>
      <c r="AH1072" s="156"/>
      <c r="AI1072" s="410"/>
    </row>
    <row r="1073" spans="1:35" ht="19.5" hidden="1" customHeight="1">
      <c r="A1073" s="137"/>
      <c r="B1073" s="197">
        <f t="shared" si="19"/>
        <v>1063</v>
      </c>
      <c r="C1073" s="30" t="s">
        <v>635</v>
      </c>
      <c r="D1073" s="30" t="s">
        <v>225</v>
      </c>
      <c r="E1073" s="234" t="s">
        <v>1216</v>
      </c>
      <c r="F1073" s="235" t="s">
        <v>1243</v>
      </c>
      <c r="G1073" s="284">
        <f>IFERROR(VLOOKUP(E1073,Assign!$C$2:$J$142,8,FALSE),)</f>
        <v>0</v>
      </c>
      <c r="H1073" s="197" t="s">
        <v>5341</v>
      </c>
      <c r="I1073" s="324" t="s">
        <v>5346</v>
      </c>
      <c r="J1073" s="237">
        <v>1</v>
      </c>
      <c r="K1073" s="237">
        <v>5</v>
      </c>
      <c r="L1073" s="265" t="s">
        <v>215</v>
      </c>
      <c r="M1073" s="266" t="s">
        <v>277</v>
      </c>
      <c r="N1073" s="266" t="s">
        <v>2819</v>
      </c>
      <c r="O1073" s="267" t="s">
        <v>2824</v>
      </c>
      <c r="P1073" s="268" t="s">
        <v>3541</v>
      </c>
      <c r="Q1073" s="269">
        <f t="shared" si="21"/>
        <v>3354</v>
      </c>
      <c r="R1073" s="269">
        <v>363.6</v>
      </c>
      <c r="S1073" s="270"/>
      <c r="T1073" s="182">
        <f>145.67/3354</f>
        <v>4.3431723315444239E-2</v>
      </c>
      <c r="U1073" s="182">
        <v>1</v>
      </c>
      <c r="V1073" s="408" t="s">
        <v>229</v>
      </c>
      <c r="W1073" s="357" t="s">
        <v>204</v>
      </c>
      <c r="X1073" s="156">
        <v>22800000000</v>
      </c>
      <c r="Y1073" s="156">
        <v>22800000000</v>
      </c>
      <c r="Z1073" s="418" t="s">
        <v>359</v>
      </c>
      <c r="AA1073" s="271"/>
      <c r="AB1073" s="168"/>
      <c r="AC1073" s="156"/>
      <c r="AD1073" s="156"/>
      <c r="AE1073" s="320"/>
      <c r="AF1073" s="168"/>
      <c r="AG1073" s="156"/>
      <c r="AH1073" s="156"/>
      <c r="AI1073" s="410"/>
    </row>
    <row r="1074" spans="1:35" ht="19.5" hidden="1" customHeight="1">
      <c r="A1074" s="137"/>
      <c r="B1074" s="197">
        <f t="shared" si="19"/>
        <v>1064</v>
      </c>
      <c r="C1074" s="30" t="s">
        <v>635</v>
      </c>
      <c r="D1074" s="30" t="s">
        <v>225</v>
      </c>
      <c r="E1074" s="234" t="s">
        <v>1216</v>
      </c>
      <c r="F1074" s="235" t="s">
        <v>1243</v>
      </c>
      <c r="G1074" s="284">
        <f>IFERROR(VLOOKUP(E1074,Assign!$C$2:$J$142,8,FALSE),)</f>
        <v>0</v>
      </c>
      <c r="H1074" s="197" t="s">
        <v>5341</v>
      </c>
      <c r="I1074" s="324" t="s">
        <v>5347</v>
      </c>
      <c r="J1074" s="237">
        <v>1</v>
      </c>
      <c r="K1074" s="237">
        <v>6</v>
      </c>
      <c r="L1074" s="265" t="s">
        <v>215</v>
      </c>
      <c r="M1074" s="266" t="s">
        <v>277</v>
      </c>
      <c r="N1074" s="266" t="s">
        <v>2819</v>
      </c>
      <c r="O1074" s="267" t="s">
        <v>2825</v>
      </c>
      <c r="P1074" s="268" t="s">
        <v>3541</v>
      </c>
      <c r="Q1074" s="269">
        <f t="shared" si="21"/>
        <v>3354</v>
      </c>
      <c r="R1074" s="269">
        <v>366.14</v>
      </c>
      <c r="S1074" s="270"/>
      <c r="T1074" s="182">
        <f>146.68/3354</f>
        <v>4.3732856290995825E-2</v>
      </c>
      <c r="U1074" s="182">
        <v>1</v>
      </c>
      <c r="V1074" s="408" t="s">
        <v>229</v>
      </c>
      <c r="W1074" s="357" t="s">
        <v>204</v>
      </c>
      <c r="X1074" s="156">
        <v>22800000000</v>
      </c>
      <c r="Y1074" s="156">
        <v>22800000000</v>
      </c>
      <c r="Z1074" s="418" t="s">
        <v>359</v>
      </c>
      <c r="AA1074" s="271"/>
      <c r="AB1074" s="168"/>
      <c r="AC1074" s="156"/>
      <c r="AD1074" s="156"/>
      <c r="AE1074" s="320"/>
      <c r="AF1074" s="168"/>
      <c r="AG1074" s="156"/>
      <c r="AH1074" s="156"/>
      <c r="AI1074" s="410"/>
    </row>
    <row r="1075" spans="1:35" ht="19.5" hidden="1" customHeight="1">
      <c r="A1075" s="137"/>
      <c r="B1075" s="197">
        <f t="shared" si="19"/>
        <v>1065</v>
      </c>
      <c r="C1075" s="30" t="s">
        <v>635</v>
      </c>
      <c r="D1075" s="30" t="s">
        <v>225</v>
      </c>
      <c r="E1075" s="234" t="s">
        <v>1216</v>
      </c>
      <c r="F1075" s="235" t="s">
        <v>1243</v>
      </c>
      <c r="G1075" s="284">
        <f>IFERROR(VLOOKUP(E1075,Assign!$C$2:$J$142,8,FALSE),)</f>
        <v>0</v>
      </c>
      <c r="H1075" s="197" t="s">
        <v>5341</v>
      </c>
      <c r="I1075" s="324" t="s">
        <v>5348</v>
      </c>
      <c r="J1075" s="237">
        <v>1</v>
      </c>
      <c r="K1075" s="237">
        <v>7</v>
      </c>
      <c r="L1075" s="265" t="s">
        <v>215</v>
      </c>
      <c r="M1075" s="266" t="s">
        <v>277</v>
      </c>
      <c r="N1075" s="266" t="s">
        <v>2819</v>
      </c>
      <c r="O1075" s="267" t="s">
        <v>2826</v>
      </c>
      <c r="P1075" s="268" t="s">
        <v>3541</v>
      </c>
      <c r="Q1075" s="269">
        <f t="shared" si="21"/>
        <v>3354</v>
      </c>
      <c r="R1075" s="269">
        <v>729.73</v>
      </c>
      <c r="S1075" s="270"/>
      <c r="T1075" s="182">
        <f>292.36/3354</f>
        <v>8.7167561121049494E-2</v>
      </c>
      <c r="U1075" s="182">
        <v>1</v>
      </c>
      <c r="V1075" s="408" t="s">
        <v>229</v>
      </c>
      <c r="W1075" s="357" t="s">
        <v>204</v>
      </c>
      <c r="X1075" s="156">
        <v>22800000000</v>
      </c>
      <c r="Y1075" s="156">
        <v>22800000000</v>
      </c>
      <c r="Z1075" s="418" t="s">
        <v>359</v>
      </c>
      <c r="AA1075" s="271"/>
      <c r="AB1075" s="168"/>
      <c r="AC1075" s="156"/>
      <c r="AD1075" s="156"/>
      <c r="AE1075" s="320"/>
      <c r="AF1075" s="168"/>
      <c r="AG1075" s="156"/>
      <c r="AH1075" s="156"/>
      <c r="AI1075" s="410"/>
    </row>
    <row r="1076" spans="1:35" ht="19.5" hidden="1" customHeight="1" thickBot="1">
      <c r="A1076" s="137"/>
      <c r="B1076" s="197">
        <f t="shared" si="19"/>
        <v>1066</v>
      </c>
      <c r="C1076" s="30" t="s">
        <v>635</v>
      </c>
      <c r="D1076" s="30" t="s">
        <v>225</v>
      </c>
      <c r="E1076" s="234" t="s">
        <v>1216</v>
      </c>
      <c r="F1076" s="235" t="s">
        <v>1243</v>
      </c>
      <c r="G1076" s="284">
        <f>IFERROR(VLOOKUP(E1076,Assign!$C$2:$J$142,8,FALSE),)</f>
        <v>0</v>
      </c>
      <c r="H1076" s="197" t="s">
        <v>5341</v>
      </c>
      <c r="I1076" s="324" t="s">
        <v>5349</v>
      </c>
      <c r="J1076" s="237">
        <v>1</v>
      </c>
      <c r="K1076" s="237">
        <v>8</v>
      </c>
      <c r="L1076" s="265" t="s">
        <v>215</v>
      </c>
      <c r="M1076" s="266" t="s">
        <v>277</v>
      </c>
      <c r="N1076" s="266" t="s">
        <v>2819</v>
      </c>
      <c r="O1076" s="267" t="s">
        <v>2827</v>
      </c>
      <c r="P1076" s="268" t="s">
        <v>3541</v>
      </c>
      <c r="Q1076" s="269">
        <f t="shared" si="21"/>
        <v>3354</v>
      </c>
      <c r="R1076" s="269">
        <v>973.56</v>
      </c>
      <c r="S1076" s="270"/>
      <c r="T1076" s="182">
        <f>390.04/3354</f>
        <v>0.11629099582587955</v>
      </c>
      <c r="U1076" s="182">
        <v>1</v>
      </c>
      <c r="V1076" s="408" t="s">
        <v>229</v>
      </c>
      <c r="W1076" s="357" t="s">
        <v>204</v>
      </c>
      <c r="X1076" s="156">
        <v>22800000000</v>
      </c>
      <c r="Y1076" s="156">
        <v>22800000000</v>
      </c>
      <c r="Z1076" s="418" t="s">
        <v>359</v>
      </c>
      <c r="AA1076" s="271"/>
      <c r="AB1076" s="168"/>
      <c r="AC1076" s="156"/>
      <c r="AD1076" s="156"/>
      <c r="AE1076" s="320"/>
      <c r="AF1076" s="168"/>
      <c r="AG1076" s="156"/>
      <c r="AH1076" s="156"/>
      <c r="AI1076" s="410"/>
    </row>
    <row r="1077" spans="1:35" s="174" customFormat="1" ht="19.5" customHeight="1" thickBot="1">
      <c r="A1077" s="109"/>
      <c r="B1077" s="110"/>
      <c r="C1077" s="111"/>
      <c r="D1077" s="111"/>
      <c r="E1077" s="111"/>
      <c r="F1077" s="111"/>
      <c r="G1077" s="111"/>
      <c r="H1077" s="112"/>
      <c r="I1077" s="112"/>
      <c r="J1077" s="111"/>
      <c r="K1077" s="111"/>
      <c r="L1077" s="111"/>
      <c r="M1077" s="111"/>
      <c r="N1077" s="111"/>
      <c r="O1077" s="111"/>
      <c r="P1077" s="111"/>
      <c r="Q1077" s="321"/>
      <c r="R1077" s="321"/>
      <c r="S1077" s="111"/>
      <c r="T1077" s="111"/>
      <c r="U1077" s="113"/>
      <c r="V1077" s="111"/>
      <c r="W1077" s="111"/>
      <c r="X1077" s="111"/>
      <c r="Y1077" s="111"/>
      <c r="Z1077" s="111"/>
      <c r="AA1077" s="215"/>
      <c r="AB1077" s="215"/>
      <c r="AC1077" s="111"/>
      <c r="AD1077" s="114"/>
      <c r="AE1077" s="218"/>
      <c r="AF1077" s="218"/>
      <c r="AG1077" s="115"/>
      <c r="AH1077" s="115"/>
      <c r="AI1077" s="116"/>
    </row>
  </sheetData>
  <autoFilter ref="A10:AI1076">
    <filterColumn colId="6">
      <filters>
        <filter val="문선영"/>
      </filters>
    </filterColumn>
  </autoFilter>
  <phoneticPr fontId="5" type="noConversion"/>
  <pageMargins left="0.7" right="0.7" top="0.75" bottom="0.75" header="0.3" footer="0.3"/>
  <pageSetup paperSize="9" orientation="portrait" horizont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 filterMode="1">
    <pageSetUpPr autoPageBreaks="0"/>
  </sheetPr>
  <dimension ref="A1:V971"/>
  <sheetViews>
    <sheetView showGridLines="0" topLeftCell="A536" zoomScale="75" zoomScaleNormal="75" workbookViewId="0">
      <selection activeCell="G145" sqref="G145:G146"/>
    </sheetView>
  </sheetViews>
  <sheetFormatPr defaultColWidth="9" defaultRowHeight="17"/>
  <cols>
    <col min="1" max="1" width="1.58203125" customWidth="1"/>
    <col min="2" max="4" width="7.58203125" customWidth="1"/>
    <col min="5" max="5" width="12.08203125" customWidth="1"/>
    <col min="6" max="7" width="25.58203125" customWidth="1"/>
    <col min="8" max="10" width="10.6640625" customWidth="1"/>
    <col min="11" max="11" width="14.6640625" customWidth="1"/>
    <col min="12" max="12" width="15.58203125" customWidth="1"/>
    <col min="13" max="13" width="9.4140625" customWidth="1"/>
    <col min="14" max="15" width="18.08203125" customWidth="1"/>
    <col min="16" max="16" width="18.08203125" style="102" customWidth="1"/>
    <col min="17" max="17" width="17.1640625" customWidth="1"/>
    <col min="18" max="18" width="10.5" customWidth="1"/>
    <col min="19" max="19" width="17.1640625" customWidth="1"/>
    <col min="20" max="20" width="17.1640625" style="178" customWidth="1"/>
    <col min="21" max="21" width="17.1640625" style="181" customWidth="1"/>
    <col min="22" max="22" width="40.6640625" customWidth="1"/>
  </cols>
  <sheetData>
    <row r="1" spans="1:22" s="64" customFormat="1" ht="15" customHeight="1">
      <c r="A1" s="63"/>
      <c r="F1" s="65"/>
      <c r="G1" s="65"/>
      <c r="P1" s="65"/>
      <c r="Q1" s="65"/>
      <c r="R1" s="65"/>
      <c r="S1" s="65"/>
      <c r="T1" s="286"/>
      <c r="U1" s="289"/>
    </row>
    <row r="2" spans="1:22" s="64" customFormat="1" ht="28.25" customHeight="1">
      <c r="A2" s="5" t="str">
        <f>Description!A2</f>
        <v>SHB 2025-8 Program</v>
      </c>
      <c r="F2" s="65"/>
      <c r="G2" s="65"/>
      <c r="N2" s="66"/>
      <c r="O2" s="66"/>
      <c r="P2" s="328"/>
      <c r="Q2" s="65"/>
      <c r="R2" s="65"/>
      <c r="S2" s="65"/>
      <c r="T2" s="286"/>
      <c r="U2" s="289"/>
    </row>
    <row r="3" spans="1:22" s="64" customFormat="1" ht="8" customHeight="1">
      <c r="F3" s="65"/>
      <c r="G3" s="65"/>
      <c r="N3" s="66"/>
      <c r="O3" s="66"/>
      <c r="P3" s="328"/>
      <c r="Q3" s="65"/>
      <c r="R3" s="65"/>
      <c r="S3" s="65"/>
      <c r="T3" s="286"/>
      <c r="U3" s="289"/>
    </row>
    <row r="4" spans="1:22" s="2" customFormat="1" ht="25.25" customHeight="1">
      <c r="A4" s="8" t="s">
        <v>4</v>
      </c>
      <c r="B4" s="9"/>
      <c r="C4" s="9"/>
      <c r="D4" s="9"/>
      <c r="E4" s="9"/>
      <c r="F4" s="64"/>
      <c r="G4" s="64"/>
      <c r="H4" s="64"/>
      <c r="I4" s="64"/>
      <c r="J4" s="64"/>
      <c r="K4" s="64"/>
      <c r="L4" s="64"/>
      <c r="M4" s="64"/>
      <c r="N4" s="64"/>
      <c r="O4" s="64"/>
      <c r="P4" s="65"/>
      <c r="Q4" s="64"/>
      <c r="R4" s="64"/>
      <c r="S4" s="64"/>
      <c r="T4" s="67"/>
      <c r="U4" s="205"/>
      <c r="V4" s="64"/>
    </row>
    <row r="5" spans="1:22" s="64" customFormat="1" ht="5" customHeight="1">
      <c r="A5" s="73"/>
      <c r="B5" s="74"/>
      <c r="C5" s="74"/>
      <c r="D5" s="74"/>
      <c r="E5" s="74"/>
      <c r="F5" s="75"/>
      <c r="G5" s="75"/>
      <c r="P5" s="65"/>
    </row>
    <row r="6" spans="1:22" s="64" customFormat="1" ht="18" customHeight="1">
      <c r="A6" s="73" t="s">
        <v>136</v>
      </c>
      <c r="B6" s="74"/>
      <c r="C6" s="74"/>
      <c r="D6" s="74"/>
      <c r="E6" s="74"/>
      <c r="F6" s="75"/>
      <c r="G6" s="75"/>
      <c r="K6" s="77"/>
      <c r="L6" s="77"/>
      <c r="M6" s="77"/>
      <c r="N6" s="77"/>
      <c r="O6" s="77"/>
      <c r="P6" s="326"/>
      <c r="Q6" s="77"/>
      <c r="R6" s="77"/>
      <c r="S6" s="77"/>
      <c r="T6" s="332"/>
      <c r="U6" s="333"/>
      <c r="V6" s="68" t="s">
        <v>50</v>
      </c>
    </row>
    <row r="7" spans="1:22" s="64" customFormat="1" ht="8" customHeight="1" thickBot="1">
      <c r="F7" s="65"/>
      <c r="G7" s="65"/>
      <c r="P7" s="65"/>
      <c r="Q7" s="65"/>
      <c r="R7" s="65"/>
      <c r="S7" s="65"/>
      <c r="T7" s="286"/>
      <c r="U7" s="327"/>
    </row>
    <row r="8" spans="1:22" s="78" customFormat="1" ht="18" customHeight="1">
      <c r="B8" s="81" t="s">
        <v>116</v>
      </c>
      <c r="C8" s="79"/>
      <c r="D8" s="79"/>
      <c r="E8" s="79"/>
      <c r="F8" s="80"/>
      <c r="G8" s="79"/>
      <c r="H8" s="79" t="s">
        <v>117</v>
      </c>
      <c r="I8" s="83"/>
      <c r="J8" s="84"/>
      <c r="K8" s="84"/>
      <c r="L8" s="84"/>
      <c r="M8" s="84"/>
      <c r="N8" s="285"/>
      <c r="O8" s="84"/>
      <c r="P8" s="350"/>
      <c r="Q8" s="84"/>
      <c r="R8" s="84"/>
      <c r="S8" s="84"/>
      <c r="T8" s="87"/>
      <c r="U8" s="207"/>
      <c r="V8" s="118" t="s">
        <v>137</v>
      </c>
    </row>
    <row r="9" spans="1:22" s="90" customFormat="1" ht="18" customHeight="1">
      <c r="B9" s="91" t="str">
        <f t="shared" ref="B9:D9" si="0">"Field "&amp;COLUMN()-1</f>
        <v>Field 1</v>
      </c>
      <c r="C9" s="92" t="str">
        <f t="shared" si="0"/>
        <v>Field 2</v>
      </c>
      <c r="D9" s="92" t="str">
        <f t="shared" si="0"/>
        <v>Field 3</v>
      </c>
      <c r="E9" s="161" t="str">
        <f>"Field "&amp;(COLUMN()-COUNTIF($B$9:D9,"")-1)</f>
        <v>Field 4</v>
      </c>
      <c r="F9" s="96" t="str">
        <f>"Field "&amp;(COLUMN()-COUNTIF($B$9:E9,"")-1)</f>
        <v>Field 5</v>
      </c>
      <c r="G9" s="478"/>
      <c r="H9" s="93" t="str">
        <f>"Field "&amp;(COLUMN()-COUNTIF($B$9:F9,"")-1)</f>
        <v>Field 7</v>
      </c>
      <c r="I9" s="161" t="str">
        <f>"Field "&amp;(COLUMN()-COUNTIF($B$9:H9,"")-1)</f>
        <v>Field 7</v>
      </c>
      <c r="J9" s="92" t="str">
        <f>"Field "&amp;(COLUMN()-COUNTIF($B$9:I9,"")-1)</f>
        <v>Field 8</v>
      </c>
      <c r="K9" s="92" t="str">
        <f>"Field "&amp;(COLUMN()-COUNTIF($B$9:J9,"")-1)</f>
        <v>Field 9</v>
      </c>
      <c r="L9" s="92" t="str">
        <f>"Field "&amp;(COLUMN()-COUNTIF($B$9:K9,"")-1)</f>
        <v>Field 10</v>
      </c>
      <c r="M9" s="92" t="str">
        <f>"Field "&amp;(COLUMN()-COUNTIF($B$9:L9,"")-1)</f>
        <v>Field 11</v>
      </c>
      <c r="N9" s="92" t="str">
        <f>"Field "&amp;(COLUMN()-COUNTIF($B$9:M9,"")-1)</f>
        <v>Field 12</v>
      </c>
      <c r="O9" s="92" t="str">
        <f>"Field "&amp;(COLUMN()-COUNTIF($B$9:N9,"")-1)</f>
        <v>Field 13</v>
      </c>
      <c r="P9" s="92" t="str">
        <f>"Field "&amp;(COLUMN()-COUNTIF($B$9:O9,"")-1)</f>
        <v>Field 14</v>
      </c>
      <c r="Q9" s="92" t="str">
        <f>"Field "&amp;(COLUMN()-COUNTIF($B$9:P9,"")-1)</f>
        <v>Field 15</v>
      </c>
      <c r="R9" s="92" t="str">
        <f>"Field "&amp;(COLUMN()-COUNTIF($B$9:Q9,"")-1)</f>
        <v>Field 16</v>
      </c>
      <c r="S9" s="92" t="str">
        <f>"Field "&amp;(COLUMN()-COUNTIF($B$9:R9,"")-1)</f>
        <v>Field 17</v>
      </c>
      <c r="T9" s="92" t="str">
        <f>"Field "&amp;(COLUMN()-COUNTIF($B$9:S9,"")-1)</f>
        <v>Field 18</v>
      </c>
      <c r="U9" s="290" t="str">
        <f>"Field "&amp;(COLUMN()-COUNTIF($B$9:T9,"")-1)</f>
        <v>Field 19</v>
      </c>
      <c r="V9" s="98" t="str">
        <f>"Field "&amp;(COLUMN()-COUNTIF($B$9:U9,"")-1)</f>
        <v>Field 20</v>
      </c>
    </row>
    <row r="10" spans="1:22" s="310" customFormat="1" ht="30" customHeight="1" thickBot="1">
      <c r="B10" s="150" t="s">
        <v>28</v>
      </c>
      <c r="C10" s="151" t="s">
        <v>55</v>
      </c>
      <c r="D10" s="151" t="s">
        <v>56</v>
      </c>
      <c r="E10" s="148" t="s">
        <v>2</v>
      </c>
      <c r="F10" s="302" t="s">
        <v>195</v>
      </c>
      <c r="G10" s="482" t="s">
        <v>7473</v>
      </c>
      <c r="H10" s="160" t="s">
        <v>57</v>
      </c>
      <c r="I10" s="229" t="s">
        <v>58</v>
      </c>
      <c r="J10" s="147" t="s">
        <v>138</v>
      </c>
      <c r="K10" s="147" t="s">
        <v>139</v>
      </c>
      <c r="L10" s="147" t="s">
        <v>140</v>
      </c>
      <c r="M10" s="147" t="s">
        <v>65</v>
      </c>
      <c r="N10" s="147" t="s">
        <v>141</v>
      </c>
      <c r="O10" s="152" t="s">
        <v>142</v>
      </c>
      <c r="P10" s="152" t="s">
        <v>491</v>
      </c>
      <c r="Q10" s="219" t="s">
        <v>143</v>
      </c>
      <c r="R10" s="219" t="s">
        <v>65</v>
      </c>
      <c r="S10" s="209" t="s">
        <v>177</v>
      </c>
      <c r="T10" s="209" t="s">
        <v>178</v>
      </c>
      <c r="U10" s="220" t="s">
        <v>179</v>
      </c>
      <c r="V10" s="149" t="s">
        <v>144</v>
      </c>
    </row>
    <row r="11" spans="1:22" s="90" customFormat="1" ht="19.5" hidden="1" customHeight="1">
      <c r="A11" s="137"/>
      <c r="B11" s="197">
        <f t="shared" ref="B11:B74" si="1">ROW()-10</f>
        <v>1</v>
      </c>
      <c r="C11" s="30" t="s">
        <v>206</v>
      </c>
      <c r="D11" s="30" t="s">
        <v>225</v>
      </c>
      <c r="E11" s="234" t="s">
        <v>645</v>
      </c>
      <c r="F11" s="235" t="s">
        <v>1294</v>
      </c>
      <c r="G11" s="284">
        <f>IFERROR(VLOOKUP(E11,Assign!$C$2:$J$142,8,FALSE),)</f>
        <v>0</v>
      </c>
      <c r="H11" s="236" t="s">
        <v>4859</v>
      </c>
      <c r="I11" s="236">
        <v>1</v>
      </c>
      <c r="J11" s="236" t="s">
        <v>418</v>
      </c>
      <c r="K11" s="355" t="s">
        <v>1373</v>
      </c>
      <c r="L11" s="356">
        <v>43812</v>
      </c>
      <c r="M11" s="357" t="s">
        <v>204</v>
      </c>
      <c r="N11" s="416">
        <v>12000000000</v>
      </c>
      <c r="O11" s="416">
        <v>12000000000</v>
      </c>
      <c r="P11" s="358"/>
      <c r="Q11" s="320"/>
      <c r="R11" s="168"/>
      <c r="S11" s="168"/>
      <c r="T11" s="287"/>
      <c r="U11" s="264"/>
      <c r="V11" s="198"/>
    </row>
    <row r="12" spans="1:22" s="90" customFormat="1" ht="19.5" hidden="1" customHeight="1">
      <c r="A12" s="137"/>
      <c r="B12" s="197">
        <f t="shared" si="1"/>
        <v>2</v>
      </c>
      <c r="C12" s="30" t="s">
        <v>206</v>
      </c>
      <c r="D12" s="30" t="s">
        <v>225</v>
      </c>
      <c r="E12" s="234" t="s">
        <v>645</v>
      </c>
      <c r="F12" s="235" t="s">
        <v>1294</v>
      </c>
      <c r="G12" s="284">
        <f>IFERROR(VLOOKUP(E12,Assign!$C$2:$J$142,8,FALSE),)</f>
        <v>0</v>
      </c>
      <c r="H12" s="236" t="s">
        <v>4859</v>
      </c>
      <c r="I12" s="236">
        <v>1</v>
      </c>
      <c r="J12" s="236" t="s">
        <v>418</v>
      </c>
      <c r="K12" s="355" t="s">
        <v>488</v>
      </c>
      <c r="L12" s="356">
        <v>43812</v>
      </c>
      <c r="M12" s="357" t="s">
        <v>204</v>
      </c>
      <c r="N12" s="416">
        <v>1800000000</v>
      </c>
      <c r="O12" s="416">
        <v>1800000000</v>
      </c>
      <c r="P12" s="358"/>
      <c r="Q12" s="320"/>
      <c r="R12" s="168"/>
      <c r="S12" s="168"/>
      <c r="T12" s="287"/>
      <c r="U12" s="264"/>
      <c r="V12" s="198"/>
    </row>
    <row r="13" spans="1:22" s="90" customFormat="1" ht="19.5" hidden="1" customHeight="1">
      <c r="A13" s="137"/>
      <c r="B13" s="197">
        <f t="shared" si="1"/>
        <v>3</v>
      </c>
      <c r="C13" s="30" t="s">
        <v>206</v>
      </c>
      <c r="D13" s="30" t="s">
        <v>225</v>
      </c>
      <c r="E13" s="234" t="s">
        <v>646</v>
      </c>
      <c r="F13" s="235" t="s">
        <v>1217</v>
      </c>
      <c r="G13" s="284">
        <f>IFERROR(VLOOKUP(E13,Assign!$C$2:$J$142,8,FALSE),)</f>
        <v>0</v>
      </c>
      <c r="H13" s="236" t="s">
        <v>4083</v>
      </c>
      <c r="I13" s="236">
        <v>1</v>
      </c>
      <c r="J13" s="236">
        <v>1</v>
      </c>
      <c r="K13" s="355" t="s">
        <v>1373</v>
      </c>
      <c r="L13" s="356">
        <v>43280</v>
      </c>
      <c r="M13" s="357" t="s">
        <v>204</v>
      </c>
      <c r="N13" s="416">
        <v>8100000000</v>
      </c>
      <c r="O13" s="416">
        <v>8100000000</v>
      </c>
      <c r="P13" s="358"/>
      <c r="Q13" s="320"/>
      <c r="R13" s="168"/>
      <c r="S13" s="168"/>
      <c r="T13" s="287"/>
      <c r="U13" s="264"/>
      <c r="V13" s="198"/>
    </row>
    <row r="14" spans="1:22" s="90" customFormat="1" ht="19.5" hidden="1" customHeight="1">
      <c r="A14" s="137"/>
      <c r="B14" s="197">
        <f t="shared" si="1"/>
        <v>4</v>
      </c>
      <c r="C14" s="30" t="s">
        <v>206</v>
      </c>
      <c r="D14" s="30" t="s">
        <v>225</v>
      </c>
      <c r="E14" s="234" t="s">
        <v>647</v>
      </c>
      <c r="F14" s="235" t="s">
        <v>1244</v>
      </c>
      <c r="G14" s="284">
        <f>IFERROR(VLOOKUP(E14,Assign!$C$2:$J$142,8,FALSE),)</f>
        <v>0</v>
      </c>
      <c r="H14" s="236" t="s">
        <v>5469</v>
      </c>
      <c r="I14" s="236">
        <v>1</v>
      </c>
      <c r="J14" s="236">
        <v>1</v>
      </c>
      <c r="K14" s="355" t="s">
        <v>1373</v>
      </c>
      <c r="L14" s="356">
        <v>44966</v>
      </c>
      <c r="M14" s="357" t="s">
        <v>204</v>
      </c>
      <c r="N14" s="416">
        <v>6658800000</v>
      </c>
      <c r="O14" s="416">
        <v>6658800000</v>
      </c>
      <c r="P14" s="358"/>
      <c r="Q14" s="320">
        <v>2</v>
      </c>
      <c r="R14" s="168"/>
      <c r="S14" s="168"/>
      <c r="T14" s="287"/>
      <c r="U14" s="264"/>
      <c r="V14" s="198"/>
    </row>
    <row r="15" spans="1:22" s="90" customFormat="1" ht="19.5" hidden="1" customHeight="1">
      <c r="A15" s="137"/>
      <c r="B15" s="197">
        <f t="shared" si="1"/>
        <v>5</v>
      </c>
      <c r="C15" s="30" t="s">
        <v>206</v>
      </c>
      <c r="D15" s="30" t="s">
        <v>225</v>
      </c>
      <c r="E15" s="234" t="s">
        <v>647</v>
      </c>
      <c r="F15" s="235" t="s">
        <v>1244</v>
      </c>
      <c r="G15" s="284">
        <f>IFERROR(VLOOKUP(E15,Assign!$C$2:$J$142,8,FALSE),)</f>
        <v>0</v>
      </c>
      <c r="H15" s="236" t="s">
        <v>5488</v>
      </c>
      <c r="I15" s="236">
        <v>2</v>
      </c>
      <c r="J15" s="236">
        <v>1</v>
      </c>
      <c r="K15" s="355" t="s">
        <v>1385</v>
      </c>
      <c r="L15" s="356">
        <v>44769</v>
      </c>
      <c r="M15" s="357" t="s">
        <v>204</v>
      </c>
      <c r="N15" s="416">
        <v>324000000</v>
      </c>
      <c r="O15" s="416">
        <v>324000000</v>
      </c>
      <c r="P15" s="358"/>
      <c r="Q15" s="320"/>
      <c r="R15" s="168"/>
      <c r="S15" s="168"/>
      <c r="T15" s="287"/>
      <c r="U15" s="264"/>
      <c r="V15" s="198"/>
    </row>
    <row r="16" spans="1:22" s="90" customFormat="1" ht="19.5" hidden="1" customHeight="1">
      <c r="A16" s="137"/>
      <c r="B16" s="197">
        <f t="shared" si="1"/>
        <v>6</v>
      </c>
      <c r="C16" s="30" t="s">
        <v>206</v>
      </c>
      <c r="D16" s="30" t="s">
        <v>225</v>
      </c>
      <c r="E16" s="234" t="s">
        <v>647</v>
      </c>
      <c r="F16" s="235" t="s">
        <v>1244</v>
      </c>
      <c r="G16" s="284">
        <f>IFERROR(VLOOKUP(E16,Assign!$C$2:$J$142,8,FALSE),)</f>
        <v>0</v>
      </c>
      <c r="H16" s="236" t="s">
        <v>5488</v>
      </c>
      <c r="I16" s="236">
        <v>2</v>
      </c>
      <c r="J16" s="236">
        <v>2</v>
      </c>
      <c r="K16" s="355" t="s">
        <v>1373</v>
      </c>
      <c r="L16" s="356">
        <v>44966</v>
      </c>
      <c r="M16" s="357" t="s">
        <v>204</v>
      </c>
      <c r="N16" s="416">
        <v>6658800000</v>
      </c>
      <c r="O16" s="416">
        <v>6658800000</v>
      </c>
      <c r="P16" s="358"/>
      <c r="Q16" s="320">
        <v>1</v>
      </c>
      <c r="R16" s="168"/>
      <c r="S16" s="168"/>
      <c r="T16" s="287"/>
      <c r="U16" s="264"/>
      <c r="V16" s="198"/>
    </row>
    <row r="17" spans="1:22" s="90" customFormat="1" ht="19.5" hidden="1" customHeight="1">
      <c r="A17" s="137"/>
      <c r="B17" s="197">
        <f t="shared" si="1"/>
        <v>7</v>
      </c>
      <c r="C17" s="30" t="s">
        <v>206</v>
      </c>
      <c r="D17" s="30" t="s">
        <v>225</v>
      </c>
      <c r="E17" s="234" t="s">
        <v>648</v>
      </c>
      <c r="F17" s="235" t="s">
        <v>1295</v>
      </c>
      <c r="G17" s="284">
        <f>IFERROR(VLOOKUP(E17,Assign!$C$2:$J$142,8,FALSE),)</f>
        <v>0</v>
      </c>
      <c r="H17" s="236" t="s">
        <v>5430</v>
      </c>
      <c r="I17" s="236">
        <v>1</v>
      </c>
      <c r="J17" s="236">
        <v>1</v>
      </c>
      <c r="K17" s="355" t="s">
        <v>1373</v>
      </c>
      <c r="L17" s="356">
        <v>45092</v>
      </c>
      <c r="M17" s="357" t="s">
        <v>204</v>
      </c>
      <c r="N17" s="416">
        <v>840000000</v>
      </c>
      <c r="O17" s="416">
        <v>840000000</v>
      </c>
      <c r="P17" s="358" t="s">
        <v>1434</v>
      </c>
      <c r="Q17" s="320"/>
      <c r="R17" s="168"/>
      <c r="S17" s="168"/>
      <c r="T17" s="287"/>
      <c r="U17" s="264"/>
      <c r="V17" s="198"/>
    </row>
    <row r="18" spans="1:22" s="90" customFormat="1" ht="19.5" hidden="1" customHeight="1">
      <c r="A18" s="137"/>
      <c r="B18" s="197">
        <f t="shared" si="1"/>
        <v>8</v>
      </c>
      <c r="C18" s="30" t="s">
        <v>206</v>
      </c>
      <c r="D18" s="30" t="s">
        <v>225</v>
      </c>
      <c r="E18" s="234" t="s">
        <v>648</v>
      </c>
      <c r="F18" s="235" t="s">
        <v>1295</v>
      </c>
      <c r="G18" s="284">
        <f>IFERROR(VLOOKUP(E18,Assign!$C$2:$J$142,8,FALSE),)</f>
        <v>0</v>
      </c>
      <c r="H18" s="236" t="s">
        <v>5430</v>
      </c>
      <c r="I18" s="236">
        <v>1</v>
      </c>
      <c r="J18" s="236">
        <v>2</v>
      </c>
      <c r="K18" s="355" t="s">
        <v>1373</v>
      </c>
      <c r="L18" s="356">
        <v>45180</v>
      </c>
      <c r="M18" s="357" t="s">
        <v>204</v>
      </c>
      <c r="N18" s="416">
        <v>5400000000</v>
      </c>
      <c r="O18" s="416">
        <v>5400000000</v>
      </c>
      <c r="P18" s="358" t="s">
        <v>1435</v>
      </c>
      <c r="Q18" s="320"/>
      <c r="R18" s="168"/>
      <c r="S18" s="168"/>
      <c r="T18" s="287"/>
      <c r="U18" s="264"/>
      <c r="V18" s="198"/>
    </row>
    <row r="19" spans="1:22" s="90" customFormat="1" ht="19.5" hidden="1" customHeight="1">
      <c r="A19" s="137"/>
      <c r="B19" s="197">
        <f t="shared" si="1"/>
        <v>9</v>
      </c>
      <c r="C19" s="30" t="s">
        <v>206</v>
      </c>
      <c r="D19" s="30" t="s">
        <v>225</v>
      </c>
      <c r="E19" s="234" t="s">
        <v>649</v>
      </c>
      <c r="F19" s="235" t="s">
        <v>1296</v>
      </c>
      <c r="G19" s="284">
        <f>IFERROR(VLOOKUP(E19,Assign!$C$2:$J$142,8,FALSE),)</f>
        <v>0</v>
      </c>
      <c r="H19" s="236" t="s">
        <v>5443</v>
      </c>
      <c r="I19" s="236">
        <v>1</v>
      </c>
      <c r="J19" s="236">
        <v>1</v>
      </c>
      <c r="K19" s="355" t="s">
        <v>1373</v>
      </c>
      <c r="L19" s="356">
        <v>45133</v>
      </c>
      <c r="M19" s="357" t="s">
        <v>204</v>
      </c>
      <c r="N19" s="416">
        <v>2592000000</v>
      </c>
      <c r="O19" s="416">
        <v>2592000000</v>
      </c>
      <c r="P19" s="358"/>
      <c r="Q19" s="320"/>
      <c r="R19" s="168"/>
      <c r="S19" s="168"/>
      <c r="T19" s="287"/>
      <c r="U19" s="264"/>
      <c r="V19" s="198"/>
    </row>
    <row r="20" spans="1:22" s="90" customFormat="1" ht="19.5" hidden="1" customHeight="1">
      <c r="A20" s="137"/>
      <c r="B20" s="197">
        <f t="shared" si="1"/>
        <v>10</v>
      </c>
      <c r="C20" s="30" t="s">
        <v>206</v>
      </c>
      <c r="D20" s="30" t="s">
        <v>225</v>
      </c>
      <c r="E20" s="234" t="s">
        <v>649</v>
      </c>
      <c r="F20" s="235" t="s">
        <v>1296</v>
      </c>
      <c r="G20" s="284">
        <f>IFERROR(VLOOKUP(E20,Assign!$C$2:$J$142,8,FALSE),)</f>
        <v>0</v>
      </c>
      <c r="H20" s="236" t="s">
        <v>5443</v>
      </c>
      <c r="I20" s="236">
        <v>1</v>
      </c>
      <c r="J20" s="236">
        <v>2</v>
      </c>
      <c r="K20" s="355" t="s">
        <v>1373</v>
      </c>
      <c r="L20" s="356">
        <v>45134</v>
      </c>
      <c r="M20" s="357" t="s">
        <v>204</v>
      </c>
      <c r="N20" s="416">
        <v>278400000</v>
      </c>
      <c r="O20" s="416">
        <v>278400000</v>
      </c>
      <c r="P20" s="358"/>
      <c r="Q20" s="320"/>
      <c r="R20" s="168"/>
      <c r="S20" s="168"/>
      <c r="T20" s="287"/>
      <c r="U20" s="264"/>
      <c r="V20" s="198"/>
    </row>
    <row r="21" spans="1:22" s="90" customFormat="1" ht="19.5" hidden="1" customHeight="1">
      <c r="A21" s="137"/>
      <c r="B21" s="197">
        <f t="shared" si="1"/>
        <v>11</v>
      </c>
      <c r="C21" s="30" t="s">
        <v>206</v>
      </c>
      <c r="D21" s="30" t="s">
        <v>225</v>
      </c>
      <c r="E21" s="234" t="s">
        <v>649</v>
      </c>
      <c r="F21" s="235" t="s">
        <v>1296</v>
      </c>
      <c r="G21" s="284">
        <f>IFERROR(VLOOKUP(E21,Assign!$C$2:$J$142,8,FALSE),)</f>
        <v>0</v>
      </c>
      <c r="H21" s="236" t="s">
        <v>5443</v>
      </c>
      <c r="I21" s="236">
        <v>1</v>
      </c>
      <c r="J21" s="236">
        <v>3</v>
      </c>
      <c r="K21" s="355" t="s">
        <v>1373</v>
      </c>
      <c r="L21" s="356">
        <v>45134</v>
      </c>
      <c r="M21" s="357" t="s">
        <v>204</v>
      </c>
      <c r="N21" s="416">
        <v>3840000000</v>
      </c>
      <c r="O21" s="416">
        <v>3840000000</v>
      </c>
      <c r="P21" s="358"/>
      <c r="Q21" s="320"/>
      <c r="R21" s="168"/>
      <c r="S21" s="168"/>
      <c r="T21" s="287"/>
      <c r="U21" s="264"/>
      <c r="V21" s="198"/>
    </row>
    <row r="22" spans="1:22" s="90" customFormat="1" ht="19.5" hidden="1" customHeight="1">
      <c r="A22" s="137"/>
      <c r="B22" s="197">
        <f t="shared" si="1"/>
        <v>12</v>
      </c>
      <c r="C22" s="30" t="s">
        <v>206</v>
      </c>
      <c r="D22" s="30" t="s">
        <v>225</v>
      </c>
      <c r="E22" s="234" t="s">
        <v>650</v>
      </c>
      <c r="F22" s="235" t="s">
        <v>1297</v>
      </c>
      <c r="G22" s="284">
        <f>IFERROR(VLOOKUP(E22,Assign!$C$2:$J$142,8,FALSE),)</f>
        <v>0</v>
      </c>
      <c r="H22" s="236" t="s">
        <v>5460</v>
      </c>
      <c r="I22" s="236">
        <v>1</v>
      </c>
      <c r="J22" s="236">
        <v>1</v>
      </c>
      <c r="K22" s="355" t="s">
        <v>1373</v>
      </c>
      <c r="L22" s="356">
        <v>45442</v>
      </c>
      <c r="M22" s="357" t="s">
        <v>204</v>
      </c>
      <c r="N22" s="416">
        <v>5400000000</v>
      </c>
      <c r="O22" s="416">
        <v>5400000000</v>
      </c>
      <c r="P22" s="358"/>
      <c r="Q22" s="320"/>
      <c r="R22" s="168"/>
      <c r="S22" s="168"/>
      <c r="T22" s="287"/>
      <c r="U22" s="264"/>
      <c r="V22" s="198"/>
    </row>
    <row r="23" spans="1:22" s="90" customFormat="1" ht="19.5" hidden="1" customHeight="1">
      <c r="A23" s="137"/>
      <c r="B23" s="197">
        <f t="shared" si="1"/>
        <v>13</v>
      </c>
      <c r="C23" s="30" t="s">
        <v>206</v>
      </c>
      <c r="D23" s="30" t="s">
        <v>225</v>
      </c>
      <c r="E23" s="234" t="s">
        <v>651</v>
      </c>
      <c r="F23" s="235" t="s">
        <v>1298</v>
      </c>
      <c r="G23" s="284">
        <f>IFERROR(VLOOKUP(E23,Assign!$C$2:$J$142,8,FALSE),)</f>
        <v>0</v>
      </c>
      <c r="H23" s="236" t="s">
        <v>5317</v>
      </c>
      <c r="I23" s="236">
        <v>1</v>
      </c>
      <c r="J23" s="236">
        <v>1</v>
      </c>
      <c r="K23" s="355" t="s">
        <v>1373</v>
      </c>
      <c r="L23" s="356">
        <v>44841</v>
      </c>
      <c r="M23" s="357" t="s">
        <v>204</v>
      </c>
      <c r="N23" s="416">
        <v>1700400000</v>
      </c>
      <c r="O23" s="416">
        <v>1700400000</v>
      </c>
      <c r="P23" s="358" t="s">
        <v>1430</v>
      </c>
      <c r="Q23" s="320"/>
      <c r="R23" s="168"/>
      <c r="S23" s="168"/>
      <c r="T23" s="287"/>
      <c r="U23" s="264"/>
      <c r="V23" s="198"/>
    </row>
    <row r="24" spans="1:22" s="90" customFormat="1" ht="19.5" hidden="1" customHeight="1">
      <c r="A24" s="137"/>
      <c r="B24" s="197">
        <f t="shared" si="1"/>
        <v>14</v>
      </c>
      <c r="C24" s="30" t="s">
        <v>206</v>
      </c>
      <c r="D24" s="30" t="s">
        <v>225</v>
      </c>
      <c r="E24" s="234" t="s">
        <v>651</v>
      </c>
      <c r="F24" s="235" t="s">
        <v>1298</v>
      </c>
      <c r="G24" s="284">
        <f>IFERROR(VLOOKUP(E24,Assign!$C$2:$J$142,8,FALSE),)</f>
        <v>0</v>
      </c>
      <c r="H24" s="236" t="s">
        <v>5317</v>
      </c>
      <c r="I24" s="236">
        <v>1</v>
      </c>
      <c r="J24" s="236">
        <v>2</v>
      </c>
      <c r="K24" s="355" t="s">
        <v>1373</v>
      </c>
      <c r="L24" s="356">
        <v>44841</v>
      </c>
      <c r="M24" s="357" t="s">
        <v>204</v>
      </c>
      <c r="N24" s="416">
        <v>2352000000</v>
      </c>
      <c r="O24" s="416">
        <v>2352000000</v>
      </c>
      <c r="P24" s="358" t="s">
        <v>1430</v>
      </c>
      <c r="Q24" s="320"/>
      <c r="R24" s="168"/>
      <c r="S24" s="168"/>
      <c r="T24" s="287"/>
      <c r="U24" s="264"/>
      <c r="V24" s="198"/>
    </row>
    <row r="25" spans="1:22" s="90" customFormat="1" ht="19.5" hidden="1" customHeight="1">
      <c r="A25" s="137"/>
      <c r="B25" s="197">
        <f t="shared" si="1"/>
        <v>15</v>
      </c>
      <c r="C25" s="30" t="s">
        <v>206</v>
      </c>
      <c r="D25" s="30" t="s">
        <v>225</v>
      </c>
      <c r="E25" s="234" t="s">
        <v>651</v>
      </c>
      <c r="F25" s="235" t="s">
        <v>1298</v>
      </c>
      <c r="G25" s="284">
        <f>IFERROR(VLOOKUP(E25,Assign!$C$2:$J$142,8,FALSE),)</f>
        <v>0</v>
      </c>
      <c r="H25" s="236" t="s">
        <v>5317</v>
      </c>
      <c r="I25" s="236">
        <v>1</v>
      </c>
      <c r="J25" s="236">
        <v>3</v>
      </c>
      <c r="K25" s="355" t="s">
        <v>1373</v>
      </c>
      <c r="L25" s="356">
        <v>45163</v>
      </c>
      <c r="M25" s="357" t="s">
        <v>204</v>
      </c>
      <c r="N25" s="416">
        <v>643200000</v>
      </c>
      <c r="O25" s="416">
        <v>643200000</v>
      </c>
      <c r="P25" s="358" t="s">
        <v>1431</v>
      </c>
      <c r="Q25" s="320"/>
      <c r="R25" s="168"/>
      <c r="S25" s="168"/>
      <c r="T25" s="287"/>
      <c r="U25" s="264"/>
      <c r="V25" s="198"/>
    </row>
    <row r="26" spans="1:22" s="90" customFormat="1" ht="19.5" hidden="1" customHeight="1">
      <c r="A26" s="137"/>
      <c r="B26" s="197">
        <f t="shared" si="1"/>
        <v>16</v>
      </c>
      <c r="C26" s="30" t="s">
        <v>206</v>
      </c>
      <c r="D26" s="30" t="s">
        <v>225</v>
      </c>
      <c r="E26" s="234" t="s">
        <v>651</v>
      </c>
      <c r="F26" s="235" t="s">
        <v>1298</v>
      </c>
      <c r="G26" s="284">
        <f>IFERROR(VLOOKUP(E26,Assign!$C$2:$J$142,8,FALSE),)</f>
        <v>0</v>
      </c>
      <c r="H26" s="236" t="s">
        <v>5321</v>
      </c>
      <c r="I26" s="236">
        <v>2</v>
      </c>
      <c r="J26" s="236">
        <v>1</v>
      </c>
      <c r="K26" s="355" t="s">
        <v>486</v>
      </c>
      <c r="L26" s="356">
        <v>43882</v>
      </c>
      <c r="M26" s="357" t="s">
        <v>204</v>
      </c>
      <c r="N26" s="416">
        <v>199650000</v>
      </c>
      <c r="O26" s="416">
        <v>199650000</v>
      </c>
      <c r="P26" s="358"/>
      <c r="Q26" s="320"/>
      <c r="R26" s="168"/>
      <c r="S26" s="168"/>
      <c r="T26" s="287"/>
      <c r="U26" s="264"/>
      <c r="V26" s="198"/>
    </row>
    <row r="27" spans="1:22" s="90" customFormat="1" ht="19.5" hidden="1" customHeight="1">
      <c r="A27" s="137"/>
      <c r="B27" s="197">
        <f t="shared" si="1"/>
        <v>17</v>
      </c>
      <c r="C27" s="30" t="s">
        <v>206</v>
      </c>
      <c r="D27" s="30" t="s">
        <v>225</v>
      </c>
      <c r="E27" s="234" t="s">
        <v>651</v>
      </c>
      <c r="F27" s="235" t="s">
        <v>1298</v>
      </c>
      <c r="G27" s="284">
        <f>IFERROR(VLOOKUP(E27,Assign!$C$2:$J$142,8,FALSE),)</f>
        <v>0</v>
      </c>
      <c r="H27" s="236" t="s">
        <v>5321</v>
      </c>
      <c r="I27" s="236">
        <v>2</v>
      </c>
      <c r="J27" s="236">
        <v>2</v>
      </c>
      <c r="K27" s="355" t="s">
        <v>537</v>
      </c>
      <c r="L27" s="356">
        <v>44634</v>
      </c>
      <c r="M27" s="357" t="s">
        <v>204</v>
      </c>
      <c r="N27" s="416">
        <v>168000000</v>
      </c>
      <c r="O27" s="416">
        <v>168000000</v>
      </c>
      <c r="P27" s="358"/>
      <c r="Q27" s="320"/>
      <c r="R27" s="168"/>
      <c r="S27" s="168"/>
      <c r="T27" s="287"/>
      <c r="U27" s="264"/>
      <c r="V27" s="198"/>
    </row>
    <row r="28" spans="1:22" s="90" customFormat="1" ht="19.5" hidden="1" customHeight="1">
      <c r="A28" s="137"/>
      <c r="B28" s="197">
        <f t="shared" si="1"/>
        <v>18</v>
      </c>
      <c r="C28" s="30" t="s">
        <v>206</v>
      </c>
      <c r="D28" s="30" t="s">
        <v>225</v>
      </c>
      <c r="E28" s="234" t="s">
        <v>651</v>
      </c>
      <c r="F28" s="235" t="s">
        <v>1298</v>
      </c>
      <c r="G28" s="284">
        <f>IFERROR(VLOOKUP(E28,Assign!$C$2:$J$142,8,FALSE),)</f>
        <v>0</v>
      </c>
      <c r="H28" s="236" t="s">
        <v>5321</v>
      </c>
      <c r="I28" s="236">
        <v>2</v>
      </c>
      <c r="J28" s="236">
        <v>3</v>
      </c>
      <c r="K28" s="355" t="s">
        <v>1373</v>
      </c>
      <c r="L28" s="356">
        <v>45447</v>
      </c>
      <c r="M28" s="357" t="s">
        <v>204</v>
      </c>
      <c r="N28" s="416">
        <v>66000000</v>
      </c>
      <c r="O28" s="416">
        <v>66000000</v>
      </c>
      <c r="P28" s="358"/>
      <c r="Q28" s="320"/>
      <c r="R28" s="168"/>
      <c r="S28" s="168"/>
      <c r="T28" s="287"/>
      <c r="U28" s="264"/>
      <c r="V28" s="198"/>
    </row>
    <row r="29" spans="1:22" s="90" customFormat="1" ht="19.5" hidden="1" customHeight="1">
      <c r="A29" s="137"/>
      <c r="B29" s="197">
        <f t="shared" si="1"/>
        <v>19</v>
      </c>
      <c r="C29" s="30" t="s">
        <v>206</v>
      </c>
      <c r="D29" s="30" t="s">
        <v>225</v>
      </c>
      <c r="E29" s="234" t="s">
        <v>652</v>
      </c>
      <c r="F29" s="235" t="s">
        <v>1299</v>
      </c>
      <c r="G29" s="284">
        <f>IFERROR(VLOOKUP(E29,Assign!$C$2:$J$142,8,FALSE),)</f>
        <v>0</v>
      </c>
      <c r="H29" s="236" t="s">
        <v>5273</v>
      </c>
      <c r="I29" s="236">
        <v>1</v>
      </c>
      <c r="J29" s="236">
        <v>1</v>
      </c>
      <c r="K29" s="355" t="s">
        <v>1373</v>
      </c>
      <c r="L29" s="356">
        <v>44662</v>
      </c>
      <c r="M29" s="357" t="s">
        <v>204</v>
      </c>
      <c r="N29" s="416">
        <v>744000000</v>
      </c>
      <c r="O29" s="416">
        <v>744000000</v>
      </c>
      <c r="P29" s="358"/>
      <c r="Q29" s="320">
        <v>2</v>
      </c>
      <c r="R29" s="168"/>
      <c r="S29" s="168"/>
      <c r="T29" s="287"/>
      <c r="U29" s="264"/>
      <c r="V29" s="198"/>
    </row>
    <row r="30" spans="1:22" s="90" customFormat="1" ht="19.5" hidden="1" customHeight="1">
      <c r="A30" s="137"/>
      <c r="B30" s="197">
        <f t="shared" si="1"/>
        <v>20</v>
      </c>
      <c r="C30" s="30" t="s">
        <v>206</v>
      </c>
      <c r="D30" s="30" t="s">
        <v>225</v>
      </c>
      <c r="E30" s="234" t="s">
        <v>652</v>
      </c>
      <c r="F30" s="235" t="s">
        <v>1299</v>
      </c>
      <c r="G30" s="284">
        <f>IFERROR(VLOOKUP(E30,Assign!$C$2:$J$142,8,FALSE),)</f>
        <v>0</v>
      </c>
      <c r="H30" s="236" t="s">
        <v>5273</v>
      </c>
      <c r="I30" s="236">
        <v>1</v>
      </c>
      <c r="J30" s="236">
        <v>2</v>
      </c>
      <c r="K30" s="355" t="s">
        <v>1373</v>
      </c>
      <c r="L30" s="356">
        <v>45061</v>
      </c>
      <c r="M30" s="357" t="s">
        <v>204</v>
      </c>
      <c r="N30" s="416">
        <v>3600000000</v>
      </c>
      <c r="O30" s="416">
        <v>3600000000</v>
      </c>
      <c r="P30" s="358"/>
      <c r="Q30" s="320">
        <v>2</v>
      </c>
      <c r="R30" s="168"/>
      <c r="S30" s="168"/>
      <c r="T30" s="287"/>
      <c r="U30" s="264"/>
      <c r="V30" s="198"/>
    </row>
    <row r="31" spans="1:22" s="90" customFormat="1" ht="19.5" hidden="1" customHeight="1">
      <c r="A31" s="137"/>
      <c r="B31" s="197">
        <f t="shared" si="1"/>
        <v>21</v>
      </c>
      <c r="C31" s="30" t="s">
        <v>206</v>
      </c>
      <c r="D31" s="30" t="s">
        <v>225</v>
      </c>
      <c r="E31" s="234" t="s">
        <v>652</v>
      </c>
      <c r="F31" s="235" t="s">
        <v>1299</v>
      </c>
      <c r="G31" s="284">
        <f>IFERROR(VLOOKUP(E31,Assign!$C$2:$J$142,8,FALSE),)</f>
        <v>0</v>
      </c>
      <c r="H31" s="236" t="s">
        <v>5276</v>
      </c>
      <c r="I31" s="236">
        <v>2</v>
      </c>
      <c r="J31" s="236">
        <v>1</v>
      </c>
      <c r="K31" s="355" t="s">
        <v>1373</v>
      </c>
      <c r="L31" s="356">
        <v>45544</v>
      </c>
      <c r="M31" s="357" t="s">
        <v>204</v>
      </c>
      <c r="N31" s="416">
        <v>744000000</v>
      </c>
      <c r="O31" s="416">
        <v>744000000</v>
      </c>
      <c r="P31" s="358"/>
      <c r="Q31" s="320">
        <v>1</v>
      </c>
      <c r="R31" s="168"/>
      <c r="S31" s="168"/>
      <c r="T31" s="287"/>
      <c r="U31" s="264"/>
      <c r="V31" s="198"/>
    </row>
    <row r="32" spans="1:22" s="90" customFormat="1" ht="19.5" hidden="1" customHeight="1">
      <c r="A32" s="137"/>
      <c r="B32" s="197">
        <f t="shared" si="1"/>
        <v>22</v>
      </c>
      <c r="C32" s="30" t="s">
        <v>206</v>
      </c>
      <c r="D32" s="30" t="s">
        <v>225</v>
      </c>
      <c r="E32" s="234" t="s">
        <v>652</v>
      </c>
      <c r="F32" s="235" t="s">
        <v>1299</v>
      </c>
      <c r="G32" s="284">
        <f>IFERROR(VLOOKUP(E32,Assign!$C$2:$J$142,8,FALSE),)</f>
        <v>0</v>
      </c>
      <c r="H32" s="236" t="s">
        <v>5276</v>
      </c>
      <c r="I32" s="236">
        <v>2</v>
      </c>
      <c r="J32" s="236">
        <v>2</v>
      </c>
      <c r="K32" s="355" t="s">
        <v>1373</v>
      </c>
      <c r="L32" s="356">
        <v>45544</v>
      </c>
      <c r="M32" s="357" t="s">
        <v>204</v>
      </c>
      <c r="N32" s="416">
        <v>3600000000</v>
      </c>
      <c r="O32" s="416">
        <v>3600000000</v>
      </c>
      <c r="P32" s="358"/>
      <c r="Q32" s="320">
        <v>1</v>
      </c>
      <c r="R32" s="168"/>
      <c r="S32" s="168"/>
      <c r="T32" s="287"/>
      <c r="U32" s="264"/>
      <c r="V32" s="198"/>
    </row>
    <row r="33" spans="1:22" s="90" customFormat="1" ht="19.5" hidden="1" customHeight="1">
      <c r="A33" s="137"/>
      <c r="B33" s="197">
        <f t="shared" si="1"/>
        <v>23</v>
      </c>
      <c r="C33" s="30" t="s">
        <v>206</v>
      </c>
      <c r="D33" s="30" t="s">
        <v>225</v>
      </c>
      <c r="E33" s="234" t="s">
        <v>653</v>
      </c>
      <c r="F33" s="235" t="s">
        <v>1219</v>
      </c>
      <c r="G33" s="284">
        <f>IFERROR(VLOOKUP(E33,Assign!$C$2:$J$142,8,FALSE),)</f>
        <v>0</v>
      </c>
      <c r="H33" s="236" t="s">
        <v>4913</v>
      </c>
      <c r="I33" s="236">
        <v>1</v>
      </c>
      <c r="J33" s="236">
        <v>1</v>
      </c>
      <c r="K33" s="355" t="s">
        <v>1373</v>
      </c>
      <c r="L33" s="356">
        <v>44715</v>
      </c>
      <c r="M33" s="357" t="s">
        <v>204</v>
      </c>
      <c r="N33" s="416">
        <v>3876000000</v>
      </c>
      <c r="O33" s="416">
        <v>3876000000</v>
      </c>
      <c r="P33" s="358" t="s">
        <v>1414</v>
      </c>
      <c r="Q33" s="320"/>
      <c r="R33" s="168"/>
      <c r="S33" s="168"/>
      <c r="T33" s="287"/>
      <c r="U33" s="264"/>
      <c r="V33" s="198"/>
    </row>
    <row r="34" spans="1:22" s="90" customFormat="1" ht="19.5" hidden="1" customHeight="1">
      <c r="A34" s="137"/>
      <c r="B34" s="197">
        <f t="shared" si="1"/>
        <v>24</v>
      </c>
      <c r="C34" s="30" t="s">
        <v>206</v>
      </c>
      <c r="D34" s="30" t="s">
        <v>225</v>
      </c>
      <c r="E34" s="234" t="s">
        <v>653</v>
      </c>
      <c r="F34" s="235" t="s">
        <v>1219</v>
      </c>
      <c r="G34" s="284">
        <f>IFERROR(VLOOKUP(E34,Assign!$C$2:$J$142,8,FALSE),)</f>
        <v>0</v>
      </c>
      <c r="H34" s="236" t="s">
        <v>4913</v>
      </c>
      <c r="I34" s="236">
        <v>1</v>
      </c>
      <c r="J34" s="236">
        <v>2</v>
      </c>
      <c r="K34" s="355" t="s">
        <v>1373</v>
      </c>
      <c r="L34" s="356">
        <v>44734</v>
      </c>
      <c r="M34" s="357" t="s">
        <v>204</v>
      </c>
      <c r="N34" s="416">
        <v>120000000</v>
      </c>
      <c r="O34" s="416">
        <v>120000000</v>
      </c>
      <c r="P34" s="358" t="s">
        <v>1415</v>
      </c>
      <c r="Q34" s="320"/>
      <c r="R34" s="168"/>
      <c r="S34" s="168"/>
      <c r="T34" s="287"/>
      <c r="U34" s="264"/>
      <c r="V34" s="198"/>
    </row>
    <row r="35" spans="1:22" s="90" customFormat="1" ht="19.5" hidden="1" customHeight="1">
      <c r="A35" s="137"/>
      <c r="B35" s="197">
        <f t="shared" si="1"/>
        <v>25</v>
      </c>
      <c r="C35" s="30" t="s">
        <v>206</v>
      </c>
      <c r="D35" s="30" t="s">
        <v>225</v>
      </c>
      <c r="E35" s="234" t="s">
        <v>654</v>
      </c>
      <c r="F35" s="235" t="s">
        <v>1217</v>
      </c>
      <c r="G35" s="284">
        <f>IFERROR(VLOOKUP(E35,Assign!$C$2:$J$142,8,FALSE),)</f>
        <v>0</v>
      </c>
      <c r="H35" s="236" t="s">
        <v>3961</v>
      </c>
      <c r="I35" s="236">
        <v>1</v>
      </c>
      <c r="J35" s="236">
        <v>1</v>
      </c>
      <c r="K35" s="355" t="s">
        <v>1373</v>
      </c>
      <c r="L35" s="356">
        <v>45042</v>
      </c>
      <c r="M35" s="357" t="s">
        <v>204</v>
      </c>
      <c r="N35" s="416">
        <v>3960000000</v>
      </c>
      <c r="O35" s="416">
        <v>3960000000</v>
      </c>
      <c r="P35" s="358"/>
      <c r="Q35" s="320"/>
      <c r="R35" s="168"/>
      <c r="S35" s="168"/>
      <c r="T35" s="287"/>
      <c r="U35" s="264"/>
      <c r="V35" s="198"/>
    </row>
    <row r="36" spans="1:22" s="90" customFormat="1" ht="19.5" hidden="1" customHeight="1">
      <c r="A36" s="137"/>
      <c r="B36" s="197">
        <f t="shared" si="1"/>
        <v>26</v>
      </c>
      <c r="C36" s="30" t="s">
        <v>206</v>
      </c>
      <c r="D36" s="30" t="s">
        <v>225</v>
      </c>
      <c r="E36" s="234" t="s">
        <v>655</v>
      </c>
      <c r="F36" s="235" t="s">
        <v>1220</v>
      </c>
      <c r="G36" s="284">
        <f>IFERROR(VLOOKUP(E36,Assign!$C$2:$J$142,8,FALSE),)</f>
        <v>0</v>
      </c>
      <c r="H36" s="236" t="s">
        <v>4917</v>
      </c>
      <c r="I36" s="236">
        <v>1</v>
      </c>
      <c r="J36" s="236">
        <v>1</v>
      </c>
      <c r="K36" s="355" t="s">
        <v>1373</v>
      </c>
      <c r="L36" s="356">
        <v>44368</v>
      </c>
      <c r="M36" s="357" t="s">
        <v>204</v>
      </c>
      <c r="N36" s="416">
        <v>3180000000</v>
      </c>
      <c r="O36" s="416">
        <v>3180000000</v>
      </c>
      <c r="P36" s="358"/>
      <c r="Q36" s="320"/>
      <c r="R36" s="168"/>
      <c r="S36" s="168"/>
      <c r="T36" s="287"/>
      <c r="U36" s="264"/>
      <c r="V36" s="198"/>
    </row>
    <row r="37" spans="1:22" s="90" customFormat="1" ht="19.5" hidden="1" customHeight="1">
      <c r="A37" s="137"/>
      <c r="B37" s="197">
        <f t="shared" si="1"/>
        <v>27</v>
      </c>
      <c r="C37" s="30" t="s">
        <v>206</v>
      </c>
      <c r="D37" s="30" t="s">
        <v>225</v>
      </c>
      <c r="E37" s="234" t="s">
        <v>656</v>
      </c>
      <c r="F37" s="235" t="s">
        <v>1217</v>
      </c>
      <c r="G37" s="284">
        <f>IFERROR(VLOOKUP(E37,Assign!$C$2:$J$142,8,FALSE),)</f>
        <v>0</v>
      </c>
      <c r="H37" s="236" t="s">
        <v>3918</v>
      </c>
      <c r="I37" s="236">
        <v>1</v>
      </c>
      <c r="J37" s="236">
        <v>1</v>
      </c>
      <c r="K37" s="355" t="s">
        <v>1373</v>
      </c>
      <c r="L37" s="356">
        <v>39191</v>
      </c>
      <c r="M37" s="357" t="s">
        <v>204</v>
      </c>
      <c r="N37" s="416">
        <v>1300000000</v>
      </c>
      <c r="O37" s="416">
        <v>1300000000</v>
      </c>
      <c r="P37" s="358"/>
      <c r="Q37" s="320"/>
      <c r="R37" s="168"/>
      <c r="S37" s="168"/>
      <c r="T37" s="287"/>
      <c r="U37" s="264"/>
      <c r="V37" s="198"/>
    </row>
    <row r="38" spans="1:22" s="90" customFormat="1" ht="19.5" hidden="1" customHeight="1">
      <c r="A38" s="137"/>
      <c r="B38" s="197">
        <f t="shared" si="1"/>
        <v>28</v>
      </c>
      <c r="C38" s="30" t="s">
        <v>206</v>
      </c>
      <c r="D38" s="30" t="s">
        <v>225</v>
      </c>
      <c r="E38" s="234" t="s">
        <v>656</v>
      </c>
      <c r="F38" s="235" t="s">
        <v>1217</v>
      </c>
      <c r="G38" s="284">
        <f>IFERROR(VLOOKUP(E38,Assign!$C$2:$J$142,8,FALSE),)</f>
        <v>0</v>
      </c>
      <c r="H38" s="236" t="s">
        <v>3921</v>
      </c>
      <c r="I38" s="236">
        <v>2</v>
      </c>
      <c r="J38" s="236">
        <v>1</v>
      </c>
      <c r="K38" s="355" t="s">
        <v>1373</v>
      </c>
      <c r="L38" s="356">
        <v>44540</v>
      </c>
      <c r="M38" s="357" t="s">
        <v>204</v>
      </c>
      <c r="N38" s="416">
        <v>960000000</v>
      </c>
      <c r="O38" s="416">
        <v>960000000</v>
      </c>
      <c r="P38" s="358"/>
      <c r="Q38" s="320"/>
      <c r="R38" s="168"/>
      <c r="S38" s="168"/>
      <c r="T38" s="287"/>
      <c r="U38" s="264"/>
      <c r="V38" s="198"/>
    </row>
    <row r="39" spans="1:22" s="90" customFormat="1" ht="19.5" hidden="1" customHeight="1">
      <c r="A39" s="137"/>
      <c r="B39" s="197">
        <f t="shared" si="1"/>
        <v>29</v>
      </c>
      <c r="C39" s="30" t="s">
        <v>206</v>
      </c>
      <c r="D39" s="30" t="s">
        <v>225</v>
      </c>
      <c r="E39" s="234" t="s">
        <v>657</v>
      </c>
      <c r="F39" s="235" t="s">
        <v>1300</v>
      </c>
      <c r="G39" s="284">
        <f>IFERROR(VLOOKUP(E39,Assign!$C$2:$J$142,8,FALSE),)</f>
        <v>0</v>
      </c>
      <c r="H39" s="236" t="s">
        <v>5378</v>
      </c>
      <c r="I39" s="236">
        <v>1</v>
      </c>
      <c r="J39" s="236">
        <v>1</v>
      </c>
      <c r="K39" s="355" t="s">
        <v>1373</v>
      </c>
      <c r="L39" s="356">
        <v>44684</v>
      </c>
      <c r="M39" s="357" t="s">
        <v>204</v>
      </c>
      <c r="N39" s="416">
        <v>2479200000</v>
      </c>
      <c r="O39" s="416">
        <v>2479200000</v>
      </c>
      <c r="P39" s="358"/>
      <c r="Q39" s="320"/>
      <c r="R39" s="168"/>
      <c r="S39" s="168"/>
      <c r="T39" s="287"/>
      <c r="U39" s="264"/>
      <c r="V39" s="198"/>
    </row>
    <row r="40" spans="1:22" s="90" customFormat="1" ht="19.5" hidden="1" customHeight="1">
      <c r="A40" s="137"/>
      <c r="B40" s="197">
        <f t="shared" si="1"/>
        <v>30</v>
      </c>
      <c r="C40" s="30" t="s">
        <v>206</v>
      </c>
      <c r="D40" s="30" t="s">
        <v>225</v>
      </c>
      <c r="E40" s="234" t="s">
        <v>658</v>
      </c>
      <c r="F40" s="235" t="s">
        <v>1301</v>
      </c>
      <c r="G40" s="284">
        <f>IFERROR(VLOOKUP(E40,Assign!$C$2:$J$142,8,FALSE),)</f>
        <v>0</v>
      </c>
      <c r="H40" s="236" t="s">
        <v>4986</v>
      </c>
      <c r="I40" s="236">
        <v>1</v>
      </c>
      <c r="J40" s="236">
        <v>1</v>
      </c>
      <c r="K40" s="355" t="s">
        <v>1373</v>
      </c>
      <c r="L40" s="356">
        <v>45624</v>
      </c>
      <c r="M40" s="357" t="s">
        <v>204</v>
      </c>
      <c r="N40" s="416">
        <v>960000000</v>
      </c>
      <c r="O40" s="416">
        <v>960000000</v>
      </c>
      <c r="P40" s="358" t="s">
        <v>1416</v>
      </c>
      <c r="Q40" s="320" t="s">
        <v>1387</v>
      </c>
      <c r="R40" s="168"/>
      <c r="S40" s="168"/>
      <c r="T40" s="287"/>
      <c r="U40" s="264"/>
      <c r="V40" s="198"/>
    </row>
    <row r="41" spans="1:22" s="90" customFormat="1" ht="19.5" hidden="1" customHeight="1">
      <c r="A41" s="137"/>
      <c r="B41" s="197">
        <f t="shared" si="1"/>
        <v>31</v>
      </c>
      <c r="C41" s="30" t="s">
        <v>206</v>
      </c>
      <c r="D41" s="30" t="s">
        <v>225</v>
      </c>
      <c r="E41" s="234" t="s">
        <v>658</v>
      </c>
      <c r="F41" s="235" t="s">
        <v>1301</v>
      </c>
      <c r="G41" s="284">
        <f>IFERROR(VLOOKUP(E41,Assign!$C$2:$J$142,8,FALSE),)</f>
        <v>0</v>
      </c>
      <c r="H41" s="236" t="s">
        <v>4986</v>
      </c>
      <c r="I41" s="236">
        <v>1</v>
      </c>
      <c r="J41" s="236">
        <v>2</v>
      </c>
      <c r="K41" s="355" t="s">
        <v>1373</v>
      </c>
      <c r="L41" s="356">
        <v>42010</v>
      </c>
      <c r="M41" s="357" t="s">
        <v>204</v>
      </c>
      <c r="N41" s="416">
        <v>384000000</v>
      </c>
      <c r="O41" s="416">
        <v>384000000</v>
      </c>
      <c r="P41" s="358" t="s">
        <v>1417</v>
      </c>
      <c r="Q41" s="320">
        <v>2</v>
      </c>
      <c r="R41" s="168"/>
      <c r="S41" s="168"/>
      <c r="T41" s="287"/>
      <c r="U41" s="264"/>
      <c r="V41" s="198"/>
    </row>
    <row r="42" spans="1:22" s="90" customFormat="1" ht="19.5" hidden="1" customHeight="1">
      <c r="A42" s="137"/>
      <c r="B42" s="197">
        <f t="shared" si="1"/>
        <v>32</v>
      </c>
      <c r="C42" s="30" t="s">
        <v>206</v>
      </c>
      <c r="D42" s="30" t="s">
        <v>225</v>
      </c>
      <c r="E42" s="234" t="s">
        <v>658</v>
      </c>
      <c r="F42" s="235" t="s">
        <v>1301</v>
      </c>
      <c r="G42" s="284">
        <f>IFERROR(VLOOKUP(E42,Assign!$C$2:$J$142,8,FALSE),)</f>
        <v>0</v>
      </c>
      <c r="H42" s="236" t="s">
        <v>4986</v>
      </c>
      <c r="I42" s="236">
        <v>1</v>
      </c>
      <c r="J42" s="236">
        <v>3</v>
      </c>
      <c r="K42" s="355" t="s">
        <v>1373</v>
      </c>
      <c r="L42" s="356">
        <v>42271</v>
      </c>
      <c r="M42" s="357" t="s">
        <v>204</v>
      </c>
      <c r="N42" s="416">
        <v>360000000</v>
      </c>
      <c r="O42" s="416">
        <v>360000000</v>
      </c>
      <c r="P42" s="358" t="s">
        <v>1418</v>
      </c>
      <c r="Q42" s="320">
        <v>2</v>
      </c>
      <c r="R42" s="168"/>
      <c r="S42" s="168"/>
      <c r="T42" s="287"/>
      <c r="U42" s="264"/>
      <c r="V42" s="198"/>
    </row>
    <row r="43" spans="1:22" s="90" customFormat="1" ht="19.5" hidden="1" customHeight="1">
      <c r="A43" s="137"/>
      <c r="B43" s="197">
        <f t="shared" si="1"/>
        <v>33</v>
      </c>
      <c r="C43" s="30" t="s">
        <v>206</v>
      </c>
      <c r="D43" s="30" t="s">
        <v>225</v>
      </c>
      <c r="E43" s="234" t="s">
        <v>658</v>
      </c>
      <c r="F43" s="235" t="s">
        <v>1301</v>
      </c>
      <c r="G43" s="284">
        <f>IFERROR(VLOOKUP(E43,Assign!$C$2:$J$142,8,FALSE),)</f>
        <v>0</v>
      </c>
      <c r="H43" s="236" t="s">
        <v>4986</v>
      </c>
      <c r="I43" s="236">
        <v>1</v>
      </c>
      <c r="J43" s="236">
        <v>4</v>
      </c>
      <c r="K43" s="355" t="s">
        <v>1373</v>
      </c>
      <c r="L43" s="356">
        <v>43762</v>
      </c>
      <c r="M43" s="357" t="s">
        <v>204</v>
      </c>
      <c r="N43" s="416">
        <v>180000000</v>
      </c>
      <c r="O43" s="416">
        <v>180000000</v>
      </c>
      <c r="P43" s="358" t="s">
        <v>1419</v>
      </c>
      <c r="Q43" s="320">
        <v>4</v>
      </c>
      <c r="R43" s="168"/>
      <c r="S43" s="168"/>
      <c r="T43" s="287"/>
      <c r="U43" s="264"/>
      <c r="V43" s="198"/>
    </row>
    <row r="44" spans="1:22" s="90" customFormat="1" ht="19.5" hidden="1" customHeight="1">
      <c r="A44" s="137"/>
      <c r="B44" s="197">
        <f t="shared" si="1"/>
        <v>34</v>
      </c>
      <c r="C44" s="30" t="s">
        <v>206</v>
      </c>
      <c r="D44" s="30" t="s">
        <v>225</v>
      </c>
      <c r="E44" s="234" t="s">
        <v>658</v>
      </c>
      <c r="F44" s="235" t="s">
        <v>1301</v>
      </c>
      <c r="G44" s="284">
        <f>IFERROR(VLOOKUP(E44,Assign!$C$2:$J$142,8,FALSE),)</f>
        <v>0</v>
      </c>
      <c r="H44" s="236" t="s">
        <v>4986</v>
      </c>
      <c r="I44" s="236">
        <v>1</v>
      </c>
      <c r="J44" s="236">
        <v>5</v>
      </c>
      <c r="K44" s="355" t="s">
        <v>1373</v>
      </c>
      <c r="L44" s="356">
        <v>44645</v>
      </c>
      <c r="M44" s="357" t="s">
        <v>204</v>
      </c>
      <c r="N44" s="416">
        <v>240000000</v>
      </c>
      <c r="O44" s="416">
        <v>240000000</v>
      </c>
      <c r="P44" s="358" t="s">
        <v>1420</v>
      </c>
      <c r="Q44" s="320" t="s">
        <v>1403</v>
      </c>
      <c r="R44" s="168"/>
      <c r="S44" s="168"/>
      <c r="T44" s="287"/>
      <c r="U44" s="264"/>
      <c r="V44" s="198"/>
    </row>
    <row r="45" spans="1:22" s="90" customFormat="1" ht="19.5" hidden="1" customHeight="1">
      <c r="A45" s="137"/>
      <c r="B45" s="197">
        <f t="shared" si="1"/>
        <v>35</v>
      </c>
      <c r="C45" s="30" t="s">
        <v>206</v>
      </c>
      <c r="D45" s="30" t="s">
        <v>225</v>
      </c>
      <c r="E45" s="234" t="s">
        <v>658</v>
      </c>
      <c r="F45" s="235" t="s">
        <v>1301</v>
      </c>
      <c r="G45" s="284">
        <f>IFERROR(VLOOKUP(E45,Assign!$C$2:$J$142,8,FALSE),)</f>
        <v>0</v>
      </c>
      <c r="H45" s="236" t="s">
        <v>4998</v>
      </c>
      <c r="I45" s="236">
        <v>2</v>
      </c>
      <c r="J45" s="236">
        <v>1</v>
      </c>
      <c r="K45" s="355" t="s">
        <v>1373</v>
      </c>
      <c r="L45" s="356">
        <v>41971</v>
      </c>
      <c r="M45" s="357" t="s">
        <v>204</v>
      </c>
      <c r="N45" s="416">
        <v>960000000</v>
      </c>
      <c r="O45" s="416">
        <v>960000000</v>
      </c>
      <c r="P45" s="358" t="s">
        <v>1416</v>
      </c>
      <c r="Q45" s="320" t="s">
        <v>381</v>
      </c>
      <c r="R45" s="168"/>
      <c r="S45" s="168"/>
      <c r="T45" s="287"/>
      <c r="U45" s="264"/>
      <c r="V45" s="198"/>
    </row>
    <row r="46" spans="1:22" s="90" customFormat="1" ht="19.5" hidden="1" customHeight="1">
      <c r="A46" s="137"/>
      <c r="B46" s="197">
        <f t="shared" si="1"/>
        <v>36</v>
      </c>
      <c r="C46" s="30" t="s">
        <v>206</v>
      </c>
      <c r="D46" s="30" t="s">
        <v>225</v>
      </c>
      <c r="E46" s="234" t="s">
        <v>658</v>
      </c>
      <c r="F46" s="235" t="s">
        <v>1301</v>
      </c>
      <c r="G46" s="284">
        <f>IFERROR(VLOOKUP(E46,Assign!$C$2:$J$142,8,FALSE),)</f>
        <v>0</v>
      </c>
      <c r="H46" s="236" t="s">
        <v>4998</v>
      </c>
      <c r="I46" s="236">
        <v>2</v>
      </c>
      <c r="J46" s="236">
        <v>2</v>
      </c>
      <c r="K46" s="355" t="s">
        <v>1373</v>
      </c>
      <c r="L46" s="356">
        <v>42010</v>
      </c>
      <c r="M46" s="357" t="s">
        <v>204</v>
      </c>
      <c r="N46" s="416">
        <v>384000000</v>
      </c>
      <c r="O46" s="416">
        <v>384000000</v>
      </c>
      <c r="P46" s="358" t="s">
        <v>1417</v>
      </c>
      <c r="Q46" s="320">
        <v>1</v>
      </c>
      <c r="R46" s="168"/>
      <c r="S46" s="168"/>
      <c r="T46" s="287"/>
      <c r="U46" s="264"/>
      <c r="V46" s="198"/>
    </row>
    <row r="47" spans="1:22" s="90" customFormat="1" ht="19.5" hidden="1" customHeight="1">
      <c r="A47" s="137"/>
      <c r="B47" s="197">
        <f t="shared" si="1"/>
        <v>37</v>
      </c>
      <c r="C47" s="30" t="s">
        <v>206</v>
      </c>
      <c r="D47" s="30" t="s">
        <v>225</v>
      </c>
      <c r="E47" s="234" t="s">
        <v>658</v>
      </c>
      <c r="F47" s="235" t="s">
        <v>1301</v>
      </c>
      <c r="G47" s="284">
        <f>IFERROR(VLOOKUP(E47,Assign!$C$2:$J$142,8,FALSE),)</f>
        <v>0</v>
      </c>
      <c r="H47" s="236" t="s">
        <v>4998</v>
      </c>
      <c r="I47" s="236">
        <v>2</v>
      </c>
      <c r="J47" s="236">
        <v>3</v>
      </c>
      <c r="K47" s="355" t="s">
        <v>1373</v>
      </c>
      <c r="L47" s="356">
        <v>42271</v>
      </c>
      <c r="M47" s="357" t="s">
        <v>204</v>
      </c>
      <c r="N47" s="416">
        <v>360000000</v>
      </c>
      <c r="O47" s="416">
        <v>360000000</v>
      </c>
      <c r="P47" s="358" t="s">
        <v>1418</v>
      </c>
      <c r="Q47" s="320">
        <v>1</v>
      </c>
      <c r="R47" s="168"/>
      <c r="S47" s="168"/>
      <c r="T47" s="287"/>
      <c r="U47" s="264"/>
      <c r="V47" s="198"/>
    </row>
    <row r="48" spans="1:22" s="90" customFormat="1" ht="19.5" hidden="1" customHeight="1">
      <c r="A48" s="137"/>
      <c r="B48" s="197">
        <f t="shared" si="1"/>
        <v>38</v>
      </c>
      <c r="C48" s="30" t="s">
        <v>206</v>
      </c>
      <c r="D48" s="30" t="s">
        <v>225</v>
      </c>
      <c r="E48" s="234" t="s">
        <v>658</v>
      </c>
      <c r="F48" s="235" t="s">
        <v>1301</v>
      </c>
      <c r="G48" s="284">
        <f>IFERROR(VLOOKUP(E48,Assign!$C$2:$J$142,8,FALSE),)</f>
        <v>0</v>
      </c>
      <c r="H48" s="236" t="s">
        <v>4998</v>
      </c>
      <c r="I48" s="236">
        <v>2</v>
      </c>
      <c r="J48" s="236">
        <v>4</v>
      </c>
      <c r="K48" s="355" t="s">
        <v>1373</v>
      </c>
      <c r="L48" s="356">
        <v>44645</v>
      </c>
      <c r="M48" s="357" t="s">
        <v>204</v>
      </c>
      <c r="N48" s="416">
        <v>240000000</v>
      </c>
      <c r="O48" s="416">
        <v>240000000</v>
      </c>
      <c r="P48" s="358" t="s">
        <v>1420</v>
      </c>
      <c r="Q48" s="320" t="s">
        <v>1404</v>
      </c>
      <c r="R48" s="168"/>
      <c r="S48" s="168"/>
      <c r="T48" s="287"/>
      <c r="U48" s="264"/>
      <c r="V48" s="198"/>
    </row>
    <row r="49" spans="1:22" s="90" customFormat="1" ht="19.5" hidden="1" customHeight="1">
      <c r="A49" s="137"/>
      <c r="B49" s="197">
        <f t="shared" si="1"/>
        <v>39</v>
      </c>
      <c r="C49" s="30" t="s">
        <v>206</v>
      </c>
      <c r="D49" s="30" t="s">
        <v>225</v>
      </c>
      <c r="E49" s="234" t="s">
        <v>658</v>
      </c>
      <c r="F49" s="235" t="s">
        <v>1301</v>
      </c>
      <c r="G49" s="284">
        <f>IFERROR(VLOOKUP(E49,Assign!$C$2:$J$142,8,FALSE),)</f>
        <v>0</v>
      </c>
      <c r="H49" s="236" t="s">
        <v>5000</v>
      </c>
      <c r="I49" s="236">
        <v>3</v>
      </c>
      <c r="J49" s="236">
        <v>1</v>
      </c>
      <c r="K49" s="355" t="s">
        <v>1373</v>
      </c>
      <c r="L49" s="356">
        <v>41971</v>
      </c>
      <c r="M49" s="357" t="s">
        <v>204</v>
      </c>
      <c r="N49" s="416">
        <v>960000000</v>
      </c>
      <c r="O49" s="416">
        <v>960000000</v>
      </c>
      <c r="P49" s="358" t="s">
        <v>1416</v>
      </c>
      <c r="Q49" s="320" t="s">
        <v>1388</v>
      </c>
      <c r="R49" s="168"/>
      <c r="S49" s="168"/>
      <c r="T49" s="287"/>
      <c r="U49" s="264"/>
      <c r="V49" s="198"/>
    </row>
    <row r="50" spans="1:22" s="90" customFormat="1" ht="19.5" hidden="1" customHeight="1">
      <c r="A50" s="137"/>
      <c r="B50" s="197">
        <f t="shared" si="1"/>
        <v>40</v>
      </c>
      <c r="C50" s="30" t="s">
        <v>206</v>
      </c>
      <c r="D50" s="30" t="s">
        <v>225</v>
      </c>
      <c r="E50" s="234" t="s">
        <v>658</v>
      </c>
      <c r="F50" s="235" t="s">
        <v>1301</v>
      </c>
      <c r="G50" s="284">
        <f>IFERROR(VLOOKUP(E50,Assign!$C$2:$J$142,8,FALSE),)</f>
        <v>0</v>
      </c>
      <c r="H50" s="236" t="s">
        <v>5000</v>
      </c>
      <c r="I50" s="236">
        <v>3</v>
      </c>
      <c r="J50" s="236">
        <v>2</v>
      </c>
      <c r="K50" s="355" t="s">
        <v>1373</v>
      </c>
      <c r="L50" s="356">
        <v>44645</v>
      </c>
      <c r="M50" s="357" t="s">
        <v>204</v>
      </c>
      <c r="N50" s="416">
        <v>240000000</v>
      </c>
      <c r="O50" s="416">
        <v>240000000</v>
      </c>
      <c r="P50" s="358" t="s">
        <v>1420</v>
      </c>
      <c r="Q50" s="320" t="s">
        <v>1405</v>
      </c>
      <c r="R50" s="168"/>
      <c r="S50" s="168"/>
      <c r="T50" s="287"/>
      <c r="U50" s="264"/>
      <c r="V50" s="198"/>
    </row>
    <row r="51" spans="1:22" s="90" customFormat="1" ht="19.5" hidden="1" customHeight="1">
      <c r="A51" s="137"/>
      <c r="B51" s="197">
        <f t="shared" si="1"/>
        <v>41</v>
      </c>
      <c r="C51" s="30" t="s">
        <v>206</v>
      </c>
      <c r="D51" s="30" t="s">
        <v>225</v>
      </c>
      <c r="E51" s="234" t="s">
        <v>658</v>
      </c>
      <c r="F51" s="235" t="s">
        <v>1301</v>
      </c>
      <c r="G51" s="284">
        <f>IFERROR(VLOOKUP(E51,Assign!$C$2:$J$142,8,FALSE),)</f>
        <v>0</v>
      </c>
      <c r="H51" s="236" t="s">
        <v>5002</v>
      </c>
      <c r="I51" s="236">
        <v>4</v>
      </c>
      <c r="J51" s="236">
        <v>1</v>
      </c>
      <c r="K51" s="355" t="s">
        <v>1373</v>
      </c>
      <c r="L51" s="356">
        <v>43762</v>
      </c>
      <c r="M51" s="357" t="s">
        <v>204</v>
      </c>
      <c r="N51" s="416">
        <v>180000000</v>
      </c>
      <c r="O51" s="416">
        <v>180000000</v>
      </c>
      <c r="P51" s="358" t="s">
        <v>1419</v>
      </c>
      <c r="Q51" s="320">
        <v>1</v>
      </c>
      <c r="R51" s="168"/>
      <c r="S51" s="168"/>
      <c r="T51" s="287"/>
      <c r="U51" s="264"/>
      <c r="V51" s="198"/>
    </row>
    <row r="52" spans="1:22" s="90" customFormat="1" ht="19.5" hidden="1" customHeight="1">
      <c r="A52" s="137"/>
      <c r="B52" s="197">
        <f t="shared" si="1"/>
        <v>42</v>
      </c>
      <c r="C52" s="30" t="s">
        <v>206</v>
      </c>
      <c r="D52" s="30" t="s">
        <v>225</v>
      </c>
      <c r="E52" s="234" t="s">
        <v>658</v>
      </c>
      <c r="F52" s="235" t="s">
        <v>1301</v>
      </c>
      <c r="G52" s="284">
        <f>IFERROR(VLOOKUP(E52,Assign!$C$2:$J$142,8,FALSE),)</f>
        <v>0</v>
      </c>
      <c r="H52" s="236" t="s">
        <v>5002</v>
      </c>
      <c r="I52" s="236">
        <v>4</v>
      </c>
      <c r="J52" s="236">
        <v>2</v>
      </c>
      <c r="K52" s="355" t="s">
        <v>1373</v>
      </c>
      <c r="L52" s="356">
        <v>44645</v>
      </c>
      <c r="M52" s="357" t="s">
        <v>204</v>
      </c>
      <c r="N52" s="416">
        <v>240000000</v>
      </c>
      <c r="O52" s="416">
        <v>240000000</v>
      </c>
      <c r="P52" s="358" t="s">
        <v>1420</v>
      </c>
      <c r="Q52" s="320" t="s">
        <v>1406</v>
      </c>
      <c r="R52" s="168"/>
      <c r="S52" s="168"/>
      <c r="T52" s="287"/>
      <c r="U52" s="264"/>
      <c r="V52" s="198"/>
    </row>
    <row r="53" spans="1:22" s="90" customFormat="1" ht="19.5" customHeight="1">
      <c r="A53" s="137"/>
      <c r="B53" s="197">
        <f t="shared" si="1"/>
        <v>43</v>
      </c>
      <c r="C53" s="30" t="s">
        <v>206</v>
      </c>
      <c r="D53" s="30" t="s">
        <v>225</v>
      </c>
      <c r="E53" s="234" t="s">
        <v>659</v>
      </c>
      <c r="F53" s="235" t="s">
        <v>1218</v>
      </c>
      <c r="G53" s="284" t="str">
        <f>IFERROR(VLOOKUP(E53,Assign!$C$2:$J$142,8,FALSE),)</f>
        <v>문선영</v>
      </c>
      <c r="H53" s="236" t="s">
        <v>5465</v>
      </c>
      <c r="I53" s="236">
        <v>1</v>
      </c>
      <c r="J53" s="236">
        <v>1</v>
      </c>
      <c r="K53" s="355" t="s">
        <v>1373</v>
      </c>
      <c r="L53" s="356">
        <v>45177</v>
      </c>
      <c r="M53" s="357" t="s">
        <v>204</v>
      </c>
      <c r="N53" s="416">
        <v>996000000</v>
      </c>
      <c r="O53" s="416">
        <v>996000000</v>
      </c>
      <c r="P53" s="358"/>
      <c r="Q53" s="320"/>
      <c r="R53" s="168"/>
      <c r="S53" s="168"/>
      <c r="T53" s="287"/>
      <c r="U53" s="264"/>
      <c r="V53" s="198"/>
    </row>
    <row r="54" spans="1:22" s="90" customFormat="1" ht="19.5" customHeight="1">
      <c r="A54" s="137"/>
      <c r="B54" s="197">
        <f t="shared" si="1"/>
        <v>44</v>
      </c>
      <c r="C54" s="30" t="s">
        <v>206</v>
      </c>
      <c r="D54" s="30" t="s">
        <v>225</v>
      </c>
      <c r="E54" s="234" t="s">
        <v>659</v>
      </c>
      <c r="F54" s="235" t="s">
        <v>1218</v>
      </c>
      <c r="G54" s="284" t="str">
        <f>IFERROR(VLOOKUP(E54,Assign!$C$2:$J$142,8,FALSE),)</f>
        <v>문선영</v>
      </c>
      <c r="H54" s="236" t="s">
        <v>5467</v>
      </c>
      <c r="I54" s="236">
        <v>2</v>
      </c>
      <c r="J54" s="236">
        <v>1</v>
      </c>
      <c r="K54" s="355" t="s">
        <v>1373</v>
      </c>
      <c r="L54" s="356">
        <v>45230</v>
      </c>
      <c r="M54" s="357" t="s">
        <v>204</v>
      </c>
      <c r="N54" s="416">
        <v>972000000</v>
      </c>
      <c r="O54" s="416">
        <v>972000000</v>
      </c>
      <c r="P54" s="358"/>
      <c r="Q54" s="320"/>
      <c r="R54" s="168"/>
      <c r="S54" s="168"/>
      <c r="T54" s="287"/>
      <c r="U54" s="264"/>
      <c r="V54" s="198"/>
    </row>
    <row r="55" spans="1:22" s="90" customFormat="1" ht="19.5" hidden="1" customHeight="1">
      <c r="A55" s="137"/>
      <c r="B55" s="197">
        <f t="shared" si="1"/>
        <v>45</v>
      </c>
      <c r="C55" s="30" t="s">
        <v>206</v>
      </c>
      <c r="D55" s="30" t="s">
        <v>225</v>
      </c>
      <c r="E55" s="234" t="s">
        <v>660</v>
      </c>
      <c r="F55" s="235" t="s">
        <v>1221</v>
      </c>
      <c r="G55" s="284">
        <f>IFERROR(VLOOKUP(E55,Assign!$C$2:$J$142,8,FALSE),)</f>
        <v>0</v>
      </c>
      <c r="H55" s="236" t="s">
        <v>4460</v>
      </c>
      <c r="I55" s="236">
        <v>1</v>
      </c>
      <c r="J55" s="236">
        <v>1</v>
      </c>
      <c r="K55" s="355" t="s">
        <v>1373</v>
      </c>
      <c r="L55" s="356">
        <v>44903</v>
      </c>
      <c r="M55" s="357" t="s">
        <v>204</v>
      </c>
      <c r="N55" s="416">
        <v>1980000000</v>
      </c>
      <c r="O55" s="416">
        <v>1980000000</v>
      </c>
      <c r="P55" s="358"/>
      <c r="Q55" s="320"/>
      <c r="R55" s="168"/>
      <c r="S55" s="168"/>
      <c r="T55" s="287"/>
      <c r="U55" s="264"/>
      <c r="V55" s="198"/>
    </row>
    <row r="56" spans="1:22" s="90" customFormat="1" ht="19.5" customHeight="1">
      <c r="A56" s="137"/>
      <c r="B56" s="197">
        <f t="shared" si="1"/>
        <v>46</v>
      </c>
      <c r="C56" s="30" t="s">
        <v>206</v>
      </c>
      <c r="D56" s="30" t="s">
        <v>225</v>
      </c>
      <c r="E56" s="234" t="s">
        <v>661</v>
      </c>
      <c r="F56" s="235" t="s">
        <v>1302</v>
      </c>
      <c r="G56" s="284" t="str">
        <f>IFERROR(VLOOKUP(E56,Assign!$C$2:$J$142,8,FALSE),)</f>
        <v>문선영</v>
      </c>
      <c r="H56" s="236" t="s">
        <v>4957</v>
      </c>
      <c r="I56" s="236">
        <v>1</v>
      </c>
      <c r="J56" s="236">
        <v>1</v>
      </c>
      <c r="K56" s="355" t="s">
        <v>1373</v>
      </c>
      <c r="L56" s="356">
        <v>44482</v>
      </c>
      <c r="M56" s="357" t="s">
        <v>204</v>
      </c>
      <c r="N56" s="416">
        <v>1824000000</v>
      </c>
      <c r="O56" s="416">
        <v>1824000000</v>
      </c>
      <c r="P56" s="358"/>
      <c r="Q56" s="320"/>
      <c r="R56" s="168"/>
      <c r="S56" s="168"/>
      <c r="T56" s="287"/>
      <c r="U56" s="264"/>
      <c r="V56" s="198"/>
    </row>
    <row r="57" spans="1:22" s="90" customFormat="1" ht="19.5" hidden="1" customHeight="1">
      <c r="A57" s="137"/>
      <c r="B57" s="197">
        <f t="shared" si="1"/>
        <v>47</v>
      </c>
      <c r="C57" s="30" t="s">
        <v>206</v>
      </c>
      <c r="D57" s="30" t="s">
        <v>225</v>
      </c>
      <c r="E57" s="234" t="s">
        <v>662</v>
      </c>
      <c r="F57" s="235" t="s">
        <v>1222</v>
      </c>
      <c r="G57" s="284">
        <f>IFERROR(VLOOKUP(E57,Assign!$C$2:$J$142,8,FALSE),)</f>
        <v>0</v>
      </c>
      <c r="H57" s="236" t="s">
        <v>4896</v>
      </c>
      <c r="I57" s="236">
        <v>1</v>
      </c>
      <c r="J57" s="236">
        <v>1</v>
      </c>
      <c r="K57" s="355" t="s">
        <v>1373</v>
      </c>
      <c r="L57" s="356">
        <v>41424</v>
      </c>
      <c r="M57" s="357" t="s">
        <v>204</v>
      </c>
      <c r="N57" s="416">
        <v>1620000000</v>
      </c>
      <c r="O57" s="416">
        <v>1620000000</v>
      </c>
      <c r="P57" s="358"/>
      <c r="Q57" s="320"/>
      <c r="R57" s="168"/>
      <c r="S57" s="168"/>
      <c r="T57" s="287"/>
      <c r="U57" s="264"/>
      <c r="V57" s="198"/>
    </row>
    <row r="58" spans="1:22" s="90" customFormat="1" ht="19.5" hidden="1" customHeight="1">
      <c r="A58" s="137"/>
      <c r="B58" s="197">
        <f t="shared" si="1"/>
        <v>48</v>
      </c>
      <c r="C58" s="30" t="s">
        <v>206</v>
      </c>
      <c r="D58" s="30" t="s">
        <v>225</v>
      </c>
      <c r="E58" s="234" t="s">
        <v>662</v>
      </c>
      <c r="F58" s="235" t="s">
        <v>1222</v>
      </c>
      <c r="G58" s="284">
        <f>IFERROR(VLOOKUP(E58,Assign!$C$2:$J$142,8,FALSE),)</f>
        <v>0</v>
      </c>
      <c r="H58" s="236" t="s">
        <v>4896</v>
      </c>
      <c r="I58" s="236">
        <v>1</v>
      </c>
      <c r="J58" s="236">
        <v>2</v>
      </c>
      <c r="K58" s="355" t="s">
        <v>1373</v>
      </c>
      <c r="L58" s="356">
        <v>42167</v>
      </c>
      <c r="M58" s="357" t="s">
        <v>204</v>
      </c>
      <c r="N58" s="416">
        <v>240000000</v>
      </c>
      <c r="O58" s="416">
        <v>240000000</v>
      </c>
      <c r="P58" s="358"/>
      <c r="Q58" s="320"/>
      <c r="R58" s="168"/>
      <c r="S58" s="168"/>
      <c r="T58" s="287"/>
      <c r="U58" s="264"/>
      <c r="V58" s="198"/>
    </row>
    <row r="59" spans="1:22" s="90" customFormat="1" ht="19.5" hidden="1" customHeight="1">
      <c r="A59" s="137"/>
      <c r="B59" s="197">
        <f t="shared" si="1"/>
        <v>49</v>
      </c>
      <c r="C59" s="30" t="s">
        <v>206</v>
      </c>
      <c r="D59" s="30" t="s">
        <v>225</v>
      </c>
      <c r="E59" s="234" t="s">
        <v>663</v>
      </c>
      <c r="F59" s="235" t="s">
        <v>1303</v>
      </c>
      <c r="G59" s="284">
        <f>IFERROR(VLOOKUP(E59,Assign!$C$2:$J$142,8,FALSE),)</f>
        <v>0</v>
      </c>
      <c r="H59" s="236" t="s">
        <v>5069</v>
      </c>
      <c r="I59" s="236">
        <v>1</v>
      </c>
      <c r="J59" s="236">
        <v>1</v>
      </c>
      <c r="K59" s="355" t="s">
        <v>1373</v>
      </c>
      <c r="L59" s="356">
        <v>45289</v>
      </c>
      <c r="M59" s="357" t="s">
        <v>204</v>
      </c>
      <c r="N59" s="416">
        <v>1308000000</v>
      </c>
      <c r="O59" s="416">
        <v>1308000000</v>
      </c>
      <c r="P59" s="358"/>
      <c r="Q59" s="320"/>
      <c r="R59" s="168"/>
      <c r="S59" s="168"/>
      <c r="T59" s="287"/>
      <c r="U59" s="264"/>
      <c r="V59" s="198"/>
    </row>
    <row r="60" spans="1:22" s="90" customFormat="1" ht="19.5" customHeight="1">
      <c r="A60" s="137"/>
      <c r="B60" s="197">
        <f t="shared" si="1"/>
        <v>50</v>
      </c>
      <c r="C60" s="30" t="s">
        <v>206</v>
      </c>
      <c r="D60" s="30" t="s">
        <v>225</v>
      </c>
      <c r="E60" s="234" t="s">
        <v>664</v>
      </c>
      <c r="F60" s="235" t="s">
        <v>1223</v>
      </c>
      <c r="G60" s="284" t="str">
        <f>IFERROR(VLOOKUP(E60,Assign!$C$2:$J$142,8,FALSE),)</f>
        <v>문선영</v>
      </c>
      <c r="H60" s="236" t="s">
        <v>5046</v>
      </c>
      <c r="I60" s="236">
        <v>1</v>
      </c>
      <c r="J60" s="236">
        <v>1</v>
      </c>
      <c r="K60" s="355" t="s">
        <v>1373</v>
      </c>
      <c r="L60" s="356">
        <v>43200</v>
      </c>
      <c r="M60" s="357" t="s">
        <v>204</v>
      </c>
      <c r="N60" s="416">
        <v>504000000</v>
      </c>
      <c r="O60" s="416">
        <v>504000000</v>
      </c>
      <c r="P60" s="358"/>
      <c r="Q60" s="320"/>
      <c r="R60" s="168"/>
      <c r="S60" s="168"/>
      <c r="T60" s="287"/>
      <c r="U60" s="264"/>
      <c r="V60" s="198"/>
    </row>
    <row r="61" spans="1:22" s="90" customFormat="1" ht="19.5" customHeight="1">
      <c r="A61" s="137"/>
      <c r="B61" s="197">
        <f t="shared" si="1"/>
        <v>51</v>
      </c>
      <c r="C61" s="30" t="s">
        <v>206</v>
      </c>
      <c r="D61" s="30" t="s">
        <v>225</v>
      </c>
      <c r="E61" s="234" t="s">
        <v>664</v>
      </c>
      <c r="F61" s="235" t="s">
        <v>1223</v>
      </c>
      <c r="G61" s="284" t="str">
        <f>IFERROR(VLOOKUP(E61,Assign!$C$2:$J$142,8,FALSE),)</f>
        <v>문선영</v>
      </c>
      <c r="H61" s="236" t="s">
        <v>5046</v>
      </c>
      <c r="I61" s="236">
        <v>1</v>
      </c>
      <c r="J61" s="236">
        <v>2</v>
      </c>
      <c r="K61" s="355" t="s">
        <v>1373</v>
      </c>
      <c r="L61" s="356">
        <v>43402</v>
      </c>
      <c r="M61" s="357" t="s">
        <v>204</v>
      </c>
      <c r="N61" s="416">
        <v>120000000</v>
      </c>
      <c r="O61" s="416">
        <v>120000000</v>
      </c>
      <c r="P61" s="358"/>
      <c r="Q61" s="320"/>
      <c r="R61" s="168"/>
      <c r="S61" s="168"/>
      <c r="T61" s="287"/>
      <c r="U61" s="264"/>
      <c r="V61" s="198"/>
    </row>
    <row r="62" spans="1:22" s="90" customFormat="1" ht="19.5" customHeight="1">
      <c r="A62" s="137"/>
      <c r="B62" s="197">
        <f t="shared" si="1"/>
        <v>52</v>
      </c>
      <c r="C62" s="30" t="s">
        <v>206</v>
      </c>
      <c r="D62" s="30" t="s">
        <v>225</v>
      </c>
      <c r="E62" s="234" t="s">
        <v>664</v>
      </c>
      <c r="F62" s="235" t="s">
        <v>1223</v>
      </c>
      <c r="G62" s="284" t="str">
        <f>IFERROR(VLOOKUP(E62,Assign!$C$2:$J$142,8,FALSE),)</f>
        <v>문선영</v>
      </c>
      <c r="H62" s="236" t="s">
        <v>5046</v>
      </c>
      <c r="I62" s="236">
        <v>1</v>
      </c>
      <c r="J62" s="236">
        <v>3</v>
      </c>
      <c r="K62" s="355" t="s">
        <v>1373</v>
      </c>
      <c r="L62" s="356">
        <v>43738</v>
      </c>
      <c r="M62" s="357" t="s">
        <v>204</v>
      </c>
      <c r="N62" s="416">
        <v>180000000</v>
      </c>
      <c r="O62" s="416">
        <v>180000000</v>
      </c>
      <c r="P62" s="358"/>
      <c r="Q62" s="320"/>
      <c r="R62" s="168"/>
      <c r="S62" s="168"/>
      <c r="T62" s="287"/>
      <c r="U62" s="264"/>
      <c r="V62" s="198"/>
    </row>
    <row r="63" spans="1:22" s="90" customFormat="1" ht="19.5" customHeight="1">
      <c r="A63" s="137"/>
      <c r="B63" s="197">
        <f t="shared" si="1"/>
        <v>53</v>
      </c>
      <c r="C63" s="30" t="s">
        <v>206</v>
      </c>
      <c r="D63" s="30" t="s">
        <v>225</v>
      </c>
      <c r="E63" s="234" t="s">
        <v>664</v>
      </c>
      <c r="F63" s="235" t="s">
        <v>1223</v>
      </c>
      <c r="G63" s="284" t="str">
        <f>IFERROR(VLOOKUP(E63,Assign!$C$2:$J$142,8,FALSE),)</f>
        <v>문선영</v>
      </c>
      <c r="H63" s="236" t="s">
        <v>5046</v>
      </c>
      <c r="I63" s="236">
        <v>1</v>
      </c>
      <c r="J63" s="236">
        <v>4</v>
      </c>
      <c r="K63" s="355" t="s">
        <v>1373</v>
      </c>
      <c r="L63" s="356">
        <v>43908</v>
      </c>
      <c r="M63" s="357" t="s">
        <v>204</v>
      </c>
      <c r="N63" s="416">
        <v>120000000</v>
      </c>
      <c r="O63" s="416">
        <v>120000000</v>
      </c>
      <c r="P63" s="358"/>
      <c r="Q63" s="320"/>
      <c r="R63" s="168"/>
      <c r="S63" s="168"/>
      <c r="T63" s="287"/>
      <c r="U63" s="264"/>
      <c r="V63" s="198"/>
    </row>
    <row r="64" spans="1:22" s="90" customFormat="1" ht="19.5" customHeight="1">
      <c r="A64" s="137"/>
      <c r="B64" s="197">
        <f t="shared" si="1"/>
        <v>54</v>
      </c>
      <c r="C64" s="30" t="s">
        <v>206</v>
      </c>
      <c r="D64" s="30" t="s">
        <v>225</v>
      </c>
      <c r="E64" s="234" t="s">
        <v>664</v>
      </c>
      <c r="F64" s="235" t="s">
        <v>1223</v>
      </c>
      <c r="G64" s="284" t="str">
        <f>IFERROR(VLOOKUP(E64,Assign!$C$2:$J$142,8,FALSE),)</f>
        <v>문선영</v>
      </c>
      <c r="H64" s="236" t="s">
        <v>5048</v>
      </c>
      <c r="I64" s="236">
        <v>2</v>
      </c>
      <c r="J64" s="236">
        <v>1</v>
      </c>
      <c r="K64" s="355" t="s">
        <v>1373</v>
      </c>
      <c r="L64" s="356">
        <v>43530</v>
      </c>
      <c r="M64" s="357" t="s">
        <v>204</v>
      </c>
      <c r="N64" s="416">
        <v>704400000</v>
      </c>
      <c r="O64" s="416">
        <v>704400000</v>
      </c>
      <c r="P64" s="358"/>
      <c r="Q64" s="320"/>
      <c r="R64" s="168"/>
      <c r="S64" s="168"/>
      <c r="T64" s="287"/>
      <c r="U64" s="264"/>
      <c r="V64" s="198"/>
    </row>
    <row r="65" spans="1:22" s="90" customFormat="1" ht="19.5" customHeight="1">
      <c r="A65" s="137"/>
      <c r="B65" s="197">
        <f t="shared" si="1"/>
        <v>55</v>
      </c>
      <c r="C65" s="30" t="s">
        <v>206</v>
      </c>
      <c r="D65" s="30" t="s">
        <v>225</v>
      </c>
      <c r="E65" s="234" t="s">
        <v>665</v>
      </c>
      <c r="F65" s="235" t="s">
        <v>1224</v>
      </c>
      <c r="G65" s="284" t="str">
        <f>IFERROR(VLOOKUP(E65,Assign!$C$2:$J$142,8,FALSE),)</f>
        <v>문선영</v>
      </c>
      <c r="H65" s="236" t="s">
        <v>4308</v>
      </c>
      <c r="I65" s="236">
        <v>1</v>
      </c>
      <c r="J65" s="236">
        <v>1</v>
      </c>
      <c r="K65" s="355" t="s">
        <v>1373</v>
      </c>
      <c r="L65" s="356">
        <v>43217</v>
      </c>
      <c r="M65" s="357" t="s">
        <v>204</v>
      </c>
      <c r="N65" s="416">
        <v>1380000000</v>
      </c>
      <c r="O65" s="416">
        <v>1380000000</v>
      </c>
      <c r="P65" s="358"/>
      <c r="Q65" s="320"/>
      <c r="R65" s="168"/>
      <c r="S65" s="168"/>
      <c r="T65" s="287"/>
      <c r="U65" s="264"/>
      <c r="V65" s="198"/>
    </row>
    <row r="66" spans="1:22" s="90" customFormat="1" ht="19.5" hidden="1" customHeight="1">
      <c r="A66" s="137"/>
      <c r="B66" s="197">
        <f t="shared" si="1"/>
        <v>56</v>
      </c>
      <c r="C66" s="30" t="s">
        <v>206</v>
      </c>
      <c r="D66" s="30" t="s">
        <v>225</v>
      </c>
      <c r="E66" s="234" t="s">
        <v>666</v>
      </c>
      <c r="F66" s="235" t="s">
        <v>1217</v>
      </c>
      <c r="G66" s="284">
        <f>IFERROR(VLOOKUP(E66,Assign!$C$2:$J$142,8,FALSE),)</f>
        <v>0</v>
      </c>
      <c r="H66" s="236" t="s">
        <v>4642</v>
      </c>
      <c r="I66" s="236">
        <v>1</v>
      </c>
      <c r="J66" s="236">
        <v>1</v>
      </c>
      <c r="K66" s="355" t="s">
        <v>1373</v>
      </c>
      <c r="L66" s="356">
        <v>41257</v>
      </c>
      <c r="M66" s="357" t="s">
        <v>204</v>
      </c>
      <c r="N66" s="416">
        <v>1680000000</v>
      </c>
      <c r="O66" s="416">
        <v>1680000000</v>
      </c>
      <c r="P66" s="358"/>
      <c r="Q66" s="320"/>
      <c r="R66" s="168"/>
      <c r="S66" s="168"/>
      <c r="T66" s="287"/>
      <c r="U66" s="264"/>
      <c r="V66" s="198"/>
    </row>
    <row r="67" spans="1:22" s="90" customFormat="1" ht="19.5" hidden="1" customHeight="1">
      <c r="A67" s="137"/>
      <c r="B67" s="197">
        <f t="shared" si="1"/>
        <v>57</v>
      </c>
      <c r="C67" s="30" t="s">
        <v>206</v>
      </c>
      <c r="D67" s="30" t="s">
        <v>225</v>
      </c>
      <c r="E67" s="234" t="s">
        <v>667</v>
      </c>
      <c r="F67" s="235" t="s">
        <v>1225</v>
      </c>
      <c r="G67" s="284">
        <f>IFERROR(VLOOKUP(E67,Assign!$C$2:$J$142,8,FALSE),)</f>
        <v>0</v>
      </c>
      <c r="H67" s="236" t="s">
        <v>3878</v>
      </c>
      <c r="I67" s="236">
        <v>1</v>
      </c>
      <c r="J67" s="236">
        <v>1</v>
      </c>
      <c r="K67" s="355" t="s">
        <v>1373</v>
      </c>
      <c r="L67" s="356">
        <v>41215</v>
      </c>
      <c r="M67" s="357" t="s">
        <v>204</v>
      </c>
      <c r="N67" s="416">
        <v>240000000</v>
      </c>
      <c r="O67" s="416">
        <v>240000000</v>
      </c>
      <c r="P67" s="358"/>
      <c r="Q67" s="320"/>
      <c r="R67" s="168"/>
      <c r="S67" s="168"/>
      <c r="T67" s="287"/>
      <c r="U67" s="264"/>
      <c r="V67" s="198"/>
    </row>
    <row r="68" spans="1:22" s="90" customFormat="1" ht="19.5" hidden="1" customHeight="1">
      <c r="A68" s="137"/>
      <c r="B68" s="197">
        <f t="shared" si="1"/>
        <v>58</v>
      </c>
      <c r="C68" s="30" t="s">
        <v>206</v>
      </c>
      <c r="D68" s="30" t="s">
        <v>225</v>
      </c>
      <c r="E68" s="234" t="s">
        <v>667</v>
      </c>
      <c r="F68" s="235" t="s">
        <v>1225</v>
      </c>
      <c r="G68" s="284">
        <f>IFERROR(VLOOKUP(E68,Assign!$C$2:$J$142,8,FALSE),)</f>
        <v>0</v>
      </c>
      <c r="H68" s="236" t="s">
        <v>3878</v>
      </c>
      <c r="I68" s="236">
        <v>1</v>
      </c>
      <c r="J68" s="236">
        <v>2</v>
      </c>
      <c r="K68" s="355" t="s">
        <v>1373</v>
      </c>
      <c r="L68" s="356">
        <v>41393</v>
      </c>
      <c r="M68" s="357" t="s">
        <v>204</v>
      </c>
      <c r="N68" s="416">
        <v>120000000</v>
      </c>
      <c r="O68" s="416">
        <v>120000000</v>
      </c>
      <c r="P68" s="358"/>
      <c r="Q68" s="320"/>
      <c r="R68" s="168"/>
      <c r="S68" s="168"/>
      <c r="T68" s="287"/>
      <c r="U68" s="264"/>
      <c r="V68" s="198"/>
    </row>
    <row r="69" spans="1:22" s="90" customFormat="1" ht="19.5" hidden="1" customHeight="1">
      <c r="A69" s="137"/>
      <c r="B69" s="197">
        <f t="shared" si="1"/>
        <v>59</v>
      </c>
      <c r="C69" s="30" t="s">
        <v>206</v>
      </c>
      <c r="D69" s="30" t="s">
        <v>225</v>
      </c>
      <c r="E69" s="234" t="s">
        <v>667</v>
      </c>
      <c r="F69" s="235" t="s">
        <v>1225</v>
      </c>
      <c r="G69" s="284">
        <f>IFERROR(VLOOKUP(E69,Assign!$C$2:$J$142,8,FALSE),)</f>
        <v>0</v>
      </c>
      <c r="H69" s="236" t="s">
        <v>3878</v>
      </c>
      <c r="I69" s="236">
        <v>1</v>
      </c>
      <c r="J69" s="236">
        <v>3</v>
      </c>
      <c r="K69" s="355" t="s">
        <v>1373</v>
      </c>
      <c r="L69" s="356">
        <v>41493</v>
      </c>
      <c r="M69" s="357" t="s">
        <v>204</v>
      </c>
      <c r="N69" s="416">
        <v>240000000</v>
      </c>
      <c r="O69" s="416">
        <v>240000000</v>
      </c>
      <c r="P69" s="358"/>
      <c r="Q69" s="320"/>
      <c r="R69" s="168"/>
      <c r="S69" s="168"/>
      <c r="T69" s="287"/>
      <c r="U69" s="264"/>
      <c r="V69" s="198"/>
    </row>
    <row r="70" spans="1:22" s="90" customFormat="1" ht="19.5" hidden="1" customHeight="1">
      <c r="A70" s="137"/>
      <c r="B70" s="197">
        <f t="shared" si="1"/>
        <v>60</v>
      </c>
      <c r="C70" s="30" t="s">
        <v>206</v>
      </c>
      <c r="D70" s="30" t="s">
        <v>225</v>
      </c>
      <c r="E70" s="234" t="s">
        <v>667</v>
      </c>
      <c r="F70" s="235" t="s">
        <v>1225</v>
      </c>
      <c r="G70" s="284">
        <f>IFERROR(VLOOKUP(E70,Assign!$C$2:$J$142,8,FALSE),)</f>
        <v>0</v>
      </c>
      <c r="H70" s="236" t="s">
        <v>3878</v>
      </c>
      <c r="I70" s="236">
        <v>1</v>
      </c>
      <c r="J70" s="236">
        <v>4</v>
      </c>
      <c r="K70" s="355" t="s">
        <v>1373</v>
      </c>
      <c r="L70" s="356">
        <v>41726</v>
      </c>
      <c r="M70" s="357" t="s">
        <v>204</v>
      </c>
      <c r="N70" s="416">
        <v>228000000</v>
      </c>
      <c r="O70" s="416">
        <v>228000000</v>
      </c>
      <c r="P70" s="358"/>
      <c r="Q70" s="320"/>
      <c r="R70" s="168"/>
      <c r="S70" s="168"/>
      <c r="T70" s="287"/>
      <c r="U70" s="264"/>
      <c r="V70" s="198"/>
    </row>
    <row r="71" spans="1:22" s="90" customFormat="1" ht="19.5" hidden="1" customHeight="1">
      <c r="A71" s="137"/>
      <c r="B71" s="197">
        <f t="shared" si="1"/>
        <v>61</v>
      </c>
      <c r="C71" s="30" t="s">
        <v>206</v>
      </c>
      <c r="D71" s="30" t="s">
        <v>225</v>
      </c>
      <c r="E71" s="234" t="s">
        <v>667</v>
      </c>
      <c r="F71" s="235" t="s">
        <v>1225</v>
      </c>
      <c r="G71" s="284">
        <f>IFERROR(VLOOKUP(E71,Assign!$C$2:$J$142,8,FALSE),)</f>
        <v>0</v>
      </c>
      <c r="H71" s="236" t="s">
        <v>3878</v>
      </c>
      <c r="I71" s="236">
        <v>1</v>
      </c>
      <c r="J71" s="236">
        <v>5</v>
      </c>
      <c r="K71" s="355" t="s">
        <v>1373</v>
      </c>
      <c r="L71" s="356">
        <v>43798</v>
      </c>
      <c r="M71" s="357" t="s">
        <v>204</v>
      </c>
      <c r="N71" s="416">
        <v>300000000</v>
      </c>
      <c r="O71" s="416">
        <v>300000000</v>
      </c>
      <c r="P71" s="358"/>
      <c r="Q71" s="320"/>
      <c r="R71" s="168"/>
      <c r="S71" s="168"/>
      <c r="T71" s="287"/>
      <c r="U71" s="264"/>
      <c r="V71" s="198"/>
    </row>
    <row r="72" spans="1:22" s="90" customFormat="1" ht="19.5" hidden="1" customHeight="1">
      <c r="A72" s="137"/>
      <c r="B72" s="197">
        <f t="shared" si="1"/>
        <v>62</v>
      </c>
      <c r="C72" s="30" t="s">
        <v>206</v>
      </c>
      <c r="D72" s="30" t="s">
        <v>225</v>
      </c>
      <c r="E72" s="234" t="s">
        <v>668</v>
      </c>
      <c r="F72" s="235" t="s">
        <v>1225</v>
      </c>
      <c r="G72" s="284">
        <f>IFERROR(VLOOKUP(E72,Assign!$C$2:$J$142,8,FALSE),)</f>
        <v>0</v>
      </c>
      <c r="H72" s="236" t="s">
        <v>4268</v>
      </c>
      <c r="I72" s="236">
        <v>1</v>
      </c>
      <c r="J72" s="236">
        <v>1</v>
      </c>
      <c r="K72" s="355" t="s">
        <v>1373</v>
      </c>
      <c r="L72" s="356">
        <v>39282</v>
      </c>
      <c r="M72" s="357" t="s">
        <v>204</v>
      </c>
      <c r="N72" s="416">
        <v>195000000</v>
      </c>
      <c r="O72" s="416">
        <v>195000000</v>
      </c>
      <c r="P72" s="358"/>
      <c r="Q72" s="320"/>
      <c r="R72" s="168"/>
      <c r="S72" s="168"/>
      <c r="T72" s="287"/>
      <c r="U72" s="264"/>
      <c r="V72" s="198"/>
    </row>
    <row r="73" spans="1:22" s="90" customFormat="1" ht="19.5" hidden="1" customHeight="1">
      <c r="A73" s="137"/>
      <c r="B73" s="197">
        <f t="shared" si="1"/>
        <v>63</v>
      </c>
      <c r="C73" s="30" t="s">
        <v>206</v>
      </c>
      <c r="D73" s="30" t="s">
        <v>225</v>
      </c>
      <c r="E73" s="234" t="s">
        <v>668</v>
      </c>
      <c r="F73" s="235" t="s">
        <v>1225</v>
      </c>
      <c r="G73" s="284">
        <f>IFERROR(VLOOKUP(E73,Assign!$C$2:$J$142,8,FALSE),)</f>
        <v>0</v>
      </c>
      <c r="H73" s="236" t="s">
        <v>4268</v>
      </c>
      <c r="I73" s="236">
        <v>1</v>
      </c>
      <c r="J73" s="236">
        <v>2</v>
      </c>
      <c r="K73" s="355" t="s">
        <v>1373</v>
      </c>
      <c r="L73" s="356">
        <v>42650</v>
      </c>
      <c r="M73" s="357" t="s">
        <v>204</v>
      </c>
      <c r="N73" s="416">
        <v>120000000</v>
      </c>
      <c r="O73" s="416">
        <v>120000000</v>
      </c>
      <c r="P73" s="358"/>
      <c r="Q73" s="320"/>
      <c r="R73" s="168"/>
      <c r="S73" s="168"/>
      <c r="T73" s="287"/>
      <c r="U73" s="264"/>
      <c r="V73" s="198"/>
    </row>
    <row r="74" spans="1:22" s="90" customFormat="1" ht="19.5" hidden="1" customHeight="1">
      <c r="A74" s="137"/>
      <c r="B74" s="197">
        <f t="shared" si="1"/>
        <v>64</v>
      </c>
      <c r="C74" s="30" t="s">
        <v>206</v>
      </c>
      <c r="D74" s="30" t="s">
        <v>225</v>
      </c>
      <c r="E74" s="234" t="s">
        <v>668</v>
      </c>
      <c r="F74" s="235" t="s">
        <v>1225</v>
      </c>
      <c r="G74" s="284">
        <f>IFERROR(VLOOKUP(E74,Assign!$C$2:$J$142,8,FALSE),)</f>
        <v>0</v>
      </c>
      <c r="H74" s="236" t="s">
        <v>4268</v>
      </c>
      <c r="I74" s="236">
        <v>1</v>
      </c>
      <c r="J74" s="236">
        <v>3</v>
      </c>
      <c r="K74" s="355" t="s">
        <v>1373</v>
      </c>
      <c r="L74" s="356">
        <v>42972</v>
      </c>
      <c r="M74" s="357" t="s">
        <v>204</v>
      </c>
      <c r="N74" s="416">
        <v>120000000</v>
      </c>
      <c r="O74" s="416">
        <v>120000000</v>
      </c>
      <c r="P74" s="358"/>
      <c r="Q74" s="320">
        <v>2</v>
      </c>
      <c r="R74" s="168"/>
      <c r="S74" s="168"/>
      <c r="T74" s="287"/>
      <c r="U74" s="264"/>
      <c r="V74" s="198"/>
    </row>
    <row r="75" spans="1:22" s="90" customFormat="1" ht="19.5" hidden="1" customHeight="1">
      <c r="A75" s="137"/>
      <c r="B75" s="197">
        <f t="shared" ref="B75:B138" si="2">ROW()-10</f>
        <v>65</v>
      </c>
      <c r="C75" s="30" t="s">
        <v>206</v>
      </c>
      <c r="D75" s="30" t="s">
        <v>225</v>
      </c>
      <c r="E75" s="234" t="s">
        <v>668</v>
      </c>
      <c r="F75" s="235" t="s">
        <v>1225</v>
      </c>
      <c r="G75" s="284">
        <f>IFERROR(VLOOKUP(E75,Assign!$C$2:$J$142,8,FALSE),)</f>
        <v>0</v>
      </c>
      <c r="H75" s="236" t="s">
        <v>4268</v>
      </c>
      <c r="I75" s="236">
        <v>1</v>
      </c>
      <c r="J75" s="236">
        <v>4</v>
      </c>
      <c r="K75" s="355" t="s">
        <v>1373</v>
      </c>
      <c r="L75" s="356">
        <v>43670</v>
      </c>
      <c r="M75" s="357" t="s">
        <v>204</v>
      </c>
      <c r="N75" s="416">
        <v>120000000</v>
      </c>
      <c r="O75" s="416">
        <v>120000000</v>
      </c>
      <c r="P75" s="358"/>
      <c r="Q75" s="320">
        <v>2</v>
      </c>
      <c r="R75" s="168"/>
      <c r="S75" s="168"/>
      <c r="T75" s="287"/>
      <c r="U75" s="264"/>
      <c r="V75" s="198"/>
    </row>
    <row r="76" spans="1:22" s="90" customFormat="1" ht="19.5" hidden="1" customHeight="1">
      <c r="A76" s="137"/>
      <c r="B76" s="197">
        <f t="shared" si="2"/>
        <v>66</v>
      </c>
      <c r="C76" s="30" t="s">
        <v>206</v>
      </c>
      <c r="D76" s="30" t="s">
        <v>225</v>
      </c>
      <c r="E76" s="234" t="s">
        <v>668</v>
      </c>
      <c r="F76" s="235" t="s">
        <v>1225</v>
      </c>
      <c r="G76" s="284">
        <f>IFERROR(VLOOKUP(E76,Assign!$C$2:$J$142,8,FALSE),)</f>
        <v>0</v>
      </c>
      <c r="H76" s="236" t="s">
        <v>4270</v>
      </c>
      <c r="I76" s="236">
        <v>2</v>
      </c>
      <c r="J76" s="236">
        <v>1</v>
      </c>
      <c r="K76" s="355" t="s">
        <v>1373</v>
      </c>
      <c r="L76" s="356">
        <v>41050</v>
      </c>
      <c r="M76" s="357" t="s">
        <v>204</v>
      </c>
      <c r="N76" s="416">
        <v>226200000</v>
      </c>
      <c r="O76" s="416">
        <v>226200000</v>
      </c>
      <c r="P76" s="358"/>
      <c r="Q76" s="320"/>
      <c r="R76" s="168"/>
      <c r="S76" s="168"/>
      <c r="T76" s="287"/>
      <c r="U76" s="264"/>
      <c r="V76" s="198"/>
    </row>
    <row r="77" spans="1:22" s="90" customFormat="1" ht="19.5" hidden="1" customHeight="1">
      <c r="A77" s="137"/>
      <c r="B77" s="197">
        <f t="shared" si="2"/>
        <v>67</v>
      </c>
      <c r="C77" s="30" t="s">
        <v>206</v>
      </c>
      <c r="D77" s="30" t="s">
        <v>225</v>
      </c>
      <c r="E77" s="234" t="s">
        <v>668</v>
      </c>
      <c r="F77" s="235" t="s">
        <v>1225</v>
      </c>
      <c r="G77" s="284">
        <f>IFERROR(VLOOKUP(E77,Assign!$C$2:$J$142,8,FALSE),)</f>
        <v>0</v>
      </c>
      <c r="H77" s="236" t="s">
        <v>4270</v>
      </c>
      <c r="I77" s="236">
        <v>2</v>
      </c>
      <c r="J77" s="236">
        <v>2</v>
      </c>
      <c r="K77" s="355" t="s">
        <v>1373</v>
      </c>
      <c r="L77" s="356">
        <v>42972</v>
      </c>
      <c r="M77" s="357" t="s">
        <v>204</v>
      </c>
      <c r="N77" s="416">
        <v>120000000</v>
      </c>
      <c r="O77" s="416">
        <v>120000000</v>
      </c>
      <c r="P77" s="358"/>
      <c r="Q77" s="320">
        <v>1</v>
      </c>
      <c r="R77" s="168"/>
      <c r="S77" s="168"/>
      <c r="T77" s="287"/>
      <c r="U77" s="264"/>
      <c r="V77" s="198"/>
    </row>
    <row r="78" spans="1:22" s="90" customFormat="1" ht="19.5" hidden="1" customHeight="1">
      <c r="A78" s="137"/>
      <c r="B78" s="197">
        <f t="shared" si="2"/>
        <v>68</v>
      </c>
      <c r="C78" s="30" t="s">
        <v>206</v>
      </c>
      <c r="D78" s="30" t="s">
        <v>225</v>
      </c>
      <c r="E78" s="234" t="s">
        <v>668</v>
      </c>
      <c r="F78" s="235" t="s">
        <v>1225</v>
      </c>
      <c r="G78" s="284">
        <f>IFERROR(VLOOKUP(E78,Assign!$C$2:$J$142,8,FALSE),)</f>
        <v>0</v>
      </c>
      <c r="H78" s="236" t="s">
        <v>4270</v>
      </c>
      <c r="I78" s="236">
        <v>2</v>
      </c>
      <c r="J78" s="236">
        <v>3</v>
      </c>
      <c r="K78" s="355" t="s">
        <v>1373</v>
      </c>
      <c r="L78" s="356">
        <v>43670</v>
      </c>
      <c r="M78" s="357" t="s">
        <v>204</v>
      </c>
      <c r="N78" s="416">
        <v>120000000</v>
      </c>
      <c r="O78" s="416">
        <v>120000000</v>
      </c>
      <c r="P78" s="358"/>
      <c r="Q78" s="320">
        <v>1</v>
      </c>
      <c r="R78" s="168"/>
      <c r="S78" s="168"/>
      <c r="T78" s="287"/>
      <c r="U78" s="264"/>
      <c r="V78" s="198"/>
    </row>
    <row r="79" spans="1:22" s="90" customFormat="1" ht="19.5" customHeight="1">
      <c r="A79" s="137"/>
      <c r="B79" s="197">
        <f t="shared" si="2"/>
        <v>69</v>
      </c>
      <c r="C79" s="30" t="s">
        <v>206</v>
      </c>
      <c r="D79" s="30" t="s">
        <v>225</v>
      </c>
      <c r="E79" s="234" t="s">
        <v>669</v>
      </c>
      <c r="F79" s="235" t="s">
        <v>1226</v>
      </c>
      <c r="G79" s="284" t="str">
        <f>IFERROR(VLOOKUP(E79,Assign!$C$2:$J$142,8,FALSE),)</f>
        <v>문선영</v>
      </c>
      <c r="H79" s="236" t="s">
        <v>4585</v>
      </c>
      <c r="I79" s="236">
        <v>1</v>
      </c>
      <c r="J79" s="236">
        <v>1</v>
      </c>
      <c r="K79" s="355" t="s">
        <v>1373</v>
      </c>
      <c r="L79" s="356">
        <v>39962</v>
      </c>
      <c r="M79" s="357" t="s">
        <v>204</v>
      </c>
      <c r="N79" s="416">
        <v>1200000000</v>
      </c>
      <c r="O79" s="416">
        <v>1200000000</v>
      </c>
      <c r="P79" s="358"/>
      <c r="Q79" s="320"/>
      <c r="R79" s="168"/>
      <c r="S79" s="168"/>
      <c r="T79" s="287"/>
      <c r="U79" s="264"/>
      <c r="V79" s="198"/>
    </row>
    <row r="80" spans="1:22" s="90" customFormat="1" ht="19.5" customHeight="1">
      <c r="A80" s="137"/>
      <c r="B80" s="197">
        <f t="shared" si="2"/>
        <v>70</v>
      </c>
      <c r="C80" s="30" t="s">
        <v>206</v>
      </c>
      <c r="D80" s="30" t="s">
        <v>225</v>
      </c>
      <c r="E80" s="234" t="s">
        <v>670</v>
      </c>
      <c r="F80" s="235" t="s">
        <v>1304</v>
      </c>
      <c r="G80" s="284" t="str">
        <f>IFERROR(VLOOKUP(E80,Assign!$C$2:$J$142,8,FALSE),)</f>
        <v>문선영</v>
      </c>
      <c r="H80" s="236" t="s">
        <v>4409</v>
      </c>
      <c r="I80" s="236">
        <v>1</v>
      </c>
      <c r="J80" s="236">
        <v>1</v>
      </c>
      <c r="K80" s="355" t="s">
        <v>1373</v>
      </c>
      <c r="L80" s="356">
        <v>40632</v>
      </c>
      <c r="M80" s="357" t="s">
        <v>204</v>
      </c>
      <c r="N80" s="416">
        <v>455000000</v>
      </c>
      <c r="O80" s="416">
        <v>455000000</v>
      </c>
      <c r="P80" s="358"/>
      <c r="Q80" s="320"/>
      <c r="R80" s="168"/>
      <c r="S80" s="168"/>
      <c r="T80" s="287"/>
      <c r="U80" s="264"/>
      <c r="V80" s="198"/>
    </row>
    <row r="81" spans="1:22" s="90" customFormat="1" ht="19.5" customHeight="1">
      <c r="A81" s="137"/>
      <c r="B81" s="197">
        <f t="shared" si="2"/>
        <v>71</v>
      </c>
      <c r="C81" s="30" t="s">
        <v>206</v>
      </c>
      <c r="D81" s="30" t="s">
        <v>225</v>
      </c>
      <c r="E81" s="234" t="s">
        <v>670</v>
      </c>
      <c r="F81" s="235" t="s">
        <v>1304</v>
      </c>
      <c r="G81" s="284" t="str">
        <f>IFERROR(VLOOKUP(E81,Assign!$C$2:$J$142,8,FALSE),)</f>
        <v>문선영</v>
      </c>
      <c r="H81" s="236" t="s">
        <v>4409</v>
      </c>
      <c r="I81" s="236">
        <v>1</v>
      </c>
      <c r="J81" s="236">
        <v>2</v>
      </c>
      <c r="K81" s="355" t="s">
        <v>1373</v>
      </c>
      <c r="L81" s="356">
        <v>42179</v>
      </c>
      <c r="M81" s="357" t="s">
        <v>204</v>
      </c>
      <c r="N81" s="416">
        <v>325000000</v>
      </c>
      <c r="O81" s="416">
        <v>325000000</v>
      </c>
      <c r="P81" s="358"/>
      <c r="Q81" s="320"/>
      <c r="R81" s="168"/>
      <c r="S81" s="168"/>
      <c r="T81" s="287"/>
      <c r="U81" s="264"/>
      <c r="V81" s="198"/>
    </row>
    <row r="82" spans="1:22" s="90" customFormat="1" ht="19.5" hidden="1" customHeight="1">
      <c r="A82" s="137"/>
      <c r="B82" s="197">
        <f t="shared" si="2"/>
        <v>72</v>
      </c>
      <c r="C82" s="30" t="s">
        <v>206</v>
      </c>
      <c r="D82" s="30" t="s">
        <v>225</v>
      </c>
      <c r="E82" s="234" t="s">
        <v>671</v>
      </c>
      <c r="F82" s="235" t="s">
        <v>1227</v>
      </c>
      <c r="G82" s="284">
        <f>IFERROR(VLOOKUP(E82,Assign!$C$2:$J$142,8,FALSE),)</f>
        <v>0</v>
      </c>
      <c r="H82" s="236" t="s">
        <v>5403</v>
      </c>
      <c r="I82" s="236">
        <v>1</v>
      </c>
      <c r="J82" s="236">
        <v>1</v>
      </c>
      <c r="K82" s="355" t="s">
        <v>1373</v>
      </c>
      <c r="L82" s="356">
        <v>44774</v>
      </c>
      <c r="M82" s="357" t="s">
        <v>204</v>
      </c>
      <c r="N82" s="416">
        <v>550000000</v>
      </c>
      <c r="O82" s="416">
        <v>550000000</v>
      </c>
      <c r="P82" s="358"/>
      <c r="Q82" s="320"/>
      <c r="R82" s="168"/>
      <c r="S82" s="168"/>
      <c r="T82" s="287"/>
      <c r="U82" s="264"/>
      <c r="V82" s="198"/>
    </row>
    <row r="83" spans="1:22" s="90" customFormat="1" ht="19.5" hidden="1" customHeight="1">
      <c r="A83" s="137"/>
      <c r="B83" s="197">
        <f t="shared" si="2"/>
        <v>73</v>
      </c>
      <c r="C83" s="30" t="s">
        <v>206</v>
      </c>
      <c r="D83" s="30" t="s">
        <v>225</v>
      </c>
      <c r="E83" s="234" t="s">
        <v>671</v>
      </c>
      <c r="F83" s="235" t="s">
        <v>1227</v>
      </c>
      <c r="G83" s="284">
        <f>IFERROR(VLOOKUP(E83,Assign!$C$2:$J$142,8,FALSE),)</f>
        <v>0</v>
      </c>
      <c r="H83" s="236" t="s">
        <v>5403</v>
      </c>
      <c r="I83" s="236">
        <v>1</v>
      </c>
      <c r="J83" s="236">
        <v>2</v>
      </c>
      <c r="K83" s="355" t="s">
        <v>1373</v>
      </c>
      <c r="L83" s="356">
        <v>44805</v>
      </c>
      <c r="M83" s="357" t="s">
        <v>204</v>
      </c>
      <c r="N83" s="416">
        <v>600000000</v>
      </c>
      <c r="O83" s="416">
        <v>600000000</v>
      </c>
      <c r="P83" s="358"/>
      <c r="Q83" s="320"/>
      <c r="R83" s="168"/>
      <c r="S83" s="168"/>
      <c r="T83" s="287"/>
      <c r="U83" s="264"/>
      <c r="V83" s="198"/>
    </row>
    <row r="84" spans="1:22" s="90" customFormat="1" ht="19.5" hidden="1" customHeight="1">
      <c r="A84" s="137"/>
      <c r="B84" s="197">
        <f t="shared" si="2"/>
        <v>74</v>
      </c>
      <c r="C84" s="30" t="s">
        <v>206</v>
      </c>
      <c r="D84" s="30" t="s">
        <v>225</v>
      </c>
      <c r="E84" s="234" t="s">
        <v>672</v>
      </c>
      <c r="F84" s="235" t="s">
        <v>1228</v>
      </c>
      <c r="G84" s="284">
        <f>IFERROR(VLOOKUP(E84,Assign!$C$2:$J$142,8,FALSE),)</f>
        <v>0</v>
      </c>
      <c r="H84" s="236" t="s">
        <v>5172</v>
      </c>
      <c r="I84" s="236">
        <v>1</v>
      </c>
      <c r="J84" s="236">
        <v>1</v>
      </c>
      <c r="K84" s="355" t="s">
        <v>1373</v>
      </c>
      <c r="L84" s="356">
        <v>43462</v>
      </c>
      <c r="M84" s="357" t="s">
        <v>204</v>
      </c>
      <c r="N84" s="416">
        <v>732000000</v>
      </c>
      <c r="O84" s="416">
        <v>732000000</v>
      </c>
      <c r="P84" s="358" t="s">
        <v>1425</v>
      </c>
      <c r="Q84" s="320"/>
      <c r="R84" s="168"/>
      <c r="S84" s="168"/>
      <c r="T84" s="287"/>
      <c r="U84" s="264"/>
      <c r="V84" s="198"/>
    </row>
    <row r="85" spans="1:22" s="90" customFormat="1" ht="19.5" hidden="1" customHeight="1">
      <c r="A85" s="137"/>
      <c r="B85" s="197">
        <f t="shared" si="2"/>
        <v>75</v>
      </c>
      <c r="C85" s="30" t="s">
        <v>206</v>
      </c>
      <c r="D85" s="30" t="s">
        <v>225</v>
      </c>
      <c r="E85" s="234" t="s">
        <v>673</v>
      </c>
      <c r="F85" s="235" t="s">
        <v>1229</v>
      </c>
      <c r="G85" s="284">
        <f>IFERROR(VLOOKUP(E85,Assign!$C$2:$J$142,8,FALSE),)</f>
        <v>0</v>
      </c>
      <c r="H85" s="236" t="s">
        <v>4069</v>
      </c>
      <c r="I85" s="236">
        <v>1</v>
      </c>
      <c r="J85" s="236">
        <v>1</v>
      </c>
      <c r="K85" s="355" t="s">
        <v>1373</v>
      </c>
      <c r="L85" s="356">
        <v>44663</v>
      </c>
      <c r="M85" s="357" t="s">
        <v>204</v>
      </c>
      <c r="N85" s="416">
        <v>851000000</v>
      </c>
      <c r="O85" s="416">
        <v>851000000</v>
      </c>
      <c r="P85" s="358"/>
      <c r="Q85" s="320"/>
      <c r="R85" s="168"/>
      <c r="S85" s="168"/>
      <c r="T85" s="287"/>
      <c r="U85" s="264"/>
      <c r="V85" s="198"/>
    </row>
    <row r="86" spans="1:22" s="90" customFormat="1" ht="19.5" hidden="1" customHeight="1">
      <c r="A86" s="137"/>
      <c r="B86" s="197">
        <f t="shared" si="2"/>
        <v>76</v>
      </c>
      <c r="C86" s="30" t="s">
        <v>206</v>
      </c>
      <c r="D86" s="30" t="s">
        <v>225</v>
      </c>
      <c r="E86" s="234" t="s">
        <v>673</v>
      </c>
      <c r="F86" s="235" t="s">
        <v>1229</v>
      </c>
      <c r="G86" s="284">
        <f>IFERROR(VLOOKUP(E86,Assign!$C$2:$J$142,8,FALSE),)</f>
        <v>0</v>
      </c>
      <c r="H86" s="236" t="s">
        <v>4071</v>
      </c>
      <c r="I86" s="236">
        <v>2</v>
      </c>
      <c r="J86" s="236">
        <v>1</v>
      </c>
      <c r="K86" s="355" t="s">
        <v>1373</v>
      </c>
      <c r="L86" s="356">
        <v>44663</v>
      </c>
      <c r="M86" s="357" t="s">
        <v>204</v>
      </c>
      <c r="N86" s="416">
        <v>229000000</v>
      </c>
      <c r="O86" s="416">
        <v>229000000</v>
      </c>
      <c r="P86" s="358"/>
      <c r="Q86" s="320"/>
      <c r="R86" s="168"/>
      <c r="S86" s="168"/>
      <c r="T86" s="287"/>
      <c r="U86" s="264"/>
      <c r="V86" s="198"/>
    </row>
    <row r="87" spans="1:22" s="90" customFormat="1" ht="19.5" hidden="1" customHeight="1">
      <c r="A87" s="137"/>
      <c r="B87" s="197">
        <f t="shared" si="2"/>
        <v>77</v>
      </c>
      <c r="C87" s="30" t="s">
        <v>206</v>
      </c>
      <c r="D87" s="30" t="s">
        <v>225</v>
      </c>
      <c r="E87" s="234" t="s">
        <v>674</v>
      </c>
      <c r="F87" s="235" t="s">
        <v>1225</v>
      </c>
      <c r="G87" s="284">
        <f>IFERROR(VLOOKUP(E87,Assign!$C$2:$J$142,8,FALSE),)</f>
        <v>0</v>
      </c>
      <c r="H87" s="236" t="s">
        <v>4839</v>
      </c>
      <c r="I87" s="236">
        <v>1</v>
      </c>
      <c r="J87" s="236">
        <v>1</v>
      </c>
      <c r="K87" s="355" t="s">
        <v>1373</v>
      </c>
      <c r="L87" s="356">
        <v>44530</v>
      </c>
      <c r="M87" s="357" t="s">
        <v>204</v>
      </c>
      <c r="N87" s="416">
        <v>420000000</v>
      </c>
      <c r="O87" s="416">
        <v>420000000</v>
      </c>
      <c r="P87" s="358"/>
      <c r="Q87" s="320"/>
      <c r="R87" s="168"/>
      <c r="S87" s="168"/>
      <c r="T87" s="287"/>
      <c r="U87" s="264"/>
      <c r="V87" s="198"/>
    </row>
    <row r="88" spans="1:22" s="90" customFormat="1" ht="19.5" hidden="1" customHeight="1">
      <c r="A88" s="137"/>
      <c r="B88" s="197">
        <f t="shared" si="2"/>
        <v>78</v>
      </c>
      <c r="C88" s="30" t="s">
        <v>206</v>
      </c>
      <c r="D88" s="30" t="s">
        <v>225</v>
      </c>
      <c r="E88" s="234" t="s">
        <v>674</v>
      </c>
      <c r="F88" s="235" t="s">
        <v>1225</v>
      </c>
      <c r="G88" s="284">
        <f>IFERROR(VLOOKUP(E88,Assign!$C$2:$J$142,8,FALSE),)</f>
        <v>0</v>
      </c>
      <c r="H88" s="236" t="s">
        <v>4839</v>
      </c>
      <c r="I88" s="236">
        <v>1</v>
      </c>
      <c r="J88" s="236">
        <v>2</v>
      </c>
      <c r="K88" s="355" t="s">
        <v>1373</v>
      </c>
      <c r="L88" s="356">
        <v>44624</v>
      </c>
      <c r="M88" s="357" t="s">
        <v>204</v>
      </c>
      <c r="N88" s="416">
        <v>180000000</v>
      </c>
      <c r="O88" s="416">
        <v>180000000</v>
      </c>
      <c r="P88" s="358"/>
      <c r="Q88" s="320">
        <v>2</v>
      </c>
      <c r="R88" s="168"/>
      <c r="S88" s="168"/>
      <c r="T88" s="287"/>
      <c r="U88" s="264"/>
      <c r="V88" s="198"/>
    </row>
    <row r="89" spans="1:22" s="90" customFormat="1" ht="19.5" hidden="1" customHeight="1">
      <c r="A89" s="137"/>
      <c r="B89" s="197">
        <f t="shared" si="2"/>
        <v>79</v>
      </c>
      <c r="C89" s="30" t="s">
        <v>206</v>
      </c>
      <c r="D89" s="30" t="s">
        <v>225</v>
      </c>
      <c r="E89" s="234" t="s">
        <v>674</v>
      </c>
      <c r="F89" s="235" t="s">
        <v>1225</v>
      </c>
      <c r="G89" s="284">
        <f>IFERROR(VLOOKUP(E89,Assign!$C$2:$J$142,8,FALSE),)</f>
        <v>0</v>
      </c>
      <c r="H89" s="236" t="s">
        <v>4839</v>
      </c>
      <c r="I89" s="236">
        <v>1</v>
      </c>
      <c r="J89" s="236">
        <v>3</v>
      </c>
      <c r="K89" s="355" t="s">
        <v>1373</v>
      </c>
      <c r="L89" s="356">
        <v>44965</v>
      </c>
      <c r="M89" s="357" t="s">
        <v>204</v>
      </c>
      <c r="N89" s="416">
        <v>108000000</v>
      </c>
      <c r="O89" s="416">
        <v>108000000</v>
      </c>
      <c r="P89" s="358"/>
      <c r="Q89" s="320">
        <v>2</v>
      </c>
      <c r="R89" s="168"/>
      <c r="S89" s="168"/>
      <c r="T89" s="287"/>
      <c r="U89" s="264"/>
      <c r="V89" s="198"/>
    </row>
    <row r="90" spans="1:22" s="90" customFormat="1" ht="19.5" hidden="1" customHeight="1">
      <c r="A90" s="137"/>
      <c r="B90" s="197">
        <f t="shared" si="2"/>
        <v>80</v>
      </c>
      <c r="C90" s="30" t="s">
        <v>206</v>
      </c>
      <c r="D90" s="30" t="s">
        <v>225</v>
      </c>
      <c r="E90" s="234" t="s">
        <v>674</v>
      </c>
      <c r="F90" s="235" t="s">
        <v>1225</v>
      </c>
      <c r="G90" s="284">
        <f>IFERROR(VLOOKUP(E90,Assign!$C$2:$J$142,8,FALSE),)</f>
        <v>0</v>
      </c>
      <c r="H90" s="236" t="s">
        <v>4841</v>
      </c>
      <c r="I90" s="236">
        <v>2</v>
      </c>
      <c r="J90" s="236">
        <v>1</v>
      </c>
      <c r="K90" s="355" t="s">
        <v>1373</v>
      </c>
      <c r="L90" s="356">
        <v>44398</v>
      </c>
      <c r="M90" s="357" t="s">
        <v>204</v>
      </c>
      <c r="N90" s="416">
        <v>304200000</v>
      </c>
      <c r="O90" s="416">
        <v>304200000</v>
      </c>
      <c r="P90" s="358"/>
      <c r="Q90" s="320"/>
      <c r="R90" s="168"/>
      <c r="S90" s="168"/>
      <c r="T90" s="287"/>
      <c r="U90" s="264"/>
      <c r="V90" s="198"/>
    </row>
    <row r="91" spans="1:22" s="90" customFormat="1" ht="19.5" hidden="1" customHeight="1">
      <c r="A91" s="137"/>
      <c r="B91" s="197">
        <f t="shared" si="2"/>
        <v>81</v>
      </c>
      <c r="C91" s="30" t="s">
        <v>206</v>
      </c>
      <c r="D91" s="30" t="s">
        <v>225</v>
      </c>
      <c r="E91" s="234" t="s">
        <v>674</v>
      </c>
      <c r="F91" s="235" t="s">
        <v>1225</v>
      </c>
      <c r="G91" s="284">
        <f>IFERROR(VLOOKUP(E91,Assign!$C$2:$J$142,8,FALSE),)</f>
        <v>0</v>
      </c>
      <c r="H91" s="236" t="s">
        <v>4841</v>
      </c>
      <c r="I91" s="236">
        <v>2</v>
      </c>
      <c r="J91" s="236">
        <v>2</v>
      </c>
      <c r="K91" s="355" t="s">
        <v>1373</v>
      </c>
      <c r="L91" s="356">
        <v>44540</v>
      </c>
      <c r="M91" s="357" t="s">
        <v>204</v>
      </c>
      <c r="N91" s="416">
        <v>77400000</v>
      </c>
      <c r="O91" s="416">
        <v>77400000</v>
      </c>
      <c r="P91" s="358"/>
      <c r="Q91" s="320"/>
      <c r="R91" s="168"/>
      <c r="S91" s="168"/>
      <c r="T91" s="287"/>
      <c r="U91" s="264"/>
      <c r="V91" s="198"/>
    </row>
    <row r="92" spans="1:22" s="90" customFormat="1" ht="19.5" hidden="1" customHeight="1">
      <c r="A92" s="137"/>
      <c r="B92" s="197">
        <f t="shared" si="2"/>
        <v>82</v>
      </c>
      <c r="C92" s="30" t="s">
        <v>206</v>
      </c>
      <c r="D92" s="30" t="s">
        <v>225</v>
      </c>
      <c r="E92" s="234" t="s">
        <v>674</v>
      </c>
      <c r="F92" s="235" t="s">
        <v>1225</v>
      </c>
      <c r="G92" s="284">
        <f>IFERROR(VLOOKUP(E92,Assign!$C$2:$J$142,8,FALSE),)</f>
        <v>0</v>
      </c>
      <c r="H92" s="236" t="s">
        <v>4841</v>
      </c>
      <c r="I92" s="236">
        <v>2</v>
      </c>
      <c r="J92" s="236">
        <v>3</v>
      </c>
      <c r="K92" s="355" t="s">
        <v>1373</v>
      </c>
      <c r="L92" s="356">
        <v>44624</v>
      </c>
      <c r="M92" s="357" t="s">
        <v>204</v>
      </c>
      <c r="N92" s="416">
        <v>180000000</v>
      </c>
      <c r="O92" s="416">
        <v>180000000</v>
      </c>
      <c r="P92" s="358"/>
      <c r="Q92" s="320">
        <v>1</v>
      </c>
      <c r="R92" s="168"/>
      <c r="S92" s="168"/>
      <c r="T92" s="287"/>
      <c r="U92" s="264"/>
      <c r="V92" s="198"/>
    </row>
    <row r="93" spans="1:22" s="90" customFormat="1" ht="19.5" hidden="1" customHeight="1">
      <c r="A93" s="137"/>
      <c r="B93" s="197">
        <f t="shared" si="2"/>
        <v>83</v>
      </c>
      <c r="C93" s="30" t="s">
        <v>206</v>
      </c>
      <c r="D93" s="30" t="s">
        <v>225</v>
      </c>
      <c r="E93" s="234" t="s">
        <v>674</v>
      </c>
      <c r="F93" s="235" t="s">
        <v>1225</v>
      </c>
      <c r="G93" s="284">
        <f>IFERROR(VLOOKUP(E93,Assign!$C$2:$J$142,8,FALSE),)</f>
        <v>0</v>
      </c>
      <c r="H93" s="236" t="s">
        <v>4841</v>
      </c>
      <c r="I93" s="236">
        <v>2</v>
      </c>
      <c r="J93" s="236">
        <v>4</v>
      </c>
      <c r="K93" s="355" t="s">
        <v>1373</v>
      </c>
      <c r="L93" s="356">
        <v>44965</v>
      </c>
      <c r="M93" s="357" t="s">
        <v>204</v>
      </c>
      <c r="N93" s="416">
        <v>108000000</v>
      </c>
      <c r="O93" s="416">
        <v>108000000</v>
      </c>
      <c r="P93" s="358"/>
      <c r="Q93" s="320">
        <v>1</v>
      </c>
      <c r="R93" s="168"/>
      <c r="S93" s="168"/>
      <c r="T93" s="287"/>
      <c r="U93" s="264"/>
      <c r="V93" s="198"/>
    </row>
    <row r="94" spans="1:22" s="90" customFormat="1" ht="19.5" hidden="1" customHeight="1">
      <c r="A94" s="137"/>
      <c r="B94" s="197">
        <f t="shared" si="2"/>
        <v>84</v>
      </c>
      <c r="C94" s="30" t="s">
        <v>206</v>
      </c>
      <c r="D94" s="30" t="s">
        <v>225</v>
      </c>
      <c r="E94" s="234" t="s">
        <v>675</v>
      </c>
      <c r="F94" s="235" t="s">
        <v>1226</v>
      </c>
      <c r="G94" s="284">
        <f>IFERROR(VLOOKUP(E94,Assign!$C$2:$J$142,8,FALSE),)</f>
        <v>0</v>
      </c>
      <c r="H94" s="236" t="s">
        <v>5410</v>
      </c>
      <c r="I94" s="236">
        <v>1</v>
      </c>
      <c r="J94" s="236">
        <v>1</v>
      </c>
      <c r="K94" s="355" t="s">
        <v>1373</v>
      </c>
      <c r="L94" s="356">
        <v>45393</v>
      </c>
      <c r="M94" s="357" t="s">
        <v>204</v>
      </c>
      <c r="N94" s="416">
        <v>1056000000</v>
      </c>
      <c r="O94" s="416">
        <v>1056000000</v>
      </c>
      <c r="P94" s="358"/>
      <c r="Q94" s="320"/>
      <c r="R94" s="168"/>
      <c r="S94" s="168"/>
      <c r="T94" s="287"/>
      <c r="U94" s="264"/>
      <c r="V94" s="198"/>
    </row>
    <row r="95" spans="1:22" s="90" customFormat="1" ht="19.5" hidden="1" customHeight="1">
      <c r="A95" s="137"/>
      <c r="B95" s="197">
        <f t="shared" si="2"/>
        <v>85</v>
      </c>
      <c r="C95" s="30" t="s">
        <v>206</v>
      </c>
      <c r="D95" s="30" t="s">
        <v>225</v>
      </c>
      <c r="E95" s="234" t="s">
        <v>676</v>
      </c>
      <c r="F95" s="235" t="s">
        <v>1217</v>
      </c>
      <c r="G95" s="284">
        <f>IFERROR(VLOOKUP(E95,Assign!$C$2:$J$142,8,FALSE),)</f>
        <v>0</v>
      </c>
      <c r="H95" s="236" t="s">
        <v>3952</v>
      </c>
      <c r="I95" s="236">
        <v>1</v>
      </c>
      <c r="J95" s="236">
        <v>1</v>
      </c>
      <c r="K95" s="355" t="s">
        <v>3384</v>
      </c>
      <c r="L95" s="356">
        <v>42760</v>
      </c>
      <c r="M95" s="357" t="s">
        <v>204</v>
      </c>
      <c r="N95" s="416">
        <v>1200000000</v>
      </c>
      <c r="O95" s="416">
        <v>1200000000</v>
      </c>
      <c r="P95" s="358" t="s">
        <v>1410</v>
      </c>
      <c r="Q95" s="320"/>
      <c r="R95" s="168"/>
      <c r="S95" s="168"/>
      <c r="T95" s="287"/>
      <c r="U95" s="264"/>
      <c r="V95" s="198"/>
    </row>
    <row r="96" spans="1:22" s="90" customFormat="1" ht="19.5" hidden="1" customHeight="1">
      <c r="A96" s="137"/>
      <c r="B96" s="197">
        <f t="shared" si="2"/>
        <v>86</v>
      </c>
      <c r="C96" s="30" t="s">
        <v>206</v>
      </c>
      <c r="D96" s="30" t="s">
        <v>225</v>
      </c>
      <c r="E96" s="234" t="s">
        <v>676</v>
      </c>
      <c r="F96" s="235" t="s">
        <v>1217</v>
      </c>
      <c r="G96" s="284">
        <f>IFERROR(VLOOKUP(E96,Assign!$C$2:$J$142,8,FALSE),)</f>
        <v>0</v>
      </c>
      <c r="H96" s="236" t="s">
        <v>3952</v>
      </c>
      <c r="I96" s="236">
        <v>1</v>
      </c>
      <c r="J96" s="236">
        <v>2</v>
      </c>
      <c r="K96" s="355" t="s">
        <v>1373</v>
      </c>
      <c r="L96" s="356">
        <v>42760</v>
      </c>
      <c r="M96" s="357" t="s">
        <v>204</v>
      </c>
      <c r="N96" s="416">
        <v>120000000</v>
      </c>
      <c r="O96" s="416">
        <v>120000000</v>
      </c>
      <c r="P96" s="358"/>
      <c r="Q96" s="320"/>
      <c r="R96" s="168"/>
      <c r="S96" s="168"/>
      <c r="T96" s="287"/>
      <c r="U96" s="264"/>
      <c r="V96" s="198"/>
    </row>
    <row r="97" spans="1:22" s="90" customFormat="1" ht="19.5" hidden="1" customHeight="1">
      <c r="A97" s="137"/>
      <c r="B97" s="197">
        <f t="shared" si="2"/>
        <v>87</v>
      </c>
      <c r="C97" s="30" t="s">
        <v>206</v>
      </c>
      <c r="D97" s="30" t="s">
        <v>225</v>
      </c>
      <c r="E97" s="234" t="s">
        <v>676</v>
      </c>
      <c r="F97" s="235" t="s">
        <v>1217</v>
      </c>
      <c r="G97" s="284">
        <f>IFERROR(VLOOKUP(E97,Assign!$C$2:$J$142,8,FALSE),)</f>
        <v>0</v>
      </c>
      <c r="H97" s="236" t="s">
        <v>3959</v>
      </c>
      <c r="I97" s="236">
        <v>2</v>
      </c>
      <c r="J97" s="236">
        <v>1</v>
      </c>
      <c r="K97" s="355" t="s">
        <v>1373</v>
      </c>
      <c r="L97" s="356">
        <v>41879</v>
      </c>
      <c r="M97" s="357" t="s">
        <v>204</v>
      </c>
      <c r="N97" s="416">
        <v>913000000</v>
      </c>
      <c r="O97" s="416">
        <v>913000000</v>
      </c>
      <c r="P97" s="358"/>
      <c r="Q97" s="320"/>
      <c r="R97" s="168"/>
      <c r="S97" s="168"/>
      <c r="T97" s="287"/>
      <c r="U97" s="264"/>
      <c r="V97" s="198"/>
    </row>
    <row r="98" spans="1:22" s="90" customFormat="1" ht="19.5" hidden="1" customHeight="1">
      <c r="A98" s="137"/>
      <c r="B98" s="197">
        <f t="shared" si="2"/>
        <v>88</v>
      </c>
      <c r="C98" s="30" t="s">
        <v>206</v>
      </c>
      <c r="D98" s="30" t="s">
        <v>225</v>
      </c>
      <c r="E98" s="234" t="s">
        <v>677</v>
      </c>
      <c r="F98" s="235" t="s">
        <v>1221</v>
      </c>
      <c r="G98" s="284">
        <f>IFERROR(VLOOKUP(E98,Assign!$C$2:$J$142,8,FALSE),)</f>
        <v>0</v>
      </c>
      <c r="H98" s="236" t="s">
        <v>3871</v>
      </c>
      <c r="I98" s="236">
        <v>1</v>
      </c>
      <c r="J98" s="236">
        <v>1</v>
      </c>
      <c r="K98" s="355" t="s">
        <v>1373</v>
      </c>
      <c r="L98" s="356">
        <v>42915</v>
      </c>
      <c r="M98" s="357" t="s">
        <v>204</v>
      </c>
      <c r="N98" s="416">
        <v>480000000</v>
      </c>
      <c r="O98" s="416">
        <v>480000000</v>
      </c>
      <c r="P98" s="358"/>
      <c r="Q98" s="320"/>
      <c r="R98" s="168"/>
      <c r="S98" s="168"/>
      <c r="T98" s="287"/>
      <c r="U98" s="264"/>
      <c r="V98" s="198"/>
    </row>
    <row r="99" spans="1:22" s="90" customFormat="1" ht="19.5" hidden="1" customHeight="1">
      <c r="A99" s="137"/>
      <c r="B99" s="197">
        <f t="shared" si="2"/>
        <v>89</v>
      </c>
      <c r="C99" s="30" t="s">
        <v>206</v>
      </c>
      <c r="D99" s="30" t="s">
        <v>225</v>
      </c>
      <c r="E99" s="234" t="s">
        <v>677</v>
      </c>
      <c r="F99" s="235" t="s">
        <v>1221</v>
      </c>
      <c r="G99" s="284">
        <f>IFERROR(VLOOKUP(E99,Assign!$C$2:$J$142,8,FALSE),)</f>
        <v>0</v>
      </c>
      <c r="H99" s="236" t="s">
        <v>3871</v>
      </c>
      <c r="I99" s="236">
        <v>1</v>
      </c>
      <c r="J99" s="236">
        <v>2</v>
      </c>
      <c r="K99" s="355" t="s">
        <v>1373</v>
      </c>
      <c r="L99" s="356">
        <v>42936</v>
      </c>
      <c r="M99" s="357" t="s">
        <v>204</v>
      </c>
      <c r="N99" s="416">
        <v>576000000</v>
      </c>
      <c r="O99" s="416">
        <v>576000000</v>
      </c>
      <c r="P99" s="358"/>
      <c r="Q99" s="320"/>
      <c r="R99" s="168"/>
      <c r="S99" s="168"/>
      <c r="T99" s="287"/>
      <c r="U99" s="264"/>
      <c r="V99" s="198"/>
    </row>
    <row r="100" spans="1:22" s="90" customFormat="1" ht="19.5" hidden="1" customHeight="1">
      <c r="A100" s="137"/>
      <c r="B100" s="197">
        <f t="shared" si="2"/>
        <v>90</v>
      </c>
      <c r="C100" s="30" t="s">
        <v>206</v>
      </c>
      <c r="D100" s="30" t="s">
        <v>225</v>
      </c>
      <c r="E100" s="234" t="s">
        <v>678</v>
      </c>
      <c r="F100" s="235" t="s">
        <v>1230</v>
      </c>
      <c r="G100" s="284">
        <f>IFERROR(VLOOKUP(E100,Assign!$C$2:$J$142,8,FALSE),)</f>
        <v>0</v>
      </c>
      <c r="H100" s="236" t="s">
        <v>5051</v>
      </c>
      <c r="I100" s="236">
        <v>1</v>
      </c>
      <c r="J100" s="236">
        <v>1</v>
      </c>
      <c r="K100" s="355" t="s">
        <v>3377</v>
      </c>
      <c r="L100" s="356">
        <v>37580</v>
      </c>
      <c r="M100" s="357" t="s">
        <v>204</v>
      </c>
      <c r="N100" s="416">
        <v>60000000</v>
      </c>
      <c r="O100" s="416">
        <v>60000000</v>
      </c>
      <c r="P100" s="358"/>
      <c r="Q100" s="320"/>
      <c r="R100" s="168"/>
      <c r="S100" s="168"/>
      <c r="T100" s="287"/>
      <c r="U100" s="264"/>
      <c r="V100" s="198"/>
    </row>
    <row r="101" spans="1:22" s="90" customFormat="1" ht="19.5" hidden="1" customHeight="1">
      <c r="A101" s="137"/>
      <c r="B101" s="197">
        <f t="shared" si="2"/>
        <v>91</v>
      </c>
      <c r="C101" s="30" t="s">
        <v>206</v>
      </c>
      <c r="D101" s="30" t="s">
        <v>225</v>
      </c>
      <c r="E101" s="234" t="s">
        <v>678</v>
      </c>
      <c r="F101" s="235" t="s">
        <v>1230</v>
      </c>
      <c r="G101" s="284">
        <f>IFERROR(VLOOKUP(E101,Assign!$C$2:$J$142,8,FALSE),)</f>
        <v>0</v>
      </c>
      <c r="H101" s="236" t="s">
        <v>5051</v>
      </c>
      <c r="I101" s="236">
        <v>1</v>
      </c>
      <c r="J101" s="236">
        <v>2</v>
      </c>
      <c r="K101" s="355" t="s">
        <v>1373</v>
      </c>
      <c r="L101" s="356">
        <v>43774</v>
      </c>
      <c r="M101" s="357" t="s">
        <v>204</v>
      </c>
      <c r="N101" s="416">
        <v>332000000</v>
      </c>
      <c r="O101" s="416">
        <v>332000000</v>
      </c>
      <c r="P101" s="358"/>
      <c r="Q101" s="320"/>
      <c r="R101" s="168"/>
      <c r="S101" s="168"/>
      <c r="T101" s="287"/>
      <c r="U101" s="264"/>
      <c r="V101" s="198"/>
    </row>
    <row r="102" spans="1:22" s="90" customFormat="1" ht="19.5" hidden="1" customHeight="1">
      <c r="A102" s="137"/>
      <c r="B102" s="197">
        <f t="shared" si="2"/>
        <v>92</v>
      </c>
      <c r="C102" s="30" t="s">
        <v>206</v>
      </c>
      <c r="D102" s="30" t="s">
        <v>225</v>
      </c>
      <c r="E102" s="234" t="s">
        <v>678</v>
      </c>
      <c r="F102" s="235" t="s">
        <v>1230</v>
      </c>
      <c r="G102" s="284">
        <f>IFERROR(VLOOKUP(E102,Assign!$C$2:$J$142,8,FALSE),)</f>
        <v>0</v>
      </c>
      <c r="H102" s="236" t="s">
        <v>5051</v>
      </c>
      <c r="I102" s="236">
        <v>1</v>
      </c>
      <c r="J102" s="236">
        <v>3</v>
      </c>
      <c r="K102" s="355" t="s">
        <v>1373</v>
      </c>
      <c r="L102" s="356">
        <v>44382</v>
      </c>
      <c r="M102" s="357" t="s">
        <v>204</v>
      </c>
      <c r="N102" s="416">
        <v>148000000</v>
      </c>
      <c r="O102" s="416">
        <v>148000000</v>
      </c>
      <c r="P102" s="358"/>
      <c r="Q102" s="320"/>
      <c r="R102" s="168"/>
      <c r="S102" s="168"/>
      <c r="T102" s="287"/>
      <c r="U102" s="264"/>
      <c r="V102" s="198"/>
    </row>
    <row r="103" spans="1:22" s="90" customFormat="1" ht="19.5" hidden="1" customHeight="1">
      <c r="A103" s="137"/>
      <c r="B103" s="197">
        <f t="shared" si="2"/>
        <v>93</v>
      </c>
      <c r="C103" s="30" t="s">
        <v>206</v>
      </c>
      <c r="D103" s="30" t="s">
        <v>225</v>
      </c>
      <c r="E103" s="234" t="s">
        <v>678</v>
      </c>
      <c r="F103" s="235" t="s">
        <v>1230</v>
      </c>
      <c r="G103" s="284">
        <f>IFERROR(VLOOKUP(E103,Assign!$C$2:$J$142,8,FALSE),)</f>
        <v>0</v>
      </c>
      <c r="H103" s="236" t="s">
        <v>5053</v>
      </c>
      <c r="I103" s="236">
        <v>2</v>
      </c>
      <c r="J103" s="236">
        <v>1</v>
      </c>
      <c r="K103" s="355" t="s">
        <v>1373</v>
      </c>
      <c r="L103" s="356">
        <v>43774</v>
      </c>
      <c r="M103" s="357" t="s">
        <v>204</v>
      </c>
      <c r="N103" s="416">
        <v>255000000</v>
      </c>
      <c r="O103" s="416">
        <v>255000000</v>
      </c>
      <c r="P103" s="358"/>
      <c r="Q103" s="320"/>
      <c r="R103" s="168"/>
      <c r="S103" s="168"/>
      <c r="T103" s="287"/>
      <c r="U103" s="264"/>
      <c r="V103" s="198"/>
    </row>
    <row r="104" spans="1:22" s="90" customFormat="1" ht="19.5" hidden="1" customHeight="1">
      <c r="A104" s="137"/>
      <c r="B104" s="197">
        <f t="shared" si="2"/>
        <v>94</v>
      </c>
      <c r="C104" s="30" t="s">
        <v>206</v>
      </c>
      <c r="D104" s="30" t="s">
        <v>225</v>
      </c>
      <c r="E104" s="234" t="s">
        <v>678</v>
      </c>
      <c r="F104" s="235" t="s">
        <v>1230</v>
      </c>
      <c r="G104" s="284">
        <f>IFERROR(VLOOKUP(E104,Assign!$C$2:$J$142,8,FALSE),)</f>
        <v>0</v>
      </c>
      <c r="H104" s="236" t="s">
        <v>5053</v>
      </c>
      <c r="I104" s="236">
        <v>2</v>
      </c>
      <c r="J104" s="236">
        <v>2</v>
      </c>
      <c r="K104" s="355" t="s">
        <v>1373</v>
      </c>
      <c r="L104" s="356">
        <v>44382</v>
      </c>
      <c r="M104" s="357" t="s">
        <v>204</v>
      </c>
      <c r="N104" s="416">
        <v>225000000</v>
      </c>
      <c r="O104" s="416">
        <v>225000000</v>
      </c>
      <c r="P104" s="358"/>
      <c r="Q104" s="320"/>
      <c r="R104" s="168"/>
      <c r="S104" s="168"/>
      <c r="T104" s="287"/>
      <c r="U104" s="264"/>
      <c r="V104" s="198"/>
    </row>
    <row r="105" spans="1:22" s="90" customFormat="1" ht="19.5" hidden="1" customHeight="1">
      <c r="A105" s="137"/>
      <c r="B105" s="197">
        <f t="shared" si="2"/>
        <v>95</v>
      </c>
      <c r="C105" s="30" t="s">
        <v>206</v>
      </c>
      <c r="D105" s="30" t="s">
        <v>225</v>
      </c>
      <c r="E105" s="234" t="s">
        <v>679</v>
      </c>
      <c r="F105" s="235" t="s">
        <v>1229</v>
      </c>
      <c r="G105" s="284">
        <f>IFERROR(VLOOKUP(E105,Assign!$C$2:$J$142,8,FALSE),)</f>
        <v>0</v>
      </c>
      <c r="H105" s="236" t="s">
        <v>4615</v>
      </c>
      <c r="I105" s="236">
        <v>1</v>
      </c>
      <c r="J105" s="236">
        <v>1</v>
      </c>
      <c r="K105" s="355" t="s">
        <v>1373</v>
      </c>
      <c r="L105" s="356">
        <v>42377</v>
      </c>
      <c r="M105" s="357" t="s">
        <v>204</v>
      </c>
      <c r="N105" s="416">
        <v>960000000</v>
      </c>
      <c r="O105" s="416">
        <v>960000000</v>
      </c>
      <c r="P105" s="358"/>
      <c r="Q105" s="320"/>
      <c r="R105" s="168"/>
      <c r="S105" s="168"/>
      <c r="T105" s="287"/>
      <c r="U105" s="264"/>
      <c r="V105" s="198"/>
    </row>
    <row r="106" spans="1:22" s="90" customFormat="1" ht="19.5" hidden="1" customHeight="1">
      <c r="A106" s="137"/>
      <c r="B106" s="197">
        <f t="shared" si="2"/>
        <v>96</v>
      </c>
      <c r="C106" s="30" t="s">
        <v>206</v>
      </c>
      <c r="D106" s="30" t="s">
        <v>225</v>
      </c>
      <c r="E106" s="234" t="s">
        <v>680</v>
      </c>
      <c r="F106" s="235" t="s">
        <v>1231</v>
      </c>
      <c r="G106" s="284">
        <f>IFERROR(VLOOKUP(E106,Assign!$C$2:$J$142,8,FALSE),)</f>
        <v>0</v>
      </c>
      <c r="H106" s="236" t="s">
        <v>4278</v>
      </c>
      <c r="I106" s="236">
        <v>1</v>
      </c>
      <c r="J106" s="236">
        <v>1</v>
      </c>
      <c r="K106" s="355" t="s">
        <v>1373</v>
      </c>
      <c r="L106" s="356">
        <v>41163</v>
      </c>
      <c r="M106" s="357" t="s">
        <v>204</v>
      </c>
      <c r="N106" s="416">
        <v>650000000</v>
      </c>
      <c r="O106" s="416">
        <v>650000000</v>
      </c>
      <c r="P106" s="358"/>
      <c r="Q106" s="320"/>
      <c r="R106" s="168"/>
      <c r="S106" s="168"/>
      <c r="T106" s="287"/>
      <c r="U106" s="264"/>
      <c r="V106" s="198"/>
    </row>
    <row r="107" spans="1:22" s="90" customFormat="1" ht="19.5" hidden="1" customHeight="1">
      <c r="A107" s="137"/>
      <c r="B107" s="197">
        <f t="shared" si="2"/>
        <v>97</v>
      </c>
      <c r="C107" s="30" t="s">
        <v>206</v>
      </c>
      <c r="D107" s="30" t="s">
        <v>225</v>
      </c>
      <c r="E107" s="234" t="s">
        <v>680</v>
      </c>
      <c r="F107" s="235" t="s">
        <v>1231</v>
      </c>
      <c r="G107" s="284">
        <f>IFERROR(VLOOKUP(E107,Assign!$C$2:$J$142,8,FALSE),)</f>
        <v>0</v>
      </c>
      <c r="H107" s="236" t="s">
        <v>4278</v>
      </c>
      <c r="I107" s="236">
        <v>1</v>
      </c>
      <c r="J107" s="236">
        <v>2</v>
      </c>
      <c r="K107" s="355" t="s">
        <v>1373</v>
      </c>
      <c r="L107" s="356">
        <v>41591</v>
      </c>
      <c r="M107" s="357" t="s">
        <v>204</v>
      </c>
      <c r="N107" s="416">
        <v>10000000</v>
      </c>
      <c r="O107" s="416">
        <v>10000000</v>
      </c>
      <c r="P107" s="358"/>
      <c r="Q107" s="320"/>
      <c r="R107" s="168"/>
      <c r="S107" s="168"/>
      <c r="T107" s="287"/>
      <c r="U107" s="264"/>
      <c r="V107" s="198"/>
    </row>
    <row r="108" spans="1:22" s="90" customFormat="1" ht="19.5" hidden="1" customHeight="1">
      <c r="A108" s="137"/>
      <c r="B108" s="197">
        <f t="shared" si="2"/>
        <v>98</v>
      </c>
      <c r="C108" s="30" t="s">
        <v>206</v>
      </c>
      <c r="D108" s="30" t="s">
        <v>225</v>
      </c>
      <c r="E108" s="234" t="s">
        <v>680</v>
      </c>
      <c r="F108" s="235" t="s">
        <v>1231</v>
      </c>
      <c r="G108" s="284">
        <f>IFERROR(VLOOKUP(E108,Assign!$C$2:$J$142,8,FALSE),)</f>
        <v>0</v>
      </c>
      <c r="H108" s="236" t="s">
        <v>4278</v>
      </c>
      <c r="I108" s="236">
        <v>1</v>
      </c>
      <c r="J108" s="236">
        <v>3</v>
      </c>
      <c r="K108" s="355" t="s">
        <v>1373</v>
      </c>
      <c r="L108" s="356">
        <v>44078</v>
      </c>
      <c r="M108" s="357" t="s">
        <v>204</v>
      </c>
      <c r="N108" s="416">
        <v>60000000</v>
      </c>
      <c r="O108" s="416">
        <v>60000000</v>
      </c>
      <c r="P108" s="358"/>
      <c r="Q108" s="320"/>
      <c r="R108" s="168" t="s">
        <v>204</v>
      </c>
      <c r="S108" s="168" t="s">
        <v>536</v>
      </c>
      <c r="T108" s="287">
        <v>45628</v>
      </c>
      <c r="U108" s="264">
        <v>15000000</v>
      </c>
      <c r="V108" s="198"/>
    </row>
    <row r="109" spans="1:22" s="90" customFormat="1" ht="19.5" hidden="1" customHeight="1">
      <c r="A109" s="137"/>
      <c r="B109" s="197">
        <f t="shared" si="2"/>
        <v>99</v>
      </c>
      <c r="C109" s="30" t="s">
        <v>206</v>
      </c>
      <c r="D109" s="30" t="s">
        <v>225</v>
      </c>
      <c r="E109" s="234" t="s">
        <v>681</v>
      </c>
      <c r="F109" s="235" t="s">
        <v>1232</v>
      </c>
      <c r="G109" s="284">
        <f>IFERROR(VLOOKUP(E109,Assign!$C$2:$J$142,8,FALSE),)</f>
        <v>0</v>
      </c>
      <c r="H109" s="236" t="s">
        <v>4961</v>
      </c>
      <c r="I109" s="236">
        <v>1</v>
      </c>
      <c r="J109" s="236">
        <v>1</v>
      </c>
      <c r="K109" s="355" t="s">
        <v>1373</v>
      </c>
      <c r="L109" s="356">
        <v>44911</v>
      </c>
      <c r="M109" s="357" t="s">
        <v>204</v>
      </c>
      <c r="N109" s="416">
        <v>780000000</v>
      </c>
      <c r="O109" s="416">
        <v>780000000</v>
      </c>
      <c r="P109" s="358"/>
      <c r="Q109" s="320"/>
      <c r="R109" s="168"/>
      <c r="S109" s="168"/>
      <c r="T109" s="287"/>
      <c r="U109" s="264"/>
      <c r="V109" s="198"/>
    </row>
    <row r="110" spans="1:22" s="90" customFormat="1" ht="19.5" hidden="1" customHeight="1">
      <c r="A110" s="137"/>
      <c r="B110" s="197">
        <f t="shared" si="2"/>
        <v>100</v>
      </c>
      <c r="C110" s="30" t="s">
        <v>206</v>
      </c>
      <c r="D110" s="30" t="s">
        <v>225</v>
      </c>
      <c r="E110" s="234" t="s">
        <v>682</v>
      </c>
      <c r="F110" s="235" t="s">
        <v>1227</v>
      </c>
      <c r="G110" s="284">
        <f>IFERROR(VLOOKUP(E110,Assign!$C$2:$J$142,8,FALSE),)</f>
        <v>0</v>
      </c>
      <c r="H110" s="236" t="s">
        <v>5453</v>
      </c>
      <c r="I110" s="236">
        <v>1</v>
      </c>
      <c r="J110" s="236">
        <v>1</v>
      </c>
      <c r="K110" s="355" t="s">
        <v>1373</v>
      </c>
      <c r="L110" s="356">
        <v>45351</v>
      </c>
      <c r="M110" s="357" t="s">
        <v>204</v>
      </c>
      <c r="N110" s="416">
        <v>720000000</v>
      </c>
      <c r="O110" s="416">
        <v>720000000</v>
      </c>
      <c r="P110" s="358"/>
      <c r="Q110" s="320"/>
      <c r="R110" s="168"/>
      <c r="S110" s="168"/>
      <c r="T110" s="287"/>
      <c r="U110" s="264"/>
      <c r="V110" s="198"/>
    </row>
    <row r="111" spans="1:22" s="90" customFormat="1" ht="19.5" hidden="1" customHeight="1">
      <c r="A111" s="137"/>
      <c r="B111" s="197">
        <f t="shared" si="2"/>
        <v>101</v>
      </c>
      <c r="C111" s="30" t="s">
        <v>206</v>
      </c>
      <c r="D111" s="30" t="s">
        <v>225</v>
      </c>
      <c r="E111" s="234" t="s">
        <v>683</v>
      </c>
      <c r="F111" s="235" t="s">
        <v>1223</v>
      </c>
      <c r="G111" s="284">
        <f>IFERROR(VLOOKUP(E111,Assign!$C$2:$J$142,8,FALSE),)</f>
        <v>0</v>
      </c>
      <c r="H111" s="236" t="s">
        <v>4376</v>
      </c>
      <c r="I111" s="236">
        <v>1</v>
      </c>
      <c r="J111" s="236">
        <v>1</v>
      </c>
      <c r="K111" s="355" t="s">
        <v>1373</v>
      </c>
      <c r="L111" s="356">
        <v>45401</v>
      </c>
      <c r="M111" s="357" t="s">
        <v>204</v>
      </c>
      <c r="N111" s="416">
        <v>756000000</v>
      </c>
      <c r="O111" s="416">
        <v>756000000</v>
      </c>
      <c r="P111" s="358"/>
      <c r="Q111" s="320"/>
      <c r="R111" s="168"/>
      <c r="S111" s="168"/>
      <c r="T111" s="287"/>
      <c r="U111" s="264"/>
      <c r="V111" s="198"/>
    </row>
    <row r="112" spans="1:22" s="90" customFormat="1" ht="19.5" hidden="1" customHeight="1">
      <c r="A112" s="137"/>
      <c r="B112" s="197">
        <f t="shared" si="2"/>
        <v>102</v>
      </c>
      <c r="C112" s="30" t="s">
        <v>206</v>
      </c>
      <c r="D112" s="30" t="s">
        <v>225</v>
      </c>
      <c r="E112" s="234" t="s">
        <v>684</v>
      </c>
      <c r="F112" s="235" t="s">
        <v>1305</v>
      </c>
      <c r="G112" s="284">
        <f>IFERROR(VLOOKUP(E112,Assign!$C$2:$J$142,8,FALSE),)</f>
        <v>0</v>
      </c>
      <c r="H112" s="236" t="s">
        <v>5577</v>
      </c>
      <c r="I112" s="236">
        <v>1</v>
      </c>
      <c r="J112" s="236">
        <v>1</v>
      </c>
      <c r="K112" s="355" t="s">
        <v>1373</v>
      </c>
      <c r="L112" s="356">
        <v>44414</v>
      </c>
      <c r="M112" s="357" t="s">
        <v>204</v>
      </c>
      <c r="N112" s="416">
        <v>960000000</v>
      </c>
      <c r="O112" s="416">
        <v>960000000</v>
      </c>
      <c r="P112" s="358"/>
      <c r="Q112" s="320"/>
      <c r="R112" s="168"/>
      <c r="S112" s="168"/>
      <c r="T112" s="287"/>
      <c r="U112" s="264"/>
      <c r="V112" s="198"/>
    </row>
    <row r="113" spans="1:22" s="90" customFormat="1" ht="19.5" hidden="1" customHeight="1">
      <c r="A113" s="137"/>
      <c r="B113" s="197">
        <f t="shared" si="2"/>
        <v>103</v>
      </c>
      <c r="C113" s="30" t="s">
        <v>206</v>
      </c>
      <c r="D113" s="30" t="s">
        <v>225</v>
      </c>
      <c r="E113" s="234" t="s">
        <v>685</v>
      </c>
      <c r="F113" s="235" t="s">
        <v>1221</v>
      </c>
      <c r="G113" s="284">
        <f>IFERROR(VLOOKUP(E113,Assign!$C$2:$J$142,8,FALSE),)</f>
        <v>0</v>
      </c>
      <c r="H113" s="236" t="s">
        <v>4013</v>
      </c>
      <c r="I113" s="236">
        <v>1</v>
      </c>
      <c r="J113" s="236">
        <v>1</v>
      </c>
      <c r="K113" s="355" t="s">
        <v>1373</v>
      </c>
      <c r="L113" s="356">
        <v>43445</v>
      </c>
      <c r="M113" s="357" t="s">
        <v>204</v>
      </c>
      <c r="N113" s="416">
        <v>390000000</v>
      </c>
      <c r="O113" s="416">
        <v>390000000</v>
      </c>
      <c r="P113" s="358"/>
      <c r="Q113" s="320"/>
      <c r="R113" s="168"/>
      <c r="S113" s="168"/>
      <c r="T113" s="287"/>
      <c r="U113" s="264"/>
      <c r="V113" s="198"/>
    </row>
    <row r="114" spans="1:22" s="90" customFormat="1" ht="19.5" hidden="1" customHeight="1">
      <c r="A114" s="137"/>
      <c r="B114" s="197">
        <f t="shared" si="2"/>
        <v>104</v>
      </c>
      <c r="C114" s="30" t="s">
        <v>206</v>
      </c>
      <c r="D114" s="30" t="s">
        <v>225</v>
      </c>
      <c r="E114" s="234" t="s">
        <v>685</v>
      </c>
      <c r="F114" s="235" t="s">
        <v>1221</v>
      </c>
      <c r="G114" s="284">
        <f>IFERROR(VLOOKUP(E114,Assign!$C$2:$J$142,8,FALSE),)</f>
        <v>0</v>
      </c>
      <c r="H114" s="236" t="s">
        <v>4015</v>
      </c>
      <c r="I114" s="236">
        <v>2</v>
      </c>
      <c r="J114" s="236">
        <v>1</v>
      </c>
      <c r="K114" s="355" t="s">
        <v>1373</v>
      </c>
      <c r="L114" s="356">
        <v>44139</v>
      </c>
      <c r="M114" s="357" t="s">
        <v>204</v>
      </c>
      <c r="N114" s="416">
        <v>72000000</v>
      </c>
      <c r="O114" s="416">
        <v>72000000</v>
      </c>
      <c r="P114" s="358"/>
      <c r="Q114" s="320"/>
      <c r="R114" s="168"/>
      <c r="S114" s="168"/>
      <c r="T114" s="287"/>
      <c r="U114" s="264"/>
      <c r="V114" s="198"/>
    </row>
    <row r="115" spans="1:22" s="90" customFormat="1" ht="19.5" hidden="1" customHeight="1">
      <c r="A115" s="137"/>
      <c r="B115" s="197">
        <f t="shared" si="2"/>
        <v>105</v>
      </c>
      <c r="C115" s="30" t="s">
        <v>206</v>
      </c>
      <c r="D115" s="30" t="s">
        <v>225</v>
      </c>
      <c r="E115" s="234" t="s">
        <v>685</v>
      </c>
      <c r="F115" s="235" t="s">
        <v>1221</v>
      </c>
      <c r="G115" s="284">
        <f>IFERROR(VLOOKUP(E115,Assign!$C$2:$J$142,8,FALSE),)</f>
        <v>0</v>
      </c>
      <c r="H115" s="236" t="s">
        <v>4015</v>
      </c>
      <c r="I115" s="236">
        <v>2</v>
      </c>
      <c r="J115" s="236">
        <v>2</v>
      </c>
      <c r="K115" s="355" t="s">
        <v>1373</v>
      </c>
      <c r="L115" s="356">
        <v>44139</v>
      </c>
      <c r="M115" s="357" t="s">
        <v>204</v>
      </c>
      <c r="N115" s="416">
        <v>322800000</v>
      </c>
      <c r="O115" s="416">
        <v>322800000</v>
      </c>
      <c r="P115" s="358"/>
      <c r="Q115" s="320"/>
      <c r="R115" s="168"/>
      <c r="S115" s="168"/>
      <c r="T115" s="287"/>
      <c r="U115" s="264"/>
      <c r="V115" s="198"/>
    </row>
    <row r="116" spans="1:22" s="90" customFormat="1" ht="19.5" hidden="1" customHeight="1">
      <c r="A116" s="137"/>
      <c r="B116" s="197">
        <f t="shared" si="2"/>
        <v>106</v>
      </c>
      <c r="C116" s="30" t="s">
        <v>206</v>
      </c>
      <c r="D116" s="30" t="s">
        <v>225</v>
      </c>
      <c r="E116" s="234" t="s">
        <v>686</v>
      </c>
      <c r="F116" s="235" t="s">
        <v>1217</v>
      </c>
      <c r="G116" s="284">
        <f>IFERROR(VLOOKUP(E116,Assign!$C$2:$J$142,8,FALSE),)</f>
        <v>0</v>
      </c>
      <c r="H116" s="236" t="s">
        <v>4144</v>
      </c>
      <c r="I116" s="236">
        <v>1</v>
      </c>
      <c r="J116" s="236">
        <v>1</v>
      </c>
      <c r="K116" s="355" t="s">
        <v>1373</v>
      </c>
      <c r="L116" s="356">
        <v>38835</v>
      </c>
      <c r="M116" s="357" t="s">
        <v>204</v>
      </c>
      <c r="N116" s="416">
        <v>285100000</v>
      </c>
      <c r="O116" s="416">
        <v>285100000</v>
      </c>
      <c r="P116" s="358"/>
      <c r="Q116" s="320"/>
      <c r="R116" s="168"/>
      <c r="S116" s="168"/>
      <c r="T116" s="287"/>
      <c r="U116" s="264"/>
      <c r="V116" s="198"/>
    </row>
    <row r="117" spans="1:22" s="90" customFormat="1" ht="19.5" hidden="1" customHeight="1">
      <c r="A117" s="137"/>
      <c r="B117" s="197">
        <f t="shared" si="2"/>
        <v>107</v>
      </c>
      <c r="C117" s="30" t="s">
        <v>206</v>
      </c>
      <c r="D117" s="30" t="s">
        <v>225</v>
      </c>
      <c r="E117" s="234" t="s">
        <v>686</v>
      </c>
      <c r="F117" s="235" t="s">
        <v>1217</v>
      </c>
      <c r="G117" s="284">
        <f>IFERROR(VLOOKUP(E117,Assign!$C$2:$J$142,8,FALSE),)</f>
        <v>0</v>
      </c>
      <c r="H117" s="236" t="s">
        <v>4144</v>
      </c>
      <c r="I117" s="236">
        <v>1</v>
      </c>
      <c r="J117" s="236">
        <v>2</v>
      </c>
      <c r="K117" s="355" t="s">
        <v>1373</v>
      </c>
      <c r="L117" s="356">
        <v>41879</v>
      </c>
      <c r="M117" s="357" t="s">
        <v>204</v>
      </c>
      <c r="N117" s="416">
        <v>24000000</v>
      </c>
      <c r="O117" s="416">
        <v>24000000</v>
      </c>
      <c r="P117" s="358"/>
      <c r="Q117" s="320"/>
      <c r="R117" s="168"/>
      <c r="S117" s="168"/>
      <c r="T117" s="287"/>
      <c r="U117" s="264"/>
      <c r="V117" s="198"/>
    </row>
    <row r="118" spans="1:22" s="90" customFormat="1" ht="19.5" hidden="1" customHeight="1">
      <c r="A118" s="137"/>
      <c r="B118" s="197">
        <f t="shared" si="2"/>
        <v>108</v>
      </c>
      <c r="C118" s="30" t="s">
        <v>206</v>
      </c>
      <c r="D118" s="30" t="s">
        <v>225</v>
      </c>
      <c r="E118" s="234" t="s">
        <v>686</v>
      </c>
      <c r="F118" s="235" t="s">
        <v>1217</v>
      </c>
      <c r="G118" s="284">
        <f>IFERROR(VLOOKUP(E118,Assign!$C$2:$J$142,8,FALSE),)</f>
        <v>0</v>
      </c>
      <c r="H118" s="236" t="s">
        <v>4144</v>
      </c>
      <c r="I118" s="236">
        <v>1</v>
      </c>
      <c r="J118" s="236">
        <v>3</v>
      </c>
      <c r="K118" s="355" t="s">
        <v>1373</v>
      </c>
      <c r="L118" s="356">
        <v>45104</v>
      </c>
      <c r="M118" s="357" t="s">
        <v>204</v>
      </c>
      <c r="N118" s="416">
        <v>420000000</v>
      </c>
      <c r="O118" s="416">
        <v>420000000</v>
      </c>
      <c r="P118" s="358"/>
      <c r="Q118" s="320"/>
      <c r="R118" s="168"/>
      <c r="S118" s="168"/>
      <c r="T118" s="287"/>
      <c r="U118" s="264"/>
      <c r="V118" s="198"/>
    </row>
    <row r="119" spans="1:22" s="90" customFormat="1" ht="19.5" hidden="1" customHeight="1">
      <c r="A119" s="137"/>
      <c r="B119" s="197">
        <f t="shared" si="2"/>
        <v>109</v>
      </c>
      <c r="C119" s="30" t="s">
        <v>206</v>
      </c>
      <c r="D119" s="30" t="s">
        <v>225</v>
      </c>
      <c r="E119" s="234" t="s">
        <v>687</v>
      </c>
      <c r="F119" s="235" t="s">
        <v>1233</v>
      </c>
      <c r="G119" s="284">
        <f>IFERROR(VLOOKUP(E119,Assign!$C$2:$J$142,8,FALSE),)</f>
        <v>0</v>
      </c>
      <c r="H119" s="236" t="s">
        <v>4250</v>
      </c>
      <c r="I119" s="236">
        <v>1</v>
      </c>
      <c r="J119" s="236">
        <v>1</v>
      </c>
      <c r="K119" s="355" t="s">
        <v>1373</v>
      </c>
      <c r="L119" s="356">
        <v>44140</v>
      </c>
      <c r="M119" s="357" t="s">
        <v>204</v>
      </c>
      <c r="N119" s="416">
        <v>730800000</v>
      </c>
      <c r="O119" s="416">
        <v>730800000</v>
      </c>
      <c r="P119" s="358"/>
      <c r="Q119" s="320"/>
      <c r="R119" s="168"/>
      <c r="S119" s="168"/>
      <c r="T119" s="287"/>
      <c r="U119" s="264"/>
      <c r="V119" s="198"/>
    </row>
    <row r="120" spans="1:22" s="90" customFormat="1" ht="19.5" customHeight="1">
      <c r="A120" s="137"/>
      <c r="B120" s="197">
        <f t="shared" si="2"/>
        <v>110</v>
      </c>
      <c r="C120" s="30" t="s">
        <v>206</v>
      </c>
      <c r="D120" s="30" t="s">
        <v>225</v>
      </c>
      <c r="E120" s="234" t="s">
        <v>688</v>
      </c>
      <c r="F120" s="235" t="s">
        <v>1306</v>
      </c>
      <c r="G120" s="284" t="str">
        <f>IFERROR(VLOOKUP(E120,Assign!$C$2:$J$142,8,FALSE),)</f>
        <v>문선영</v>
      </c>
      <c r="H120" s="236" t="s">
        <v>5300</v>
      </c>
      <c r="I120" s="236">
        <v>1</v>
      </c>
      <c r="J120" s="236">
        <v>1</v>
      </c>
      <c r="K120" s="355" t="s">
        <v>1373</v>
      </c>
      <c r="L120" s="356">
        <v>44515</v>
      </c>
      <c r="M120" s="357" t="s">
        <v>204</v>
      </c>
      <c r="N120" s="416">
        <v>648000000</v>
      </c>
      <c r="O120" s="416">
        <v>648000000</v>
      </c>
      <c r="P120" s="358"/>
      <c r="Q120" s="320"/>
      <c r="R120" s="168"/>
      <c r="S120" s="168"/>
      <c r="T120" s="287"/>
      <c r="U120" s="264"/>
      <c r="V120" s="198"/>
    </row>
    <row r="121" spans="1:22" s="90" customFormat="1" ht="19.5" hidden="1" customHeight="1">
      <c r="A121" s="137"/>
      <c r="B121" s="197">
        <f t="shared" si="2"/>
        <v>111</v>
      </c>
      <c r="C121" s="30" t="s">
        <v>206</v>
      </c>
      <c r="D121" s="30" t="s">
        <v>225</v>
      </c>
      <c r="E121" s="234" t="s">
        <v>689</v>
      </c>
      <c r="F121" s="235" t="s">
        <v>1234</v>
      </c>
      <c r="G121" s="284">
        <f>IFERROR(VLOOKUP(E121,Assign!$C$2:$J$142,8,FALSE),)</f>
        <v>0</v>
      </c>
      <c r="H121" s="236" t="s">
        <v>3884</v>
      </c>
      <c r="I121" s="236">
        <v>1</v>
      </c>
      <c r="J121" s="236">
        <v>1</v>
      </c>
      <c r="K121" s="355" t="s">
        <v>1373</v>
      </c>
      <c r="L121" s="356">
        <v>40532</v>
      </c>
      <c r="M121" s="357" t="s">
        <v>204</v>
      </c>
      <c r="N121" s="416">
        <v>132000000</v>
      </c>
      <c r="O121" s="416">
        <v>132000000</v>
      </c>
      <c r="P121" s="358"/>
      <c r="Q121" s="320"/>
      <c r="R121" s="168"/>
      <c r="S121" s="168"/>
      <c r="T121" s="287"/>
      <c r="U121" s="264"/>
      <c r="V121" s="198"/>
    </row>
    <row r="122" spans="1:22" s="90" customFormat="1" ht="19.5" hidden="1" customHeight="1">
      <c r="A122" s="137"/>
      <c r="B122" s="197">
        <f t="shared" si="2"/>
        <v>112</v>
      </c>
      <c r="C122" s="30" t="s">
        <v>206</v>
      </c>
      <c r="D122" s="30" t="s">
        <v>225</v>
      </c>
      <c r="E122" s="234" t="s">
        <v>689</v>
      </c>
      <c r="F122" s="235" t="s">
        <v>1234</v>
      </c>
      <c r="G122" s="284">
        <f>IFERROR(VLOOKUP(E122,Assign!$C$2:$J$142,8,FALSE),)</f>
        <v>0</v>
      </c>
      <c r="H122" s="236" t="s">
        <v>3884</v>
      </c>
      <c r="I122" s="236">
        <v>1</v>
      </c>
      <c r="J122" s="236">
        <v>2</v>
      </c>
      <c r="K122" s="355" t="s">
        <v>1373</v>
      </c>
      <c r="L122" s="356">
        <v>40532</v>
      </c>
      <c r="M122" s="357" t="s">
        <v>204</v>
      </c>
      <c r="N122" s="416">
        <v>494400000</v>
      </c>
      <c r="O122" s="416">
        <v>494400000</v>
      </c>
      <c r="P122" s="358"/>
      <c r="Q122" s="320"/>
      <c r="R122" s="168"/>
      <c r="S122" s="168"/>
      <c r="T122" s="287"/>
      <c r="U122" s="264"/>
      <c r="V122" s="198"/>
    </row>
    <row r="123" spans="1:22" s="90" customFormat="1" ht="19.5" hidden="1" customHeight="1">
      <c r="A123" s="137"/>
      <c r="B123" s="197">
        <f t="shared" si="2"/>
        <v>113</v>
      </c>
      <c r="C123" s="30" t="s">
        <v>206</v>
      </c>
      <c r="D123" s="30" t="s">
        <v>225</v>
      </c>
      <c r="E123" s="234" t="s">
        <v>690</v>
      </c>
      <c r="F123" s="235" t="s">
        <v>1307</v>
      </c>
      <c r="G123" s="284">
        <f>IFERROR(VLOOKUP(E123,Assign!$C$2:$J$142,8,FALSE),)</f>
        <v>0</v>
      </c>
      <c r="H123" s="236" t="s">
        <v>5179</v>
      </c>
      <c r="I123" s="236">
        <v>1</v>
      </c>
      <c r="J123" s="236">
        <v>1</v>
      </c>
      <c r="K123" s="355" t="s">
        <v>486</v>
      </c>
      <c r="L123" s="356">
        <v>43280</v>
      </c>
      <c r="M123" s="357" t="s">
        <v>204</v>
      </c>
      <c r="N123" s="416">
        <v>8100000000</v>
      </c>
      <c r="O123" s="416">
        <v>8100000000</v>
      </c>
      <c r="P123" s="358"/>
      <c r="Q123" s="320"/>
      <c r="R123" s="168"/>
      <c r="S123" s="168"/>
      <c r="T123" s="287"/>
      <c r="U123" s="264"/>
      <c r="V123" s="198"/>
    </row>
    <row r="124" spans="1:22" s="90" customFormat="1" ht="19.5" hidden="1" customHeight="1">
      <c r="A124" s="137"/>
      <c r="B124" s="197">
        <f t="shared" si="2"/>
        <v>114</v>
      </c>
      <c r="C124" s="30" t="s">
        <v>206</v>
      </c>
      <c r="D124" s="30" t="s">
        <v>225</v>
      </c>
      <c r="E124" s="234" t="s">
        <v>690</v>
      </c>
      <c r="F124" s="235" t="s">
        <v>1307</v>
      </c>
      <c r="G124" s="284">
        <f>IFERROR(VLOOKUP(E124,Assign!$C$2:$J$142,8,FALSE),)</f>
        <v>0</v>
      </c>
      <c r="H124" s="236" t="s">
        <v>5179</v>
      </c>
      <c r="I124" s="236">
        <v>1</v>
      </c>
      <c r="J124" s="236">
        <v>2</v>
      </c>
      <c r="K124" s="355" t="s">
        <v>1380</v>
      </c>
      <c r="L124" s="356">
        <v>44034</v>
      </c>
      <c r="M124" s="357" t="s">
        <v>204</v>
      </c>
      <c r="N124" s="416">
        <v>2280000000</v>
      </c>
      <c r="O124" s="416">
        <v>2280000000</v>
      </c>
      <c r="P124" s="358"/>
      <c r="Q124" s="320"/>
      <c r="R124" s="168"/>
      <c r="S124" s="168"/>
      <c r="T124" s="287"/>
      <c r="U124" s="264"/>
      <c r="V124" s="198"/>
    </row>
    <row r="125" spans="1:22" s="90" customFormat="1" ht="19.5" hidden="1" customHeight="1">
      <c r="A125" s="137"/>
      <c r="B125" s="197">
        <f t="shared" si="2"/>
        <v>115</v>
      </c>
      <c r="C125" s="30" t="s">
        <v>206</v>
      </c>
      <c r="D125" s="30" t="s">
        <v>225</v>
      </c>
      <c r="E125" s="234" t="s">
        <v>690</v>
      </c>
      <c r="F125" s="235" t="s">
        <v>1307</v>
      </c>
      <c r="G125" s="284">
        <f>IFERROR(VLOOKUP(E125,Assign!$C$2:$J$142,8,FALSE),)</f>
        <v>0</v>
      </c>
      <c r="H125" s="236" t="s">
        <v>5179</v>
      </c>
      <c r="I125" s="236">
        <v>1</v>
      </c>
      <c r="J125" s="236">
        <v>3</v>
      </c>
      <c r="K125" s="355" t="s">
        <v>1380</v>
      </c>
      <c r="L125" s="356">
        <v>44034</v>
      </c>
      <c r="M125" s="357" t="s">
        <v>204</v>
      </c>
      <c r="N125" s="416">
        <v>900000000</v>
      </c>
      <c r="O125" s="416">
        <v>900000000</v>
      </c>
      <c r="P125" s="358"/>
      <c r="Q125" s="320"/>
      <c r="R125" s="168"/>
      <c r="S125" s="168"/>
      <c r="T125" s="287"/>
      <c r="U125" s="264"/>
      <c r="V125" s="198"/>
    </row>
    <row r="126" spans="1:22" s="90" customFormat="1" ht="19.5" hidden="1" customHeight="1">
      <c r="A126" s="137"/>
      <c r="B126" s="197">
        <f t="shared" si="2"/>
        <v>116</v>
      </c>
      <c r="C126" s="30" t="s">
        <v>206</v>
      </c>
      <c r="D126" s="30" t="s">
        <v>225</v>
      </c>
      <c r="E126" s="234" t="s">
        <v>690</v>
      </c>
      <c r="F126" s="235" t="s">
        <v>1307</v>
      </c>
      <c r="G126" s="284">
        <f>IFERROR(VLOOKUP(E126,Assign!$C$2:$J$142,8,FALSE),)</f>
        <v>0</v>
      </c>
      <c r="H126" s="236" t="s">
        <v>5179</v>
      </c>
      <c r="I126" s="236">
        <v>1</v>
      </c>
      <c r="J126" s="236">
        <v>4</v>
      </c>
      <c r="K126" s="355" t="s">
        <v>1381</v>
      </c>
      <c r="L126" s="356">
        <v>44216</v>
      </c>
      <c r="M126" s="357" t="s">
        <v>204</v>
      </c>
      <c r="N126" s="416">
        <v>3600000000</v>
      </c>
      <c r="O126" s="416">
        <v>3600000000</v>
      </c>
      <c r="P126" s="358"/>
      <c r="Q126" s="320"/>
      <c r="R126" s="168"/>
      <c r="S126" s="168"/>
      <c r="T126" s="287"/>
      <c r="U126" s="264"/>
      <c r="V126" s="198"/>
    </row>
    <row r="127" spans="1:22" s="90" customFormat="1" ht="19.5" hidden="1" customHeight="1">
      <c r="A127" s="137"/>
      <c r="B127" s="197">
        <f t="shared" si="2"/>
        <v>117</v>
      </c>
      <c r="C127" s="30" t="s">
        <v>206</v>
      </c>
      <c r="D127" s="30" t="s">
        <v>225</v>
      </c>
      <c r="E127" s="234" t="s">
        <v>690</v>
      </c>
      <c r="F127" s="235" t="s">
        <v>1307</v>
      </c>
      <c r="G127" s="284">
        <f>IFERROR(VLOOKUP(E127,Assign!$C$2:$J$142,8,FALSE),)</f>
        <v>0</v>
      </c>
      <c r="H127" s="236" t="s">
        <v>5179</v>
      </c>
      <c r="I127" s="236">
        <v>1</v>
      </c>
      <c r="J127" s="236">
        <v>5</v>
      </c>
      <c r="K127" s="355" t="s">
        <v>1373</v>
      </c>
      <c r="L127" s="356">
        <v>44662</v>
      </c>
      <c r="M127" s="357" t="s">
        <v>204</v>
      </c>
      <c r="N127" s="416">
        <v>600000000</v>
      </c>
      <c r="O127" s="416">
        <v>600000000</v>
      </c>
      <c r="P127" s="358"/>
      <c r="Q127" s="320"/>
      <c r="R127" s="168"/>
      <c r="S127" s="168"/>
      <c r="T127" s="287"/>
      <c r="U127" s="264"/>
      <c r="V127" s="198"/>
    </row>
    <row r="128" spans="1:22" s="90" customFormat="1" ht="19.5" hidden="1" customHeight="1">
      <c r="A128" s="137"/>
      <c r="B128" s="197">
        <f t="shared" si="2"/>
        <v>118</v>
      </c>
      <c r="C128" s="30" t="s">
        <v>206</v>
      </c>
      <c r="D128" s="30" t="s">
        <v>225</v>
      </c>
      <c r="E128" s="234" t="s">
        <v>691</v>
      </c>
      <c r="F128" s="235" t="s">
        <v>1308</v>
      </c>
      <c r="G128" s="284">
        <f>IFERROR(VLOOKUP(E128,Assign!$C$2:$J$142,8,FALSE),)</f>
        <v>0</v>
      </c>
      <c r="H128" s="236" t="s">
        <v>5405</v>
      </c>
      <c r="I128" s="236">
        <v>1</v>
      </c>
      <c r="J128" s="236">
        <v>1</v>
      </c>
      <c r="K128" s="355" t="s">
        <v>486</v>
      </c>
      <c r="L128" s="356">
        <v>44774</v>
      </c>
      <c r="M128" s="357" t="s">
        <v>204</v>
      </c>
      <c r="N128" s="416">
        <v>550000000</v>
      </c>
      <c r="O128" s="416">
        <v>550000000</v>
      </c>
      <c r="P128" s="358"/>
      <c r="Q128" s="320"/>
      <c r="R128" s="168"/>
      <c r="S128" s="168"/>
      <c r="T128" s="287"/>
      <c r="U128" s="264"/>
      <c r="V128" s="198"/>
    </row>
    <row r="129" spans="1:22" s="90" customFormat="1" ht="19.5" hidden="1" customHeight="1">
      <c r="A129" s="137"/>
      <c r="B129" s="197">
        <f t="shared" si="2"/>
        <v>119</v>
      </c>
      <c r="C129" s="30" t="s">
        <v>206</v>
      </c>
      <c r="D129" s="30" t="s">
        <v>225</v>
      </c>
      <c r="E129" s="234" t="s">
        <v>691</v>
      </c>
      <c r="F129" s="235" t="s">
        <v>1308</v>
      </c>
      <c r="G129" s="284">
        <f>IFERROR(VLOOKUP(E129,Assign!$C$2:$J$142,8,FALSE),)</f>
        <v>0</v>
      </c>
      <c r="H129" s="236" t="s">
        <v>5405</v>
      </c>
      <c r="I129" s="236">
        <v>1</v>
      </c>
      <c r="J129" s="236">
        <v>2</v>
      </c>
      <c r="K129" s="355" t="s">
        <v>486</v>
      </c>
      <c r="L129" s="356">
        <v>44805</v>
      </c>
      <c r="M129" s="357" t="s">
        <v>204</v>
      </c>
      <c r="N129" s="416">
        <v>600000000</v>
      </c>
      <c r="O129" s="416">
        <v>600000000</v>
      </c>
      <c r="P129" s="358"/>
      <c r="Q129" s="320"/>
      <c r="R129" s="168"/>
      <c r="S129" s="168"/>
      <c r="T129" s="287"/>
      <c r="U129" s="264"/>
      <c r="V129" s="198"/>
    </row>
    <row r="130" spans="1:22" s="90" customFormat="1" ht="19.5" hidden="1" customHeight="1">
      <c r="A130" s="137"/>
      <c r="B130" s="197">
        <f t="shared" si="2"/>
        <v>120</v>
      </c>
      <c r="C130" s="30" t="s">
        <v>206</v>
      </c>
      <c r="D130" s="30" t="s">
        <v>225</v>
      </c>
      <c r="E130" s="234" t="s">
        <v>691</v>
      </c>
      <c r="F130" s="235" t="s">
        <v>1308</v>
      </c>
      <c r="G130" s="284">
        <f>IFERROR(VLOOKUP(E130,Assign!$C$2:$J$142,8,FALSE),)</f>
        <v>0</v>
      </c>
      <c r="H130" s="236" t="s">
        <v>5405</v>
      </c>
      <c r="I130" s="236">
        <v>1</v>
      </c>
      <c r="J130" s="236">
        <v>3</v>
      </c>
      <c r="K130" s="355" t="s">
        <v>1373</v>
      </c>
      <c r="L130" s="356">
        <v>44805</v>
      </c>
      <c r="M130" s="357" t="s">
        <v>204</v>
      </c>
      <c r="N130" s="416">
        <v>360000000</v>
      </c>
      <c r="O130" s="416">
        <v>360000000</v>
      </c>
      <c r="P130" s="358"/>
      <c r="Q130" s="320"/>
      <c r="R130" s="168"/>
      <c r="S130" s="168"/>
      <c r="T130" s="287"/>
      <c r="U130" s="264"/>
      <c r="V130" s="198"/>
    </row>
    <row r="131" spans="1:22" s="90" customFormat="1" ht="19.5" hidden="1" customHeight="1">
      <c r="A131" s="137"/>
      <c r="B131" s="197">
        <f t="shared" si="2"/>
        <v>121</v>
      </c>
      <c r="C131" s="30" t="s">
        <v>206</v>
      </c>
      <c r="D131" s="30" t="s">
        <v>225</v>
      </c>
      <c r="E131" s="234" t="s">
        <v>691</v>
      </c>
      <c r="F131" s="235" t="s">
        <v>1308</v>
      </c>
      <c r="G131" s="284">
        <f>IFERROR(VLOOKUP(E131,Assign!$C$2:$J$142,8,FALSE),)</f>
        <v>0</v>
      </c>
      <c r="H131" s="236" t="s">
        <v>5405</v>
      </c>
      <c r="I131" s="236">
        <v>1</v>
      </c>
      <c r="J131" s="236">
        <v>4</v>
      </c>
      <c r="K131" s="355" t="s">
        <v>486</v>
      </c>
      <c r="L131" s="356">
        <v>45189</v>
      </c>
      <c r="M131" s="357" t="s">
        <v>204</v>
      </c>
      <c r="N131" s="416">
        <v>120000000</v>
      </c>
      <c r="O131" s="416">
        <v>120000000</v>
      </c>
      <c r="P131" s="358"/>
      <c r="Q131" s="320"/>
      <c r="R131" s="168"/>
      <c r="S131" s="168"/>
      <c r="T131" s="287"/>
      <c r="U131" s="264"/>
      <c r="V131" s="198"/>
    </row>
    <row r="132" spans="1:22" s="90" customFormat="1" ht="19.5" hidden="1" customHeight="1">
      <c r="A132" s="137"/>
      <c r="B132" s="197">
        <f t="shared" si="2"/>
        <v>122</v>
      </c>
      <c r="C132" s="30" t="s">
        <v>206</v>
      </c>
      <c r="D132" s="30" t="s">
        <v>225</v>
      </c>
      <c r="E132" s="234" t="s">
        <v>691</v>
      </c>
      <c r="F132" s="235" t="s">
        <v>1308</v>
      </c>
      <c r="G132" s="284">
        <f>IFERROR(VLOOKUP(E132,Assign!$C$2:$J$142,8,FALSE),)</f>
        <v>0</v>
      </c>
      <c r="H132" s="236" t="s">
        <v>5405</v>
      </c>
      <c r="I132" s="236">
        <v>1</v>
      </c>
      <c r="J132" s="236">
        <v>5</v>
      </c>
      <c r="K132" s="355" t="s">
        <v>1373</v>
      </c>
      <c r="L132" s="356">
        <v>45456</v>
      </c>
      <c r="M132" s="357" t="s">
        <v>204</v>
      </c>
      <c r="N132" s="416">
        <v>237600000</v>
      </c>
      <c r="O132" s="416">
        <v>237600000</v>
      </c>
      <c r="P132" s="358"/>
      <c r="Q132" s="320"/>
      <c r="R132" s="168"/>
      <c r="S132" s="168"/>
      <c r="T132" s="287"/>
      <c r="U132" s="264"/>
      <c r="V132" s="198"/>
    </row>
    <row r="133" spans="1:22" s="90" customFormat="1" ht="19.5" hidden="1" customHeight="1">
      <c r="A133" s="137"/>
      <c r="B133" s="197">
        <f t="shared" si="2"/>
        <v>123</v>
      </c>
      <c r="C133" s="30" t="s">
        <v>206</v>
      </c>
      <c r="D133" s="30" t="s">
        <v>225</v>
      </c>
      <c r="E133" s="234" t="s">
        <v>692</v>
      </c>
      <c r="F133" s="235" t="s">
        <v>1309</v>
      </c>
      <c r="G133" s="284">
        <f>IFERROR(VLOOKUP(E133,Assign!$C$2:$J$142,8,FALSE),)</f>
        <v>0</v>
      </c>
      <c r="H133" s="236" t="s">
        <v>5084</v>
      </c>
      <c r="I133" s="236">
        <v>1</v>
      </c>
      <c r="J133" s="236">
        <v>1</v>
      </c>
      <c r="K133" s="355" t="s">
        <v>1373</v>
      </c>
      <c r="L133" s="356">
        <v>45035</v>
      </c>
      <c r="M133" s="357" t="s">
        <v>204</v>
      </c>
      <c r="N133" s="416">
        <v>600000000</v>
      </c>
      <c r="O133" s="416">
        <v>600000000</v>
      </c>
      <c r="P133" s="358"/>
      <c r="Q133" s="320"/>
      <c r="R133" s="168"/>
      <c r="S133" s="168"/>
      <c r="T133" s="287"/>
      <c r="U133" s="264"/>
      <c r="V133" s="198"/>
    </row>
    <row r="134" spans="1:22" s="90" customFormat="1" ht="19.5" hidden="1" customHeight="1">
      <c r="A134" s="137"/>
      <c r="B134" s="197">
        <f t="shared" si="2"/>
        <v>124</v>
      </c>
      <c r="C134" s="30" t="s">
        <v>206</v>
      </c>
      <c r="D134" s="30" t="s">
        <v>225</v>
      </c>
      <c r="E134" s="234" t="s">
        <v>693</v>
      </c>
      <c r="F134" s="235" t="s">
        <v>1310</v>
      </c>
      <c r="G134" s="284">
        <f>IFERROR(VLOOKUP(E134,Assign!$C$2:$J$142,8,FALSE),)</f>
        <v>0</v>
      </c>
      <c r="H134" s="236" t="s">
        <v>4905</v>
      </c>
      <c r="I134" s="236">
        <v>1</v>
      </c>
      <c r="J134" s="236">
        <v>1</v>
      </c>
      <c r="K134" s="355" t="s">
        <v>1373</v>
      </c>
      <c r="L134" s="356">
        <v>45335</v>
      </c>
      <c r="M134" s="357" t="s">
        <v>204</v>
      </c>
      <c r="N134" s="416">
        <v>586800000</v>
      </c>
      <c r="O134" s="416">
        <v>586800000</v>
      </c>
      <c r="P134" s="358"/>
      <c r="Q134" s="320"/>
      <c r="R134" s="168"/>
      <c r="S134" s="168"/>
      <c r="T134" s="287"/>
      <c r="U134" s="264"/>
      <c r="V134" s="198"/>
    </row>
    <row r="135" spans="1:22" s="90" customFormat="1" ht="19.5" customHeight="1">
      <c r="A135" s="137"/>
      <c r="B135" s="197">
        <f t="shared" si="2"/>
        <v>125</v>
      </c>
      <c r="C135" s="30" t="s">
        <v>206</v>
      </c>
      <c r="D135" s="30" t="s">
        <v>225</v>
      </c>
      <c r="E135" s="234" t="s">
        <v>694</v>
      </c>
      <c r="F135" s="235" t="s">
        <v>1235</v>
      </c>
      <c r="G135" s="284" t="str">
        <f>IFERROR(VLOOKUP(E135,Assign!$C$2:$J$142,8,FALSE),)</f>
        <v>문선영</v>
      </c>
      <c r="H135" s="236" t="s">
        <v>4805</v>
      </c>
      <c r="I135" s="236">
        <v>1</v>
      </c>
      <c r="J135" s="236">
        <v>1</v>
      </c>
      <c r="K135" s="355" t="s">
        <v>1373</v>
      </c>
      <c r="L135" s="356">
        <v>44365</v>
      </c>
      <c r="M135" s="357" t="s">
        <v>204</v>
      </c>
      <c r="N135" s="416">
        <v>552000000</v>
      </c>
      <c r="O135" s="416">
        <v>552000000</v>
      </c>
      <c r="P135" s="358"/>
      <c r="Q135" s="320"/>
      <c r="R135" s="168"/>
      <c r="S135" s="168"/>
      <c r="T135" s="287"/>
      <c r="U135" s="264"/>
      <c r="V135" s="198"/>
    </row>
    <row r="136" spans="1:22" s="90" customFormat="1" ht="19.5" customHeight="1">
      <c r="A136" s="137"/>
      <c r="B136" s="197">
        <f t="shared" si="2"/>
        <v>126</v>
      </c>
      <c r="C136" s="30" t="s">
        <v>206</v>
      </c>
      <c r="D136" s="30" t="s">
        <v>225</v>
      </c>
      <c r="E136" s="234" t="s">
        <v>695</v>
      </c>
      <c r="F136" s="235" t="s">
        <v>1236</v>
      </c>
      <c r="G136" s="284" t="str">
        <f>IFERROR(VLOOKUP(E136,Assign!$C$2:$J$142,8,FALSE),)</f>
        <v>문선영</v>
      </c>
      <c r="H136" s="236" t="s">
        <v>3997</v>
      </c>
      <c r="I136" s="236">
        <v>1</v>
      </c>
      <c r="J136" s="236">
        <v>1</v>
      </c>
      <c r="K136" s="355" t="s">
        <v>1373</v>
      </c>
      <c r="L136" s="356">
        <v>44869</v>
      </c>
      <c r="M136" s="357" t="s">
        <v>204</v>
      </c>
      <c r="N136" s="416">
        <v>528000000</v>
      </c>
      <c r="O136" s="416">
        <v>528000000</v>
      </c>
      <c r="P136" s="358"/>
      <c r="Q136" s="320"/>
      <c r="R136" s="168"/>
      <c r="S136" s="168"/>
      <c r="T136" s="287"/>
      <c r="U136" s="264"/>
      <c r="V136" s="198"/>
    </row>
    <row r="137" spans="1:22" s="90" customFormat="1" ht="19.5" hidden="1" customHeight="1">
      <c r="A137" s="137"/>
      <c r="B137" s="197">
        <f t="shared" si="2"/>
        <v>127</v>
      </c>
      <c r="C137" s="30" t="s">
        <v>206</v>
      </c>
      <c r="D137" s="30" t="s">
        <v>225</v>
      </c>
      <c r="E137" s="234" t="s">
        <v>696</v>
      </c>
      <c r="F137" s="235" t="s">
        <v>1234</v>
      </c>
      <c r="G137" s="284">
        <f>IFERROR(VLOOKUP(E137,Assign!$C$2:$J$142,8,FALSE),)</f>
        <v>0</v>
      </c>
      <c r="H137" s="236" t="s">
        <v>4599</v>
      </c>
      <c r="I137" s="236">
        <v>1</v>
      </c>
      <c r="J137" s="236">
        <v>1</v>
      </c>
      <c r="K137" s="355" t="s">
        <v>1373</v>
      </c>
      <c r="L137" s="356">
        <v>42271</v>
      </c>
      <c r="M137" s="357" t="s">
        <v>204</v>
      </c>
      <c r="N137" s="416">
        <v>534500000</v>
      </c>
      <c r="O137" s="416">
        <v>534500000</v>
      </c>
      <c r="P137" s="358"/>
      <c r="Q137" s="320"/>
      <c r="R137" s="168"/>
      <c r="S137" s="168"/>
      <c r="T137" s="287"/>
      <c r="U137" s="264"/>
      <c r="V137" s="198"/>
    </row>
    <row r="138" spans="1:22" s="90" customFormat="1" ht="19.5" hidden="1" customHeight="1">
      <c r="A138" s="137"/>
      <c r="B138" s="197">
        <f t="shared" si="2"/>
        <v>128</v>
      </c>
      <c r="C138" s="30" t="s">
        <v>206</v>
      </c>
      <c r="D138" s="30" t="s">
        <v>225</v>
      </c>
      <c r="E138" s="234" t="s">
        <v>697</v>
      </c>
      <c r="F138" s="235" t="s">
        <v>1229</v>
      </c>
      <c r="G138" s="284">
        <f>IFERROR(VLOOKUP(E138,Assign!$C$2:$J$142,8,FALSE),)</f>
        <v>0</v>
      </c>
      <c r="H138" s="236" t="s">
        <v>3916</v>
      </c>
      <c r="I138" s="236">
        <v>1</v>
      </c>
      <c r="J138" s="236">
        <v>1</v>
      </c>
      <c r="K138" s="355" t="s">
        <v>1373</v>
      </c>
      <c r="L138" s="356">
        <v>42619</v>
      </c>
      <c r="M138" s="357" t="s">
        <v>204</v>
      </c>
      <c r="N138" s="416">
        <v>60000000</v>
      </c>
      <c r="O138" s="416">
        <v>60000000</v>
      </c>
      <c r="P138" s="358"/>
      <c r="Q138" s="320"/>
      <c r="R138" s="168"/>
      <c r="S138" s="168"/>
      <c r="T138" s="287"/>
      <c r="U138" s="264"/>
      <c r="V138" s="198"/>
    </row>
    <row r="139" spans="1:22" s="90" customFormat="1" ht="19.5" hidden="1" customHeight="1">
      <c r="A139" s="137"/>
      <c r="B139" s="197">
        <f t="shared" ref="B139:B202" si="3">ROW()-10</f>
        <v>129</v>
      </c>
      <c r="C139" s="30" t="s">
        <v>206</v>
      </c>
      <c r="D139" s="30" t="s">
        <v>225</v>
      </c>
      <c r="E139" s="234" t="s">
        <v>697</v>
      </c>
      <c r="F139" s="235" t="s">
        <v>1229</v>
      </c>
      <c r="G139" s="284">
        <f>IFERROR(VLOOKUP(E139,Assign!$C$2:$J$142,8,FALSE),)</f>
        <v>0</v>
      </c>
      <c r="H139" s="236" t="s">
        <v>3916</v>
      </c>
      <c r="I139" s="236">
        <v>1</v>
      </c>
      <c r="J139" s="236">
        <v>2</v>
      </c>
      <c r="K139" s="355" t="s">
        <v>3368</v>
      </c>
      <c r="L139" s="356">
        <v>42732</v>
      </c>
      <c r="M139" s="357" t="s">
        <v>204</v>
      </c>
      <c r="N139" s="416">
        <v>60000000</v>
      </c>
      <c r="O139" s="416">
        <v>60000000</v>
      </c>
      <c r="P139" s="358"/>
      <c r="Q139" s="320"/>
      <c r="R139" s="168"/>
      <c r="S139" s="168"/>
      <c r="T139" s="287"/>
      <c r="U139" s="264"/>
      <c r="V139" s="198"/>
    </row>
    <row r="140" spans="1:22" s="90" customFormat="1" ht="19.5" hidden="1" customHeight="1">
      <c r="A140" s="137"/>
      <c r="B140" s="197">
        <f t="shared" si="3"/>
        <v>130</v>
      </c>
      <c r="C140" s="30" t="s">
        <v>206</v>
      </c>
      <c r="D140" s="30" t="s">
        <v>225</v>
      </c>
      <c r="E140" s="234" t="s">
        <v>697</v>
      </c>
      <c r="F140" s="235" t="s">
        <v>1229</v>
      </c>
      <c r="G140" s="284">
        <f>IFERROR(VLOOKUP(E140,Assign!$C$2:$J$142,8,FALSE),)</f>
        <v>0</v>
      </c>
      <c r="H140" s="236" t="s">
        <v>3916</v>
      </c>
      <c r="I140" s="236">
        <v>1</v>
      </c>
      <c r="J140" s="236">
        <v>3</v>
      </c>
      <c r="K140" s="355" t="s">
        <v>1373</v>
      </c>
      <c r="L140" s="356">
        <v>43917</v>
      </c>
      <c r="M140" s="357" t="s">
        <v>204</v>
      </c>
      <c r="N140" s="416">
        <v>300000000</v>
      </c>
      <c r="O140" s="416">
        <v>300000000</v>
      </c>
      <c r="P140" s="358"/>
      <c r="Q140" s="320"/>
      <c r="R140" s="168"/>
      <c r="S140" s="168"/>
      <c r="T140" s="287"/>
      <c r="U140" s="264"/>
      <c r="V140" s="198"/>
    </row>
    <row r="141" spans="1:22" s="90" customFormat="1" ht="19.5" hidden="1" customHeight="1">
      <c r="A141" s="137"/>
      <c r="B141" s="197">
        <f t="shared" si="3"/>
        <v>131</v>
      </c>
      <c r="C141" s="30" t="s">
        <v>206</v>
      </c>
      <c r="D141" s="30" t="s">
        <v>225</v>
      </c>
      <c r="E141" s="234" t="s">
        <v>697</v>
      </c>
      <c r="F141" s="235" t="s">
        <v>1229</v>
      </c>
      <c r="G141" s="284">
        <f>IFERROR(VLOOKUP(E141,Assign!$C$2:$J$142,8,FALSE),)</f>
        <v>0</v>
      </c>
      <c r="H141" s="236" t="s">
        <v>3916</v>
      </c>
      <c r="I141" s="236">
        <v>1</v>
      </c>
      <c r="J141" s="236">
        <v>4</v>
      </c>
      <c r="K141" s="355" t="s">
        <v>1373</v>
      </c>
      <c r="L141" s="356">
        <v>44761</v>
      </c>
      <c r="M141" s="357" t="s">
        <v>204</v>
      </c>
      <c r="N141" s="416">
        <v>120000000</v>
      </c>
      <c r="O141" s="416">
        <v>120000000</v>
      </c>
      <c r="P141" s="358"/>
      <c r="Q141" s="320"/>
      <c r="R141" s="168"/>
      <c r="S141" s="168"/>
      <c r="T141" s="287"/>
      <c r="U141" s="264"/>
      <c r="V141" s="198"/>
    </row>
    <row r="142" spans="1:22" s="90" customFormat="1" ht="19.5" hidden="1" customHeight="1">
      <c r="A142" s="137"/>
      <c r="B142" s="197">
        <f t="shared" si="3"/>
        <v>132</v>
      </c>
      <c r="C142" s="30" t="s">
        <v>206</v>
      </c>
      <c r="D142" s="30" t="s">
        <v>225</v>
      </c>
      <c r="E142" s="234" t="s">
        <v>697</v>
      </c>
      <c r="F142" s="235" t="s">
        <v>1229</v>
      </c>
      <c r="G142" s="284">
        <f>IFERROR(VLOOKUP(E142,Assign!$C$2:$J$142,8,FALSE),)</f>
        <v>0</v>
      </c>
      <c r="H142" s="236" t="s">
        <v>3916</v>
      </c>
      <c r="I142" s="236">
        <v>1</v>
      </c>
      <c r="J142" s="236">
        <v>5</v>
      </c>
      <c r="K142" s="355" t="s">
        <v>1373</v>
      </c>
      <c r="L142" s="356">
        <v>45421</v>
      </c>
      <c r="M142" s="357" t="s">
        <v>204</v>
      </c>
      <c r="N142" s="416">
        <v>60000000</v>
      </c>
      <c r="O142" s="416">
        <v>60000000</v>
      </c>
      <c r="P142" s="358"/>
      <c r="Q142" s="320"/>
      <c r="R142" s="168"/>
      <c r="S142" s="168"/>
      <c r="T142" s="287"/>
      <c r="U142" s="264"/>
      <c r="V142" s="198"/>
    </row>
    <row r="143" spans="1:22" s="90" customFormat="1" ht="19.5" customHeight="1">
      <c r="A143" s="137"/>
      <c r="B143" s="197">
        <f t="shared" si="3"/>
        <v>133</v>
      </c>
      <c r="C143" s="30" t="s">
        <v>206</v>
      </c>
      <c r="D143" s="30" t="s">
        <v>225</v>
      </c>
      <c r="E143" s="234" t="s">
        <v>698</v>
      </c>
      <c r="F143" s="235" t="s">
        <v>1231</v>
      </c>
      <c r="G143" s="284" t="str">
        <f>IFERROR(VLOOKUP(E143,Assign!$C$2:$J$142,8,FALSE),)</f>
        <v>문선영</v>
      </c>
      <c r="H143" s="236" t="s">
        <v>4949</v>
      </c>
      <c r="I143" s="236">
        <v>1</v>
      </c>
      <c r="J143" s="236">
        <v>1</v>
      </c>
      <c r="K143" s="355" t="s">
        <v>1373</v>
      </c>
      <c r="L143" s="356">
        <v>45394</v>
      </c>
      <c r="M143" s="357" t="s">
        <v>204</v>
      </c>
      <c r="N143" s="416">
        <v>530400000</v>
      </c>
      <c r="O143" s="416">
        <v>530400000</v>
      </c>
      <c r="P143" s="358"/>
      <c r="Q143" s="320"/>
      <c r="R143" s="168"/>
      <c r="S143" s="168"/>
      <c r="T143" s="287"/>
      <c r="U143" s="264"/>
      <c r="V143" s="198"/>
    </row>
    <row r="144" spans="1:22" s="90" customFormat="1" ht="19.5" hidden="1" customHeight="1">
      <c r="A144" s="137"/>
      <c r="B144" s="197">
        <f t="shared" si="3"/>
        <v>134</v>
      </c>
      <c r="C144" s="30" t="s">
        <v>206</v>
      </c>
      <c r="D144" s="30" t="s">
        <v>225</v>
      </c>
      <c r="E144" s="234" t="s">
        <v>699</v>
      </c>
      <c r="F144" s="235" t="s">
        <v>1225</v>
      </c>
      <c r="G144" s="284">
        <f>IFERROR(VLOOKUP(E144,Assign!$C$2:$J$142,8,FALSE),)</f>
        <v>0</v>
      </c>
      <c r="H144" s="236" t="s">
        <v>4761</v>
      </c>
      <c r="I144" s="236">
        <v>1</v>
      </c>
      <c r="J144" s="236">
        <v>1</v>
      </c>
      <c r="K144" s="355" t="s">
        <v>1373</v>
      </c>
      <c r="L144" s="356">
        <v>45105</v>
      </c>
      <c r="M144" s="357" t="s">
        <v>204</v>
      </c>
      <c r="N144" s="416">
        <v>540000000</v>
      </c>
      <c r="O144" s="416">
        <v>540000000</v>
      </c>
      <c r="P144" s="358"/>
      <c r="Q144" s="320"/>
      <c r="R144" s="168"/>
      <c r="S144" s="168"/>
      <c r="T144" s="287"/>
      <c r="U144" s="264"/>
      <c r="V144" s="198"/>
    </row>
    <row r="145" spans="1:22" s="90" customFormat="1" ht="19.5" customHeight="1">
      <c r="A145" s="137"/>
      <c r="B145" s="197">
        <f t="shared" si="3"/>
        <v>135</v>
      </c>
      <c r="C145" s="30" t="s">
        <v>206</v>
      </c>
      <c r="D145" s="30" t="s">
        <v>225</v>
      </c>
      <c r="E145" s="234" t="s">
        <v>700</v>
      </c>
      <c r="F145" s="235" t="s">
        <v>1311</v>
      </c>
      <c r="G145" s="284" t="str">
        <f>IFERROR(VLOOKUP(E145,Assign!$C$2:$J$142,8,FALSE),)</f>
        <v>문선영</v>
      </c>
      <c r="H145" s="236" t="s">
        <v>5310</v>
      </c>
      <c r="I145" s="236">
        <v>1</v>
      </c>
      <c r="J145" s="236">
        <v>1</v>
      </c>
      <c r="K145" s="355" t="s">
        <v>486</v>
      </c>
      <c r="L145" s="356">
        <v>42565</v>
      </c>
      <c r="M145" s="357" t="s">
        <v>204</v>
      </c>
      <c r="N145" s="416">
        <v>250000000</v>
      </c>
      <c r="O145" s="416">
        <v>250000000</v>
      </c>
      <c r="P145" s="358"/>
      <c r="Q145" s="320"/>
      <c r="R145" s="168"/>
      <c r="S145" s="168"/>
      <c r="T145" s="287"/>
      <c r="U145" s="264"/>
      <c r="V145" s="198"/>
    </row>
    <row r="146" spans="1:22" s="90" customFormat="1" ht="19.5" customHeight="1">
      <c r="A146" s="137"/>
      <c r="B146" s="197">
        <f t="shared" si="3"/>
        <v>136</v>
      </c>
      <c r="C146" s="30" t="s">
        <v>206</v>
      </c>
      <c r="D146" s="30" t="s">
        <v>225</v>
      </c>
      <c r="E146" s="234" t="s">
        <v>700</v>
      </c>
      <c r="F146" s="235" t="s">
        <v>1311</v>
      </c>
      <c r="G146" s="284" t="str">
        <f>IFERROR(VLOOKUP(E146,Assign!$C$2:$J$142,8,FALSE),)</f>
        <v>문선영</v>
      </c>
      <c r="H146" s="236" t="s">
        <v>5310</v>
      </c>
      <c r="I146" s="236">
        <v>1</v>
      </c>
      <c r="J146" s="236">
        <v>2</v>
      </c>
      <c r="K146" s="355" t="s">
        <v>486</v>
      </c>
      <c r="L146" s="356">
        <v>43860</v>
      </c>
      <c r="M146" s="357" t="s">
        <v>204</v>
      </c>
      <c r="N146" s="416">
        <v>100000000</v>
      </c>
      <c r="O146" s="416">
        <v>100000000</v>
      </c>
      <c r="P146" s="358"/>
      <c r="Q146" s="320"/>
      <c r="R146" s="168"/>
      <c r="S146" s="168"/>
      <c r="T146" s="287"/>
      <c r="U146" s="264"/>
      <c r="V146" s="198"/>
    </row>
    <row r="147" spans="1:22" s="90" customFormat="1" ht="19.5" customHeight="1">
      <c r="A147" s="137"/>
      <c r="B147" s="197">
        <f t="shared" si="3"/>
        <v>137</v>
      </c>
      <c r="C147" s="30" t="s">
        <v>206</v>
      </c>
      <c r="D147" s="30" t="s">
        <v>225</v>
      </c>
      <c r="E147" s="234" t="s">
        <v>700</v>
      </c>
      <c r="F147" s="235" t="s">
        <v>1311</v>
      </c>
      <c r="G147" s="284" t="str">
        <f>IFERROR(VLOOKUP(E147,Assign!$C$2:$J$142,8,FALSE),)</f>
        <v>문선영</v>
      </c>
      <c r="H147" s="236" t="s">
        <v>5310</v>
      </c>
      <c r="I147" s="236">
        <v>1</v>
      </c>
      <c r="J147" s="236">
        <v>3</v>
      </c>
      <c r="K147" s="355" t="s">
        <v>1373</v>
      </c>
      <c r="L147" s="356">
        <v>44235</v>
      </c>
      <c r="M147" s="357" t="s">
        <v>204</v>
      </c>
      <c r="N147" s="416">
        <v>192000000</v>
      </c>
      <c r="O147" s="416">
        <v>192000000</v>
      </c>
      <c r="P147" s="358"/>
      <c r="Q147" s="320"/>
      <c r="R147" s="168"/>
      <c r="S147" s="168"/>
      <c r="T147" s="287"/>
      <c r="U147" s="264"/>
      <c r="V147" s="198"/>
    </row>
    <row r="148" spans="1:22" s="90" customFormat="1" ht="19.5" customHeight="1">
      <c r="A148" s="137"/>
      <c r="B148" s="197">
        <f t="shared" si="3"/>
        <v>138</v>
      </c>
      <c r="C148" s="30" t="s">
        <v>206</v>
      </c>
      <c r="D148" s="30" t="s">
        <v>225</v>
      </c>
      <c r="E148" s="234" t="s">
        <v>700</v>
      </c>
      <c r="F148" s="235" t="s">
        <v>1311</v>
      </c>
      <c r="G148" s="284" t="str">
        <f>IFERROR(VLOOKUP(E148,Assign!$C$2:$J$142,8,FALSE),)</f>
        <v>문선영</v>
      </c>
      <c r="H148" s="236" t="s">
        <v>5310</v>
      </c>
      <c r="I148" s="236">
        <v>1</v>
      </c>
      <c r="J148" s="236">
        <v>4</v>
      </c>
      <c r="K148" s="355" t="s">
        <v>1373</v>
      </c>
      <c r="L148" s="356">
        <v>44343</v>
      </c>
      <c r="M148" s="357" t="s">
        <v>204</v>
      </c>
      <c r="N148" s="416">
        <v>84000000</v>
      </c>
      <c r="O148" s="416">
        <v>84000000</v>
      </c>
      <c r="P148" s="358"/>
      <c r="Q148" s="320"/>
      <c r="R148" s="168"/>
      <c r="S148" s="168"/>
      <c r="T148" s="287"/>
      <c r="U148" s="264"/>
      <c r="V148" s="198"/>
    </row>
    <row r="149" spans="1:22" s="90" customFormat="1" ht="19.5" customHeight="1">
      <c r="A149" s="137"/>
      <c r="B149" s="197">
        <f t="shared" si="3"/>
        <v>139</v>
      </c>
      <c r="C149" s="30" t="s">
        <v>206</v>
      </c>
      <c r="D149" s="30" t="s">
        <v>225</v>
      </c>
      <c r="E149" s="234" t="s">
        <v>700</v>
      </c>
      <c r="F149" s="235" t="s">
        <v>1311</v>
      </c>
      <c r="G149" s="284" t="str">
        <f>IFERROR(VLOOKUP(E149,Assign!$C$2:$J$142,8,FALSE),)</f>
        <v>문선영</v>
      </c>
      <c r="H149" s="236" t="s">
        <v>5310</v>
      </c>
      <c r="I149" s="236">
        <v>1</v>
      </c>
      <c r="J149" s="236">
        <v>5</v>
      </c>
      <c r="K149" s="355" t="s">
        <v>1373</v>
      </c>
      <c r="L149" s="356">
        <v>44484</v>
      </c>
      <c r="M149" s="357" t="s">
        <v>204</v>
      </c>
      <c r="N149" s="416">
        <v>60000000</v>
      </c>
      <c r="O149" s="416">
        <v>60000000</v>
      </c>
      <c r="P149" s="358"/>
      <c r="Q149" s="320"/>
      <c r="R149" s="168"/>
      <c r="S149" s="168"/>
      <c r="T149" s="287"/>
      <c r="U149" s="264"/>
      <c r="V149" s="198"/>
    </row>
    <row r="150" spans="1:22" s="90" customFormat="1" ht="19.5" customHeight="1">
      <c r="A150" s="137"/>
      <c r="B150" s="197">
        <f t="shared" si="3"/>
        <v>140</v>
      </c>
      <c r="C150" s="30" t="s">
        <v>206</v>
      </c>
      <c r="D150" s="30" t="s">
        <v>225</v>
      </c>
      <c r="E150" s="234" t="s">
        <v>700</v>
      </c>
      <c r="F150" s="235" t="s">
        <v>1311</v>
      </c>
      <c r="G150" s="284" t="str">
        <f>IFERROR(VLOOKUP(E150,Assign!$C$2:$J$142,8,FALSE),)</f>
        <v>문선영</v>
      </c>
      <c r="H150" s="236" t="s">
        <v>5310</v>
      </c>
      <c r="I150" s="236">
        <v>1</v>
      </c>
      <c r="J150" s="236">
        <v>6</v>
      </c>
      <c r="K150" s="355" t="s">
        <v>1373</v>
      </c>
      <c r="L150" s="356">
        <v>44532</v>
      </c>
      <c r="M150" s="357" t="s">
        <v>204</v>
      </c>
      <c r="N150" s="416">
        <v>36000000</v>
      </c>
      <c r="O150" s="416">
        <v>36000000</v>
      </c>
      <c r="P150" s="358"/>
      <c r="Q150" s="320"/>
      <c r="R150" s="168"/>
      <c r="S150" s="168"/>
      <c r="T150" s="287"/>
      <c r="U150" s="264"/>
      <c r="V150" s="198"/>
    </row>
    <row r="151" spans="1:22" s="90" customFormat="1" ht="19.5" customHeight="1">
      <c r="A151" s="137"/>
      <c r="B151" s="197">
        <f t="shared" si="3"/>
        <v>141</v>
      </c>
      <c r="C151" s="30" t="s">
        <v>206</v>
      </c>
      <c r="D151" s="30" t="s">
        <v>225</v>
      </c>
      <c r="E151" s="234" t="s">
        <v>700</v>
      </c>
      <c r="F151" s="235" t="s">
        <v>1311</v>
      </c>
      <c r="G151" s="284" t="str">
        <f>IFERROR(VLOOKUP(E151,Assign!$C$2:$J$142,8,FALSE),)</f>
        <v>문선영</v>
      </c>
      <c r="H151" s="236" t="s">
        <v>5310</v>
      </c>
      <c r="I151" s="236">
        <v>1</v>
      </c>
      <c r="J151" s="236">
        <v>7</v>
      </c>
      <c r="K151" s="355" t="s">
        <v>1373</v>
      </c>
      <c r="L151" s="356">
        <v>44580</v>
      </c>
      <c r="M151" s="357" t="s">
        <v>204</v>
      </c>
      <c r="N151" s="416">
        <v>24000000</v>
      </c>
      <c r="O151" s="416">
        <v>24000000</v>
      </c>
      <c r="P151" s="358"/>
      <c r="Q151" s="320"/>
      <c r="R151" s="168"/>
      <c r="S151" s="168"/>
      <c r="T151" s="287"/>
      <c r="U151" s="264"/>
      <c r="V151" s="198"/>
    </row>
    <row r="152" spans="1:22" s="90" customFormat="1" ht="19.5" customHeight="1">
      <c r="A152" s="137"/>
      <c r="B152" s="197">
        <f t="shared" si="3"/>
        <v>142</v>
      </c>
      <c r="C152" s="30" t="s">
        <v>206</v>
      </c>
      <c r="D152" s="30" t="s">
        <v>225</v>
      </c>
      <c r="E152" s="234" t="s">
        <v>700</v>
      </c>
      <c r="F152" s="235" t="s">
        <v>1311</v>
      </c>
      <c r="G152" s="284" t="str">
        <f>IFERROR(VLOOKUP(E152,Assign!$C$2:$J$142,8,FALSE),)</f>
        <v>문선영</v>
      </c>
      <c r="H152" s="236" t="s">
        <v>5310</v>
      </c>
      <c r="I152" s="236">
        <v>1</v>
      </c>
      <c r="J152" s="236">
        <v>8</v>
      </c>
      <c r="K152" s="355" t="s">
        <v>1373</v>
      </c>
      <c r="L152" s="356">
        <v>44610</v>
      </c>
      <c r="M152" s="357" t="s">
        <v>204</v>
      </c>
      <c r="N152" s="416">
        <v>96000000</v>
      </c>
      <c r="O152" s="416">
        <v>96000000</v>
      </c>
      <c r="P152" s="358"/>
      <c r="Q152" s="320"/>
      <c r="R152" s="168"/>
      <c r="S152" s="168"/>
      <c r="T152" s="287"/>
      <c r="U152" s="264"/>
      <c r="V152" s="198"/>
    </row>
    <row r="153" spans="1:22" s="90" customFormat="1" ht="19.5" customHeight="1">
      <c r="A153" s="137"/>
      <c r="B153" s="197">
        <f t="shared" si="3"/>
        <v>143</v>
      </c>
      <c r="C153" s="30" t="s">
        <v>206</v>
      </c>
      <c r="D153" s="30" t="s">
        <v>225</v>
      </c>
      <c r="E153" s="234" t="s">
        <v>700</v>
      </c>
      <c r="F153" s="235" t="s">
        <v>1311</v>
      </c>
      <c r="G153" s="284" t="str">
        <f>IFERROR(VLOOKUP(E153,Assign!$C$2:$J$142,8,FALSE),)</f>
        <v>문선영</v>
      </c>
      <c r="H153" s="236" t="s">
        <v>5310</v>
      </c>
      <c r="I153" s="236">
        <v>1</v>
      </c>
      <c r="J153" s="236">
        <v>9</v>
      </c>
      <c r="K153" s="355" t="s">
        <v>1373</v>
      </c>
      <c r="L153" s="356">
        <v>44848</v>
      </c>
      <c r="M153" s="357" t="s">
        <v>204</v>
      </c>
      <c r="N153" s="416">
        <v>24000000</v>
      </c>
      <c r="O153" s="416">
        <v>24000000</v>
      </c>
      <c r="P153" s="358"/>
      <c r="Q153" s="320"/>
      <c r="R153" s="168"/>
      <c r="S153" s="168"/>
      <c r="T153" s="287"/>
      <c r="U153" s="264"/>
      <c r="V153" s="198"/>
    </row>
    <row r="154" spans="1:22" s="90" customFormat="1" ht="19.5" hidden="1" customHeight="1">
      <c r="A154" s="137"/>
      <c r="B154" s="197">
        <f t="shared" si="3"/>
        <v>144</v>
      </c>
      <c r="C154" s="30" t="s">
        <v>206</v>
      </c>
      <c r="D154" s="30" t="s">
        <v>225</v>
      </c>
      <c r="E154" s="234" t="s">
        <v>701</v>
      </c>
      <c r="F154" s="235" t="s">
        <v>1237</v>
      </c>
      <c r="G154" s="284">
        <f>IFERROR(VLOOKUP(E154,Assign!$C$2:$J$142,8,FALSE),)</f>
        <v>0</v>
      </c>
      <c r="H154" s="236" t="s">
        <v>5128</v>
      </c>
      <c r="I154" s="236">
        <v>1</v>
      </c>
      <c r="J154" s="236">
        <v>1</v>
      </c>
      <c r="K154" s="355" t="s">
        <v>1373</v>
      </c>
      <c r="L154" s="356">
        <v>43201</v>
      </c>
      <c r="M154" s="357" t="s">
        <v>204</v>
      </c>
      <c r="N154" s="416">
        <v>492000000</v>
      </c>
      <c r="O154" s="416">
        <v>492000000</v>
      </c>
      <c r="P154" s="358"/>
      <c r="Q154" s="320"/>
      <c r="R154" s="168"/>
      <c r="S154" s="168"/>
      <c r="T154" s="287"/>
      <c r="U154" s="264"/>
      <c r="V154" s="198"/>
    </row>
    <row r="155" spans="1:22" s="90" customFormat="1" ht="19.5" hidden="1" customHeight="1">
      <c r="A155" s="137"/>
      <c r="B155" s="197">
        <f t="shared" si="3"/>
        <v>145</v>
      </c>
      <c r="C155" s="30" t="s">
        <v>206</v>
      </c>
      <c r="D155" s="30" t="s">
        <v>225</v>
      </c>
      <c r="E155" s="234" t="s">
        <v>702</v>
      </c>
      <c r="F155" s="235" t="s">
        <v>1238</v>
      </c>
      <c r="G155" s="284">
        <f>IFERROR(VLOOKUP(E155,Assign!$C$2:$J$142,8,FALSE),)</f>
        <v>0</v>
      </c>
      <c r="H155" s="236" t="s">
        <v>4665</v>
      </c>
      <c r="I155" s="236">
        <v>1</v>
      </c>
      <c r="J155" s="236">
        <v>1</v>
      </c>
      <c r="K155" s="355" t="s">
        <v>1373</v>
      </c>
      <c r="L155" s="356">
        <v>38090</v>
      </c>
      <c r="M155" s="357" t="s">
        <v>204</v>
      </c>
      <c r="N155" s="416">
        <v>360000000</v>
      </c>
      <c r="O155" s="416">
        <v>360000000</v>
      </c>
      <c r="P155" s="358"/>
      <c r="Q155" s="320"/>
      <c r="R155" s="168"/>
      <c r="S155" s="168"/>
      <c r="T155" s="287"/>
      <c r="U155" s="264"/>
      <c r="V155" s="198"/>
    </row>
    <row r="156" spans="1:22" s="90" customFormat="1" ht="19.5" hidden="1" customHeight="1">
      <c r="A156" s="137"/>
      <c r="B156" s="197">
        <f t="shared" si="3"/>
        <v>146</v>
      </c>
      <c r="C156" s="30" t="s">
        <v>206</v>
      </c>
      <c r="D156" s="30" t="s">
        <v>225</v>
      </c>
      <c r="E156" s="234" t="s">
        <v>702</v>
      </c>
      <c r="F156" s="235" t="s">
        <v>1238</v>
      </c>
      <c r="G156" s="284">
        <f>IFERROR(VLOOKUP(E156,Assign!$C$2:$J$142,8,FALSE),)</f>
        <v>0</v>
      </c>
      <c r="H156" s="236" t="s">
        <v>4665</v>
      </c>
      <c r="I156" s="236">
        <v>1</v>
      </c>
      <c r="J156" s="236">
        <v>2</v>
      </c>
      <c r="K156" s="355" t="s">
        <v>1373</v>
      </c>
      <c r="L156" s="356">
        <v>38937</v>
      </c>
      <c r="M156" s="357" t="s">
        <v>204</v>
      </c>
      <c r="N156" s="416">
        <v>276000000</v>
      </c>
      <c r="O156" s="416">
        <v>276000000</v>
      </c>
      <c r="P156" s="358"/>
      <c r="Q156" s="320"/>
      <c r="R156" s="168"/>
      <c r="S156" s="168"/>
      <c r="T156" s="287"/>
      <c r="U156" s="264"/>
      <c r="V156" s="198"/>
    </row>
    <row r="157" spans="1:22" s="90" customFormat="1" ht="19.5" hidden="1" customHeight="1">
      <c r="A157" s="137"/>
      <c r="B157" s="197">
        <f t="shared" si="3"/>
        <v>147</v>
      </c>
      <c r="C157" s="30" t="s">
        <v>206</v>
      </c>
      <c r="D157" s="30" t="s">
        <v>225</v>
      </c>
      <c r="E157" s="234" t="s">
        <v>703</v>
      </c>
      <c r="F157" s="235" t="s">
        <v>1239</v>
      </c>
      <c r="G157" s="284">
        <f>IFERROR(VLOOKUP(E157,Assign!$C$2:$J$142,8,FALSE),)</f>
        <v>0</v>
      </c>
      <c r="H157" s="236" t="s">
        <v>4644</v>
      </c>
      <c r="I157" s="236">
        <v>1</v>
      </c>
      <c r="J157" s="236">
        <v>1</v>
      </c>
      <c r="K157" s="355" t="s">
        <v>1373</v>
      </c>
      <c r="L157" s="356">
        <v>44379</v>
      </c>
      <c r="M157" s="357" t="s">
        <v>204</v>
      </c>
      <c r="N157" s="416">
        <v>500400000</v>
      </c>
      <c r="O157" s="416">
        <v>500400000</v>
      </c>
      <c r="P157" s="358"/>
      <c r="Q157" s="320"/>
      <c r="R157" s="168"/>
      <c r="S157" s="168"/>
      <c r="T157" s="287"/>
      <c r="U157" s="264"/>
      <c r="V157" s="198"/>
    </row>
    <row r="158" spans="1:22" s="90" customFormat="1" ht="19.5" customHeight="1">
      <c r="A158" s="137"/>
      <c r="B158" s="197">
        <f t="shared" si="3"/>
        <v>148</v>
      </c>
      <c r="C158" s="30" t="s">
        <v>206</v>
      </c>
      <c r="D158" s="30" t="s">
        <v>225</v>
      </c>
      <c r="E158" s="234" t="s">
        <v>704</v>
      </c>
      <c r="F158" s="235" t="s">
        <v>1312</v>
      </c>
      <c r="G158" s="284" t="str">
        <f>IFERROR(VLOOKUP(E158,Assign!$C$2:$J$142,8,FALSE),)</f>
        <v>문선영</v>
      </c>
      <c r="H158" s="236" t="s">
        <v>5579</v>
      </c>
      <c r="I158" s="236">
        <v>1</v>
      </c>
      <c r="J158" s="236">
        <v>1</v>
      </c>
      <c r="K158" s="355" t="s">
        <v>1373</v>
      </c>
      <c r="L158" s="356">
        <v>45303</v>
      </c>
      <c r="M158" s="357" t="s">
        <v>204</v>
      </c>
      <c r="N158" s="416">
        <v>474000000</v>
      </c>
      <c r="O158" s="416">
        <v>474000000</v>
      </c>
      <c r="P158" s="358"/>
      <c r="Q158" s="320"/>
      <c r="R158" s="168"/>
      <c r="S158" s="168"/>
      <c r="T158" s="287"/>
      <c r="U158" s="264"/>
      <c r="V158" s="198"/>
    </row>
    <row r="159" spans="1:22" s="90" customFormat="1" ht="19.5" customHeight="1">
      <c r="A159" s="137"/>
      <c r="B159" s="197">
        <f t="shared" si="3"/>
        <v>149</v>
      </c>
      <c r="C159" s="30" t="s">
        <v>206</v>
      </c>
      <c r="D159" s="30" t="s">
        <v>225</v>
      </c>
      <c r="E159" s="234" t="s">
        <v>705</v>
      </c>
      <c r="F159" s="235" t="s">
        <v>1236</v>
      </c>
      <c r="G159" s="284" t="str">
        <f>IFERROR(VLOOKUP(E159,Assign!$C$2:$J$142,8,FALSE),)</f>
        <v>문선영</v>
      </c>
      <c r="H159" s="236" t="s">
        <v>4815</v>
      </c>
      <c r="I159" s="236">
        <v>1</v>
      </c>
      <c r="J159" s="236">
        <v>1</v>
      </c>
      <c r="K159" s="355" t="s">
        <v>1373</v>
      </c>
      <c r="L159" s="356">
        <v>41880</v>
      </c>
      <c r="M159" s="357" t="s">
        <v>204</v>
      </c>
      <c r="N159" s="416">
        <v>571200000</v>
      </c>
      <c r="O159" s="416">
        <v>571200000</v>
      </c>
      <c r="P159" s="358"/>
      <c r="Q159" s="320"/>
      <c r="R159" s="168"/>
      <c r="S159" s="168"/>
      <c r="T159" s="287"/>
      <c r="U159" s="264"/>
      <c r="V159" s="198"/>
    </row>
    <row r="160" spans="1:22" s="90" customFormat="1" ht="19.5" hidden="1" customHeight="1">
      <c r="A160" s="137"/>
      <c r="B160" s="197">
        <f t="shared" si="3"/>
        <v>150</v>
      </c>
      <c r="C160" s="30" t="s">
        <v>206</v>
      </c>
      <c r="D160" s="30" t="s">
        <v>225</v>
      </c>
      <c r="E160" s="234" t="s">
        <v>706</v>
      </c>
      <c r="F160" s="235" t="s">
        <v>1236</v>
      </c>
      <c r="G160" s="284">
        <f>IFERROR(VLOOKUP(E160,Assign!$C$2:$J$142,8,FALSE),)</f>
        <v>0</v>
      </c>
      <c r="H160" s="236" t="s">
        <v>4667</v>
      </c>
      <c r="I160" s="236">
        <v>1</v>
      </c>
      <c r="J160" s="236">
        <v>1</v>
      </c>
      <c r="K160" s="355" t="s">
        <v>1373</v>
      </c>
      <c r="L160" s="356">
        <v>41759</v>
      </c>
      <c r="M160" s="357" t="s">
        <v>204</v>
      </c>
      <c r="N160" s="416">
        <v>240000000</v>
      </c>
      <c r="O160" s="416">
        <v>240000000</v>
      </c>
      <c r="P160" s="358"/>
      <c r="Q160" s="320"/>
      <c r="R160" s="168"/>
      <c r="S160" s="168"/>
      <c r="T160" s="287"/>
      <c r="U160" s="264"/>
      <c r="V160" s="198"/>
    </row>
    <row r="161" spans="1:22" s="90" customFormat="1" ht="19.5" hidden="1" customHeight="1">
      <c r="A161" s="137"/>
      <c r="B161" s="197">
        <f t="shared" si="3"/>
        <v>151</v>
      </c>
      <c r="C161" s="30" t="s">
        <v>206</v>
      </c>
      <c r="D161" s="30" t="s">
        <v>225</v>
      </c>
      <c r="E161" s="234" t="s">
        <v>706</v>
      </c>
      <c r="F161" s="235" t="s">
        <v>1236</v>
      </c>
      <c r="G161" s="284">
        <f>IFERROR(VLOOKUP(E161,Assign!$C$2:$J$142,8,FALSE),)</f>
        <v>0</v>
      </c>
      <c r="H161" s="236" t="s">
        <v>4667</v>
      </c>
      <c r="I161" s="236">
        <v>1</v>
      </c>
      <c r="J161" s="236">
        <v>2</v>
      </c>
      <c r="K161" s="355" t="s">
        <v>1373</v>
      </c>
      <c r="L161" s="356">
        <v>42185</v>
      </c>
      <c r="M161" s="357" t="s">
        <v>204</v>
      </c>
      <c r="N161" s="416">
        <v>216000000</v>
      </c>
      <c r="O161" s="416">
        <v>216000000</v>
      </c>
      <c r="P161" s="358"/>
      <c r="Q161" s="320"/>
      <c r="R161" s="168"/>
      <c r="S161" s="168"/>
      <c r="T161" s="287"/>
      <c r="U161" s="264"/>
      <c r="V161" s="198"/>
    </row>
    <row r="162" spans="1:22" s="90" customFormat="1" ht="19.5" hidden="1" customHeight="1">
      <c r="A162" s="137"/>
      <c r="B162" s="197">
        <f t="shared" si="3"/>
        <v>152</v>
      </c>
      <c r="C162" s="30" t="s">
        <v>206</v>
      </c>
      <c r="D162" s="30" t="s">
        <v>225</v>
      </c>
      <c r="E162" s="234" t="s">
        <v>707</v>
      </c>
      <c r="F162" s="235" t="s">
        <v>1225</v>
      </c>
      <c r="G162" s="284">
        <f>IFERROR(VLOOKUP(E162,Assign!$C$2:$J$142,8,FALSE),)</f>
        <v>0</v>
      </c>
      <c r="H162" s="236" t="s">
        <v>5370</v>
      </c>
      <c r="I162" s="236">
        <v>1</v>
      </c>
      <c r="J162" s="236">
        <v>1</v>
      </c>
      <c r="K162" s="355" t="s">
        <v>1373</v>
      </c>
      <c r="L162" s="356">
        <v>44525</v>
      </c>
      <c r="M162" s="357" t="s">
        <v>204</v>
      </c>
      <c r="N162" s="416">
        <v>440000000</v>
      </c>
      <c r="O162" s="416">
        <v>440000000</v>
      </c>
      <c r="P162" s="358"/>
      <c r="Q162" s="320"/>
      <c r="R162" s="168"/>
      <c r="S162" s="168"/>
      <c r="T162" s="287"/>
      <c r="U162" s="264"/>
      <c r="V162" s="198"/>
    </row>
    <row r="163" spans="1:22" s="90" customFormat="1" ht="19.5" hidden="1" customHeight="1">
      <c r="A163" s="137"/>
      <c r="B163" s="197">
        <f t="shared" si="3"/>
        <v>153</v>
      </c>
      <c r="C163" s="30" t="s">
        <v>206</v>
      </c>
      <c r="D163" s="30" t="s">
        <v>225</v>
      </c>
      <c r="E163" s="234" t="s">
        <v>708</v>
      </c>
      <c r="F163" s="235" t="s">
        <v>1231</v>
      </c>
      <c r="G163" s="284">
        <f>IFERROR(VLOOKUP(E163,Assign!$C$2:$J$142,8,FALSE),)</f>
        <v>0</v>
      </c>
      <c r="H163" s="236" t="s">
        <v>4380</v>
      </c>
      <c r="I163" s="236">
        <v>1</v>
      </c>
      <c r="J163" s="236">
        <v>1</v>
      </c>
      <c r="K163" s="355" t="s">
        <v>1373</v>
      </c>
      <c r="L163" s="356">
        <v>40571</v>
      </c>
      <c r="M163" s="357" t="s">
        <v>204</v>
      </c>
      <c r="N163" s="416">
        <v>448600000</v>
      </c>
      <c r="O163" s="416">
        <v>448600000</v>
      </c>
      <c r="P163" s="358"/>
      <c r="Q163" s="320"/>
      <c r="R163" s="168"/>
      <c r="S163" s="168"/>
      <c r="T163" s="287"/>
      <c r="U163" s="264"/>
      <c r="V163" s="198"/>
    </row>
    <row r="164" spans="1:22" s="90" customFormat="1" ht="19.5" hidden="1" customHeight="1">
      <c r="A164" s="137"/>
      <c r="B164" s="197">
        <f t="shared" si="3"/>
        <v>154</v>
      </c>
      <c r="C164" s="30" t="s">
        <v>206</v>
      </c>
      <c r="D164" s="30" t="s">
        <v>225</v>
      </c>
      <c r="E164" s="234" t="s">
        <v>709</v>
      </c>
      <c r="F164" s="235" t="s">
        <v>1240</v>
      </c>
      <c r="G164" s="284">
        <f>IFERROR(VLOOKUP(E164,Assign!$C$2:$J$142,8,FALSE),)</f>
        <v>0</v>
      </c>
      <c r="H164" s="236" t="s">
        <v>5434</v>
      </c>
      <c r="I164" s="236">
        <v>1</v>
      </c>
      <c r="J164" s="236">
        <v>1</v>
      </c>
      <c r="K164" s="355" t="s">
        <v>1373</v>
      </c>
      <c r="L164" s="356">
        <v>45096</v>
      </c>
      <c r="M164" s="357" t="s">
        <v>204</v>
      </c>
      <c r="N164" s="416">
        <v>448800000</v>
      </c>
      <c r="O164" s="416">
        <v>448800000</v>
      </c>
      <c r="P164" s="358"/>
      <c r="Q164" s="320"/>
      <c r="R164" s="168"/>
      <c r="S164" s="168"/>
      <c r="T164" s="287"/>
      <c r="U164" s="264"/>
      <c r="V164" s="198"/>
    </row>
    <row r="165" spans="1:22" s="90" customFormat="1" ht="19.5" hidden="1" customHeight="1">
      <c r="A165" s="137"/>
      <c r="B165" s="197">
        <f t="shared" si="3"/>
        <v>155</v>
      </c>
      <c r="C165" s="30" t="s">
        <v>206</v>
      </c>
      <c r="D165" s="30" t="s">
        <v>225</v>
      </c>
      <c r="E165" s="234" t="s">
        <v>710</v>
      </c>
      <c r="F165" s="235" t="s">
        <v>1226</v>
      </c>
      <c r="G165" s="284">
        <f>IFERROR(VLOOKUP(E165,Assign!$C$2:$J$142,8,FALSE),)</f>
        <v>0</v>
      </c>
      <c r="H165" s="236" t="s">
        <v>4104</v>
      </c>
      <c r="I165" s="236">
        <v>1</v>
      </c>
      <c r="J165" s="236">
        <v>1</v>
      </c>
      <c r="K165" s="355" t="s">
        <v>1373</v>
      </c>
      <c r="L165" s="356">
        <v>43955</v>
      </c>
      <c r="M165" s="357" t="s">
        <v>204</v>
      </c>
      <c r="N165" s="416">
        <v>456000000</v>
      </c>
      <c r="O165" s="416">
        <v>456000000</v>
      </c>
      <c r="P165" s="358"/>
      <c r="Q165" s="320"/>
      <c r="R165" s="168"/>
      <c r="S165" s="168"/>
      <c r="T165" s="287"/>
      <c r="U165" s="264"/>
      <c r="V165" s="198"/>
    </row>
    <row r="166" spans="1:22" s="90" customFormat="1" ht="19.5" customHeight="1">
      <c r="A166" s="137"/>
      <c r="B166" s="197">
        <f t="shared" si="3"/>
        <v>156</v>
      </c>
      <c r="C166" s="30" t="s">
        <v>206</v>
      </c>
      <c r="D166" s="30" t="s">
        <v>225</v>
      </c>
      <c r="E166" s="234" t="s">
        <v>711</v>
      </c>
      <c r="F166" s="235" t="s">
        <v>1313</v>
      </c>
      <c r="G166" s="284" t="str">
        <f>IFERROR(VLOOKUP(E166,Assign!$C$2:$J$142,8,FALSE),)</f>
        <v>문선영</v>
      </c>
      <c r="H166" s="236" t="s">
        <v>5407</v>
      </c>
      <c r="I166" s="236">
        <v>1</v>
      </c>
      <c r="J166" s="236">
        <v>1</v>
      </c>
      <c r="K166" s="355" t="s">
        <v>1373</v>
      </c>
      <c r="L166" s="356">
        <v>44917</v>
      </c>
      <c r="M166" s="357" t="s">
        <v>204</v>
      </c>
      <c r="N166" s="416">
        <v>336000000</v>
      </c>
      <c r="O166" s="416">
        <v>336000000</v>
      </c>
      <c r="P166" s="358" t="s">
        <v>1432</v>
      </c>
      <c r="Q166" s="320"/>
      <c r="R166" s="168"/>
      <c r="S166" s="168"/>
      <c r="T166" s="287"/>
      <c r="U166" s="264"/>
      <c r="V166" s="198"/>
    </row>
    <row r="167" spans="1:22" s="90" customFormat="1" ht="19.5" hidden="1" customHeight="1">
      <c r="A167" s="137"/>
      <c r="B167" s="197">
        <f t="shared" si="3"/>
        <v>157</v>
      </c>
      <c r="C167" s="30" t="s">
        <v>206</v>
      </c>
      <c r="D167" s="30" t="s">
        <v>225</v>
      </c>
      <c r="E167" s="234" t="s">
        <v>712</v>
      </c>
      <c r="F167" s="235" t="s">
        <v>1226</v>
      </c>
      <c r="G167" s="284">
        <f>IFERROR(VLOOKUP(E167,Assign!$C$2:$J$142,8,FALSE),)</f>
        <v>0</v>
      </c>
      <c r="H167" s="236" t="s">
        <v>4092</v>
      </c>
      <c r="I167" s="236">
        <v>1</v>
      </c>
      <c r="J167" s="236">
        <v>1</v>
      </c>
      <c r="K167" s="355" t="s">
        <v>1373</v>
      </c>
      <c r="L167" s="356">
        <v>44334</v>
      </c>
      <c r="M167" s="357" t="s">
        <v>204</v>
      </c>
      <c r="N167" s="416">
        <v>432000000</v>
      </c>
      <c r="O167" s="416">
        <v>432000000</v>
      </c>
      <c r="P167" s="358"/>
      <c r="Q167" s="320"/>
      <c r="R167" s="168"/>
      <c r="S167" s="168"/>
      <c r="T167" s="287"/>
      <c r="U167" s="264"/>
      <c r="V167" s="198"/>
    </row>
    <row r="168" spans="1:22" s="90" customFormat="1" ht="19.5" customHeight="1">
      <c r="A168" s="137"/>
      <c r="B168" s="197">
        <f t="shared" si="3"/>
        <v>158</v>
      </c>
      <c r="C168" s="30" t="s">
        <v>206</v>
      </c>
      <c r="D168" s="30" t="s">
        <v>225</v>
      </c>
      <c r="E168" s="234" t="s">
        <v>713</v>
      </c>
      <c r="F168" s="235" t="s">
        <v>1231</v>
      </c>
      <c r="G168" s="284" t="str">
        <f>IFERROR(VLOOKUP(E168,Assign!$C$2:$J$142,8,FALSE),)</f>
        <v>문선영</v>
      </c>
      <c r="H168" s="236" t="s">
        <v>4423</v>
      </c>
      <c r="I168" s="236">
        <v>1</v>
      </c>
      <c r="J168" s="236">
        <v>1</v>
      </c>
      <c r="K168" s="355" t="s">
        <v>1373</v>
      </c>
      <c r="L168" s="356">
        <v>43210</v>
      </c>
      <c r="M168" s="357" t="s">
        <v>204</v>
      </c>
      <c r="N168" s="416">
        <v>360000000</v>
      </c>
      <c r="O168" s="416">
        <v>360000000</v>
      </c>
      <c r="P168" s="358"/>
      <c r="Q168" s="320"/>
      <c r="R168" s="168"/>
      <c r="S168" s="168"/>
      <c r="T168" s="287"/>
      <c r="U168" s="264"/>
      <c r="V168" s="198"/>
    </row>
    <row r="169" spans="1:22" s="90" customFormat="1" ht="19.5" customHeight="1">
      <c r="A169" s="137"/>
      <c r="B169" s="197">
        <f t="shared" si="3"/>
        <v>159</v>
      </c>
      <c r="C169" s="30" t="s">
        <v>206</v>
      </c>
      <c r="D169" s="30" t="s">
        <v>225</v>
      </c>
      <c r="E169" s="234" t="s">
        <v>713</v>
      </c>
      <c r="F169" s="235" t="s">
        <v>1231</v>
      </c>
      <c r="G169" s="284" t="str">
        <f>IFERROR(VLOOKUP(E169,Assign!$C$2:$J$142,8,FALSE),)</f>
        <v>문선영</v>
      </c>
      <c r="H169" s="236" t="s">
        <v>4423</v>
      </c>
      <c r="I169" s="236">
        <v>1</v>
      </c>
      <c r="J169" s="236">
        <v>2</v>
      </c>
      <c r="K169" s="355" t="s">
        <v>486</v>
      </c>
      <c r="L169" s="356">
        <v>43210</v>
      </c>
      <c r="M169" s="357" t="s">
        <v>204</v>
      </c>
      <c r="N169" s="416">
        <v>336000000</v>
      </c>
      <c r="O169" s="416">
        <v>336000000</v>
      </c>
      <c r="P169" s="358"/>
      <c r="Q169" s="320"/>
      <c r="R169" s="168"/>
      <c r="S169" s="168"/>
      <c r="T169" s="287"/>
      <c r="U169" s="264"/>
      <c r="V169" s="198"/>
    </row>
    <row r="170" spans="1:22" s="90" customFormat="1" ht="19.5" customHeight="1">
      <c r="A170" s="137"/>
      <c r="B170" s="197">
        <f t="shared" si="3"/>
        <v>160</v>
      </c>
      <c r="C170" s="30" t="s">
        <v>206</v>
      </c>
      <c r="D170" s="30" t="s">
        <v>225</v>
      </c>
      <c r="E170" s="234" t="s">
        <v>713</v>
      </c>
      <c r="F170" s="235" t="s">
        <v>1231</v>
      </c>
      <c r="G170" s="284" t="str">
        <f>IFERROR(VLOOKUP(E170,Assign!$C$2:$J$142,8,FALSE),)</f>
        <v>문선영</v>
      </c>
      <c r="H170" s="236" t="s">
        <v>4423</v>
      </c>
      <c r="I170" s="236">
        <v>1</v>
      </c>
      <c r="J170" s="236">
        <v>3</v>
      </c>
      <c r="K170" s="355" t="s">
        <v>486</v>
      </c>
      <c r="L170" s="356">
        <v>45061</v>
      </c>
      <c r="M170" s="357" t="s">
        <v>204</v>
      </c>
      <c r="N170" s="416">
        <v>96000000</v>
      </c>
      <c r="O170" s="416">
        <v>96000000</v>
      </c>
      <c r="P170" s="358"/>
      <c r="Q170" s="320"/>
      <c r="R170" s="168"/>
      <c r="S170" s="168"/>
      <c r="T170" s="287"/>
      <c r="U170" s="264"/>
      <c r="V170" s="198"/>
    </row>
    <row r="171" spans="1:22" s="90" customFormat="1" ht="19.5" customHeight="1">
      <c r="A171" s="137"/>
      <c r="B171" s="197">
        <f t="shared" si="3"/>
        <v>161</v>
      </c>
      <c r="C171" s="30" t="s">
        <v>206</v>
      </c>
      <c r="D171" s="30" t="s">
        <v>225</v>
      </c>
      <c r="E171" s="234" t="s">
        <v>713</v>
      </c>
      <c r="F171" s="235" t="s">
        <v>1231</v>
      </c>
      <c r="G171" s="284" t="str">
        <f>IFERROR(VLOOKUP(E171,Assign!$C$2:$J$142,8,FALSE),)</f>
        <v>문선영</v>
      </c>
      <c r="H171" s="236" t="s">
        <v>4423</v>
      </c>
      <c r="I171" s="236">
        <v>1</v>
      </c>
      <c r="J171" s="236">
        <v>4</v>
      </c>
      <c r="K171" s="355" t="s">
        <v>1373</v>
      </c>
      <c r="L171" s="356">
        <v>45061</v>
      </c>
      <c r="M171" s="357" t="s">
        <v>204</v>
      </c>
      <c r="N171" s="416">
        <v>72000000</v>
      </c>
      <c r="O171" s="416">
        <v>72000000</v>
      </c>
      <c r="P171" s="358"/>
      <c r="Q171" s="320"/>
      <c r="R171" s="168"/>
      <c r="S171" s="168"/>
      <c r="T171" s="287"/>
      <c r="U171" s="264"/>
      <c r="V171" s="198"/>
    </row>
    <row r="172" spans="1:22" s="90" customFormat="1" ht="19.5" customHeight="1">
      <c r="A172" s="137"/>
      <c r="B172" s="197">
        <f t="shared" si="3"/>
        <v>162</v>
      </c>
      <c r="C172" s="30" t="s">
        <v>206</v>
      </c>
      <c r="D172" s="30" t="s">
        <v>225</v>
      </c>
      <c r="E172" s="234" t="s">
        <v>714</v>
      </c>
      <c r="F172" s="235" t="s">
        <v>1229</v>
      </c>
      <c r="G172" s="284" t="str">
        <f>IFERROR(VLOOKUP(E172,Assign!$C$2:$J$142,8,FALSE),)</f>
        <v>문선영</v>
      </c>
      <c r="H172" s="236" t="s">
        <v>4067</v>
      </c>
      <c r="I172" s="236">
        <v>1</v>
      </c>
      <c r="J172" s="236">
        <v>1</v>
      </c>
      <c r="K172" s="355" t="s">
        <v>1373</v>
      </c>
      <c r="L172" s="356">
        <v>41897</v>
      </c>
      <c r="M172" s="357" t="s">
        <v>204</v>
      </c>
      <c r="N172" s="416">
        <v>504000000</v>
      </c>
      <c r="O172" s="416">
        <v>504000000</v>
      </c>
      <c r="P172" s="358"/>
      <c r="Q172" s="320"/>
      <c r="R172" s="168"/>
      <c r="S172" s="168"/>
      <c r="T172" s="287"/>
      <c r="U172" s="264"/>
      <c r="V172" s="198"/>
    </row>
    <row r="173" spans="1:22" s="90" customFormat="1" ht="19.5" hidden="1" customHeight="1">
      <c r="A173" s="137"/>
      <c r="B173" s="197">
        <f t="shared" si="3"/>
        <v>163</v>
      </c>
      <c r="C173" s="30" t="s">
        <v>206</v>
      </c>
      <c r="D173" s="30" t="s">
        <v>225</v>
      </c>
      <c r="E173" s="234" t="s">
        <v>715</v>
      </c>
      <c r="F173" s="235" t="s">
        <v>1223</v>
      </c>
      <c r="G173" s="284">
        <f>IFERROR(VLOOKUP(E173,Assign!$C$2:$J$142,8,FALSE),)</f>
        <v>0</v>
      </c>
      <c r="H173" s="236" t="s">
        <v>4342</v>
      </c>
      <c r="I173" s="236">
        <v>1</v>
      </c>
      <c r="J173" s="236">
        <v>1</v>
      </c>
      <c r="K173" s="355" t="s">
        <v>1373</v>
      </c>
      <c r="L173" s="356">
        <v>44508</v>
      </c>
      <c r="M173" s="357" t="s">
        <v>204</v>
      </c>
      <c r="N173" s="416">
        <v>363000000</v>
      </c>
      <c r="O173" s="416">
        <v>363000000</v>
      </c>
      <c r="P173" s="358"/>
      <c r="Q173" s="320"/>
      <c r="R173" s="168"/>
      <c r="S173" s="168"/>
      <c r="T173" s="287"/>
      <c r="U173" s="264"/>
      <c r="V173" s="198"/>
    </row>
    <row r="174" spans="1:22" s="90" customFormat="1" ht="19.5" hidden="1" customHeight="1">
      <c r="A174" s="137"/>
      <c r="B174" s="197">
        <f t="shared" si="3"/>
        <v>164</v>
      </c>
      <c r="C174" s="30" t="s">
        <v>206</v>
      </c>
      <c r="D174" s="30" t="s">
        <v>225</v>
      </c>
      <c r="E174" s="234" t="s">
        <v>716</v>
      </c>
      <c r="F174" s="235" t="s">
        <v>1225</v>
      </c>
      <c r="G174" s="284">
        <f>IFERROR(VLOOKUP(E174,Assign!$C$2:$J$142,8,FALSE),)</f>
        <v>0</v>
      </c>
      <c r="H174" s="236" t="s">
        <v>4469</v>
      </c>
      <c r="I174" s="236">
        <v>1</v>
      </c>
      <c r="J174" s="236">
        <v>1</v>
      </c>
      <c r="K174" s="355" t="s">
        <v>1373</v>
      </c>
      <c r="L174" s="356">
        <v>44392</v>
      </c>
      <c r="M174" s="357" t="s">
        <v>204</v>
      </c>
      <c r="N174" s="416">
        <v>300000000</v>
      </c>
      <c r="O174" s="416">
        <v>300000000</v>
      </c>
      <c r="P174" s="358"/>
      <c r="Q174" s="320"/>
      <c r="R174" s="168"/>
      <c r="S174" s="168"/>
      <c r="T174" s="287"/>
      <c r="U174" s="264"/>
      <c r="V174" s="198"/>
    </row>
    <row r="175" spans="1:22" s="90" customFormat="1" ht="19.5" hidden="1" customHeight="1">
      <c r="A175" s="137"/>
      <c r="B175" s="197">
        <f t="shared" si="3"/>
        <v>165</v>
      </c>
      <c r="C175" s="30" t="s">
        <v>206</v>
      </c>
      <c r="D175" s="30" t="s">
        <v>225</v>
      </c>
      <c r="E175" s="234" t="s">
        <v>716</v>
      </c>
      <c r="F175" s="235" t="s">
        <v>1225</v>
      </c>
      <c r="G175" s="284">
        <f>IFERROR(VLOOKUP(E175,Assign!$C$2:$J$142,8,FALSE),)</f>
        <v>0</v>
      </c>
      <c r="H175" s="236" t="s">
        <v>4472</v>
      </c>
      <c r="I175" s="236">
        <v>2</v>
      </c>
      <c r="J175" s="236">
        <v>1</v>
      </c>
      <c r="K175" s="355" t="s">
        <v>487</v>
      </c>
      <c r="L175" s="356">
        <v>42307</v>
      </c>
      <c r="M175" s="357" t="s">
        <v>204</v>
      </c>
      <c r="N175" s="416">
        <v>324000000</v>
      </c>
      <c r="O175" s="416">
        <v>324000000</v>
      </c>
      <c r="P175" s="358"/>
      <c r="Q175" s="320"/>
      <c r="R175" s="168"/>
      <c r="S175" s="168"/>
      <c r="T175" s="287"/>
      <c r="U175" s="264"/>
      <c r="V175" s="198"/>
    </row>
    <row r="176" spans="1:22" s="90" customFormat="1" ht="19.5" hidden="1" customHeight="1">
      <c r="A176" s="137"/>
      <c r="B176" s="197">
        <f t="shared" si="3"/>
        <v>166</v>
      </c>
      <c r="C176" s="30" t="s">
        <v>206</v>
      </c>
      <c r="D176" s="30" t="s">
        <v>225</v>
      </c>
      <c r="E176" s="234" t="s">
        <v>716</v>
      </c>
      <c r="F176" s="235" t="s">
        <v>1225</v>
      </c>
      <c r="G176" s="284">
        <f>IFERROR(VLOOKUP(E176,Assign!$C$2:$J$142,8,FALSE),)</f>
        <v>0</v>
      </c>
      <c r="H176" s="236" t="s">
        <v>4472</v>
      </c>
      <c r="I176" s="236">
        <v>2</v>
      </c>
      <c r="J176" s="236">
        <v>2</v>
      </c>
      <c r="K176" s="355" t="s">
        <v>1376</v>
      </c>
      <c r="L176" s="356">
        <v>44344</v>
      </c>
      <c r="M176" s="357" t="s">
        <v>204</v>
      </c>
      <c r="N176" s="416">
        <v>120000000</v>
      </c>
      <c r="O176" s="416">
        <v>120000000</v>
      </c>
      <c r="P176" s="358"/>
      <c r="Q176" s="320"/>
      <c r="R176" s="168"/>
      <c r="S176" s="168"/>
      <c r="T176" s="287"/>
      <c r="U176" s="264"/>
      <c r="V176" s="198"/>
    </row>
    <row r="177" spans="1:22" s="90" customFormat="1" ht="19.5" hidden="1" customHeight="1">
      <c r="A177" s="137"/>
      <c r="B177" s="197">
        <f t="shared" si="3"/>
        <v>167</v>
      </c>
      <c r="C177" s="30" t="s">
        <v>206</v>
      </c>
      <c r="D177" s="30" t="s">
        <v>225</v>
      </c>
      <c r="E177" s="234" t="s">
        <v>716</v>
      </c>
      <c r="F177" s="235" t="s">
        <v>1225</v>
      </c>
      <c r="G177" s="284">
        <f>IFERROR(VLOOKUP(E177,Assign!$C$2:$J$142,8,FALSE),)</f>
        <v>0</v>
      </c>
      <c r="H177" s="236" t="s">
        <v>4472</v>
      </c>
      <c r="I177" s="236">
        <v>2</v>
      </c>
      <c r="J177" s="236">
        <v>3</v>
      </c>
      <c r="K177" s="355" t="s">
        <v>1373</v>
      </c>
      <c r="L177" s="356">
        <v>44392</v>
      </c>
      <c r="M177" s="357" t="s">
        <v>204</v>
      </c>
      <c r="N177" s="416">
        <v>80400000</v>
      </c>
      <c r="O177" s="416">
        <v>80400000</v>
      </c>
      <c r="P177" s="358"/>
      <c r="Q177" s="320"/>
      <c r="R177" s="168"/>
      <c r="S177" s="168"/>
      <c r="T177" s="287"/>
      <c r="U177" s="264"/>
      <c r="V177" s="198"/>
    </row>
    <row r="178" spans="1:22" s="90" customFormat="1" ht="19.5" hidden="1" customHeight="1">
      <c r="A178" s="137"/>
      <c r="B178" s="197">
        <f t="shared" si="3"/>
        <v>168</v>
      </c>
      <c r="C178" s="30" t="s">
        <v>206</v>
      </c>
      <c r="D178" s="30" t="s">
        <v>225</v>
      </c>
      <c r="E178" s="234" t="s">
        <v>717</v>
      </c>
      <c r="F178" s="235" t="s">
        <v>1225</v>
      </c>
      <c r="G178" s="284">
        <f>IFERROR(VLOOKUP(E178,Assign!$C$2:$J$142,8,FALSE),)</f>
        <v>0</v>
      </c>
      <c r="H178" s="236" t="s">
        <v>4797</v>
      </c>
      <c r="I178" s="236">
        <v>1</v>
      </c>
      <c r="J178" s="236">
        <v>1</v>
      </c>
      <c r="K178" s="355" t="s">
        <v>1373</v>
      </c>
      <c r="L178" s="356">
        <v>42598</v>
      </c>
      <c r="M178" s="357" t="s">
        <v>204</v>
      </c>
      <c r="N178" s="416">
        <v>236400000</v>
      </c>
      <c r="O178" s="416">
        <v>236400000</v>
      </c>
      <c r="P178" s="358"/>
      <c r="Q178" s="320"/>
      <c r="R178" s="168"/>
      <c r="S178" s="168"/>
      <c r="T178" s="287"/>
      <c r="U178" s="264"/>
      <c r="V178" s="198"/>
    </row>
    <row r="179" spans="1:22" s="90" customFormat="1" ht="19.5" hidden="1" customHeight="1">
      <c r="A179" s="137"/>
      <c r="B179" s="197">
        <f t="shared" si="3"/>
        <v>169</v>
      </c>
      <c r="C179" s="30" t="s">
        <v>206</v>
      </c>
      <c r="D179" s="30" t="s">
        <v>225</v>
      </c>
      <c r="E179" s="234" t="s">
        <v>717</v>
      </c>
      <c r="F179" s="235" t="s">
        <v>1225</v>
      </c>
      <c r="G179" s="284">
        <f>IFERROR(VLOOKUP(E179,Assign!$C$2:$J$142,8,FALSE),)</f>
        <v>0</v>
      </c>
      <c r="H179" s="236" t="s">
        <v>4799</v>
      </c>
      <c r="I179" s="236">
        <v>2</v>
      </c>
      <c r="J179" s="236">
        <v>1</v>
      </c>
      <c r="K179" s="355" t="s">
        <v>1373</v>
      </c>
      <c r="L179" s="356">
        <v>43613</v>
      </c>
      <c r="M179" s="357" t="s">
        <v>204</v>
      </c>
      <c r="N179" s="416">
        <v>600000000</v>
      </c>
      <c r="O179" s="416">
        <v>600000000</v>
      </c>
      <c r="P179" s="358"/>
      <c r="Q179" s="320"/>
      <c r="R179" s="168"/>
      <c r="S179" s="168"/>
      <c r="T179" s="287"/>
      <c r="U179" s="264"/>
      <c r="V179" s="198"/>
    </row>
    <row r="180" spans="1:22" s="90" customFormat="1" ht="19.5" customHeight="1">
      <c r="A180" s="137"/>
      <c r="B180" s="197">
        <f t="shared" si="3"/>
        <v>170</v>
      </c>
      <c r="C180" s="30" t="s">
        <v>206</v>
      </c>
      <c r="D180" s="30" t="s">
        <v>225</v>
      </c>
      <c r="E180" s="234" t="s">
        <v>718</v>
      </c>
      <c r="F180" s="235" t="s">
        <v>1229</v>
      </c>
      <c r="G180" s="284" t="str">
        <f>IFERROR(VLOOKUP(E180,Assign!$C$2:$J$142,8,FALSE),)</f>
        <v>문선영</v>
      </c>
      <c r="H180" s="236" t="s">
        <v>4370</v>
      </c>
      <c r="I180" s="236">
        <v>1</v>
      </c>
      <c r="J180" s="236">
        <v>1</v>
      </c>
      <c r="K180" s="355" t="s">
        <v>1373</v>
      </c>
      <c r="L180" s="356">
        <v>43349</v>
      </c>
      <c r="M180" s="357" t="s">
        <v>204</v>
      </c>
      <c r="N180" s="416">
        <v>630000000</v>
      </c>
      <c r="O180" s="416">
        <v>630000000</v>
      </c>
      <c r="P180" s="358"/>
      <c r="Q180" s="320">
        <v>2</v>
      </c>
      <c r="R180" s="168"/>
      <c r="S180" s="168"/>
      <c r="T180" s="287"/>
      <c r="U180" s="264"/>
      <c r="V180" s="198"/>
    </row>
    <row r="181" spans="1:22" s="90" customFormat="1" ht="19.5" customHeight="1">
      <c r="A181" s="137"/>
      <c r="B181" s="197">
        <f t="shared" si="3"/>
        <v>171</v>
      </c>
      <c r="C181" s="30" t="s">
        <v>206</v>
      </c>
      <c r="D181" s="30" t="s">
        <v>225</v>
      </c>
      <c r="E181" s="234" t="s">
        <v>718</v>
      </c>
      <c r="F181" s="235" t="s">
        <v>1229</v>
      </c>
      <c r="G181" s="284" t="str">
        <f>IFERROR(VLOOKUP(E181,Assign!$C$2:$J$142,8,FALSE),)</f>
        <v>문선영</v>
      </c>
      <c r="H181" s="236" t="s">
        <v>4372</v>
      </c>
      <c r="I181" s="236">
        <v>2</v>
      </c>
      <c r="J181" s="236">
        <v>1</v>
      </c>
      <c r="K181" s="355" t="s">
        <v>1373</v>
      </c>
      <c r="L181" s="356">
        <v>43349</v>
      </c>
      <c r="M181" s="357" t="s">
        <v>204</v>
      </c>
      <c r="N181" s="416">
        <v>630000000</v>
      </c>
      <c r="O181" s="416">
        <v>630000000</v>
      </c>
      <c r="P181" s="358"/>
      <c r="Q181" s="320">
        <v>1</v>
      </c>
      <c r="R181" s="168"/>
      <c r="S181" s="168"/>
      <c r="T181" s="287"/>
      <c r="U181" s="264"/>
      <c r="V181" s="198"/>
    </row>
    <row r="182" spans="1:22" s="90" customFormat="1" ht="19.5" customHeight="1">
      <c r="A182" s="137"/>
      <c r="B182" s="197">
        <f t="shared" si="3"/>
        <v>172</v>
      </c>
      <c r="C182" s="30" t="s">
        <v>206</v>
      </c>
      <c r="D182" s="30" t="s">
        <v>225</v>
      </c>
      <c r="E182" s="234" t="s">
        <v>719</v>
      </c>
      <c r="F182" s="235" t="s">
        <v>1225</v>
      </c>
      <c r="G182" s="284" t="str">
        <f>IFERROR(VLOOKUP(E182,Assign!$C$2:$J$142,8,FALSE),)</f>
        <v>문선영</v>
      </c>
      <c r="H182" s="236" t="s">
        <v>4183</v>
      </c>
      <c r="I182" s="236">
        <v>1</v>
      </c>
      <c r="J182" s="236">
        <v>1</v>
      </c>
      <c r="K182" s="355" t="s">
        <v>1373</v>
      </c>
      <c r="L182" s="356">
        <v>44134</v>
      </c>
      <c r="M182" s="357" t="s">
        <v>204</v>
      </c>
      <c r="N182" s="416">
        <v>157500000</v>
      </c>
      <c r="O182" s="416">
        <v>157500000</v>
      </c>
      <c r="P182" s="358"/>
      <c r="Q182" s="320"/>
      <c r="R182" s="168"/>
      <c r="S182" s="168"/>
      <c r="T182" s="287"/>
      <c r="U182" s="264"/>
      <c r="V182" s="198"/>
    </row>
    <row r="183" spans="1:22" s="90" customFormat="1" ht="19.5" customHeight="1">
      <c r="A183" s="137"/>
      <c r="B183" s="197">
        <f t="shared" si="3"/>
        <v>173</v>
      </c>
      <c r="C183" s="30" t="s">
        <v>206</v>
      </c>
      <c r="D183" s="30" t="s">
        <v>225</v>
      </c>
      <c r="E183" s="234" t="s">
        <v>719</v>
      </c>
      <c r="F183" s="235" t="s">
        <v>1225</v>
      </c>
      <c r="G183" s="284" t="str">
        <f>IFERROR(VLOOKUP(E183,Assign!$C$2:$J$142,8,FALSE),)</f>
        <v>문선영</v>
      </c>
      <c r="H183" s="236" t="s">
        <v>4185</v>
      </c>
      <c r="I183" s="236">
        <v>2</v>
      </c>
      <c r="J183" s="236">
        <v>1</v>
      </c>
      <c r="K183" s="355" t="s">
        <v>1373</v>
      </c>
      <c r="L183" s="356">
        <v>44134</v>
      </c>
      <c r="M183" s="357" t="s">
        <v>204</v>
      </c>
      <c r="N183" s="416">
        <v>157500000</v>
      </c>
      <c r="O183" s="416">
        <v>157500000</v>
      </c>
      <c r="P183" s="358"/>
      <c r="Q183" s="320"/>
      <c r="R183" s="168"/>
      <c r="S183" s="168"/>
      <c r="T183" s="287"/>
      <c r="U183" s="264"/>
      <c r="V183" s="198"/>
    </row>
    <row r="184" spans="1:22" s="90" customFormat="1" ht="19.5" hidden="1" customHeight="1">
      <c r="A184" s="137"/>
      <c r="B184" s="197">
        <f t="shared" si="3"/>
        <v>174</v>
      </c>
      <c r="C184" s="30" t="s">
        <v>206</v>
      </c>
      <c r="D184" s="30" t="s">
        <v>225</v>
      </c>
      <c r="E184" s="234" t="s">
        <v>720</v>
      </c>
      <c r="F184" s="235" t="s">
        <v>1225</v>
      </c>
      <c r="G184" s="284">
        <f>IFERROR(VLOOKUP(E184,Assign!$C$2:$J$142,8,FALSE),)</f>
        <v>0</v>
      </c>
      <c r="H184" s="236" t="s">
        <v>4382</v>
      </c>
      <c r="I184" s="236">
        <v>1</v>
      </c>
      <c r="J184" s="236">
        <v>1</v>
      </c>
      <c r="K184" s="355" t="s">
        <v>1373</v>
      </c>
      <c r="L184" s="356">
        <v>42877</v>
      </c>
      <c r="M184" s="357" t="s">
        <v>204</v>
      </c>
      <c r="N184" s="416">
        <v>322600000</v>
      </c>
      <c r="O184" s="416">
        <v>322600000</v>
      </c>
      <c r="P184" s="358"/>
      <c r="Q184" s="320"/>
      <c r="R184" s="168"/>
      <c r="S184" s="168"/>
      <c r="T184" s="287"/>
      <c r="U184" s="264"/>
      <c r="V184" s="198"/>
    </row>
    <row r="185" spans="1:22" s="90" customFormat="1" ht="19.5" hidden="1" customHeight="1">
      <c r="A185" s="137"/>
      <c r="B185" s="197">
        <f t="shared" si="3"/>
        <v>175</v>
      </c>
      <c r="C185" s="30" t="s">
        <v>206</v>
      </c>
      <c r="D185" s="30" t="s">
        <v>225</v>
      </c>
      <c r="E185" s="234" t="s">
        <v>720</v>
      </c>
      <c r="F185" s="235" t="s">
        <v>1225</v>
      </c>
      <c r="G185" s="284">
        <f>IFERROR(VLOOKUP(E185,Assign!$C$2:$J$142,8,FALSE),)</f>
        <v>0</v>
      </c>
      <c r="H185" s="236" t="s">
        <v>4382</v>
      </c>
      <c r="I185" s="236">
        <v>1</v>
      </c>
      <c r="J185" s="236">
        <v>2</v>
      </c>
      <c r="K185" s="355" t="s">
        <v>1373</v>
      </c>
      <c r="L185" s="356">
        <v>43431</v>
      </c>
      <c r="M185" s="357" t="s">
        <v>204</v>
      </c>
      <c r="N185" s="416">
        <v>120000000</v>
      </c>
      <c r="O185" s="416">
        <v>120000000</v>
      </c>
      <c r="P185" s="358"/>
      <c r="Q185" s="320"/>
      <c r="R185" s="168"/>
      <c r="S185" s="168"/>
      <c r="T185" s="287"/>
      <c r="U185" s="264"/>
      <c r="V185" s="198"/>
    </row>
    <row r="186" spans="1:22" s="90" customFormat="1" ht="19.5" hidden="1" customHeight="1">
      <c r="A186" s="137"/>
      <c r="B186" s="197">
        <f t="shared" si="3"/>
        <v>176</v>
      </c>
      <c r="C186" s="30" t="s">
        <v>206</v>
      </c>
      <c r="D186" s="30" t="s">
        <v>225</v>
      </c>
      <c r="E186" s="234" t="s">
        <v>721</v>
      </c>
      <c r="F186" s="235" t="s">
        <v>1236</v>
      </c>
      <c r="G186" s="284">
        <f>IFERROR(VLOOKUP(E186,Assign!$C$2:$J$142,8,FALSE),)</f>
        <v>0</v>
      </c>
      <c r="H186" s="236" t="s">
        <v>4648</v>
      </c>
      <c r="I186" s="236">
        <v>1</v>
      </c>
      <c r="J186" s="236">
        <v>1</v>
      </c>
      <c r="K186" s="355" t="s">
        <v>1373</v>
      </c>
      <c r="L186" s="356">
        <v>43041</v>
      </c>
      <c r="M186" s="357" t="s">
        <v>204</v>
      </c>
      <c r="N186" s="416">
        <v>360000000</v>
      </c>
      <c r="O186" s="416">
        <v>360000000</v>
      </c>
      <c r="P186" s="358"/>
      <c r="Q186" s="320"/>
      <c r="R186" s="168"/>
      <c r="S186" s="168"/>
      <c r="T186" s="287"/>
      <c r="U186" s="264"/>
      <c r="V186" s="198"/>
    </row>
    <row r="187" spans="1:22" s="90" customFormat="1" ht="19.5" hidden="1" customHeight="1">
      <c r="A187" s="137"/>
      <c r="B187" s="197">
        <f t="shared" si="3"/>
        <v>177</v>
      </c>
      <c r="C187" s="30" t="s">
        <v>206</v>
      </c>
      <c r="D187" s="30" t="s">
        <v>225</v>
      </c>
      <c r="E187" s="234" t="s">
        <v>722</v>
      </c>
      <c r="F187" s="235" t="s">
        <v>1220</v>
      </c>
      <c r="G187" s="284">
        <f>IFERROR(VLOOKUP(E187,Assign!$C$2:$J$142,8,FALSE),)</f>
        <v>0</v>
      </c>
      <c r="H187" s="236" t="s">
        <v>4364</v>
      </c>
      <c r="I187" s="236">
        <v>1</v>
      </c>
      <c r="J187" s="236">
        <v>1</v>
      </c>
      <c r="K187" s="355" t="s">
        <v>1373</v>
      </c>
      <c r="L187" s="356">
        <v>44644</v>
      </c>
      <c r="M187" s="357" t="s">
        <v>204</v>
      </c>
      <c r="N187" s="416">
        <v>346500000</v>
      </c>
      <c r="O187" s="416">
        <v>346500000</v>
      </c>
      <c r="P187" s="358"/>
      <c r="Q187" s="320"/>
      <c r="R187" s="168"/>
      <c r="S187" s="168"/>
      <c r="T187" s="287"/>
      <c r="U187" s="264"/>
      <c r="V187" s="198"/>
    </row>
    <row r="188" spans="1:22" s="90" customFormat="1" ht="19.5" customHeight="1">
      <c r="A188" s="137"/>
      <c r="B188" s="197">
        <f t="shared" si="3"/>
        <v>178</v>
      </c>
      <c r="C188" s="30" t="s">
        <v>206</v>
      </c>
      <c r="D188" s="30" t="s">
        <v>225</v>
      </c>
      <c r="E188" s="234" t="s">
        <v>723</v>
      </c>
      <c r="F188" s="235" t="s">
        <v>1314</v>
      </c>
      <c r="G188" s="284" t="str">
        <f>IFERROR(VLOOKUP(E188,Assign!$C$2:$J$142,8,FALSE),)</f>
        <v>문선영</v>
      </c>
      <c r="H188" s="236" t="s">
        <v>5548</v>
      </c>
      <c r="I188" s="236">
        <v>1</v>
      </c>
      <c r="J188" s="236">
        <v>1</v>
      </c>
      <c r="K188" s="355" t="s">
        <v>1373</v>
      </c>
      <c r="L188" s="356">
        <v>43796</v>
      </c>
      <c r="M188" s="357" t="s">
        <v>204</v>
      </c>
      <c r="N188" s="416">
        <v>414000000</v>
      </c>
      <c r="O188" s="416">
        <v>414000000</v>
      </c>
      <c r="P188" s="358"/>
      <c r="Q188" s="320"/>
      <c r="R188" s="168"/>
      <c r="S188" s="168"/>
      <c r="T188" s="287"/>
      <c r="U188" s="264"/>
      <c r="V188" s="198"/>
    </row>
    <row r="189" spans="1:22" s="90" customFormat="1" ht="19.5" hidden="1" customHeight="1">
      <c r="A189" s="137"/>
      <c r="B189" s="197">
        <f t="shared" si="3"/>
        <v>179</v>
      </c>
      <c r="C189" s="30" t="s">
        <v>206</v>
      </c>
      <c r="D189" s="30" t="s">
        <v>225</v>
      </c>
      <c r="E189" s="234" t="s">
        <v>724</v>
      </c>
      <c r="F189" s="235" t="s">
        <v>1229</v>
      </c>
      <c r="G189" s="284">
        <f>IFERROR(VLOOKUP(E189,Assign!$C$2:$J$142,8,FALSE),)</f>
        <v>0</v>
      </c>
      <c r="H189" s="236" t="s">
        <v>4654</v>
      </c>
      <c r="I189" s="236">
        <v>1</v>
      </c>
      <c r="J189" s="236">
        <v>1</v>
      </c>
      <c r="K189" s="355" t="s">
        <v>1373</v>
      </c>
      <c r="L189" s="356">
        <v>43215</v>
      </c>
      <c r="M189" s="357" t="s">
        <v>204</v>
      </c>
      <c r="N189" s="416">
        <v>366000000</v>
      </c>
      <c r="O189" s="416">
        <v>366000000</v>
      </c>
      <c r="P189" s="358"/>
      <c r="Q189" s="320"/>
      <c r="R189" s="168"/>
      <c r="S189" s="168"/>
      <c r="T189" s="287"/>
      <c r="U189" s="264"/>
      <c r="V189" s="198"/>
    </row>
    <row r="190" spans="1:22" s="90" customFormat="1" ht="19.5" customHeight="1">
      <c r="A190" s="137"/>
      <c r="B190" s="197">
        <f t="shared" si="3"/>
        <v>180</v>
      </c>
      <c r="C190" s="30" t="s">
        <v>206</v>
      </c>
      <c r="D190" s="30" t="s">
        <v>225</v>
      </c>
      <c r="E190" s="234" t="s">
        <v>725</v>
      </c>
      <c r="F190" s="235" t="s">
        <v>1229</v>
      </c>
      <c r="G190" s="284" t="str">
        <f>IFERROR(VLOOKUP(E190,Assign!$C$2:$J$142,8,FALSE),)</f>
        <v>문선영</v>
      </c>
      <c r="H190" s="236" t="s">
        <v>4817</v>
      </c>
      <c r="I190" s="236">
        <v>1</v>
      </c>
      <c r="J190" s="236">
        <v>1</v>
      </c>
      <c r="K190" s="355" t="s">
        <v>1373</v>
      </c>
      <c r="L190" s="356">
        <v>45149</v>
      </c>
      <c r="M190" s="357" t="s">
        <v>204</v>
      </c>
      <c r="N190" s="416">
        <v>316800000</v>
      </c>
      <c r="O190" s="416">
        <v>316800000</v>
      </c>
      <c r="P190" s="358"/>
      <c r="Q190" s="320"/>
      <c r="R190" s="168"/>
      <c r="S190" s="168"/>
      <c r="T190" s="287"/>
      <c r="U190" s="264"/>
      <c r="V190" s="198"/>
    </row>
    <row r="191" spans="1:22" s="90" customFormat="1" ht="19.5" hidden="1" customHeight="1">
      <c r="A191" s="137"/>
      <c r="B191" s="197">
        <f t="shared" si="3"/>
        <v>181</v>
      </c>
      <c r="C191" s="30" t="s">
        <v>206</v>
      </c>
      <c r="D191" s="30" t="s">
        <v>225</v>
      </c>
      <c r="E191" s="234" t="s">
        <v>726</v>
      </c>
      <c r="F191" s="235" t="s">
        <v>1241</v>
      </c>
      <c r="G191" s="284">
        <f>IFERROR(VLOOKUP(E191,Assign!$C$2:$J$142,8,FALSE),)</f>
        <v>0</v>
      </c>
      <c r="H191" s="236" t="s">
        <v>4205</v>
      </c>
      <c r="I191" s="236">
        <v>1</v>
      </c>
      <c r="J191" s="236">
        <v>1</v>
      </c>
      <c r="K191" s="355" t="s">
        <v>1373</v>
      </c>
      <c r="L191" s="356">
        <v>41971</v>
      </c>
      <c r="M191" s="357" t="s">
        <v>204</v>
      </c>
      <c r="N191" s="416">
        <v>436800000</v>
      </c>
      <c r="O191" s="416">
        <v>436800000</v>
      </c>
      <c r="P191" s="358"/>
      <c r="Q191" s="320"/>
      <c r="R191" s="168"/>
      <c r="S191" s="168"/>
      <c r="T191" s="287"/>
      <c r="U191" s="264"/>
      <c r="V191" s="198"/>
    </row>
    <row r="192" spans="1:22" s="90" customFormat="1" ht="19.5" hidden="1" customHeight="1">
      <c r="A192" s="137"/>
      <c r="B192" s="197">
        <f t="shared" si="3"/>
        <v>182</v>
      </c>
      <c r="C192" s="30" t="s">
        <v>206</v>
      </c>
      <c r="D192" s="30" t="s">
        <v>225</v>
      </c>
      <c r="E192" s="234" t="s">
        <v>727</v>
      </c>
      <c r="F192" s="235" t="s">
        <v>1242</v>
      </c>
      <c r="G192" s="284">
        <f>IFERROR(VLOOKUP(E192,Assign!$C$2:$J$142,8,FALSE),)</f>
        <v>0</v>
      </c>
      <c r="H192" s="236" t="s">
        <v>5190</v>
      </c>
      <c r="I192" s="236">
        <v>1</v>
      </c>
      <c r="J192" s="236">
        <v>1</v>
      </c>
      <c r="K192" s="355" t="s">
        <v>1373</v>
      </c>
      <c r="L192" s="356">
        <v>45321</v>
      </c>
      <c r="M192" s="357" t="s">
        <v>204</v>
      </c>
      <c r="N192" s="416">
        <v>336000000</v>
      </c>
      <c r="O192" s="416">
        <v>336000000</v>
      </c>
      <c r="P192" s="358"/>
      <c r="Q192" s="320"/>
      <c r="R192" s="168"/>
      <c r="S192" s="168"/>
      <c r="T192" s="287"/>
      <c r="U192" s="264"/>
      <c r="V192" s="198"/>
    </row>
    <row r="193" spans="1:22" s="90" customFormat="1" ht="19.5" customHeight="1">
      <c r="A193" s="137"/>
      <c r="B193" s="197">
        <f t="shared" si="3"/>
        <v>183</v>
      </c>
      <c r="C193" s="30" t="s">
        <v>206</v>
      </c>
      <c r="D193" s="30" t="s">
        <v>225</v>
      </c>
      <c r="E193" s="234" t="s">
        <v>728</v>
      </c>
      <c r="F193" s="235" t="s">
        <v>1225</v>
      </c>
      <c r="G193" s="284" t="str">
        <f>IFERROR(VLOOKUP(E193,Assign!$C$2:$J$142,8,FALSE),)</f>
        <v>문선영</v>
      </c>
      <c r="H193" s="236" t="s">
        <v>5205</v>
      </c>
      <c r="I193" s="236">
        <v>1</v>
      </c>
      <c r="J193" s="236">
        <v>1</v>
      </c>
      <c r="K193" s="355" t="s">
        <v>1373</v>
      </c>
      <c r="L193" s="356">
        <v>44545</v>
      </c>
      <c r="M193" s="357" t="s">
        <v>204</v>
      </c>
      <c r="N193" s="416">
        <v>308000000</v>
      </c>
      <c r="O193" s="416">
        <v>308000000</v>
      </c>
      <c r="P193" s="358"/>
      <c r="Q193" s="320"/>
      <c r="R193" s="168"/>
      <c r="S193" s="168"/>
      <c r="T193" s="287"/>
      <c r="U193" s="264"/>
      <c r="V193" s="198"/>
    </row>
    <row r="194" spans="1:22" s="90" customFormat="1" ht="19.5" hidden="1" customHeight="1">
      <c r="A194" s="137"/>
      <c r="B194" s="197">
        <f t="shared" si="3"/>
        <v>184</v>
      </c>
      <c r="C194" s="30" t="s">
        <v>206</v>
      </c>
      <c r="D194" s="30" t="s">
        <v>225</v>
      </c>
      <c r="E194" s="234" t="s">
        <v>729</v>
      </c>
      <c r="F194" s="235" t="s">
        <v>1218</v>
      </c>
      <c r="G194" s="284">
        <f>IFERROR(VLOOKUP(E194,Assign!$C$2:$J$142,8,FALSE),)</f>
        <v>0</v>
      </c>
      <c r="H194" s="236" t="s">
        <v>4551</v>
      </c>
      <c r="I194" s="236">
        <v>1</v>
      </c>
      <c r="J194" s="236">
        <v>1</v>
      </c>
      <c r="K194" s="355" t="s">
        <v>1373</v>
      </c>
      <c r="L194" s="356">
        <v>42643</v>
      </c>
      <c r="M194" s="357" t="s">
        <v>204</v>
      </c>
      <c r="N194" s="416">
        <v>384000000</v>
      </c>
      <c r="O194" s="416">
        <v>384000000</v>
      </c>
      <c r="P194" s="358"/>
      <c r="Q194" s="320"/>
      <c r="R194" s="168"/>
      <c r="S194" s="168"/>
      <c r="T194" s="287"/>
      <c r="U194" s="264"/>
      <c r="V194" s="198"/>
    </row>
    <row r="195" spans="1:22" s="90" customFormat="1" ht="19.5" customHeight="1">
      <c r="A195" s="137"/>
      <c r="B195" s="197">
        <f t="shared" si="3"/>
        <v>185</v>
      </c>
      <c r="C195" s="30" t="s">
        <v>206</v>
      </c>
      <c r="D195" s="30" t="s">
        <v>225</v>
      </c>
      <c r="E195" s="234" t="s">
        <v>730</v>
      </c>
      <c r="F195" s="235" t="s">
        <v>611</v>
      </c>
      <c r="G195" s="284" t="str">
        <f>IFERROR(VLOOKUP(E195,Assign!$C$2:$J$142,8,FALSE),)</f>
        <v>문선영</v>
      </c>
      <c r="H195" s="236" t="s">
        <v>4835</v>
      </c>
      <c r="I195" s="236">
        <v>1</v>
      </c>
      <c r="J195" s="236">
        <v>1</v>
      </c>
      <c r="K195" s="355" t="s">
        <v>1373</v>
      </c>
      <c r="L195" s="356">
        <v>44519</v>
      </c>
      <c r="M195" s="357" t="s">
        <v>204</v>
      </c>
      <c r="N195" s="416">
        <v>297000000</v>
      </c>
      <c r="O195" s="416">
        <v>297000000</v>
      </c>
      <c r="P195" s="358"/>
      <c r="Q195" s="320"/>
      <c r="R195" s="168"/>
      <c r="S195" s="168"/>
      <c r="T195" s="287"/>
      <c r="U195" s="264"/>
      <c r="V195" s="198"/>
    </row>
    <row r="196" spans="1:22" s="90" customFormat="1" ht="19.5" hidden="1" customHeight="1">
      <c r="A196" s="137"/>
      <c r="B196" s="197">
        <f t="shared" si="3"/>
        <v>186</v>
      </c>
      <c r="C196" s="30" t="s">
        <v>206</v>
      </c>
      <c r="D196" s="30" t="s">
        <v>225</v>
      </c>
      <c r="E196" s="234" t="s">
        <v>731</v>
      </c>
      <c r="F196" s="235" t="s">
        <v>1229</v>
      </c>
      <c r="G196" s="284">
        <f>IFERROR(VLOOKUP(E196,Assign!$C$2:$J$142,8,FALSE),)</f>
        <v>0</v>
      </c>
      <c r="H196" s="236" t="s">
        <v>4440</v>
      </c>
      <c r="I196" s="236">
        <v>1</v>
      </c>
      <c r="J196" s="236">
        <v>1</v>
      </c>
      <c r="K196" s="355" t="s">
        <v>1373</v>
      </c>
      <c r="L196" s="356">
        <v>43986</v>
      </c>
      <c r="M196" s="357" t="s">
        <v>204</v>
      </c>
      <c r="N196" s="416">
        <v>336000000</v>
      </c>
      <c r="O196" s="416">
        <v>336000000</v>
      </c>
      <c r="P196" s="358"/>
      <c r="Q196" s="320"/>
      <c r="R196" s="168"/>
      <c r="S196" s="168"/>
      <c r="T196" s="287"/>
      <c r="U196" s="264"/>
      <c r="V196" s="198"/>
    </row>
    <row r="197" spans="1:22" s="90" customFormat="1" ht="19.5" hidden="1" customHeight="1">
      <c r="A197" s="137"/>
      <c r="B197" s="197">
        <f t="shared" si="3"/>
        <v>187</v>
      </c>
      <c r="C197" s="30" t="s">
        <v>206</v>
      </c>
      <c r="D197" s="30" t="s">
        <v>225</v>
      </c>
      <c r="E197" s="234" t="s">
        <v>732</v>
      </c>
      <c r="F197" s="235" t="s">
        <v>1315</v>
      </c>
      <c r="G197" s="284">
        <f>IFERROR(VLOOKUP(E197,Assign!$C$2:$J$142,8,FALSE),)</f>
        <v>0</v>
      </c>
      <c r="H197" s="236" t="s">
        <v>5261</v>
      </c>
      <c r="I197" s="236">
        <v>1</v>
      </c>
      <c r="J197" s="236">
        <v>1</v>
      </c>
      <c r="K197" s="355" t="s">
        <v>490</v>
      </c>
      <c r="L197" s="356">
        <v>42620</v>
      </c>
      <c r="M197" s="357" t="s">
        <v>204</v>
      </c>
      <c r="N197" s="416">
        <v>254400000</v>
      </c>
      <c r="O197" s="416">
        <v>254400000</v>
      </c>
      <c r="P197" s="358"/>
      <c r="Q197" s="320"/>
      <c r="R197" s="168"/>
      <c r="S197" s="168"/>
      <c r="T197" s="287"/>
      <c r="U197" s="264"/>
      <c r="V197" s="198"/>
    </row>
    <row r="198" spans="1:22" s="90" customFormat="1" ht="19.5" hidden="1" customHeight="1">
      <c r="A198" s="137"/>
      <c r="B198" s="197">
        <f t="shared" si="3"/>
        <v>188</v>
      </c>
      <c r="C198" s="30" t="s">
        <v>206</v>
      </c>
      <c r="D198" s="30" t="s">
        <v>225</v>
      </c>
      <c r="E198" s="234" t="s">
        <v>732</v>
      </c>
      <c r="F198" s="235" t="s">
        <v>1315</v>
      </c>
      <c r="G198" s="284">
        <f>IFERROR(VLOOKUP(E198,Assign!$C$2:$J$142,8,FALSE),)</f>
        <v>0</v>
      </c>
      <c r="H198" s="236" t="s">
        <v>5261</v>
      </c>
      <c r="I198" s="236">
        <v>1</v>
      </c>
      <c r="J198" s="236">
        <v>2</v>
      </c>
      <c r="K198" s="355" t="s">
        <v>1373</v>
      </c>
      <c r="L198" s="356">
        <v>43847</v>
      </c>
      <c r="M198" s="357" t="s">
        <v>204</v>
      </c>
      <c r="N198" s="416">
        <v>240000000</v>
      </c>
      <c r="O198" s="416">
        <v>240000000</v>
      </c>
      <c r="P198" s="358"/>
      <c r="Q198" s="320"/>
      <c r="R198" s="168"/>
      <c r="S198" s="168"/>
      <c r="T198" s="287"/>
      <c r="U198" s="264"/>
      <c r="V198" s="198"/>
    </row>
    <row r="199" spans="1:22" s="90" customFormat="1" ht="19.5" hidden="1" customHeight="1">
      <c r="A199" s="137"/>
      <c r="B199" s="197">
        <f t="shared" si="3"/>
        <v>189</v>
      </c>
      <c r="C199" s="30" t="s">
        <v>206</v>
      </c>
      <c r="D199" s="30" t="s">
        <v>225</v>
      </c>
      <c r="E199" s="234" t="s">
        <v>732</v>
      </c>
      <c r="F199" s="235" t="s">
        <v>1315</v>
      </c>
      <c r="G199" s="284">
        <f>IFERROR(VLOOKUP(E199,Assign!$C$2:$J$142,8,FALSE),)</f>
        <v>0</v>
      </c>
      <c r="H199" s="236" t="s">
        <v>5261</v>
      </c>
      <c r="I199" s="236">
        <v>1</v>
      </c>
      <c r="J199" s="236">
        <v>3</v>
      </c>
      <c r="K199" s="355" t="s">
        <v>1373</v>
      </c>
      <c r="L199" s="356">
        <v>44257</v>
      </c>
      <c r="M199" s="357" t="s">
        <v>204</v>
      </c>
      <c r="N199" s="416">
        <v>360000000</v>
      </c>
      <c r="O199" s="416">
        <v>360000000</v>
      </c>
      <c r="P199" s="358"/>
      <c r="Q199" s="320">
        <v>2</v>
      </c>
      <c r="R199" s="168"/>
      <c r="S199" s="168"/>
      <c r="T199" s="287"/>
      <c r="U199" s="264"/>
      <c r="V199" s="198"/>
    </row>
    <row r="200" spans="1:22" s="90" customFormat="1" ht="19.5" hidden="1" customHeight="1">
      <c r="A200" s="137"/>
      <c r="B200" s="197">
        <f t="shared" si="3"/>
        <v>190</v>
      </c>
      <c r="C200" s="30" t="s">
        <v>206</v>
      </c>
      <c r="D200" s="30" t="s">
        <v>225</v>
      </c>
      <c r="E200" s="234" t="s">
        <v>732</v>
      </c>
      <c r="F200" s="235" t="s">
        <v>1315</v>
      </c>
      <c r="G200" s="284">
        <f>IFERROR(VLOOKUP(E200,Assign!$C$2:$J$142,8,FALSE),)</f>
        <v>0</v>
      </c>
      <c r="H200" s="236" t="s">
        <v>5263</v>
      </c>
      <c r="I200" s="236">
        <v>2</v>
      </c>
      <c r="J200" s="236">
        <v>1</v>
      </c>
      <c r="K200" s="355" t="s">
        <v>1373</v>
      </c>
      <c r="L200" s="356">
        <v>44257</v>
      </c>
      <c r="M200" s="357" t="s">
        <v>204</v>
      </c>
      <c r="N200" s="416">
        <v>360000000</v>
      </c>
      <c r="O200" s="416">
        <v>360000000</v>
      </c>
      <c r="P200" s="358"/>
      <c r="Q200" s="320">
        <v>1</v>
      </c>
      <c r="R200" s="168"/>
      <c r="S200" s="168"/>
      <c r="T200" s="287"/>
      <c r="U200" s="264"/>
      <c r="V200" s="198"/>
    </row>
    <row r="201" spans="1:22" s="90" customFormat="1" ht="19.5" hidden="1" customHeight="1">
      <c r="A201" s="137"/>
      <c r="B201" s="197">
        <f t="shared" si="3"/>
        <v>191</v>
      </c>
      <c r="C201" s="30" t="s">
        <v>206</v>
      </c>
      <c r="D201" s="30" t="s">
        <v>225</v>
      </c>
      <c r="E201" s="234" t="s">
        <v>733</v>
      </c>
      <c r="F201" s="235" t="s">
        <v>1238</v>
      </c>
      <c r="G201" s="284">
        <f>IFERROR(VLOOKUP(E201,Assign!$C$2:$J$142,8,FALSE),)</f>
        <v>0</v>
      </c>
      <c r="H201" s="236" t="s">
        <v>5396</v>
      </c>
      <c r="I201" s="236">
        <v>1</v>
      </c>
      <c r="J201" s="236">
        <v>1</v>
      </c>
      <c r="K201" s="355" t="s">
        <v>1373</v>
      </c>
      <c r="L201" s="356">
        <v>44746</v>
      </c>
      <c r="M201" s="357" t="s">
        <v>204</v>
      </c>
      <c r="N201" s="416">
        <v>284900000</v>
      </c>
      <c r="O201" s="416">
        <v>284900000</v>
      </c>
      <c r="P201" s="358"/>
      <c r="Q201" s="320"/>
      <c r="R201" s="168"/>
      <c r="S201" s="168"/>
      <c r="T201" s="287"/>
      <c r="U201" s="264"/>
      <c r="V201" s="198"/>
    </row>
    <row r="202" spans="1:22" s="90" customFormat="1" ht="19.5" hidden="1" customHeight="1">
      <c r="A202" s="137"/>
      <c r="B202" s="197">
        <f t="shared" si="3"/>
        <v>192</v>
      </c>
      <c r="C202" s="30" t="s">
        <v>206</v>
      </c>
      <c r="D202" s="30" t="s">
        <v>225</v>
      </c>
      <c r="E202" s="234" t="s">
        <v>734</v>
      </c>
      <c r="F202" s="235" t="s">
        <v>1316</v>
      </c>
      <c r="G202" s="284">
        <f>IFERROR(VLOOKUP(E202,Assign!$C$2:$J$142,8,FALSE),)</f>
        <v>0</v>
      </c>
      <c r="H202" s="236" t="s">
        <v>5255</v>
      </c>
      <c r="I202" s="236">
        <v>1</v>
      </c>
      <c r="J202" s="236">
        <v>1</v>
      </c>
      <c r="K202" s="355" t="s">
        <v>1373</v>
      </c>
      <c r="L202" s="356">
        <v>44616</v>
      </c>
      <c r="M202" s="357" t="s">
        <v>204</v>
      </c>
      <c r="N202" s="416">
        <v>294720000</v>
      </c>
      <c r="O202" s="416">
        <v>294720000</v>
      </c>
      <c r="P202" s="358"/>
      <c r="Q202" s="320"/>
      <c r="R202" s="168"/>
      <c r="S202" s="168"/>
      <c r="T202" s="287"/>
      <c r="U202" s="264"/>
      <c r="V202" s="198"/>
    </row>
    <row r="203" spans="1:22" s="90" customFormat="1" ht="19.5" hidden="1" customHeight="1">
      <c r="A203" s="137"/>
      <c r="B203" s="197">
        <f t="shared" ref="B203:B266" si="4">ROW()-10</f>
        <v>193</v>
      </c>
      <c r="C203" s="30" t="s">
        <v>206</v>
      </c>
      <c r="D203" s="30" t="s">
        <v>225</v>
      </c>
      <c r="E203" s="234" t="s">
        <v>735</v>
      </c>
      <c r="F203" s="235" t="s">
        <v>1243</v>
      </c>
      <c r="G203" s="284">
        <f>IFERROR(VLOOKUP(E203,Assign!$C$2:$J$142,8,FALSE),)</f>
        <v>0</v>
      </c>
      <c r="H203" s="236" t="s">
        <v>5366</v>
      </c>
      <c r="I203" s="236">
        <v>1</v>
      </c>
      <c r="J203" s="236">
        <v>1</v>
      </c>
      <c r="K203" s="355" t="s">
        <v>1373</v>
      </c>
      <c r="L203" s="356">
        <v>44524</v>
      </c>
      <c r="M203" s="357" t="s">
        <v>204</v>
      </c>
      <c r="N203" s="416">
        <v>294000000</v>
      </c>
      <c r="O203" s="416">
        <v>294000000</v>
      </c>
      <c r="P203" s="358"/>
      <c r="Q203" s="320"/>
      <c r="R203" s="168"/>
      <c r="S203" s="168"/>
      <c r="T203" s="287"/>
      <c r="U203" s="264"/>
      <c r="V203" s="198"/>
    </row>
    <row r="204" spans="1:22" s="90" customFormat="1" ht="19.5" hidden="1" customHeight="1">
      <c r="A204" s="137"/>
      <c r="B204" s="197">
        <f t="shared" si="4"/>
        <v>194</v>
      </c>
      <c r="C204" s="30" t="s">
        <v>206</v>
      </c>
      <c r="D204" s="30" t="s">
        <v>225</v>
      </c>
      <c r="E204" s="234" t="s">
        <v>736</v>
      </c>
      <c r="F204" s="235" t="s">
        <v>1235</v>
      </c>
      <c r="G204" s="284">
        <f>IFERROR(VLOOKUP(E204,Assign!$C$2:$J$142,8,FALSE),)</f>
        <v>0</v>
      </c>
      <c r="H204" s="236" t="s">
        <v>4169</v>
      </c>
      <c r="I204" s="236">
        <v>1</v>
      </c>
      <c r="J204" s="236">
        <v>1</v>
      </c>
      <c r="K204" s="355" t="s">
        <v>1373</v>
      </c>
      <c r="L204" s="356">
        <v>44295</v>
      </c>
      <c r="M204" s="357" t="s">
        <v>204</v>
      </c>
      <c r="N204" s="416">
        <v>292800000</v>
      </c>
      <c r="O204" s="416">
        <v>292800000</v>
      </c>
      <c r="P204" s="358"/>
      <c r="Q204" s="320"/>
      <c r="R204" s="168"/>
      <c r="S204" s="168"/>
      <c r="T204" s="287"/>
      <c r="U204" s="264"/>
      <c r="V204" s="198"/>
    </row>
    <row r="205" spans="1:22" s="90" customFormat="1" ht="19.5" customHeight="1">
      <c r="A205" s="137"/>
      <c r="B205" s="197">
        <f t="shared" si="4"/>
        <v>195</v>
      </c>
      <c r="C205" s="30" t="s">
        <v>206</v>
      </c>
      <c r="D205" s="30" t="s">
        <v>225</v>
      </c>
      <c r="E205" s="234" t="s">
        <v>737</v>
      </c>
      <c r="F205" s="235" t="s">
        <v>1245</v>
      </c>
      <c r="G205" s="284" t="str">
        <f>IFERROR(VLOOKUP(E205,Assign!$C$2:$J$142,8,FALSE),)</f>
        <v>문선영</v>
      </c>
      <c r="H205" s="236" t="s">
        <v>5328</v>
      </c>
      <c r="I205" s="236">
        <v>1</v>
      </c>
      <c r="J205" s="236">
        <v>1</v>
      </c>
      <c r="K205" s="355" t="s">
        <v>1373</v>
      </c>
      <c r="L205" s="356">
        <v>44344</v>
      </c>
      <c r="M205" s="357" t="s">
        <v>204</v>
      </c>
      <c r="N205" s="416">
        <v>288000000</v>
      </c>
      <c r="O205" s="416">
        <v>288000000</v>
      </c>
      <c r="P205" s="358"/>
      <c r="Q205" s="320"/>
      <c r="R205" s="168"/>
      <c r="S205" s="168"/>
      <c r="T205" s="287"/>
      <c r="U205" s="264"/>
      <c r="V205" s="198"/>
    </row>
    <row r="206" spans="1:22" s="90" customFormat="1" ht="19.5" hidden="1" customHeight="1">
      <c r="A206" s="137"/>
      <c r="B206" s="197">
        <f t="shared" si="4"/>
        <v>196</v>
      </c>
      <c r="C206" s="30" t="s">
        <v>206</v>
      </c>
      <c r="D206" s="30" t="s">
        <v>225</v>
      </c>
      <c r="E206" s="234" t="s">
        <v>738</v>
      </c>
      <c r="F206" s="235" t="s">
        <v>1226</v>
      </c>
      <c r="G206" s="284">
        <f>IFERROR(VLOOKUP(E206,Assign!$C$2:$J$142,8,FALSE),)</f>
        <v>0</v>
      </c>
      <c r="H206" s="236" t="s">
        <v>4509</v>
      </c>
      <c r="I206" s="236">
        <v>1</v>
      </c>
      <c r="J206" s="236">
        <v>1</v>
      </c>
      <c r="K206" s="355" t="s">
        <v>1373</v>
      </c>
      <c r="L206" s="356">
        <v>45219</v>
      </c>
      <c r="M206" s="357" t="s">
        <v>204</v>
      </c>
      <c r="N206" s="416">
        <v>249700000</v>
      </c>
      <c r="O206" s="416">
        <v>249700000</v>
      </c>
      <c r="P206" s="358"/>
      <c r="Q206" s="320"/>
      <c r="R206" s="168"/>
      <c r="S206" s="168"/>
      <c r="T206" s="287"/>
      <c r="U206" s="264"/>
      <c r="V206" s="198"/>
    </row>
    <row r="207" spans="1:22" s="90" customFormat="1" ht="19.5" hidden="1" customHeight="1">
      <c r="A207" s="137"/>
      <c r="B207" s="197">
        <f t="shared" si="4"/>
        <v>197</v>
      </c>
      <c r="C207" s="30" t="s">
        <v>206</v>
      </c>
      <c r="D207" s="30" t="s">
        <v>225</v>
      </c>
      <c r="E207" s="234" t="s">
        <v>739</v>
      </c>
      <c r="F207" s="235" t="s">
        <v>1246</v>
      </c>
      <c r="G207" s="284">
        <f>IFERROR(VLOOKUP(E207,Assign!$C$2:$J$142,8,FALSE),)</f>
        <v>0</v>
      </c>
      <c r="H207" s="236" t="s">
        <v>4559</v>
      </c>
      <c r="I207" s="236">
        <v>1</v>
      </c>
      <c r="J207" s="236">
        <v>1</v>
      </c>
      <c r="K207" s="355" t="s">
        <v>1373</v>
      </c>
      <c r="L207" s="356">
        <v>44620</v>
      </c>
      <c r="M207" s="357" t="s">
        <v>204</v>
      </c>
      <c r="N207" s="416">
        <v>165000000</v>
      </c>
      <c r="O207" s="416">
        <v>165000000</v>
      </c>
      <c r="P207" s="358"/>
      <c r="Q207" s="320"/>
      <c r="R207" s="168"/>
      <c r="S207" s="168"/>
      <c r="T207" s="287"/>
      <c r="U207" s="264"/>
      <c r="V207" s="198"/>
    </row>
    <row r="208" spans="1:22" s="90" customFormat="1" ht="19.5" hidden="1" customHeight="1">
      <c r="A208" s="137"/>
      <c r="B208" s="197">
        <f t="shared" si="4"/>
        <v>198</v>
      </c>
      <c r="C208" s="30" t="s">
        <v>206</v>
      </c>
      <c r="D208" s="30" t="s">
        <v>225</v>
      </c>
      <c r="E208" s="234" t="s">
        <v>739</v>
      </c>
      <c r="F208" s="235" t="s">
        <v>1246</v>
      </c>
      <c r="G208" s="284">
        <f>IFERROR(VLOOKUP(E208,Assign!$C$2:$J$142,8,FALSE),)</f>
        <v>0</v>
      </c>
      <c r="H208" s="236" t="s">
        <v>4559</v>
      </c>
      <c r="I208" s="236">
        <v>1</v>
      </c>
      <c r="J208" s="236">
        <v>2</v>
      </c>
      <c r="K208" s="355" t="s">
        <v>1373</v>
      </c>
      <c r="L208" s="356">
        <v>45043</v>
      </c>
      <c r="M208" s="357" t="s">
        <v>204</v>
      </c>
      <c r="N208" s="416">
        <v>94600000</v>
      </c>
      <c r="O208" s="416">
        <v>94600000</v>
      </c>
      <c r="P208" s="358"/>
      <c r="Q208" s="320"/>
      <c r="R208" s="168"/>
      <c r="S208" s="168"/>
      <c r="T208" s="287"/>
      <c r="U208" s="264"/>
      <c r="V208" s="198"/>
    </row>
    <row r="209" spans="1:22" s="90" customFormat="1" ht="19.5" hidden="1" customHeight="1">
      <c r="A209" s="137"/>
      <c r="B209" s="197">
        <f t="shared" si="4"/>
        <v>199</v>
      </c>
      <c r="C209" s="30" t="s">
        <v>206</v>
      </c>
      <c r="D209" s="30" t="s">
        <v>225</v>
      </c>
      <c r="E209" s="234" t="s">
        <v>740</v>
      </c>
      <c r="F209" s="235" t="s">
        <v>1217</v>
      </c>
      <c r="G209" s="284">
        <f>IFERROR(VLOOKUP(E209,Assign!$C$2:$J$142,8,FALSE),)</f>
        <v>0</v>
      </c>
      <c r="H209" s="236" t="s">
        <v>4845</v>
      </c>
      <c r="I209" s="236">
        <v>1</v>
      </c>
      <c r="J209" s="236">
        <v>1</v>
      </c>
      <c r="K209" s="355" t="s">
        <v>1373</v>
      </c>
      <c r="L209" s="356">
        <v>44575</v>
      </c>
      <c r="M209" s="357" t="s">
        <v>204</v>
      </c>
      <c r="N209" s="416">
        <v>264000000</v>
      </c>
      <c r="O209" s="416">
        <v>264000000</v>
      </c>
      <c r="P209" s="358"/>
      <c r="Q209" s="320"/>
      <c r="R209" s="168"/>
      <c r="S209" s="168"/>
      <c r="T209" s="287"/>
      <c r="U209" s="264"/>
      <c r="V209" s="198"/>
    </row>
    <row r="210" spans="1:22" s="90" customFormat="1" ht="19.5" customHeight="1">
      <c r="A210" s="137"/>
      <c r="B210" s="197">
        <f t="shared" si="4"/>
        <v>200</v>
      </c>
      <c r="C210" s="30" t="s">
        <v>206</v>
      </c>
      <c r="D210" s="30" t="s">
        <v>225</v>
      </c>
      <c r="E210" s="234" t="s">
        <v>741</v>
      </c>
      <c r="F210" s="235" t="s">
        <v>1218</v>
      </c>
      <c r="G210" s="284" t="str">
        <f>IFERROR(VLOOKUP(E210,Assign!$C$2:$J$142,8,FALSE),)</f>
        <v>문선영</v>
      </c>
      <c r="H210" s="236" t="s">
        <v>4751</v>
      </c>
      <c r="I210" s="236">
        <v>1</v>
      </c>
      <c r="J210" s="236">
        <v>1</v>
      </c>
      <c r="K210" s="355" t="s">
        <v>1373</v>
      </c>
      <c r="L210" s="356">
        <v>44743</v>
      </c>
      <c r="M210" s="357" t="s">
        <v>204</v>
      </c>
      <c r="N210" s="416">
        <v>242000000</v>
      </c>
      <c r="O210" s="416">
        <v>242000000</v>
      </c>
      <c r="P210" s="358"/>
      <c r="Q210" s="320"/>
      <c r="R210" s="168"/>
      <c r="S210" s="168"/>
      <c r="T210" s="287"/>
      <c r="U210" s="264"/>
      <c r="V210" s="198"/>
    </row>
    <row r="211" spans="1:22" s="90" customFormat="1" ht="19.5" hidden="1" customHeight="1">
      <c r="A211" s="137"/>
      <c r="B211" s="197">
        <f t="shared" si="4"/>
        <v>201</v>
      </c>
      <c r="C211" s="30" t="s">
        <v>206</v>
      </c>
      <c r="D211" s="30" t="s">
        <v>225</v>
      </c>
      <c r="E211" s="234" t="s">
        <v>742</v>
      </c>
      <c r="F211" s="235" t="s">
        <v>1225</v>
      </c>
      <c r="G211" s="284">
        <f>IFERROR(VLOOKUP(E211,Assign!$C$2:$J$142,8,FALSE),)</f>
        <v>0</v>
      </c>
      <c r="H211" s="236" t="s">
        <v>4771</v>
      </c>
      <c r="I211" s="236">
        <v>1</v>
      </c>
      <c r="J211" s="236">
        <v>1</v>
      </c>
      <c r="K211" s="355" t="s">
        <v>1373</v>
      </c>
      <c r="L211" s="356">
        <v>44260</v>
      </c>
      <c r="M211" s="357" t="s">
        <v>204</v>
      </c>
      <c r="N211" s="416">
        <v>261600000</v>
      </c>
      <c r="O211" s="416">
        <v>261600000</v>
      </c>
      <c r="P211" s="358"/>
      <c r="Q211" s="320"/>
      <c r="R211" s="168"/>
      <c r="S211" s="168"/>
      <c r="T211" s="287"/>
      <c r="U211" s="264"/>
      <c r="V211" s="198"/>
    </row>
    <row r="212" spans="1:22" s="90" customFormat="1" ht="19.5" customHeight="1">
      <c r="A212" s="137"/>
      <c r="B212" s="197">
        <f t="shared" si="4"/>
        <v>202</v>
      </c>
      <c r="C212" s="30" t="s">
        <v>206</v>
      </c>
      <c r="D212" s="30" t="s">
        <v>225</v>
      </c>
      <c r="E212" s="234" t="s">
        <v>743</v>
      </c>
      <c r="F212" s="235" t="s">
        <v>1229</v>
      </c>
      <c r="G212" s="284" t="str">
        <f>IFERROR(VLOOKUP(E212,Assign!$C$2:$J$142,8,FALSE),)</f>
        <v>문선영</v>
      </c>
      <c r="H212" s="236" t="s">
        <v>5207</v>
      </c>
      <c r="I212" s="236">
        <v>1</v>
      </c>
      <c r="J212" s="236">
        <v>1</v>
      </c>
      <c r="K212" s="355" t="s">
        <v>1373</v>
      </c>
      <c r="L212" s="356">
        <v>44694</v>
      </c>
      <c r="M212" s="357" t="s">
        <v>204</v>
      </c>
      <c r="N212" s="416">
        <v>242000000</v>
      </c>
      <c r="O212" s="416">
        <v>242000000</v>
      </c>
      <c r="P212" s="358"/>
      <c r="Q212" s="320"/>
      <c r="R212" s="168"/>
      <c r="S212" s="168"/>
      <c r="T212" s="287"/>
      <c r="U212" s="264"/>
      <c r="V212" s="198"/>
    </row>
    <row r="213" spans="1:22" s="90" customFormat="1" ht="19.5" hidden="1" customHeight="1">
      <c r="A213" s="137"/>
      <c r="B213" s="197">
        <f t="shared" si="4"/>
        <v>203</v>
      </c>
      <c r="C213" s="30" t="s">
        <v>206</v>
      </c>
      <c r="D213" s="30" t="s">
        <v>225</v>
      </c>
      <c r="E213" s="234" t="s">
        <v>744</v>
      </c>
      <c r="F213" s="235" t="s">
        <v>1225</v>
      </c>
      <c r="G213" s="284">
        <f>IFERROR(VLOOKUP(E213,Assign!$C$2:$J$142,8,FALSE),)</f>
        <v>0</v>
      </c>
      <c r="H213" s="236" t="s">
        <v>4096</v>
      </c>
      <c r="I213" s="236">
        <v>1</v>
      </c>
      <c r="J213" s="236">
        <v>1</v>
      </c>
      <c r="K213" s="355" t="s">
        <v>1373</v>
      </c>
      <c r="L213" s="356">
        <v>42993</v>
      </c>
      <c r="M213" s="357" t="s">
        <v>204</v>
      </c>
      <c r="N213" s="416">
        <v>285600000</v>
      </c>
      <c r="O213" s="416">
        <v>285600000</v>
      </c>
      <c r="P213" s="358"/>
      <c r="Q213" s="320"/>
      <c r="R213" s="168"/>
      <c r="S213" s="168"/>
      <c r="T213" s="287"/>
      <c r="U213" s="264"/>
      <c r="V213" s="198"/>
    </row>
    <row r="214" spans="1:22" s="90" customFormat="1" ht="19.5" hidden="1" customHeight="1">
      <c r="A214" s="137"/>
      <c r="B214" s="197">
        <f t="shared" si="4"/>
        <v>204</v>
      </c>
      <c r="C214" s="30" t="s">
        <v>206</v>
      </c>
      <c r="D214" s="30" t="s">
        <v>225</v>
      </c>
      <c r="E214" s="234" t="s">
        <v>745</v>
      </c>
      <c r="F214" s="235" t="s">
        <v>1225</v>
      </c>
      <c r="G214" s="284">
        <f>IFERROR(VLOOKUP(E214,Assign!$C$2:$J$142,8,FALSE),)</f>
        <v>0</v>
      </c>
      <c r="H214" s="236" t="s">
        <v>4753</v>
      </c>
      <c r="I214" s="236">
        <v>1</v>
      </c>
      <c r="J214" s="236">
        <v>1</v>
      </c>
      <c r="K214" s="355" t="s">
        <v>1373</v>
      </c>
      <c r="L214" s="356">
        <v>43460</v>
      </c>
      <c r="M214" s="357" t="s">
        <v>204</v>
      </c>
      <c r="N214" s="416">
        <v>243600000</v>
      </c>
      <c r="O214" s="416">
        <v>243600000</v>
      </c>
      <c r="P214" s="358"/>
      <c r="Q214" s="320"/>
      <c r="R214" s="168"/>
      <c r="S214" s="168"/>
      <c r="T214" s="287"/>
      <c r="U214" s="264"/>
      <c r="V214" s="198"/>
    </row>
    <row r="215" spans="1:22" s="90" customFormat="1" ht="19.5" hidden="1" customHeight="1">
      <c r="A215" s="137"/>
      <c r="B215" s="197">
        <f t="shared" si="4"/>
        <v>205</v>
      </c>
      <c r="C215" s="30" t="s">
        <v>206</v>
      </c>
      <c r="D215" s="30" t="s">
        <v>225</v>
      </c>
      <c r="E215" s="234" t="s">
        <v>746</v>
      </c>
      <c r="F215" s="235" t="s">
        <v>1247</v>
      </c>
      <c r="G215" s="284">
        <f>IFERROR(VLOOKUP(E215,Assign!$C$2:$J$142,8,FALSE),)</f>
        <v>0</v>
      </c>
      <c r="H215" s="236" t="s">
        <v>5078</v>
      </c>
      <c r="I215" s="236">
        <v>1</v>
      </c>
      <c r="J215" s="236">
        <v>1</v>
      </c>
      <c r="K215" s="355" t="s">
        <v>1373</v>
      </c>
      <c r="L215" s="356">
        <v>42825</v>
      </c>
      <c r="M215" s="357" t="s">
        <v>204</v>
      </c>
      <c r="N215" s="416">
        <v>144000000</v>
      </c>
      <c r="O215" s="416">
        <v>144000000</v>
      </c>
      <c r="P215" s="358"/>
      <c r="Q215" s="320"/>
      <c r="R215" s="168"/>
      <c r="S215" s="168"/>
      <c r="T215" s="287"/>
      <c r="U215" s="264"/>
      <c r="V215" s="198"/>
    </row>
    <row r="216" spans="1:22" s="90" customFormat="1" ht="19.5" hidden="1" customHeight="1">
      <c r="A216" s="137"/>
      <c r="B216" s="197">
        <f t="shared" si="4"/>
        <v>206</v>
      </c>
      <c r="C216" s="30" t="s">
        <v>206</v>
      </c>
      <c r="D216" s="30" t="s">
        <v>225</v>
      </c>
      <c r="E216" s="234" t="s">
        <v>746</v>
      </c>
      <c r="F216" s="235" t="s">
        <v>1247</v>
      </c>
      <c r="G216" s="284">
        <f>IFERROR(VLOOKUP(E216,Assign!$C$2:$J$142,8,FALSE),)</f>
        <v>0</v>
      </c>
      <c r="H216" s="236" t="s">
        <v>5080</v>
      </c>
      <c r="I216" s="236">
        <v>2</v>
      </c>
      <c r="J216" s="236">
        <v>1</v>
      </c>
      <c r="K216" s="355" t="s">
        <v>1373</v>
      </c>
      <c r="L216" s="356">
        <v>44186</v>
      </c>
      <c r="M216" s="357" t="s">
        <v>204</v>
      </c>
      <c r="N216" s="416">
        <v>120000000</v>
      </c>
      <c r="O216" s="416">
        <v>120000000</v>
      </c>
      <c r="P216" s="358"/>
      <c r="Q216" s="320"/>
      <c r="R216" s="168"/>
      <c r="S216" s="168"/>
      <c r="T216" s="287"/>
      <c r="U216" s="264"/>
      <c r="V216" s="198"/>
    </row>
    <row r="217" spans="1:22" s="90" customFormat="1" ht="19.5" hidden="1" customHeight="1">
      <c r="A217" s="137"/>
      <c r="B217" s="197">
        <f t="shared" si="4"/>
        <v>207</v>
      </c>
      <c r="C217" s="30" t="s">
        <v>206</v>
      </c>
      <c r="D217" s="30" t="s">
        <v>225</v>
      </c>
      <c r="E217" s="234" t="s">
        <v>746</v>
      </c>
      <c r="F217" s="235" t="s">
        <v>1247</v>
      </c>
      <c r="G217" s="284">
        <f>IFERROR(VLOOKUP(E217,Assign!$C$2:$J$142,8,FALSE),)</f>
        <v>0</v>
      </c>
      <c r="H217" s="236" t="s">
        <v>5082</v>
      </c>
      <c r="I217" s="236">
        <v>3</v>
      </c>
      <c r="J217" s="236">
        <v>1</v>
      </c>
      <c r="K217" s="355" t="s">
        <v>1373</v>
      </c>
      <c r="L217" s="356">
        <v>44186</v>
      </c>
      <c r="M217" s="357" t="s">
        <v>204</v>
      </c>
      <c r="N217" s="416">
        <v>120000000</v>
      </c>
      <c r="O217" s="416">
        <v>120000000</v>
      </c>
      <c r="P217" s="358"/>
      <c r="Q217" s="320"/>
      <c r="R217" s="168"/>
      <c r="S217" s="168"/>
      <c r="T217" s="287"/>
      <c r="U217" s="264"/>
      <c r="V217" s="198"/>
    </row>
    <row r="218" spans="1:22" s="90" customFormat="1" ht="19.5" hidden="1" customHeight="1">
      <c r="A218" s="137"/>
      <c r="B218" s="197">
        <f t="shared" si="4"/>
        <v>208</v>
      </c>
      <c r="C218" s="30" t="s">
        <v>206</v>
      </c>
      <c r="D218" s="30" t="s">
        <v>225</v>
      </c>
      <c r="E218" s="234" t="s">
        <v>747</v>
      </c>
      <c r="F218" s="235" t="s">
        <v>1217</v>
      </c>
      <c r="G218" s="284">
        <f>IFERROR(VLOOKUP(E218,Assign!$C$2:$J$142,8,FALSE),)</f>
        <v>0</v>
      </c>
      <c r="H218" s="236" t="s">
        <v>4569</v>
      </c>
      <c r="I218" s="236">
        <v>1</v>
      </c>
      <c r="J218" s="236">
        <v>1</v>
      </c>
      <c r="K218" s="355" t="s">
        <v>1373</v>
      </c>
      <c r="L218" s="356">
        <v>42580</v>
      </c>
      <c r="M218" s="357" t="s">
        <v>204</v>
      </c>
      <c r="N218" s="416">
        <v>231000000</v>
      </c>
      <c r="O218" s="416">
        <v>231000000</v>
      </c>
      <c r="P218" s="358"/>
      <c r="Q218" s="320"/>
      <c r="R218" s="168"/>
      <c r="S218" s="168"/>
      <c r="T218" s="287"/>
      <c r="U218" s="264"/>
      <c r="V218" s="198"/>
    </row>
    <row r="219" spans="1:22" s="90" customFormat="1" ht="19.5" hidden="1" customHeight="1">
      <c r="A219" s="137"/>
      <c r="B219" s="197">
        <f t="shared" si="4"/>
        <v>209</v>
      </c>
      <c r="C219" s="30" t="s">
        <v>206</v>
      </c>
      <c r="D219" s="30" t="s">
        <v>225</v>
      </c>
      <c r="E219" s="234" t="s">
        <v>748</v>
      </c>
      <c r="F219" s="235" t="s">
        <v>1226</v>
      </c>
      <c r="G219" s="284">
        <f>IFERROR(VLOOKUP(E219,Assign!$C$2:$J$142,8,FALSE),)</f>
        <v>0</v>
      </c>
      <c r="H219" s="236" t="s">
        <v>4240</v>
      </c>
      <c r="I219" s="236">
        <v>1</v>
      </c>
      <c r="J219" s="236">
        <v>1</v>
      </c>
      <c r="K219" s="355" t="s">
        <v>1373</v>
      </c>
      <c r="L219" s="356">
        <v>44084</v>
      </c>
      <c r="M219" s="357" t="s">
        <v>204</v>
      </c>
      <c r="N219" s="416">
        <v>222500000</v>
      </c>
      <c r="O219" s="416">
        <v>222500000</v>
      </c>
      <c r="P219" s="358"/>
      <c r="Q219" s="320"/>
      <c r="R219" s="168"/>
      <c r="S219" s="168"/>
      <c r="T219" s="287"/>
      <c r="U219" s="264"/>
      <c r="V219" s="198"/>
    </row>
    <row r="220" spans="1:22" s="90" customFormat="1" ht="19.5" hidden="1" customHeight="1">
      <c r="A220" s="137"/>
      <c r="B220" s="197">
        <f t="shared" si="4"/>
        <v>210</v>
      </c>
      <c r="C220" s="30" t="s">
        <v>206</v>
      </c>
      <c r="D220" s="30" t="s">
        <v>225</v>
      </c>
      <c r="E220" s="234" t="s">
        <v>749</v>
      </c>
      <c r="F220" s="235" t="s">
        <v>1225</v>
      </c>
      <c r="G220" s="284">
        <f>IFERROR(VLOOKUP(E220,Assign!$C$2:$J$142,8,FALSE),)</f>
        <v>0</v>
      </c>
      <c r="H220" s="236" t="s">
        <v>4430</v>
      </c>
      <c r="I220" s="236">
        <v>1</v>
      </c>
      <c r="J220" s="236">
        <v>1</v>
      </c>
      <c r="K220" s="355" t="s">
        <v>487</v>
      </c>
      <c r="L220" s="356">
        <v>44050</v>
      </c>
      <c r="M220" s="357" t="s">
        <v>204</v>
      </c>
      <c r="N220" s="416">
        <v>654500000</v>
      </c>
      <c r="O220" s="416">
        <v>654500000</v>
      </c>
      <c r="P220" s="358"/>
      <c r="Q220" s="320"/>
      <c r="R220" s="168"/>
      <c r="S220" s="168"/>
      <c r="T220" s="287"/>
      <c r="U220" s="264"/>
      <c r="V220" s="198"/>
    </row>
    <row r="221" spans="1:22" s="90" customFormat="1" ht="19.5" hidden="1" customHeight="1">
      <c r="A221" s="137"/>
      <c r="B221" s="197">
        <f t="shared" si="4"/>
        <v>211</v>
      </c>
      <c r="C221" s="30" t="s">
        <v>206</v>
      </c>
      <c r="D221" s="30" t="s">
        <v>225</v>
      </c>
      <c r="E221" s="234" t="s">
        <v>749</v>
      </c>
      <c r="F221" s="235" t="s">
        <v>1225</v>
      </c>
      <c r="G221" s="284">
        <f>IFERROR(VLOOKUP(E221,Assign!$C$2:$J$142,8,FALSE),)</f>
        <v>0</v>
      </c>
      <c r="H221" s="236" t="s">
        <v>4430</v>
      </c>
      <c r="I221" s="236">
        <v>1</v>
      </c>
      <c r="J221" s="236">
        <v>2</v>
      </c>
      <c r="K221" s="355" t="s">
        <v>1373</v>
      </c>
      <c r="L221" s="356">
        <v>44265</v>
      </c>
      <c r="M221" s="357" t="s">
        <v>204</v>
      </c>
      <c r="N221" s="416">
        <v>120000000</v>
      </c>
      <c r="O221" s="416">
        <v>120000000</v>
      </c>
      <c r="P221" s="358"/>
      <c r="Q221" s="320"/>
      <c r="R221" s="168"/>
      <c r="S221" s="168"/>
      <c r="T221" s="287"/>
      <c r="U221" s="264"/>
      <c r="V221" s="198"/>
    </row>
    <row r="222" spans="1:22" s="90" customFormat="1" ht="19.5" hidden="1" customHeight="1">
      <c r="A222" s="137"/>
      <c r="B222" s="197">
        <f t="shared" si="4"/>
        <v>212</v>
      </c>
      <c r="C222" s="30" t="s">
        <v>206</v>
      </c>
      <c r="D222" s="30" t="s">
        <v>225</v>
      </c>
      <c r="E222" s="234" t="s">
        <v>749</v>
      </c>
      <c r="F222" s="235" t="s">
        <v>1225</v>
      </c>
      <c r="G222" s="284">
        <f>IFERROR(VLOOKUP(E222,Assign!$C$2:$J$142,8,FALSE),)</f>
        <v>0</v>
      </c>
      <c r="H222" s="236" t="s">
        <v>4430</v>
      </c>
      <c r="I222" s="236">
        <v>1</v>
      </c>
      <c r="J222" s="236">
        <v>3</v>
      </c>
      <c r="K222" s="355" t="s">
        <v>1373</v>
      </c>
      <c r="L222" s="356">
        <v>44398</v>
      </c>
      <c r="M222" s="357" t="s">
        <v>204</v>
      </c>
      <c r="N222" s="416">
        <v>120000000</v>
      </c>
      <c r="O222" s="416">
        <v>120000000</v>
      </c>
      <c r="P222" s="358"/>
      <c r="Q222" s="320"/>
      <c r="R222" s="168"/>
      <c r="S222" s="168"/>
      <c r="T222" s="287"/>
      <c r="U222" s="264"/>
      <c r="V222" s="198"/>
    </row>
    <row r="223" spans="1:22" s="90" customFormat="1" ht="19.5" customHeight="1">
      <c r="A223" s="137"/>
      <c r="B223" s="197">
        <f t="shared" si="4"/>
        <v>213</v>
      </c>
      <c r="C223" s="30" t="s">
        <v>206</v>
      </c>
      <c r="D223" s="30" t="s">
        <v>225</v>
      </c>
      <c r="E223" s="234" t="s">
        <v>750</v>
      </c>
      <c r="F223" s="235" t="s">
        <v>7155</v>
      </c>
      <c r="G223" s="284" t="str">
        <f>IFERROR(VLOOKUP(E223,Assign!$C$2:$J$142,8,FALSE),)</f>
        <v>문선영</v>
      </c>
      <c r="H223" s="236" t="s">
        <v>5451</v>
      </c>
      <c r="I223" s="236">
        <v>1</v>
      </c>
      <c r="J223" s="236">
        <v>1</v>
      </c>
      <c r="K223" s="355" t="s">
        <v>1373</v>
      </c>
      <c r="L223" s="356">
        <v>45196</v>
      </c>
      <c r="M223" s="357" t="s">
        <v>204</v>
      </c>
      <c r="N223" s="416">
        <v>217800000</v>
      </c>
      <c r="O223" s="416">
        <v>217800000</v>
      </c>
      <c r="P223" s="358"/>
      <c r="Q223" s="320"/>
      <c r="R223" s="168"/>
      <c r="S223" s="168"/>
      <c r="T223" s="287"/>
      <c r="U223" s="264"/>
      <c r="V223" s="198"/>
    </row>
    <row r="224" spans="1:22" s="90" customFormat="1" ht="19.5" hidden="1" customHeight="1">
      <c r="A224" s="137"/>
      <c r="B224" s="197">
        <f t="shared" si="4"/>
        <v>214</v>
      </c>
      <c r="C224" s="30" t="s">
        <v>206</v>
      </c>
      <c r="D224" s="30" t="s">
        <v>225</v>
      </c>
      <c r="E224" s="234" t="s">
        <v>751</v>
      </c>
      <c r="F224" s="235" t="s">
        <v>1231</v>
      </c>
      <c r="G224" s="284">
        <f>IFERROR(VLOOKUP(E224,Assign!$C$2:$J$142,8,FALSE),)</f>
        <v>0</v>
      </c>
      <c r="H224" s="236" t="s">
        <v>4304</v>
      </c>
      <c r="I224" s="236">
        <v>1</v>
      </c>
      <c r="J224" s="236">
        <v>1</v>
      </c>
      <c r="K224" s="355" t="s">
        <v>1373</v>
      </c>
      <c r="L224" s="356">
        <v>43478</v>
      </c>
      <c r="M224" s="357" t="s">
        <v>204</v>
      </c>
      <c r="N224" s="416">
        <v>273600000</v>
      </c>
      <c r="O224" s="416">
        <v>273600000</v>
      </c>
      <c r="P224" s="358"/>
      <c r="Q224" s="320"/>
      <c r="R224" s="168"/>
      <c r="S224" s="168"/>
      <c r="T224" s="287"/>
      <c r="U224" s="264"/>
      <c r="V224" s="198"/>
    </row>
    <row r="225" spans="1:22" s="90" customFormat="1" ht="19.5" hidden="1" customHeight="1">
      <c r="A225" s="137"/>
      <c r="B225" s="197">
        <f t="shared" si="4"/>
        <v>215</v>
      </c>
      <c r="C225" s="30" t="s">
        <v>206</v>
      </c>
      <c r="D225" s="30" t="s">
        <v>225</v>
      </c>
      <c r="E225" s="234" t="s">
        <v>752</v>
      </c>
      <c r="F225" s="235" t="s">
        <v>1217</v>
      </c>
      <c r="G225" s="284">
        <f>IFERROR(VLOOKUP(E225,Assign!$C$2:$J$142,8,FALSE),)</f>
        <v>0</v>
      </c>
      <c r="H225" s="236" t="s">
        <v>3969</v>
      </c>
      <c r="I225" s="236">
        <v>1</v>
      </c>
      <c r="J225" s="236">
        <v>1</v>
      </c>
      <c r="K225" s="355" t="s">
        <v>1373</v>
      </c>
      <c r="L225" s="356">
        <v>36164</v>
      </c>
      <c r="M225" s="357" t="s">
        <v>204</v>
      </c>
      <c r="N225" s="416">
        <v>325000000</v>
      </c>
      <c r="O225" s="416">
        <v>325000000</v>
      </c>
      <c r="P225" s="358"/>
      <c r="Q225" s="320"/>
      <c r="R225" s="168"/>
      <c r="S225" s="168"/>
      <c r="T225" s="287"/>
      <c r="U225" s="264"/>
      <c r="V225" s="198"/>
    </row>
    <row r="226" spans="1:22" s="90" customFormat="1" ht="19.5" customHeight="1">
      <c r="A226" s="137"/>
      <c r="B226" s="197">
        <f t="shared" si="4"/>
        <v>216</v>
      </c>
      <c r="C226" s="30" t="s">
        <v>206</v>
      </c>
      <c r="D226" s="30" t="s">
        <v>225</v>
      </c>
      <c r="E226" s="234" t="s">
        <v>753</v>
      </c>
      <c r="F226" s="235" t="s">
        <v>1221</v>
      </c>
      <c r="G226" s="284" t="str">
        <f>IFERROR(VLOOKUP(E226,Assign!$C$2:$J$142,8,FALSE),)</f>
        <v>문선영</v>
      </c>
      <c r="H226" s="236" t="s">
        <v>3984</v>
      </c>
      <c r="I226" s="236">
        <v>1</v>
      </c>
      <c r="J226" s="236">
        <v>1</v>
      </c>
      <c r="K226" s="355" t="s">
        <v>1373</v>
      </c>
      <c r="L226" s="356">
        <v>43977</v>
      </c>
      <c r="M226" s="357" t="s">
        <v>204</v>
      </c>
      <c r="N226" s="416">
        <v>260400000</v>
      </c>
      <c r="O226" s="416">
        <v>260400000</v>
      </c>
      <c r="P226" s="358"/>
      <c r="Q226" s="320"/>
      <c r="R226" s="168"/>
      <c r="S226" s="168"/>
      <c r="T226" s="287"/>
      <c r="U226" s="264"/>
      <c r="V226" s="198"/>
    </row>
    <row r="227" spans="1:22" s="90" customFormat="1" ht="19.5" hidden="1" customHeight="1">
      <c r="A227" s="137"/>
      <c r="B227" s="197">
        <f t="shared" si="4"/>
        <v>217</v>
      </c>
      <c r="C227" s="30" t="s">
        <v>206</v>
      </c>
      <c r="D227" s="30" t="s">
        <v>225</v>
      </c>
      <c r="E227" s="234" t="s">
        <v>754</v>
      </c>
      <c r="F227" s="235" t="s">
        <v>1229</v>
      </c>
      <c r="G227" s="284">
        <f>IFERROR(VLOOKUP(E227,Assign!$C$2:$J$142,8,FALSE),)</f>
        <v>0</v>
      </c>
      <c r="H227" s="236" t="s">
        <v>5188</v>
      </c>
      <c r="I227" s="236">
        <v>1</v>
      </c>
      <c r="J227" s="236">
        <v>1</v>
      </c>
      <c r="K227" s="355" t="s">
        <v>1373</v>
      </c>
      <c r="L227" s="356">
        <v>44125</v>
      </c>
      <c r="M227" s="357" t="s">
        <v>204</v>
      </c>
      <c r="N227" s="416">
        <v>235200000</v>
      </c>
      <c r="O227" s="416">
        <v>235200000</v>
      </c>
      <c r="P227" s="358"/>
      <c r="Q227" s="320"/>
      <c r="R227" s="168"/>
      <c r="S227" s="168"/>
      <c r="T227" s="287"/>
      <c r="U227" s="264"/>
      <c r="V227" s="198"/>
    </row>
    <row r="228" spans="1:22" s="90" customFormat="1" ht="19.5" customHeight="1">
      <c r="A228" s="137"/>
      <c r="B228" s="197">
        <f t="shared" si="4"/>
        <v>218</v>
      </c>
      <c r="C228" s="30" t="s">
        <v>206</v>
      </c>
      <c r="D228" s="30" t="s">
        <v>225</v>
      </c>
      <c r="E228" s="234" t="s">
        <v>755</v>
      </c>
      <c r="F228" s="235" t="s">
        <v>1226</v>
      </c>
      <c r="G228" s="284" t="str">
        <f>IFERROR(VLOOKUP(E228,Assign!$C$2:$J$142,8,FALSE),)</f>
        <v>문선영</v>
      </c>
      <c r="H228" s="236" t="s">
        <v>4149</v>
      </c>
      <c r="I228" s="236">
        <v>1</v>
      </c>
      <c r="J228" s="236">
        <v>1</v>
      </c>
      <c r="K228" s="355" t="s">
        <v>1373</v>
      </c>
      <c r="L228" s="356">
        <v>43551</v>
      </c>
      <c r="M228" s="357" t="s">
        <v>204</v>
      </c>
      <c r="N228" s="416">
        <v>223500000</v>
      </c>
      <c r="O228" s="416">
        <v>223500000</v>
      </c>
      <c r="P228" s="358"/>
      <c r="Q228" s="320"/>
      <c r="R228" s="168"/>
      <c r="S228" s="168"/>
      <c r="T228" s="287"/>
      <c r="U228" s="264"/>
      <c r="V228" s="198"/>
    </row>
    <row r="229" spans="1:22" s="90" customFormat="1" ht="19.5" customHeight="1">
      <c r="A229" s="137"/>
      <c r="B229" s="197">
        <f t="shared" si="4"/>
        <v>219</v>
      </c>
      <c r="C229" s="30" t="s">
        <v>206</v>
      </c>
      <c r="D229" s="30" t="s">
        <v>225</v>
      </c>
      <c r="E229" s="234" t="s">
        <v>756</v>
      </c>
      <c r="F229" s="235" t="s">
        <v>1229</v>
      </c>
      <c r="G229" s="284" t="str">
        <f>IFERROR(VLOOKUP(E229,Assign!$C$2:$J$142,8,FALSE),)</f>
        <v>문선영</v>
      </c>
      <c r="H229" s="236" t="s">
        <v>5126</v>
      </c>
      <c r="I229" s="236">
        <v>1</v>
      </c>
      <c r="J229" s="236">
        <v>1</v>
      </c>
      <c r="K229" s="355" t="s">
        <v>1373</v>
      </c>
      <c r="L229" s="356">
        <v>43203</v>
      </c>
      <c r="M229" s="357" t="s">
        <v>204</v>
      </c>
      <c r="N229" s="416">
        <v>252000000</v>
      </c>
      <c r="O229" s="416">
        <v>252000000</v>
      </c>
      <c r="P229" s="358"/>
      <c r="Q229" s="320"/>
      <c r="R229" s="168"/>
      <c r="S229" s="168"/>
      <c r="T229" s="287"/>
      <c r="U229" s="264"/>
      <c r="V229" s="198"/>
    </row>
    <row r="230" spans="1:22" s="90" customFormat="1" ht="19.5" hidden="1" customHeight="1">
      <c r="A230" s="137"/>
      <c r="B230" s="197">
        <f t="shared" si="4"/>
        <v>220</v>
      </c>
      <c r="C230" s="30" t="s">
        <v>206</v>
      </c>
      <c r="D230" s="30" t="s">
        <v>225</v>
      </c>
      <c r="E230" s="234" t="s">
        <v>757</v>
      </c>
      <c r="F230" s="235" t="s">
        <v>1317</v>
      </c>
      <c r="G230" s="284">
        <f>IFERROR(VLOOKUP(E230,Assign!$C$2:$J$142,8,FALSE),)</f>
        <v>0</v>
      </c>
      <c r="H230" s="236" t="s">
        <v>5546</v>
      </c>
      <c r="I230" s="236">
        <v>1</v>
      </c>
      <c r="J230" s="236">
        <v>1</v>
      </c>
      <c r="K230" s="355" t="s">
        <v>486</v>
      </c>
      <c r="L230" s="356">
        <v>42579</v>
      </c>
      <c r="M230" s="357" t="s">
        <v>204</v>
      </c>
      <c r="N230" s="416">
        <v>420000000</v>
      </c>
      <c r="O230" s="416">
        <v>420000000</v>
      </c>
      <c r="P230" s="358"/>
      <c r="Q230" s="320"/>
      <c r="R230" s="168"/>
      <c r="S230" s="168"/>
      <c r="T230" s="287"/>
      <c r="U230" s="264"/>
      <c r="V230" s="198"/>
    </row>
    <row r="231" spans="1:22" s="90" customFormat="1" ht="19.5" hidden="1" customHeight="1">
      <c r="A231" s="137"/>
      <c r="B231" s="197">
        <f t="shared" si="4"/>
        <v>221</v>
      </c>
      <c r="C231" s="30" t="s">
        <v>206</v>
      </c>
      <c r="D231" s="30" t="s">
        <v>225</v>
      </c>
      <c r="E231" s="234" t="s">
        <v>757</v>
      </c>
      <c r="F231" s="235" t="s">
        <v>1317</v>
      </c>
      <c r="G231" s="284">
        <f>IFERROR(VLOOKUP(E231,Assign!$C$2:$J$142,8,FALSE),)</f>
        <v>0</v>
      </c>
      <c r="H231" s="236" t="s">
        <v>5546</v>
      </c>
      <c r="I231" s="236">
        <v>1</v>
      </c>
      <c r="J231" s="236">
        <v>2</v>
      </c>
      <c r="K231" s="355" t="s">
        <v>1373</v>
      </c>
      <c r="L231" s="356">
        <v>43215</v>
      </c>
      <c r="M231" s="357" t="s">
        <v>204</v>
      </c>
      <c r="N231" s="416">
        <v>120000000</v>
      </c>
      <c r="O231" s="416">
        <v>120000000</v>
      </c>
      <c r="P231" s="358"/>
      <c r="Q231" s="320"/>
      <c r="R231" s="168"/>
      <c r="S231" s="168"/>
      <c r="T231" s="287"/>
      <c r="U231" s="264"/>
      <c r="V231" s="198"/>
    </row>
    <row r="232" spans="1:22" s="90" customFormat="1" ht="19.5" hidden="1" customHeight="1">
      <c r="A232" s="137"/>
      <c r="B232" s="197">
        <f t="shared" si="4"/>
        <v>222</v>
      </c>
      <c r="C232" s="30" t="s">
        <v>206</v>
      </c>
      <c r="D232" s="30" t="s">
        <v>225</v>
      </c>
      <c r="E232" s="234" t="s">
        <v>757</v>
      </c>
      <c r="F232" s="235" t="s">
        <v>1317</v>
      </c>
      <c r="G232" s="284">
        <f>IFERROR(VLOOKUP(E232,Assign!$C$2:$J$142,8,FALSE),)</f>
        <v>0</v>
      </c>
      <c r="H232" s="236" t="s">
        <v>5546</v>
      </c>
      <c r="I232" s="236">
        <v>1</v>
      </c>
      <c r="J232" s="236">
        <v>3</v>
      </c>
      <c r="K232" s="355" t="s">
        <v>1373</v>
      </c>
      <c r="L232" s="356">
        <v>44466</v>
      </c>
      <c r="M232" s="357" t="s">
        <v>204</v>
      </c>
      <c r="N232" s="416">
        <v>96000000</v>
      </c>
      <c r="O232" s="416">
        <v>96000000</v>
      </c>
      <c r="P232" s="358"/>
      <c r="Q232" s="320"/>
      <c r="R232" s="168"/>
      <c r="S232" s="168"/>
      <c r="T232" s="287"/>
      <c r="U232" s="264"/>
      <c r="V232" s="198"/>
    </row>
    <row r="233" spans="1:22" s="90" customFormat="1" ht="19.5" customHeight="1">
      <c r="A233" s="137"/>
      <c r="B233" s="197">
        <f t="shared" si="4"/>
        <v>223</v>
      </c>
      <c r="C233" s="30" t="s">
        <v>206</v>
      </c>
      <c r="D233" s="30" t="s">
        <v>225</v>
      </c>
      <c r="E233" s="234" t="s">
        <v>758</v>
      </c>
      <c r="F233" s="235" t="s">
        <v>1234</v>
      </c>
      <c r="G233" s="284" t="str">
        <f>IFERROR(VLOOKUP(E233,Assign!$C$2:$J$142,8,FALSE),)</f>
        <v>문선영</v>
      </c>
      <c r="H233" s="236" t="s">
        <v>4511</v>
      </c>
      <c r="I233" s="236">
        <v>1</v>
      </c>
      <c r="J233" s="236">
        <v>1</v>
      </c>
      <c r="K233" s="355" t="s">
        <v>1373</v>
      </c>
      <c r="L233" s="356">
        <v>42975</v>
      </c>
      <c r="M233" s="357" t="s">
        <v>204</v>
      </c>
      <c r="N233" s="416">
        <v>252000000</v>
      </c>
      <c r="O233" s="416">
        <v>252000000</v>
      </c>
      <c r="P233" s="358"/>
      <c r="Q233" s="320"/>
      <c r="R233" s="168"/>
      <c r="S233" s="168"/>
      <c r="T233" s="287"/>
      <c r="U233" s="264"/>
      <c r="V233" s="198"/>
    </row>
    <row r="234" spans="1:22" s="90" customFormat="1" ht="19.5" hidden="1" customHeight="1">
      <c r="A234" s="137"/>
      <c r="B234" s="197">
        <f t="shared" si="4"/>
        <v>224</v>
      </c>
      <c r="C234" s="30" t="s">
        <v>206</v>
      </c>
      <c r="D234" s="30" t="s">
        <v>225</v>
      </c>
      <c r="E234" s="234" t="s">
        <v>759</v>
      </c>
      <c r="F234" s="235" t="s">
        <v>1229</v>
      </c>
      <c r="G234" s="284">
        <f>IFERROR(VLOOKUP(E234,Assign!$C$2:$J$142,8,FALSE),)</f>
        <v>0</v>
      </c>
      <c r="H234" s="236" t="s">
        <v>4234</v>
      </c>
      <c r="I234" s="236">
        <v>1</v>
      </c>
      <c r="J234" s="236">
        <v>1</v>
      </c>
      <c r="K234" s="355" t="s">
        <v>1373</v>
      </c>
      <c r="L234" s="356">
        <v>43910</v>
      </c>
      <c r="M234" s="357" t="s">
        <v>204</v>
      </c>
      <c r="N234" s="416">
        <v>111600000</v>
      </c>
      <c r="O234" s="416">
        <v>111600000</v>
      </c>
      <c r="P234" s="358"/>
      <c r="Q234" s="320"/>
      <c r="R234" s="168"/>
      <c r="S234" s="168"/>
      <c r="T234" s="287"/>
      <c r="U234" s="264"/>
      <c r="V234" s="198"/>
    </row>
    <row r="235" spans="1:22" s="90" customFormat="1" ht="19.5" hidden="1" customHeight="1">
      <c r="A235" s="137"/>
      <c r="B235" s="197">
        <f t="shared" si="4"/>
        <v>225</v>
      </c>
      <c r="C235" s="30" t="s">
        <v>206</v>
      </c>
      <c r="D235" s="30" t="s">
        <v>225</v>
      </c>
      <c r="E235" s="234" t="s">
        <v>759</v>
      </c>
      <c r="F235" s="235" t="s">
        <v>1229</v>
      </c>
      <c r="G235" s="284">
        <f>IFERROR(VLOOKUP(E235,Assign!$C$2:$J$142,8,FALSE),)</f>
        <v>0</v>
      </c>
      <c r="H235" s="236" t="s">
        <v>4236</v>
      </c>
      <c r="I235" s="236">
        <v>2</v>
      </c>
      <c r="J235" s="236">
        <v>1</v>
      </c>
      <c r="K235" s="355" t="s">
        <v>1373</v>
      </c>
      <c r="L235" s="356">
        <v>43902</v>
      </c>
      <c r="M235" s="357" t="s">
        <v>204</v>
      </c>
      <c r="N235" s="416">
        <v>106800000</v>
      </c>
      <c r="O235" s="416">
        <v>106800000</v>
      </c>
      <c r="P235" s="358"/>
      <c r="Q235" s="320"/>
      <c r="R235" s="168"/>
      <c r="S235" s="168"/>
      <c r="T235" s="287"/>
      <c r="U235" s="264"/>
      <c r="V235" s="198"/>
    </row>
    <row r="236" spans="1:22" s="90" customFormat="1" ht="19.5" customHeight="1">
      <c r="A236" s="137"/>
      <c r="B236" s="197">
        <f t="shared" si="4"/>
        <v>226</v>
      </c>
      <c r="C236" s="30" t="s">
        <v>206</v>
      </c>
      <c r="D236" s="30" t="s">
        <v>225</v>
      </c>
      <c r="E236" s="234" t="s">
        <v>760</v>
      </c>
      <c r="F236" s="235" t="s">
        <v>1225</v>
      </c>
      <c r="G236" s="284" t="str">
        <f>IFERROR(VLOOKUP(E236,Assign!$C$2:$J$142,8,FALSE),)</f>
        <v>문선영</v>
      </c>
      <c r="H236" s="236" t="s">
        <v>4021</v>
      </c>
      <c r="I236" s="236">
        <v>1</v>
      </c>
      <c r="J236" s="236">
        <v>1</v>
      </c>
      <c r="K236" s="355" t="s">
        <v>1373</v>
      </c>
      <c r="L236" s="356">
        <v>43605</v>
      </c>
      <c r="M236" s="357" t="s">
        <v>204</v>
      </c>
      <c r="N236" s="416">
        <v>255600000</v>
      </c>
      <c r="O236" s="416">
        <v>255600000</v>
      </c>
      <c r="P236" s="358"/>
      <c r="Q236" s="320"/>
      <c r="R236" s="168"/>
      <c r="S236" s="168"/>
      <c r="T236" s="287"/>
      <c r="U236" s="264"/>
      <c r="V236" s="198"/>
    </row>
    <row r="237" spans="1:22" s="90" customFormat="1" ht="19.5" customHeight="1">
      <c r="A237" s="137"/>
      <c r="B237" s="197">
        <f t="shared" si="4"/>
        <v>227</v>
      </c>
      <c r="C237" s="30" t="s">
        <v>206</v>
      </c>
      <c r="D237" s="30" t="s">
        <v>225</v>
      </c>
      <c r="E237" s="234" t="s">
        <v>761</v>
      </c>
      <c r="F237" s="235" t="s">
        <v>1239</v>
      </c>
      <c r="G237" s="284" t="str">
        <f>IFERROR(VLOOKUP(E237,Assign!$C$2:$J$142,8,FALSE),)</f>
        <v>문선영</v>
      </c>
      <c r="H237" s="236" t="s">
        <v>4003</v>
      </c>
      <c r="I237" s="236">
        <v>1</v>
      </c>
      <c r="J237" s="236">
        <v>1</v>
      </c>
      <c r="K237" s="355" t="s">
        <v>1373</v>
      </c>
      <c r="L237" s="356">
        <v>36375</v>
      </c>
      <c r="M237" s="357" t="s">
        <v>204</v>
      </c>
      <c r="N237" s="416">
        <v>52000000</v>
      </c>
      <c r="O237" s="416">
        <v>52000000</v>
      </c>
      <c r="P237" s="358"/>
      <c r="Q237" s="320"/>
      <c r="R237" s="168"/>
      <c r="S237" s="168"/>
      <c r="T237" s="287"/>
      <c r="U237" s="264"/>
      <c r="V237" s="198"/>
    </row>
    <row r="238" spans="1:22" s="90" customFormat="1" ht="19.5" customHeight="1">
      <c r="A238" s="137"/>
      <c r="B238" s="197">
        <f t="shared" si="4"/>
        <v>228</v>
      </c>
      <c r="C238" s="30" t="s">
        <v>206</v>
      </c>
      <c r="D238" s="30" t="s">
        <v>225</v>
      </c>
      <c r="E238" s="234" t="s">
        <v>761</v>
      </c>
      <c r="F238" s="235" t="s">
        <v>1239</v>
      </c>
      <c r="G238" s="284" t="str">
        <f>IFERROR(VLOOKUP(E238,Assign!$C$2:$J$142,8,FALSE),)</f>
        <v>문선영</v>
      </c>
      <c r="H238" s="236" t="s">
        <v>4003</v>
      </c>
      <c r="I238" s="236">
        <v>1</v>
      </c>
      <c r="J238" s="236">
        <v>2</v>
      </c>
      <c r="K238" s="355" t="s">
        <v>1373</v>
      </c>
      <c r="L238" s="356">
        <v>37335</v>
      </c>
      <c r="M238" s="357" t="s">
        <v>204</v>
      </c>
      <c r="N238" s="416">
        <v>41600000</v>
      </c>
      <c r="O238" s="416">
        <v>41600000</v>
      </c>
      <c r="P238" s="358"/>
      <c r="Q238" s="320"/>
      <c r="R238" s="168"/>
      <c r="S238" s="168"/>
      <c r="T238" s="287"/>
      <c r="U238" s="264"/>
      <c r="V238" s="198"/>
    </row>
    <row r="239" spans="1:22" s="90" customFormat="1" ht="19.5" customHeight="1">
      <c r="A239" s="137"/>
      <c r="B239" s="197">
        <f t="shared" si="4"/>
        <v>229</v>
      </c>
      <c r="C239" s="30" t="s">
        <v>206</v>
      </c>
      <c r="D239" s="30" t="s">
        <v>225</v>
      </c>
      <c r="E239" s="234" t="s">
        <v>761</v>
      </c>
      <c r="F239" s="235" t="s">
        <v>1239</v>
      </c>
      <c r="G239" s="284" t="str">
        <f>IFERROR(VLOOKUP(E239,Assign!$C$2:$J$142,8,FALSE),)</f>
        <v>문선영</v>
      </c>
      <c r="H239" s="236" t="s">
        <v>4003</v>
      </c>
      <c r="I239" s="236">
        <v>1</v>
      </c>
      <c r="J239" s="236">
        <v>3</v>
      </c>
      <c r="K239" s="355" t="s">
        <v>1373</v>
      </c>
      <c r="L239" s="356">
        <v>40311</v>
      </c>
      <c r="M239" s="357" t="s">
        <v>204</v>
      </c>
      <c r="N239" s="416">
        <v>26000000</v>
      </c>
      <c r="O239" s="416">
        <v>26000000</v>
      </c>
      <c r="P239" s="358"/>
      <c r="Q239" s="320"/>
      <c r="R239" s="168"/>
      <c r="S239" s="168"/>
      <c r="T239" s="287"/>
      <c r="U239" s="264"/>
      <c r="V239" s="198"/>
    </row>
    <row r="240" spans="1:22" s="90" customFormat="1" ht="19.5" customHeight="1">
      <c r="A240" s="137"/>
      <c r="B240" s="197">
        <f t="shared" si="4"/>
        <v>230</v>
      </c>
      <c r="C240" s="30" t="s">
        <v>206</v>
      </c>
      <c r="D240" s="30" t="s">
        <v>225</v>
      </c>
      <c r="E240" s="234" t="s">
        <v>761</v>
      </c>
      <c r="F240" s="235" t="s">
        <v>1239</v>
      </c>
      <c r="G240" s="284" t="str">
        <f>IFERROR(VLOOKUP(E240,Assign!$C$2:$J$142,8,FALSE),)</f>
        <v>문선영</v>
      </c>
      <c r="H240" s="236" t="s">
        <v>4003</v>
      </c>
      <c r="I240" s="236">
        <v>1</v>
      </c>
      <c r="J240" s="236">
        <v>4</v>
      </c>
      <c r="K240" s="355" t="s">
        <v>1373</v>
      </c>
      <c r="L240" s="356">
        <v>41115</v>
      </c>
      <c r="M240" s="357" t="s">
        <v>204</v>
      </c>
      <c r="N240" s="416">
        <v>29200000</v>
      </c>
      <c r="O240" s="416">
        <v>29200000</v>
      </c>
      <c r="P240" s="358"/>
      <c r="Q240" s="320"/>
      <c r="R240" s="168"/>
      <c r="S240" s="168"/>
      <c r="T240" s="287"/>
      <c r="U240" s="264"/>
      <c r="V240" s="198"/>
    </row>
    <row r="241" spans="1:22" s="90" customFormat="1" ht="19.5" customHeight="1">
      <c r="A241" s="137"/>
      <c r="B241" s="197">
        <f t="shared" si="4"/>
        <v>231</v>
      </c>
      <c r="C241" s="30" t="s">
        <v>206</v>
      </c>
      <c r="D241" s="30" t="s">
        <v>225</v>
      </c>
      <c r="E241" s="234" t="s">
        <v>761</v>
      </c>
      <c r="F241" s="235" t="s">
        <v>1239</v>
      </c>
      <c r="G241" s="284" t="str">
        <f>IFERROR(VLOOKUP(E241,Assign!$C$2:$J$142,8,FALSE),)</f>
        <v>문선영</v>
      </c>
      <c r="H241" s="236" t="s">
        <v>4003</v>
      </c>
      <c r="I241" s="236">
        <v>1</v>
      </c>
      <c r="J241" s="236">
        <v>5</v>
      </c>
      <c r="K241" s="355" t="s">
        <v>1373</v>
      </c>
      <c r="L241" s="356">
        <v>43200</v>
      </c>
      <c r="M241" s="357" t="s">
        <v>204</v>
      </c>
      <c r="N241" s="416">
        <v>72000000</v>
      </c>
      <c r="O241" s="416">
        <v>72000000</v>
      </c>
      <c r="P241" s="358"/>
      <c r="Q241" s="320"/>
      <c r="R241" s="168"/>
      <c r="S241" s="168"/>
      <c r="T241" s="287"/>
      <c r="U241" s="264"/>
      <c r="V241" s="198"/>
    </row>
    <row r="242" spans="1:22" s="90" customFormat="1" ht="19.5" customHeight="1">
      <c r="A242" s="137"/>
      <c r="B242" s="197">
        <f t="shared" si="4"/>
        <v>232</v>
      </c>
      <c r="C242" s="30" t="s">
        <v>206</v>
      </c>
      <c r="D242" s="30" t="s">
        <v>225</v>
      </c>
      <c r="E242" s="234" t="s">
        <v>761</v>
      </c>
      <c r="F242" s="235" t="s">
        <v>1239</v>
      </c>
      <c r="G242" s="284" t="str">
        <f>IFERROR(VLOOKUP(E242,Assign!$C$2:$J$142,8,FALSE),)</f>
        <v>문선영</v>
      </c>
      <c r="H242" s="236" t="s">
        <v>4003</v>
      </c>
      <c r="I242" s="236">
        <v>1</v>
      </c>
      <c r="J242" s="236">
        <v>6</v>
      </c>
      <c r="K242" s="355" t="s">
        <v>1373</v>
      </c>
      <c r="L242" s="356">
        <v>43462</v>
      </c>
      <c r="M242" s="357" t="s">
        <v>204</v>
      </c>
      <c r="N242" s="416">
        <v>24000000</v>
      </c>
      <c r="O242" s="416">
        <v>24000000</v>
      </c>
      <c r="P242" s="358"/>
      <c r="Q242" s="320"/>
      <c r="R242" s="168"/>
      <c r="S242" s="168"/>
      <c r="T242" s="287"/>
      <c r="U242" s="264"/>
      <c r="V242" s="198"/>
    </row>
    <row r="243" spans="1:22" s="90" customFormat="1" ht="19.5" customHeight="1">
      <c r="A243" s="137"/>
      <c r="B243" s="197">
        <f t="shared" si="4"/>
        <v>233</v>
      </c>
      <c r="C243" s="30" t="s">
        <v>206</v>
      </c>
      <c r="D243" s="30" t="s">
        <v>225</v>
      </c>
      <c r="E243" s="234" t="s">
        <v>761</v>
      </c>
      <c r="F243" s="235" t="s">
        <v>1239</v>
      </c>
      <c r="G243" s="284" t="str">
        <f>IFERROR(VLOOKUP(E243,Assign!$C$2:$J$142,8,FALSE),)</f>
        <v>문선영</v>
      </c>
      <c r="H243" s="236" t="s">
        <v>4003</v>
      </c>
      <c r="I243" s="236">
        <v>1</v>
      </c>
      <c r="J243" s="236">
        <v>7</v>
      </c>
      <c r="K243" s="355" t="s">
        <v>1373</v>
      </c>
      <c r="L243" s="356">
        <v>44277</v>
      </c>
      <c r="M243" s="357" t="s">
        <v>204</v>
      </c>
      <c r="N243" s="416">
        <v>42000000</v>
      </c>
      <c r="O243" s="416">
        <v>42000000</v>
      </c>
      <c r="P243" s="358"/>
      <c r="Q243" s="320"/>
      <c r="R243" s="168" t="s">
        <v>204</v>
      </c>
      <c r="S243" s="168" t="s">
        <v>536</v>
      </c>
      <c r="T243" s="287">
        <v>45671</v>
      </c>
      <c r="U243" s="264">
        <v>21015718</v>
      </c>
      <c r="V243" s="198"/>
    </row>
    <row r="244" spans="1:22" s="90" customFormat="1" ht="19.5" customHeight="1">
      <c r="A244" s="137"/>
      <c r="B244" s="197">
        <f t="shared" si="4"/>
        <v>234</v>
      </c>
      <c r="C244" s="30" t="s">
        <v>206</v>
      </c>
      <c r="D244" s="30" t="s">
        <v>225</v>
      </c>
      <c r="E244" s="234" t="s">
        <v>761</v>
      </c>
      <c r="F244" s="235" t="s">
        <v>1239</v>
      </c>
      <c r="G244" s="284" t="str">
        <f>IFERROR(VLOOKUP(E244,Assign!$C$2:$J$142,8,FALSE),)</f>
        <v>문선영</v>
      </c>
      <c r="H244" s="236" t="s">
        <v>4003</v>
      </c>
      <c r="I244" s="236">
        <v>1</v>
      </c>
      <c r="J244" s="236">
        <v>8</v>
      </c>
      <c r="K244" s="355" t="s">
        <v>1373</v>
      </c>
      <c r="L244" s="356">
        <v>44616</v>
      </c>
      <c r="M244" s="357" t="s">
        <v>204</v>
      </c>
      <c r="N244" s="416">
        <v>49800000</v>
      </c>
      <c r="O244" s="416">
        <v>49800000</v>
      </c>
      <c r="P244" s="358"/>
      <c r="Q244" s="320"/>
      <c r="R244" s="168" t="s">
        <v>204</v>
      </c>
      <c r="S244" s="168" t="s">
        <v>536</v>
      </c>
      <c r="T244" s="287">
        <v>45671</v>
      </c>
      <c r="U244" s="264">
        <v>49800000</v>
      </c>
      <c r="V244" s="198"/>
    </row>
    <row r="245" spans="1:22" s="90" customFormat="1" ht="19.5" hidden="1" customHeight="1">
      <c r="A245" s="137"/>
      <c r="B245" s="197">
        <f t="shared" si="4"/>
        <v>235</v>
      </c>
      <c r="C245" s="30" t="s">
        <v>206</v>
      </c>
      <c r="D245" s="30" t="s">
        <v>225</v>
      </c>
      <c r="E245" s="234" t="s">
        <v>762</v>
      </c>
      <c r="F245" s="235" t="s">
        <v>1235</v>
      </c>
      <c r="G245" s="284">
        <f>IFERROR(VLOOKUP(E245,Assign!$C$2:$J$142,8,FALSE),)</f>
        <v>0</v>
      </c>
      <c r="H245" s="236" t="s">
        <v>4903</v>
      </c>
      <c r="I245" s="236">
        <v>1</v>
      </c>
      <c r="J245" s="236">
        <v>1</v>
      </c>
      <c r="K245" s="355" t="s">
        <v>1373</v>
      </c>
      <c r="L245" s="356">
        <v>45148</v>
      </c>
      <c r="M245" s="357" t="s">
        <v>204</v>
      </c>
      <c r="N245" s="416">
        <v>188100000</v>
      </c>
      <c r="O245" s="416">
        <v>188100000</v>
      </c>
      <c r="P245" s="358"/>
      <c r="Q245" s="320"/>
      <c r="R245" s="168"/>
      <c r="S245" s="168"/>
      <c r="T245" s="287"/>
      <c r="U245" s="264"/>
      <c r="V245" s="198"/>
    </row>
    <row r="246" spans="1:22" s="90" customFormat="1" ht="19.5" hidden="1" customHeight="1">
      <c r="A246" s="137"/>
      <c r="B246" s="197">
        <f t="shared" si="4"/>
        <v>236</v>
      </c>
      <c r="C246" s="30" t="s">
        <v>206</v>
      </c>
      <c r="D246" s="30" t="s">
        <v>225</v>
      </c>
      <c r="E246" s="234" t="s">
        <v>763</v>
      </c>
      <c r="F246" s="235" t="s">
        <v>1221</v>
      </c>
      <c r="G246" s="284">
        <f>IFERROR(VLOOKUP(E246,Assign!$C$2:$J$142,8,FALSE),)</f>
        <v>0</v>
      </c>
      <c r="H246" s="236" t="s">
        <v>4019</v>
      </c>
      <c r="I246" s="236">
        <v>1</v>
      </c>
      <c r="J246" s="236">
        <v>1</v>
      </c>
      <c r="K246" s="355" t="s">
        <v>1373</v>
      </c>
      <c r="L246" s="356">
        <v>43313</v>
      </c>
      <c r="M246" s="357" t="s">
        <v>204</v>
      </c>
      <c r="N246" s="416">
        <v>230400000</v>
      </c>
      <c r="O246" s="416">
        <v>230400000</v>
      </c>
      <c r="P246" s="358"/>
      <c r="Q246" s="320"/>
      <c r="R246" s="168"/>
      <c r="S246" s="168"/>
      <c r="T246" s="287"/>
      <c r="U246" s="264"/>
      <c r="V246" s="198"/>
    </row>
    <row r="247" spans="1:22" s="90" customFormat="1" ht="19.5" hidden="1" customHeight="1">
      <c r="A247" s="137"/>
      <c r="B247" s="197">
        <f t="shared" si="4"/>
        <v>237</v>
      </c>
      <c r="C247" s="30" t="s">
        <v>206</v>
      </c>
      <c r="D247" s="30" t="s">
        <v>225</v>
      </c>
      <c r="E247" s="234" t="s">
        <v>764</v>
      </c>
      <c r="F247" s="235" t="s">
        <v>1217</v>
      </c>
      <c r="G247" s="284">
        <f>IFERROR(VLOOKUP(E247,Assign!$C$2:$J$142,8,FALSE),)</f>
        <v>0</v>
      </c>
      <c r="H247" s="236" t="s">
        <v>4783</v>
      </c>
      <c r="I247" s="236">
        <v>1</v>
      </c>
      <c r="J247" s="236">
        <v>1</v>
      </c>
      <c r="K247" s="355" t="s">
        <v>1373</v>
      </c>
      <c r="L247" s="356">
        <v>43270</v>
      </c>
      <c r="M247" s="357" t="s">
        <v>204</v>
      </c>
      <c r="N247" s="416">
        <v>226800000</v>
      </c>
      <c r="O247" s="416">
        <v>226800000</v>
      </c>
      <c r="P247" s="358"/>
      <c r="Q247" s="320"/>
      <c r="R247" s="168"/>
      <c r="S247" s="168"/>
      <c r="T247" s="287"/>
      <c r="U247" s="264"/>
      <c r="V247" s="198"/>
    </row>
    <row r="248" spans="1:22" s="90" customFormat="1" ht="19.5" customHeight="1">
      <c r="A248" s="137"/>
      <c r="B248" s="197">
        <f t="shared" si="4"/>
        <v>238</v>
      </c>
      <c r="C248" s="30" t="s">
        <v>206</v>
      </c>
      <c r="D248" s="30" t="s">
        <v>225</v>
      </c>
      <c r="E248" s="234" t="s">
        <v>765</v>
      </c>
      <c r="F248" s="235" t="s">
        <v>1223</v>
      </c>
      <c r="G248" s="284" t="str">
        <f>IFERROR(VLOOKUP(E248,Assign!$C$2:$J$142,8,FALSE),)</f>
        <v>문선영</v>
      </c>
      <c r="H248" s="236" t="s">
        <v>4787</v>
      </c>
      <c r="I248" s="236">
        <v>1</v>
      </c>
      <c r="J248" s="236">
        <v>1</v>
      </c>
      <c r="K248" s="355" t="s">
        <v>1373</v>
      </c>
      <c r="L248" s="356">
        <v>44641</v>
      </c>
      <c r="M248" s="357" t="s">
        <v>204</v>
      </c>
      <c r="N248" s="416">
        <v>187000000</v>
      </c>
      <c r="O248" s="416">
        <v>187000000</v>
      </c>
      <c r="P248" s="358"/>
      <c r="Q248" s="320"/>
      <c r="R248" s="168"/>
      <c r="S248" s="168"/>
      <c r="T248" s="287"/>
      <c r="U248" s="264"/>
      <c r="V248" s="198"/>
    </row>
    <row r="249" spans="1:22" s="90" customFormat="1" ht="19.5" customHeight="1">
      <c r="A249" s="137"/>
      <c r="B249" s="197">
        <f t="shared" si="4"/>
        <v>239</v>
      </c>
      <c r="C249" s="30" t="s">
        <v>206</v>
      </c>
      <c r="D249" s="30" t="s">
        <v>225</v>
      </c>
      <c r="E249" s="234" t="s">
        <v>766</v>
      </c>
      <c r="F249" s="235" t="s">
        <v>1229</v>
      </c>
      <c r="G249" s="284" t="str">
        <f>IFERROR(VLOOKUP(E249,Assign!$C$2:$J$142,8,FALSE),)</f>
        <v>문선영</v>
      </c>
      <c r="H249" s="236" t="s">
        <v>4567</v>
      </c>
      <c r="I249" s="236">
        <v>1</v>
      </c>
      <c r="J249" s="236">
        <v>1</v>
      </c>
      <c r="K249" s="355" t="s">
        <v>1373</v>
      </c>
      <c r="L249" s="356">
        <v>42377</v>
      </c>
      <c r="M249" s="357" t="s">
        <v>204</v>
      </c>
      <c r="N249" s="416">
        <v>271200000</v>
      </c>
      <c r="O249" s="416">
        <v>271200000</v>
      </c>
      <c r="P249" s="358"/>
      <c r="Q249" s="320"/>
      <c r="R249" s="168"/>
      <c r="S249" s="168"/>
      <c r="T249" s="287"/>
      <c r="U249" s="264"/>
      <c r="V249" s="198"/>
    </row>
    <row r="250" spans="1:22" s="90" customFormat="1" ht="19.5" customHeight="1">
      <c r="A250" s="137"/>
      <c r="B250" s="197">
        <f t="shared" si="4"/>
        <v>240</v>
      </c>
      <c r="C250" s="30" t="s">
        <v>206</v>
      </c>
      <c r="D250" s="30" t="s">
        <v>225</v>
      </c>
      <c r="E250" s="234" t="s">
        <v>767</v>
      </c>
      <c r="F250" s="235" t="s">
        <v>1225</v>
      </c>
      <c r="G250" s="284" t="str">
        <f>IFERROR(VLOOKUP(E250,Assign!$C$2:$J$142,8,FALSE),)</f>
        <v>문선영</v>
      </c>
      <c r="H250" s="236" t="s">
        <v>4146</v>
      </c>
      <c r="I250" s="236">
        <v>1</v>
      </c>
      <c r="J250" s="236">
        <v>1</v>
      </c>
      <c r="K250" s="355" t="s">
        <v>1373</v>
      </c>
      <c r="L250" s="356">
        <v>44963</v>
      </c>
      <c r="M250" s="357" t="s">
        <v>204</v>
      </c>
      <c r="N250" s="416">
        <v>187000000</v>
      </c>
      <c r="O250" s="416">
        <v>187000000</v>
      </c>
      <c r="P250" s="358"/>
      <c r="Q250" s="320"/>
      <c r="R250" s="168"/>
      <c r="S250" s="168"/>
      <c r="T250" s="287"/>
      <c r="U250" s="264"/>
      <c r="V250" s="198"/>
    </row>
    <row r="251" spans="1:22" s="90" customFormat="1" ht="19.5" hidden="1" customHeight="1">
      <c r="A251" s="137"/>
      <c r="B251" s="197">
        <f t="shared" si="4"/>
        <v>241</v>
      </c>
      <c r="C251" s="30" t="s">
        <v>206</v>
      </c>
      <c r="D251" s="30" t="s">
        <v>225</v>
      </c>
      <c r="E251" s="234" t="s">
        <v>768</v>
      </c>
      <c r="F251" s="235" t="s">
        <v>1226</v>
      </c>
      <c r="G251" s="284">
        <f>IFERROR(VLOOKUP(E251,Assign!$C$2:$J$142,8,FALSE),)</f>
        <v>0</v>
      </c>
      <c r="H251" s="236" t="s">
        <v>4499</v>
      </c>
      <c r="I251" s="236">
        <v>1</v>
      </c>
      <c r="J251" s="236">
        <v>1</v>
      </c>
      <c r="K251" s="355" t="s">
        <v>1373</v>
      </c>
      <c r="L251" s="356">
        <v>45226</v>
      </c>
      <c r="M251" s="357" t="s">
        <v>204</v>
      </c>
      <c r="N251" s="416">
        <v>176000000</v>
      </c>
      <c r="O251" s="416">
        <v>176000000</v>
      </c>
      <c r="P251" s="358"/>
      <c r="Q251" s="320"/>
      <c r="R251" s="168"/>
      <c r="S251" s="168"/>
      <c r="T251" s="287"/>
      <c r="U251" s="264"/>
      <c r="V251" s="198"/>
    </row>
    <row r="252" spans="1:22" s="90" customFormat="1" ht="19.5" hidden="1" customHeight="1">
      <c r="A252" s="137"/>
      <c r="B252" s="197">
        <f t="shared" si="4"/>
        <v>242</v>
      </c>
      <c r="C252" s="30" t="s">
        <v>206</v>
      </c>
      <c r="D252" s="30" t="s">
        <v>225</v>
      </c>
      <c r="E252" s="234" t="s">
        <v>769</v>
      </c>
      <c r="F252" s="235" t="s">
        <v>1238</v>
      </c>
      <c r="G252" s="284">
        <f>IFERROR(VLOOKUP(E252,Assign!$C$2:$J$142,8,FALSE),)</f>
        <v>0</v>
      </c>
      <c r="H252" s="236" t="s">
        <v>4602</v>
      </c>
      <c r="I252" s="236">
        <v>1</v>
      </c>
      <c r="J252" s="236">
        <v>1</v>
      </c>
      <c r="K252" s="355" t="s">
        <v>1373</v>
      </c>
      <c r="L252" s="356">
        <v>45154</v>
      </c>
      <c r="M252" s="357" t="s">
        <v>204</v>
      </c>
      <c r="N252" s="416">
        <v>176000000</v>
      </c>
      <c r="O252" s="416">
        <v>176000000</v>
      </c>
      <c r="P252" s="358"/>
      <c r="Q252" s="320"/>
      <c r="R252" s="168"/>
      <c r="S252" s="168"/>
      <c r="T252" s="287"/>
      <c r="U252" s="264"/>
      <c r="V252" s="198"/>
    </row>
    <row r="253" spans="1:22" s="90" customFormat="1" ht="19.5" hidden="1" customHeight="1">
      <c r="A253" s="137"/>
      <c r="B253" s="197">
        <f t="shared" si="4"/>
        <v>243</v>
      </c>
      <c r="C253" s="30" t="s">
        <v>206</v>
      </c>
      <c r="D253" s="30" t="s">
        <v>225</v>
      </c>
      <c r="E253" s="234" t="s">
        <v>770</v>
      </c>
      <c r="F253" s="235" t="s">
        <v>1217</v>
      </c>
      <c r="G253" s="284">
        <f>IFERROR(VLOOKUP(E253,Assign!$C$2:$J$142,8,FALSE),)</f>
        <v>0</v>
      </c>
      <c r="H253" s="236" t="s">
        <v>4476</v>
      </c>
      <c r="I253" s="236">
        <v>1</v>
      </c>
      <c r="J253" s="236">
        <v>1</v>
      </c>
      <c r="K253" s="355" t="s">
        <v>1373</v>
      </c>
      <c r="L253" s="356">
        <v>44849</v>
      </c>
      <c r="M253" s="357" t="s">
        <v>204</v>
      </c>
      <c r="N253" s="416">
        <v>117000000</v>
      </c>
      <c r="O253" s="416">
        <v>117000000</v>
      </c>
      <c r="P253" s="358"/>
      <c r="Q253" s="320"/>
      <c r="R253" s="168"/>
      <c r="S253" s="168"/>
      <c r="T253" s="287"/>
      <c r="U253" s="264"/>
      <c r="V253" s="198"/>
    </row>
    <row r="254" spans="1:22" s="90" customFormat="1" ht="19.5" hidden="1" customHeight="1">
      <c r="A254" s="137"/>
      <c r="B254" s="197">
        <f t="shared" si="4"/>
        <v>244</v>
      </c>
      <c r="C254" s="30" t="s">
        <v>206</v>
      </c>
      <c r="D254" s="30" t="s">
        <v>225</v>
      </c>
      <c r="E254" s="234" t="s">
        <v>770</v>
      </c>
      <c r="F254" s="235" t="s">
        <v>1217</v>
      </c>
      <c r="G254" s="284">
        <f>IFERROR(VLOOKUP(E254,Assign!$C$2:$J$142,8,FALSE),)</f>
        <v>0</v>
      </c>
      <c r="H254" s="236" t="s">
        <v>4476</v>
      </c>
      <c r="I254" s="236">
        <v>1</v>
      </c>
      <c r="J254" s="236">
        <v>2</v>
      </c>
      <c r="K254" s="355" t="s">
        <v>1373</v>
      </c>
      <c r="L254" s="356">
        <v>38086</v>
      </c>
      <c r="M254" s="357" t="s">
        <v>204</v>
      </c>
      <c r="N254" s="416">
        <v>84000000</v>
      </c>
      <c r="O254" s="416">
        <v>84000000</v>
      </c>
      <c r="P254" s="358"/>
      <c r="Q254" s="320"/>
      <c r="R254" s="168"/>
      <c r="S254" s="168"/>
      <c r="T254" s="287"/>
      <c r="U254" s="264"/>
      <c r="V254" s="198"/>
    </row>
    <row r="255" spans="1:22" s="90" customFormat="1" ht="19.5" hidden="1" customHeight="1">
      <c r="A255" s="137"/>
      <c r="B255" s="197">
        <f t="shared" si="4"/>
        <v>245</v>
      </c>
      <c r="C255" s="30" t="s">
        <v>206</v>
      </c>
      <c r="D255" s="30" t="s">
        <v>225</v>
      </c>
      <c r="E255" s="234" t="s">
        <v>771</v>
      </c>
      <c r="F255" s="235" t="s">
        <v>1229</v>
      </c>
      <c r="G255" s="284">
        <f>IFERROR(VLOOKUP(E255,Assign!$C$2:$J$142,8,FALSE),)</f>
        <v>0</v>
      </c>
      <c r="H255" s="236" t="s">
        <v>4679</v>
      </c>
      <c r="I255" s="236">
        <v>1</v>
      </c>
      <c r="J255" s="236">
        <v>1</v>
      </c>
      <c r="K255" s="355" t="s">
        <v>1373</v>
      </c>
      <c r="L255" s="356">
        <v>42100</v>
      </c>
      <c r="M255" s="357" t="s">
        <v>204</v>
      </c>
      <c r="N255" s="416">
        <v>236400000</v>
      </c>
      <c r="O255" s="416">
        <v>236400000</v>
      </c>
      <c r="P255" s="358"/>
      <c r="Q255" s="320"/>
      <c r="R255" s="168"/>
      <c r="S255" s="168"/>
      <c r="T255" s="287"/>
      <c r="U255" s="264"/>
      <c r="V255" s="198"/>
    </row>
    <row r="256" spans="1:22" s="90" customFormat="1" ht="19.5" customHeight="1">
      <c r="A256" s="137"/>
      <c r="B256" s="197">
        <f t="shared" si="4"/>
        <v>246</v>
      </c>
      <c r="C256" s="30" t="s">
        <v>206</v>
      </c>
      <c r="D256" s="30" t="s">
        <v>225</v>
      </c>
      <c r="E256" s="234" t="s">
        <v>772</v>
      </c>
      <c r="F256" s="235" t="s">
        <v>1229</v>
      </c>
      <c r="G256" s="284" t="str">
        <f>IFERROR(VLOOKUP(E256,Assign!$C$2:$J$142,8,FALSE),)</f>
        <v>문선영</v>
      </c>
      <c r="H256" s="236" t="s">
        <v>4254</v>
      </c>
      <c r="I256" s="236">
        <v>1</v>
      </c>
      <c r="J256" s="236">
        <v>1</v>
      </c>
      <c r="K256" s="355" t="s">
        <v>1373</v>
      </c>
      <c r="L256" s="356">
        <v>44274</v>
      </c>
      <c r="M256" s="357" t="s">
        <v>204</v>
      </c>
      <c r="N256" s="416">
        <v>198000000</v>
      </c>
      <c r="O256" s="416">
        <v>198000000</v>
      </c>
      <c r="P256" s="358"/>
      <c r="Q256" s="320"/>
      <c r="R256" s="168"/>
      <c r="S256" s="168"/>
      <c r="T256" s="287"/>
      <c r="U256" s="264"/>
      <c r="V256" s="198"/>
    </row>
    <row r="257" spans="1:22" s="90" customFormat="1" ht="19.5" hidden="1" customHeight="1">
      <c r="A257" s="137"/>
      <c r="B257" s="197">
        <f t="shared" si="4"/>
        <v>247</v>
      </c>
      <c r="C257" s="30" t="s">
        <v>206</v>
      </c>
      <c r="D257" s="30" t="s">
        <v>225</v>
      </c>
      <c r="E257" s="234" t="s">
        <v>773</v>
      </c>
      <c r="F257" s="235" t="s">
        <v>1229</v>
      </c>
      <c r="G257" s="284">
        <f>IFERROR(VLOOKUP(E257,Assign!$C$2:$J$142,8,FALSE),)</f>
        <v>0</v>
      </c>
      <c r="H257" s="236" t="s">
        <v>4831</v>
      </c>
      <c r="I257" s="236">
        <v>1</v>
      </c>
      <c r="J257" s="236">
        <v>1</v>
      </c>
      <c r="K257" s="355" t="s">
        <v>1373</v>
      </c>
      <c r="L257" s="356">
        <v>42936</v>
      </c>
      <c r="M257" s="357" t="s">
        <v>204</v>
      </c>
      <c r="N257" s="416">
        <v>180000000</v>
      </c>
      <c r="O257" s="416">
        <v>180000000</v>
      </c>
      <c r="P257" s="358"/>
      <c r="Q257" s="320"/>
      <c r="R257" s="168"/>
      <c r="S257" s="168"/>
      <c r="T257" s="287"/>
      <c r="U257" s="264"/>
      <c r="V257" s="198"/>
    </row>
    <row r="258" spans="1:22" s="90" customFormat="1" ht="19.5" hidden="1" customHeight="1">
      <c r="A258" s="137"/>
      <c r="B258" s="197">
        <f t="shared" si="4"/>
        <v>248</v>
      </c>
      <c r="C258" s="30" t="s">
        <v>206</v>
      </c>
      <c r="D258" s="30" t="s">
        <v>225</v>
      </c>
      <c r="E258" s="234" t="s">
        <v>773</v>
      </c>
      <c r="F258" s="235" t="s">
        <v>1229</v>
      </c>
      <c r="G258" s="284">
        <f>IFERROR(VLOOKUP(E258,Assign!$C$2:$J$142,8,FALSE),)</f>
        <v>0</v>
      </c>
      <c r="H258" s="236" t="s">
        <v>4831</v>
      </c>
      <c r="I258" s="236">
        <v>1</v>
      </c>
      <c r="J258" s="236">
        <v>2</v>
      </c>
      <c r="K258" s="355" t="s">
        <v>1373</v>
      </c>
      <c r="L258" s="356">
        <v>44869</v>
      </c>
      <c r="M258" s="357" t="s">
        <v>204</v>
      </c>
      <c r="N258" s="416">
        <v>4800000</v>
      </c>
      <c r="O258" s="416">
        <v>4800000</v>
      </c>
      <c r="P258" s="358"/>
      <c r="Q258" s="320"/>
      <c r="R258" s="168"/>
      <c r="S258" s="168"/>
      <c r="T258" s="287"/>
      <c r="U258" s="264"/>
      <c r="V258" s="198"/>
    </row>
    <row r="259" spans="1:22" s="90" customFormat="1" ht="19.5" hidden="1" customHeight="1">
      <c r="A259" s="137"/>
      <c r="B259" s="197">
        <f t="shared" si="4"/>
        <v>249</v>
      </c>
      <c r="C259" s="30" t="s">
        <v>206</v>
      </c>
      <c r="D259" s="30" t="s">
        <v>225</v>
      </c>
      <c r="E259" s="234" t="s">
        <v>774</v>
      </c>
      <c r="F259" s="235" t="s">
        <v>1217</v>
      </c>
      <c r="G259" s="284">
        <f>IFERROR(VLOOKUP(E259,Assign!$C$2:$J$142,8,FALSE),)</f>
        <v>0</v>
      </c>
      <c r="H259" s="236" t="s">
        <v>4153</v>
      </c>
      <c r="I259" s="236">
        <v>1</v>
      </c>
      <c r="J259" s="236">
        <v>1</v>
      </c>
      <c r="K259" s="355" t="s">
        <v>1373</v>
      </c>
      <c r="L259" s="356">
        <v>41949</v>
      </c>
      <c r="M259" s="357" t="s">
        <v>204</v>
      </c>
      <c r="N259" s="416">
        <v>185280000</v>
      </c>
      <c r="O259" s="416">
        <v>185280000</v>
      </c>
      <c r="P259" s="358"/>
      <c r="Q259" s="320"/>
      <c r="R259" s="168"/>
      <c r="S259" s="168"/>
      <c r="T259" s="287"/>
      <c r="U259" s="264"/>
      <c r="V259" s="198"/>
    </row>
    <row r="260" spans="1:22" s="90" customFormat="1" ht="19.5" hidden="1" customHeight="1">
      <c r="A260" s="137"/>
      <c r="B260" s="197">
        <f t="shared" si="4"/>
        <v>250</v>
      </c>
      <c r="C260" s="30" t="s">
        <v>206</v>
      </c>
      <c r="D260" s="30" t="s">
        <v>225</v>
      </c>
      <c r="E260" s="234" t="s">
        <v>775</v>
      </c>
      <c r="F260" s="235" t="s">
        <v>1238</v>
      </c>
      <c r="G260" s="284">
        <f>IFERROR(VLOOKUP(E260,Assign!$C$2:$J$142,8,FALSE),)</f>
        <v>0</v>
      </c>
      <c r="H260" s="236" t="s">
        <v>3886</v>
      </c>
      <c r="I260" s="236">
        <v>1</v>
      </c>
      <c r="J260" s="236">
        <v>1</v>
      </c>
      <c r="K260" s="355" t="s">
        <v>1373</v>
      </c>
      <c r="L260" s="356">
        <v>42706</v>
      </c>
      <c r="M260" s="357" t="s">
        <v>204</v>
      </c>
      <c r="N260" s="416">
        <v>222000000</v>
      </c>
      <c r="O260" s="416">
        <v>222000000</v>
      </c>
      <c r="P260" s="358"/>
      <c r="Q260" s="320"/>
      <c r="R260" s="168"/>
      <c r="S260" s="168"/>
      <c r="T260" s="287"/>
      <c r="U260" s="264"/>
      <c r="V260" s="198"/>
    </row>
    <row r="261" spans="1:22" s="90" customFormat="1" ht="19.5" hidden="1" customHeight="1">
      <c r="A261" s="137"/>
      <c r="B261" s="197">
        <f t="shared" si="4"/>
        <v>251</v>
      </c>
      <c r="C261" s="30" t="s">
        <v>206</v>
      </c>
      <c r="D261" s="30" t="s">
        <v>225</v>
      </c>
      <c r="E261" s="234" t="s">
        <v>776</v>
      </c>
      <c r="F261" s="235" t="s">
        <v>1248</v>
      </c>
      <c r="G261" s="284">
        <f>IFERROR(VLOOKUP(E261,Assign!$C$2:$J$142,8,FALSE),)</f>
        <v>0</v>
      </c>
      <c r="H261" s="236" t="s">
        <v>4009</v>
      </c>
      <c r="I261" s="236">
        <v>1</v>
      </c>
      <c r="J261" s="236">
        <v>1</v>
      </c>
      <c r="K261" s="355" t="s">
        <v>1373</v>
      </c>
      <c r="L261" s="356">
        <v>44481</v>
      </c>
      <c r="M261" s="357" t="s">
        <v>204</v>
      </c>
      <c r="N261" s="416">
        <v>180000000</v>
      </c>
      <c r="O261" s="416">
        <v>180000000</v>
      </c>
      <c r="P261" s="358"/>
      <c r="Q261" s="320"/>
      <c r="R261" s="168"/>
      <c r="S261" s="168"/>
      <c r="T261" s="287"/>
      <c r="U261" s="264"/>
      <c r="V261" s="198"/>
    </row>
    <row r="262" spans="1:22" s="90" customFormat="1" ht="19.5" customHeight="1">
      <c r="A262" s="137"/>
      <c r="B262" s="197">
        <f t="shared" si="4"/>
        <v>252</v>
      </c>
      <c r="C262" s="30" t="s">
        <v>206</v>
      </c>
      <c r="D262" s="30" t="s">
        <v>225</v>
      </c>
      <c r="E262" s="234" t="s">
        <v>777</v>
      </c>
      <c r="F262" s="235" t="s">
        <v>1217</v>
      </c>
      <c r="G262" s="284" t="str">
        <f>IFERROR(VLOOKUP(E262,Assign!$C$2:$J$142,8,FALSE),)</f>
        <v>문선영</v>
      </c>
      <c r="H262" s="236" t="s">
        <v>3894</v>
      </c>
      <c r="I262" s="236">
        <v>1</v>
      </c>
      <c r="J262" s="236">
        <v>1</v>
      </c>
      <c r="K262" s="355" t="s">
        <v>1373</v>
      </c>
      <c r="L262" s="356">
        <v>43203</v>
      </c>
      <c r="M262" s="357" t="s">
        <v>204</v>
      </c>
      <c r="N262" s="416">
        <v>204000000</v>
      </c>
      <c r="O262" s="416">
        <v>204000000</v>
      </c>
      <c r="P262" s="358"/>
      <c r="Q262" s="320"/>
      <c r="R262" s="168"/>
      <c r="S262" s="168"/>
      <c r="T262" s="287"/>
      <c r="U262" s="264"/>
      <c r="V262" s="198"/>
    </row>
    <row r="263" spans="1:22" s="90" customFormat="1" ht="19.5" customHeight="1">
      <c r="A263" s="137"/>
      <c r="B263" s="197">
        <f t="shared" si="4"/>
        <v>253</v>
      </c>
      <c r="C263" s="30" t="s">
        <v>206</v>
      </c>
      <c r="D263" s="30" t="s">
        <v>225</v>
      </c>
      <c r="E263" s="234" t="s">
        <v>778</v>
      </c>
      <c r="F263" s="235" t="s">
        <v>1229</v>
      </c>
      <c r="G263" s="284" t="str">
        <f>IFERROR(VLOOKUP(E263,Assign!$C$2:$J$142,8,FALSE),)</f>
        <v>문선영</v>
      </c>
      <c r="H263" s="236" t="s">
        <v>4767</v>
      </c>
      <c r="I263" s="236">
        <v>1</v>
      </c>
      <c r="J263" s="236">
        <v>1</v>
      </c>
      <c r="K263" s="355" t="s">
        <v>1373</v>
      </c>
      <c r="L263" s="356">
        <v>43199</v>
      </c>
      <c r="M263" s="357" t="s">
        <v>204</v>
      </c>
      <c r="N263" s="416">
        <v>186000000</v>
      </c>
      <c r="O263" s="416">
        <v>186000000</v>
      </c>
      <c r="P263" s="358"/>
      <c r="Q263" s="320"/>
      <c r="R263" s="168"/>
      <c r="S263" s="168"/>
      <c r="T263" s="287"/>
      <c r="U263" s="264"/>
      <c r="V263" s="198"/>
    </row>
    <row r="264" spans="1:22" s="90" customFormat="1" ht="19.5" customHeight="1">
      <c r="A264" s="137"/>
      <c r="B264" s="197">
        <f t="shared" si="4"/>
        <v>254</v>
      </c>
      <c r="C264" s="30" t="s">
        <v>206</v>
      </c>
      <c r="D264" s="30" t="s">
        <v>225</v>
      </c>
      <c r="E264" s="234" t="s">
        <v>779</v>
      </c>
      <c r="F264" s="235" t="s">
        <v>1229</v>
      </c>
      <c r="G264" s="284" t="str">
        <f>IFERROR(VLOOKUP(E264,Assign!$C$2:$J$142,8,FALSE),)</f>
        <v>문선영</v>
      </c>
      <c r="H264" s="236" t="s">
        <v>4201</v>
      </c>
      <c r="I264" s="236">
        <v>1</v>
      </c>
      <c r="J264" s="236">
        <v>1</v>
      </c>
      <c r="K264" s="355" t="s">
        <v>1373</v>
      </c>
      <c r="L264" s="356">
        <v>42398</v>
      </c>
      <c r="M264" s="357" t="s">
        <v>204</v>
      </c>
      <c r="N264" s="416">
        <v>188400000</v>
      </c>
      <c r="O264" s="416">
        <v>188400000</v>
      </c>
      <c r="P264" s="358"/>
      <c r="Q264" s="320"/>
      <c r="R264" s="168"/>
      <c r="S264" s="168"/>
      <c r="T264" s="287"/>
      <c r="U264" s="264"/>
      <c r="V264" s="198"/>
    </row>
    <row r="265" spans="1:22" s="90" customFormat="1" ht="19.5" hidden="1" customHeight="1">
      <c r="A265" s="137"/>
      <c r="B265" s="197">
        <f t="shared" si="4"/>
        <v>255</v>
      </c>
      <c r="C265" s="30" t="s">
        <v>206</v>
      </c>
      <c r="D265" s="30" t="s">
        <v>225</v>
      </c>
      <c r="E265" s="234" t="s">
        <v>780</v>
      </c>
      <c r="F265" s="235" t="s">
        <v>1229</v>
      </c>
      <c r="G265" s="284">
        <f>IFERROR(VLOOKUP(E265,Assign!$C$2:$J$142,8,FALSE),)</f>
        <v>0</v>
      </c>
      <c r="H265" s="236" t="s">
        <v>4001</v>
      </c>
      <c r="I265" s="236">
        <v>1</v>
      </c>
      <c r="J265" s="236">
        <v>1</v>
      </c>
      <c r="K265" s="355" t="s">
        <v>1373</v>
      </c>
      <c r="L265" s="356">
        <v>43144</v>
      </c>
      <c r="M265" s="357" t="s">
        <v>204</v>
      </c>
      <c r="N265" s="416">
        <v>180000000</v>
      </c>
      <c r="O265" s="416">
        <v>180000000</v>
      </c>
      <c r="P265" s="358"/>
      <c r="Q265" s="320"/>
      <c r="R265" s="168"/>
      <c r="S265" s="168"/>
      <c r="T265" s="287"/>
      <c r="U265" s="264"/>
      <c r="V265" s="198"/>
    </row>
    <row r="266" spans="1:22" s="90" customFormat="1" ht="19.5" hidden="1" customHeight="1">
      <c r="A266" s="137"/>
      <c r="B266" s="197">
        <f t="shared" si="4"/>
        <v>256</v>
      </c>
      <c r="C266" s="30" t="s">
        <v>206</v>
      </c>
      <c r="D266" s="30" t="s">
        <v>225</v>
      </c>
      <c r="E266" s="234" t="s">
        <v>781</v>
      </c>
      <c r="F266" s="235" t="s">
        <v>1318</v>
      </c>
      <c r="G266" s="284">
        <f>IFERROR(VLOOKUP(E266,Assign!$C$2:$J$142,8,FALSE),)</f>
        <v>0</v>
      </c>
      <c r="H266" s="236" t="s">
        <v>5279</v>
      </c>
      <c r="I266" s="236">
        <v>1</v>
      </c>
      <c r="J266" s="236">
        <v>1</v>
      </c>
      <c r="K266" s="355" t="s">
        <v>1373</v>
      </c>
      <c r="L266" s="356">
        <v>44032</v>
      </c>
      <c r="M266" s="357" t="s">
        <v>204</v>
      </c>
      <c r="N266" s="416">
        <v>147600000</v>
      </c>
      <c r="O266" s="416">
        <v>147600000</v>
      </c>
      <c r="P266" s="358"/>
      <c r="Q266" s="320"/>
      <c r="R266" s="168"/>
      <c r="S266" s="168"/>
      <c r="T266" s="287"/>
      <c r="U266" s="264"/>
      <c r="V266" s="198"/>
    </row>
    <row r="267" spans="1:22" s="90" customFormat="1" ht="19.5" hidden="1" customHeight="1">
      <c r="A267" s="137"/>
      <c r="B267" s="197">
        <f t="shared" ref="B267:B330" si="5">ROW()-10</f>
        <v>257</v>
      </c>
      <c r="C267" s="30" t="s">
        <v>206</v>
      </c>
      <c r="D267" s="30" t="s">
        <v>225</v>
      </c>
      <c r="E267" s="234" t="s">
        <v>781</v>
      </c>
      <c r="F267" s="235" t="s">
        <v>1318</v>
      </c>
      <c r="G267" s="284">
        <f>IFERROR(VLOOKUP(E267,Assign!$C$2:$J$142,8,FALSE),)</f>
        <v>0</v>
      </c>
      <c r="H267" s="236" t="s">
        <v>5279</v>
      </c>
      <c r="I267" s="236">
        <v>1</v>
      </c>
      <c r="J267" s="236">
        <v>2</v>
      </c>
      <c r="K267" s="355" t="s">
        <v>1373</v>
      </c>
      <c r="L267" s="356">
        <v>44032</v>
      </c>
      <c r="M267" s="357" t="s">
        <v>204</v>
      </c>
      <c r="N267" s="416">
        <v>42000000</v>
      </c>
      <c r="O267" s="416">
        <v>42000000</v>
      </c>
      <c r="P267" s="358"/>
      <c r="Q267" s="320"/>
      <c r="R267" s="168"/>
      <c r="S267" s="168"/>
      <c r="T267" s="287"/>
      <c r="U267" s="264"/>
      <c r="V267" s="198"/>
    </row>
    <row r="268" spans="1:22" s="90" customFormat="1" ht="19.5" customHeight="1">
      <c r="A268" s="137"/>
      <c r="B268" s="197">
        <f t="shared" si="5"/>
        <v>258</v>
      </c>
      <c r="C268" s="30" t="s">
        <v>206</v>
      </c>
      <c r="D268" s="30" t="s">
        <v>225</v>
      </c>
      <c r="E268" s="234" t="s">
        <v>782</v>
      </c>
      <c r="F268" s="235" t="s">
        <v>1236</v>
      </c>
      <c r="G268" s="284" t="str">
        <f>IFERROR(VLOOKUP(E268,Assign!$C$2:$J$142,8,FALSE),)</f>
        <v>문선영</v>
      </c>
      <c r="H268" s="236" t="s">
        <v>4098</v>
      </c>
      <c r="I268" s="236">
        <v>1</v>
      </c>
      <c r="J268" s="236">
        <v>1</v>
      </c>
      <c r="K268" s="355" t="s">
        <v>1373</v>
      </c>
      <c r="L268" s="356">
        <v>43514</v>
      </c>
      <c r="M268" s="357" t="s">
        <v>204</v>
      </c>
      <c r="N268" s="416">
        <v>214800000</v>
      </c>
      <c r="O268" s="416">
        <v>214800000</v>
      </c>
      <c r="P268" s="358"/>
      <c r="Q268" s="320"/>
      <c r="R268" s="168"/>
      <c r="S268" s="168"/>
      <c r="T268" s="287"/>
      <c r="U268" s="264"/>
      <c r="V268" s="198"/>
    </row>
    <row r="269" spans="1:22" s="90" customFormat="1" ht="19.5" hidden="1" customHeight="1">
      <c r="A269" s="137"/>
      <c r="B269" s="197">
        <f t="shared" si="5"/>
        <v>259</v>
      </c>
      <c r="C269" s="30" t="s">
        <v>206</v>
      </c>
      <c r="D269" s="30" t="s">
        <v>225</v>
      </c>
      <c r="E269" s="234" t="s">
        <v>783</v>
      </c>
      <c r="F269" s="235" t="s">
        <v>1249</v>
      </c>
      <c r="G269" s="284">
        <f>IFERROR(VLOOKUP(E269,Assign!$C$2:$J$142,8,FALSE),)</f>
        <v>0</v>
      </c>
      <c r="H269" s="236" t="s">
        <v>4573</v>
      </c>
      <c r="I269" s="236">
        <v>1</v>
      </c>
      <c r="J269" s="236">
        <v>1</v>
      </c>
      <c r="K269" s="355" t="s">
        <v>1373</v>
      </c>
      <c r="L269" s="356">
        <v>43192</v>
      </c>
      <c r="M269" s="357" t="s">
        <v>204</v>
      </c>
      <c r="N269" s="416">
        <v>187017600</v>
      </c>
      <c r="O269" s="416">
        <v>187017600</v>
      </c>
      <c r="P269" s="358"/>
      <c r="Q269" s="320"/>
      <c r="R269" s="168"/>
      <c r="S269" s="168"/>
      <c r="T269" s="287"/>
      <c r="U269" s="264"/>
      <c r="V269" s="198"/>
    </row>
    <row r="270" spans="1:22" s="90" customFormat="1" ht="19.5" hidden="1" customHeight="1">
      <c r="A270" s="137"/>
      <c r="B270" s="197">
        <f t="shared" si="5"/>
        <v>260</v>
      </c>
      <c r="C270" s="30" t="s">
        <v>206</v>
      </c>
      <c r="D270" s="30" t="s">
        <v>225</v>
      </c>
      <c r="E270" s="234" t="s">
        <v>784</v>
      </c>
      <c r="F270" s="235" t="s">
        <v>1229</v>
      </c>
      <c r="G270" s="284">
        <f>IFERROR(VLOOKUP(E270,Assign!$C$2:$J$142,8,FALSE),)</f>
        <v>0</v>
      </c>
      <c r="H270" s="236" t="s">
        <v>3986</v>
      </c>
      <c r="I270" s="236">
        <v>1</v>
      </c>
      <c r="J270" s="236">
        <v>1</v>
      </c>
      <c r="K270" s="355" t="s">
        <v>1373</v>
      </c>
      <c r="L270" s="356">
        <v>37160</v>
      </c>
      <c r="M270" s="357" t="s">
        <v>204</v>
      </c>
      <c r="N270" s="416">
        <v>312000000</v>
      </c>
      <c r="O270" s="416">
        <v>312000000</v>
      </c>
      <c r="P270" s="358"/>
      <c r="Q270" s="320"/>
      <c r="R270" s="168"/>
      <c r="S270" s="168"/>
      <c r="T270" s="287"/>
      <c r="U270" s="264"/>
      <c r="V270" s="198"/>
    </row>
    <row r="271" spans="1:22" s="90" customFormat="1" ht="19.5" hidden="1" customHeight="1">
      <c r="A271" s="137"/>
      <c r="B271" s="197">
        <f t="shared" si="5"/>
        <v>261</v>
      </c>
      <c r="C271" s="30" t="s">
        <v>206</v>
      </c>
      <c r="D271" s="30" t="s">
        <v>225</v>
      </c>
      <c r="E271" s="234" t="s">
        <v>784</v>
      </c>
      <c r="F271" s="235" t="s">
        <v>1229</v>
      </c>
      <c r="G271" s="284">
        <f>IFERROR(VLOOKUP(E271,Assign!$C$2:$J$142,8,FALSE),)</f>
        <v>0</v>
      </c>
      <c r="H271" s="236" t="s">
        <v>3986</v>
      </c>
      <c r="I271" s="236">
        <v>1</v>
      </c>
      <c r="J271" s="236">
        <v>2</v>
      </c>
      <c r="K271" s="355" t="s">
        <v>1373</v>
      </c>
      <c r="L271" s="356">
        <v>37449</v>
      </c>
      <c r="M271" s="357" t="s">
        <v>204</v>
      </c>
      <c r="N271" s="416">
        <v>26000000</v>
      </c>
      <c r="O271" s="416">
        <v>26000000</v>
      </c>
      <c r="P271" s="358"/>
      <c r="Q271" s="320"/>
      <c r="R271" s="168"/>
      <c r="S271" s="168"/>
      <c r="T271" s="287"/>
      <c r="U271" s="264"/>
      <c r="V271" s="198"/>
    </row>
    <row r="272" spans="1:22" s="90" customFormat="1" ht="19.5" customHeight="1">
      <c r="A272" s="137"/>
      <c r="B272" s="197">
        <f t="shared" si="5"/>
        <v>262</v>
      </c>
      <c r="C272" s="30" t="s">
        <v>206</v>
      </c>
      <c r="D272" s="30" t="s">
        <v>225</v>
      </c>
      <c r="E272" s="234" t="s">
        <v>785</v>
      </c>
      <c r="F272" s="235" t="s">
        <v>1250</v>
      </c>
      <c r="G272" s="284" t="str">
        <f>IFERROR(VLOOKUP(E272,Assign!$C$2:$J$142,8,FALSE),)</f>
        <v>문선영</v>
      </c>
      <c r="H272" s="236" t="s">
        <v>4513</v>
      </c>
      <c r="I272" s="236">
        <v>1</v>
      </c>
      <c r="J272" s="236">
        <v>1</v>
      </c>
      <c r="K272" s="355" t="s">
        <v>1373</v>
      </c>
      <c r="L272" s="356">
        <v>42180</v>
      </c>
      <c r="M272" s="357" t="s">
        <v>204</v>
      </c>
      <c r="N272" s="416">
        <v>172060000</v>
      </c>
      <c r="O272" s="416">
        <v>172060000</v>
      </c>
      <c r="P272" s="358"/>
      <c r="Q272" s="320"/>
      <c r="R272" s="168"/>
      <c r="S272" s="168"/>
      <c r="T272" s="287"/>
      <c r="U272" s="264"/>
      <c r="V272" s="198"/>
    </row>
    <row r="273" spans="1:22" s="90" customFormat="1" ht="19.5" hidden="1" customHeight="1">
      <c r="A273" s="137"/>
      <c r="B273" s="197">
        <f t="shared" si="5"/>
        <v>263</v>
      </c>
      <c r="C273" s="30" t="s">
        <v>206</v>
      </c>
      <c r="D273" s="30" t="s">
        <v>225</v>
      </c>
      <c r="E273" s="234" t="s">
        <v>786</v>
      </c>
      <c r="F273" s="235" t="s">
        <v>1225</v>
      </c>
      <c r="G273" s="284">
        <f>IFERROR(VLOOKUP(E273,Assign!$C$2:$J$142,8,FALSE),)</f>
        <v>0</v>
      </c>
      <c r="H273" s="236" t="s">
        <v>4553</v>
      </c>
      <c r="I273" s="236">
        <v>1</v>
      </c>
      <c r="J273" s="236">
        <v>1</v>
      </c>
      <c r="K273" s="355" t="s">
        <v>1375</v>
      </c>
      <c r="L273" s="356">
        <v>42538</v>
      </c>
      <c r="M273" s="357" t="s">
        <v>204</v>
      </c>
      <c r="N273" s="416">
        <v>181100000</v>
      </c>
      <c r="O273" s="416">
        <v>181100000</v>
      </c>
      <c r="P273" s="358"/>
      <c r="Q273" s="320"/>
      <c r="R273" s="168"/>
      <c r="S273" s="168"/>
      <c r="T273" s="287"/>
      <c r="U273" s="264"/>
      <c r="V273" s="198"/>
    </row>
    <row r="274" spans="1:22" s="90" customFormat="1" ht="19.5" hidden="1" customHeight="1">
      <c r="A274" s="137"/>
      <c r="B274" s="197">
        <f t="shared" si="5"/>
        <v>264</v>
      </c>
      <c r="C274" s="30" t="s">
        <v>206</v>
      </c>
      <c r="D274" s="30" t="s">
        <v>225</v>
      </c>
      <c r="E274" s="234" t="s">
        <v>786</v>
      </c>
      <c r="F274" s="235" t="s">
        <v>1225</v>
      </c>
      <c r="G274" s="284">
        <f>IFERROR(VLOOKUP(E274,Assign!$C$2:$J$142,8,FALSE),)</f>
        <v>0</v>
      </c>
      <c r="H274" s="236" t="s">
        <v>4553</v>
      </c>
      <c r="I274" s="236">
        <v>1</v>
      </c>
      <c r="J274" s="236">
        <v>2</v>
      </c>
      <c r="K274" s="355" t="s">
        <v>1373</v>
      </c>
      <c r="L274" s="356">
        <v>44679</v>
      </c>
      <c r="M274" s="357" t="s">
        <v>204</v>
      </c>
      <c r="N274" s="416">
        <v>168000000</v>
      </c>
      <c r="O274" s="416">
        <v>168000000</v>
      </c>
      <c r="P274" s="358"/>
      <c r="Q274" s="320"/>
      <c r="R274" s="168"/>
      <c r="S274" s="168"/>
      <c r="T274" s="287"/>
      <c r="U274" s="264"/>
      <c r="V274" s="198"/>
    </row>
    <row r="275" spans="1:22" s="90" customFormat="1" ht="19.5" hidden="1" customHeight="1">
      <c r="A275" s="137"/>
      <c r="B275" s="197">
        <f t="shared" si="5"/>
        <v>265</v>
      </c>
      <c r="C275" s="30" t="s">
        <v>206</v>
      </c>
      <c r="D275" s="30" t="s">
        <v>225</v>
      </c>
      <c r="E275" s="234" t="s">
        <v>787</v>
      </c>
      <c r="F275" s="235" t="s">
        <v>1217</v>
      </c>
      <c r="G275" s="284">
        <f>IFERROR(VLOOKUP(E275,Assign!$C$2:$J$142,8,FALSE),)</f>
        <v>0</v>
      </c>
      <c r="H275" s="236" t="s">
        <v>5304</v>
      </c>
      <c r="I275" s="236">
        <v>1</v>
      </c>
      <c r="J275" s="236">
        <v>1</v>
      </c>
      <c r="K275" s="355" t="s">
        <v>1373</v>
      </c>
      <c r="L275" s="356">
        <v>44208</v>
      </c>
      <c r="M275" s="357" t="s">
        <v>204</v>
      </c>
      <c r="N275" s="416">
        <v>172800000</v>
      </c>
      <c r="O275" s="416">
        <v>172800000</v>
      </c>
      <c r="P275" s="358"/>
      <c r="Q275" s="320"/>
      <c r="R275" s="168"/>
      <c r="S275" s="168"/>
      <c r="T275" s="287"/>
      <c r="U275" s="264"/>
      <c r="V275" s="198"/>
    </row>
    <row r="276" spans="1:22" s="90" customFormat="1" ht="19.5" hidden="1" customHeight="1">
      <c r="A276" s="137"/>
      <c r="B276" s="197">
        <f t="shared" si="5"/>
        <v>266</v>
      </c>
      <c r="C276" s="30" t="s">
        <v>206</v>
      </c>
      <c r="D276" s="30" t="s">
        <v>225</v>
      </c>
      <c r="E276" s="234" t="s">
        <v>788</v>
      </c>
      <c r="F276" s="235" t="s">
        <v>1238</v>
      </c>
      <c r="G276" s="284">
        <f>IFERROR(VLOOKUP(E276,Assign!$C$2:$J$142,8,FALSE),)</f>
        <v>0</v>
      </c>
      <c r="H276" s="236" t="s">
        <v>4395</v>
      </c>
      <c r="I276" s="236">
        <v>1</v>
      </c>
      <c r="J276" s="236">
        <v>1</v>
      </c>
      <c r="K276" s="355" t="s">
        <v>1373</v>
      </c>
      <c r="L276" s="356">
        <v>42503</v>
      </c>
      <c r="M276" s="357" t="s">
        <v>204</v>
      </c>
      <c r="N276" s="416">
        <v>199200000</v>
      </c>
      <c r="O276" s="416">
        <v>199200000</v>
      </c>
      <c r="P276" s="358"/>
      <c r="Q276" s="320"/>
      <c r="R276" s="168"/>
      <c r="S276" s="168"/>
      <c r="T276" s="287"/>
      <c r="U276" s="264"/>
      <c r="V276" s="198"/>
    </row>
    <row r="277" spans="1:22" s="90" customFormat="1" ht="19.5" hidden="1" customHeight="1">
      <c r="A277" s="137"/>
      <c r="B277" s="197">
        <f t="shared" si="5"/>
        <v>267</v>
      </c>
      <c r="C277" s="30" t="s">
        <v>206</v>
      </c>
      <c r="D277" s="30" t="s">
        <v>225</v>
      </c>
      <c r="E277" s="234" t="s">
        <v>789</v>
      </c>
      <c r="F277" s="235" t="s">
        <v>1225</v>
      </c>
      <c r="G277" s="284">
        <f>IFERROR(VLOOKUP(E277,Assign!$C$2:$J$142,8,FALSE),)</f>
        <v>0</v>
      </c>
      <c r="H277" s="236" t="s">
        <v>5298</v>
      </c>
      <c r="I277" s="236">
        <v>1</v>
      </c>
      <c r="J277" s="236">
        <v>1</v>
      </c>
      <c r="K277" s="355" t="s">
        <v>1373</v>
      </c>
      <c r="L277" s="356">
        <v>44477</v>
      </c>
      <c r="M277" s="357" t="s">
        <v>204</v>
      </c>
      <c r="N277" s="416">
        <v>154000000</v>
      </c>
      <c r="O277" s="416">
        <v>154000000</v>
      </c>
      <c r="P277" s="358"/>
      <c r="Q277" s="320"/>
      <c r="R277" s="168"/>
      <c r="S277" s="168"/>
      <c r="T277" s="287"/>
      <c r="U277" s="264"/>
      <c r="V277" s="198"/>
    </row>
    <row r="278" spans="1:22" s="90" customFormat="1" ht="19.5" customHeight="1">
      <c r="A278" s="137"/>
      <c r="B278" s="197">
        <f t="shared" si="5"/>
        <v>268</v>
      </c>
      <c r="C278" s="30" t="s">
        <v>206</v>
      </c>
      <c r="D278" s="30" t="s">
        <v>225</v>
      </c>
      <c r="E278" s="234" t="s">
        <v>790</v>
      </c>
      <c r="F278" s="235" t="s">
        <v>1229</v>
      </c>
      <c r="G278" s="284" t="str">
        <f>IFERROR(VLOOKUP(E278,Assign!$C$2:$J$142,8,FALSE),)</f>
        <v>문선영</v>
      </c>
      <c r="H278" s="236" t="s">
        <v>4458</v>
      </c>
      <c r="I278" s="236">
        <v>1</v>
      </c>
      <c r="J278" s="236">
        <v>1</v>
      </c>
      <c r="K278" s="355" t="s">
        <v>1373</v>
      </c>
      <c r="L278" s="356">
        <v>43136</v>
      </c>
      <c r="M278" s="357" t="s">
        <v>204</v>
      </c>
      <c r="N278" s="416">
        <v>180000000</v>
      </c>
      <c r="O278" s="416">
        <v>180000000</v>
      </c>
      <c r="P278" s="358"/>
      <c r="Q278" s="320"/>
      <c r="R278" s="168"/>
      <c r="S278" s="168"/>
      <c r="T278" s="287"/>
      <c r="U278" s="264"/>
      <c r="V278" s="198"/>
    </row>
    <row r="279" spans="1:22" s="90" customFormat="1" ht="19.5" hidden="1" customHeight="1">
      <c r="A279" s="137"/>
      <c r="B279" s="197">
        <f t="shared" si="5"/>
        <v>269</v>
      </c>
      <c r="C279" s="30" t="s">
        <v>206</v>
      </c>
      <c r="D279" s="30" t="s">
        <v>225</v>
      </c>
      <c r="E279" s="234" t="s">
        <v>791</v>
      </c>
      <c r="F279" s="235" t="s">
        <v>1251</v>
      </c>
      <c r="G279" s="284">
        <f>IFERROR(VLOOKUP(E279,Assign!$C$2:$J$142,8,FALSE),)</f>
        <v>0</v>
      </c>
      <c r="H279" s="236" t="s">
        <v>5271</v>
      </c>
      <c r="I279" s="236">
        <v>1</v>
      </c>
      <c r="J279" s="236">
        <v>1</v>
      </c>
      <c r="K279" s="355" t="s">
        <v>1373</v>
      </c>
      <c r="L279" s="356">
        <v>41918</v>
      </c>
      <c r="M279" s="357" t="s">
        <v>204</v>
      </c>
      <c r="N279" s="416">
        <v>156000000</v>
      </c>
      <c r="O279" s="416">
        <v>156000000</v>
      </c>
      <c r="P279" s="358"/>
      <c r="Q279" s="320"/>
      <c r="R279" s="168"/>
      <c r="S279" s="168"/>
      <c r="T279" s="287"/>
      <c r="U279" s="264"/>
      <c r="V279" s="198"/>
    </row>
    <row r="280" spans="1:22" s="90" customFormat="1" ht="19.5" hidden="1" customHeight="1">
      <c r="A280" s="137"/>
      <c r="B280" s="197">
        <f t="shared" si="5"/>
        <v>270</v>
      </c>
      <c r="C280" s="30" t="s">
        <v>206</v>
      </c>
      <c r="D280" s="30" t="s">
        <v>225</v>
      </c>
      <c r="E280" s="234" t="s">
        <v>791</v>
      </c>
      <c r="F280" s="235" t="s">
        <v>1251</v>
      </c>
      <c r="G280" s="284">
        <f>IFERROR(VLOOKUP(E280,Assign!$C$2:$J$142,8,FALSE),)</f>
        <v>0</v>
      </c>
      <c r="H280" s="236" t="s">
        <v>5271</v>
      </c>
      <c r="I280" s="236">
        <v>1</v>
      </c>
      <c r="J280" s="236">
        <v>2</v>
      </c>
      <c r="K280" s="355" t="s">
        <v>1373</v>
      </c>
      <c r="L280" s="356">
        <v>42520</v>
      </c>
      <c r="M280" s="357" t="s">
        <v>204</v>
      </c>
      <c r="N280" s="416">
        <v>24000000</v>
      </c>
      <c r="O280" s="416">
        <v>24000000</v>
      </c>
      <c r="P280" s="358"/>
      <c r="Q280" s="320"/>
      <c r="R280" s="168"/>
      <c r="S280" s="168"/>
      <c r="T280" s="287"/>
      <c r="U280" s="264"/>
      <c r="V280" s="198"/>
    </row>
    <row r="281" spans="1:22" s="90" customFormat="1" ht="19.5" hidden="1" customHeight="1">
      <c r="A281" s="137"/>
      <c r="B281" s="197">
        <f t="shared" si="5"/>
        <v>271</v>
      </c>
      <c r="C281" s="30" t="s">
        <v>206</v>
      </c>
      <c r="D281" s="30" t="s">
        <v>225</v>
      </c>
      <c r="E281" s="234" t="s">
        <v>792</v>
      </c>
      <c r="F281" s="235" t="s">
        <v>1229</v>
      </c>
      <c r="G281" s="284">
        <f>IFERROR(VLOOKUP(E281,Assign!$C$2:$J$142,8,FALSE),)</f>
        <v>0</v>
      </c>
      <c r="H281" s="236" t="s">
        <v>4193</v>
      </c>
      <c r="I281" s="236">
        <v>1</v>
      </c>
      <c r="J281" s="236">
        <v>1</v>
      </c>
      <c r="K281" s="355" t="s">
        <v>1373</v>
      </c>
      <c r="L281" s="356">
        <v>45033</v>
      </c>
      <c r="M281" s="357" t="s">
        <v>204</v>
      </c>
      <c r="N281" s="416">
        <v>147400000</v>
      </c>
      <c r="O281" s="416">
        <v>147400000</v>
      </c>
      <c r="P281" s="358"/>
      <c r="Q281" s="320"/>
      <c r="R281" s="168"/>
      <c r="S281" s="168"/>
      <c r="T281" s="287"/>
      <c r="U281" s="264"/>
      <c r="V281" s="198"/>
    </row>
    <row r="282" spans="1:22" s="90" customFormat="1" ht="19.5" customHeight="1">
      <c r="A282" s="137"/>
      <c r="B282" s="197">
        <f t="shared" si="5"/>
        <v>272</v>
      </c>
      <c r="C282" s="30" t="s">
        <v>206</v>
      </c>
      <c r="D282" s="30" t="s">
        <v>225</v>
      </c>
      <c r="E282" s="234" t="s">
        <v>793</v>
      </c>
      <c r="F282" s="235" t="s">
        <v>1231</v>
      </c>
      <c r="G282" s="284" t="str">
        <f>IFERROR(VLOOKUP(E282,Assign!$C$2:$J$142,8,FALSE),)</f>
        <v>문선영</v>
      </c>
      <c r="H282" s="236" t="s">
        <v>4075</v>
      </c>
      <c r="I282" s="236">
        <v>1</v>
      </c>
      <c r="J282" s="236">
        <v>1</v>
      </c>
      <c r="K282" s="355" t="s">
        <v>1373</v>
      </c>
      <c r="L282" s="356">
        <v>41824</v>
      </c>
      <c r="M282" s="357" t="s">
        <v>204</v>
      </c>
      <c r="N282" s="416">
        <v>177600000</v>
      </c>
      <c r="O282" s="416">
        <v>177600000</v>
      </c>
      <c r="P282" s="358"/>
      <c r="Q282" s="320"/>
      <c r="R282" s="168"/>
      <c r="S282" s="168"/>
      <c r="T282" s="287"/>
      <c r="U282" s="264"/>
      <c r="V282" s="198"/>
    </row>
    <row r="283" spans="1:22" s="90" customFormat="1" ht="19.5" hidden="1" customHeight="1">
      <c r="A283" s="137"/>
      <c r="B283" s="197">
        <f t="shared" si="5"/>
        <v>273</v>
      </c>
      <c r="C283" s="30" t="s">
        <v>206</v>
      </c>
      <c r="D283" s="30" t="s">
        <v>225</v>
      </c>
      <c r="E283" s="234" t="s">
        <v>794</v>
      </c>
      <c r="F283" s="235" t="s">
        <v>1223</v>
      </c>
      <c r="G283" s="284">
        <f>IFERROR(VLOOKUP(E283,Assign!$C$2:$J$142,8,FALSE),)</f>
        <v>0</v>
      </c>
      <c r="H283" s="236" t="s">
        <v>4501</v>
      </c>
      <c r="I283" s="236">
        <v>1</v>
      </c>
      <c r="J283" s="236">
        <v>1</v>
      </c>
      <c r="K283" s="355" t="s">
        <v>1373</v>
      </c>
      <c r="L283" s="356">
        <v>39668</v>
      </c>
      <c r="M283" s="357" t="s">
        <v>204</v>
      </c>
      <c r="N283" s="416">
        <v>223200000</v>
      </c>
      <c r="O283" s="416">
        <v>223200000</v>
      </c>
      <c r="P283" s="358"/>
      <c r="Q283" s="320"/>
      <c r="R283" s="168"/>
      <c r="S283" s="168"/>
      <c r="T283" s="287"/>
      <c r="U283" s="264"/>
      <c r="V283" s="198"/>
    </row>
    <row r="284" spans="1:22" s="90" customFormat="1" ht="19.5" customHeight="1">
      <c r="A284" s="137"/>
      <c r="B284" s="197">
        <f t="shared" si="5"/>
        <v>274</v>
      </c>
      <c r="C284" s="30" t="s">
        <v>206</v>
      </c>
      <c r="D284" s="30" t="s">
        <v>225</v>
      </c>
      <c r="E284" s="234" t="s">
        <v>795</v>
      </c>
      <c r="F284" s="235" t="s">
        <v>1252</v>
      </c>
      <c r="G284" s="284" t="str">
        <f>IFERROR(VLOOKUP(E284,Assign!$C$2:$J$142,8,FALSE),)</f>
        <v>문선영</v>
      </c>
      <c r="H284" s="236" t="s">
        <v>4579</v>
      </c>
      <c r="I284" s="236">
        <v>1</v>
      </c>
      <c r="J284" s="236">
        <v>1</v>
      </c>
      <c r="K284" s="355" t="s">
        <v>1373</v>
      </c>
      <c r="L284" s="356">
        <v>44755</v>
      </c>
      <c r="M284" s="357" t="s">
        <v>204</v>
      </c>
      <c r="N284" s="416">
        <v>156000000</v>
      </c>
      <c r="O284" s="416">
        <v>156000000</v>
      </c>
      <c r="P284" s="358"/>
      <c r="Q284" s="320"/>
      <c r="R284" s="168"/>
      <c r="S284" s="168"/>
      <c r="T284" s="287"/>
      <c r="U284" s="264"/>
      <c r="V284" s="198"/>
    </row>
    <row r="285" spans="1:22" s="90" customFormat="1" ht="19.5" hidden="1" customHeight="1">
      <c r="A285" s="137"/>
      <c r="B285" s="197">
        <f t="shared" si="5"/>
        <v>275</v>
      </c>
      <c r="C285" s="30" t="s">
        <v>206</v>
      </c>
      <c r="D285" s="30" t="s">
        <v>225</v>
      </c>
      <c r="E285" s="234" t="s">
        <v>796</v>
      </c>
      <c r="F285" s="235" t="s">
        <v>1231</v>
      </c>
      <c r="G285" s="284">
        <f>IFERROR(VLOOKUP(E285,Assign!$C$2:$J$142,8,FALSE),)</f>
        <v>0</v>
      </c>
      <c r="H285" s="236" t="s">
        <v>4127</v>
      </c>
      <c r="I285" s="236">
        <v>1</v>
      </c>
      <c r="J285" s="236">
        <v>1</v>
      </c>
      <c r="K285" s="355" t="s">
        <v>1373</v>
      </c>
      <c r="L285" s="356">
        <v>43833</v>
      </c>
      <c r="M285" s="357" t="s">
        <v>204</v>
      </c>
      <c r="N285" s="416">
        <v>177600000</v>
      </c>
      <c r="O285" s="416">
        <v>177600000</v>
      </c>
      <c r="P285" s="358"/>
      <c r="Q285" s="320"/>
      <c r="R285" s="168"/>
      <c r="S285" s="168"/>
      <c r="T285" s="287"/>
      <c r="U285" s="264"/>
      <c r="V285" s="198"/>
    </row>
    <row r="286" spans="1:22" s="90" customFormat="1" ht="19.5" hidden="1" customHeight="1">
      <c r="A286" s="137"/>
      <c r="B286" s="197">
        <f t="shared" si="5"/>
        <v>276</v>
      </c>
      <c r="C286" s="30" t="s">
        <v>206</v>
      </c>
      <c r="D286" s="30" t="s">
        <v>225</v>
      </c>
      <c r="E286" s="234" t="s">
        <v>797</v>
      </c>
      <c r="F286" s="235" t="s">
        <v>1253</v>
      </c>
      <c r="G286" s="284">
        <f>IFERROR(VLOOKUP(E286,Assign!$C$2:$J$142,8,FALSE),)</f>
        <v>0</v>
      </c>
      <c r="H286" s="236" t="s">
        <v>4058</v>
      </c>
      <c r="I286" s="236">
        <v>1</v>
      </c>
      <c r="J286" s="236">
        <v>1</v>
      </c>
      <c r="K286" s="355" t="s">
        <v>1373</v>
      </c>
      <c r="L286" s="356">
        <v>44505</v>
      </c>
      <c r="M286" s="357" t="s">
        <v>204</v>
      </c>
      <c r="N286" s="416">
        <v>143000000</v>
      </c>
      <c r="O286" s="416">
        <v>143000000</v>
      </c>
      <c r="P286" s="358"/>
      <c r="Q286" s="320"/>
      <c r="R286" s="168"/>
      <c r="S286" s="168"/>
      <c r="T286" s="287"/>
      <c r="U286" s="264"/>
      <c r="V286" s="198"/>
    </row>
    <row r="287" spans="1:22" s="90" customFormat="1" ht="19.5" customHeight="1">
      <c r="A287" s="137"/>
      <c r="B287" s="197">
        <f t="shared" si="5"/>
        <v>277</v>
      </c>
      <c r="C287" s="30" t="s">
        <v>206</v>
      </c>
      <c r="D287" s="30" t="s">
        <v>225</v>
      </c>
      <c r="E287" s="234" t="s">
        <v>798</v>
      </c>
      <c r="F287" s="235" t="s">
        <v>1231</v>
      </c>
      <c r="G287" s="284" t="str">
        <f>IFERROR(VLOOKUP(E287,Assign!$C$2:$J$142,8,FALSE),)</f>
        <v>문선영</v>
      </c>
      <c r="H287" s="236" t="s">
        <v>4209</v>
      </c>
      <c r="I287" s="236">
        <v>1</v>
      </c>
      <c r="J287" s="236">
        <v>1</v>
      </c>
      <c r="K287" s="355" t="s">
        <v>1373</v>
      </c>
      <c r="L287" s="356">
        <v>44824</v>
      </c>
      <c r="M287" s="357" t="s">
        <v>204</v>
      </c>
      <c r="N287" s="416">
        <v>142670000</v>
      </c>
      <c r="O287" s="416">
        <v>142670000</v>
      </c>
      <c r="P287" s="358"/>
      <c r="Q287" s="320"/>
      <c r="R287" s="168"/>
      <c r="S287" s="168"/>
      <c r="T287" s="287"/>
      <c r="U287" s="264"/>
      <c r="V287" s="198"/>
    </row>
    <row r="288" spans="1:22" s="90" customFormat="1" ht="19.5" hidden="1" customHeight="1">
      <c r="A288" s="137"/>
      <c r="B288" s="197">
        <f t="shared" si="5"/>
        <v>278</v>
      </c>
      <c r="C288" s="30" t="s">
        <v>206</v>
      </c>
      <c r="D288" s="30" t="s">
        <v>225</v>
      </c>
      <c r="E288" s="234" t="s">
        <v>799</v>
      </c>
      <c r="F288" s="235" t="s">
        <v>1229</v>
      </c>
      <c r="G288" s="284">
        <f>IFERROR(VLOOKUP(E288,Assign!$C$2:$J$142,8,FALSE),)</f>
        <v>0</v>
      </c>
      <c r="H288" s="236" t="s">
        <v>4959</v>
      </c>
      <c r="I288" s="236">
        <v>1</v>
      </c>
      <c r="J288" s="236">
        <v>1</v>
      </c>
      <c r="K288" s="355" t="s">
        <v>1373</v>
      </c>
      <c r="L288" s="356">
        <v>42307</v>
      </c>
      <c r="M288" s="357" t="s">
        <v>204</v>
      </c>
      <c r="N288" s="416">
        <v>171600000</v>
      </c>
      <c r="O288" s="416">
        <v>171600000</v>
      </c>
      <c r="P288" s="358"/>
      <c r="Q288" s="320"/>
      <c r="R288" s="168"/>
      <c r="S288" s="168"/>
      <c r="T288" s="287"/>
      <c r="U288" s="264"/>
      <c r="V288" s="198"/>
    </row>
    <row r="289" spans="1:22" s="90" customFormat="1" ht="19.5" hidden="1" customHeight="1">
      <c r="A289" s="137"/>
      <c r="B289" s="197">
        <f t="shared" si="5"/>
        <v>279</v>
      </c>
      <c r="C289" s="30" t="s">
        <v>206</v>
      </c>
      <c r="D289" s="30" t="s">
        <v>225</v>
      </c>
      <c r="E289" s="234" t="s">
        <v>800</v>
      </c>
      <c r="F289" s="235" t="s">
        <v>1226</v>
      </c>
      <c r="G289" s="284">
        <f>IFERROR(VLOOKUP(E289,Assign!$C$2:$J$142,8,FALSE),)</f>
        <v>0</v>
      </c>
      <c r="H289" s="236" t="s">
        <v>4374</v>
      </c>
      <c r="I289" s="236">
        <v>1</v>
      </c>
      <c r="J289" s="236">
        <v>1</v>
      </c>
      <c r="K289" s="355" t="s">
        <v>1373</v>
      </c>
      <c r="L289" s="356">
        <v>42697</v>
      </c>
      <c r="M289" s="357" t="s">
        <v>204</v>
      </c>
      <c r="N289" s="416">
        <v>145200000</v>
      </c>
      <c r="O289" s="416">
        <v>145200000</v>
      </c>
      <c r="P289" s="358"/>
      <c r="Q289" s="320"/>
      <c r="R289" s="168"/>
      <c r="S289" s="168"/>
      <c r="T289" s="287"/>
      <c r="U289" s="264"/>
      <c r="V289" s="198"/>
    </row>
    <row r="290" spans="1:22" s="90" customFormat="1" ht="19.5" hidden="1" customHeight="1">
      <c r="A290" s="137"/>
      <c r="B290" s="197">
        <f t="shared" si="5"/>
        <v>280</v>
      </c>
      <c r="C290" s="30" t="s">
        <v>206</v>
      </c>
      <c r="D290" s="30" t="s">
        <v>225</v>
      </c>
      <c r="E290" s="234" t="s">
        <v>801</v>
      </c>
      <c r="F290" s="235" t="s">
        <v>1254</v>
      </c>
      <c r="G290" s="284">
        <f>IFERROR(VLOOKUP(E290,Assign!$C$2:$J$142,8,FALSE),)</f>
        <v>0</v>
      </c>
      <c r="H290" s="236" t="s">
        <v>4886</v>
      </c>
      <c r="I290" s="236">
        <v>1</v>
      </c>
      <c r="J290" s="236">
        <v>1</v>
      </c>
      <c r="K290" s="355" t="s">
        <v>1373</v>
      </c>
      <c r="L290" s="356">
        <v>43105</v>
      </c>
      <c r="M290" s="357" t="s">
        <v>204</v>
      </c>
      <c r="N290" s="416">
        <v>168000000</v>
      </c>
      <c r="O290" s="416">
        <v>168000000</v>
      </c>
      <c r="P290" s="358"/>
      <c r="Q290" s="320"/>
      <c r="R290" s="168"/>
      <c r="S290" s="168"/>
      <c r="T290" s="287"/>
      <c r="U290" s="264"/>
      <c r="V290" s="198"/>
    </row>
    <row r="291" spans="1:22" s="90" customFormat="1" ht="19.5" hidden="1" customHeight="1">
      <c r="A291" s="137"/>
      <c r="B291" s="197">
        <f t="shared" si="5"/>
        <v>281</v>
      </c>
      <c r="C291" s="30" t="s">
        <v>206</v>
      </c>
      <c r="D291" s="30" t="s">
        <v>225</v>
      </c>
      <c r="E291" s="234" t="s">
        <v>802</v>
      </c>
      <c r="F291" s="235" t="s">
        <v>1217</v>
      </c>
      <c r="G291" s="284">
        <f>IFERROR(VLOOKUP(E291,Assign!$C$2:$J$142,8,FALSE),)</f>
        <v>0</v>
      </c>
      <c r="H291" s="236" t="s">
        <v>4328</v>
      </c>
      <c r="I291" s="236">
        <v>1</v>
      </c>
      <c r="J291" s="236">
        <v>1</v>
      </c>
      <c r="K291" s="355" t="s">
        <v>1373</v>
      </c>
      <c r="L291" s="356">
        <v>43430</v>
      </c>
      <c r="M291" s="357" t="s">
        <v>204</v>
      </c>
      <c r="N291" s="416">
        <v>162000000</v>
      </c>
      <c r="O291" s="416">
        <v>162000000</v>
      </c>
      <c r="P291" s="358"/>
      <c r="Q291" s="320"/>
      <c r="R291" s="168"/>
      <c r="S291" s="168"/>
      <c r="T291" s="287"/>
      <c r="U291" s="264"/>
      <c r="V291" s="198"/>
    </row>
    <row r="292" spans="1:22" s="90" customFormat="1" ht="19.5" hidden="1" customHeight="1">
      <c r="A292" s="137"/>
      <c r="B292" s="197">
        <f t="shared" si="5"/>
        <v>282</v>
      </c>
      <c r="C292" s="30" t="s">
        <v>206</v>
      </c>
      <c r="D292" s="30" t="s">
        <v>225</v>
      </c>
      <c r="E292" s="234" t="s">
        <v>803</v>
      </c>
      <c r="F292" s="235" t="s">
        <v>1319</v>
      </c>
      <c r="G292" s="284">
        <f>IFERROR(VLOOKUP(E292,Assign!$C$2:$J$142,8,FALSE),)</f>
        <v>0</v>
      </c>
      <c r="H292" s="236" t="s">
        <v>5286</v>
      </c>
      <c r="I292" s="236">
        <v>1</v>
      </c>
      <c r="J292" s="236">
        <v>1</v>
      </c>
      <c r="K292" s="355" t="s">
        <v>488</v>
      </c>
      <c r="L292" s="356">
        <v>41484</v>
      </c>
      <c r="M292" s="357" t="s">
        <v>204</v>
      </c>
      <c r="N292" s="416">
        <v>198000000</v>
      </c>
      <c r="O292" s="416">
        <v>198000000</v>
      </c>
      <c r="P292" s="358"/>
      <c r="Q292" s="320"/>
      <c r="R292" s="168"/>
      <c r="S292" s="168"/>
      <c r="T292" s="287"/>
      <c r="U292" s="264"/>
      <c r="V292" s="198"/>
    </row>
    <row r="293" spans="1:22" s="90" customFormat="1" ht="19.5" hidden="1" customHeight="1">
      <c r="A293" s="137"/>
      <c r="B293" s="197">
        <f t="shared" si="5"/>
        <v>283</v>
      </c>
      <c r="C293" s="30" t="s">
        <v>206</v>
      </c>
      <c r="D293" s="30" t="s">
        <v>225</v>
      </c>
      <c r="E293" s="234" t="s">
        <v>803</v>
      </c>
      <c r="F293" s="235" t="s">
        <v>1319</v>
      </c>
      <c r="G293" s="284">
        <f>IFERROR(VLOOKUP(E293,Assign!$C$2:$J$142,8,FALSE),)</f>
        <v>0</v>
      </c>
      <c r="H293" s="236" t="s">
        <v>5286</v>
      </c>
      <c r="I293" s="236">
        <v>1</v>
      </c>
      <c r="J293" s="236">
        <v>2</v>
      </c>
      <c r="K293" s="355" t="s">
        <v>1373</v>
      </c>
      <c r="L293" s="356">
        <v>44403</v>
      </c>
      <c r="M293" s="357" t="s">
        <v>204</v>
      </c>
      <c r="N293" s="416">
        <v>180000000</v>
      </c>
      <c r="O293" s="416">
        <v>180000000</v>
      </c>
      <c r="P293" s="358"/>
      <c r="Q293" s="320"/>
      <c r="R293" s="168"/>
      <c r="S293" s="168"/>
      <c r="T293" s="287"/>
      <c r="U293" s="264"/>
      <c r="V293" s="198"/>
    </row>
    <row r="294" spans="1:22" s="90" customFormat="1" ht="19.5" hidden="1" customHeight="1">
      <c r="A294" s="137"/>
      <c r="B294" s="197">
        <f t="shared" si="5"/>
        <v>284</v>
      </c>
      <c r="C294" s="30" t="s">
        <v>206</v>
      </c>
      <c r="D294" s="30" t="s">
        <v>225</v>
      </c>
      <c r="E294" s="234" t="s">
        <v>804</v>
      </c>
      <c r="F294" s="235" t="s">
        <v>1225</v>
      </c>
      <c r="G294" s="284">
        <f>IFERROR(VLOOKUP(E294,Assign!$C$2:$J$142,8,FALSE),)</f>
        <v>0</v>
      </c>
      <c r="H294" s="236" t="s">
        <v>5220</v>
      </c>
      <c r="I294" s="236">
        <v>1</v>
      </c>
      <c r="J294" s="236">
        <v>1</v>
      </c>
      <c r="K294" s="355" t="s">
        <v>1373</v>
      </c>
      <c r="L294" s="356">
        <v>43640</v>
      </c>
      <c r="M294" s="357" t="s">
        <v>204</v>
      </c>
      <c r="N294" s="416">
        <v>162000000</v>
      </c>
      <c r="O294" s="416">
        <v>162000000</v>
      </c>
      <c r="P294" s="358"/>
      <c r="Q294" s="320"/>
      <c r="R294" s="168"/>
      <c r="S294" s="168"/>
      <c r="T294" s="287"/>
      <c r="U294" s="264"/>
      <c r="V294" s="198"/>
    </row>
    <row r="295" spans="1:22" s="90" customFormat="1" ht="19.5" hidden="1" customHeight="1">
      <c r="A295" s="137"/>
      <c r="B295" s="197">
        <f t="shared" si="5"/>
        <v>285</v>
      </c>
      <c r="C295" s="30" t="s">
        <v>206</v>
      </c>
      <c r="D295" s="30" t="s">
        <v>225</v>
      </c>
      <c r="E295" s="234" t="s">
        <v>805</v>
      </c>
      <c r="F295" s="235" t="s">
        <v>1231</v>
      </c>
      <c r="G295" s="284">
        <f>IFERROR(VLOOKUP(E295,Assign!$C$2:$J$142,8,FALSE),)</f>
        <v>0</v>
      </c>
      <c r="H295" s="236" t="s">
        <v>4175</v>
      </c>
      <c r="I295" s="236">
        <v>1</v>
      </c>
      <c r="J295" s="236">
        <v>1</v>
      </c>
      <c r="K295" s="355" t="s">
        <v>1373</v>
      </c>
      <c r="L295" s="356">
        <v>43040</v>
      </c>
      <c r="M295" s="357" t="s">
        <v>204</v>
      </c>
      <c r="N295" s="416">
        <v>159600000</v>
      </c>
      <c r="O295" s="416">
        <v>159600000</v>
      </c>
      <c r="P295" s="358"/>
      <c r="Q295" s="320"/>
      <c r="R295" s="168"/>
      <c r="S295" s="168"/>
      <c r="T295" s="287"/>
      <c r="U295" s="264"/>
      <c r="V295" s="198"/>
    </row>
    <row r="296" spans="1:22" s="90" customFormat="1" ht="19.5" hidden="1" customHeight="1">
      <c r="A296" s="137"/>
      <c r="B296" s="197">
        <f t="shared" si="5"/>
        <v>286</v>
      </c>
      <c r="C296" s="30" t="s">
        <v>206</v>
      </c>
      <c r="D296" s="30" t="s">
        <v>225</v>
      </c>
      <c r="E296" s="234" t="s">
        <v>806</v>
      </c>
      <c r="F296" s="235" t="s">
        <v>1229</v>
      </c>
      <c r="G296" s="284">
        <f>IFERROR(VLOOKUP(E296,Assign!$C$2:$J$142,8,FALSE),)</f>
        <v>0</v>
      </c>
      <c r="H296" s="236" t="s">
        <v>4073</v>
      </c>
      <c r="I296" s="236">
        <v>1</v>
      </c>
      <c r="J296" s="236">
        <v>1</v>
      </c>
      <c r="K296" s="355" t="s">
        <v>1373</v>
      </c>
      <c r="L296" s="356">
        <v>42880</v>
      </c>
      <c r="M296" s="357" t="s">
        <v>204</v>
      </c>
      <c r="N296" s="416">
        <v>163800000</v>
      </c>
      <c r="O296" s="416">
        <v>163800000</v>
      </c>
      <c r="P296" s="358"/>
      <c r="Q296" s="320"/>
      <c r="R296" s="168"/>
      <c r="S296" s="168"/>
      <c r="T296" s="287"/>
      <c r="U296" s="264"/>
      <c r="V296" s="198"/>
    </row>
    <row r="297" spans="1:22" s="90" customFormat="1" ht="19.5" hidden="1" customHeight="1">
      <c r="A297" s="137"/>
      <c r="B297" s="197">
        <f t="shared" si="5"/>
        <v>287</v>
      </c>
      <c r="C297" s="30" t="s">
        <v>206</v>
      </c>
      <c r="D297" s="30" t="s">
        <v>225</v>
      </c>
      <c r="E297" s="234" t="s">
        <v>807</v>
      </c>
      <c r="F297" s="235" t="s">
        <v>1229</v>
      </c>
      <c r="G297" s="284">
        <f>IFERROR(VLOOKUP(E297,Assign!$C$2:$J$142,8,FALSE),)</f>
        <v>0</v>
      </c>
      <c r="H297" s="236" t="s">
        <v>5372</v>
      </c>
      <c r="I297" s="236">
        <v>1</v>
      </c>
      <c r="J297" s="236">
        <v>1</v>
      </c>
      <c r="K297" s="355" t="s">
        <v>1373</v>
      </c>
      <c r="L297" s="356">
        <v>44523</v>
      </c>
      <c r="M297" s="357" t="s">
        <v>204</v>
      </c>
      <c r="N297" s="416">
        <v>132000000</v>
      </c>
      <c r="O297" s="416">
        <v>132000000</v>
      </c>
      <c r="P297" s="358"/>
      <c r="Q297" s="320"/>
      <c r="R297" s="168"/>
      <c r="S297" s="168"/>
      <c r="T297" s="287"/>
      <c r="U297" s="264"/>
      <c r="V297" s="198"/>
    </row>
    <row r="298" spans="1:22" s="90" customFormat="1" ht="19.5" customHeight="1">
      <c r="A298" s="137"/>
      <c r="B298" s="197">
        <f t="shared" si="5"/>
        <v>288</v>
      </c>
      <c r="C298" s="30" t="s">
        <v>206</v>
      </c>
      <c r="D298" s="30" t="s">
        <v>225</v>
      </c>
      <c r="E298" s="234" t="s">
        <v>808</v>
      </c>
      <c r="F298" s="235" t="s">
        <v>1225</v>
      </c>
      <c r="G298" s="284" t="str">
        <f>IFERROR(VLOOKUP(E298,Assign!$C$2:$J$142,8,FALSE),)</f>
        <v>문선영</v>
      </c>
      <c r="H298" s="236" t="s">
        <v>4646</v>
      </c>
      <c r="I298" s="236">
        <v>1</v>
      </c>
      <c r="J298" s="236">
        <v>1</v>
      </c>
      <c r="K298" s="355" t="s">
        <v>1373</v>
      </c>
      <c r="L298" s="356">
        <v>41780</v>
      </c>
      <c r="M298" s="357" t="s">
        <v>204</v>
      </c>
      <c r="N298" s="416">
        <v>240000000</v>
      </c>
      <c r="O298" s="416">
        <v>240000000</v>
      </c>
      <c r="P298" s="358"/>
      <c r="Q298" s="320"/>
      <c r="R298" s="168"/>
      <c r="S298" s="168"/>
      <c r="T298" s="287"/>
      <c r="U298" s="264"/>
      <c r="V298" s="198"/>
    </row>
    <row r="299" spans="1:22" s="90" customFormat="1" ht="19.5" hidden="1" customHeight="1">
      <c r="A299" s="137"/>
      <c r="B299" s="197">
        <f t="shared" si="5"/>
        <v>289</v>
      </c>
      <c r="C299" s="30" t="s">
        <v>206</v>
      </c>
      <c r="D299" s="30" t="s">
        <v>225</v>
      </c>
      <c r="E299" s="234" t="s">
        <v>809</v>
      </c>
      <c r="F299" s="235" t="s">
        <v>1224</v>
      </c>
      <c r="G299" s="284">
        <f>IFERROR(VLOOKUP(E299,Assign!$C$2:$J$142,8,FALSE),)</f>
        <v>0</v>
      </c>
      <c r="H299" s="236" t="s">
        <v>4892</v>
      </c>
      <c r="I299" s="236">
        <v>1</v>
      </c>
      <c r="J299" s="236">
        <v>1</v>
      </c>
      <c r="K299" s="355" t="s">
        <v>1373</v>
      </c>
      <c r="L299" s="356">
        <v>43357</v>
      </c>
      <c r="M299" s="357" t="s">
        <v>204</v>
      </c>
      <c r="N299" s="416">
        <v>156000000</v>
      </c>
      <c r="O299" s="416">
        <v>156000000</v>
      </c>
      <c r="P299" s="358"/>
      <c r="Q299" s="320"/>
      <c r="R299" s="168"/>
      <c r="S299" s="168"/>
      <c r="T299" s="287"/>
      <c r="U299" s="264"/>
      <c r="V299" s="198"/>
    </row>
    <row r="300" spans="1:22" s="90" customFormat="1" ht="19.5" hidden="1" customHeight="1">
      <c r="A300" s="137"/>
      <c r="B300" s="197">
        <f t="shared" si="5"/>
        <v>290</v>
      </c>
      <c r="C300" s="30" t="s">
        <v>206</v>
      </c>
      <c r="D300" s="30" t="s">
        <v>225</v>
      </c>
      <c r="E300" s="234" t="s">
        <v>810</v>
      </c>
      <c r="F300" s="235" t="s">
        <v>1229</v>
      </c>
      <c r="G300" s="284">
        <f>IFERROR(VLOOKUP(E300,Assign!$C$2:$J$142,8,FALSE),)</f>
        <v>0</v>
      </c>
      <c r="H300" s="236" t="s">
        <v>4338</v>
      </c>
      <c r="I300" s="236">
        <v>1</v>
      </c>
      <c r="J300" s="236">
        <v>1</v>
      </c>
      <c r="K300" s="355" t="s">
        <v>1373</v>
      </c>
      <c r="L300" s="356">
        <v>42019</v>
      </c>
      <c r="M300" s="357" t="s">
        <v>204</v>
      </c>
      <c r="N300" s="416">
        <v>38400000</v>
      </c>
      <c r="O300" s="416">
        <v>38400000</v>
      </c>
      <c r="P300" s="358"/>
      <c r="Q300" s="320"/>
      <c r="R300" s="168"/>
      <c r="S300" s="168"/>
      <c r="T300" s="287"/>
      <c r="U300" s="264"/>
      <c r="V300" s="198"/>
    </row>
    <row r="301" spans="1:22" s="90" customFormat="1" ht="19.5" hidden="1" customHeight="1">
      <c r="A301" s="137"/>
      <c r="B301" s="197">
        <f t="shared" si="5"/>
        <v>291</v>
      </c>
      <c r="C301" s="30" t="s">
        <v>206</v>
      </c>
      <c r="D301" s="30" t="s">
        <v>225</v>
      </c>
      <c r="E301" s="234" t="s">
        <v>810</v>
      </c>
      <c r="F301" s="235" t="s">
        <v>1229</v>
      </c>
      <c r="G301" s="284">
        <f>IFERROR(VLOOKUP(E301,Assign!$C$2:$J$142,8,FALSE),)</f>
        <v>0</v>
      </c>
      <c r="H301" s="236" t="s">
        <v>4338</v>
      </c>
      <c r="I301" s="236">
        <v>1</v>
      </c>
      <c r="J301" s="236">
        <v>2</v>
      </c>
      <c r="K301" s="355" t="s">
        <v>1373</v>
      </c>
      <c r="L301" s="356">
        <v>42019</v>
      </c>
      <c r="M301" s="357" t="s">
        <v>204</v>
      </c>
      <c r="N301" s="416">
        <v>60000000</v>
      </c>
      <c r="O301" s="416">
        <v>60000000</v>
      </c>
      <c r="P301" s="358"/>
      <c r="Q301" s="320">
        <v>2</v>
      </c>
      <c r="R301" s="168"/>
      <c r="S301" s="168"/>
      <c r="T301" s="287"/>
      <c r="U301" s="264"/>
      <c r="V301" s="198"/>
    </row>
    <row r="302" spans="1:22" s="90" customFormat="1" ht="19.5" hidden="1" customHeight="1">
      <c r="A302" s="137"/>
      <c r="B302" s="197">
        <f t="shared" si="5"/>
        <v>292</v>
      </c>
      <c r="C302" s="30" t="s">
        <v>206</v>
      </c>
      <c r="D302" s="30" t="s">
        <v>225</v>
      </c>
      <c r="E302" s="234" t="s">
        <v>810</v>
      </c>
      <c r="F302" s="235" t="s">
        <v>1229</v>
      </c>
      <c r="G302" s="284">
        <f>IFERROR(VLOOKUP(E302,Assign!$C$2:$J$142,8,FALSE),)</f>
        <v>0</v>
      </c>
      <c r="H302" s="236" t="s">
        <v>4340</v>
      </c>
      <c r="I302" s="236">
        <v>2</v>
      </c>
      <c r="J302" s="236">
        <v>1</v>
      </c>
      <c r="K302" s="355" t="s">
        <v>1373</v>
      </c>
      <c r="L302" s="356">
        <v>42019</v>
      </c>
      <c r="M302" s="357" t="s">
        <v>204</v>
      </c>
      <c r="N302" s="416">
        <v>38400000</v>
      </c>
      <c r="O302" s="416">
        <v>38400000</v>
      </c>
      <c r="P302" s="358"/>
      <c r="Q302" s="320"/>
      <c r="R302" s="168"/>
      <c r="S302" s="168"/>
      <c r="T302" s="287"/>
      <c r="U302" s="264"/>
      <c r="V302" s="198"/>
    </row>
    <row r="303" spans="1:22" s="90" customFormat="1" ht="19.5" hidden="1" customHeight="1">
      <c r="A303" s="137"/>
      <c r="B303" s="197">
        <f t="shared" si="5"/>
        <v>293</v>
      </c>
      <c r="C303" s="30" t="s">
        <v>206</v>
      </c>
      <c r="D303" s="30" t="s">
        <v>225</v>
      </c>
      <c r="E303" s="234" t="s">
        <v>810</v>
      </c>
      <c r="F303" s="235" t="s">
        <v>1229</v>
      </c>
      <c r="G303" s="284">
        <f>IFERROR(VLOOKUP(E303,Assign!$C$2:$J$142,8,FALSE),)</f>
        <v>0</v>
      </c>
      <c r="H303" s="236" t="s">
        <v>4340</v>
      </c>
      <c r="I303" s="236">
        <v>2</v>
      </c>
      <c r="J303" s="236">
        <v>2</v>
      </c>
      <c r="K303" s="355" t="s">
        <v>1373</v>
      </c>
      <c r="L303" s="356">
        <v>42019</v>
      </c>
      <c r="M303" s="357" t="s">
        <v>204</v>
      </c>
      <c r="N303" s="416">
        <v>60000000</v>
      </c>
      <c r="O303" s="416">
        <v>60000000</v>
      </c>
      <c r="P303" s="358"/>
      <c r="Q303" s="320">
        <v>1</v>
      </c>
      <c r="R303" s="168"/>
      <c r="S303" s="168"/>
      <c r="T303" s="287"/>
      <c r="U303" s="264"/>
      <c r="V303" s="198"/>
    </row>
    <row r="304" spans="1:22" s="90" customFormat="1" ht="19.5" customHeight="1">
      <c r="A304" s="137"/>
      <c r="B304" s="197">
        <f t="shared" si="5"/>
        <v>294</v>
      </c>
      <c r="C304" s="30" t="s">
        <v>206</v>
      </c>
      <c r="D304" s="30" t="s">
        <v>225</v>
      </c>
      <c r="E304" s="234" t="s">
        <v>811</v>
      </c>
      <c r="F304" s="235" t="s">
        <v>1255</v>
      </c>
      <c r="G304" s="284" t="str">
        <f>IFERROR(VLOOKUP(E304,Assign!$C$2:$J$142,8,FALSE),)</f>
        <v>문선영</v>
      </c>
      <c r="H304" s="236" t="s">
        <v>4227</v>
      </c>
      <c r="I304" s="236">
        <v>1</v>
      </c>
      <c r="J304" s="236">
        <v>1</v>
      </c>
      <c r="K304" s="355" t="s">
        <v>1373</v>
      </c>
      <c r="L304" s="356">
        <v>42797</v>
      </c>
      <c r="M304" s="357" t="s">
        <v>204</v>
      </c>
      <c r="N304" s="416">
        <v>120000000</v>
      </c>
      <c r="O304" s="416">
        <v>120000000</v>
      </c>
      <c r="P304" s="358"/>
      <c r="Q304" s="320"/>
      <c r="R304" s="168"/>
      <c r="S304" s="168"/>
      <c r="T304" s="287"/>
      <c r="U304" s="264"/>
      <c r="V304" s="198"/>
    </row>
    <row r="305" spans="1:22" s="90" customFormat="1" ht="19.5" hidden="1" customHeight="1">
      <c r="A305" s="137"/>
      <c r="B305" s="197">
        <f t="shared" si="5"/>
        <v>295</v>
      </c>
      <c r="C305" s="30" t="s">
        <v>206</v>
      </c>
      <c r="D305" s="30" t="s">
        <v>225</v>
      </c>
      <c r="E305" s="234" t="s">
        <v>812</v>
      </c>
      <c r="F305" s="235" t="s">
        <v>1235</v>
      </c>
      <c r="G305" s="284">
        <f>IFERROR(VLOOKUP(E305,Assign!$C$2:$J$142,8,FALSE),)</f>
        <v>0</v>
      </c>
      <c r="H305" s="236" t="s">
        <v>4593</v>
      </c>
      <c r="I305" s="236">
        <v>1</v>
      </c>
      <c r="J305" s="236">
        <v>1</v>
      </c>
      <c r="K305" s="355" t="s">
        <v>1373</v>
      </c>
      <c r="L305" s="356">
        <v>42348</v>
      </c>
      <c r="M305" s="357" t="s">
        <v>204</v>
      </c>
      <c r="N305" s="416">
        <v>133000000</v>
      </c>
      <c r="O305" s="416">
        <v>133000000</v>
      </c>
      <c r="P305" s="358"/>
      <c r="Q305" s="320"/>
      <c r="R305" s="168"/>
      <c r="S305" s="168"/>
      <c r="T305" s="287"/>
      <c r="U305" s="264"/>
      <c r="V305" s="198"/>
    </row>
    <row r="306" spans="1:22" s="90" customFormat="1" ht="19.5" hidden="1" customHeight="1">
      <c r="A306" s="137"/>
      <c r="B306" s="197">
        <f t="shared" si="5"/>
        <v>296</v>
      </c>
      <c r="C306" s="30" t="s">
        <v>206</v>
      </c>
      <c r="D306" s="30" t="s">
        <v>225</v>
      </c>
      <c r="E306" s="234" t="s">
        <v>813</v>
      </c>
      <c r="F306" s="235" t="s">
        <v>1225</v>
      </c>
      <c r="G306" s="284">
        <f>IFERROR(VLOOKUP(E306,Assign!$C$2:$J$142,8,FALSE),)</f>
        <v>0</v>
      </c>
      <c r="H306" s="236" t="s">
        <v>4118</v>
      </c>
      <c r="I306" s="236">
        <v>1</v>
      </c>
      <c r="J306" s="236">
        <v>1</v>
      </c>
      <c r="K306" s="355" t="s">
        <v>1373</v>
      </c>
      <c r="L306" s="356">
        <v>37580</v>
      </c>
      <c r="M306" s="357" t="s">
        <v>204</v>
      </c>
      <c r="N306" s="416">
        <v>134400000</v>
      </c>
      <c r="O306" s="416">
        <v>134400000</v>
      </c>
      <c r="P306" s="358"/>
      <c r="Q306" s="320"/>
      <c r="R306" s="168"/>
      <c r="S306" s="168"/>
      <c r="T306" s="287"/>
      <c r="U306" s="264"/>
      <c r="V306" s="198"/>
    </row>
    <row r="307" spans="1:22" s="90" customFormat="1" ht="19.5" hidden="1" customHeight="1">
      <c r="A307" s="137"/>
      <c r="B307" s="197">
        <f t="shared" si="5"/>
        <v>297</v>
      </c>
      <c r="C307" s="30" t="s">
        <v>206</v>
      </c>
      <c r="D307" s="30" t="s">
        <v>225</v>
      </c>
      <c r="E307" s="234" t="s">
        <v>813</v>
      </c>
      <c r="F307" s="235" t="s">
        <v>1225</v>
      </c>
      <c r="G307" s="284">
        <f>IFERROR(VLOOKUP(E307,Assign!$C$2:$J$142,8,FALSE),)</f>
        <v>0</v>
      </c>
      <c r="H307" s="236" t="s">
        <v>4118</v>
      </c>
      <c r="I307" s="236">
        <v>1</v>
      </c>
      <c r="J307" s="236">
        <v>2</v>
      </c>
      <c r="K307" s="355" t="s">
        <v>1373</v>
      </c>
      <c r="L307" s="356">
        <v>40891</v>
      </c>
      <c r="M307" s="357" t="s">
        <v>204</v>
      </c>
      <c r="N307" s="416">
        <v>60000000</v>
      </c>
      <c r="O307" s="416">
        <v>60000000</v>
      </c>
      <c r="P307" s="358"/>
      <c r="Q307" s="320"/>
      <c r="R307" s="168"/>
      <c r="S307" s="168"/>
      <c r="T307" s="287"/>
      <c r="U307" s="264"/>
      <c r="V307" s="198"/>
    </row>
    <row r="308" spans="1:22" s="90" customFormat="1" ht="19.5" hidden="1" customHeight="1">
      <c r="A308" s="137"/>
      <c r="B308" s="197">
        <f t="shared" si="5"/>
        <v>298</v>
      </c>
      <c r="C308" s="30" t="s">
        <v>206</v>
      </c>
      <c r="D308" s="30" t="s">
        <v>225</v>
      </c>
      <c r="E308" s="234" t="s">
        <v>814</v>
      </c>
      <c r="F308" s="235" t="s">
        <v>1217</v>
      </c>
      <c r="G308" s="284">
        <f>IFERROR(VLOOKUP(E308,Assign!$C$2:$J$142,8,FALSE),)</f>
        <v>0</v>
      </c>
      <c r="H308" s="236" t="s">
        <v>4130</v>
      </c>
      <c r="I308" s="236">
        <v>1</v>
      </c>
      <c r="J308" s="236">
        <v>1</v>
      </c>
      <c r="K308" s="355" t="s">
        <v>1373</v>
      </c>
      <c r="L308" s="356">
        <v>44733</v>
      </c>
      <c r="M308" s="357" t="s">
        <v>204</v>
      </c>
      <c r="N308" s="416">
        <v>136800000</v>
      </c>
      <c r="O308" s="416">
        <v>136800000</v>
      </c>
      <c r="P308" s="358"/>
      <c r="Q308" s="320"/>
      <c r="R308" s="168"/>
      <c r="S308" s="168"/>
      <c r="T308" s="287"/>
      <c r="U308" s="264"/>
      <c r="V308" s="198"/>
    </row>
    <row r="309" spans="1:22" s="90" customFormat="1" ht="19.5" customHeight="1">
      <c r="A309" s="137"/>
      <c r="B309" s="197">
        <f t="shared" si="5"/>
        <v>299</v>
      </c>
      <c r="C309" s="30" t="s">
        <v>206</v>
      </c>
      <c r="D309" s="30" t="s">
        <v>225</v>
      </c>
      <c r="E309" s="234" t="s">
        <v>815</v>
      </c>
      <c r="F309" s="235" t="s">
        <v>1249</v>
      </c>
      <c r="G309" s="284" t="str">
        <f>IFERROR(VLOOKUP(E309,Assign!$C$2:$J$142,8,FALSE),)</f>
        <v>문선영</v>
      </c>
      <c r="H309" s="236" t="s">
        <v>3888</v>
      </c>
      <c r="I309" s="236">
        <v>1</v>
      </c>
      <c r="J309" s="236">
        <v>1</v>
      </c>
      <c r="K309" s="355" t="s">
        <v>1373</v>
      </c>
      <c r="L309" s="356">
        <v>44194</v>
      </c>
      <c r="M309" s="357" t="s">
        <v>204</v>
      </c>
      <c r="N309" s="416">
        <v>140400000</v>
      </c>
      <c r="O309" s="416">
        <v>140400000</v>
      </c>
      <c r="P309" s="358"/>
      <c r="Q309" s="320"/>
      <c r="R309" s="168"/>
      <c r="S309" s="168"/>
      <c r="T309" s="287"/>
      <c r="U309" s="264"/>
      <c r="V309" s="198"/>
    </row>
    <row r="310" spans="1:22" s="90" customFormat="1" ht="19.5" hidden="1" customHeight="1">
      <c r="A310" s="137"/>
      <c r="B310" s="197">
        <f t="shared" si="5"/>
        <v>300</v>
      </c>
      <c r="C310" s="30" t="s">
        <v>206</v>
      </c>
      <c r="D310" s="30" t="s">
        <v>225</v>
      </c>
      <c r="E310" s="234" t="s">
        <v>816</v>
      </c>
      <c r="F310" s="235" t="s">
        <v>1249</v>
      </c>
      <c r="G310" s="284">
        <f>IFERROR(VLOOKUP(E310,Assign!$C$2:$J$142,8,FALSE),)</f>
        <v>0</v>
      </c>
      <c r="H310" s="236" t="s">
        <v>5119</v>
      </c>
      <c r="I310" s="236">
        <v>1</v>
      </c>
      <c r="J310" s="236">
        <v>1</v>
      </c>
      <c r="K310" s="355" t="s">
        <v>1373</v>
      </c>
      <c r="L310" s="356">
        <v>42940</v>
      </c>
      <c r="M310" s="357" t="s">
        <v>204</v>
      </c>
      <c r="N310" s="416">
        <v>151200000</v>
      </c>
      <c r="O310" s="416">
        <v>151200000</v>
      </c>
      <c r="P310" s="358"/>
      <c r="Q310" s="320"/>
      <c r="R310" s="168"/>
      <c r="S310" s="168"/>
      <c r="T310" s="287"/>
      <c r="U310" s="264"/>
      <c r="V310" s="198"/>
    </row>
    <row r="311" spans="1:22" s="90" customFormat="1" ht="19.5" hidden="1" customHeight="1">
      <c r="A311" s="137"/>
      <c r="B311" s="197">
        <f t="shared" si="5"/>
        <v>301</v>
      </c>
      <c r="C311" s="30" t="s">
        <v>206</v>
      </c>
      <c r="D311" s="30" t="s">
        <v>225</v>
      </c>
      <c r="E311" s="234" t="s">
        <v>817</v>
      </c>
      <c r="F311" s="235" t="s">
        <v>1256</v>
      </c>
      <c r="G311" s="284">
        <f>IFERROR(VLOOKUP(E311,Assign!$C$2:$J$142,8,FALSE),)</f>
        <v>0</v>
      </c>
      <c r="H311" s="236" t="s">
        <v>4843</v>
      </c>
      <c r="I311" s="236">
        <v>1</v>
      </c>
      <c r="J311" s="236">
        <v>1</v>
      </c>
      <c r="K311" s="355" t="s">
        <v>1373</v>
      </c>
      <c r="L311" s="356">
        <v>41591</v>
      </c>
      <c r="M311" s="357" t="s">
        <v>204</v>
      </c>
      <c r="N311" s="416">
        <v>128400000</v>
      </c>
      <c r="O311" s="416">
        <v>128400000</v>
      </c>
      <c r="P311" s="358"/>
      <c r="Q311" s="320"/>
      <c r="R311" s="168"/>
      <c r="S311" s="168"/>
      <c r="T311" s="287"/>
      <c r="U311" s="264"/>
      <c r="V311" s="198"/>
    </row>
    <row r="312" spans="1:22" s="90" customFormat="1" ht="19.5" customHeight="1">
      <c r="A312" s="137"/>
      <c r="B312" s="197">
        <f t="shared" si="5"/>
        <v>302</v>
      </c>
      <c r="C312" s="30" t="s">
        <v>206</v>
      </c>
      <c r="D312" s="30" t="s">
        <v>225</v>
      </c>
      <c r="E312" s="234" t="s">
        <v>818</v>
      </c>
      <c r="F312" s="235" t="s">
        <v>1244</v>
      </c>
      <c r="G312" s="284" t="str">
        <f>IFERROR(VLOOKUP(E312,Assign!$C$2:$J$142,8,FALSE),)</f>
        <v>문선영</v>
      </c>
      <c r="H312" s="236" t="s">
        <v>4306</v>
      </c>
      <c r="I312" s="236">
        <v>1</v>
      </c>
      <c r="J312" s="236">
        <v>1</v>
      </c>
      <c r="K312" s="355" t="s">
        <v>1373</v>
      </c>
      <c r="L312" s="356">
        <v>43075</v>
      </c>
      <c r="M312" s="357" t="s">
        <v>204</v>
      </c>
      <c r="N312" s="416">
        <v>144000000</v>
      </c>
      <c r="O312" s="416">
        <v>144000000</v>
      </c>
      <c r="P312" s="358"/>
      <c r="Q312" s="320"/>
      <c r="R312" s="168"/>
      <c r="S312" s="168"/>
      <c r="T312" s="287"/>
      <c r="U312" s="264"/>
      <c r="V312" s="198"/>
    </row>
    <row r="313" spans="1:22" s="90" customFormat="1" ht="19.5" hidden="1" customHeight="1">
      <c r="A313" s="137"/>
      <c r="B313" s="197">
        <f t="shared" si="5"/>
        <v>303</v>
      </c>
      <c r="C313" s="30" t="s">
        <v>206</v>
      </c>
      <c r="D313" s="30" t="s">
        <v>225</v>
      </c>
      <c r="E313" s="234" t="s">
        <v>819</v>
      </c>
      <c r="F313" s="235" t="s">
        <v>1231</v>
      </c>
      <c r="G313" s="284">
        <f>IFERROR(VLOOKUP(E313,Assign!$C$2:$J$142,8,FALSE),)</f>
        <v>0</v>
      </c>
      <c r="H313" s="236" t="s">
        <v>4290</v>
      </c>
      <c r="I313" s="236">
        <v>1</v>
      </c>
      <c r="J313" s="236">
        <v>1</v>
      </c>
      <c r="K313" s="355" t="s">
        <v>1373</v>
      </c>
      <c r="L313" s="356">
        <v>43279</v>
      </c>
      <c r="M313" s="357" t="s">
        <v>204</v>
      </c>
      <c r="N313" s="416">
        <v>138840000</v>
      </c>
      <c r="O313" s="416">
        <v>138840000</v>
      </c>
      <c r="P313" s="358"/>
      <c r="Q313" s="320"/>
      <c r="R313" s="168"/>
      <c r="S313" s="168"/>
      <c r="T313" s="287"/>
      <c r="U313" s="264"/>
      <c r="V313" s="198"/>
    </row>
    <row r="314" spans="1:22" s="90" customFormat="1" ht="19.5" hidden="1" customHeight="1">
      <c r="A314" s="137"/>
      <c r="B314" s="197">
        <f t="shared" si="5"/>
        <v>304</v>
      </c>
      <c r="C314" s="30" t="s">
        <v>206</v>
      </c>
      <c r="D314" s="30" t="s">
        <v>225</v>
      </c>
      <c r="E314" s="234" t="s">
        <v>820</v>
      </c>
      <c r="F314" s="235" t="s">
        <v>1229</v>
      </c>
      <c r="G314" s="284">
        <f>IFERROR(VLOOKUP(E314,Assign!$C$2:$J$142,8,FALSE),)</f>
        <v>0</v>
      </c>
      <c r="H314" s="236" t="s">
        <v>4491</v>
      </c>
      <c r="I314" s="236">
        <v>1</v>
      </c>
      <c r="J314" s="236">
        <v>1</v>
      </c>
      <c r="K314" s="355" t="s">
        <v>1373</v>
      </c>
      <c r="L314" s="356">
        <v>43635</v>
      </c>
      <c r="M314" s="357" t="s">
        <v>204</v>
      </c>
      <c r="N314" s="416">
        <v>144000000</v>
      </c>
      <c r="O314" s="416">
        <v>144000000</v>
      </c>
      <c r="P314" s="358"/>
      <c r="Q314" s="320"/>
      <c r="R314" s="168"/>
      <c r="S314" s="168"/>
      <c r="T314" s="287"/>
      <c r="U314" s="264"/>
      <c r="V314" s="198"/>
    </row>
    <row r="315" spans="1:22" s="90" customFormat="1" ht="19.5" hidden="1" customHeight="1">
      <c r="A315" s="137"/>
      <c r="B315" s="197">
        <f t="shared" si="5"/>
        <v>305</v>
      </c>
      <c r="C315" s="30" t="s">
        <v>206</v>
      </c>
      <c r="D315" s="30" t="s">
        <v>225</v>
      </c>
      <c r="E315" s="234" t="s">
        <v>821</v>
      </c>
      <c r="F315" s="235" t="s">
        <v>611</v>
      </c>
      <c r="G315" s="284">
        <f>IFERROR(VLOOKUP(E315,Assign!$C$2:$J$142,8,FALSE),)</f>
        <v>0</v>
      </c>
      <c r="H315" s="236" t="s">
        <v>4362</v>
      </c>
      <c r="I315" s="236">
        <v>1</v>
      </c>
      <c r="J315" s="236">
        <v>1</v>
      </c>
      <c r="K315" s="355" t="s">
        <v>1375</v>
      </c>
      <c r="L315" s="356">
        <v>42150</v>
      </c>
      <c r="M315" s="357" t="s">
        <v>204</v>
      </c>
      <c r="N315" s="416">
        <v>144000000</v>
      </c>
      <c r="O315" s="416">
        <v>144000000</v>
      </c>
      <c r="P315" s="358"/>
      <c r="Q315" s="320"/>
      <c r="R315" s="168"/>
      <c r="S315" s="168"/>
      <c r="T315" s="287"/>
      <c r="U315" s="264"/>
      <c r="V315" s="198"/>
    </row>
    <row r="316" spans="1:22" s="90" customFormat="1" ht="19.5" hidden="1" customHeight="1">
      <c r="A316" s="137"/>
      <c r="B316" s="197">
        <f t="shared" si="5"/>
        <v>306</v>
      </c>
      <c r="C316" s="30" t="s">
        <v>206</v>
      </c>
      <c r="D316" s="30" t="s">
        <v>225</v>
      </c>
      <c r="E316" s="234" t="s">
        <v>821</v>
      </c>
      <c r="F316" s="235" t="s">
        <v>611</v>
      </c>
      <c r="G316" s="284">
        <f>IFERROR(VLOOKUP(E316,Assign!$C$2:$J$142,8,FALSE),)</f>
        <v>0</v>
      </c>
      <c r="H316" s="236" t="s">
        <v>4362</v>
      </c>
      <c r="I316" s="236">
        <v>1</v>
      </c>
      <c r="J316" s="236">
        <v>2</v>
      </c>
      <c r="K316" s="355" t="s">
        <v>1375</v>
      </c>
      <c r="L316" s="356">
        <v>42328</v>
      </c>
      <c r="M316" s="357" t="s">
        <v>204</v>
      </c>
      <c r="N316" s="416">
        <v>117600000</v>
      </c>
      <c r="O316" s="416">
        <v>117600000</v>
      </c>
      <c r="P316" s="358"/>
      <c r="Q316" s="320"/>
      <c r="R316" s="168"/>
      <c r="S316" s="168"/>
      <c r="T316" s="287"/>
      <c r="U316" s="264"/>
      <c r="V316" s="198"/>
    </row>
    <row r="317" spans="1:22" s="90" customFormat="1" ht="19.5" hidden="1" customHeight="1">
      <c r="A317" s="137"/>
      <c r="B317" s="197">
        <f t="shared" si="5"/>
        <v>307</v>
      </c>
      <c r="C317" s="30" t="s">
        <v>206</v>
      </c>
      <c r="D317" s="30" t="s">
        <v>225</v>
      </c>
      <c r="E317" s="234" t="s">
        <v>821</v>
      </c>
      <c r="F317" s="235" t="s">
        <v>611</v>
      </c>
      <c r="G317" s="284">
        <f>IFERROR(VLOOKUP(E317,Assign!$C$2:$J$142,8,FALSE),)</f>
        <v>0</v>
      </c>
      <c r="H317" s="236" t="s">
        <v>4362</v>
      </c>
      <c r="I317" s="236">
        <v>1</v>
      </c>
      <c r="J317" s="236">
        <v>3</v>
      </c>
      <c r="K317" s="355" t="s">
        <v>1373</v>
      </c>
      <c r="L317" s="356">
        <v>43614</v>
      </c>
      <c r="M317" s="357" t="s">
        <v>204</v>
      </c>
      <c r="N317" s="416">
        <v>120000000</v>
      </c>
      <c r="O317" s="416">
        <v>120000000</v>
      </c>
      <c r="P317" s="358"/>
      <c r="Q317" s="320"/>
      <c r="R317" s="168"/>
      <c r="S317" s="168"/>
      <c r="T317" s="287"/>
      <c r="U317" s="264"/>
      <c r="V317" s="198"/>
    </row>
    <row r="318" spans="1:22" s="90" customFormat="1" ht="19.5" hidden="1" customHeight="1">
      <c r="A318" s="137"/>
      <c r="B318" s="197">
        <f t="shared" si="5"/>
        <v>308</v>
      </c>
      <c r="C318" s="30" t="s">
        <v>206</v>
      </c>
      <c r="D318" s="30" t="s">
        <v>225</v>
      </c>
      <c r="E318" s="234" t="s">
        <v>822</v>
      </c>
      <c r="F318" s="235" t="s">
        <v>1225</v>
      </c>
      <c r="G318" s="284">
        <f>IFERROR(VLOOKUP(E318,Assign!$C$2:$J$142,8,FALSE),)</f>
        <v>0</v>
      </c>
      <c r="H318" s="236" t="s">
        <v>4426</v>
      </c>
      <c r="I318" s="236">
        <v>1</v>
      </c>
      <c r="J318" s="236">
        <v>1</v>
      </c>
      <c r="K318" s="355" t="s">
        <v>3856</v>
      </c>
      <c r="L318" s="356">
        <v>42562</v>
      </c>
      <c r="M318" s="357" t="s">
        <v>204</v>
      </c>
      <c r="N318" s="416">
        <v>136800000</v>
      </c>
      <c r="O318" s="416">
        <v>136800000</v>
      </c>
      <c r="P318" s="358"/>
      <c r="Q318" s="320"/>
      <c r="R318" s="168"/>
      <c r="S318" s="168"/>
      <c r="T318" s="287"/>
      <c r="U318" s="264"/>
      <c r="V318" s="198"/>
    </row>
    <row r="319" spans="1:22" s="90" customFormat="1" ht="19.5" hidden="1" customHeight="1">
      <c r="A319" s="137"/>
      <c r="B319" s="197">
        <f t="shared" si="5"/>
        <v>309</v>
      </c>
      <c r="C319" s="30" t="s">
        <v>206</v>
      </c>
      <c r="D319" s="30" t="s">
        <v>225</v>
      </c>
      <c r="E319" s="234" t="s">
        <v>822</v>
      </c>
      <c r="F319" s="235" t="s">
        <v>1225</v>
      </c>
      <c r="G319" s="284">
        <f>IFERROR(VLOOKUP(E319,Assign!$C$2:$J$142,8,FALSE),)</f>
        <v>0</v>
      </c>
      <c r="H319" s="236" t="s">
        <v>4426</v>
      </c>
      <c r="I319" s="236">
        <v>1</v>
      </c>
      <c r="J319" s="236">
        <v>2</v>
      </c>
      <c r="K319" s="355" t="s">
        <v>3377</v>
      </c>
      <c r="L319" s="356">
        <v>42633</v>
      </c>
      <c r="M319" s="357" t="s">
        <v>204</v>
      </c>
      <c r="N319" s="416">
        <v>10800000</v>
      </c>
      <c r="O319" s="416">
        <v>10800000</v>
      </c>
      <c r="P319" s="358"/>
      <c r="Q319" s="320"/>
      <c r="R319" s="168"/>
      <c r="S319" s="168"/>
      <c r="T319" s="287"/>
      <c r="U319" s="264"/>
      <c r="V319" s="198"/>
    </row>
    <row r="320" spans="1:22" s="90" customFormat="1" ht="19.5" hidden="1" customHeight="1">
      <c r="A320" s="137"/>
      <c r="B320" s="197">
        <f t="shared" si="5"/>
        <v>310</v>
      </c>
      <c r="C320" s="30" t="s">
        <v>206</v>
      </c>
      <c r="D320" s="30" t="s">
        <v>225</v>
      </c>
      <c r="E320" s="234" t="s">
        <v>822</v>
      </c>
      <c r="F320" s="235" t="s">
        <v>1225</v>
      </c>
      <c r="G320" s="284">
        <f>IFERROR(VLOOKUP(E320,Assign!$C$2:$J$142,8,FALSE),)</f>
        <v>0</v>
      </c>
      <c r="H320" s="236" t="s">
        <v>4426</v>
      </c>
      <c r="I320" s="236">
        <v>1</v>
      </c>
      <c r="J320" s="236">
        <v>3</v>
      </c>
      <c r="K320" s="355" t="s">
        <v>1373</v>
      </c>
      <c r="L320" s="356">
        <v>44524</v>
      </c>
      <c r="M320" s="357" t="s">
        <v>204</v>
      </c>
      <c r="N320" s="416">
        <v>120000000</v>
      </c>
      <c r="O320" s="416">
        <v>120000000</v>
      </c>
      <c r="P320" s="358"/>
      <c r="Q320" s="320"/>
      <c r="R320" s="168"/>
      <c r="S320" s="168"/>
      <c r="T320" s="287"/>
      <c r="U320" s="264"/>
      <c r="V320" s="198"/>
    </row>
    <row r="321" spans="1:22" s="90" customFormat="1" ht="19.5" hidden="1" customHeight="1">
      <c r="A321" s="137"/>
      <c r="B321" s="197">
        <f t="shared" si="5"/>
        <v>311</v>
      </c>
      <c r="C321" s="30" t="s">
        <v>206</v>
      </c>
      <c r="D321" s="30" t="s">
        <v>225</v>
      </c>
      <c r="E321" s="234" t="s">
        <v>823</v>
      </c>
      <c r="F321" s="235" t="s">
        <v>1257</v>
      </c>
      <c r="G321" s="284">
        <f>IFERROR(VLOOKUP(E321,Assign!$C$2:$J$142,8,FALSE),)</f>
        <v>0</v>
      </c>
      <c r="H321" s="236" t="s">
        <v>4810</v>
      </c>
      <c r="I321" s="236">
        <v>1</v>
      </c>
      <c r="J321" s="236">
        <v>1</v>
      </c>
      <c r="K321" s="355" t="s">
        <v>1375</v>
      </c>
      <c r="L321" s="356">
        <v>43410</v>
      </c>
      <c r="M321" s="357" t="s">
        <v>204</v>
      </c>
      <c r="N321" s="416">
        <v>151200000</v>
      </c>
      <c r="O321" s="416">
        <v>151200000</v>
      </c>
      <c r="P321" s="358"/>
      <c r="Q321" s="320"/>
      <c r="R321" s="168"/>
      <c r="S321" s="168"/>
      <c r="T321" s="287"/>
      <c r="U321" s="264"/>
      <c r="V321" s="198"/>
    </row>
    <row r="322" spans="1:22" s="90" customFormat="1" ht="19.5" hidden="1" customHeight="1">
      <c r="A322" s="137"/>
      <c r="B322" s="197">
        <f t="shared" si="5"/>
        <v>312</v>
      </c>
      <c r="C322" s="30" t="s">
        <v>206</v>
      </c>
      <c r="D322" s="30" t="s">
        <v>225</v>
      </c>
      <c r="E322" s="234" t="s">
        <v>823</v>
      </c>
      <c r="F322" s="235" t="s">
        <v>1257</v>
      </c>
      <c r="G322" s="284">
        <f>IFERROR(VLOOKUP(E322,Assign!$C$2:$J$142,8,FALSE),)</f>
        <v>0</v>
      </c>
      <c r="H322" s="236" t="s">
        <v>4810</v>
      </c>
      <c r="I322" s="236">
        <v>1</v>
      </c>
      <c r="J322" s="236">
        <v>2</v>
      </c>
      <c r="K322" s="355" t="s">
        <v>1373</v>
      </c>
      <c r="L322" s="356">
        <v>44704</v>
      </c>
      <c r="M322" s="357" t="s">
        <v>204</v>
      </c>
      <c r="N322" s="416">
        <v>120000000</v>
      </c>
      <c r="O322" s="416">
        <v>120000000</v>
      </c>
      <c r="P322" s="358"/>
      <c r="Q322" s="320"/>
      <c r="R322" s="168"/>
      <c r="S322" s="168"/>
      <c r="T322" s="287"/>
      <c r="U322" s="264"/>
      <c r="V322" s="198"/>
    </row>
    <row r="323" spans="1:22" s="90" customFormat="1" ht="19.5" hidden="1" customHeight="1">
      <c r="A323" s="137"/>
      <c r="B323" s="197">
        <f t="shared" si="5"/>
        <v>313</v>
      </c>
      <c r="C323" s="30" t="s">
        <v>206</v>
      </c>
      <c r="D323" s="30" t="s">
        <v>225</v>
      </c>
      <c r="E323" s="234" t="s">
        <v>824</v>
      </c>
      <c r="F323" s="235" t="s">
        <v>1258</v>
      </c>
      <c r="G323" s="284">
        <f>IFERROR(VLOOKUP(E323,Assign!$C$2:$J$142,8,FALSE),)</f>
        <v>0</v>
      </c>
      <c r="H323" s="236" t="s">
        <v>5364</v>
      </c>
      <c r="I323" s="236">
        <v>1</v>
      </c>
      <c r="J323" s="236">
        <v>1</v>
      </c>
      <c r="K323" s="355" t="s">
        <v>486</v>
      </c>
      <c r="L323" s="356">
        <v>44774</v>
      </c>
      <c r="M323" s="357" t="s">
        <v>204</v>
      </c>
      <c r="N323" s="416">
        <v>550000000</v>
      </c>
      <c r="O323" s="416">
        <v>550000000</v>
      </c>
      <c r="P323" s="358"/>
      <c r="Q323" s="320"/>
      <c r="R323" s="168"/>
      <c r="S323" s="168"/>
      <c r="T323" s="287"/>
      <c r="U323" s="264"/>
      <c r="V323" s="198"/>
    </row>
    <row r="324" spans="1:22" s="90" customFormat="1" ht="19.5" hidden="1" customHeight="1">
      <c r="A324" s="137"/>
      <c r="B324" s="197">
        <f t="shared" si="5"/>
        <v>314</v>
      </c>
      <c r="C324" s="30" t="s">
        <v>206</v>
      </c>
      <c r="D324" s="30" t="s">
        <v>225</v>
      </c>
      <c r="E324" s="234" t="s">
        <v>824</v>
      </c>
      <c r="F324" s="235" t="s">
        <v>1258</v>
      </c>
      <c r="G324" s="284">
        <f>IFERROR(VLOOKUP(E324,Assign!$C$2:$J$142,8,FALSE),)</f>
        <v>0</v>
      </c>
      <c r="H324" s="236" t="s">
        <v>5364</v>
      </c>
      <c r="I324" s="236">
        <v>1</v>
      </c>
      <c r="J324" s="236">
        <v>2</v>
      </c>
      <c r="K324" s="355" t="s">
        <v>486</v>
      </c>
      <c r="L324" s="356">
        <v>44805</v>
      </c>
      <c r="M324" s="357" t="s">
        <v>204</v>
      </c>
      <c r="N324" s="416">
        <v>600000000</v>
      </c>
      <c r="O324" s="416">
        <v>600000000</v>
      </c>
      <c r="P324" s="358"/>
      <c r="Q324" s="320"/>
      <c r="R324" s="168"/>
      <c r="S324" s="168"/>
      <c r="T324" s="287"/>
      <c r="U324" s="264"/>
      <c r="V324" s="198"/>
    </row>
    <row r="325" spans="1:22" s="90" customFormat="1" ht="19.5" hidden="1" customHeight="1">
      <c r="A325" s="137"/>
      <c r="B325" s="197">
        <f t="shared" si="5"/>
        <v>315</v>
      </c>
      <c r="C325" s="30" t="s">
        <v>206</v>
      </c>
      <c r="D325" s="30" t="s">
        <v>225</v>
      </c>
      <c r="E325" s="234" t="s">
        <v>824</v>
      </c>
      <c r="F325" s="235" t="s">
        <v>1258</v>
      </c>
      <c r="G325" s="284">
        <f>IFERROR(VLOOKUP(E325,Assign!$C$2:$J$142,8,FALSE),)</f>
        <v>0</v>
      </c>
      <c r="H325" s="236" t="s">
        <v>5364</v>
      </c>
      <c r="I325" s="236">
        <v>1</v>
      </c>
      <c r="J325" s="236">
        <v>3</v>
      </c>
      <c r="K325" s="355" t="s">
        <v>486</v>
      </c>
      <c r="L325" s="356">
        <v>44805</v>
      </c>
      <c r="M325" s="357" t="s">
        <v>204</v>
      </c>
      <c r="N325" s="416">
        <v>360000000</v>
      </c>
      <c r="O325" s="416">
        <v>360000000</v>
      </c>
      <c r="P325" s="358"/>
      <c r="Q325" s="320"/>
      <c r="R325" s="168"/>
      <c r="S325" s="168"/>
      <c r="T325" s="287"/>
      <c r="U325" s="264"/>
      <c r="V325" s="198"/>
    </row>
    <row r="326" spans="1:22" s="90" customFormat="1" ht="19.5" hidden="1" customHeight="1">
      <c r="A326" s="137"/>
      <c r="B326" s="197">
        <f t="shared" si="5"/>
        <v>316</v>
      </c>
      <c r="C326" s="30" t="s">
        <v>206</v>
      </c>
      <c r="D326" s="30" t="s">
        <v>225</v>
      </c>
      <c r="E326" s="234" t="s">
        <v>824</v>
      </c>
      <c r="F326" s="235" t="s">
        <v>1258</v>
      </c>
      <c r="G326" s="284">
        <f>IFERROR(VLOOKUP(E326,Assign!$C$2:$J$142,8,FALSE),)</f>
        <v>0</v>
      </c>
      <c r="H326" s="236" t="s">
        <v>5364</v>
      </c>
      <c r="I326" s="236">
        <v>1</v>
      </c>
      <c r="J326" s="236">
        <v>4</v>
      </c>
      <c r="K326" s="355" t="s">
        <v>1373</v>
      </c>
      <c r="L326" s="356">
        <v>45189</v>
      </c>
      <c r="M326" s="357" t="s">
        <v>204</v>
      </c>
      <c r="N326" s="416">
        <v>120000000</v>
      </c>
      <c r="O326" s="416">
        <v>120000000</v>
      </c>
      <c r="P326" s="358"/>
      <c r="Q326" s="320"/>
      <c r="R326" s="168"/>
      <c r="S326" s="168"/>
      <c r="T326" s="287"/>
      <c r="U326" s="264"/>
      <c r="V326" s="198"/>
    </row>
    <row r="327" spans="1:22" s="90" customFormat="1" ht="19.5" hidden="1" customHeight="1">
      <c r="A327" s="137"/>
      <c r="B327" s="197">
        <f t="shared" si="5"/>
        <v>317</v>
      </c>
      <c r="C327" s="30" t="s">
        <v>206</v>
      </c>
      <c r="D327" s="30" t="s">
        <v>225</v>
      </c>
      <c r="E327" s="234" t="s">
        <v>825</v>
      </c>
      <c r="F327" s="235" t="s">
        <v>1221</v>
      </c>
      <c r="G327" s="284">
        <f>IFERROR(VLOOKUP(E327,Assign!$C$2:$J$142,8,FALSE),)</f>
        <v>0</v>
      </c>
      <c r="H327" s="236" t="s">
        <v>4851</v>
      </c>
      <c r="I327" s="236">
        <v>1</v>
      </c>
      <c r="J327" s="236">
        <v>1</v>
      </c>
      <c r="K327" s="355" t="s">
        <v>1373</v>
      </c>
      <c r="L327" s="356">
        <v>44200</v>
      </c>
      <c r="M327" s="357" t="s">
        <v>204</v>
      </c>
      <c r="N327" s="416">
        <v>120000000</v>
      </c>
      <c r="O327" s="416">
        <v>120000000</v>
      </c>
      <c r="P327" s="358"/>
      <c r="Q327" s="320"/>
      <c r="R327" s="168"/>
      <c r="S327" s="168"/>
      <c r="T327" s="287"/>
      <c r="U327" s="264"/>
      <c r="V327" s="198"/>
    </row>
    <row r="328" spans="1:22" s="90" customFormat="1" ht="19.5" hidden="1" customHeight="1">
      <c r="A328" s="137"/>
      <c r="B328" s="197">
        <f t="shared" si="5"/>
        <v>318</v>
      </c>
      <c r="C328" s="30" t="s">
        <v>206</v>
      </c>
      <c r="D328" s="30" t="s">
        <v>225</v>
      </c>
      <c r="E328" s="234" t="s">
        <v>826</v>
      </c>
      <c r="F328" s="235" t="s">
        <v>1217</v>
      </c>
      <c r="G328" s="284">
        <f>IFERROR(VLOOKUP(E328,Assign!$C$2:$J$142,8,FALSE),)</f>
        <v>0</v>
      </c>
      <c r="H328" s="236" t="s">
        <v>4638</v>
      </c>
      <c r="I328" s="236">
        <v>1</v>
      </c>
      <c r="J328" s="236">
        <v>1</v>
      </c>
      <c r="K328" s="355" t="s">
        <v>1373</v>
      </c>
      <c r="L328" s="356">
        <v>43195</v>
      </c>
      <c r="M328" s="357" t="s">
        <v>204</v>
      </c>
      <c r="N328" s="416">
        <v>110000000</v>
      </c>
      <c r="O328" s="416">
        <v>110000000</v>
      </c>
      <c r="P328" s="358"/>
      <c r="Q328" s="320"/>
      <c r="R328" s="168"/>
      <c r="S328" s="168"/>
      <c r="T328" s="287"/>
      <c r="U328" s="264"/>
      <c r="V328" s="198"/>
    </row>
    <row r="329" spans="1:22" s="90" customFormat="1" ht="19.5" customHeight="1">
      <c r="A329" s="137"/>
      <c r="B329" s="197">
        <f t="shared" si="5"/>
        <v>319</v>
      </c>
      <c r="C329" s="30" t="s">
        <v>206</v>
      </c>
      <c r="D329" s="30" t="s">
        <v>225</v>
      </c>
      <c r="E329" s="234" t="s">
        <v>827</v>
      </c>
      <c r="F329" s="235" t="s">
        <v>1225</v>
      </c>
      <c r="G329" s="284" t="str">
        <f>IFERROR(VLOOKUP(E329,Assign!$C$2:$J$142,8,FALSE),)</f>
        <v>문선영</v>
      </c>
      <c r="H329" s="236" t="s">
        <v>4978</v>
      </c>
      <c r="I329" s="236">
        <v>1</v>
      </c>
      <c r="J329" s="236">
        <v>1</v>
      </c>
      <c r="K329" s="355" t="s">
        <v>1373</v>
      </c>
      <c r="L329" s="356">
        <v>41960</v>
      </c>
      <c r="M329" s="357" t="s">
        <v>204</v>
      </c>
      <c r="N329" s="416">
        <v>141600000</v>
      </c>
      <c r="O329" s="416">
        <v>141600000</v>
      </c>
      <c r="P329" s="358"/>
      <c r="Q329" s="320"/>
      <c r="R329" s="168"/>
      <c r="S329" s="168"/>
      <c r="T329" s="287"/>
      <c r="U329" s="264"/>
      <c r="V329" s="198"/>
    </row>
    <row r="330" spans="1:22" s="90" customFormat="1" ht="19.5" hidden="1" customHeight="1">
      <c r="A330" s="137"/>
      <c r="B330" s="197">
        <f t="shared" si="5"/>
        <v>320</v>
      </c>
      <c r="C330" s="30" t="s">
        <v>206</v>
      </c>
      <c r="D330" s="30" t="s">
        <v>225</v>
      </c>
      <c r="E330" s="234" t="s">
        <v>828</v>
      </c>
      <c r="F330" s="235" t="s">
        <v>1229</v>
      </c>
      <c r="G330" s="284">
        <f>IFERROR(VLOOKUP(E330,Assign!$C$2:$J$142,8,FALSE),)</f>
        <v>0</v>
      </c>
      <c r="H330" s="236" t="s">
        <v>4419</v>
      </c>
      <c r="I330" s="236">
        <v>1</v>
      </c>
      <c r="J330" s="236">
        <v>1</v>
      </c>
      <c r="K330" s="355" t="s">
        <v>1373</v>
      </c>
      <c r="L330" s="356">
        <v>42297</v>
      </c>
      <c r="M330" s="357" t="s">
        <v>204</v>
      </c>
      <c r="N330" s="416">
        <v>144000000</v>
      </c>
      <c r="O330" s="416">
        <v>144000000</v>
      </c>
      <c r="P330" s="358"/>
      <c r="Q330" s="320"/>
      <c r="R330" s="168"/>
      <c r="S330" s="168"/>
      <c r="T330" s="287"/>
      <c r="U330" s="264"/>
      <c r="V330" s="198"/>
    </row>
    <row r="331" spans="1:22" s="90" customFormat="1" ht="19.5" hidden="1" customHeight="1">
      <c r="A331" s="137"/>
      <c r="B331" s="197">
        <f t="shared" ref="B331:B394" si="6">ROW()-10</f>
        <v>321</v>
      </c>
      <c r="C331" s="30" t="s">
        <v>206</v>
      </c>
      <c r="D331" s="30" t="s">
        <v>225</v>
      </c>
      <c r="E331" s="234" t="s">
        <v>829</v>
      </c>
      <c r="F331" s="235" t="s">
        <v>1217</v>
      </c>
      <c r="G331" s="284">
        <f>IFERROR(VLOOKUP(E331,Assign!$C$2:$J$142,8,FALSE),)</f>
        <v>0</v>
      </c>
      <c r="H331" s="236" t="s">
        <v>4829</v>
      </c>
      <c r="I331" s="236">
        <v>1</v>
      </c>
      <c r="J331" s="236">
        <v>1</v>
      </c>
      <c r="K331" s="355" t="s">
        <v>1373</v>
      </c>
      <c r="L331" s="356">
        <v>43038</v>
      </c>
      <c r="M331" s="357" t="s">
        <v>204</v>
      </c>
      <c r="N331" s="416">
        <v>134400000</v>
      </c>
      <c r="O331" s="416">
        <v>134400000</v>
      </c>
      <c r="P331" s="358"/>
      <c r="Q331" s="320"/>
      <c r="R331" s="168"/>
      <c r="S331" s="168"/>
      <c r="T331" s="287"/>
      <c r="U331" s="264"/>
      <c r="V331" s="198"/>
    </row>
    <row r="332" spans="1:22" s="90" customFormat="1" ht="19.5" hidden="1" customHeight="1">
      <c r="A332" s="137"/>
      <c r="B332" s="197">
        <f t="shared" si="6"/>
        <v>322</v>
      </c>
      <c r="C332" s="30" t="s">
        <v>206</v>
      </c>
      <c r="D332" s="30" t="s">
        <v>225</v>
      </c>
      <c r="E332" s="234" t="s">
        <v>830</v>
      </c>
      <c r="F332" s="235" t="s">
        <v>1229</v>
      </c>
      <c r="G332" s="284">
        <f>IFERROR(VLOOKUP(E332,Assign!$C$2:$J$142,8,FALSE),)</f>
        <v>0</v>
      </c>
      <c r="H332" s="236" t="s">
        <v>4789</v>
      </c>
      <c r="I332" s="236">
        <v>1</v>
      </c>
      <c r="J332" s="236">
        <v>1</v>
      </c>
      <c r="K332" s="355" t="s">
        <v>1373</v>
      </c>
      <c r="L332" s="356">
        <v>44179</v>
      </c>
      <c r="M332" s="357" t="s">
        <v>204</v>
      </c>
      <c r="N332" s="416">
        <v>120000000</v>
      </c>
      <c r="O332" s="416">
        <v>120000000</v>
      </c>
      <c r="P332" s="358"/>
      <c r="Q332" s="320"/>
      <c r="R332" s="168"/>
      <c r="S332" s="168"/>
      <c r="T332" s="287"/>
      <c r="U332" s="264"/>
      <c r="V332" s="198"/>
    </row>
    <row r="333" spans="1:22" s="90" customFormat="1" ht="19.5" hidden="1" customHeight="1">
      <c r="A333" s="137"/>
      <c r="B333" s="197">
        <f t="shared" si="6"/>
        <v>323</v>
      </c>
      <c r="C333" s="30" t="s">
        <v>206</v>
      </c>
      <c r="D333" s="30" t="s">
        <v>225</v>
      </c>
      <c r="E333" s="234" t="s">
        <v>831</v>
      </c>
      <c r="F333" s="235" t="s">
        <v>1223</v>
      </c>
      <c r="G333" s="284">
        <f>IFERROR(VLOOKUP(E333,Assign!$C$2:$J$142,8,FALSE),)</f>
        <v>0</v>
      </c>
      <c r="H333" s="236" t="s">
        <v>5337</v>
      </c>
      <c r="I333" s="236">
        <v>1</v>
      </c>
      <c r="J333" s="236">
        <v>1</v>
      </c>
      <c r="K333" s="355" t="s">
        <v>488</v>
      </c>
      <c r="L333" s="356">
        <v>38497</v>
      </c>
      <c r="M333" s="357" t="s">
        <v>204</v>
      </c>
      <c r="N333" s="416">
        <v>58500000</v>
      </c>
      <c r="O333" s="416">
        <v>58500000</v>
      </c>
      <c r="P333" s="358"/>
      <c r="Q333" s="320"/>
      <c r="R333" s="168"/>
      <c r="S333" s="168"/>
      <c r="T333" s="287"/>
      <c r="U333" s="264"/>
      <c r="V333" s="198"/>
    </row>
    <row r="334" spans="1:22" s="90" customFormat="1" ht="19.5" hidden="1" customHeight="1">
      <c r="A334" s="137"/>
      <c r="B334" s="197">
        <f t="shared" si="6"/>
        <v>324</v>
      </c>
      <c r="C334" s="30" t="s">
        <v>206</v>
      </c>
      <c r="D334" s="30" t="s">
        <v>225</v>
      </c>
      <c r="E334" s="234" t="s">
        <v>831</v>
      </c>
      <c r="F334" s="235" t="s">
        <v>1223</v>
      </c>
      <c r="G334" s="284">
        <f>IFERROR(VLOOKUP(E334,Assign!$C$2:$J$142,8,FALSE),)</f>
        <v>0</v>
      </c>
      <c r="H334" s="236" t="s">
        <v>5337</v>
      </c>
      <c r="I334" s="236">
        <v>1</v>
      </c>
      <c r="J334" s="236">
        <v>2</v>
      </c>
      <c r="K334" s="355" t="s">
        <v>488</v>
      </c>
      <c r="L334" s="356">
        <v>42181</v>
      </c>
      <c r="M334" s="357" t="s">
        <v>204</v>
      </c>
      <c r="N334" s="416">
        <v>60000000</v>
      </c>
      <c r="O334" s="416">
        <v>60000000</v>
      </c>
      <c r="P334" s="358"/>
      <c r="Q334" s="320"/>
      <c r="R334" s="168"/>
      <c r="S334" s="168"/>
      <c r="T334" s="287"/>
      <c r="U334" s="264"/>
      <c r="V334" s="198"/>
    </row>
    <row r="335" spans="1:22" s="90" customFormat="1" ht="19.5" hidden="1" customHeight="1">
      <c r="A335" s="137"/>
      <c r="B335" s="197">
        <f t="shared" si="6"/>
        <v>325</v>
      </c>
      <c r="C335" s="30" t="s">
        <v>206</v>
      </c>
      <c r="D335" s="30" t="s">
        <v>225</v>
      </c>
      <c r="E335" s="234" t="s">
        <v>831</v>
      </c>
      <c r="F335" s="235" t="s">
        <v>1223</v>
      </c>
      <c r="G335" s="284">
        <f>IFERROR(VLOOKUP(E335,Assign!$C$2:$J$142,8,FALSE),)</f>
        <v>0</v>
      </c>
      <c r="H335" s="236" t="s">
        <v>5337</v>
      </c>
      <c r="I335" s="236">
        <v>1</v>
      </c>
      <c r="J335" s="236">
        <v>3</v>
      </c>
      <c r="K335" s="355" t="s">
        <v>488</v>
      </c>
      <c r="L335" s="356">
        <v>42521</v>
      </c>
      <c r="M335" s="357" t="s">
        <v>204</v>
      </c>
      <c r="N335" s="416">
        <v>31500000</v>
      </c>
      <c r="O335" s="416">
        <v>31500000</v>
      </c>
      <c r="P335" s="358"/>
      <c r="Q335" s="320"/>
      <c r="R335" s="168"/>
      <c r="S335" s="168"/>
      <c r="T335" s="287"/>
      <c r="U335" s="264"/>
      <c r="V335" s="198"/>
    </row>
    <row r="336" spans="1:22" s="90" customFormat="1" ht="19.5" hidden="1" customHeight="1">
      <c r="A336" s="137"/>
      <c r="B336" s="197">
        <f t="shared" si="6"/>
        <v>326</v>
      </c>
      <c r="C336" s="30" t="s">
        <v>206</v>
      </c>
      <c r="D336" s="30" t="s">
        <v>225</v>
      </c>
      <c r="E336" s="234" t="s">
        <v>831</v>
      </c>
      <c r="F336" s="235" t="s">
        <v>1223</v>
      </c>
      <c r="G336" s="284">
        <f>IFERROR(VLOOKUP(E336,Assign!$C$2:$J$142,8,FALSE),)</f>
        <v>0</v>
      </c>
      <c r="H336" s="236" t="s">
        <v>5337</v>
      </c>
      <c r="I336" s="236">
        <v>1</v>
      </c>
      <c r="J336" s="236">
        <v>4</v>
      </c>
      <c r="K336" s="355" t="s">
        <v>486</v>
      </c>
      <c r="L336" s="356">
        <v>44323</v>
      </c>
      <c r="M336" s="357" t="s">
        <v>204</v>
      </c>
      <c r="N336" s="416">
        <v>120000000</v>
      </c>
      <c r="O336" s="416">
        <v>120000000</v>
      </c>
      <c r="P336" s="358"/>
      <c r="Q336" s="320"/>
      <c r="R336" s="168"/>
      <c r="S336" s="168"/>
      <c r="T336" s="287"/>
      <c r="U336" s="264"/>
      <c r="V336" s="198"/>
    </row>
    <row r="337" spans="1:22" s="90" customFormat="1" ht="19.5" hidden="1" customHeight="1">
      <c r="A337" s="137"/>
      <c r="B337" s="197">
        <f t="shared" si="6"/>
        <v>327</v>
      </c>
      <c r="C337" s="30" t="s">
        <v>206</v>
      </c>
      <c r="D337" s="30" t="s">
        <v>225</v>
      </c>
      <c r="E337" s="234" t="s">
        <v>831</v>
      </c>
      <c r="F337" s="235" t="s">
        <v>1223</v>
      </c>
      <c r="G337" s="284">
        <f>IFERROR(VLOOKUP(E337,Assign!$C$2:$J$142,8,FALSE),)</f>
        <v>0</v>
      </c>
      <c r="H337" s="236" t="s">
        <v>5337</v>
      </c>
      <c r="I337" s="236">
        <v>1</v>
      </c>
      <c r="J337" s="236">
        <v>5</v>
      </c>
      <c r="K337" s="355" t="s">
        <v>3375</v>
      </c>
      <c r="L337" s="356">
        <v>44536</v>
      </c>
      <c r="M337" s="357" t="s">
        <v>204</v>
      </c>
      <c r="N337" s="416">
        <v>180000000</v>
      </c>
      <c r="O337" s="416">
        <v>180000000</v>
      </c>
      <c r="P337" s="358"/>
      <c r="Q337" s="320"/>
      <c r="R337" s="168"/>
      <c r="S337" s="168"/>
      <c r="T337" s="287"/>
      <c r="U337" s="264"/>
      <c r="V337" s="198"/>
    </row>
    <row r="338" spans="1:22" s="90" customFormat="1" ht="19.5" hidden="1" customHeight="1">
      <c r="A338" s="137"/>
      <c r="B338" s="197">
        <f t="shared" si="6"/>
        <v>328</v>
      </c>
      <c r="C338" s="30" t="s">
        <v>206</v>
      </c>
      <c r="D338" s="30" t="s">
        <v>225</v>
      </c>
      <c r="E338" s="234" t="s">
        <v>831</v>
      </c>
      <c r="F338" s="235" t="s">
        <v>1223</v>
      </c>
      <c r="G338" s="284">
        <f>IFERROR(VLOOKUP(E338,Assign!$C$2:$J$142,8,FALSE),)</f>
        <v>0</v>
      </c>
      <c r="H338" s="236" t="s">
        <v>5337</v>
      </c>
      <c r="I338" s="236">
        <v>1</v>
      </c>
      <c r="J338" s="236">
        <v>6</v>
      </c>
      <c r="K338" s="355" t="s">
        <v>1373</v>
      </c>
      <c r="L338" s="356">
        <v>44869</v>
      </c>
      <c r="M338" s="357" t="s">
        <v>204</v>
      </c>
      <c r="N338" s="416">
        <v>110000000</v>
      </c>
      <c r="O338" s="416">
        <v>110000000</v>
      </c>
      <c r="P338" s="358"/>
      <c r="Q338" s="320"/>
      <c r="R338" s="168"/>
      <c r="S338" s="168"/>
      <c r="T338" s="287"/>
      <c r="U338" s="264"/>
      <c r="V338" s="198"/>
    </row>
    <row r="339" spans="1:22" s="90" customFormat="1" ht="19.5" customHeight="1">
      <c r="A339" s="137"/>
      <c r="B339" s="197">
        <f t="shared" si="6"/>
        <v>329</v>
      </c>
      <c r="C339" s="30" t="s">
        <v>206</v>
      </c>
      <c r="D339" s="30" t="s">
        <v>225</v>
      </c>
      <c r="E339" s="234" t="s">
        <v>832</v>
      </c>
      <c r="F339" s="235" t="s">
        <v>1259</v>
      </c>
      <c r="G339" s="284" t="str">
        <f>IFERROR(VLOOKUP(E339,Assign!$C$2:$J$142,8,FALSE),)</f>
        <v>문선영</v>
      </c>
      <c r="H339" s="236" t="s">
        <v>4324</v>
      </c>
      <c r="I339" s="236">
        <v>1</v>
      </c>
      <c r="J339" s="236">
        <v>1</v>
      </c>
      <c r="K339" s="355" t="s">
        <v>1373</v>
      </c>
      <c r="L339" s="356">
        <v>44153</v>
      </c>
      <c r="M339" s="357" t="s">
        <v>204</v>
      </c>
      <c r="N339" s="416">
        <v>121200000</v>
      </c>
      <c r="O339" s="416">
        <v>121200000</v>
      </c>
      <c r="P339" s="358"/>
      <c r="Q339" s="320"/>
      <c r="R339" s="168"/>
      <c r="S339" s="168"/>
      <c r="T339" s="287"/>
      <c r="U339" s="264"/>
      <c r="V339" s="198"/>
    </row>
    <row r="340" spans="1:22" s="90" customFormat="1" ht="19.5" hidden="1" customHeight="1">
      <c r="A340" s="137"/>
      <c r="B340" s="197">
        <f t="shared" si="6"/>
        <v>330</v>
      </c>
      <c r="C340" s="30" t="s">
        <v>206</v>
      </c>
      <c r="D340" s="30" t="s">
        <v>225</v>
      </c>
      <c r="E340" s="234" t="s">
        <v>833</v>
      </c>
      <c r="F340" s="235" t="s">
        <v>1217</v>
      </c>
      <c r="G340" s="284">
        <f>IFERROR(VLOOKUP(E340,Assign!$C$2:$J$142,8,FALSE),)</f>
        <v>0</v>
      </c>
      <c r="H340" s="236" t="s">
        <v>4982</v>
      </c>
      <c r="I340" s="236">
        <v>1</v>
      </c>
      <c r="J340" s="236">
        <v>1</v>
      </c>
      <c r="K340" s="355" t="s">
        <v>1373</v>
      </c>
      <c r="L340" s="356">
        <v>42507</v>
      </c>
      <c r="M340" s="357" t="s">
        <v>204</v>
      </c>
      <c r="N340" s="416">
        <v>105600000</v>
      </c>
      <c r="O340" s="416">
        <v>105600000</v>
      </c>
      <c r="P340" s="358"/>
      <c r="Q340" s="320"/>
      <c r="R340" s="168"/>
      <c r="S340" s="168"/>
      <c r="T340" s="287"/>
      <c r="U340" s="264"/>
      <c r="V340" s="198"/>
    </row>
    <row r="341" spans="1:22" s="90" customFormat="1" ht="19.5" hidden="1" customHeight="1">
      <c r="A341" s="137"/>
      <c r="B341" s="197">
        <f t="shared" si="6"/>
        <v>331</v>
      </c>
      <c r="C341" s="30" t="s">
        <v>206</v>
      </c>
      <c r="D341" s="30" t="s">
        <v>225</v>
      </c>
      <c r="E341" s="234" t="s">
        <v>834</v>
      </c>
      <c r="F341" s="235" t="s">
        <v>1219</v>
      </c>
      <c r="G341" s="284">
        <f>IFERROR(VLOOKUP(E341,Assign!$C$2:$J$142,8,FALSE),)</f>
        <v>0</v>
      </c>
      <c r="H341" s="236" t="s">
        <v>4853</v>
      </c>
      <c r="I341" s="236">
        <v>1</v>
      </c>
      <c r="J341" s="236">
        <v>1</v>
      </c>
      <c r="K341" s="355" t="s">
        <v>1373</v>
      </c>
      <c r="L341" s="356">
        <v>43138</v>
      </c>
      <c r="M341" s="357" t="s">
        <v>204</v>
      </c>
      <c r="N341" s="416">
        <v>142800000</v>
      </c>
      <c r="O341" s="416">
        <v>142800000</v>
      </c>
      <c r="P341" s="358"/>
      <c r="Q341" s="320"/>
      <c r="R341" s="168"/>
      <c r="S341" s="168"/>
      <c r="T341" s="287"/>
      <c r="U341" s="264"/>
      <c r="V341" s="198"/>
    </row>
    <row r="342" spans="1:22" s="90" customFormat="1" ht="19.5" hidden="1" customHeight="1">
      <c r="A342" s="137"/>
      <c r="B342" s="197">
        <f t="shared" si="6"/>
        <v>332</v>
      </c>
      <c r="C342" s="30" t="s">
        <v>206</v>
      </c>
      <c r="D342" s="30" t="s">
        <v>225</v>
      </c>
      <c r="E342" s="234" t="s">
        <v>835</v>
      </c>
      <c r="F342" s="235" t="s">
        <v>1225</v>
      </c>
      <c r="G342" s="284">
        <f>IFERROR(VLOOKUP(E342,Assign!$C$2:$J$142,8,FALSE),)</f>
        <v>0</v>
      </c>
      <c r="H342" s="236" t="s">
        <v>4732</v>
      </c>
      <c r="I342" s="236">
        <v>1</v>
      </c>
      <c r="J342" s="236">
        <v>1</v>
      </c>
      <c r="K342" s="355" t="s">
        <v>1373</v>
      </c>
      <c r="L342" s="356">
        <v>42898</v>
      </c>
      <c r="M342" s="357" t="s">
        <v>204</v>
      </c>
      <c r="N342" s="416">
        <v>109320000</v>
      </c>
      <c r="O342" s="416">
        <v>109320000</v>
      </c>
      <c r="P342" s="358"/>
      <c r="Q342" s="320"/>
      <c r="R342" s="168"/>
      <c r="S342" s="168"/>
      <c r="T342" s="287"/>
      <c r="U342" s="264"/>
      <c r="V342" s="198"/>
    </row>
    <row r="343" spans="1:22" s="90" customFormat="1" ht="19.5" hidden="1" customHeight="1">
      <c r="A343" s="137"/>
      <c r="B343" s="197">
        <f t="shared" si="6"/>
        <v>333</v>
      </c>
      <c r="C343" s="30" t="s">
        <v>206</v>
      </c>
      <c r="D343" s="30" t="s">
        <v>225</v>
      </c>
      <c r="E343" s="234" t="s">
        <v>836</v>
      </c>
      <c r="F343" s="235" t="s">
        <v>1231</v>
      </c>
      <c r="G343" s="284">
        <f>IFERROR(VLOOKUP(E343,Assign!$C$2:$J$142,8,FALSE),)</f>
        <v>0</v>
      </c>
      <c r="H343" s="236" t="s">
        <v>4555</v>
      </c>
      <c r="I343" s="236">
        <v>1</v>
      </c>
      <c r="J343" s="236">
        <v>1</v>
      </c>
      <c r="K343" s="355" t="s">
        <v>1373</v>
      </c>
      <c r="L343" s="356">
        <v>43252</v>
      </c>
      <c r="M343" s="357" t="s">
        <v>204</v>
      </c>
      <c r="N343" s="416">
        <v>55200000</v>
      </c>
      <c r="O343" s="416">
        <v>55200000</v>
      </c>
      <c r="P343" s="358"/>
      <c r="Q343" s="320"/>
      <c r="R343" s="168"/>
      <c r="S343" s="168"/>
      <c r="T343" s="287"/>
      <c r="U343" s="264"/>
      <c r="V343" s="198"/>
    </row>
    <row r="344" spans="1:22" s="90" customFormat="1" ht="19.5" hidden="1" customHeight="1">
      <c r="A344" s="137"/>
      <c r="B344" s="197">
        <f t="shared" si="6"/>
        <v>334</v>
      </c>
      <c r="C344" s="30" t="s">
        <v>206</v>
      </c>
      <c r="D344" s="30" t="s">
        <v>225</v>
      </c>
      <c r="E344" s="234" t="s">
        <v>836</v>
      </c>
      <c r="F344" s="235" t="s">
        <v>1231</v>
      </c>
      <c r="G344" s="284">
        <f>IFERROR(VLOOKUP(E344,Assign!$C$2:$J$142,8,FALSE),)</f>
        <v>0</v>
      </c>
      <c r="H344" s="236" t="s">
        <v>4557</v>
      </c>
      <c r="I344" s="236">
        <v>2</v>
      </c>
      <c r="J344" s="236">
        <v>1</v>
      </c>
      <c r="K344" s="355" t="s">
        <v>1373</v>
      </c>
      <c r="L344" s="356">
        <v>43252</v>
      </c>
      <c r="M344" s="357" t="s">
        <v>204</v>
      </c>
      <c r="N344" s="416">
        <v>55200000</v>
      </c>
      <c r="O344" s="416">
        <v>55200000</v>
      </c>
      <c r="P344" s="358"/>
      <c r="Q344" s="320"/>
      <c r="R344" s="168"/>
      <c r="S344" s="168"/>
      <c r="T344" s="287"/>
      <c r="U344" s="264"/>
      <c r="V344" s="198"/>
    </row>
    <row r="345" spans="1:22" s="90" customFormat="1" ht="19.5" hidden="1" customHeight="1">
      <c r="A345" s="137"/>
      <c r="B345" s="197">
        <f t="shared" si="6"/>
        <v>335</v>
      </c>
      <c r="C345" s="30" t="s">
        <v>206</v>
      </c>
      <c r="D345" s="30" t="s">
        <v>225</v>
      </c>
      <c r="E345" s="234" t="s">
        <v>837</v>
      </c>
      <c r="F345" s="235" t="s">
        <v>1218</v>
      </c>
      <c r="G345" s="284">
        <f>IFERROR(VLOOKUP(E345,Assign!$C$2:$J$142,8,FALSE),)</f>
        <v>0</v>
      </c>
      <c r="H345" s="236" t="s">
        <v>4604</v>
      </c>
      <c r="I345" s="236">
        <v>1</v>
      </c>
      <c r="J345" s="236">
        <v>1</v>
      </c>
      <c r="K345" s="355" t="s">
        <v>1373</v>
      </c>
      <c r="L345" s="356">
        <v>43850</v>
      </c>
      <c r="M345" s="357" t="s">
        <v>204</v>
      </c>
      <c r="N345" s="416">
        <v>126000000</v>
      </c>
      <c r="O345" s="416">
        <v>126000000</v>
      </c>
      <c r="P345" s="358"/>
      <c r="Q345" s="320"/>
      <c r="R345" s="168"/>
      <c r="S345" s="168"/>
      <c r="T345" s="287"/>
      <c r="U345" s="264"/>
      <c r="V345" s="198"/>
    </row>
    <row r="346" spans="1:22" s="90" customFormat="1" ht="19.5" hidden="1" customHeight="1">
      <c r="A346" s="137"/>
      <c r="B346" s="197">
        <f t="shared" si="6"/>
        <v>336</v>
      </c>
      <c r="C346" s="30" t="s">
        <v>206</v>
      </c>
      <c r="D346" s="30" t="s">
        <v>225</v>
      </c>
      <c r="E346" s="234" t="s">
        <v>838</v>
      </c>
      <c r="F346" s="235" t="s">
        <v>1223</v>
      </c>
      <c r="G346" s="284">
        <f>IFERROR(VLOOKUP(E346,Assign!$C$2:$J$142,8,FALSE),)</f>
        <v>0</v>
      </c>
      <c r="H346" s="236" t="s">
        <v>4857</v>
      </c>
      <c r="I346" s="236">
        <v>1</v>
      </c>
      <c r="J346" s="236">
        <v>1</v>
      </c>
      <c r="K346" s="355" t="s">
        <v>1373</v>
      </c>
      <c r="L346" s="356">
        <v>41739</v>
      </c>
      <c r="M346" s="357" t="s">
        <v>204</v>
      </c>
      <c r="N346" s="416">
        <v>122400000</v>
      </c>
      <c r="O346" s="416">
        <v>122400000</v>
      </c>
      <c r="P346" s="358"/>
      <c r="Q346" s="320"/>
      <c r="R346" s="168"/>
      <c r="S346" s="168"/>
      <c r="T346" s="287"/>
      <c r="U346" s="264"/>
      <c r="V346" s="198"/>
    </row>
    <row r="347" spans="1:22" s="90" customFormat="1" ht="19.5" hidden="1" customHeight="1">
      <c r="A347" s="137"/>
      <c r="B347" s="197">
        <f t="shared" si="6"/>
        <v>337</v>
      </c>
      <c r="C347" s="30" t="s">
        <v>206</v>
      </c>
      <c r="D347" s="30" t="s">
        <v>225</v>
      </c>
      <c r="E347" s="234" t="s">
        <v>839</v>
      </c>
      <c r="F347" s="235" t="s">
        <v>1260</v>
      </c>
      <c r="G347" s="284">
        <f>IFERROR(VLOOKUP(E347,Assign!$C$2:$J$142,8,FALSE),)</f>
        <v>0</v>
      </c>
      <c r="H347" s="236" t="s">
        <v>5166</v>
      </c>
      <c r="I347" s="236">
        <v>1</v>
      </c>
      <c r="J347" s="236">
        <v>1</v>
      </c>
      <c r="K347" s="355" t="s">
        <v>1373</v>
      </c>
      <c r="L347" s="356">
        <v>43301</v>
      </c>
      <c r="M347" s="357" t="s">
        <v>204</v>
      </c>
      <c r="N347" s="416">
        <v>117600000</v>
      </c>
      <c r="O347" s="416">
        <v>117600000</v>
      </c>
      <c r="P347" s="358"/>
      <c r="Q347" s="320"/>
      <c r="R347" s="168"/>
      <c r="S347" s="168"/>
      <c r="T347" s="287"/>
      <c r="U347" s="264"/>
      <c r="V347" s="198"/>
    </row>
    <row r="348" spans="1:22" s="90" customFormat="1" ht="19.5" customHeight="1">
      <c r="A348" s="137"/>
      <c r="B348" s="197">
        <f t="shared" si="6"/>
        <v>338</v>
      </c>
      <c r="C348" s="30" t="s">
        <v>206</v>
      </c>
      <c r="D348" s="30" t="s">
        <v>225</v>
      </c>
      <c r="E348" s="234" t="s">
        <v>840</v>
      </c>
      <c r="F348" s="235" t="s">
        <v>1219</v>
      </c>
      <c r="G348" s="284" t="str">
        <f>IFERROR(VLOOKUP(E348,Assign!$C$2:$J$142,8,FALSE),)</f>
        <v>문선영</v>
      </c>
      <c r="H348" s="236" t="s">
        <v>4507</v>
      </c>
      <c r="I348" s="236">
        <v>1</v>
      </c>
      <c r="J348" s="236">
        <v>1</v>
      </c>
      <c r="K348" s="355" t="s">
        <v>420</v>
      </c>
      <c r="L348" s="356">
        <v>44155</v>
      </c>
      <c r="M348" s="357" t="s">
        <v>204</v>
      </c>
      <c r="N348" s="416">
        <v>168300000</v>
      </c>
      <c r="O348" s="416">
        <v>168300000</v>
      </c>
      <c r="P348" s="358"/>
      <c r="Q348" s="320"/>
      <c r="R348" s="168"/>
      <c r="S348" s="168"/>
      <c r="T348" s="287"/>
      <c r="U348" s="264"/>
      <c r="V348" s="198"/>
    </row>
    <row r="349" spans="1:22" s="90" customFormat="1" ht="19.5" customHeight="1">
      <c r="A349" s="137"/>
      <c r="B349" s="197">
        <f t="shared" si="6"/>
        <v>339</v>
      </c>
      <c r="C349" s="30" t="s">
        <v>206</v>
      </c>
      <c r="D349" s="30" t="s">
        <v>225</v>
      </c>
      <c r="E349" s="234" t="s">
        <v>840</v>
      </c>
      <c r="F349" s="235" t="s">
        <v>1219</v>
      </c>
      <c r="G349" s="284" t="str">
        <f>IFERROR(VLOOKUP(E349,Assign!$C$2:$J$142,8,FALSE),)</f>
        <v>문선영</v>
      </c>
      <c r="H349" s="236" t="s">
        <v>4507</v>
      </c>
      <c r="I349" s="236">
        <v>1</v>
      </c>
      <c r="J349" s="236">
        <v>2</v>
      </c>
      <c r="K349" s="355" t="s">
        <v>1373</v>
      </c>
      <c r="L349" s="356">
        <v>44414</v>
      </c>
      <c r="M349" s="357" t="s">
        <v>204</v>
      </c>
      <c r="N349" s="416">
        <v>66000000</v>
      </c>
      <c r="O349" s="416">
        <v>66000000</v>
      </c>
      <c r="P349" s="358"/>
      <c r="Q349" s="320"/>
      <c r="R349" s="168"/>
      <c r="S349" s="168"/>
      <c r="T349" s="287"/>
      <c r="U349" s="264"/>
      <c r="V349" s="198"/>
    </row>
    <row r="350" spans="1:22" s="90" customFormat="1" ht="19.5" customHeight="1">
      <c r="A350" s="137"/>
      <c r="B350" s="197">
        <f t="shared" si="6"/>
        <v>340</v>
      </c>
      <c r="C350" s="30" t="s">
        <v>206</v>
      </c>
      <c r="D350" s="30" t="s">
        <v>225</v>
      </c>
      <c r="E350" s="234" t="s">
        <v>840</v>
      </c>
      <c r="F350" s="235" t="s">
        <v>1219</v>
      </c>
      <c r="G350" s="284" t="str">
        <f>IFERROR(VLOOKUP(E350,Assign!$C$2:$J$142,8,FALSE),)</f>
        <v>문선영</v>
      </c>
      <c r="H350" s="236" t="s">
        <v>4507</v>
      </c>
      <c r="I350" s="236">
        <v>1</v>
      </c>
      <c r="J350" s="236">
        <v>3</v>
      </c>
      <c r="K350" s="355" t="s">
        <v>1373</v>
      </c>
      <c r="L350" s="356">
        <v>44519</v>
      </c>
      <c r="M350" s="357" t="s">
        <v>204</v>
      </c>
      <c r="N350" s="416">
        <v>36000000</v>
      </c>
      <c r="O350" s="416">
        <v>36000000</v>
      </c>
      <c r="P350" s="358"/>
      <c r="Q350" s="320"/>
      <c r="R350" s="168"/>
      <c r="S350" s="168"/>
      <c r="T350" s="287"/>
      <c r="U350" s="264"/>
      <c r="V350" s="198"/>
    </row>
    <row r="351" spans="1:22" s="90" customFormat="1" ht="19.5" customHeight="1">
      <c r="A351" s="137"/>
      <c r="B351" s="197">
        <f t="shared" si="6"/>
        <v>341</v>
      </c>
      <c r="C351" s="30" t="s">
        <v>206</v>
      </c>
      <c r="D351" s="30" t="s">
        <v>225</v>
      </c>
      <c r="E351" s="234" t="s">
        <v>841</v>
      </c>
      <c r="F351" s="235" t="s">
        <v>1217</v>
      </c>
      <c r="G351" s="284" t="str">
        <f>IFERROR(VLOOKUP(E351,Assign!$C$2:$J$142,8,FALSE),)</f>
        <v>문선영</v>
      </c>
      <c r="H351" s="236" t="s">
        <v>4864</v>
      </c>
      <c r="I351" s="236">
        <v>1</v>
      </c>
      <c r="J351" s="236">
        <v>1</v>
      </c>
      <c r="K351" s="355" t="s">
        <v>420</v>
      </c>
      <c r="L351" s="356">
        <v>43952</v>
      </c>
      <c r="M351" s="357" t="s">
        <v>204</v>
      </c>
      <c r="N351" s="416">
        <v>158400000</v>
      </c>
      <c r="O351" s="416">
        <v>158400000</v>
      </c>
      <c r="P351" s="358"/>
      <c r="Q351" s="320"/>
      <c r="R351" s="168"/>
      <c r="S351" s="168"/>
      <c r="T351" s="287"/>
      <c r="U351" s="264"/>
      <c r="V351" s="198"/>
    </row>
    <row r="352" spans="1:22" s="90" customFormat="1" ht="19.5" customHeight="1">
      <c r="A352" s="137"/>
      <c r="B352" s="197">
        <f t="shared" si="6"/>
        <v>342</v>
      </c>
      <c r="C352" s="30" t="s">
        <v>206</v>
      </c>
      <c r="D352" s="30" t="s">
        <v>225</v>
      </c>
      <c r="E352" s="234" t="s">
        <v>841</v>
      </c>
      <c r="F352" s="235" t="s">
        <v>1217</v>
      </c>
      <c r="G352" s="284" t="str">
        <f>IFERROR(VLOOKUP(E352,Assign!$C$2:$J$142,8,FALSE),)</f>
        <v>문선영</v>
      </c>
      <c r="H352" s="236" t="s">
        <v>4864</v>
      </c>
      <c r="I352" s="236">
        <v>1</v>
      </c>
      <c r="J352" s="236">
        <v>2</v>
      </c>
      <c r="K352" s="355" t="s">
        <v>1373</v>
      </c>
      <c r="L352" s="356">
        <v>44797</v>
      </c>
      <c r="M352" s="357" t="s">
        <v>204</v>
      </c>
      <c r="N352" s="416">
        <v>99000000</v>
      </c>
      <c r="O352" s="416">
        <v>99000000</v>
      </c>
      <c r="P352" s="358"/>
      <c r="Q352" s="320"/>
      <c r="R352" s="168"/>
      <c r="S352" s="168"/>
      <c r="T352" s="287"/>
      <c r="U352" s="264"/>
      <c r="V352" s="198"/>
    </row>
    <row r="353" spans="1:22" s="90" customFormat="1" ht="19.5" hidden="1" customHeight="1">
      <c r="A353" s="137"/>
      <c r="B353" s="197">
        <f t="shared" si="6"/>
        <v>343</v>
      </c>
      <c r="C353" s="30" t="s">
        <v>206</v>
      </c>
      <c r="D353" s="30" t="s">
        <v>225</v>
      </c>
      <c r="E353" s="234" t="s">
        <v>842</v>
      </c>
      <c r="F353" s="235" t="s">
        <v>1238</v>
      </c>
      <c r="G353" s="284">
        <f>IFERROR(VLOOKUP(E353,Assign!$C$2:$J$142,8,FALSE),)</f>
        <v>0</v>
      </c>
      <c r="H353" s="236" t="s">
        <v>4413</v>
      </c>
      <c r="I353" s="236">
        <v>1</v>
      </c>
      <c r="J353" s="236">
        <v>1</v>
      </c>
      <c r="K353" s="355" t="s">
        <v>1373</v>
      </c>
      <c r="L353" s="356">
        <v>42062</v>
      </c>
      <c r="M353" s="357" t="s">
        <v>204</v>
      </c>
      <c r="N353" s="416">
        <v>103200000</v>
      </c>
      <c r="O353" s="416">
        <v>103200000</v>
      </c>
      <c r="P353" s="358"/>
      <c r="Q353" s="320"/>
      <c r="R353" s="168"/>
      <c r="S353" s="168"/>
      <c r="T353" s="287"/>
      <c r="U353" s="264"/>
      <c r="V353" s="198"/>
    </row>
    <row r="354" spans="1:22" s="90" customFormat="1" ht="19.5" hidden="1" customHeight="1">
      <c r="A354" s="137"/>
      <c r="B354" s="197">
        <f t="shared" si="6"/>
        <v>344</v>
      </c>
      <c r="C354" s="30" t="s">
        <v>206</v>
      </c>
      <c r="D354" s="30" t="s">
        <v>225</v>
      </c>
      <c r="E354" s="234" t="s">
        <v>843</v>
      </c>
      <c r="F354" s="235" t="s">
        <v>1257</v>
      </c>
      <c r="G354" s="284">
        <f>IFERROR(VLOOKUP(E354,Assign!$C$2:$J$142,8,FALSE),)</f>
        <v>0</v>
      </c>
      <c r="H354" s="236" t="s">
        <v>4062</v>
      </c>
      <c r="I354" s="236">
        <v>1</v>
      </c>
      <c r="J354" s="236">
        <v>1</v>
      </c>
      <c r="K354" s="355" t="s">
        <v>1373</v>
      </c>
      <c r="L354" s="356">
        <v>42188</v>
      </c>
      <c r="M354" s="357" t="s">
        <v>204</v>
      </c>
      <c r="N354" s="416">
        <v>98000000</v>
      </c>
      <c r="O354" s="416">
        <v>98000000</v>
      </c>
      <c r="P354" s="358"/>
      <c r="Q354" s="320"/>
      <c r="R354" s="168"/>
      <c r="S354" s="168"/>
      <c r="T354" s="287"/>
      <c r="U354" s="264"/>
      <c r="V354" s="198"/>
    </row>
    <row r="355" spans="1:22" s="90" customFormat="1" ht="19.5" hidden="1" customHeight="1">
      <c r="A355" s="137"/>
      <c r="B355" s="197">
        <f t="shared" si="6"/>
        <v>345</v>
      </c>
      <c r="C355" s="30" t="s">
        <v>206</v>
      </c>
      <c r="D355" s="30" t="s">
        <v>225</v>
      </c>
      <c r="E355" s="234" t="s">
        <v>844</v>
      </c>
      <c r="F355" s="235" t="s">
        <v>1261</v>
      </c>
      <c r="G355" s="284">
        <f>IFERROR(VLOOKUP(E355,Assign!$C$2:$J$142,8,FALSE),)</f>
        <v>0</v>
      </c>
      <c r="H355" s="236" t="s">
        <v>4505</v>
      </c>
      <c r="I355" s="236">
        <v>1</v>
      </c>
      <c r="J355" s="236">
        <v>1</v>
      </c>
      <c r="K355" s="355" t="s">
        <v>1373</v>
      </c>
      <c r="L355" s="356">
        <v>44468</v>
      </c>
      <c r="M355" s="357" t="s">
        <v>204</v>
      </c>
      <c r="N355" s="416">
        <v>99600000</v>
      </c>
      <c r="O355" s="416">
        <v>99600000</v>
      </c>
      <c r="P355" s="358"/>
      <c r="Q355" s="320"/>
      <c r="R355" s="168"/>
      <c r="S355" s="168"/>
      <c r="T355" s="287"/>
      <c r="U355" s="264"/>
      <c r="V355" s="198"/>
    </row>
    <row r="356" spans="1:22" s="90" customFormat="1" ht="19.5" hidden="1" customHeight="1">
      <c r="A356" s="137"/>
      <c r="B356" s="197">
        <f t="shared" si="6"/>
        <v>346</v>
      </c>
      <c r="C356" s="30" t="s">
        <v>206</v>
      </c>
      <c r="D356" s="30" t="s">
        <v>225</v>
      </c>
      <c r="E356" s="234" t="s">
        <v>845</v>
      </c>
      <c r="F356" s="235" t="s">
        <v>1262</v>
      </c>
      <c r="G356" s="284">
        <f>IFERROR(VLOOKUP(E356,Assign!$C$2:$J$142,8,FALSE),)</f>
        <v>0</v>
      </c>
      <c r="H356" s="236" t="s">
        <v>4930</v>
      </c>
      <c r="I356" s="236">
        <v>1</v>
      </c>
      <c r="J356" s="236">
        <v>1</v>
      </c>
      <c r="K356" s="355" t="s">
        <v>1373</v>
      </c>
      <c r="L356" s="356">
        <v>41963</v>
      </c>
      <c r="M356" s="357" t="s">
        <v>204</v>
      </c>
      <c r="N356" s="416">
        <v>168000000</v>
      </c>
      <c r="O356" s="416">
        <v>168000000</v>
      </c>
      <c r="P356" s="358"/>
      <c r="Q356" s="320"/>
      <c r="R356" s="168"/>
      <c r="S356" s="168"/>
      <c r="T356" s="287"/>
      <c r="U356" s="264"/>
      <c r="V356" s="198"/>
    </row>
    <row r="357" spans="1:22" s="90" customFormat="1" ht="19.5" hidden="1" customHeight="1">
      <c r="A357" s="137"/>
      <c r="B357" s="197">
        <f t="shared" si="6"/>
        <v>347</v>
      </c>
      <c r="C357" s="30" t="s">
        <v>206</v>
      </c>
      <c r="D357" s="30" t="s">
        <v>225</v>
      </c>
      <c r="E357" s="234" t="s">
        <v>846</v>
      </c>
      <c r="F357" s="235" t="s">
        <v>1217</v>
      </c>
      <c r="G357" s="284">
        <f>IFERROR(VLOOKUP(E357,Assign!$C$2:$J$142,8,FALSE),)</f>
        <v>0</v>
      </c>
      <c r="H357" s="236" t="s">
        <v>4928</v>
      </c>
      <c r="I357" s="236">
        <v>1</v>
      </c>
      <c r="J357" s="236">
        <v>1</v>
      </c>
      <c r="K357" s="355" t="s">
        <v>489</v>
      </c>
      <c r="L357" s="356">
        <v>42549</v>
      </c>
      <c r="M357" s="357" t="s">
        <v>204</v>
      </c>
      <c r="N357" s="416">
        <v>162800000</v>
      </c>
      <c r="O357" s="416">
        <v>162800000</v>
      </c>
      <c r="P357" s="358"/>
      <c r="Q357" s="320"/>
      <c r="R357" s="168"/>
      <c r="S357" s="168"/>
      <c r="T357" s="287"/>
      <c r="U357" s="264"/>
      <c r="V357" s="198"/>
    </row>
    <row r="358" spans="1:22" s="90" customFormat="1" ht="19.5" hidden="1" customHeight="1">
      <c r="A358" s="137"/>
      <c r="B358" s="197">
        <f t="shared" si="6"/>
        <v>348</v>
      </c>
      <c r="C358" s="30" t="s">
        <v>206</v>
      </c>
      <c r="D358" s="30" t="s">
        <v>225</v>
      </c>
      <c r="E358" s="234" t="s">
        <v>846</v>
      </c>
      <c r="F358" s="235" t="s">
        <v>1217</v>
      </c>
      <c r="G358" s="284">
        <f>IFERROR(VLOOKUP(E358,Assign!$C$2:$J$142,8,FALSE),)</f>
        <v>0</v>
      </c>
      <c r="H358" s="236" t="s">
        <v>4928</v>
      </c>
      <c r="I358" s="236">
        <v>1</v>
      </c>
      <c r="J358" s="236">
        <v>2</v>
      </c>
      <c r="K358" s="355" t="s">
        <v>1373</v>
      </c>
      <c r="L358" s="356">
        <v>43125</v>
      </c>
      <c r="M358" s="357" t="s">
        <v>204</v>
      </c>
      <c r="N358" s="416">
        <v>60000000</v>
      </c>
      <c r="O358" s="416">
        <v>60000000</v>
      </c>
      <c r="P358" s="358"/>
      <c r="Q358" s="320"/>
      <c r="R358" s="168"/>
      <c r="S358" s="168"/>
      <c r="T358" s="287"/>
      <c r="U358" s="264"/>
      <c r="V358" s="198"/>
    </row>
    <row r="359" spans="1:22" s="90" customFormat="1" ht="19.5" hidden="1" customHeight="1">
      <c r="A359" s="137"/>
      <c r="B359" s="197">
        <f t="shared" si="6"/>
        <v>349</v>
      </c>
      <c r="C359" s="30" t="s">
        <v>206</v>
      </c>
      <c r="D359" s="30" t="s">
        <v>225</v>
      </c>
      <c r="E359" s="234" t="s">
        <v>846</v>
      </c>
      <c r="F359" s="235" t="s">
        <v>1217</v>
      </c>
      <c r="G359" s="284">
        <f>IFERROR(VLOOKUP(E359,Assign!$C$2:$J$142,8,FALSE),)</f>
        <v>0</v>
      </c>
      <c r="H359" s="236" t="s">
        <v>4928</v>
      </c>
      <c r="I359" s="236">
        <v>1</v>
      </c>
      <c r="J359" s="236">
        <v>3</v>
      </c>
      <c r="K359" s="355" t="s">
        <v>1373</v>
      </c>
      <c r="L359" s="356">
        <v>43850</v>
      </c>
      <c r="M359" s="357" t="s">
        <v>204</v>
      </c>
      <c r="N359" s="416">
        <v>60000000</v>
      </c>
      <c r="O359" s="416">
        <v>60000000</v>
      </c>
      <c r="P359" s="358"/>
      <c r="Q359" s="320"/>
      <c r="R359" s="168"/>
      <c r="S359" s="168"/>
      <c r="T359" s="287"/>
      <c r="U359" s="264"/>
      <c r="V359" s="198"/>
    </row>
    <row r="360" spans="1:22" s="90" customFormat="1" ht="19.5" hidden="1" customHeight="1">
      <c r="A360" s="137"/>
      <c r="B360" s="197">
        <f t="shared" si="6"/>
        <v>350</v>
      </c>
      <c r="C360" s="30" t="s">
        <v>206</v>
      </c>
      <c r="D360" s="30" t="s">
        <v>225</v>
      </c>
      <c r="E360" s="234" t="s">
        <v>847</v>
      </c>
      <c r="F360" s="235" t="s">
        <v>1232</v>
      </c>
      <c r="G360" s="284">
        <f>IFERROR(VLOOKUP(E360,Assign!$C$2:$J$142,8,FALSE),)</f>
        <v>0</v>
      </c>
      <c r="H360" s="236" t="s">
        <v>4730</v>
      </c>
      <c r="I360" s="236">
        <v>1</v>
      </c>
      <c r="J360" s="236">
        <v>1</v>
      </c>
      <c r="K360" s="355" t="s">
        <v>1373</v>
      </c>
      <c r="L360" s="356">
        <v>44237</v>
      </c>
      <c r="M360" s="357" t="s">
        <v>204</v>
      </c>
      <c r="N360" s="416">
        <v>118800000</v>
      </c>
      <c r="O360" s="416">
        <v>118800000</v>
      </c>
      <c r="P360" s="358"/>
      <c r="Q360" s="320"/>
      <c r="R360" s="168"/>
      <c r="S360" s="168"/>
      <c r="T360" s="287"/>
      <c r="U360" s="264"/>
      <c r="V360" s="198"/>
    </row>
    <row r="361" spans="1:22" s="90" customFormat="1" ht="19.5" hidden="1" customHeight="1">
      <c r="A361" s="137"/>
      <c r="B361" s="197">
        <f t="shared" si="6"/>
        <v>351</v>
      </c>
      <c r="C361" s="30" t="s">
        <v>206</v>
      </c>
      <c r="D361" s="30" t="s">
        <v>225</v>
      </c>
      <c r="E361" s="234" t="s">
        <v>848</v>
      </c>
      <c r="F361" s="235" t="s">
        <v>1231</v>
      </c>
      <c r="G361" s="284">
        <f>IFERROR(VLOOKUP(E361,Assign!$C$2:$J$142,8,FALSE),)</f>
        <v>0</v>
      </c>
      <c r="H361" s="236" t="s">
        <v>3982</v>
      </c>
      <c r="I361" s="236">
        <v>1</v>
      </c>
      <c r="J361" s="236">
        <v>1</v>
      </c>
      <c r="K361" s="355" t="s">
        <v>1373</v>
      </c>
      <c r="L361" s="356">
        <v>42356</v>
      </c>
      <c r="M361" s="357" t="s">
        <v>204</v>
      </c>
      <c r="N361" s="416">
        <v>132000000</v>
      </c>
      <c r="O361" s="416">
        <v>132000000</v>
      </c>
      <c r="P361" s="358"/>
      <c r="Q361" s="320"/>
      <c r="R361" s="168"/>
      <c r="S361" s="168"/>
      <c r="T361" s="287"/>
      <c r="U361" s="264"/>
      <c r="V361" s="198"/>
    </row>
    <row r="362" spans="1:22" s="90" customFormat="1" ht="19.5" hidden="1" customHeight="1">
      <c r="A362" s="137"/>
      <c r="B362" s="197">
        <f t="shared" si="6"/>
        <v>352</v>
      </c>
      <c r="C362" s="30" t="s">
        <v>206</v>
      </c>
      <c r="D362" s="30" t="s">
        <v>225</v>
      </c>
      <c r="E362" s="234" t="s">
        <v>848</v>
      </c>
      <c r="F362" s="235" t="s">
        <v>1231</v>
      </c>
      <c r="G362" s="284">
        <f>IFERROR(VLOOKUP(E362,Assign!$C$2:$J$142,8,FALSE),)</f>
        <v>0</v>
      </c>
      <c r="H362" s="236" t="s">
        <v>3982</v>
      </c>
      <c r="I362" s="236">
        <v>1</v>
      </c>
      <c r="J362" s="236">
        <v>2</v>
      </c>
      <c r="K362" s="355" t="s">
        <v>1373</v>
      </c>
      <c r="L362" s="356">
        <v>43231</v>
      </c>
      <c r="M362" s="357" t="s">
        <v>204</v>
      </c>
      <c r="N362" s="416">
        <v>48000000</v>
      </c>
      <c r="O362" s="416">
        <v>48000000</v>
      </c>
      <c r="P362" s="358"/>
      <c r="Q362" s="320"/>
      <c r="R362" s="168"/>
      <c r="S362" s="168"/>
      <c r="T362" s="287"/>
      <c r="U362" s="264"/>
      <c r="V362" s="198"/>
    </row>
    <row r="363" spans="1:22" s="90" customFormat="1" ht="19.5" customHeight="1">
      <c r="A363" s="137"/>
      <c r="B363" s="197">
        <f t="shared" si="6"/>
        <v>353</v>
      </c>
      <c r="C363" s="30" t="s">
        <v>206</v>
      </c>
      <c r="D363" s="30" t="s">
        <v>225</v>
      </c>
      <c r="E363" s="234" t="s">
        <v>849</v>
      </c>
      <c r="F363" s="235" t="s">
        <v>1217</v>
      </c>
      <c r="G363" s="284" t="str">
        <f>IFERROR(VLOOKUP(E363,Assign!$C$2:$J$142,8,FALSE),)</f>
        <v>문선영</v>
      </c>
      <c r="H363" s="236" t="s">
        <v>4544</v>
      </c>
      <c r="I363" s="236">
        <v>1</v>
      </c>
      <c r="J363" s="236">
        <v>1</v>
      </c>
      <c r="K363" s="355" t="s">
        <v>1373</v>
      </c>
      <c r="L363" s="356">
        <v>40694</v>
      </c>
      <c r="M363" s="357" t="s">
        <v>204</v>
      </c>
      <c r="N363" s="416">
        <v>65000000</v>
      </c>
      <c r="O363" s="416">
        <v>65000000</v>
      </c>
      <c r="P363" s="358"/>
      <c r="Q363" s="320"/>
      <c r="R363" s="168"/>
      <c r="S363" s="168"/>
      <c r="T363" s="287"/>
      <c r="U363" s="264"/>
      <c r="V363" s="198"/>
    </row>
    <row r="364" spans="1:22" s="90" customFormat="1" ht="19.5" hidden="1" customHeight="1">
      <c r="A364" s="137"/>
      <c r="B364" s="197">
        <f t="shared" si="6"/>
        <v>354</v>
      </c>
      <c r="C364" s="30" t="s">
        <v>206</v>
      </c>
      <c r="D364" s="30" t="s">
        <v>225</v>
      </c>
      <c r="E364" s="234" t="s">
        <v>850</v>
      </c>
      <c r="F364" s="235" t="s">
        <v>1229</v>
      </c>
      <c r="G364" s="284">
        <f>IFERROR(VLOOKUP(E364,Assign!$C$2:$J$142,8,FALSE),)</f>
        <v>0</v>
      </c>
      <c r="H364" s="236" t="s">
        <v>4415</v>
      </c>
      <c r="I364" s="236">
        <v>1</v>
      </c>
      <c r="J364" s="236">
        <v>1</v>
      </c>
      <c r="K364" s="355" t="s">
        <v>1373</v>
      </c>
      <c r="L364" s="356">
        <v>42313</v>
      </c>
      <c r="M364" s="357" t="s">
        <v>204</v>
      </c>
      <c r="N364" s="416">
        <v>123600000</v>
      </c>
      <c r="O364" s="416">
        <v>123600000</v>
      </c>
      <c r="P364" s="358"/>
      <c r="Q364" s="320"/>
      <c r="R364" s="168"/>
      <c r="S364" s="168"/>
      <c r="T364" s="287"/>
      <c r="U364" s="264"/>
      <c r="V364" s="198"/>
    </row>
    <row r="365" spans="1:22" s="90" customFormat="1" ht="19.5" customHeight="1">
      <c r="A365" s="137"/>
      <c r="B365" s="197">
        <f t="shared" si="6"/>
        <v>355</v>
      </c>
      <c r="C365" s="30" t="s">
        <v>206</v>
      </c>
      <c r="D365" s="30" t="s">
        <v>225</v>
      </c>
      <c r="E365" s="234" t="s">
        <v>851</v>
      </c>
      <c r="F365" s="235" t="s">
        <v>1225</v>
      </c>
      <c r="G365" s="284" t="str">
        <f>IFERROR(VLOOKUP(E365,Assign!$C$2:$J$142,8,FALSE),)</f>
        <v>문선영</v>
      </c>
      <c r="H365" s="236" t="s">
        <v>4134</v>
      </c>
      <c r="I365" s="236">
        <v>1</v>
      </c>
      <c r="J365" s="236">
        <v>1</v>
      </c>
      <c r="K365" s="355" t="s">
        <v>487</v>
      </c>
      <c r="L365" s="356">
        <v>44571</v>
      </c>
      <c r="M365" s="357" t="s">
        <v>204</v>
      </c>
      <c r="N365" s="416">
        <v>155100000</v>
      </c>
      <c r="O365" s="416">
        <v>155100000</v>
      </c>
      <c r="P365" s="358"/>
      <c r="Q365" s="320"/>
      <c r="R365" s="168"/>
      <c r="S365" s="168"/>
      <c r="T365" s="287"/>
      <c r="U365" s="264"/>
      <c r="V365" s="198"/>
    </row>
    <row r="366" spans="1:22" s="90" customFormat="1" ht="19.5" customHeight="1">
      <c r="A366" s="137"/>
      <c r="B366" s="197">
        <f t="shared" si="6"/>
        <v>356</v>
      </c>
      <c r="C366" s="30" t="s">
        <v>206</v>
      </c>
      <c r="D366" s="30" t="s">
        <v>225</v>
      </c>
      <c r="E366" s="234" t="s">
        <v>851</v>
      </c>
      <c r="F366" s="235" t="s">
        <v>1225</v>
      </c>
      <c r="G366" s="284" t="str">
        <f>IFERROR(VLOOKUP(E366,Assign!$C$2:$J$142,8,FALSE),)</f>
        <v>문선영</v>
      </c>
      <c r="H366" s="236" t="s">
        <v>4134</v>
      </c>
      <c r="I366" s="236">
        <v>1</v>
      </c>
      <c r="J366" s="236">
        <v>2</v>
      </c>
      <c r="K366" s="355" t="s">
        <v>1373</v>
      </c>
      <c r="L366" s="356">
        <v>44635</v>
      </c>
      <c r="M366" s="357" t="s">
        <v>204</v>
      </c>
      <c r="N366" s="416">
        <v>126000000</v>
      </c>
      <c r="O366" s="416">
        <v>126000000</v>
      </c>
      <c r="P366" s="358"/>
      <c r="Q366" s="320">
        <v>2</v>
      </c>
      <c r="R366" s="168"/>
      <c r="S366" s="168"/>
      <c r="T366" s="287"/>
      <c r="U366" s="264"/>
      <c r="V366" s="198"/>
    </row>
    <row r="367" spans="1:22" s="90" customFormat="1" ht="19.5" customHeight="1">
      <c r="A367" s="137"/>
      <c r="B367" s="197">
        <f t="shared" si="6"/>
        <v>357</v>
      </c>
      <c r="C367" s="30" t="s">
        <v>206</v>
      </c>
      <c r="D367" s="30" t="s">
        <v>225</v>
      </c>
      <c r="E367" s="234" t="s">
        <v>851</v>
      </c>
      <c r="F367" s="235" t="s">
        <v>1225</v>
      </c>
      <c r="G367" s="284" t="str">
        <f>IFERROR(VLOOKUP(E367,Assign!$C$2:$J$142,8,FALSE),)</f>
        <v>문선영</v>
      </c>
      <c r="H367" s="236" t="s">
        <v>4136</v>
      </c>
      <c r="I367" s="236">
        <v>2</v>
      </c>
      <c r="J367" s="236">
        <v>1</v>
      </c>
      <c r="K367" s="355" t="s">
        <v>490</v>
      </c>
      <c r="L367" s="356">
        <v>44543</v>
      </c>
      <c r="M367" s="357" t="s">
        <v>204</v>
      </c>
      <c r="N367" s="416">
        <v>42000000</v>
      </c>
      <c r="O367" s="416">
        <v>42000000</v>
      </c>
      <c r="P367" s="358"/>
      <c r="Q367" s="320"/>
      <c r="R367" s="168"/>
      <c r="S367" s="168"/>
      <c r="T367" s="287"/>
      <c r="U367" s="264"/>
      <c r="V367" s="198"/>
    </row>
    <row r="368" spans="1:22" s="90" customFormat="1" ht="19.5" customHeight="1">
      <c r="A368" s="137"/>
      <c r="B368" s="197">
        <f t="shared" si="6"/>
        <v>358</v>
      </c>
      <c r="C368" s="30" t="s">
        <v>206</v>
      </c>
      <c r="D368" s="30" t="s">
        <v>225</v>
      </c>
      <c r="E368" s="234" t="s">
        <v>851</v>
      </c>
      <c r="F368" s="235" t="s">
        <v>1225</v>
      </c>
      <c r="G368" s="284" t="str">
        <f>IFERROR(VLOOKUP(E368,Assign!$C$2:$J$142,8,FALSE),)</f>
        <v>문선영</v>
      </c>
      <c r="H368" s="236" t="s">
        <v>4136</v>
      </c>
      <c r="I368" s="236">
        <v>2</v>
      </c>
      <c r="J368" s="236">
        <v>2</v>
      </c>
      <c r="K368" s="355" t="s">
        <v>1373</v>
      </c>
      <c r="L368" s="356">
        <v>44635</v>
      </c>
      <c r="M368" s="357" t="s">
        <v>204</v>
      </c>
      <c r="N368" s="416">
        <v>126000000</v>
      </c>
      <c r="O368" s="416">
        <v>126000000</v>
      </c>
      <c r="P368" s="358"/>
      <c r="Q368" s="320">
        <v>1</v>
      </c>
      <c r="R368" s="168"/>
      <c r="S368" s="168"/>
      <c r="T368" s="287"/>
      <c r="U368" s="264"/>
      <c r="V368" s="198"/>
    </row>
    <row r="369" spans="1:22" s="90" customFormat="1" ht="19.5" hidden="1" customHeight="1">
      <c r="A369" s="137"/>
      <c r="B369" s="197">
        <f t="shared" si="6"/>
        <v>359</v>
      </c>
      <c r="C369" s="30" t="s">
        <v>206</v>
      </c>
      <c r="D369" s="30" t="s">
        <v>225</v>
      </c>
      <c r="E369" s="234" t="s">
        <v>852</v>
      </c>
      <c r="F369" s="235" t="s">
        <v>1263</v>
      </c>
      <c r="G369" s="284">
        <f>IFERROR(VLOOKUP(E369,Assign!$C$2:$J$142,8,FALSE),)</f>
        <v>0</v>
      </c>
      <c r="H369" s="236" t="s">
        <v>4238</v>
      </c>
      <c r="I369" s="236">
        <v>1</v>
      </c>
      <c r="J369" s="236">
        <v>1</v>
      </c>
      <c r="K369" s="355" t="s">
        <v>1373</v>
      </c>
      <c r="L369" s="356">
        <v>42130</v>
      </c>
      <c r="M369" s="357" t="s">
        <v>204</v>
      </c>
      <c r="N369" s="416">
        <v>109200000</v>
      </c>
      <c r="O369" s="416">
        <v>109200000</v>
      </c>
      <c r="P369" s="358"/>
      <c r="Q369" s="320"/>
      <c r="R369" s="168"/>
      <c r="S369" s="168"/>
      <c r="T369" s="287"/>
      <c r="U369" s="264"/>
      <c r="V369" s="198"/>
    </row>
    <row r="370" spans="1:22" s="90" customFormat="1" ht="19.5" customHeight="1">
      <c r="A370" s="137"/>
      <c r="B370" s="197">
        <f t="shared" si="6"/>
        <v>360</v>
      </c>
      <c r="C370" s="30" t="s">
        <v>206</v>
      </c>
      <c r="D370" s="30" t="s">
        <v>225</v>
      </c>
      <c r="E370" s="234" t="s">
        <v>853</v>
      </c>
      <c r="F370" s="235" t="s">
        <v>1264</v>
      </c>
      <c r="G370" s="284" t="str">
        <f>IFERROR(VLOOKUP(E370,Assign!$C$2:$J$142,8,FALSE),)</f>
        <v>문선영</v>
      </c>
      <c r="H370" s="236" t="s">
        <v>4181</v>
      </c>
      <c r="I370" s="236">
        <v>1</v>
      </c>
      <c r="J370" s="236">
        <v>1</v>
      </c>
      <c r="K370" s="355" t="s">
        <v>1373</v>
      </c>
      <c r="L370" s="356">
        <v>41579</v>
      </c>
      <c r="M370" s="357" t="s">
        <v>204</v>
      </c>
      <c r="N370" s="416">
        <v>30000000</v>
      </c>
      <c r="O370" s="416">
        <v>30000000</v>
      </c>
      <c r="P370" s="358"/>
      <c r="Q370" s="320"/>
      <c r="R370" s="168"/>
      <c r="S370" s="168"/>
      <c r="T370" s="287"/>
      <c r="U370" s="264"/>
      <c r="V370" s="198"/>
    </row>
    <row r="371" spans="1:22" s="90" customFormat="1" ht="19.5" customHeight="1">
      <c r="A371" s="137"/>
      <c r="B371" s="197">
        <f t="shared" si="6"/>
        <v>361</v>
      </c>
      <c r="C371" s="30" t="s">
        <v>206</v>
      </c>
      <c r="D371" s="30" t="s">
        <v>225</v>
      </c>
      <c r="E371" s="234" t="s">
        <v>853</v>
      </c>
      <c r="F371" s="235" t="s">
        <v>1264</v>
      </c>
      <c r="G371" s="284" t="str">
        <f>IFERROR(VLOOKUP(E371,Assign!$C$2:$J$142,8,FALSE),)</f>
        <v>문선영</v>
      </c>
      <c r="H371" s="236" t="s">
        <v>4181</v>
      </c>
      <c r="I371" s="236">
        <v>1</v>
      </c>
      <c r="J371" s="236">
        <v>2</v>
      </c>
      <c r="K371" s="355" t="s">
        <v>1373</v>
      </c>
      <c r="L371" s="356">
        <v>41967</v>
      </c>
      <c r="M371" s="357" t="s">
        <v>204</v>
      </c>
      <c r="N371" s="416">
        <v>17800000</v>
      </c>
      <c r="O371" s="416">
        <v>17800000</v>
      </c>
      <c r="P371" s="358"/>
      <c r="Q371" s="320"/>
      <c r="R371" s="168"/>
      <c r="S371" s="168"/>
      <c r="T371" s="287"/>
      <c r="U371" s="264"/>
      <c r="V371" s="198"/>
    </row>
    <row r="372" spans="1:22" s="90" customFormat="1" ht="19.5" customHeight="1">
      <c r="A372" s="137"/>
      <c r="B372" s="197">
        <f t="shared" si="6"/>
        <v>362</v>
      </c>
      <c r="C372" s="30" t="s">
        <v>206</v>
      </c>
      <c r="D372" s="30" t="s">
        <v>225</v>
      </c>
      <c r="E372" s="234" t="s">
        <v>853</v>
      </c>
      <c r="F372" s="235" t="s">
        <v>1264</v>
      </c>
      <c r="G372" s="284" t="str">
        <f>IFERROR(VLOOKUP(E372,Assign!$C$2:$J$142,8,FALSE),)</f>
        <v>문선영</v>
      </c>
      <c r="H372" s="236" t="s">
        <v>4181</v>
      </c>
      <c r="I372" s="236">
        <v>1</v>
      </c>
      <c r="J372" s="236">
        <v>3</v>
      </c>
      <c r="K372" s="355" t="s">
        <v>1373</v>
      </c>
      <c r="L372" s="356">
        <v>42048</v>
      </c>
      <c r="M372" s="357" t="s">
        <v>204</v>
      </c>
      <c r="N372" s="416">
        <v>38600000</v>
      </c>
      <c r="O372" s="416">
        <v>38600000</v>
      </c>
      <c r="P372" s="358"/>
      <c r="Q372" s="320"/>
      <c r="R372" s="168"/>
      <c r="S372" s="168"/>
      <c r="T372" s="287"/>
      <c r="U372" s="264"/>
      <c r="V372" s="198"/>
    </row>
    <row r="373" spans="1:22" s="90" customFormat="1" ht="19.5" hidden="1" customHeight="1">
      <c r="A373" s="137"/>
      <c r="B373" s="197">
        <f t="shared" si="6"/>
        <v>363</v>
      </c>
      <c r="C373" s="30" t="s">
        <v>206</v>
      </c>
      <c r="D373" s="30" t="s">
        <v>225</v>
      </c>
      <c r="E373" s="234" t="s">
        <v>854</v>
      </c>
      <c r="F373" s="235" t="s">
        <v>1229</v>
      </c>
      <c r="G373" s="284">
        <f>IFERROR(VLOOKUP(E373,Assign!$C$2:$J$142,8,FALSE),)</f>
        <v>0</v>
      </c>
      <c r="H373" s="236" t="s">
        <v>4032</v>
      </c>
      <c r="I373" s="236">
        <v>1</v>
      </c>
      <c r="J373" s="236">
        <v>1</v>
      </c>
      <c r="K373" s="355" t="s">
        <v>1373</v>
      </c>
      <c r="L373" s="356">
        <v>44516</v>
      </c>
      <c r="M373" s="357" t="s">
        <v>204</v>
      </c>
      <c r="N373" s="416">
        <v>84000000</v>
      </c>
      <c r="O373" s="416">
        <v>84000000</v>
      </c>
      <c r="P373" s="358"/>
      <c r="Q373" s="320"/>
      <c r="R373" s="168"/>
      <c r="S373" s="168"/>
      <c r="T373" s="287"/>
      <c r="U373" s="264"/>
      <c r="V373" s="198"/>
    </row>
    <row r="374" spans="1:22" s="90" customFormat="1" ht="19.5" hidden="1" customHeight="1">
      <c r="A374" s="137"/>
      <c r="B374" s="197">
        <f t="shared" si="6"/>
        <v>364</v>
      </c>
      <c r="C374" s="30" t="s">
        <v>206</v>
      </c>
      <c r="D374" s="30" t="s">
        <v>225</v>
      </c>
      <c r="E374" s="234" t="s">
        <v>855</v>
      </c>
      <c r="F374" s="235" t="s">
        <v>1235</v>
      </c>
      <c r="G374" s="284">
        <f>IFERROR(VLOOKUP(E374,Assign!$C$2:$J$142,8,FALSE),)</f>
        <v>0</v>
      </c>
      <c r="H374" s="236" t="s">
        <v>4515</v>
      </c>
      <c r="I374" s="236">
        <v>1</v>
      </c>
      <c r="J374" s="236">
        <v>1</v>
      </c>
      <c r="K374" s="355" t="s">
        <v>1373</v>
      </c>
      <c r="L374" s="356">
        <v>44530</v>
      </c>
      <c r="M374" s="357" t="s">
        <v>204</v>
      </c>
      <c r="N374" s="416">
        <v>84000000</v>
      </c>
      <c r="O374" s="416">
        <v>84000000</v>
      </c>
      <c r="P374" s="358"/>
      <c r="Q374" s="320"/>
      <c r="R374" s="168"/>
      <c r="S374" s="168"/>
      <c r="T374" s="287"/>
      <c r="U374" s="264"/>
      <c r="V374" s="198"/>
    </row>
    <row r="375" spans="1:22" s="90" customFormat="1" ht="19.5" hidden="1" customHeight="1">
      <c r="A375" s="137"/>
      <c r="B375" s="197">
        <f t="shared" si="6"/>
        <v>365</v>
      </c>
      <c r="C375" s="30" t="s">
        <v>206</v>
      </c>
      <c r="D375" s="30" t="s">
        <v>225</v>
      </c>
      <c r="E375" s="234" t="s">
        <v>856</v>
      </c>
      <c r="F375" s="235" t="s">
        <v>1263</v>
      </c>
      <c r="G375" s="284">
        <f>IFERROR(VLOOKUP(E375,Assign!$C$2:$J$142,8,FALSE),)</f>
        <v>0</v>
      </c>
      <c r="H375" s="236" t="s">
        <v>5029</v>
      </c>
      <c r="I375" s="236">
        <v>1</v>
      </c>
      <c r="J375" s="236">
        <v>1</v>
      </c>
      <c r="K375" s="355" t="s">
        <v>1373</v>
      </c>
      <c r="L375" s="356">
        <v>42222</v>
      </c>
      <c r="M375" s="357" t="s">
        <v>204</v>
      </c>
      <c r="N375" s="416">
        <v>120000000</v>
      </c>
      <c r="O375" s="416">
        <v>120000000</v>
      </c>
      <c r="P375" s="358"/>
      <c r="Q375" s="320"/>
      <c r="R375" s="168"/>
      <c r="S375" s="168"/>
      <c r="T375" s="287"/>
      <c r="U375" s="264"/>
      <c r="V375" s="198"/>
    </row>
    <row r="376" spans="1:22" s="90" customFormat="1" ht="19.5" hidden="1" customHeight="1">
      <c r="A376" s="137"/>
      <c r="B376" s="197">
        <f t="shared" si="6"/>
        <v>366</v>
      </c>
      <c r="C376" s="30" t="s">
        <v>206</v>
      </c>
      <c r="D376" s="30" t="s">
        <v>225</v>
      </c>
      <c r="E376" s="234" t="s">
        <v>857</v>
      </c>
      <c r="F376" s="235" t="s">
        <v>1251</v>
      </c>
      <c r="G376" s="284">
        <f>IFERROR(VLOOKUP(E376,Assign!$C$2:$J$142,8,FALSE),)</f>
        <v>0</v>
      </c>
      <c r="H376" s="236" t="s">
        <v>4944</v>
      </c>
      <c r="I376" s="236">
        <v>1</v>
      </c>
      <c r="J376" s="236">
        <v>1</v>
      </c>
      <c r="K376" s="355" t="s">
        <v>1373</v>
      </c>
      <c r="L376" s="356">
        <v>42985</v>
      </c>
      <c r="M376" s="357" t="s">
        <v>204</v>
      </c>
      <c r="N376" s="416">
        <v>79800000</v>
      </c>
      <c r="O376" s="416">
        <v>79800000</v>
      </c>
      <c r="P376" s="358"/>
      <c r="Q376" s="320"/>
      <c r="R376" s="168"/>
      <c r="S376" s="168"/>
      <c r="T376" s="287"/>
      <c r="U376" s="264"/>
      <c r="V376" s="198"/>
    </row>
    <row r="377" spans="1:22" s="90" customFormat="1" ht="19.5" hidden="1" customHeight="1">
      <c r="A377" s="137"/>
      <c r="B377" s="197">
        <f t="shared" si="6"/>
        <v>367</v>
      </c>
      <c r="C377" s="30" t="s">
        <v>206</v>
      </c>
      <c r="D377" s="30" t="s">
        <v>225</v>
      </c>
      <c r="E377" s="234" t="s">
        <v>858</v>
      </c>
      <c r="F377" s="235" t="s">
        <v>1225</v>
      </c>
      <c r="G377" s="284">
        <f>IFERROR(VLOOKUP(E377,Assign!$C$2:$J$142,8,FALSE),)</f>
        <v>0</v>
      </c>
      <c r="H377" s="236" t="s">
        <v>4060</v>
      </c>
      <c r="I377" s="236">
        <v>1</v>
      </c>
      <c r="J377" s="236">
        <v>1</v>
      </c>
      <c r="K377" s="355" t="s">
        <v>1373</v>
      </c>
      <c r="L377" s="356">
        <v>44624</v>
      </c>
      <c r="M377" s="357" t="s">
        <v>204</v>
      </c>
      <c r="N377" s="416">
        <v>77990000</v>
      </c>
      <c r="O377" s="416">
        <v>77990000</v>
      </c>
      <c r="P377" s="358"/>
      <c r="Q377" s="320"/>
      <c r="R377" s="168"/>
      <c r="S377" s="168"/>
      <c r="T377" s="287"/>
      <c r="U377" s="264"/>
      <c r="V377" s="198"/>
    </row>
    <row r="378" spans="1:22" s="90" customFormat="1" ht="19.5" hidden="1" customHeight="1">
      <c r="A378" s="137"/>
      <c r="B378" s="197">
        <f t="shared" si="6"/>
        <v>368</v>
      </c>
      <c r="C378" s="30" t="s">
        <v>206</v>
      </c>
      <c r="D378" s="30" t="s">
        <v>225</v>
      </c>
      <c r="E378" s="234" t="s">
        <v>859</v>
      </c>
      <c r="F378" s="235" t="s">
        <v>1223</v>
      </c>
      <c r="G378" s="284">
        <f>IFERROR(VLOOKUP(E378,Assign!$C$2:$J$142,8,FALSE),)</f>
        <v>0</v>
      </c>
      <c r="H378" s="236" t="s">
        <v>3938</v>
      </c>
      <c r="I378" s="236">
        <v>1</v>
      </c>
      <c r="J378" s="236">
        <v>1</v>
      </c>
      <c r="K378" s="355" t="s">
        <v>488</v>
      </c>
      <c r="L378" s="356">
        <v>38497</v>
      </c>
      <c r="M378" s="357" t="s">
        <v>204</v>
      </c>
      <c r="N378" s="416">
        <v>58500000</v>
      </c>
      <c r="O378" s="416">
        <v>58500000</v>
      </c>
      <c r="P378" s="358"/>
      <c r="Q378" s="320"/>
      <c r="R378" s="168"/>
      <c r="S378" s="168"/>
      <c r="T378" s="287"/>
      <c r="U378" s="264"/>
      <c r="V378" s="198"/>
    </row>
    <row r="379" spans="1:22" s="90" customFormat="1" ht="19.5" hidden="1" customHeight="1">
      <c r="A379" s="137"/>
      <c r="B379" s="197">
        <f t="shared" si="6"/>
        <v>369</v>
      </c>
      <c r="C379" s="30" t="s">
        <v>206</v>
      </c>
      <c r="D379" s="30" t="s">
        <v>225</v>
      </c>
      <c r="E379" s="234" t="s">
        <v>859</v>
      </c>
      <c r="F379" s="235" t="s">
        <v>1223</v>
      </c>
      <c r="G379" s="284">
        <f>IFERROR(VLOOKUP(E379,Assign!$C$2:$J$142,8,FALSE),)</f>
        <v>0</v>
      </c>
      <c r="H379" s="236" t="s">
        <v>3938</v>
      </c>
      <c r="I379" s="236">
        <v>1</v>
      </c>
      <c r="J379" s="236">
        <v>2</v>
      </c>
      <c r="K379" s="355" t="s">
        <v>488</v>
      </c>
      <c r="L379" s="356">
        <v>42181</v>
      </c>
      <c r="M379" s="357" t="s">
        <v>204</v>
      </c>
      <c r="N379" s="416">
        <v>60000000</v>
      </c>
      <c r="O379" s="416">
        <v>60000000</v>
      </c>
      <c r="P379" s="358"/>
      <c r="Q379" s="320"/>
      <c r="R379" s="168"/>
      <c r="S379" s="168"/>
      <c r="T379" s="287"/>
      <c r="U379" s="264"/>
      <c r="V379" s="198"/>
    </row>
    <row r="380" spans="1:22" s="90" customFormat="1" ht="19.5" hidden="1" customHeight="1">
      <c r="A380" s="137"/>
      <c r="B380" s="197">
        <f t="shared" si="6"/>
        <v>370</v>
      </c>
      <c r="C380" s="30" t="s">
        <v>206</v>
      </c>
      <c r="D380" s="30" t="s">
        <v>225</v>
      </c>
      <c r="E380" s="234" t="s">
        <v>859</v>
      </c>
      <c r="F380" s="235" t="s">
        <v>1223</v>
      </c>
      <c r="G380" s="284">
        <f>IFERROR(VLOOKUP(E380,Assign!$C$2:$J$142,8,FALSE),)</f>
        <v>0</v>
      </c>
      <c r="H380" s="236" t="s">
        <v>3938</v>
      </c>
      <c r="I380" s="236">
        <v>1</v>
      </c>
      <c r="J380" s="236">
        <v>3</v>
      </c>
      <c r="K380" s="355" t="s">
        <v>488</v>
      </c>
      <c r="L380" s="356">
        <v>42503</v>
      </c>
      <c r="M380" s="357" t="s">
        <v>204</v>
      </c>
      <c r="N380" s="416">
        <v>31500000</v>
      </c>
      <c r="O380" s="416">
        <v>31500000</v>
      </c>
      <c r="P380" s="358"/>
      <c r="Q380" s="320"/>
      <c r="R380" s="168"/>
      <c r="S380" s="168"/>
      <c r="T380" s="287"/>
      <c r="U380" s="264"/>
      <c r="V380" s="198"/>
    </row>
    <row r="381" spans="1:22" s="90" customFormat="1" ht="19.5" hidden="1" customHeight="1">
      <c r="A381" s="137"/>
      <c r="B381" s="197">
        <f t="shared" si="6"/>
        <v>371</v>
      </c>
      <c r="C381" s="30" t="s">
        <v>206</v>
      </c>
      <c r="D381" s="30" t="s">
        <v>225</v>
      </c>
      <c r="E381" s="234" t="s">
        <v>859</v>
      </c>
      <c r="F381" s="235" t="s">
        <v>1223</v>
      </c>
      <c r="G381" s="284">
        <f>IFERROR(VLOOKUP(E381,Assign!$C$2:$J$142,8,FALSE),)</f>
        <v>0</v>
      </c>
      <c r="H381" s="236" t="s">
        <v>3938</v>
      </c>
      <c r="I381" s="236">
        <v>1</v>
      </c>
      <c r="J381" s="236">
        <v>4</v>
      </c>
      <c r="K381" s="355" t="s">
        <v>1373</v>
      </c>
      <c r="L381" s="356">
        <v>44323</v>
      </c>
      <c r="M381" s="357" t="s">
        <v>204</v>
      </c>
      <c r="N381" s="416">
        <v>120000000</v>
      </c>
      <c r="O381" s="416">
        <v>120000000</v>
      </c>
      <c r="P381" s="358"/>
      <c r="Q381" s="320"/>
      <c r="R381" s="168"/>
      <c r="S381" s="168"/>
      <c r="T381" s="287"/>
      <c r="U381" s="264"/>
      <c r="V381" s="198"/>
    </row>
    <row r="382" spans="1:22" s="90" customFormat="1" ht="19.5" hidden="1" customHeight="1">
      <c r="A382" s="137"/>
      <c r="B382" s="197">
        <f t="shared" si="6"/>
        <v>372</v>
      </c>
      <c r="C382" s="30" t="s">
        <v>206</v>
      </c>
      <c r="D382" s="30" t="s">
        <v>225</v>
      </c>
      <c r="E382" s="234" t="s">
        <v>860</v>
      </c>
      <c r="F382" s="235" t="s">
        <v>1229</v>
      </c>
      <c r="G382" s="284">
        <f>IFERROR(VLOOKUP(E382,Assign!$C$2:$J$142,8,FALSE),)</f>
        <v>0</v>
      </c>
      <c r="H382" s="236" t="s">
        <v>4225</v>
      </c>
      <c r="I382" s="236">
        <v>1</v>
      </c>
      <c r="J382" s="236">
        <v>1</v>
      </c>
      <c r="K382" s="355" t="s">
        <v>1373</v>
      </c>
      <c r="L382" s="356">
        <v>43062</v>
      </c>
      <c r="M382" s="357" t="s">
        <v>204</v>
      </c>
      <c r="N382" s="416">
        <v>76000000</v>
      </c>
      <c r="O382" s="416">
        <v>76000000</v>
      </c>
      <c r="P382" s="358"/>
      <c r="Q382" s="320"/>
      <c r="R382" s="168"/>
      <c r="S382" s="168"/>
      <c r="T382" s="287"/>
      <c r="U382" s="264"/>
      <c r="V382" s="198"/>
    </row>
    <row r="383" spans="1:22" s="90" customFormat="1" ht="19.5" hidden="1" customHeight="1">
      <c r="A383" s="137"/>
      <c r="B383" s="197">
        <f t="shared" si="6"/>
        <v>373</v>
      </c>
      <c r="C383" s="30" t="s">
        <v>206</v>
      </c>
      <c r="D383" s="30" t="s">
        <v>225</v>
      </c>
      <c r="E383" s="234" t="s">
        <v>861</v>
      </c>
      <c r="F383" s="235" t="s">
        <v>1229</v>
      </c>
      <c r="G383" s="284">
        <f>IFERROR(VLOOKUP(E383,Assign!$C$2:$J$142,8,FALSE),)</f>
        <v>0</v>
      </c>
      <c r="H383" s="236" t="s">
        <v>5209</v>
      </c>
      <c r="I383" s="236">
        <v>1</v>
      </c>
      <c r="J383" s="236">
        <v>1</v>
      </c>
      <c r="K383" s="355" t="s">
        <v>1373</v>
      </c>
      <c r="L383" s="356">
        <v>44336</v>
      </c>
      <c r="M383" s="357" t="s">
        <v>204</v>
      </c>
      <c r="N383" s="416">
        <v>84000000</v>
      </c>
      <c r="O383" s="416">
        <v>84000000</v>
      </c>
      <c r="P383" s="358"/>
      <c r="Q383" s="320"/>
      <c r="R383" s="168"/>
      <c r="S383" s="168"/>
      <c r="T383" s="287"/>
      <c r="U383" s="264"/>
      <c r="V383" s="198"/>
    </row>
    <row r="384" spans="1:22" s="90" customFormat="1" ht="19.5" customHeight="1">
      <c r="A384" s="137"/>
      <c r="B384" s="197">
        <f t="shared" si="6"/>
        <v>374</v>
      </c>
      <c r="C384" s="30" t="s">
        <v>206</v>
      </c>
      <c r="D384" s="30" t="s">
        <v>225</v>
      </c>
      <c r="E384" s="234" t="s">
        <v>862</v>
      </c>
      <c r="F384" s="235" t="s">
        <v>1231</v>
      </c>
      <c r="G384" s="284" t="str">
        <f>IFERROR(VLOOKUP(E384,Assign!$C$2:$J$142,8,FALSE),)</f>
        <v>문선영</v>
      </c>
      <c r="H384" s="236" t="s">
        <v>4870</v>
      </c>
      <c r="I384" s="236">
        <v>1</v>
      </c>
      <c r="J384" s="236">
        <v>1</v>
      </c>
      <c r="K384" s="355" t="s">
        <v>1373</v>
      </c>
      <c r="L384" s="356">
        <v>43098</v>
      </c>
      <c r="M384" s="357" t="s">
        <v>204</v>
      </c>
      <c r="N384" s="416">
        <v>148320000</v>
      </c>
      <c r="O384" s="416">
        <v>148320000</v>
      </c>
      <c r="P384" s="358"/>
      <c r="Q384" s="320"/>
      <c r="R384" s="168"/>
      <c r="S384" s="168"/>
      <c r="T384" s="287"/>
      <c r="U384" s="264"/>
      <c r="V384" s="198"/>
    </row>
    <row r="385" spans="1:22" s="90" customFormat="1" ht="19.5" customHeight="1">
      <c r="A385" s="137"/>
      <c r="B385" s="197">
        <f t="shared" si="6"/>
        <v>375</v>
      </c>
      <c r="C385" s="30" t="s">
        <v>206</v>
      </c>
      <c r="D385" s="30" t="s">
        <v>225</v>
      </c>
      <c r="E385" s="234" t="s">
        <v>863</v>
      </c>
      <c r="F385" s="235" t="s">
        <v>1265</v>
      </c>
      <c r="G385" s="284" t="str">
        <f>IFERROR(VLOOKUP(E385,Assign!$C$2:$J$142,8,FALSE),)</f>
        <v>문선영</v>
      </c>
      <c r="H385" s="236" t="s">
        <v>4450</v>
      </c>
      <c r="I385" s="236">
        <v>1</v>
      </c>
      <c r="J385" s="236">
        <v>1</v>
      </c>
      <c r="K385" s="355" t="s">
        <v>1373</v>
      </c>
      <c r="L385" s="356">
        <v>42122</v>
      </c>
      <c r="M385" s="357" t="s">
        <v>204</v>
      </c>
      <c r="N385" s="416">
        <v>77280000</v>
      </c>
      <c r="O385" s="416">
        <v>77280000</v>
      </c>
      <c r="P385" s="358"/>
      <c r="Q385" s="320"/>
      <c r="R385" s="168"/>
      <c r="S385" s="168"/>
      <c r="T385" s="287"/>
      <c r="U385" s="264"/>
      <c r="V385" s="198"/>
    </row>
    <row r="386" spans="1:22" s="90" customFormat="1" ht="19.5" hidden="1" customHeight="1">
      <c r="A386" s="137"/>
      <c r="B386" s="197">
        <f t="shared" si="6"/>
        <v>376</v>
      </c>
      <c r="C386" s="30" t="s">
        <v>206</v>
      </c>
      <c r="D386" s="30" t="s">
        <v>225</v>
      </c>
      <c r="E386" s="234" t="s">
        <v>864</v>
      </c>
      <c r="F386" s="235" t="s">
        <v>1244</v>
      </c>
      <c r="G386" s="284">
        <f>IFERROR(VLOOKUP(E386,Assign!$C$2:$J$142,8,FALSE),)</f>
        <v>0</v>
      </c>
      <c r="H386" s="236" t="s">
        <v>4179</v>
      </c>
      <c r="I386" s="236">
        <v>1</v>
      </c>
      <c r="J386" s="236">
        <v>1</v>
      </c>
      <c r="K386" s="355" t="s">
        <v>1373</v>
      </c>
      <c r="L386" s="356">
        <v>44127</v>
      </c>
      <c r="M386" s="357" t="s">
        <v>204</v>
      </c>
      <c r="N386" s="416">
        <v>81600000</v>
      </c>
      <c r="O386" s="416">
        <v>81600000</v>
      </c>
      <c r="P386" s="358"/>
      <c r="Q386" s="320"/>
      <c r="R386" s="168"/>
      <c r="S386" s="168"/>
      <c r="T386" s="287"/>
      <c r="U386" s="264"/>
      <c r="V386" s="198"/>
    </row>
    <row r="387" spans="1:22" s="90" customFormat="1" ht="19.5" customHeight="1">
      <c r="A387" s="137"/>
      <c r="B387" s="197">
        <f t="shared" si="6"/>
        <v>377</v>
      </c>
      <c r="C387" s="30" t="s">
        <v>206</v>
      </c>
      <c r="D387" s="30" t="s">
        <v>225</v>
      </c>
      <c r="E387" s="234" t="s">
        <v>865</v>
      </c>
      <c r="F387" s="235" t="s">
        <v>1235</v>
      </c>
      <c r="G387" s="284" t="str">
        <f>IFERROR(VLOOKUP(E387,Assign!$C$2:$J$142,8,FALSE),)</f>
        <v>문선영</v>
      </c>
      <c r="H387" s="236" t="s">
        <v>4445</v>
      </c>
      <c r="I387" s="236">
        <v>1</v>
      </c>
      <c r="J387" s="236">
        <v>1</v>
      </c>
      <c r="K387" s="355" t="s">
        <v>1373</v>
      </c>
      <c r="L387" s="356">
        <v>37385</v>
      </c>
      <c r="M387" s="357" t="s">
        <v>204</v>
      </c>
      <c r="N387" s="416">
        <v>78000000</v>
      </c>
      <c r="O387" s="416">
        <v>78000000</v>
      </c>
      <c r="P387" s="358"/>
      <c r="Q387" s="320"/>
      <c r="R387" s="168"/>
      <c r="S387" s="168"/>
      <c r="T387" s="287"/>
      <c r="U387" s="264"/>
      <c r="V387" s="198"/>
    </row>
    <row r="388" spans="1:22" s="90" customFormat="1" ht="19.5" customHeight="1">
      <c r="A388" s="137"/>
      <c r="B388" s="197">
        <f t="shared" si="6"/>
        <v>378</v>
      </c>
      <c r="C388" s="30" t="s">
        <v>206</v>
      </c>
      <c r="D388" s="30" t="s">
        <v>225</v>
      </c>
      <c r="E388" s="234" t="s">
        <v>865</v>
      </c>
      <c r="F388" s="235" t="s">
        <v>1235</v>
      </c>
      <c r="G388" s="284" t="str">
        <f>IFERROR(VLOOKUP(E388,Assign!$C$2:$J$142,8,FALSE),)</f>
        <v>문선영</v>
      </c>
      <c r="H388" s="236" t="s">
        <v>4445</v>
      </c>
      <c r="I388" s="236">
        <v>1</v>
      </c>
      <c r="J388" s="236">
        <v>2</v>
      </c>
      <c r="K388" s="355" t="s">
        <v>1373</v>
      </c>
      <c r="L388" s="356">
        <v>37904</v>
      </c>
      <c r="M388" s="357" t="s">
        <v>204</v>
      </c>
      <c r="N388" s="416">
        <v>30000000</v>
      </c>
      <c r="O388" s="416">
        <v>30000000</v>
      </c>
      <c r="P388" s="358"/>
      <c r="Q388" s="320"/>
      <c r="R388" s="168"/>
      <c r="S388" s="168"/>
      <c r="T388" s="287"/>
      <c r="U388" s="264"/>
      <c r="V388" s="198"/>
    </row>
    <row r="389" spans="1:22" s="90" customFormat="1" ht="19.5" hidden="1" customHeight="1">
      <c r="A389" s="137"/>
      <c r="B389" s="197">
        <f t="shared" si="6"/>
        <v>379</v>
      </c>
      <c r="C389" s="30" t="s">
        <v>206</v>
      </c>
      <c r="D389" s="30" t="s">
        <v>225</v>
      </c>
      <c r="E389" s="234" t="s">
        <v>866</v>
      </c>
      <c r="F389" s="235" t="s">
        <v>1252</v>
      </c>
      <c r="G389" s="284">
        <f>IFERROR(VLOOKUP(E389,Assign!$C$2:$J$142,8,FALSE),)</f>
        <v>0</v>
      </c>
      <c r="H389" s="236" t="s">
        <v>4984</v>
      </c>
      <c r="I389" s="236">
        <v>1</v>
      </c>
      <c r="J389" s="236">
        <v>1</v>
      </c>
      <c r="K389" s="355" t="s">
        <v>1373</v>
      </c>
      <c r="L389" s="356">
        <v>44447</v>
      </c>
      <c r="M389" s="357" t="s">
        <v>204</v>
      </c>
      <c r="N389" s="416">
        <v>120000000</v>
      </c>
      <c r="O389" s="416">
        <v>120000000</v>
      </c>
      <c r="P389" s="358"/>
      <c r="Q389" s="320"/>
      <c r="R389" s="168"/>
      <c r="S389" s="168"/>
      <c r="T389" s="287"/>
      <c r="U389" s="264"/>
      <c r="V389" s="198"/>
    </row>
    <row r="390" spans="1:22" s="90" customFormat="1" ht="19.5" hidden="1" customHeight="1">
      <c r="A390" s="137"/>
      <c r="B390" s="197">
        <f t="shared" si="6"/>
        <v>380</v>
      </c>
      <c r="C390" s="30" t="s">
        <v>206</v>
      </c>
      <c r="D390" s="30" t="s">
        <v>225</v>
      </c>
      <c r="E390" s="234" t="s">
        <v>867</v>
      </c>
      <c r="F390" s="235" t="s">
        <v>1249</v>
      </c>
      <c r="G390" s="284">
        <f>IFERROR(VLOOKUP(E390,Assign!$C$2:$J$142,8,FALSE),)</f>
        <v>0</v>
      </c>
      <c r="H390" s="236" t="s">
        <v>4833</v>
      </c>
      <c r="I390" s="236">
        <v>1</v>
      </c>
      <c r="J390" s="236">
        <v>1</v>
      </c>
      <c r="K390" s="355" t="s">
        <v>1373</v>
      </c>
      <c r="L390" s="356">
        <v>42215</v>
      </c>
      <c r="M390" s="357" t="s">
        <v>204</v>
      </c>
      <c r="N390" s="416">
        <v>75600000</v>
      </c>
      <c r="O390" s="416">
        <v>75600000</v>
      </c>
      <c r="P390" s="358"/>
      <c r="Q390" s="320"/>
      <c r="R390" s="168"/>
      <c r="S390" s="168"/>
      <c r="T390" s="287"/>
      <c r="U390" s="264"/>
      <c r="V390" s="198"/>
    </row>
    <row r="391" spans="1:22" s="90" customFormat="1" ht="19.5" hidden="1" customHeight="1">
      <c r="A391" s="137"/>
      <c r="B391" s="197">
        <f t="shared" si="6"/>
        <v>381</v>
      </c>
      <c r="C391" s="30" t="s">
        <v>206</v>
      </c>
      <c r="D391" s="30" t="s">
        <v>225</v>
      </c>
      <c r="E391" s="234" t="s">
        <v>868</v>
      </c>
      <c r="F391" s="235" t="s">
        <v>1229</v>
      </c>
      <c r="G391" s="284">
        <f>IFERROR(VLOOKUP(E391,Assign!$C$2:$J$142,8,FALSE),)</f>
        <v>0</v>
      </c>
      <c r="H391" s="236" t="s">
        <v>4378</v>
      </c>
      <c r="I391" s="236">
        <v>1</v>
      </c>
      <c r="J391" s="236">
        <v>1</v>
      </c>
      <c r="K391" s="355" t="s">
        <v>1373</v>
      </c>
      <c r="L391" s="356">
        <v>42573</v>
      </c>
      <c r="M391" s="357" t="s">
        <v>204</v>
      </c>
      <c r="N391" s="416">
        <v>187000000</v>
      </c>
      <c r="O391" s="416">
        <v>187000000</v>
      </c>
      <c r="P391" s="358"/>
      <c r="Q391" s="320"/>
      <c r="R391" s="168"/>
      <c r="S391" s="168"/>
      <c r="T391" s="287"/>
      <c r="U391" s="264"/>
      <c r="V391" s="198"/>
    </row>
    <row r="392" spans="1:22" s="90" customFormat="1" ht="19.5" hidden="1" customHeight="1">
      <c r="A392" s="137"/>
      <c r="B392" s="197">
        <f t="shared" si="6"/>
        <v>382</v>
      </c>
      <c r="C392" s="30" t="s">
        <v>206</v>
      </c>
      <c r="D392" s="30" t="s">
        <v>225</v>
      </c>
      <c r="E392" s="234" t="s">
        <v>868</v>
      </c>
      <c r="F392" s="235" t="s">
        <v>1229</v>
      </c>
      <c r="G392" s="284">
        <f>IFERROR(VLOOKUP(E392,Assign!$C$2:$J$142,8,FALSE),)</f>
        <v>0</v>
      </c>
      <c r="H392" s="236" t="s">
        <v>4378</v>
      </c>
      <c r="I392" s="236">
        <v>1</v>
      </c>
      <c r="J392" s="236">
        <v>2</v>
      </c>
      <c r="K392" s="355" t="s">
        <v>1373</v>
      </c>
      <c r="L392" s="356">
        <v>44985</v>
      </c>
      <c r="M392" s="357" t="s">
        <v>204</v>
      </c>
      <c r="N392" s="416">
        <v>66000000</v>
      </c>
      <c r="O392" s="416">
        <v>66000000</v>
      </c>
      <c r="P392" s="358"/>
      <c r="Q392" s="320"/>
      <c r="R392" s="168"/>
      <c r="S392" s="168"/>
      <c r="T392" s="287"/>
      <c r="U392" s="264"/>
      <c r="V392" s="198"/>
    </row>
    <row r="393" spans="1:22" s="90" customFormat="1" ht="19.5" customHeight="1">
      <c r="A393" s="137"/>
      <c r="B393" s="197">
        <f t="shared" si="6"/>
        <v>383</v>
      </c>
      <c r="C393" s="30" t="s">
        <v>206</v>
      </c>
      <c r="D393" s="30" t="s">
        <v>225</v>
      </c>
      <c r="E393" s="234" t="s">
        <v>869</v>
      </c>
      <c r="F393" s="235" t="s">
        <v>1229</v>
      </c>
      <c r="G393" s="284" t="str">
        <f>IFERROR(VLOOKUP(E393,Assign!$C$2:$J$142,8,FALSE),)</f>
        <v>문선영</v>
      </c>
      <c r="H393" s="236" t="s">
        <v>4354</v>
      </c>
      <c r="I393" s="236">
        <v>1</v>
      </c>
      <c r="J393" s="236">
        <v>1</v>
      </c>
      <c r="K393" s="355" t="s">
        <v>1373</v>
      </c>
      <c r="L393" s="356">
        <v>42366</v>
      </c>
      <c r="M393" s="357" t="s">
        <v>204</v>
      </c>
      <c r="N393" s="416">
        <v>96000000</v>
      </c>
      <c r="O393" s="416">
        <v>96000000</v>
      </c>
      <c r="P393" s="358"/>
      <c r="Q393" s="320"/>
      <c r="R393" s="168"/>
      <c r="S393" s="168"/>
      <c r="T393" s="287"/>
      <c r="U393" s="264"/>
      <c r="V393" s="198"/>
    </row>
    <row r="394" spans="1:22" s="90" customFormat="1" ht="19.5" hidden="1" customHeight="1">
      <c r="A394" s="137"/>
      <c r="B394" s="197">
        <f t="shared" si="6"/>
        <v>384</v>
      </c>
      <c r="C394" s="30" t="s">
        <v>206</v>
      </c>
      <c r="D394" s="30" t="s">
        <v>225</v>
      </c>
      <c r="E394" s="234" t="s">
        <v>870</v>
      </c>
      <c r="F394" s="235" t="s">
        <v>1220</v>
      </c>
      <c r="G394" s="284">
        <f>IFERROR(VLOOKUP(E394,Assign!$C$2:$J$142,8,FALSE),)</f>
        <v>0</v>
      </c>
      <c r="H394" s="236" t="s">
        <v>4157</v>
      </c>
      <c r="I394" s="236">
        <v>1</v>
      </c>
      <c r="J394" s="236">
        <v>1</v>
      </c>
      <c r="K394" s="355" t="s">
        <v>1373</v>
      </c>
      <c r="L394" s="356">
        <v>42661</v>
      </c>
      <c r="M394" s="357" t="s">
        <v>204</v>
      </c>
      <c r="N394" s="416">
        <v>76000000</v>
      </c>
      <c r="O394" s="416">
        <v>76000000</v>
      </c>
      <c r="P394" s="358"/>
      <c r="Q394" s="320"/>
      <c r="R394" s="168"/>
      <c r="S394" s="168"/>
      <c r="T394" s="287"/>
      <c r="U394" s="264"/>
      <c r="V394" s="198"/>
    </row>
    <row r="395" spans="1:22" s="90" customFormat="1" ht="19.5" hidden="1" customHeight="1">
      <c r="A395" s="137"/>
      <c r="B395" s="197">
        <f t="shared" ref="B395:B458" si="7">ROW()-10</f>
        <v>385</v>
      </c>
      <c r="C395" s="30" t="s">
        <v>206</v>
      </c>
      <c r="D395" s="30" t="s">
        <v>225</v>
      </c>
      <c r="E395" s="234" t="s">
        <v>871</v>
      </c>
      <c r="F395" s="235" t="s">
        <v>1229</v>
      </c>
      <c r="G395" s="284">
        <f>IFERROR(VLOOKUP(E395,Assign!$C$2:$J$142,8,FALSE),)</f>
        <v>0</v>
      </c>
      <c r="H395" s="236" t="s">
        <v>4769</v>
      </c>
      <c r="I395" s="236">
        <v>1</v>
      </c>
      <c r="J395" s="236">
        <v>1</v>
      </c>
      <c r="K395" s="355" t="s">
        <v>1373</v>
      </c>
      <c r="L395" s="356">
        <v>44581</v>
      </c>
      <c r="M395" s="357" t="s">
        <v>204</v>
      </c>
      <c r="N395" s="416">
        <v>78000000</v>
      </c>
      <c r="O395" s="416">
        <v>78000000</v>
      </c>
      <c r="P395" s="358"/>
      <c r="Q395" s="320"/>
      <c r="R395" s="168"/>
      <c r="S395" s="168"/>
      <c r="T395" s="287"/>
      <c r="U395" s="264"/>
      <c r="V395" s="198"/>
    </row>
    <row r="396" spans="1:22" s="90" customFormat="1" ht="19.5" hidden="1" customHeight="1">
      <c r="A396" s="137"/>
      <c r="B396" s="197">
        <f t="shared" si="7"/>
        <v>386</v>
      </c>
      <c r="C396" s="30" t="s">
        <v>206</v>
      </c>
      <c r="D396" s="30" t="s">
        <v>225</v>
      </c>
      <c r="E396" s="234" t="s">
        <v>872</v>
      </c>
      <c r="F396" s="235" t="s">
        <v>1220</v>
      </c>
      <c r="G396" s="284">
        <f>IFERROR(VLOOKUP(E396,Assign!$C$2:$J$142,8,FALSE),)</f>
        <v>0</v>
      </c>
      <c r="H396" s="236" t="s">
        <v>4899</v>
      </c>
      <c r="I396" s="236">
        <v>1</v>
      </c>
      <c r="J396" s="236">
        <v>1</v>
      </c>
      <c r="K396" s="355" t="s">
        <v>1373</v>
      </c>
      <c r="L396" s="356">
        <v>44161</v>
      </c>
      <c r="M396" s="357" t="s">
        <v>204</v>
      </c>
      <c r="N396" s="416">
        <v>72000000</v>
      </c>
      <c r="O396" s="416">
        <v>72000000</v>
      </c>
      <c r="P396" s="358"/>
      <c r="Q396" s="320"/>
      <c r="R396" s="168"/>
      <c r="S396" s="168"/>
      <c r="T396" s="287"/>
      <c r="U396" s="264"/>
      <c r="V396" s="198"/>
    </row>
    <row r="397" spans="1:22" s="90" customFormat="1" ht="19.5" hidden="1" customHeight="1">
      <c r="A397" s="137"/>
      <c r="B397" s="197">
        <f t="shared" si="7"/>
        <v>387</v>
      </c>
      <c r="C397" s="30" t="s">
        <v>206</v>
      </c>
      <c r="D397" s="30" t="s">
        <v>225</v>
      </c>
      <c r="E397" s="234" t="s">
        <v>873</v>
      </c>
      <c r="F397" s="235" t="s">
        <v>1225</v>
      </c>
      <c r="G397" s="284">
        <f>IFERROR(VLOOKUP(E397,Assign!$C$2:$J$142,8,FALSE),)</f>
        <v>0</v>
      </c>
      <c r="H397" s="236" t="s">
        <v>4356</v>
      </c>
      <c r="I397" s="236">
        <v>1</v>
      </c>
      <c r="J397" s="236">
        <v>1</v>
      </c>
      <c r="K397" s="355" t="s">
        <v>1373</v>
      </c>
      <c r="L397" s="356">
        <v>42524</v>
      </c>
      <c r="M397" s="357" t="s">
        <v>204</v>
      </c>
      <c r="N397" s="416">
        <v>80400000</v>
      </c>
      <c r="O397" s="416">
        <v>80400000</v>
      </c>
      <c r="P397" s="358"/>
      <c r="Q397" s="320"/>
      <c r="R397" s="168"/>
      <c r="S397" s="168"/>
      <c r="T397" s="287"/>
      <c r="U397" s="264"/>
      <c r="V397" s="198"/>
    </row>
    <row r="398" spans="1:22" s="90" customFormat="1" ht="19.5" hidden="1" customHeight="1">
      <c r="A398" s="137"/>
      <c r="B398" s="197">
        <f t="shared" si="7"/>
        <v>388</v>
      </c>
      <c r="C398" s="30" t="s">
        <v>206</v>
      </c>
      <c r="D398" s="30" t="s">
        <v>225</v>
      </c>
      <c r="E398" s="234" t="s">
        <v>874</v>
      </c>
      <c r="F398" s="235" t="s">
        <v>1257</v>
      </c>
      <c r="G398" s="284">
        <f>IFERROR(VLOOKUP(E398,Assign!$C$2:$J$142,8,FALSE),)</f>
        <v>0</v>
      </c>
      <c r="H398" s="236" t="s">
        <v>4405</v>
      </c>
      <c r="I398" s="236">
        <v>1</v>
      </c>
      <c r="J398" s="236">
        <v>1</v>
      </c>
      <c r="K398" s="355" t="s">
        <v>1373</v>
      </c>
      <c r="L398" s="356">
        <v>42681</v>
      </c>
      <c r="M398" s="357" t="s">
        <v>204</v>
      </c>
      <c r="N398" s="416">
        <v>76800000</v>
      </c>
      <c r="O398" s="416">
        <v>76800000</v>
      </c>
      <c r="P398" s="358"/>
      <c r="Q398" s="320"/>
      <c r="R398" s="168"/>
      <c r="S398" s="168"/>
      <c r="T398" s="287"/>
      <c r="U398" s="264"/>
      <c r="V398" s="198"/>
    </row>
    <row r="399" spans="1:22" s="90" customFormat="1" ht="19.5" hidden="1" customHeight="1">
      <c r="A399" s="137"/>
      <c r="B399" s="197">
        <f t="shared" si="7"/>
        <v>389</v>
      </c>
      <c r="C399" s="30" t="s">
        <v>206</v>
      </c>
      <c r="D399" s="30" t="s">
        <v>225</v>
      </c>
      <c r="E399" s="234" t="s">
        <v>875</v>
      </c>
      <c r="F399" s="235" t="s">
        <v>1226</v>
      </c>
      <c r="G399" s="284">
        <f>IFERROR(VLOOKUP(E399,Assign!$C$2:$J$142,8,FALSE),)</f>
        <v>0</v>
      </c>
      <c r="H399" s="236" t="s">
        <v>4140</v>
      </c>
      <c r="I399" s="236">
        <v>1</v>
      </c>
      <c r="J399" s="236">
        <v>1</v>
      </c>
      <c r="K399" s="355" t="s">
        <v>420</v>
      </c>
      <c r="L399" s="356">
        <v>43895</v>
      </c>
      <c r="M399" s="357" t="s">
        <v>204</v>
      </c>
      <c r="N399" s="416">
        <v>90200000</v>
      </c>
      <c r="O399" s="416">
        <v>90200000</v>
      </c>
      <c r="P399" s="358"/>
      <c r="Q399" s="320"/>
      <c r="R399" s="168"/>
      <c r="S399" s="168"/>
      <c r="T399" s="287"/>
      <c r="U399" s="264"/>
      <c r="V399" s="198"/>
    </row>
    <row r="400" spans="1:22" s="90" customFormat="1" ht="19.5" hidden="1" customHeight="1">
      <c r="A400" s="137"/>
      <c r="B400" s="197">
        <f t="shared" si="7"/>
        <v>390</v>
      </c>
      <c r="C400" s="30" t="s">
        <v>206</v>
      </c>
      <c r="D400" s="30" t="s">
        <v>225</v>
      </c>
      <c r="E400" s="234" t="s">
        <v>875</v>
      </c>
      <c r="F400" s="235" t="s">
        <v>1226</v>
      </c>
      <c r="G400" s="284">
        <f>IFERROR(VLOOKUP(E400,Assign!$C$2:$J$142,8,FALSE),)</f>
        <v>0</v>
      </c>
      <c r="H400" s="236" t="s">
        <v>4140</v>
      </c>
      <c r="I400" s="236">
        <v>1</v>
      </c>
      <c r="J400" s="236">
        <v>2</v>
      </c>
      <c r="K400" s="355" t="s">
        <v>1373</v>
      </c>
      <c r="L400" s="356">
        <v>44391</v>
      </c>
      <c r="M400" s="357" t="s">
        <v>204</v>
      </c>
      <c r="N400" s="416">
        <v>66000000</v>
      </c>
      <c r="O400" s="416">
        <v>66000000</v>
      </c>
      <c r="P400" s="358"/>
      <c r="Q400" s="320"/>
      <c r="R400" s="168"/>
      <c r="S400" s="168"/>
      <c r="T400" s="287"/>
      <c r="U400" s="264"/>
      <c r="V400" s="198"/>
    </row>
    <row r="401" spans="1:22" s="90" customFormat="1" ht="19.5" hidden="1" customHeight="1">
      <c r="A401" s="137"/>
      <c r="B401" s="197">
        <f t="shared" si="7"/>
        <v>391</v>
      </c>
      <c r="C401" s="30" t="s">
        <v>206</v>
      </c>
      <c r="D401" s="30" t="s">
        <v>225</v>
      </c>
      <c r="E401" s="234" t="s">
        <v>876</v>
      </c>
      <c r="F401" s="235" t="s">
        <v>1233</v>
      </c>
      <c r="G401" s="284">
        <f>IFERROR(VLOOKUP(E401,Assign!$C$2:$J$142,8,FALSE),)</f>
        <v>0</v>
      </c>
      <c r="H401" s="236" t="s">
        <v>4781</v>
      </c>
      <c r="I401" s="236">
        <v>1</v>
      </c>
      <c r="J401" s="236">
        <v>1</v>
      </c>
      <c r="K401" s="355" t="s">
        <v>1373</v>
      </c>
      <c r="L401" s="356">
        <v>41011</v>
      </c>
      <c r="M401" s="357" t="s">
        <v>204</v>
      </c>
      <c r="N401" s="416">
        <v>72000000</v>
      </c>
      <c r="O401" s="416">
        <v>72000000</v>
      </c>
      <c r="P401" s="358"/>
      <c r="Q401" s="320"/>
      <c r="R401" s="168"/>
      <c r="S401" s="168"/>
      <c r="T401" s="287"/>
      <c r="U401" s="264"/>
      <c r="V401" s="198"/>
    </row>
    <row r="402" spans="1:22" s="90" customFormat="1" ht="19.5" hidden="1" customHeight="1">
      <c r="A402" s="137"/>
      <c r="B402" s="197">
        <f t="shared" si="7"/>
        <v>392</v>
      </c>
      <c r="C402" s="30" t="s">
        <v>206</v>
      </c>
      <c r="D402" s="30" t="s">
        <v>225</v>
      </c>
      <c r="E402" s="234" t="s">
        <v>877</v>
      </c>
      <c r="F402" s="235" t="s">
        <v>1217</v>
      </c>
      <c r="G402" s="284">
        <f>IFERROR(VLOOKUP(E402,Assign!$C$2:$J$142,8,FALSE),)</f>
        <v>0</v>
      </c>
      <c r="H402" s="236" t="s">
        <v>4480</v>
      </c>
      <c r="I402" s="236">
        <v>1</v>
      </c>
      <c r="J402" s="236">
        <v>1</v>
      </c>
      <c r="K402" s="355" t="s">
        <v>1373</v>
      </c>
      <c r="L402" s="356">
        <v>41862</v>
      </c>
      <c r="M402" s="357" t="s">
        <v>204</v>
      </c>
      <c r="N402" s="416">
        <v>36300000</v>
      </c>
      <c r="O402" s="416">
        <v>36300000</v>
      </c>
      <c r="P402" s="358"/>
      <c r="Q402" s="320"/>
      <c r="R402" s="168"/>
      <c r="S402" s="168"/>
      <c r="T402" s="287"/>
      <c r="U402" s="264"/>
      <c r="V402" s="198"/>
    </row>
    <row r="403" spans="1:22" s="90" customFormat="1" ht="19.5" hidden="1" customHeight="1">
      <c r="A403" s="137"/>
      <c r="B403" s="197">
        <f t="shared" si="7"/>
        <v>393</v>
      </c>
      <c r="C403" s="30" t="s">
        <v>206</v>
      </c>
      <c r="D403" s="30" t="s">
        <v>225</v>
      </c>
      <c r="E403" s="234" t="s">
        <v>877</v>
      </c>
      <c r="F403" s="235" t="s">
        <v>1217</v>
      </c>
      <c r="G403" s="284">
        <f>IFERROR(VLOOKUP(E403,Assign!$C$2:$J$142,8,FALSE),)</f>
        <v>0</v>
      </c>
      <c r="H403" s="236" t="s">
        <v>4480</v>
      </c>
      <c r="I403" s="236">
        <v>1</v>
      </c>
      <c r="J403" s="236">
        <v>2</v>
      </c>
      <c r="K403" s="355" t="s">
        <v>1373</v>
      </c>
      <c r="L403" s="356">
        <v>43180</v>
      </c>
      <c r="M403" s="357" t="s">
        <v>204</v>
      </c>
      <c r="N403" s="416">
        <v>27500000</v>
      </c>
      <c r="O403" s="416">
        <v>27500000</v>
      </c>
      <c r="P403" s="358"/>
      <c r="Q403" s="320"/>
      <c r="R403" s="168"/>
      <c r="S403" s="168"/>
      <c r="T403" s="287"/>
      <c r="U403" s="264"/>
      <c r="V403" s="198"/>
    </row>
    <row r="404" spans="1:22" s="90" customFormat="1" ht="19.5" hidden="1" customHeight="1">
      <c r="A404" s="137"/>
      <c r="B404" s="197">
        <f t="shared" si="7"/>
        <v>394</v>
      </c>
      <c r="C404" s="30" t="s">
        <v>206</v>
      </c>
      <c r="D404" s="30" t="s">
        <v>225</v>
      </c>
      <c r="E404" s="234" t="s">
        <v>877</v>
      </c>
      <c r="F404" s="235" t="s">
        <v>1217</v>
      </c>
      <c r="G404" s="284">
        <f>IFERROR(VLOOKUP(E404,Assign!$C$2:$J$142,8,FALSE),)</f>
        <v>0</v>
      </c>
      <c r="H404" s="236" t="s">
        <v>4480</v>
      </c>
      <c r="I404" s="236">
        <v>1</v>
      </c>
      <c r="J404" s="236">
        <v>3</v>
      </c>
      <c r="K404" s="355" t="s">
        <v>1373</v>
      </c>
      <c r="L404" s="356">
        <v>43231</v>
      </c>
      <c r="M404" s="357" t="s">
        <v>204</v>
      </c>
      <c r="N404" s="416">
        <v>39600000</v>
      </c>
      <c r="O404" s="416">
        <v>39600000</v>
      </c>
      <c r="P404" s="358"/>
      <c r="Q404" s="320"/>
      <c r="R404" s="168"/>
      <c r="S404" s="168"/>
      <c r="T404" s="287"/>
      <c r="U404" s="264"/>
      <c r="V404" s="198"/>
    </row>
    <row r="405" spans="1:22" s="90" customFormat="1" ht="19.5" hidden="1" customHeight="1">
      <c r="A405" s="137"/>
      <c r="B405" s="197">
        <f t="shared" si="7"/>
        <v>395</v>
      </c>
      <c r="C405" s="30" t="s">
        <v>206</v>
      </c>
      <c r="D405" s="30" t="s">
        <v>225</v>
      </c>
      <c r="E405" s="234" t="s">
        <v>878</v>
      </c>
      <c r="F405" s="235" t="s">
        <v>1236</v>
      </c>
      <c r="G405" s="284">
        <f>IFERROR(VLOOKUP(E405,Assign!$C$2:$J$142,8,FALSE),)</f>
        <v>0</v>
      </c>
      <c r="H405" s="236" t="s">
        <v>4890</v>
      </c>
      <c r="I405" s="236">
        <v>1</v>
      </c>
      <c r="J405" s="236">
        <v>1</v>
      </c>
      <c r="K405" s="355" t="s">
        <v>1373</v>
      </c>
      <c r="L405" s="356">
        <v>42355</v>
      </c>
      <c r="M405" s="357" t="s">
        <v>204</v>
      </c>
      <c r="N405" s="416">
        <v>81600000</v>
      </c>
      <c r="O405" s="416">
        <v>81600000</v>
      </c>
      <c r="P405" s="358"/>
      <c r="Q405" s="320"/>
      <c r="R405" s="168"/>
      <c r="S405" s="168"/>
      <c r="T405" s="287"/>
      <c r="U405" s="264"/>
      <c r="V405" s="198"/>
    </row>
    <row r="406" spans="1:22" s="90" customFormat="1" ht="19.5" hidden="1" customHeight="1">
      <c r="A406" s="137"/>
      <c r="B406" s="197">
        <f t="shared" si="7"/>
        <v>396</v>
      </c>
      <c r="C406" s="30" t="s">
        <v>206</v>
      </c>
      <c r="D406" s="30" t="s">
        <v>225</v>
      </c>
      <c r="E406" s="234" t="s">
        <v>879</v>
      </c>
      <c r="F406" s="235" t="s">
        <v>1229</v>
      </c>
      <c r="G406" s="284">
        <f>IFERROR(VLOOKUP(E406,Assign!$C$2:$J$142,8,FALSE),)</f>
        <v>0</v>
      </c>
      <c r="H406" s="236" t="s">
        <v>4436</v>
      </c>
      <c r="I406" s="236">
        <v>1</v>
      </c>
      <c r="J406" s="236">
        <v>1</v>
      </c>
      <c r="K406" s="355" t="s">
        <v>1373</v>
      </c>
      <c r="L406" s="356">
        <v>41750</v>
      </c>
      <c r="M406" s="357" t="s">
        <v>204</v>
      </c>
      <c r="N406" s="416">
        <v>93600000</v>
      </c>
      <c r="O406" s="416">
        <v>93600000</v>
      </c>
      <c r="P406" s="358"/>
      <c r="Q406" s="320"/>
      <c r="R406" s="168"/>
      <c r="S406" s="168"/>
      <c r="T406" s="287"/>
      <c r="U406" s="264"/>
      <c r="V406" s="198"/>
    </row>
    <row r="407" spans="1:22" s="90" customFormat="1" ht="19.5" hidden="1" customHeight="1">
      <c r="A407" s="137"/>
      <c r="B407" s="197">
        <f t="shared" si="7"/>
        <v>397</v>
      </c>
      <c r="C407" s="30" t="s">
        <v>206</v>
      </c>
      <c r="D407" s="30" t="s">
        <v>225</v>
      </c>
      <c r="E407" s="234" t="s">
        <v>880</v>
      </c>
      <c r="F407" s="235" t="s">
        <v>1239</v>
      </c>
      <c r="G407" s="284">
        <f>IFERROR(VLOOKUP(E407,Assign!$C$2:$J$142,8,FALSE),)</f>
        <v>0</v>
      </c>
      <c r="H407" s="236" t="s">
        <v>4634</v>
      </c>
      <c r="I407" s="236">
        <v>1</v>
      </c>
      <c r="J407" s="236">
        <v>1</v>
      </c>
      <c r="K407" s="355" t="s">
        <v>1373</v>
      </c>
      <c r="L407" s="356">
        <v>42485</v>
      </c>
      <c r="M407" s="357" t="s">
        <v>204</v>
      </c>
      <c r="N407" s="416">
        <v>57000000</v>
      </c>
      <c r="O407" s="416">
        <v>57000000</v>
      </c>
      <c r="P407" s="358"/>
      <c r="Q407" s="320"/>
      <c r="R407" s="168"/>
      <c r="S407" s="168"/>
      <c r="T407" s="287"/>
      <c r="U407" s="264"/>
      <c r="V407" s="198"/>
    </row>
    <row r="408" spans="1:22" s="90" customFormat="1" ht="19.5" hidden="1" customHeight="1">
      <c r="A408" s="137"/>
      <c r="B408" s="197">
        <f t="shared" si="7"/>
        <v>398</v>
      </c>
      <c r="C408" s="30" t="s">
        <v>206</v>
      </c>
      <c r="D408" s="30" t="s">
        <v>225</v>
      </c>
      <c r="E408" s="234" t="s">
        <v>881</v>
      </c>
      <c r="F408" s="235" t="s">
        <v>1247</v>
      </c>
      <c r="G408" s="284">
        <f>IFERROR(VLOOKUP(E408,Assign!$C$2:$J$142,8,FALSE),)</f>
        <v>0</v>
      </c>
      <c r="H408" s="236" t="s">
        <v>4050</v>
      </c>
      <c r="I408" s="236">
        <v>1</v>
      </c>
      <c r="J408" s="236">
        <v>1</v>
      </c>
      <c r="K408" s="355" t="s">
        <v>421</v>
      </c>
      <c r="L408" s="356">
        <v>42481</v>
      </c>
      <c r="M408" s="357" t="s">
        <v>204</v>
      </c>
      <c r="N408" s="416">
        <v>326400000</v>
      </c>
      <c r="O408" s="416">
        <v>326400000</v>
      </c>
      <c r="P408" s="358"/>
      <c r="Q408" s="320"/>
      <c r="R408" s="168"/>
      <c r="S408" s="168"/>
      <c r="T408" s="287"/>
      <c r="U408" s="264"/>
      <c r="V408" s="198"/>
    </row>
    <row r="409" spans="1:22" s="90" customFormat="1" ht="19.5" hidden="1" customHeight="1">
      <c r="A409" s="137"/>
      <c r="B409" s="197">
        <f t="shared" si="7"/>
        <v>399</v>
      </c>
      <c r="C409" s="30" t="s">
        <v>206</v>
      </c>
      <c r="D409" s="30" t="s">
        <v>225</v>
      </c>
      <c r="E409" s="234" t="s">
        <v>881</v>
      </c>
      <c r="F409" s="235" t="s">
        <v>1247</v>
      </c>
      <c r="G409" s="284">
        <f>IFERROR(VLOOKUP(E409,Assign!$C$2:$J$142,8,FALSE),)</f>
        <v>0</v>
      </c>
      <c r="H409" s="236" t="s">
        <v>4050</v>
      </c>
      <c r="I409" s="236">
        <v>1</v>
      </c>
      <c r="J409" s="236">
        <v>2</v>
      </c>
      <c r="K409" s="355" t="s">
        <v>1373</v>
      </c>
      <c r="L409" s="356">
        <v>43244</v>
      </c>
      <c r="M409" s="357" t="s">
        <v>204</v>
      </c>
      <c r="N409" s="416">
        <v>60000000</v>
      </c>
      <c r="O409" s="416">
        <v>60000000</v>
      </c>
      <c r="P409" s="358"/>
      <c r="Q409" s="320"/>
      <c r="R409" s="168"/>
      <c r="S409" s="168"/>
      <c r="T409" s="287"/>
      <c r="U409" s="264"/>
      <c r="V409" s="198"/>
    </row>
    <row r="410" spans="1:22" s="90" customFormat="1" ht="19.5" hidden="1" customHeight="1">
      <c r="A410" s="137"/>
      <c r="B410" s="197">
        <f t="shared" si="7"/>
        <v>400</v>
      </c>
      <c r="C410" s="30" t="s">
        <v>206</v>
      </c>
      <c r="D410" s="30" t="s">
        <v>225</v>
      </c>
      <c r="E410" s="234" t="s">
        <v>882</v>
      </c>
      <c r="F410" s="235" t="s">
        <v>1320</v>
      </c>
      <c r="G410" s="284">
        <f>IFERROR(VLOOKUP(E410,Assign!$C$2:$J$142,8,FALSE),)</f>
        <v>0</v>
      </c>
      <c r="H410" s="236" t="s">
        <v>5339</v>
      </c>
      <c r="I410" s="236">
        <v>1</v>
      </c>
      <c r="J410" s="236">
        <v>1</v>
      </c>
      <c r="K410" s="355" t="s">
        <v>1382</v>
      </c>
      <c r="L410" s="356">
        <v>42578</v>
      </c>
      <c r="M410" s="357" t="s">
        <v>204</v>
      </c>
      <c r="N410" s="416">
        <v>144000000</v>
      </c>
      <c r="O410" s="416">
        <v>144000000</v>
      </c>
      <c r="P410" s="358"/>
      <c r="Q410" s="320"/>
      <c r="R410" s="168"/>
      <c r="S410" s="168"/>
      <c r="T410" s="287"/>
      <c r="U410" s="264"/>
      <c r="V410" s="198"/>
    </row>
    <row r="411" spans="1:22" s="90" customFormat="1" ht="19.5" hidden="1" customHeight="1">
      <c r="A411" s="137"/>
      <c r="B411" s="197">
        <f t="shared" si="7"/>
        <v>401</v>
      </c>
      <c r="C411" s="30" t="s">
        <v>206</v>
      </c>
      <c r="D411" s="30" t="s">
        <v>225</v>
      </c>
      <c r="E411" s="234" t="s">
        <v>882</v>
      </c>
      <c r="F411" s="235" t="s">
        <v>1320</v>
      </c>
      <c r="G411" s="284">
        <f>IFERROR(VLOOKUP(E411,Assign!$C$2:$J$142,8,FALSE),)</f>
        <v>0</v>
      </c>
      <c r="H411" s="236" t="s">
        <v>5339</v>
      </c>
      <c r="I411" s="236">
        <v>1</v>
      </c>
      <c r="J411" s="236">
        <v>2</v>
      </c>
      <c r="K411" s="355" t="s">
        <v>1373</v>
      </c>
      <c r="L411" s="356">
        <v>44382</v>
      </c>
      <c r="M411" s="357" t="s">
        <v>204</v>
      </c>
      <c r="N411" s="416">
        <v>60000000</v>
      </c>
      <c r="O411" s="416">
        <v>60000000</v>
      </c>
      <c r="P411" s="358"/>
      <c r="Q411" s="320"/>
      <c r="R411" s="168"/>
      <c r="S411" s="168"/>
      <c r="T411" s="287"/>
      <c r="U411" s="264"/>
      <c r="V411" s="198"/>
    </row>
    <row r="412" spans="1:22" s="90" customFormat="1" ht="19.5" hidden="1" customHeight="1">
      <c r="A412" s="137"/>
      <c r="B412" s="197">
        <f t="shared" si="7"/>
        <v>402</v>
      </c>
      <c r="C412" s="30" t="s">
        <v>206</v>
      </c>
      <c r="D412" s="30" t="s">
        <v>225</v>
      </c>
      <c r="E412" s="234" t="s">
        <v>883</v>
      </c>
      <c r="F412" s="235" t="s">
        <v>1229</v>
      </c>
      <c r="G412" s="284">
        <f>IFERROR(VLOOKUP(E412,Assign!$C$2:$J$142,8,FALSE),)</f>
        <v>0</v>
      </c>
      <c r="H412" s="236" t="s">
        <v>3999</v>
      </c>
      <c r="I412" s="236">
        <v>1</v>
      </c>
      <c r="J412" s="236">
        <v>1</v>
      </c>
      <c r="K412" s="355" t="s">
        <v>1373</v>
      </c>
      <c r="L412" s="356">
        <v>44033</v>
      </c>
      <c r="M412" s="357" t="s">
        <v>204</v>
      </c>
      <c r="N412" s="416">
        <v>96000000</v>
      </c>
      <c r="O412" s="416">
        <v>96000000</v>
      </c>
      <c r="P412" s="358"/>
      <c r="Q412" s="320"/>
      <c r="R412" s="168"/>
      <c r="S412" s="168"/>
      <c r="T412" s="287"/>
      <c r="U412" s="264"/>
      <c r="V412" s="198"/>
    </row>
    <row r="413" spans="1:22" s="90" customFormat="1" ht="19.5" customHeight="1">
      <c r="A413" s="137"/>
      <c r="B413" s="197">
        <f t="shared" si="7"/>
        <v>403</v>
      </c>
      <c r="C413" s="30" t="s">
        <v>206</v>
      </c>
      <c r="D413" s="30" t="s">
        <v>225</v>
      </c>
      <c r="E413" s="234" t="s">
        <v>884</v>
      </c>
      <c r="F413" s="235" t="s">
        <v>1266</v>
      </c>
      <c r="G413" s="284" t="str">
        <f>IFERROR(VLOOKUP(E413,Assign!$C$2:$J$142,8,FALSE),)</f>
        <v>문선영</v>
      </c>
      <c r="H413" s="236" t="s">
        <v>5038</v>
      </c>
      <c r="I413" s="236">
        <v>1</v>
      </c>
      <c r="J413" s="236">
        <v>1</v>
      </c>
      <c r="K413" s="355" t="s">
        <v>1373</v>
      </c>
      <c r="L413" s="356">
        <v>42338</v>
      </c>
      <c r="M413" s="357" t="s">
        <v>204</v>
      </c>
      <c r="N413" s="416">
        <v>72000000</v>
      </c>
      <c r="O413" s="416">
        <v>72000000</v>
      </c>
      <c r="P413" s="358"/>
      <c r="Q413" s="320"/>
      <c r="R413" s="168"/>
      <c r="S413" s="168"/>
      <c r="T413" s="287"/>
      <c r="U413" s="264"/>
      <c r="V413" s="198"/>
    </row>
    <row r="414" spans="1:22" s="90" customFormat="1" ht="19.5" hidden="1" customHeight="1">
      <c r="A414" s="137"/>
      <c r="B414" s="197">
        <f t="shared" si="7"/>
        <v>404</v>
      </c>
      <c r="C414" s="30" t="s">
        <v>206</v>
      </c>
      <c r="D414" s="30" t="s">
        <v>225</v>
      </c>
      <c r="E414" s="234" t="s">
        <v>885</v>
      </c>
      <c r="F414" s="235" t="s">
        <v>1221</v>
      </c>
      <c r="G414" s="284">
        <f>IFERROR(VLOOKUP(E414,Assign!$C$2:$J$142,8,FALSE),)</f>
        <v>0</v>
      </c>
      <c r="H414" s="236" t="s">
        <v>4482</v>
      </c>
      <c r="I414" s="236">
        <v>1</v>
      </c>
      <c r="J414" s="236">
        <v>1</v>
      </c>
      <c r="K414" s="355" t="s">
        <v>1373</v>
      </c>
      <c r="L414" s="356">
        <v>44259</v>
      </c>
      <c r="M414" s="357" t="s">
        <v>204</v>
      </c>
      <c r="N414" s="416">
        <v>56400000</v>
      </c>
      <c r="O414" s="416">
        <v>56400000</v>
      </c>
      <c r="P414" s="358"/>
      <c r="Q414" s="320"/>
      <c r="R414" s="168"/>
      <c r="S414" s="168"/>
      <c r="T414" s="287"/>
      <c r="U414" s="264"/>
      <c r="V414" s="198"/>
    </row>
    <row r="415" spans="1:22" s="90" customFormat="1" ht="19.5" hidden="1" customHeight="1">
      <c r="A415" s="137"/>
      <c r="B415" s="197">
        <f t="shared" si="7"/>
        <v>405</v>
      </c>
      <c r="C415" s="30" t="s">
        <v>206</v>
      </c>
      <c r="D415" s="30" t="s">
        <v>225</v>
      </c>
      <c r="E415" s="234" t="s">
        <v>885</v>
      </c>
      <c r="F415" s="235" t="s">
        <v>1221</v>
      </c>
      <c r="G415" s="284">
        <f>IFERROR(VLOOKUP(E415,Assign!$C$2:$J$142,8,FALSE),)</f>
        <v>0</v>
      </c>
      <c r="H415" s="236" t="s">
        <v>4482</v>
      </c>
      <c r="I415" s="236">
        <v>1</v>
      </c>
      <c r="J415" s="236">
        <v>2</v>
      </c>
      <c r="K415" s="355" t="s">
        <v>1373</v>
      </c>
      <c r="L415" s="356">
        <v>44420</v>
      </c>
      <c r="M415" s="357" t="s">
        <v>204</v>
      </c>
      <c r="N415" s="416">
        <v>12000000</v>
      </c>
      <c r="O415" s="416">
        <v>12000000</v>
      </c>
      <c r="P415" s="358"/>
      <c r="Q415" s="320"/>
      <c r="R415" s="168"/>
      <c r="S415" s="168"/>
      <c r="T415" s="287"/>
      <c r="U415" s="264"/>
      <c r="V415" s="198"/>
    </row>
    <row r="416" spans="1:22" s="90" customFormat="1" ht="19.5" hidden="1" customHeight="1">
      <c r="A416" s="137"/>
      <c r="B416" s="197">
        <f t="shared" si="7"/>
        <v>406</v>
      </c>
      <c r="C416" s="30" t="s">
        <v>206</v>
      </c>
      <c r="D416" s="30" t="s">
        <v>225</v>
      </c>
      <c r="E416" s="234" t="s">
        <v>885</v>
      </c>
      <c r="F416" s="235" t="s">
        <v>1221</v>
      </c>
      <c r="G416" s="284">
        <f>IFERROR(VLOOKUP(E416,Assign!$C$2:$J$142,8,FALSE),)</f>
        <v>0</v>
      </c>
      <c r="H416" s="236" t="s">
        <v>4482</v>
      </c>
      <c r="I416" s="236">
        <v>1</v>
      </c>
      <c r="J416" s="236">
        <v>3</v>
      </c>
      <c r="K416" s="355" t="s">
        <v>1373</v>
      </c>
      <c r="L416" s="356">
        <v>44481</v>
      </c>
      <c r="M416" s="357" t="s">
        <v>204</v>
      </c>
      <c r="N416" s="416">
        <v>12000000</v>
      </c>
      <c r="O416" s="416">
        <v>12000000</v>
      </c>
      <c r="P416" s="358"/>
      <c r="Q416" s="320"/>
      <c r="R416" s="168"/>
      <c r="S416" s="168"/>
      <c r="T416" s="287"/>
      <c r="U416" s="264"/>
      <c r="V416" s="198"/>
    </row>
    <row r="417" spans="1:22" s="90" customFormat="1" ht="19.5" hidden="1" customHeight="1">
      <c r="A417" s="137"/>
      <c r="B417" s="197">
        <f t="shared" si="7"/>
        <v>407</v>
      </c>
      <c r="C417" s="30" t="s">
        <v>206</v>
      </c>
      <c r="D417" s="30" t="s">
        <v>225</v>
      </c>
      <c r="E417" s="234" t="s">
        <v>885</v>
      </c>
      <c r="F417" s="235" t="s">
        <v>1221</v>
      </c>
      <c r="G417" s="284">
        <f>IFERROR(VLOOKUP(E417,Assign!$C$2:$J$142,8,FALSE),)</f>
        <v>0</v>
      </c>
      <c r="H417" s="236" t="s">
        <v>4482</v>
      </c>
      <c r="I417" s="236">
        <v>1</v>
      </c>
      <c r="J417" s="236">
        <v>4</v>
      </c>
      <c r="K417" s="355" t="s">
        <v>1373</v>
      </c>
      <c r="L417" s="356">
        <v>44606</v>
      </c>
      <c r="M417" s="357" t="s">
        <v>204</v>
      </c>
      <c r="N417" s="416">
        <v>12000000</v>
      </c>
      <c r="O417" s="416">
        <v>12000000</v>
      </c>
      <c r="P417" s="358"/>
      <c r="Q417" s="320"/>
      <c r="R417" s="168"/>
      <c r="S417" s="168"/>
      <c r="T417" s="287"/>
      <c r="U417" s="264"/>
      <c r="V417" s="198"/>
    </row>
    <row r="418" spans="1:22" s="90" customFormat="1" ht="19.5" hidden="1" customHeight="1">
      <c r="A418" s="137"/>
      <c r="B418" s="197">
        <f t="shared" si="7"/>
        <v>408</v>
      </c>
      <c r="C418" s="30" t="s">
        <v>206</v>
      </c>
      <c r="D418" s="30" t="s">
        <v>225</v>
      </c>
      <c r="E418" s="234" t="s">
        <v>886</v>
      </c>
      <c r="F418" s="235" t="s">
        <v>1252</v>
      </c>
      <c r="G418" s="284">
        <f>IFERROR(VLOOKUP(E418,Assign!$C$2:$J$142,8,FALSE),)</f>
        <v>0</v>
      </c>
      <c r="H418" s="236" t="s">
        <v>4288</v>
      </c>
      <c r="I418" s="236">
        <v>1</v>
      </c>
      <c r="J418" s="236">
        <v>1</v>
      </c>
      <c r="K418" s="355" t="s">
        <v>1373</v>
      </c>
      <c r="L418" s="356">
        <v>43542</v>
      </c>
      <c r="M418" s="357" t="s">
        <v>204</v>
      </c>
      <c r="N418" s="416">
        <v>55200000</v>
      </c>
      <c r="O418" s="416">
        <v>55200000</v>
      </c>
      <c r="P418" s="358"/>
      <c r="Q418" s="320"/>
      <c r="R418" s="168"/>
      <c r="S418" s="168"/>
      <c r="T418" s="287"/>
      <c r="U418" s="264"/>
      <c r="V418" s="198"/>
    </row>
    <row r="419" spans="1:22" s="90" customFormat="1" ht="19.5" hidden="1" customHeight="1">
      <c r="A419" s="137"/>
      <c r="B419" s="197">
        <f t="shared" si="7"/>
        <v>409</v>
      </c>
      <c r="C419" s="30" t="s">
        <v>206</v>
      </c>
      <c r="D419" s="30" t="s">
        <v>225</v>
      </c>
      <c r="E419" s="234" t="s">
        <v>887</v>
      </c>
      <c r="F419" s="235" t="s">
        <v>1225</v>
      </c>
      <c r="G419" s="284">
        <f>IFERROR(VLOOKUP(E419,Assign!$C$2:$J$142,8,FALSE),)</f>
        <v>0</v>
      </c>
      <c r="H419" s="236" t="s">
        <v>4955</v>
      </c>
      <c r="I419" s="236">
        <v>1</v>
      </c>
      <c r="J419" s="236">
        <v>1</v>
      </c>
      <c r="K419" s="355" t="s">
        <v>1373</v>
      </c>
      <c r="L419" s="356">
        <v>41516</v>
      </c>
      <c r="M419" s="357" t="s">
        <v>204</v>
      </c>
      <c r="N419" s="416">
        <v>60000000</v>
      </c>
      <c r="O419" s="416">
        <v>60000000</v>
      </c>
      <c r="P419" s="358"/>
      <c r="Q419" s="320"/>
      <c r="R419" s="168"/>
      <c r="S419" s="168"/>
      <c r="T419" s="287"/>
      <c r="U419" s="264"/>
      <c r="V419" s="198"/>
    </row>
    <row r="420" spans="1:22" s="90" customFormat="1" ht="19.5" hidden="1" customHeight="1">
      <c r="A420" s="137"/>
      <c r="B420" s="197">
        <f t="shared" si="7"/>
        <v>410</v>
      </c>
      <c r="C420" s="30" t="s">
        <v>206</v>
      </c>
      <c r="D420" s="30" t="s">
        <v>225</v>
      </c>
      <c r="E420" s="234" t="s">
        <v>888</v>
      </c>
      <c r="F420" s="235" t="s">
        <v>1217</v>
      </c>
      <c r="G420" s="284">
        <f>IFERROR(VLOOKUP(E420,Assign!$C$2:$J$142,8,FALSE),)</f>
        <v>0</v>
      </c>
      <c r="H420" s="236" t="s">
        <v>4911</v>
      </c>
      <c r="I420" s="236">
        <v>1</v>
      </c>
      <c r="J420" s="236">
        <v>1</v>
      </c>
      <c r="K420" s="355" t="s">
        <v>1373</v>
      </c>
      <c r="L420" s="356">
        <v>42318</v>
      </c>
      <c r="M420" s="357" t="s">
        <v>204</v>
      </c>
      <c r="N420" s="416">
        <v>62400000</v>
      </c>
      <c r="O420" s="416">
        <v>62400000</v>
      </c>
      <c r="P420" s="358"/>
      <c r="Q420" s="320"/>
      <c r="R420" s="168"/>
      <c r="S420" s="168"/>
      <c r="T420" s="287"/>
      <c r="U420" s="264"/>
      <c r="V420" s="198"/>
    </row>
    <row r="421" spans="1:22" s="90" customFormat="1" ht="19.5" hidden="1" customHeight="1">
      <c r="A421" s="137"/>
      <c r="B421" s="197">
        <f t="shared" si="7"/>
        <v>411</v>
      </c>
      <c r="C421" s="30" t="s">
        <v>206</v>
      </c>
      <c r="D421" s="30" t="s">
        <v>225</v>
      </c>
      <c r="E421" s="234" t="s">
        <v>889</v>
      </c>
      <c r="F421" s="235" t="s">
        <v>1225</v>
      </c>
      <c r="G421" s="284">
        <f>IFERROR(VLOOKUP(E421,Assign!$C$2:$J$142,8,FALSE),)</f>
        <v>0</v>
      </c>
      <c r="H421" s="236" t="s">
        <v>4539</v>
      </c>
      <c r="I421" s="236">
        <v>1</v>
      </c>
      <c r="J421" s="236">
        <v>1</v>
      </c>
      <c r="K421" s="355" t="s">
        <v>1373</v>
      </c>
      <c r="L421" s="356">
        <v>42151</v>
      </c>
      <c r="M421" s="357" t="s">
        <v>204</v>
      </c>
      <c r="N421" s="416">
        <v>72000000</v>
      </c>
      <c r="O421" s="416">
        <v>72000000</v>
      </c>
      <c r="P421" s="358"/>
      <c r="Q421" s="320"/>
      <c r="R421" s="168"/>
      <c r="S421" s="168"/>
      <c r="T421" s="287"/>
      <c r="U421" s="264"/>
      <c r="V421" s="198"/>
    </row>
    <row r="422" spans="1:22" s="90" customFormat="1" ht="19.5" hidden="1" customHeight="1">
      <c r="A422" s="137"/>
      <c r="B422" s="197">
        <f t="shared" si="7"/>
        <v>412</v>
      </c>
      <c r="C422" s="30" t="s">
        <v>206</v>
      </c>
      <c r="D422" s="30" t="s">
        <v>225</v>
      </c>
      <c r="E422" s="234" t="s">
        <v>890</v>
      </c>
      <c r="F422" s="235" t="s">
        <v>1229</v>
      </c>
      <c r="G422" s="284">
        <f>IFERROR(VLOOKUP(E422,Assign!$C$2:$J$142,8,FALSE),)</f>
        <v>0</v>
      </c>
      <c r="H422" s="236" t="s">
        <v>3912</v>
      </c>
      <c r="I422" s="236">
        <v>1</v>
      </c>
      <c r="J422" s="236">
        <v>1</v>
      </c>
      <c r="K422" s="355" t="s">
        <v>1373</v>
      </c>
      <c r="L422" s="356">
        <v>42996</v>
      </c>
      <c r="M422" s="357" t="s">
        <v>204</v>
      </c>
      <c r="N422" s="416">
        <v>57600000</v>
      </c>
      <c r="O422" s="416">
        <v>57600000</v>
      </c>
      <c r="P422" s="358"/>
      <c r="Q422" s="320"/>
      <c r="R422" s="168"/>
      <c r="S422" s="168"/>
      <c r="T422" s="287"/>
      <c r="U422" s="264"/>
      <c r="V422" s="198"/>
    </row>
    <row r="423" spans="1:22" s="90" customFormat="1" ht="19.5" hidden="1" customHeight="1">
      <c r="A423" s="137"/>
      <c r="B423" s="197">
        <f t="shared" si="7"/>
        <v>413</v>
      </c>
      <c r="C423" s="30" t="s">
        <v>206</v>
      </c>
      <c r="D423" s="30" t="s">
        <v>225</v>
      </c>
      <c r="E423" s="234" t="s">
        <v>891</v>
      </c>
      <c r="F423" s="235" t="s">
        <v>1220</v>
      </c>
      <c r="G423" s="284">
        <f>IFERROR(VLOOKUP(E423,Assign!$C$2:$J$142,8,FALSE),)</f>
        <v>0</v>
      </c>
      <c r="H423" s="236" t="s">
        <v>4785</v>
      </c>
      <c r="I423" s="236">
        <v>1</v>
      </c>
      <c r="J423" s="236">
        <v>1</v>
      </c>
      <c r="K423" s="355" t="s">
        <v>1373</v>
      </c>
      <c r="L423" s="356">
        <v>41754</v>
      </c>
      <c r="M423" s="357" t="s">
        <v>204</v>
      </c>
      <c r="N423" s="416">
        <v>49680000</v>
      </c>
      <c r="O423" s="416">
        <v>49680000</v>
      </c>
      <c r="P423" s="358"/>
      <c r="Q423" s="320"/>
      <c r="R423" s="168"/>
      <c r="S423" s="168"/>
      <c r="T423" s="287"/>
      <c r="U423" s="264"/>
      <c r="V423" s="198"/>
    </row>
    <row r="424" spans="1:22" s="90" customFormat="1" ht="19.5" hidden="1" customHeight="1">
      <c r="A424" s="137"/>
      <c r="B424" s="197">
        <f t="shared" si="7"/>
        <v>414</v>
      </c>
      <c r="C424" s="30" t="s">
        <v>206</v>
      </c>
      <c r="D424" s="30" t="s">
        <v>225</v>
      </c>
      <c r="E424" s="234" t="s">
        <v>892</v>
      </c>
      <c r="F424" s="235" t="s">
        <v>1267</v>
      </c>
      <c r="G424" s="284">
        <f>IFERROR(VLOOKUP(E424,Assign!$C$2:$J$142,8,FALSE),)</f>
        <v>0</v>
      </c>
      <c r="H424" s="236" t="s">
        <v>4497</v>
      </c>
      <c r="I424" s="236">
        <v>1</v>
      </c>
      <c r="J424" s="236">
        <v>1</v>
      </c>
      <c r="K424" s="355" t="s">
        <v>420</v>
      </c>
      <c r="L424" s="356">
        <v>44886</v>
      </c>
      <c r="M424" s="357" t="s">
        <v>204</v>
      </c>
      <c r="N424" s="416">
        <v>22000000</v>
      </c>
      <c r="O424" s="416">
        <v>22000000</v>
      </c>
      <c r="P424" s="358"/>
      <c r="Q424" s="320"/>
      <c r="R424" s="168"/>
      <c r="S424" s="168"/>
      <c r="T424" s="287"/>
      <c r="U424" s="264"/>
      <c r="V424" s="198"/>
    </row>
    <row r="425" spans="1:22" s="90" customFormat="1" ht="19.5" hidden="1" customHeight="1">
      <c r="A425" s="137"/>
      <c r="B425" s="197">
        <f t="shared" si="7"/>
        <v>415</v>
      </c>
      <c r="C425" s="30" t="s">
        <v>206</v>
      </c>
      <c r="D425" s="30" t="s">
        <v>225</v>
      </c>
      <c r="E425" s="234" t="s">
        <v>892</v>
      </c>
      <c r="F425" s="235" t="s">
        <v>1267</v>
      </c>
      <c r="G425" s="284">
        <f>IFERROR(VLOOKUP(E425,Assign!$C$2:$J$142,8,FALSE),)</f>
        <v>0</v>
      </c>
      <c r="H425" s="236" t="s">
        <v>4497</v>
      </c>
      <c r="I425" s="236">
        <v>1</v>
      </c>
      <c r="J425" s="236">
        <v>2</v>
      </c>
      <c r="K425" s="355" t="s">
        <v>1373</v>
      </c>
      <c r="L425" s="356">
        <v>45022</v>
      </c>
      <c r="M425" s="357" t="s">
        <v>204</v>
      </c>
      <c r="N425" s="416">
        <v>47300000</v>
      </c>
      <c r="O425" s="416">
        <v>47300000</v>
      </c>
      <c r="P425" s="358"/>
      <c r="Q425" s="320"/>
      <c r="R425" s="168"/>
      <c r="S425" s="168"/>
      <c r="T425" s="287"/>
      <c r="U425" s="264"/>
      <c r="V425" s="198"/>
    </row>
    <row r="426" spans="1:22" s="90" customFormat="1" ht="19.5" hidden="1" customHeight="1">
      <c r="A426" s="137"/>
      <c r="B426" s="197">
        <f t="shared" si="7"/>
        <v>416</v>
      </c>
      <c r="C426" s="30" t="s">
        <v>206</v>
      </c>
      <c r="D426" s="30" t="s">
        <v>225</v>
      </c>
      <c r="E426" s="234" t="s">
        <v>893</v>
      </c>
      <c r="F426" s="235" t="s">
        <v>1229</v>
      </c>
      <c r="G426" s="284">
        <f>IFERROR(VLOOKUP(E426,Assign!$C$2:$J$142,8,FALSE),)</f>
        <v>0</v>
      </c>
      <c r="H426" s="236" t="s">
        <v>4456</v>
      </c>
      <c r="I426" s="236">
        <v>1</v>
      </c>
      <c r="J426" s="236">
        <v>1</v>
      </c>
      <c r="K426" s="355" t="s">
        <v>1373</v>
      </c>
      <c r="L426" s="356">
        <v>43269</v>
      </c>
      <c r="M426" s="357" t="s">
        <v>204</v>
      </c>
      <c r="N426" s="416">
        <v>60000000</v>
      </c>
      <c r="O426" s="416">
        <v>60000000</v>
      </c>
      <c r="P426" s="358"/>
      <c r="Q426" s="320"/>
      <c r="R426" s="168"/>
      <c r="S426" s="168"/>
      <c r="T426" s="287"/>
      <c r="U426" s="264"/>
      <c r="V426" s="198"/>
    </row>
    <row r="427" spans="1:22" s="90" customFormat="1" ht="19.5" hidden="1" customHeight="1">
      <c r="A427" s="137"/>
      <c r="B427" s="197">
        <f t="shared" si="7"/>
        <v>417</v>
      </c>
      <c r="C427" s="30" t="s">
        <v>206</v>
      </c>
      <c r="D427" s="30" t="s">
        <v>225</v>
      </c>
      <c r="E427" s="234" t="s">
        <v>894</v>
      </c>
      <c r="F427" s="235" t="s">
        <v>1268</v>
      </c>
      <c r="G427" s="284">
        <f>IFERROR(VLOOKUP(E427,Assign!$C$2:$J$142,8,FALSE),)</f>
        <v>0</v>
      </c>
      <c r="H427" s="236" t="s">
        <v>4114</v>
      </c>
      <c r="I427" s="236">
        <v>1</v>
      </c>
      <c r="J427" s="236">
        <v>1</v>
      </c>
      <c r="K427" s="355" t="s">
        <v>1373</v>
      </c>
      <c r="L427" s="356">
        <v>41904</v>
      </c>
      <c r="M427" s="357" t="s">
        <v>204</v>
      </c>
      <c r="N427" s="416">
        <v>70800000</v>
      </c>
      <c r="O427" s="416">
        <v>70800000</v>
      </c>
      <c r="P427" s="358"/>
      <c r="Q427" s="320"/>
      <c r="R427" s="168"/>
      <c r="S427" s="168"/>
      <c r="T427" s="287"/>
      <c r="U427" s="264"/>
      <c r="V427" s="198"/>
    </row>
    <row r="428" spans="1:22" s="90" customFormat="1" ht="19.5" customHeight="1">
      <c r="A428" s="137"/>
      <c r="B428" s="197">
        <f t="shared" si="7"/>
        <v>418</v>
      </c>
      <c r="C428" s="30" t="s">
        <v>206</v>
      </c>
      <c r="D428" s="30" t="s">
        <v>225</v>
      </c>
      <c r="E428" s="234" t="s">
        <v>895</v>
      </c>
      <c r="F428" s="235" t="s">
        <v>1225</v>
      </c>
      <c r="G428" s="284" t="str">
        <f>IFERROR(VLOOKUP(E428,Assign!$C$2:$J$142,8,FALSE),)</f>
        <v>문선영</v>
      </c>
      <c r="H428" s="236" t="s">
        <v>4266</v>
      </c>
      <c r="I428" s="236">
        <v>1</v>
      </c>
      <c r="J428" s="236">
        <v>1</v>
      </c>
      <c r="K428" s="355" t="s">
        <v>1373</v>
      </c>
      <c r="L428" s="356">
        <v>44491</v>
      </c>
      <c r="M428" s="357" t="s">
        <v>204</v>
      </c>
      <c r="N428" s="416">
        <v>55000000</v>
      </c>
      <c r="O428" s="416">
        <v>55000000</v>
      </c>
      <c r="P428" s="358"/>
      <c r="Q428" s="320"/>
      <c r="R428" s="168"/>
      <c r="S428" s="168"/>
      <c r="T428" s="287"/>
      <c r="U428" s="264"/>
      <c r="V428" s="198"/>
    </row>
    <row r="429" spans="1:22" s="90" customFormat="1" ht="19.5" hidden="1" customHeight="1">
      <c r="A429" s="137"/>
      <c r="B429" s="197">
        <f t="shared" si="7"/>
        <v>419</v>
      </c>
      <c r="C429" s="30" t="s">
        <v>206</v>
      </c>
      <c r="D429" s="30" t="s">
        <v>225</v>
      </c>
      <c r="E429" s="234" t="s">
        <v>896</v>
      </c>
      <c r="F429" s="235" t="s">
        <v>1223</v>
      </c>
      <c r="G429" s="284">
        <f>IFERROR(VLOOKUP(E429,Assign!$C$2:$J$142,8,FALSE),)</f>
        <v>0</v>
      </c>
      <c r="H429" s="236" t="s">
        <v>5036</v>
      </c>
      <c r="I429" s="236">
        <v>1</v>
      </c>
      <c r="J429" s="236">
        <v>1</v>
      </c>
      <c r="K429" s="355" t="s">
        <v>1373</v>
      </c>
      <c r="L429" s="356">
        <v>42885</v>
      </c>
      <c r="M429" s="357" t="s">
        <v>204</v>
      </c>
      <c r="N429" s="416">
        <v>57600000</v>
      </c>
      <c r="O429" s="416">
        <v>57600000</v>
      </c>
      <c r="P429" s="358"/>
      <c r="Q429" s="320"/>
      <c r="R429" s="168"/>
      <c r="S429" s="168"/>
      <c r="T429" s="287"/>
      <c r="U429" s="264"/>
      <c r="V429" s="198"/>
    </row>
    <row r="430" spans="1:22" s="90" customFormat="1" ht="19.5" hidden="1" customHeight="1">
      <c r="A430" s="137"/>
      <c r="B430" s="197">
        <f t="shared" si="7"/>
        <v>420</v>
      </c>
      <c r="C430" s="30" t="s">
        <v>206</v>
      </c>
      <c r="D430" s="30" t="s">
        <v>225</v>
      </c>
      <c r="E430" s="234" t="s">
        <v>897</v>
      </c>
      <c r="F430" s="235" t="s">
        <v>1225</v>
      </c>
      <c r="G430" s="284">
        <f>IFERROR(VLOOKUP(E430,Assign!$C$2:$J$142,8,FALSE),)</f>
        <v>0</v>
      </c>
      <c r="H430" s="236" t="s">
        <v>4110</v>
      </c>
      <c r="I430" s="236">
        <v>1</v>
      </c>
      <c r="J430" s="236">
        <v>1</v>
      </c>
      <c r="K430" s="355" t="s">
        <v>1373</v>
      </c>
      <c r="L430" s="356">
        <v>41852</v>
      </c>
      <c r="M430" s="357" t="s">
        <v>204</v>
      </c>
      <c r="N430" s="416">
        <v>57600000</v>
      </c>
      <c r="O430" s="416">
        <v>57600000</v>
      </c>
      <c r="P430" s="358"/>
      <c r="Q430" s="320"/>
      <c r="R430" s="168"/>
      <c r="S430" s="168"/>
      <c r="T430" s="287"/>
      <c r="U430" s="264"/>
      <c r="V430" s="198"/>
    </row>
    <row r="431" spans="1:22" s="90" customFormat="1" ht="19.5" hidden="1" customHeight="1">
      <c r="A431" s="137"/>
      <c r="B431" s="197">
        <f t="shared" si="7"/>
        <v>421</v>
      </c>
      <c r="C431" s="30" t="s">
        <v>206</v>
      </c>
      <c r="D431" s="30" t="s">
        <v>225</v>
      </c>
      <c r="E431" s="234" t="s">
        <v>898</v>
      </c>
      <c r="F431" s="235" t="s">
        <v>1229</v>
      </c>
      <c r="G431" s="284">
        <f>IFERROR(VLOOKUP(E431,Assign!$C$2:$J$142,8,FALSE),)</f>
        <v>0</v>
      </c>
      <c r="H431" s="236" t="s">
        <v>4161</v>
      </c>
      <c r="I431" s="236">
        <v>1</v>
      </c>
      <c r="J431" s="236">
        <v>1</v>
      </c>
      <c r="K431" s="355" t="s">
        <v>1373</v>
      </c>
      <c r="L431" s="356">
        <v>41870</v>
      </c>
      <c r="M431" s="357" t="s">
        <v>204</v>
      </c>
      <c r="N431" s="416">
        <v>90000000</v>
      </c>
      <c r="O431" s="416">
        <v>90000000</v>
      </c>
      <c r="P431" s="358"/>
      <c r="Q431" s="320"/>
      <c r="R431" s="168"/>
      <c r="S431" s="168"/>
      <c r="T431" s="287"/>
      <c r="U431" s="264"/>
      <c r="V431" s="198"/>
    </row>
    <row r="432" spans="1:22" s="90" customFormat="1" ht="19.5" hidden="1" customHeight="1">
      <c r="A432" s="137"/>
      <c r="B432" s="197">
        <f t="shared" si="7"/>
        <v>422</v>
      </c>
      <c r="C432" s="30" t="s">
        <v>206</v>
      </c>
      <c r="D432" s="30" t="s">
        <v>225</v>
      </c>
      <c r="E432" s="234" t="s">
        <v>899</v>
      </c>
      <c r="F432" s="235" t="s">
        <v>1217</v>
      </c>
      <c r="G432" s="284">
        <f>IFERROR(VLOOKUP(E432,Assign!$C$2:$J$142,8,FALSE),)</f>
        <v>0</v>
      </c>
      <c r="H432" s="236" t="s">
        <v>4195</v>
      </c>
      <c r="I432" s="236">
        <v>1</v>
      </c>
      <c r="J432" s="236">
        <v>1</v>
      </c>
      <c r="K432" s="355" t="s">
        <v>1373</v>
      </c>
      <c r="L432" s="356">
        <v>42262</v>
      </c>
      <c r="M432" s="357" t="s">
        <v>204</v>
      </c>
      <c r="N432" s="416">
        <v>58800000</v>
      </c>
      <c r="O432" s="416">
        <v>58800000</v>
      </c>
      <c r="P432" s="358"/>
      <c r="Q432" s="320"/>
      <c r="R432" s="168"/>
      <c r="S432" s="168"/>
      <c r="T432" s="287"/>
      <c r="U432" s="264"/>
      <c r="V432" s="198"/>
    </row>
    <row r="433" spans="1:22" s="90" customFormat="1" ht="19.5" hidden="1" customHeight="1">
      <c r="A433" s="137"/>
      <c r="B433" s="197">
        <f t="shared" si="7"/>
        <v>423</v>
      </c>
      <c r="C433" s="30" t="s">
        <v>206</v>
      </c>
      <c r="D433" s="30" t="s">
        <v>225</v>
      </c>
      <c r="E433" s="234" t="s">
        <v>900</v>
      </c>
      <c r="F433" s="235" t="s">
        <v>1221</v>
      </c>
      <c r="G433" s="284">
        <f>IFERROR(VLOOKUP(E433,Assign!$C$2:$J$142,8,FALSE),)</f>
        <v>0</v>
      </c>
      <c r="H433" s="236" t="s">
        <v>4386</v>
      </c>
      <c r="I433" s="236">
        <v>1</v>
      </c>
      <c r="J433" s="236">
        <v>1</v>
      </c>
      <c r="K433" s="355" t="s">
        <v>1373</v>
      </c>
      <c r="L433" s="356">
        <v>44357</v>
      </c>
      <c r="M433" s="357" t="s">
        <v>204</v>
      </c>
      <c r="N433" s="416">
        <v>62400000</v>
      </c>
      <c r="O433" s="416">
        <v>62400000</v>
      </c>
      <c r="P433" s="358"/>
      <c r="Q433" s="320"/>
      <c r="R433" s="168"/>
      <c r="S433" s="168"/>
      <c r="T433" s="287"/>
      <c r="U433" s="264"/>
      <c r="V433" s="198"/>
    </row>
    <row r="434" spans="1:22" s="90" customFormat="1" ht="19.5" hidden="1" customHeight="1">
      <c r="A434" s="137"/>
      <c r="B434" s="197">
        <f t="shared" si="7"/>
        <v>424</v>
      </c>
      <c r="C434" s="30" t="s">
        <v>206</v>
      </c>
      <c r="D434" s="30" t="s">
        <v>225</v>
      </c>
      <c r="E434" s="234" t="s">
        <v>901</v>
      </c>
      <c r="F434" s="235" t="s">
        <v>1226</v>
      </c>
      <c r="G434" s="284">
        <f>IFERROR(VLOOKUP(E434,Assign!$C$2:$J$142,8,FALSE),)</f>
        <v>0</v>
      </c>
      <c r="H434" s="236" t="s">
        <v>3950</v>
      </c>
      <c r="I434" s="236">
        <v>1</v>
      </c>
      <c r="J434" s="236">
        <v>1</v>
      </c>
      <c r="K434" s="355" t="s">
        <v>1373</v>
      </c>
      <c r="L434" s="356">
        <v>43903</v>
      </c>
      <c r="M434" s="357" t="s">
        <v>204</v>
      </c>
      <c r="N434" s="416">
        <v>48000000</v>
      </c>
      <c r="O434" s="416">
        <v>48000000</v>
      </c>
      <c r="P434" s="358"/>
      <c r="Q434" s="320"/>
      <c r="R434" s="168"/>
      <c r="S434" s="168"/>
      <c r="T434" s="287"/>
      <c r="U434" s="264"/>
      <c r="V434" s="198"/>
    </row>
    <row r="435" spans="1:22" s="90" customFormat="1" ht="19.5" hidden="1" customHeight="1">
      <c r="A435" s="137"/>
      <c r="B435" s="197">
        <f t="shared" si="7"/>
        <v>425</v>
      </c>
      <c r="C435" s="30" t="s">
        <v>206</v>
      </c>
      <c r="D435" s="30" t="s">
        <v>225</v>
      </c>
      <c r="E435" s="234" t="s">
        <v>902</v>
      </c>
      <c r="F435" s="235" t="s">
        <v>1321</v>
      </c>
      <c r="G435" s="284">
        <f>IFERROR(VLOOKUP(E435,Assign!$C$2:$J$142,8,FALSE),)</f>
        <v>0</v>
      </c>
      <c r="H435" s="236" t="s">
        <v>5538</v>
      </c>
      <c r="I435" s="236">
        <v>1</v>
      </c>
      <c r="J435" s="236">
        <v>1</v>
      </c>
      <c r="K435" s="355" t="s">
        <v>3366</v>
      </c>
      <c r="L435" s="356">
        <v>43196</v>
      </c>
      <c r="M435" s="357" t="s">
        <v>204</v>
      </c>
      <c r="N435" s="416">
        <v>91200000</v>
      </c>
      <c r="O435" s="416">
        <v>91200000</v>
      </c>
      <c r="P435" s="358"/>
      <c r="Q435" s="320"/>
      <c r="R435" s="168"/>
      <c r="S435" s="168"/>
      <c r="T435" s="287"/>
      <c r="U435" s="264"/>
      <c r="V435" s="198"/>
    </row>
    <row r="436" spans="1:22" s="90" customFormat="1" ht="19.5" hidden="1" customHeight="1">
      <c r="A436" s="137"/>
      <c r="B436" s="197">
        <f t="shared" si="7"/>
        <v>426</v>
      </c>
      <c r="C436" s="30" t="s">
        <v>206</v>
      </c>
      <c r="D436" s="30" t="s">
        <v>225</v>
      </c>
      <c r="E436" s="234" t="s">
        <v>902</v>
      </c>
      <c r="F436" s="235" t="s">
        <v>1321</v>
      </c>
      <c r="G436" s="284">
        <f>IFERROR(VLOOKUP(E436,Assign!$C$2:$J$142,8,FALSE),)</f>
        <v>0</v>
      </c>
      <c r="H436" s="236" t="s">
        <v>5538</v>
      </c>
      <c r="I436" s="236">
        <v>1</v>
      </c>
      <c r="J436" s="236">
        <v>2</v>
      </c>
      <c r="K436" s="355" t="s">
        <v>1373</v>
      </c>
      <c r="L436" s="356">
        <v>44313</v>
      </c>
      <c r="M436" s="357" t="s">
        <v>204</v>
      </c>
      <c r="N436" s="416">
        <v>132000000</v>
      </c>
      <c r="O436" s="416">
        <v>132000000</v>
      </c>
      <c r="P436" s="358"/>
      <c r="Q436" s="320"/>
      <c r="R436" s="168"/>
      <c r="S436" s="168"/>
      <c r="T436" s="287"/>
      <c r="U436" s="264"/>
      <c r="V436" s="198"/>
    </row>
    <row r="437" spans="1:22" s="90" customFormat="1" ht="19.5" hidden="1" customHeight="1">
      <c r="A437" s="137"/>
      <c r="B437" s="197">
        <f t="shared" si="7"/>
        <v>427</v>
      </c>
      <c r="C437" s="30" t="s">
        <v>206</v>
      </c>
      <c r="D437" s="30" t="s">
        <v>225</v>
      </c>
      <c r="E437" s="234" t="s">
        <v>903</v>
      </c>
      <c r="F437" s="235" t="s">
        <v>1266</v>
      </c>
      <c r="G437" s="284">
        <f>IFERROR(VLOOKUP(E437,Assign!$C$2:$J$142,8,FALSE),)</f>
        <v>0</v>
      </c>
      <c r="H437" s="236" t="s">
        <v>5177</v>
      </c>
      <c r="I437" s="236">
        <v>1</v>
      </c>
      <c r="J437" s="236">
        <v>1</v>
      </c>
      <c r="K437" s="355" t="s">
        <v>3367</v>
      </c>
      <c r="L437" s="356">
        <v>43336</v>
      </c>
      <c r="M437" s="357" t="s">
        <v>204</v>
      </c>
      <c r="N437" s="416">
        <v>113850000</v>
      </c>
      <c r="O437" s="416">
        <v>113850000</v>
      </c>
      <c r="P437" s="358"/>
      <c r="Q437" s="320"/>
      <c r="R437" s="168"/>
      <c r="S437" s="168"/>
      <c r="T437" s="287"/>
      <c r="U437" s="264"/>
      <c r="V437" s="198"/>
    </row>
    <row r="438" spans="1:22" s="90" customFormat="1" ht="19.5" hidden="1" customHeight="1">
      <c r="A438" s="137"/>
      <c r="B438" s="197">
        <f t="shared" si="7"/>
        <v>428</v>
      </c>
      <c r="C438" s="30" t="s">
        <v>206</v>
      </c>
      <c r="D438" s="30" t="s">
        <v>225</v>
      </c>
      <c r="E438" s="234" t="s">
        <v>903</v>
      </c>
      <c r="F438" s="235" t="s">
        <v>1266</v>
      </c>
      <c r="G438" s="284">
        <f>IFERROR(VLOOKUP(E438,Assign!$C$2:$J$142,8,FALSE),)</f>
        <v>0</v>
      </c>
      <c r="H438" s="236" t="s">
        <v>5177</v>
      </c>
      <c r="I438" s="236">
        <v>1</v>
      </c>
      <c r="J438" s="236">
        <v>2</v>
      </c>
      <c r="K438" s="355" t="s">
        <v>1373</v>
      </c>
      <c r="L438" s="356">
        <v>44874</v>
      </c>
      <c r="M438" s="357" t="s">
        <v>204</v>
      </c>
      <c r="N438" s="416">
        <v>37400000</v>
      </c>
      <c r="O438" s="416">
        <v>37400000</v>
      </c>
      <c r="P438" s="358"/>
      <c r="Q438" s="320"/>
      <c r="R438" s="168"/>
      <c r="S438" s="168"/>
      <c r="T438" s="287"/>
      <c r="U438" s="264"/>
      <c r="V438" s="198"/>
    </row>
    <row r="439" spans="1:22" s="90" customFormat="1" ht="19.5" hidden="1" customHeight="1">
      <c r="A439" s="137"/>
      <c r="B439" s="197">
        <f t="shared" si="7"/>
        <v>429</v>
      </c>
      <c r="C439" s="30" t="s">
        <v>206</v>
      </c>
      <c r="D439" s="30" t="s">
        <v>225</v>
      </c>
      <c r="E439" s="234" t="s">
        <v>904</v>
      </c>
      <c r="F439" s="235" t="s">
        <v>1221</v>
      </c>
      <c r="G439" s="284">
        <f>IFERROR(VLOOKUP(E439,Assign!$C$2:$J$142,8,FALSE),)</f>
        <v>0</v>
      </c>
      <c r="H439" s="236" t="s">
        <v>3923</v>
      </c>
      <c r="I439" s="236">
        <v>1</v>
      </c>
      <c r="J439" s="236">
        <v>1</v>
      </c>
      <c r="K439" s="355" t="s">
        <v>420</v>
      </c>
      <c r="L439" s="356">
        <v>43291</v>
      </c>
      <c r="M439" s="357" t="s">
        <v>204</v>
      </c>
      <c r="N439" s="416">
        <v>55000000</v>
      </c>
      <c r="O439" s="416">
        <v>55000000</v>
      </c>
      <c r="P439" s="358"/>
      <c r="Q439" s="320"/>
      <c r="R439" s="168"/>
      <c r="S439" s="168"/>
      <c r="T439" s="287"/>
      <c r="U439" s="264"/>
      <c r="V439" s="198"/>
    </row>
    <row r="440" spans="1:22" s="90" customFormat="1" ht="19.5" hidden="1" customHeight="1">
      <c r="A440" s="137"/>
      <c r="B440" s="197">
        <f t="shared" si="7"/>
        <v>430</v>
      </c>
      <c r="C440" s="30" t="s">
        <v>206</v>
      </c>
      <c r="D440" s="30" t="s">
        <v>225</v>
      </c>
      <c r="E440" s="234" t="s">
        <v>904</v>
      </c>
      <c r="F440" s="235" t="s">
        <v>1221</v>
      </c>
      <c r="G440" s="284">
        <f>IFERROR(VLOOKUP(E440,Assign!$C$2:$J$142,8,FALSE),)</f>
        <v>0</v>
      </c>
      <c r="H440" s="236" t="s">
        <v>3923</v>
      </c>
      <c r="I440" s="236">
        <v>1</v>
      </c>
      <c r="J440" s="236">
        <v>2</v>
      </c>
      <c r="K440" s="355" t="s">
        <v>1373</v>
      </c>
      <c r="L440" s="356">
        <v>45034</v>
      </c>
      <c r="M440" s="357" t="s">
        <v>204</v>
      </c>
      <c r="N440" s="416">
        <v>33000000</v>
      </c>
      <c r="O440" s="416">
        <v>33000000</v>
      </c>
      <c r="P440" s="358"/>
      <c r="Q440" s="320"/>
      <c r="R440" s="168"/>
      <c r="S440" s="168"/>
      <c r="T440" s="287"/>
      <c r="U440" s="264"/>
      <c r="V440" s="198"/>
    </row>
    <row r="441" spans="1:22" s="90" customFormat="1" ht="19.5" hidden="1" customHeight="1">
      <c r="A441" s="137"/>
      <c r="B441" s="197">
        <f t="shared" si="7"/>
        <v>431</v>
      </c>
      <c r="C441" s="30" t="s">
        <v>206</v>
      </c>
      <c r="D441" s="30" t="s">
        <v>225</v>
      </c>
      <c r="E441" s="234" t="s">
        <v>905</v>
      </c>
      <c r="F441" s="235" t="s">
        <v>1229</v>
      </c>
      <c r="G441" s="284">
        <f>IFERROR(VLOOKUP(E441,Assign!$C$2:$J$142,8,FALSE),)</f>
        <v>0</v>
      </c>
      <c r="H441" s="236" t="s">
        <v>4044</v>
      </c>
      <c r="I441" s="236">
        <v>1</v>
      </c>
      <c r="J441" s="236">
        <v>1</v>
      </c>
      <c r="K441" s="355" t="s">
        <v>1373</v>
      </c>
      <c r="L441" s="356">
        <v>43567</v>
      </c>
      <c r="M441" s="357" t="s">
        <v>204</v>
      </c>
      <c r="N441" s="416">
        <v>33000000</v>
      </c>
      <c r="O441" s="416">
        <v>33000000</v>
      </c>
      <c r="P441" s="358"/>
      <c r="Q441" s="320"/>
      <c r="R441" s="168"/>
      <c r="S441" s="168"/>
      <c r="T441" s="287"/>
      <c r="U441" s="264"/>
      <c r="V441" s="198"/>
    </row>
    <row r="442" spans="1:22" s="90" customFormat="1" ht="19.5" hidden="1" customHeight="1">
      <c r="A442" s="137"/>
      <c r="B442" s="197">
        <f t="shared" si="7"/>
        <v>432</v>
      </c>
      <c r="C442" s="30" t="s">
        <v>206</v>
      </c>
      <c r="D442" s="30" t="s">
        <v>225</v>
      </c>
      <c r="E442" s="234" t="s">
        <v>906</v>
      </c>
      <c r="F442" s="235" t="s">
        <v>1222</v>
      </c>
      <c r="G442" s="284">
        <f>IFERROR(VLOOKUP(E442,Assign!$C$2:$J$142,8,FALSE),)</f>
        <v>0</v>
      </c>
      <c r="H442" s="236" t="s">
        <v>4675</v>
      </c>
      <c r="I442" s="236">
        <v>1</v>
      </c>
      <c r="J442" s="236">
        <v>1</v>
      </c>
      <c r="K442" s="355" t="s">
        <v>3856</v>
      </c>
      <c r="L442" s="356">
        <v>40549</v>
      </c>
      <c r="M442" s="357" t="s">
        <v>204</v>
      </c>
      <c r="N442" s="416">
        <v>117200000</v>
      </c>
      <c r="O442" s="416">
        <v>117200000</v>
      </c>
      <c r="P442" s="358"/>
      <c r="Q442" s="320"/>
      <c r="R442" s="168"/>
      <c r="S442" s="168"/>
      <c r="T442" s="287"/>
      <c r="U442" s="264"/>
      <c r="V442" s="198"/>
    </row>
    <row r="443" spans="1:22" s="90" customFormat="1" ht="19.5" hidden="1" customHeight="1">
      <c r="A443" s="137"/>
      <c r="B443" s="197">
        <f t="shared" si="7"/>
        <v>433</v>
      </c>
      <c r="C443" s="30" t="s">
        <v>206</v>
      </c>
      <c r="D443" s="30" t="s">
        <v>225</v>
      </c>
      <c r="E443" s="234" t="s">
        <v>906</v>
      </c>
      <c r="F443" s="235" t="s">
        <v>1222</v>
      </c>
      <c r="G443" s="284">
        <f>IFERROR(VLOOKUP(E443,Assign!$C$2:$J$142,8,FALSE),)</f>
        <v>0</v>
      </c>
      <c r="H443" s="236" t="s">
        <v>4675</v>
      </c>
      <c r="I443" s="236">
        <v>1</v>
      </c>
      <c r="J443" s="236">
        <v>2</v>
      </c>
      <c r="K443" s="355" t="s">
        <v>1373</v>
      </c>
      <c r="L443" s="356">
        <v>43671</v>
      </c>
      <c r="M443" s="357" t="s">
        <v>204</v>
      </c>
      <c r="N443" s="416">
        <v>16200000</v>
      </c>
      <c r="O443" s="416">
        <v>16200000</v>
      </c>
      <c r="P443" s="358"/>
      <c r="Q443" s="320"/>
      <c r="R443" s="168"/>
      <c r="S443" s="168"/>
      <c r="T443" s="287"/>
      <c r="U443" s="264"/>
      <c r="V443" s="198"/>
    </row>
    <row r="444" spans="1:22" s="90" customFormat="1" ht="19.5" hidden="1" customHeight="1">
      <c r="A444" s="137"/>
      <c r="B444" s="197">
        <f t="shared" si="7"/>
        <v>434</v>
      </c>
      <c r="C444" s="30" t="s">
        <v>206</v>
      </c>
      <c r="D444" s="30" t="s">
        <v>225</v>
      </c>
      <c r="E444" s="234" t="s">
        <v>906</v>
      </c>
      <c r="F444" s="235" t="s">
        <v>1222</v>
      </c>
      <c r="G444" s="284">
        <f>IFERROR(VLOOKUP(E444,Assign!$C$2:$J$142,8,FALSE),)</f>
        <v>0</v>
      </c>
      <c r="H444" s="236" t="s">
        <v>4675</v>
      </c>
      <c r="I444" s="236">
        <v>1</v>
      </c>
      <c r="J444" s="236">
        <v>3</v>
      </c>
      <c r="K444" s="355" t="s">
        <v>1373</v>
      </c>
      <c r="L444" s="356">
        <v>43672</v>
      </c>
      <c r="M444" s="357" t="s">
        <v>204</v>
      </c>
      <c r="N444" s="416">
        <v>16200000</v>
      </c>
      <c r="O444" s="416">
        <v>16200000</v>
      </c>
      <c r="P444" s="358"/>
      <c r="Q444" s="320"/>
      <c r="R444" s="168"/>
      <c r="S444" s="168"/>
      <c r="T444" s="287"/>
      <c r="U444" s="264"/>
      <c r="V444" s="198"/>
    </row>
    <row r="445" spans="1:22" s="90" customFormat="1" ht="19.5" hidden="1" customHeight="1">
      <c r="A445" s="137"/>
      <c r="B445" s="197">
        <f t="shared" si="7"/>
        <v>435</v>
      </c>
      <c r="C445" s="30" t="s">
        <v>206</v>
      </c>
      <c r="D445" s="30" t="s">
        <v>225</v>
      </c>
      <c r="E445" s="234" t="s">
        <v>907</v>
      </c>
      <c r="F445" s="235" t="s">
        <v>1252</v>
      </c>
      <c r="G445" s="284">
        <f>IFERROR(VLOOKUP(E445,Assign!$C$2:$J$142,8,FALSE),)</f>
        <v>0</v>
      </c>
      <c r="H445" s="236" t="s">
        <v>5130</v>
      </c>
      <c r="I445" s="236">
        <v>1</v>
      </c>
      <c r="J445" s="236">
        <v>1</v>
      </c>
      <c r="K445" s="355" t="s">
        <v>1373</v>
      </c>
      <c r="L445" s="356">
        <v>44489</v>
      </c>
      <c r="M445" s="357" t="s">
        <v>204</v>
      </c>
      <c r="N445" s="416">
        <v>33000000</v>
      </c>
      <c r="O445" s="416">
        <v>33000000</v>
      </c>
      <c r="P445" s="358"/>
      <c r="Q445" s="320"/>
      <c r="R445" s="168"/>
      <c r="S445" s="168"/>
      <c r="T445" s="287"/>
      <c r="U445" s="264"/>
      <c r="V445" s="198"/>
    </row>
    <row r="446" spans="1:22" s="90" customFormat="1" ht="19.5" hidden="1" customHeight="1">
      <c r="A446" s="137"/>
      <c r="B446" s="197">
        <f t="shared" si="7"/>
        <v>436</v>
      </c>
      <c r="C446" s="30" t="s">
        <v>206</v>
      </c>
      <c r="D446" s="30" t="s">
        <v>225</v>
      </c>
      <c r="E446" s="234" t="s">
        <v>908</v>
      </c>
      <c r="F446" s="235" t="s">
        <v>1225</v>
      </c>
      <c r="G446" s="284">
        <f>IFERROR(VLOOKUP(E446,Assign!$C$2:$J$142,8,FALSE),)</f>
        <v>0</v>
      </c>
      <c r="H446" s="236" t="s">
        <v>4332</v>
      </c>
      <c r="I446" s="236">
        <v>1</v>
      </c>
      <c r="J446" s="236">
        <v>1</v>
      </c>
      <c r="K446" s="355" t="s">
        <v>1373</v>
      </c>
      <c r="L446" s="356">
        <v>43539</v>
      </c>
      <c r="M446" s="357" t="s">
        <v>204</v>
      </c>
      <c r="N446" s="416">
        <v>36000000</v>
      </c>
      <c r="O446" s="416">
        <v>36000000</v>
      </c>
      <c r="P446" s="358"/>
      <c r="Q446" s="320"/>
      <c r="R446" s="168"/>
      <c r="S446" s="168"/>
      <c r="T446" s="287"/>
      <c r="U446" s="264"/>
      <c r="V446" s="198"/>
    </row>
    <row r="447" spans="1:22" s="90" customFormat="1" ht="19.5" hidden="1" customHeight="1">
      <c r="A447" s="137"/>
      <c r="B447" s="197">
        <f t="shared" si="7"/>
        <v>437</v>
      </c>
      <c r="C447" s="30" t="s">
        <v>206</v>
      </c>
      <c r="D447" s="30" t="s">
        <v>225</v>
      </c>
      <c r="E447" s="234" t="s">
        <v>909</v>
      </c>
      <c r="F447" s="235" t="s">
        <v>1269</v>
      </c>
      <c r="G447" s="284">
        <f>IFERROR(VLOOKUP(E447,Assign!$C$2:$J$142,8,FALSE),)</f>
        <v>0</v>
      </c>
      <c r="H447" s="236" t="s">
        <v>3896</v>
      </c>
      <c r="I447" s="236">
        <v>1</v>
      </c>
      <c r="J447" s="236">
        <v>1</v>
      </c>
      <c r="K447" s="355" t="s">
        <v>1373</v>
      </c>
      <c r="L447" s="356">
        <v>42583</v>
      </c>
      <c r="M447" s="357" t="s">
        <v>204</v>
      </c>
      <c r="N447" s="416">
        <v>42000000</v>
      </c>
      <c r="O447" s="416">
        <v>42000000</v>
      </c>
      <c r="P447" s="358"/>
      <c r="Q447" s="320"/>
      <c r="R447" s="168"/>
      <c r="S447" s="168"/>
      <c r="T447" s="287"/>
      <c r="U447" s="264"/>
      <c r="V447" s="198"/>
    </row>
    <row r="448" spans="1:22" s="90" customFormat="1" ht="19.5" hidden="1" customHeight="1">
      <c r="A448" s="137"/>
      <c r="B448" s="197">
        <f t="shared" si="7"/>
        <v>438</v>
      </c>
      <c r="C448" s="30" t="s">
        <v>206</v>
      </c>
      <c r="D448" s="30" t="s">
        <v>225</v>
      </c>
      <c r="E448" s="234" t="s">
        <v>910</v>
      </c>
      <c r="F448" s="235" t="s">
        <v>1226</v>
      </c>
      <c r="G448" s="284">
        <f>IFERROR(VLOOKUP(E448,Assign!$C$2:$J$142,8,FALSE),)</f>
        <v>0</v>
      </c>
      <c r="H448" s="236" t="s">
        <v>3904</v>
      </c>
      <c r="I448" s="236">
        <v>1</v>
      </c>
      <c r="J448" s="236">
        <v>1</v>
      </c>
      <c r="K448" s="355" t="s">
        <v>487</v>
      </c>
      <c r="L448" s="356">
        <v>41187</v>
      </c>
      <c r="M448" s="357" t="s">
        <v>204</v>
      </c>
      <c r="N448" s="416">
        <v>192000000</v>
      </c>
      <c r="O448" s="416">
        <v>192000000</v>
      </c>
      <c r="P448" s="358"/>
      <c r="Q448" s="320"/>
      <c r="R448" s="168"/>
      <c r="S448" s="168"/>
      <c r="T448" s="287"/>
      <c r="U448" s="264"/>
      <c r="V448" s="198"/>
    </row>
    <row r="449" spans="1:22" s="90" customFormat="1" ht="19.5" hidden="1" customHeight="1">
      <c r="A449" s="137"/>
      <c r="B449" s="197">
        <f t="shared" si="7"/>
        <v>439</v>
      </c>
      <c r="C449" s="30" t="s">
        <v>206</v>
      </c>
      <c r="D449" s="30" t="s">
        <v>225</v>
      </c>
      <c r="E449" s="234" t="s">
        <v>910</v>
      </c>
      <c r="F449" s="235" t="s">
        <v>1226</v>
      </c>
      <c r="G449" s="284">
        <f>IFERROR(VLOOKUP(E449,Assign!$C$2:$J$142,8,FALSE),)</f>
        <v>0</v>
      </c>
      <c r="H449" s="236" t="s">
        <v>3904</v>
      </c>
      <c r="I449" s="236">
        <v>1</v>
      </c>
      <c r="J449" s="236">
        <v>2</v>
      </c>
      <c r="K449" s="355" t="s">
        <v>1373</v>
      </c>
      <c r="L449" s="356">
        <v>44154</v>
      </c>
      <c r="M449" s="357" t="s">
        <v>204</v>
      </c>
      <c r="N449" s="416">
        <v>60000000</v>
      </c>
      <c r="O449" s="416">
        <v>60000000</v>
      </c>
      <c r="P449" s="358"/>
      <c r="Q449" s="320"/>
      <c r="R449" s="168"/>
      <c r="S449" s="168"/>
      <c r="T449" s="287"/>
      <c r="U449" s="264"/>
      <c r="V449" s="198"/>
    </row>
    <row r="450" spans="1:22" s="90" customFormat="1" ht="19.5" hidden="1" customHeight="1">
      <c r="A450" s="137"/>
      <c r="B450" s="197">
        <f t="shared" si="7"/>
        <v>440</v>
      </c>
      <c r="C450" s="30" t="s">
        <v>206</v>
      </c>
      <c r="D450" s="30" t="s">
        <v>225</v>
      </c>
      <c r="E450" s="234" t="s">
        <v>911</v>
      </c>
      <c r="F450" s="235" t="s">
        <v>1234</v>
      </c>
      <c r="G450" s="284">
        <f>IFERROR(VLOOKUP(E450,Assign!$C$2:$J$142,8,FALSE),)</f>
        <v>0</v>
      </c>
      <c r="H450" s="236" t="s">
        <v>4940</v>
      </c>
      <c r="I450" s="236">
        <v>1</v>
      </c>
      <c r="J450" s="236">
        <v>1</v>
      </c>
      <c r="K450" s="355" t="s">
        <v>1373</v>
      </c>
      <c r="L450" s="356">
        <v>44650</v>
      </c>
      <c r="M450" s="357" t="s">
        <v>204</v>
      </c>
      <c r="N450" s="416">
        <v>33000000</v>
      </c>
      <c r="O450" s="416">
        <v>33000000</v>
      </c>
      <c r="P450" s="358"/>
      <c r="Q450" s="320"/>
      <c r="R450" s="168"/>
      <c r="S450" s="168"/>
      <c r="T450" s="287"/>
      <c r="U450" s="264"/>
      <c r="V450" s="198"/>
    </row>
    <row r="451" spans="1:22" s="90" customFormat="1" ht="19.5" hidden="1" customHeight="1">
      <c r="A451" s="137"/>
      <c r="B451" s="197">
        <f t="shared" si="7"/>
        <v>441</v>
      </c>
      <c r="C451" s="30" t="s">
        <v>206</v>
      </c>
      <c r="D451" s="30" t="s">
        <v>225</v>
      </c>
      <c r="E451" s="234" t="s">
        <v>912</v>
      </c>
      <c r="F451" s="235" t="s">
        <v>1246</v>
      </c>
      <c r="G451" s="284">
        <f>IFERROR(VLOOKUP(E451,Assign!$C$2:$J$142,8,FALSE),)</f>
        <v>0</v>
      </c>
      <c r="H451" s="236" t="s">
        <v>4056</v>
      </c>
      <c r="I451" s="236">
        <v>1</v>
      </c>
      <c r="J451" s="236">
        <v>1</v>
      </c>
      <c r="K451" s="355" t="s">
        <v>1373</v>
      </c>
      <c r="L451" s="356">
        <v>42272</v>
      </c>
      <c r="M451" s="357" t="s">
        <v>204</v>
      </c>
      <c r="N451" s="416">
        <v>36000000</v>
      </c>
      <c r="O451" s="416">
        <v>36000000</v>
      </c>
      <c r="P451" s="358"/>
      <c r="Q451" s="320"/>
      <c r="R451" s="168"/>
      <c r="S451" s="168"/>
      <c r="T451" s="287"/>
      <c r="U451" s="264"/>
      <c r="V451" s="198"/>
    </row>
    <row r="452" spans="1:22" s="90" customFormat="1" ht="19.5" hidden="1" customHeight="1">
      <c r="A452" s="137"/>
      <c r="B452" s="197">
        <f t="shared" si="7"/>
        <v>442</v>
      </c>
      <c r="C452" s="30" t="s">
        <v>206</v>
      </c>
      <c r="D452" s="30" t="s">
        <v>225</v>
      </c>
      <c r="E452" s="234" t="s">
        <v>913</v>
      </c>
      <c r="F452" s="235" t="s">
        <v>1260</v>
      </c>
      <c r="G452" s="284">
        <f>IFERROR(VLOOKUP(E452,Assign!$C$2:$J$142,8,FALSE),)</f>
        <v>0</v>
      </c>
      <c r="H452" s="236" t="s">
        <v>4942</v>
      </c>
      <c r="I452" s="236">
        <v>1</v>
      </c>
      <c r="J452" s="236">
        <v>1</v>
      </c>
      <c r="K452" s="355" t="s">
        <v>1373</v>
      </c>
      <c r="L452" s="356">
        <v>42307</v>
      </c>
      <c r="M452" s="357" t="s">
        <v>204</v>
      </c>
      <c r="N452" s="416">
        <v>36000000</v>
      </c>
      <c r="O452" s="416">
        <v>36000000</v>
      </c>
      <c r="P452" s="358"/>
      <c r="Q452" s="320"/>
      <c r="R452" s="168"/>
      <c r="S452" s="168"/>
      <c r="T452" s="287"/>
      <c r="U452" s="264"/>
      <c r="V452" s="198"/>
    </row>
    <row r="453" spans="1:22" s="90" customFormat="1" ht="19.5" hidden="1" customHeight="1">
      <c r="A453" s="137"/>
      <c r="B453" s="197">
        <f t="shared" si="7"/>
        <v>443</v>
      </c>
      <c r="C453" s="30" t="s">
        <v>206</v>
      </c>
      <c r="D453" s="30" t="s">
        <v>225</v>
      </c>
      <c r="E453" s="234" t="s">
        <v>914</v>
      </c>
      <c r="F453" s="235" t="s">
        <v>1270</v>
      </c>
      <c r="G453" s="284">
        <f>IFERROR(VLOOKUP(E453,Assign!$C$2:$J$142,8,FALSE),)</f>
        <v>0</v>
      </c>
      <c r="H453" s="236" t="s">
        <v>4980</v>
      </c>
      <c r="I453" s="236">
        <v>1</v>
      </c>
      <c r="J453" s="236">
        <v>1</v>
      </c>
      <c r="K453" s="355" t="s">
        <v>1373</v>
      </c>
      <c r="L453" s="356">
        <v>41667</v>
      </c>
      <c r="M453" s="357" t="s">
        <v>204</v>
      </c>
      <c r="N453" s="416">
        <v>29280000</v>
      </c>
      <c r="O453" s="416">
        <v>29280000</v>
      </c>
      <c r="P453" s="358"/>
      <c r="Q453" s="320"/>
      <c r="R453" s="168"/>
      <c r="S453" s="168"/>
      <c r="T453" s="287"/>
      <c r="U453" s="264"/>
      <c r="V453" s="198"/>
    </row>
    <row r="454" spans="1:22" s="90" customFormat="1" ht="19.5" hidden="1" customHeight="1">
      <c r="A454" s="137"/>
      <c r="B454" s="197">
        <f t="shared" si="7"/>
        <v>444</v>
      </c>
      <c r="C454" s="30" t="s">
        <v>206</v>
      </c>
      <c r="D454" s="30" t="s">
        <v>225</v>
      </c>
      <c r="E454" s="234" t="s">
        <v>915</v>
      </c>
      <c r="F454" s="235" t="s">
        <v>1229</v>
      </c>
      <c r="G454" s="284">
        <f>IFERROR(VLOOKUP(E454,Assign!$C$2:$J$142,8,FALSE),)</f>
        <v>0</v>
      </c>
      <c r="H454" s="236" t="s">
        <v>4165</v>
      </c>
      <c r="I454" s="236">
        <v>1</v>
      </c>
      <c r="J454" s="236">
        <v>1</v>
      </c>
      <c r="K454" s="355" t="s">
        <v>1373</v>
      </c>
      <c r="L454" s="356">
        <v>41681</v>
      </c>
      <c r="M454" s="357" t="s">
        <v>204</v>
      </c>
      <c r="N454" s="416">
        <v>48000000</v>
      </c>
      <c r="O454" s="416">
        <v>48000000</v>
      </c>
      <c r="P454" s="358"/>
      <c r="Q454" s="320"/>
      <c r="R454" s="168"/>
      <c r="S454" s="168"/>
      <c r="T454" s="287"/>
      <c r="U454" s="264"/>
      <c r="V454" s="198"/>
    </row>
    <row r="455" spans="1:22" s="90" customFormat="1" ht="19.5" customHeight="1">
      <c r="A455" s="137"/>
      <c r="B455" s="197">
        <f t="shared" si="7"/>
        <v>445</v>
      </c>
      <c r="C455" s="30" t="s">
        <v>206</v>
      </c>
      <c r="D455" s="30" t="s">
        <v>225</v>
      </c>
      <c r="E455" s="234" t="s">
        <v>916</v>
      </c>
      <c r="F455" s="235" t="s">
        <v>1271</v>
      </c>
      <c r="G455" s="284" t="str">
        <f>IFERROR(VLOOKUP(E455,Assign!$C$2:$J$142,8,FALSE),)</f>
        <v>문선영</v>
      </c>
      <c r="H455" s="236" t="s">
        <v>4428</v>
      </c>
      <c r="I455" s="236">
        <v>1</v>
      </c>
      <c r="J455" s="236">
        <v>1</v>
      </c>
      <c r="K455" s="355" t="s">
        <v>1373</v>
      </c>
      <c r="L455" s="356">
        <v>43356</v>
      </c>
      <c r="M455" s="357" t="s">
        <v>204</v>
      </c>
      <c r="N455" s="416">
        <v>7700000</v>
      </c>
      <c r="O455" s="416">
        <v>7700000</v>
      </c>
      <c r="P455" s="358"/>
      <c r="Q455" s="320"/>
      <c r="R455" s="168"/>
      <c r="S455" s="168"/>
      <c r="T455" s="287"/>
      <c r="U455" s="264"/>
      <c r="V455" s="198"/>
    </row>
    <row r="456" spans="1:22" s="90" customFormat="1" ht="19.5" customHeight="1">
      <c r="A456" s="137"/>
      <c r="B456" s="197">
        <f t="shared" si="7"/>
        <v>446</v>
      </c>
      <c r="C456" s="30" t="s">
        <v>206</v>
      </c>
      <c r="D456" s="30" t="s">
        <v>225</v>
      </c>
      <c r="E456" s="234" t="s">
        <v>917</v>
      </c>
      <c r="F456" s="235" t="s">
        <v>1221</v>
      </c>
      <c r="G456" s="284" t="str">
        <f>IFERROR(VLOOKUP(E456,Assign!$C$2:$J$142,8,FALSE),)</f>
        <v>문선영</v>
      </c>
      <c r="H456" s="236" t="s">
        <v>4442</v>
      </c>
      <c r="I456" s="236">
        <v>1</v>
      </c>
      <c r="J456" s="236">
        <v>1</v>
      </c>
      <c r="K456" s="355" t="s">
        <v>1373</v>
      </c>
      <c r="L456" s="356">
        <v>41424</v>
      </c>
      <c r="M456" s="357" t="s">
        <v>204</v>
      </c>
      <c r="N456" s="416">
        <v>42700000</v>
      </c>
      <c r="O456" s="416">
        <v>42700000</v>
      </c>
      <c r="P456" s="358"/>
      <c r="Q456" s="320"/>
      <c r="R456" s="168"/>
      <c r="S456" s="168"/>
      <c r="T456" s="287"/>
      <c r="U456" s="264"/>
      <c r="V456" s="198"/>
    </row>
    <row r="457" spans="1:22" s="90" customFormat="1" ht="19.5" hidden="1" customHeight="1">
      <c r="A457" s="137"/>
      <c r="B457" s="197">
        <f t="shared" si="7"/>
        <v>447</v>
      </c>
      <c r="C457" s="30" t="s">
        <v>206</v>
      </c>
      <c r="D457" s="30" t="s">
        <v>359</v>
      </c>
      <c r="E457" s="234" t="s">
        <v>918</v>
      </c>
      <c r="F457" s="235" t="s">
        <v>1322</v>
      </c>
      <c r="G457" s="284">
        <f>IFERROR(VLOOKUP(E457,Assign!$C$2:$J$142,8,FALSE),)</f>
        <v>0</v>
      </c>
      <c r="H457" s="236" t="s">
        <v>5192</v>
      </c>
      <c r="I457" s="236">
        <v>1</v>
      </c>
      <c r="J457" s="236" t="s">
        <v>418</v>
      </c>
      <c r="K457" s="355" t="s">
        <v>488</v>
      </c>
      <c r="L457" s="356">
        <v>45212</v>
      </c>
      <c r="M457" s="357" t="s">
        <v>204</v>
      </c>
      <c r="N457" s="416">
        <v>9000000000</v>
      </c>
      <c r="O457" s="416">
        <v>9000000000</v>
      </c>
      <c r="P457" s="358"/>
      <c r="Q457" s="320"/>
      <c r="R457" s="168"/>
      <c r="S457" s="168"/>
      <c r="T457" s="287"/>
      <c r="U457" s="264"/>
      <c r="V457" s="198"/>
    </row>
    <row r="458" spans="1:22" s="90" customFormat="1" ht="19.5" hidden="1" customHeight="1">
      <c r="A458" s="137"/>
      <c r="B458" s="197">
        <f t="shared" si="7"/>
        <v>448</v>
      </c>
      <c r="C458" s="30" t="s">
        <v>206</v>
      </c>
      <c r="D458" s="30" t="s">
        <v>359</v>
      </c>
      <c r="E458" s="234" t="s">
        <v>918</v>
      </c>
      <c r="F458" s="235" t="s">
        <v>1322</v>
      </c>
      <c r="G458" s="284">
        <f>IFERROR(VLOOKUP(E458,Assign!$C$2:$J$142,8,FALSE),)</f>
        <v>0</v>
      </c>
      <c r="H458" s="236" t="s">
        <v>5192</v>
      </c>
      <c r="I458" s="236">
        <v>1</v>
      </c>
      <c r="J458" s="236" t="s">
        <v>418</v>
      </c>
      <c r="K458" s="355" t="s">
        <v>1373</v>
      </c>
      <c r="L458" s="356">
        <v>45212</v>
      </c>
      <c r="M458" s="357" t="s">
        <v>204</v>
      </c>
      <c r="N458" s="416">
        <v>7800000000</v>
      </c>
      <c r="O458" s="416">
        <v>7800000000</v>
      </c>
      <c r="P458" s="358"/>
      <c r="Q458" s="320"/>
      <c r="R458" s="168"/>
      <c r="S458" s="168"/>
      <c r="T458" s="287"/>
      <c r="U458" s="264"/>
      <c r="V458" s="198"/>
    </row>
    <row r="459" spans="1:22" s="90" customFormat="1" ht="19.5" hidden="1" customHeight="1">
      <c r="A459" s="137"/>
      <c r="B459" s="197">
        <f t="shared" ref="B459:B522" si="8">ROW()-10</f>
        <v>449</v>
      </c>
      <c r="C459" s="30" t="s">
        <v>206</v>
      </c>
      <c r="D459" s="30" t="s">
        <v>359</v>
      </c>
      <c r="E459" s="234" t="s">
        <v>919</v>
      </c>
      <c r="F459" s="235" t="s">
        <v>1323</v>
      </c>
      <c r="G459" s="284">
        <f>IFERROR(VLOOKUP(E459,Assign!$C$2:$J$142,8,FALSE),)</f>
        <v>0</v>
      </c>
      <c r="H459" s="236" t="s">
        <v>4286</v>
      </c>
      <c r="I459" s="236">
        <v>1</v>
      </c>
      <c r="J459" s="236">
        <v>1</v>
      </c>
      <c r="K459" s="355" t="s">
        <v>1373</v>
      </c>
      <c r="L459" s="356">
        <v>39171</v>
      </c>
      <c r="M459" s="357" t="s">
        <v>204</v>
      </c>
      <c r="N459" s="416">
        <v>4089000000</v>
      </c>
      <c r="O459" s="416">
        <v>4089000000</v>
      </c>
      <c r="P459" s="358"/>
      <c r="Q459" s="320"/>
      <c r="R459" s="168"/>
      <c r="S459" s="168"/>
      <c r="T459" s="287"/>
      <c r="U459" s="264"/>
      <c r="V459" s="198"/>
    </row>
    <row r="460" spans="1:22" s="90" customFormat="1" ht="19.5" hidden="1" customHeight="1">
      <c r="A460" s="137"/>
      <c r="B460" s="197">
        <f t="shared" si="8"/>
        <v>450</v>
      </c>
      <c r="C460" s="30" t="s">
        <v>206</v>
      </c>
      <c r="D460" s="30" t="s">
        <v>359</v>
      </c>
      <c r="E460" s="234" t="s">
        <v>920</v>
      </c>
      <c r="F460" s="235" t="s">
        <v>1272</v>
      </c>
      <c r="G460" s="284">
        <f>IFERROR(VLOOKUP(E460,Assign!$C$2:$J$142,8,FALSE),)</f>
        <v>0</v>
      </c>
      <c r="H460" s="236" t="s">
        <v>5004</v>
      </c>
      <c r="I460" s="236">
        <v>1</v>
      </c>
      <c r="J460" s="236">
        <v>1</v>
      </c>
      <c r="K460" s="355" t="s">
        <v>1373</v>
      </c>
      <c r="L460" s="356">
        <v>44153</v>
      </c>
      <c r="M460" s="357" t="s">
        <v>204</v>
      </c>
      <c r="N460" s="416">
        <v>1320000000</v>
      </c>
      <c r="O460" s="416">
        <v>1320000000</v>
      </c>
      <c r="P460" s="358" t="s">
        <v>1421</v>
      </c>
      <c r="Q460" s="320"/>
      <c r="R460" s="168"/>
      <c r="S460" s="168"/>
      <c r="T460" s="287"/>
      <c r="U460" s="264"/>
      <c r="V460" s="198"/>
    </row>
    <row r="461" spans="1:22" s="90" customFormat="1" ht="19.5" hidden="1" customHeight="1">
      <c r="A461" s="137"/>
      <c r="B461" s="197">
        <f t="shared" si="8"/>
        <v>451</v>
      </c>
      <c r="C461" s="30" t="s">
        <v>206</v>
      </c>
      <c r="D461" s="30" t="s">
        <v>359</v>
      </c>
      <c r="E461" s="234" t="s">
        <v>920</v>
      </c>
      <c r="F461" s="235" t="s">
        <v>1272</v>
      </c>
      <c r="G461" s="284">
        <f>IFERROR(VLOOKUP(E461,Assign!$C$2:$J$142,8,FALSE),)</f>
        <v>0</v>
      </c>
      <c r="H461" s="236" t="s">
        <v>5004</v>
      </c>
      <c r="I461" s="236">
        <v>1</v>
      </c>
      <c r="J461" s="236">
        <v>2</v>
      </c>
      <c r="K461" s="355" t="s">
        <v>1373</v>
      </c>
      <c r="L461" s="356">
        <v>44187</v>
      </c>
      <c r="M461" s="357" t="s">
        <v>204</v>
      </c>
      <c r="N461" s="416">
        <v>3240000000</v>
      </c>
      <c r="O461" s="416">
        <v>3240000000</v>
      </c>
      <c r="P461" s="358" t="s">
        <v>1407</v>
      </c>
      <c r="Q461" s="320"/>
      <c r="R461" s="168"/>
      <c r="S461" s="168"/>
      <c r="T461" s="287"/>
      <c r="U461" s="264"/>
      <c r="V461" s="198"/>
    </row>
    <row r="462" spans="1:22" s="90" customFormat="1" ht="19.5" hidden="1" customHeight="1">
      <c r="A462" s="137"/>
      <c r="B462" s="197">
        <f t="shared" si="8"/>
        <v>452</v>
      </c>
      <c r="C462" s="30" t="s">
        <v>206</v>
      </c>
      <c r="D462" s="30" t="s">
        <v>359</v>
      </c>
      <c r="E462" s="234" t="s">
        <v>921</v>
      </c>
      <c r="F462" s="235" t="s">
        <v>1273</v>
      </c>
      <c r="G462" s="284">
        <f>IFERROR(VLOOKUP(E462,Assign!$C$2:$J$142,8,FALSE),)</f>
        <v>0</v>
      </c>
      <c r="H462" s="236" t="s">
        <v>4963</v>
      </c>
      <c r="I462" s="236">
        <v>1</v>
      </c>
      <c r="J462" s="236">
        <v>1</v>
      </c>
      <c r="K462" s="355" t="s">
        <v>1373</v>
      </c>
      <c r="L462" s="356">
        <v>44565</v>
      </c>
      <c r="M462" s="357" t="s">
        <v>204</v>
      </c>
      <c r="N462" s="416">
        <v>3840000000</v>
      </c>
      <c r="O462" s="416">
        <v>3840000000</v>
      </c>
      <c r="P462" s="358"/>
      <c r="Q462" s="320"/>
      <c r="R462" s="168"/>
      <c r="S462" s="168"/>
      <c r="T462" s="287"/>
      <c r="U462" s="264"/>
      <c r="V462" s="198"/>
    </row>
    <row r="463" spans="1:22" s="90" customFormat="1" ht="19.5" hidden="1" customHeight="1">
      <c r="A463" s="137"/>
      <c r="B463" s="197">
        <f t="shared" si="8"/>
        <v>453</v>
      </c>
      <c r="C463" s="30" t="s">
        <v>206</v>
      </c>
      <c r="D463" s="30" t="s">
        <v>359</v>
      </c>
      <c r="E463" s="234" t="s">
        <v>921</v>
      </c>
      <c r="F463" s="235" t="s">
        <v>1273</v>
      </c>
      <c r="G463" s="284">
        <f>IFERROR(VLOOKUP(E463,Assign!$C$2:$J$142,8,FALSE),)</f>
        <v>0</v>
      </c>
      <c r="H463" s="236" t="s">
        <v>4963</v>
      </c>
      <c r="I463" s="236">
        <v>1</v>
      </c>
      <c r="J463" s="236">
        <v>2</v>
      </c>
      <c r="K463" s="355" t="s">
        <v>3365</v>
      </c>
      <c r="L463" s="356">
        <v>45120</v>
      </c>
      <c r="M463" s="357" t="s">
        <v>204</v>
      </c>
      <c r="N463" s="416">
        <v>182000000</v>
      </c>
      <c r="O463" s="416">
        <v>182000000</v>
      </c>
      <c r="P463" s="358"/>
      <c r="Q463" s="320"/>
      <c r="R463" s="168"/>
      <c r="S463" s="168"/>
      <c r="T463" s="287"/>
      <c r="U463" s="264"/>
      <c r="V463" s="198"/>
    </row>
    <row r="464" spans="1:22" s="90" customFormat="1" ht="19.5" hidden="1" customHeight="1">
      <c r="A464" s="137"/>
      <c r="B464" s="197">
        <f t="shared" si="8"/>
        <v>454</v>
      </c>
      <c r="C464" s="30" t="s">
        <v>206</v>
      </c>
      <c r="D464" s="30" t="s">
        <v>359</v>
      </c>
      <c r="E464" s="234" t="s">
        <v>921</v>
      </c>
      <c r="F464" s="235" t="s">
        <v>1273</v>
      </c>
      <c r="G464" s="284">
        <f>IFERROR(VLOOKUP(E464,Assign!$C$2:$J$142,8,FALSE),)</f>
        <v>0</v>
      </c>
      <c r="H464" s="236" t="s">
        <v>4963</v>
      </c>
      <c r="I464" s="236">
        <v>1</v>
      </c>
      <c r="J464" s="236">
        <v>3</v>
      </c>
      <c r="K464" s="355" t="s">
        <v>3373</v>
      </c>
      <c r="L464" s="356">
        <v>45120</v>
      </c>
      <c r="M464" s="357" t="s">
        <v>204</v>
      </c>
      <c r="N464" s="416">
        <v>390000000</v>
      </c>
      <c r="O464" s="416">
        <v>390000000</v>
      </c>
      <c r="P464" s="358"/>
      <c r="Q464" s="320"/>
      <c r="R464" s="168"/>
      <c r="S464" s="168"/>
      <c r="T464" s="287"/>
      <c r="U464" s="264"/>
      <c r="V464" s="198"/>
    </row>
    <row r="465" spans="1:22" s="90" customFormat="1" ht="19.5" hidden="1" customHeight="1">
      <c r="A465" s="137"/>
      <c r="B465" s="197">
        <f t="shared" si="8"/>
        <v>455</v>
      </c>
      <c r="C465" s="30" t="s">
        <v>206</v>
      </c>
      <c r="D465" s="30" t="s">
        <v>359</v>
      </c>
      <c r="E465" s="234" t="s">
        <v>921</v>
      </c>
      <c r="F465" s="235" t="s">
        <v>1273</v>
      </c>
      <c r="G465" s="284">
        <f>IFERROR(VLOOKUP(E465,Assign!$C$2:$J$142,8,FALSE),)</f>
        <v>0</v>
      </c>
      <c r="H465" s="236" t="s">
        <v>4963</v>
      </c>
      <c r="I465" s="236">
        <v>1</v>
      </c>
      <c r="J465" s="236">
        <v>4</v>
      </c>
      <c r="K465" s="355" t="s">
        <v>3374</v>
      </c>
      <c r="L465" s="356">
        <v>45120</v>
      </c>
      <c r="M465" s="357" t="s">
        <v>204</v>
      </c>
      <c r="N465" s="416">
        <v>390000000</v>
      </c>
      <c r="O465" s="416">
        <v>390000000</v>
      </c>
      <c r="P465" s="358"/>
      <c r="Q465" s="320"/>
      <c r="R465" s="168"/>
      <c r="S465" s="168"/>
      <c r="T465" s="287"/>
      <c r="U465" s="264"/>
      <c r="V465" s="198"/>
    </row>
    <row r="466" spans="1:22" s="90" customFormat="1" ht="19.5" hidden="1" customHeight="1">
      <c r="A466" s="137"/>
      <c r="B466" s="197">
        <f t="shared" si="8"/>
        <v>456</v>
      </c>
      <c r="C466" s="30" t="s">
        <v>206</v>
      </c>
      <c r="D466" s="30" t="s">
        <v>359</v>
      </c>
      <c r="E466" s="234" t="s">
        <v>921</v>
      </c>
      <c r="F466" s="235" t="s">
        <v>1273</v>
      </c>
      <c r="G466" s="284">
        <f>IFERROR(VLOOKUP(E466,Assign!$C$2:$J$142,8,FALSE),)</f>
        <v>0</v>
      </c>
      <c r="H466" s="236" t="s">
        <v>4963</v>
      </c>
      <c r="I466" s="236">
        <v>1</v>
      </c>
      <c r="J466" s="236">
        <v>5</v>
      </c>
      <c r="K466" s="355" t="s">
        <v>3365</v>
      </c>
      <c r="L466" s="356">
        <v>45184</v>
      </c>
      <c r="M466" s="357" t="s">
        <v>204</v>
      </c>
      <c r="N466" s="416">
        <v>248400000</v>
      </c>
      <c r="O466" s="416">
        <v>248400000</v>
      </c>
      <c r="P466" s="358"/>
      <c r="Q466" s="320"/>
      <c r="R466" s="168"/>
      <c r="S466" s="168"/>
      <c r="T466" s="287"/>
      <c r="U466" s="264"/>
      <c r="V466" s="198"/>
    </row>
    <row r="467" spans="1:22" s="90" customFormat="1" ht="19.5" hidden="1" customHeight="1">
      <c r="A467" s="137"/>
      <c r="B467" s="197">
        <f t="shared" si="8"/>
        <v>457</v>
      </c>
      <c r="C467" s="30" t="s">
        <v>206</v>
      </c>
      <c r="D467" s="30" t="s">
        <v>359</v>
      </c>
      <c r="E467" s="234" t="s">
        <v>921</v>
      </c>
      <c r="F467" s="235" t="s">
        <v>1273</v>
      </c>
      <c r="G467" s="284">
        <f>IFERROR(VLOOKUP(E467,Assign!$C$2:$J$142,8,FALSE),)</f>
        <v>0</v>
      </c>
      <c r="H467" s="236" t="s">
        <v>4963</v>
      </c>
      <c r="I467" s="236">
        <v>1</v>
      </c>
      <c r="J467" s="236">
        <v>6</v>
      </c>
      <c r="K467" s="355" t="s">
        <v>1373</v>
      </c>
      <c r="L467" s="356">
        <v>45190</v>
      </c>
      <c r="M467" s="357" t="s">
        <v>204</v>
      </c>
      <c r="N467" s="416">
        <v>135600000</v>
      </c>
      <c r="O467" s="416">
        <v>135600000</v>
      </c>
      <c r="P467" s="358"/>
      <c r="Q467" s="320"/>
      <c r="R467" s="168"/>
      <c r="S467" s="168"/>
      <c r="T467" s="287"/>
      <c r="U467" s="264"/>
      <c r="V467" s="198"/>
    </row>
    <row r="468" spans="1:22" s="90" customFormat="1" ht="19.5" hidden="1" customHeight="1">
      <c r="A468" s="137"/>
      <c r="B468" s="197">
        <f t="shared" si="8"/>
        <v>458</v>
      </c>
      <c r="C468" s="30" t="s">
        <v>206</v>
      </c>
      <c r="D468" s="30" t="s">
        <v>359</v>
      </c>
      <c r="E468" s="234" t="s">
        <v>921</v>
      </c>
      <c r="F468" s="235" t="s">
        <v>1273</v>
      </c>
      <c r="G468" s="284">
        <f>IFERROR(VLOOKUP(E468,Assign!$C$2:$J$142,8,FALSE),)</f>
        <v>0</v>
      </c>
      <c r="H468" s="236" t="s">
        <v>4966</v>
      </c>
      <c r="I468" s="236">
        <v>2</v>
      </c>
      <c r="J468" s="236">
        <v>1</v>
      </c>
      <c r="K468" s="355" t="s">
        <v>421</v>
      </c>
      <c r="L468" s="356">
        <v>44663</v>
      </c>
      <c r="M468" s="357" t="s">
        <v>204</v>
      </c>
      <c r="N468" s="416">
        <v>360000000</v>
      </c>
      <c r="O468" s="416">
        <v>360000000</v>
      </c>
      <c r="P468" s="358"/>
      <c r="Q468" s="320"/>
      <c r="R468" s="168"/>
      <c r="S468" s="168"/>
      <c r="T468" s="287"/>
      <c r="U468" s="264"/>
      <c r="V468" s="198"/>
    </row>
    <row r="469" spans="1:22" s="90" customFormat="1" ht="19.5" hidden="1" customHeight="1">
      <c r="A469" s="137"/>
      <c r="B469" s="197">
        <f t="shared" si="8"/>
        <v>459</v>
      </c>
      <c r="C469" s="30" t="s">
        <v>206</v>
      </c>
      <c r="D469" s="30" t="s">
        <v>359</v>
      </c>
      <c r="E469" s="234" t="s">
        <v>921</v>
      </c>
      <c r="F469" s="235" t="s">
        <v>1273</v>
      </c>
      <c r="G469" s="284">
        <f>IFERROR(VLOOKUP(E469,Assign!$C$2:$J$142,8,FALSE),)</f>
        <v>0</v>
      </c>
      <c r="H469" s="236" t="s">
        <v>4966</v>
      </c>
      <c r="I469" s="236">
        <v>2</v>
      </c>
      <c r="J469" s="236">
        <v>2</v>
      </c>
      <c r="K469" s="355" t="s">
        <v>1373</v>
      </c>
      <c r="L469" s="356">
        <v>44796</v>
      </c>
      <c r="M469" s="357" t="s">
        <v>204</v>
      </c>
      <c r="N469" s="416">
        <v>360000000</v>
      </c>
      <c r="O469" s="416">
        <v>360000000</v>
      </c>
      <c r="P469" s="358"/>
      <c r="Q469" s="320"/>
      <c r="R469" s="168"/>
      <c r="S469" s="168"/>
      <c r="T469" s="287"/>
      <c r="U469" s="264"/>
      <c r="V469" s="198"/>
    </row>
    <row r="470" spans="1:22" s="90" customFormat="1" ht="19.5" hidden="1" customHeight="1">
      <c r="A470" s="137"/>
      <c r="B470" s="197">
        <f t="shared" si="8"/>
        <v>460</v>
      </c>
      <c r="C470" s="30" t="s">
        <v>206</v>
      </c>
      <c r="D470" s="30" t="s">
        <v>359</v>
      </c>
      <c r="E470" s="234" t="s">
        <v>922</v>
      </c>
      <c r="F470" s="235" t="s">
        <v>1324</v>
      </c>
      <c r="G470" s="284">
        <f>IFERROR(VLOOKUP(E470,Assign!$C$2:$J$142,8,FALSE),)</f>
        <v>0</v>
      </c>
      <c r="H470" s="236" t="s">
        <v>5182</v>
      </c>
      <c r="I470" s="236">
        <v>1</v>
      </c>
      <c r="J470" s="236">
        <v>1</v>
      </c>
      <c r="K470" s="355" t="s">
        <v>1373</v>
      </c>
      <c r="L470" s="356">
        <v>44102</v>
      </c>
      <c r="M470" s="357" t="s">
        <v>204</v>
      </c>
      <c r="N470" s="416">
        <v>1920000000</v>
      </c>
      <c r="O470" s="416">
        <v>1920000000</v>
      </c>
      <c r="P470" s="358"/>
      <c r="Q470" s="320"/>
      <c r="R470" s="168"/>
      <c r="S470" s="168"/>
      <c r="T470" s="287"/>
      <c r="U470" s="264"/>
      <c r="V470" s="198"/>
    </row>
    <row r="471" spans="1:22" s="90" customFormat="1" ht="19.5" hidden="1" customHeight="1">
      <c r="A471" s="137"/>
      <c r="B471" s="197">
        <f t="shared" si="8"/>
        <v>461</v>
      </c>
      <c r="C471" s="30" t="s">
        <v>206</v>
      </c>
      <c r="D471" s="30" t="s">
        <v>359</v>
      </c>
      <c r="E471" s="234" t="s">
        <v>922</v>
      </c>
      <c r="F471" s="235" t="s">
        <v>1324</v>
      </c>
      <c r="G471" s="284">
        <f>IFERROR(VLOOKUP(E471,Assign!$C$2:$J$142,8,FALSE),)</f>
        <v>0</v>
      </c>
      <c r="H471" s="236" t="s">
        <v>5185</v>
      </c>
      <c r="I471" s="236">
        <v>2</v>
      </c>
      <c r="J471" s="236">
        <v>1</v>
      </c>
      <c r="K471" s="355" t="s">
        <v>1373</v>
      </c>
      <c r="L471" s="356">
        <v>44133</v>
      </c>
      <c r="M471" s="357" t="s">
        <v>204</v>
      </c>
      <c r="N471" s="416">
        <v>678000000</v>
      </c>
      <c r="O471" s="416">
        <v>678000000</v>
      </c>
      <c r="P471" s="358"/>
      <c r="Q471" s="320"/>
      <c r="R471" s="168"/>
      <c r="S471" s="168"/>
      <c r="T471" s="287"/>
      <c r="U471" s="264"/>
      <c r="V471" s="198"/>
    </row>
    <row r="472" spans="1:22" s="90" customFormat="1" ht="19.5" hidden="1" customHeight="1">
      <c r="A472" s="137"/>
      <c r="B472" s="197">
        <f t="shared" si="8"/>
        <v>462</v>
      </c>
      <c r="C472" s="30" t="s">
        <v>206</v>
      </c>
      <c r="D472" s="30" t="s">
        <v>359</v>
      </c>
      <c r="E472" s="234" t="s">
        <v>923</v>
      </c>
      <c r="F472" s="235" t="s">
        <v>1325</v>
      </c>
      <c r="G472" s="284">
        <f>IFERROR(VLOOKUP(E472,Assign!$C$2:$J$142,8,FALSE),)</f>
        <v>0</v>
      </c>
      <c r="H472" s="236" t="s">
        <v>5040</v>
      </c>
      <c r="I472" s="236">
        <v>1</v>
      </c>
      <c r="J472" s="236">
        <v>1</v>
      </c>
      <c r="K472" s="355" t="s">
        <v>1373</v>
      </c>
      <c r="L472" s="356">
        <v>44076</v>
      </c>
      <c r="M472" s="357" t="s">
        <v>204</v>
      </c>
      <c r="N472" s="416">
        <v>816000000</v>
      </c>
      <c r="O472" s="416">
        <v>816000000</v>
      </c>
      <c r="P472" s="358"/>
      <c r="Q472" s="320"/>
      <c r="R472" s="168"/>
      <c r="S472" s="168"/>
      <c r="T472" s="287"/>
      <c r="U472" s="264"/>
      <c r="V472" s="198"/>
    </row>
    <row r="473" spans="1:22" s="90" customFormat="1" ht="19.5" hidden="1" customHeight="1">
      <c r="A473" s="137"/>
      <c r="B473" s="197">
        <f t="shared" si="8"/>
        <v>463</v>
      </c>
      <c r="C473" s="30" t="s">
        <v>206</v>
      </c>
      <c r="D473" s="30" t="s">
        <v>359</v>
      </c>
      <c r="E473" s="234" t="s">
        <v>923</v>
      </c>
      <c r="F473" s="235" t="s">
        <v>1325</v>
      </c>
      <c r="G473" s="284">
        <f>IFERROR(VLOOKUP(E473,Assign!$C$2:$J$142,8,FALSE),)</f>
        <v>0</v>
      </c>
      <c r="H473" s="236" t="s">
        <v>5040</v>
      </c>
      <c r="I473" s="236">
        <v>1</v>
      </c>
      <c r="J473" s="236">
        <v>2</v>
      </c>
      <c r="K473" s="355" t="s">
        <v>489</v>
      </c>
      <c r="L473" s="356">
        <v>44307</v>
      </c>
      <c r="M473" s="357" t="s">
        <v>204</v>
      </c>
      <c r="N473" s="416">
        <v>240000000</v>
      </c>
      <c r="O473" s="416">
        <v>240000000</v>
      </c>
      <c r="P473" s="358"/>
      <c r="Q473" s="320"/>
      <c r="R473" s="168"/>
      <c r="S473" s="168"/>
      <c r="T473" s="287"/>
      <c r="U473" s="264"/>
      <c r="V473" s="198"/>
    </row>
    <row r="474" spans="1:22" s="90" customFormat="1" ht="19.5" hidden="1" customHeight="1">
      <c r="A474" s="137"/>
      <c r="B474" s="197">
        <f t="shared" si="8"/>
        <v>464</v>
      </c>
      <c r="C474" s="30" t="s">
        <v>206</v>
      </c>
      <c r="D474" s="30" t="s">
        <v>359</v>
      </c>
      <c r="E474" s="234" t="s">
        <v>923</v>
      </c>
      <c r="F474" s="235" t="s">
        <v>1325</v>
      </c>
      <c r="G474" s="284">
        <f>IFERROR(VLOOKUP(E474,Assign!$C$2:$J$142,8,FALSE),)</f>
        <v>0</v>
      </c>
      <c r="H474" s="236" t="s">
        <v>5040</v>
      </c>
      <c r="I474" s="236">
        <v>1</v>
      </c>
      <c r="J474" s="236">
        <v>3</v>
      </c>
      <c r="K474" s="355" t="s">
        <v>1373</v>
      </c>
      <c r="L474" s="356">
        <v>45400</v>
      </c>
      <c r="M474" s="357" t="s">
        <v>204</v>
      </c>
      <c r="N474" s="416">
        <v>120000000</v>
      </c>
      <c r="O474" s="416">
        <v>120000000</v>
      </c>
      <c r="P474" s="358"/>
      <c r="Q474" s="320">
        <v>2</v>
      </c>
      <c r="R474" s="168"/>
      <c r="S474" s="168"/>
      <c r="T474" s="287"/>
      <c r="U474" s="264"/>
      <c r="V474" s="198"/>
    </row>
    <row r="475" spans="1:22" s="90" customFormat="1" ht="19.5" hidden="1" customHeight="1">
      <c r="A475" s="137"/>
      <c r="B475" s="197">
        <f t="shared" si="8"/>
        <v>465</v>
      </c>
      <c r="C475" s="30" t="s">
        <v>206</v>
      </c>
      <c r="D475" s="30" t="s">
        <v>359</v>
      </c>
      <c r="E475" s="234" t="s">
        <v>923</v>
      </c>
      <c r="F475" s="235" t="s">
        <v>1325</v>
      </c>
      <c r="G475" s="284">
        <f>IFERROR(VLOOKUP(E475,Assign!$C$2:$J$142,8,FALSE),)</f>
        <v>0</v>
      </c>
      <c r="H475" s="236" t="s">
        <v>5042</v>
      </c>
      <c r="I475" s="236">
        <v>2</v>
      </c>
      <c r="J475" s="236">
        <v>1</v>
      </c>
      <c r="K475" s="355" t="s">
        <v>487</v>
      </c>
      <c r="L475" s="356">
        <v>43124</v>
      </c>
      <c r="M475" s="357" t="s">
        <v>204</v>
      </c>
      <c r="N475" s="416">
        <v>495000000</v>
      </c>
      <c r="O475" s="416">
        <v>495000000</v>
      </c>
      <c r="P475" s="358"/>
      <c r="Q475" s="320"/>
      <c r="R475" s="168"/>
      <c r="S475" s="168"/>
      <c r="T475" s="287"/>
      <c r="U475" s="264"/>
      <c r="V475" s="198"/>
    </row>
    <row r="476" spans="1:22" s="90" customFormat="1" ht="19.5" hidden="1" customHeight="1">
      <c r="A476" s="137"/>
      <c r="B476" s="197">
        <f t="shared" si="8"/>
        <v>466</v>
      </c>
      <c r="C476" s="30" t="s">
        <v>206</v>
      </c>
      <c r="D476" s="30" t="s">
        <v>359</v>
      </c>
      <c r="E476" s="234" t="s">
        <v>923</v>
      </c>
      <c r="F476" s="235" t="s">
        <v>1325</v>
      </c>
      <c r="G476" s="284">
        <f>IFERROR(VLOOKUP(E476,Assign!$C$2:$J$142,8,FALSE),)</f>
        <v>0</v>
      </c>
      <c r="H476" s="236" t="s">
        <v>5042</v>
      </c>
      <c r="I476" s="236">
        <v>2</v>
      </c>
      <c r="J476" s="236">
        <v>2</v>
      </c>
      <c r="K476" s="355" t="s">
        <v>1373</v>
      </c>
      <c r="L476" s="356">
        <v>43364</v>
      </c>
      <c r="M476" s="357" t="s">
        <v>204</v>
      </c>
      <c r="N476" s="416">
        <v>100000000</v>
      </c>
      <c r="O476" s="416">
        <v>100000000</v>
      </c>
      <c r="P476" s="358"/>
      <c r="Q476" s="320"/>
      <c r="R476" s="168"/>
      <c r="S476" s="168"/>
      <c r="T476" s="287"/>
      <c r="U476" s="264"/>
      <c r="V476" s="198"/>
    </row>
    <row r="477" spans="1:22" s="90" customFormat="1" ht="19.5" hidden="1" customHeight="1">
      <c r="A477" s="137"/>
      <c r="B477" s="197">
        <f t="shared" si="8"/>
        <v>467</v>
      </c>
      <c r="C477" s="30" t="s">
        <v>206</v>
      </c>
      <c r="D477" s="30" t="s">
        <v>359</v>
      </c>
      <c r="E477" s="234" t="s">
        <v>923</v>
      </c>
      <c r="F477" s="235" t="s">
        <v>1325</v>
      </c>
      <c r="G477" s="284">
        <f>IFERROR(VLOOKUP(E477,Assign!$C$2:$J$142,8,FALSE),)</f>
        <v>0</v>
      </c>
      <c r="H477" s="236" t="s">
        <v>5042</v>
      </c>
      <c r="I477" s="236">
        <v>2</v>
      </c>
      <c r="J477" s="236">
        <v>3</v>
      </c>
      <c r="K477" s="355" t="s">
        <v>489</v>
      </c>
      <c r="L477" s="356">
        <v>44302</v>
      </c>
      <c r="M477" s="357" t="s">
        <v>204</v>
      </c>
      <c r="N477" s="416">
        <v>120000000</v>
      </c>
      <c r="O477" s="416">
        <v>120000000</v>
      </c>
      <c r="P477" s="358"/>
      <c r="Q477" s="320"/>
      <c r="R477" s="168"/>
      <c r="S477" s="168"/>
      <c r="T477" s="287"/>
      <c r="U477" s="264"/>
      <c r="V477" s="198"/>
    </row>
    <row r="478" spans="1:22" s="90" customFormat="1" ht="19.5" hidden="1" customHeight="1">
      <c r="A478" s="137"/>
      <c r="B478" s="197">
        <f t="shared" si="8"/>
        <v>468</v>
      </c>
      <c r="C478" s="30" t="s">
        <v>206</v>
      </c>
      <c r="D478" s="30" t="s">
        <v>359</v>
      </c>
      <c r="E478" s="234" t="s">
        <v>923</v>
      </c>
      <c r="F478" s="235" t="s">
        <v>1325</v>
      </c>
      <c r="G478" s="284">
        <f>IFERROR(VLOOKUP(E478,Assign!$C$2:$J$142,8,FALSE),)</f>
        <v>0</v>
      </c>
      <c r="H478" s="236" t="s">
        <v>5042</v>
      </c>
      <c r="I478" s="236">
        <v>2</v>
      </c>
      <c r="J478" s="236">
        <v>4</v>
      </c>
      <c r="K478" s="355" t="s">
        <v>489</v>
      </c>
      <c r="L478" s="356">
        <v>44386</v>
      </c>
      <c r="M478" s="357" t="s">
        <v>204</v>
      </c>
      <c r="N478" s="416">
        <v>120000000</v>
      </c>
      <c r="O478" s="416">
        <v>120000000</v>
      </c>
      <c r="P478" s="358"/>
      <c r="Q478" s="320"/>
      <c r="R478" s="168"/>
      <c r="S478" s="168"/>
      <c r="T478" s="287"/>
      <c r="U478" s="264"/>
      <c r="V478" s="198"/>
    </row>
    <row r="479" spans="1:22" s="90" customFormat="1" ht="19.5" hidden="1" customHeight="1">
      <c r="A479" s="137"/>
      <c r="B479" s="197">
        <f t="shared" si="8"/>
        <v>469</v>
      </c>
      <c r="C479" s="30" t="s">
        <v>206</v>
      </c>
      <c r="D479" s="30" t="s">
        <v>359</v>
      </c>
      <c r="E479" s="234" t="s">
        <v>923</v>
      </c>
      <c r="F479" s="235" t="s">
        <v>1325</v>
      </c>
      <c r="G479" s="284">
        <f>IFERROR(VLOOKUP(E479,Assign!$C$2:$J$142,8,FALSE),)</f>
        <v>0</v>
      </c>
      <c r="H479" s="236" t="s">
        <v>5042</v>
      </c>
      <c r="I479" s="236">
        <v>2</v>
      </c>
      <c r="J479" s="236">
        <v>5</v>
      </c>
      <c r="K479" s="355" t="s">
        <v>487</v>
      </c>
      <c r="L479" s="356">
        <v>44719</v>
      </c>
      <c r="M479" s="357" t="s">
        <v>204</v>
      </c>
      <c r="N479" s="416">
        <v>38400000</v>
      </c>
      <c r="O479" s="416">
        <v>38400000</v>
      </c>
      <c r="P479" s="358"/>
      <c r="Q479" s="320"/>
      <c r="R479" s="168"/>
      <c r="S479" s="168"/>
      <c r="T479" s="287"/>
      <c r="U479" s="264"/>
      <c r="V479" s="198"/>
    </row>
    <row r="480" spans="1:22" s="90" customFormat="1" ht="19.5" hidden="1" customHeight="1">
      <c r="A480" s="137"/>
      <c r="B480" s="197">
        <f t="shared" si="8"/>
        <v>470</v>
      </c>
      <c r="C480" s="30" t="s">
        <v>206</v>
      </c>
      <c r="D480" s="30" t="s">
        <v>359</v>
      </c>
      <c r="E480" s="234" t="s">
        <v>923</v>
      </c>
      <c r="F480" s="235" t="s">
        <v>1325</v>
      </c>
      <c r="G480" s="284">
        <f>IFERROR(VLOOKUP(E480,Assign!$C$2:$J$142,8,FALSE),)</f>
        <v>0</v>
      </c>
      <c r="H480" s="236" t="s">
        <v>5042</v>
      </c>
      <c r="I480" s="236">
        <v>2</v>
      </c>
      <c r="J480" s="236">
        <v>6</v>
      </c>
      <c r="K480" s="355" t="s">
        <v>1373</v>
      </c>
      <c r="L480" s="356">
        <v>45400</v>
      </c>
      <c r="M480" s="357" t="s">
        <v>204</v>
      </c>
      <c r="N480" s="416">
        <v>120000000</v>
      </c>
      <c r="O480" s="416">
        <v>120000000</v>
      </c>
      <c r="P480" s="358"/>
      <c r="Q480" s="320">
        <v>1</v>
      </c>
      <c r="R480" s="168"/>
      <c r="S480" s="168"/>
      <c r="T480" s="287"/>
      <c r="U480" s="264"/>
      <c r="V480" s="198"/>
    </row>
    <row r="481" spans="1:22" s="90" customFormat="1" ht="19.5" hidden="1" customHeight="1">
      <c r="A481" s="137"/>
      <c r="B481" s="197">
        <f t="shared" si="8"/>
        <v>471</v>
      </c>
      <c r="C481" s="30" t="s">
        <v>206</v>
      </c>
      <c r="D481" s="30" t="s">
        <v>359</v>
      </c>
      <c r="E481" s="234" t="s">
        <v>923</v>
      </c>
      <c r="F481" s="235" t="s">
        <v>1325</v>
      </c>
      <c r="G481" s="284">
        <f>IFERROR(VLOOKUP(E481,Assign!$C$2:$J$142,8,FALSE),)</f>
        <v>0</v>
      </c>
      <c r="H481" s="236" t="s">
        <v>5044</v>
      </c>
      <c r="I481" s="236">
        <v>3</v>
      </c>
      <c r="J481" s="236">
        <v>1</v>
      </c>
      <c r="K481" s="355" t="s">
        <v>488</v>
      </c>
      <c r="L481" s="356">
        <v>42626</v>
      </c>
      <c r="M481" s="357" t="s">
        <v>204</v>
      </c>
      <c r="N481" s="416">
        <v>110770000</v>
      </c>
      <c r="O481" s="416">
        <v>110770000</v>
      </c>
      <c r="P481" s="358"/>
      <c r="Q481" s="320"/>
      <c r="R481" s="168"/>
      <c r="S481" s="168"/>
      <c r="T481" s="287"/>
      <c r="U481" s="264"/>
      <c r="V481" s="198"/>
    </row>
    <row r="482" spans="1:22" s="90" customFormat="1" ht="19.5" hidden="1" customHeight="1">
      <c r="A482" s="137"/>
      <c r="B482" s="197">
        <f t="shared" si="8"/>
        <v>472</v>
      </c>
      <c r="C482" s="30" t="s">
        <v>206</v>
      </c>
      <c r="D482" s="30" t="s">
        <v>359</v>
      </c>
      <c r="E482" s="234" t="s">
        <v>923</v>
      </c>
      <c r="F482" s="235" t="s">
        <v>1325</v>
      </c>
      <c r="G482" s="284">
        <f>IFERROR(VLOOKUP(E482,Assign!$C$2:$J$142,8,FALSE),)</f>
        <v>0</v>
      </c>
      <c r="H482" s="236" t="s">
        <v>5044</v>
      </c>
      <c r="I482" s="236">
        <v>3</v>
      </c>
      <c r="J482" s="236">
        <v>2</v>
      </c>
      <c r="K482" s="355" t="s">
        <v>1373</v>
      </c>
      <c r="L482" s="356">
        <v>43364</v>
      </c>
      <c r="M482" s="357" t="s">
        <v>204</v>
      </c>
      <c r="N482" s="416">
        <v>100000000</v>
      </c>
      <c r="O482" s="416">
        <v>100000000</v>
      </c>
      <c r="P482" s="358"/>
      <c r="Q482" s="320"/>
      <c r="R482" s="168"/>
      <c r="S482" s="168"/>
      <c r="T482" s="287"/>
      <c r="U482" s="264"/>
      <c r="V482" s="198"/>
    </row>
    <row r="483" spans="1:22" s="90" customFormat="1" ht="19.5" customHeight="1">
      <c r="A483" s="137"/>
      <c r="B483" s="197">
        <f t="shared" si="8"/>
        <v>473</v>
      </c>
      <c r="C483" s="30" t="s">
        <v>206</v>
      </c>
      <c r="D483" s="30" t="s">
        <v>359</v>
      </c>
      <c r="E483" s="234" t="s">
        <v>924</v>
      </c>
      <c r="F483" s="235" t="s">
        <v>1247</v>
      </c>
      <c r="G483" s="284" t="str">
        <f>IFERROR(VLOOKUP(E483,Assign!$C$2:$J$142,8,FALSE),)</f>
        <v>문선영</v>
      </c>
      <c r="H483" s="236" t="s">
        <v>4048</v>
      </c>
      <c r="I483" s="236">
        <v>1</v>
      </c>
      <c r="J483" s="236">
        <v>1</v>
      </c>
      <c r="K483" s="355" t="s">
        <v>1373</v>
      </c>
      <c r="L483" s="356">
        <v>41051</v>
      </c>
      <c r="M483" s="357" t="s">
        <v>204</v>
      </c>
      <c r="N483" s="416">
        <v>624000000</v>
      </c>
      <c r="O483" s="416">
        <v>624000000</v>
      </c>
      <c r="P483" s="358"/>
      <c r="Q483" s="320"/>
      <c r="R483" s="168"/>
      <c r="S483" s="168"/>
      <c r="T483" s="287"/>
      <c r="U483" s="264"/>
      <c r="V483" s="198"/>
    </row>
    <row r="484" spans="1:22" s="90" customFormat="1" ht="19.5" customHeight="1">
      <c r="A484" s="137"/>
      <c r="B484" s="197">
        <f t="shared" si="8"/>
        <v>474</v>
      </c>
      <c r="C484" s="30" t="s">
        <v>206</v>
      </c>
      <c r="D484" s="30" t="s">
        <v>359</v>
      </c>
      <c r="E484" s="234" t="s">
        <v>924</v>
      </c>
      <c r="F484" s="235" t="s">
        <v>1247</v>
      </c>
      <c r="G484" s="284" t="str">
        <f>IFERROR(VLOOKUP(E484,Assign!$C$2:$J$142,8,FALSE),)</f>
        <v>문선영</v>
      </c>
      <c r="H484" s="236" t="s">
        <v>4048</v>
      </c>
      <c r="I484" s="236">
        <v>1</v>
      </c>
      <c r="J484" s="236">
        <v>2</v>
      </c>
      <c r="K484" s="355" t="s">
        <v>1373</v>
      </c>
      <c r="L484" s="356">
        <v>42865</v>
      </c>
      <c r="M484" s="357" t="s">
        <v>204</v>
      </c>
      <c r="N484" s="416">
        <v>540000000</v>
      </c>
      <c r="O484" s="416">
        <v>540000000</v>
      </c>
      <c r="P484" s="358"/>
      <c r="Q484" s="320"/>
      <c r="R484" s="168"/>
      <c r="S484" s="168"/>
      <c r="T484" s="287"/>
      <c r="U484" s="264"/>
      <c r="V484" s="198"/>
    </row>
    <row r="485" spans="1:22" s="90" customFormat="1" ht="19.5" hidden="1" customHeight="1">
      <c r="A485" s="137"/>
      <c r="B485" s="197">
        <f t="shared" si="8"/>
        <v>475</v>
      </c>
      <c r="C485" s="30" t="s">
        <v>206</v>
      </c>
      <c r="D485" s="30" t="s">
        <v>359</v>
      </c>
      <c r="E485" s="234" t="s">
        <v>925</v>
      </c>
      <c r="F485" s="235" t="s">
        <v>1326</v>
      </c>
      <c r="G485" s="284">
        <f>IFERROR(VLOOKUP(E485,Assign!$C$2:$J$142,8,FALSE),)</f>
        <v>0</v>
      </c>
      <c r="H485" s="236" t="s">
        <v>5394</v>
      </c>
      <c r="I485" s="236">
        <v>1</v>
      </c>
      <c r="J485" s="236">
        <v>1</v>
      </c>
      <c r="K485" s="355" t="s">
        <v>1373</v>
      </c>
      <c r="L485" s="356">
        <v>44687</v>
      </c>
      <c r="M485" s="357" t="s">
        <v>204</v>
      </c>
      <c r="N485" s="416">
        <v>360000000</v>
      </c>
      <c r="O485" s="416">
        <v>360000000</v>
      </c>
      <c r="P485" s="358"/>
      <c r="Q485" s="320"/>
      <c r="R485" s="168"/>
      <c r="S485" s="168"/>
      <c r="T485" s="287"/>
      <c r="U485" s="264"/>
      <c r="V485" s="198"/>
    </row>
    <row r="486" spans="1:22" s="90" customFormat="1" ht="19.5" customHeight="1">
      <c r="A486" s="137"/>
      <c r="B486" s="197">
        <f t="shared" si="8"/>
        <v>476</v>
      </c>
      <c r="C486" s="30" t="s">
        <v>206</v>
      </c>
      <c r="D486" s="30" t="s">
        <v>359</v>
      </c>
      <c r="E486" s="234" t="s">
        <v>926</v>
      </c>
      <c r="F486" s="235" t="s">
        <v>1225</v>
      </c>
      <c r="G486" s="284" t="str">
        <f>IFERROR(VLOOKUP(E486,Assign!$C$2:$J$142,8,FALSE),)</f>
        <v>문선영</v>
      </c>
      <c r="H486" s="236" t="s">
        <v>5557</v>
      </c>
      <c r="I486" s="236">
        <v>1</v>
      </c>
      <c r="J486" s="236">
        <v>1</v>
      </c>
      <c r="K486" s="355" t="s">
        <v>1373</v>
      </c>
      <c r="L486" s="356">
        <v>42720</v>
      </c>
      <c r="M486" s="357" t="s">
        <v>204</v>
      </c>
      <c r="N486" s="416">
        <v>276000000</v>
      </c>
      <c r="O486" s="416">
        <v>276000000</v>
      </c>
      <c r="P486" s="358"/>
      <c r="Q486" s="320"/>
      <c r="R486" s="168"/>
      <c r="S486" s="168"/>
      <c r="T486" s="287"/>
      <c r="U486" s="264"/>
      <c r="V486" s="198"/>
    </row>
    <row r="487" spans="1:22" s="90" customFormat="1" ht="19.5" hidden="1" customHeight="1">
      <c r="A487" s="137"/>
      <c r="B487" s="197">
        <f t="shared" si="8"/>
        <v>477</v>
      </c>
      <c r="C487" s="30" t="s">
        <v>206</v>
      </c>
      <c r="D487" s="30" t="s">
        <v>359</v>
      </c>
      <c r="E487" s="234" t="s">
        <v>927</v>
      </c>
      <c r="F487" s="235" t="s">
        <v>1232</v>
      </c>
      <c r="G487" s="284">
        <f>IFERROR(VLOOKUP(E487,Assign!$C$2:$J$142,8,FALSE),)</f>
        <v>0</v>
      </c>
      <c r="H487" s="236" t="s">
        <v>5555</v>
      </c>
      <c r="I487" s="236">
        <v>1</v>
      </c>
      <c r="J487" s="236">
        <v>1</v>
      </c>
      <c r="K487" s="355" t="s">
        <v>1373</v>
      </c>
      <c r="L487" s="356">
        <v>43740</v>
      </c>
      <c r="M487" s="357" t="s">
        <v>204</v>
      </c>
      <c r="N487" s="416">
        <v>234400000</v>
      </c>
      <c r="O487" s="416">
        <v>234400000</v>
      </c>
      <c r="P487" s="358"/>
      <c r="Q487" s="320"/>
      <c r="R487" s="168"/>
      <c r="S487" s="168"/>
      <c r="T487" s="287"/>
      <c r="U487" s="264"/>
      <c r="V487" s="198"/>
    </row>
    <row r="488" spans="1:22" s="90" customFormat="1" ht="19.5" customHeight="1">
      <c r="A488" s="137"/>
      <c r="B488" s="197">
        <f>ROW()-10</f>
        <v>478</v>
      </c>
      <c r="C488" s="30" t="s">
        <v>206</v>
      </c>
      <c r="D488" s="30" t="s">
        <v>359</v>
      </c>
      <c r="E488" s="234" t="s">
        <v>7148</v>
      </c>
      <c r="F488" s="235" t="s">
        <v>7149</v>
      </c>
      <c r="G488" s="284" t="str">
        <f>IFERROR(VLOOKUP(E488,Assign!$C$2:$J$142,8,FALSE),)</f>
        <v>문선영</v>
      </c>
      <c r="H488" s="236" t="s">
        <v>5582</v>
      </c>
      <c r="I488" s="236">
        <v>1</v>
      </c>
      <c r="J488" s="236">
        <v>1</v>
      </c>
      <c r="K488" s="355" t="s">
        <v>1373</v>
      </c>
      <c r="L488" s="356">
        <v>44369</v>
      </c>
      <c r="M488" s="357" t="s">
        <v>204</v>
      </c>
      <c r="N488" s="416">
        <v>480000000</v>
      </c>
      <c r="O488" s="416">
        <v>480000000</v>
      </c>
      <c r="P488" s="358"/>
      <c r="Q488" s="320"/>
      <c r="R488" s="168"/>
      <c r="S488" s="168"/>
      <c r="T488" s="287"/>
      <c r="U488" s="264"/>
      <c r="V488" s="198"/>
    </row>
    <row r="489" spans="1:22" s="90" customFormat="1" ht="19.5" customHeight="1">
      <c r="A489" s="137"/>
      <c r="B489" s="197">
        <f>ROW()-10</f>
        <v>479</v>
      </c>
      <c r="C489" s="30" t="s">
        <v>206</v>
      </c>
      <c r="D489" s="30" t="s">
        <v>359</v>
      </c>
      <c r="E489" s="234" t="s">
        <v>7148</v>
      </c>
      <c r="F489" s="235" t="s">
        <v>7149</v>
      </c>
      <c r="G489" s="284" t="str">
        <f>IFERROR(VLOOKUP(E489,Assign!$C$2:$J$142,8,FALSE),)</f>
        <v>문선영</v>
      </c>
      <c r="H489" s="236" t="s">
        <v>5582</v>
      </c>
      <c r="I489" s="236">
        <v>1</v>
      </c>
      <c r="J489" s="236">
        <v>2</v>
      </c>
      <c r="K489" s="355" t="s">
        <v>1373</v>
      </c>
      <c r="L489" s="356">
        <v>45467</v>
      </c>
      <c r="M489" s="357" t="s">
        <v>204</v>
      </c>
      <c r="N489" s="416">
        <v>144000000</v>
      </c>
      <c r="O489" s="416">
        <v>144000000</v>
      </c>
      <c r="P489" s="358"/>
      <c r="Q489" s="320"/>
      <c r="R489" s="168"/>
      <c r="S489" s="168"/>
      <c r="T489" s="287"/>
      <c r="U489" s="264"/>
      <c r="V489" s="198"/>
    </row>
    <row r="490" spans="1:22" s="90" customFormat="1" ht="19.5" customHeight="1">
      <c r="A490" s="137"/>
      <c r="B490" s="197">
        <f>ROW()-10</f>
        <v>480</v>
      </c>
      <c r="C490" s="30" t="s">
        <v>206</v>
      </c>
      <c r="D490" s="30" t="s">
        <v>359</v>
      </c>
      <c r="E490" s="234" t="s">
        <v>7148</v>
      </c>
      <c r="F490" s="235" t="s">
        <v>7149</v>
      </c>
      <c r="G490" s="284" t="str">
        <f>IFERROR(VLOOKUP(E490,Assign!$C$2:$J$142,8,FALSE),)</f>
        <v>문선영</v>
      </c>
      <c r="H490" s="236" t="s">
        <v>5584</v>
      </c>
      <c r="I490" s="236">
        <v>2</v>
      </c>
      <c r="J490" s="236">
        <v>1</v>
      </c>
      <c r="K490" s="355" t="s">
        <v>486</v>
      </c>
      <c r="L490" s="356">
        <v>44369</v>
      </c>
      <c r="M490" s="357" t="s">
        <v>204</v>
      </c>
      <c r="N490" s="416">
        <v>99000000</v>
      </c>
      <c r="O490" s="416">
        <v>99000000</v>
      </c>
      <c r="P490" s="358"/>
      <c r="Q490" s="320"/>
      <c r="R490" s="168"/>
      <c r="S490" s="168"/>
      <c r="T490" s="287"/>
      <c r="U490" s="264"/>
      <c r="V490" s="198"/>
    </row>
    <row r="491" spans="1:22" s="90" customFormat="1" ht="19.5" customHeight="1">
      <c r="A491" s="137"/>
      <c r="B491" s="197">
        <f>ROW()-10</f>
        <v>481</v>
      </c>
      <c r="C491" s="30" t="s">
        <v>206</v>
      </c>
      <c r="D491" s="30" t="s">
        <v>359</v>
      </c>
      <c r="E491" s="234" t="s">
        <v>7148</v>
      </c>
      <c r="F491" s="235" t="s">
        <v>7149</v>
      </c>
      <c r="G491" s="284" t="str">
        <f>IFERROR(VLOOKUP(E491,Assign!$C$2:$J$142,8,FALSE),)</f>
        <v>문선영</v>
      </c>
      <c r="H491" s="236" t="s">
        <v>5584</v>
      </c>
      <c r="I491" s="236">
        <v>2</v>
      </c>
      <c r="J491" s="236">
        <v>2</v>
      </c>
      <c r="K491" s="355" t="s">
        <v>1373</v>
      </c>
      <c r="L491" s="356">
        <v>44369</v>
      </c>
      <c r="M491" s="357" t="s">
        <v>204</v>
      </c>
      <c r="N491" s="416">
        <v>480000000</v>
      </c>
      <c r="O491" s="416">
        <v>480000000</v>
      </c>
      <c r="P491" s="358"/>
      <c r="Q491" s="320"/>
      <c r="R491" s="168"/>
      <c r="S491" s="168"/>
      <c r="T491" s="287"/>
      <c r="U491" s="264"/>
      <c r="V491" s="198"/>
    </row>
    <row r="492" spans="1:22" s="90" customFormat="1" ht="19.5" hidden="1" customHeight="1">
      <c r="A492" s="137"/>
      <c r="B492" s="197">
        <f t="shared" si="8"/>
        <v>482</v>
      </c>
      <c r="C492" s="30" t="s">
        <v>202</v>
      </c>
      <c r="D492" s="30" t="s">
        <v>225</v>
      </c>
      <c r="E492" s="234" t="s">
        <v>928</v>
      </c>
      <c r="F492" s="235" t="s">
        <v>1327</v>
      </c>
      <c r="G492" s="284">
        <f>IFERROR(VLOOKUP(E492,Assign!$C$2:$J$142,8,FALSE),)</f>
        <v>0</v>
      </c>
      <c r="H492" s="236" t="s">
        <v>5436</v>
      </c>
      <c r="I492" s="236">
        <v>1</v>
      </c>
      <c r="J492" s="236" t="s">
        <v>418</v>
      </c>
      <c r="K492" s="355" t="s">
        <v>1373</v>
      </c>
      <c r="L492" s="356">
        <v>45260</v>
      </c>
      <c r="M492" s="357" t="s">
        <v>204</v>
      </c>
      <c r="N492" s="416">
        <v>10800000000</v>
      </c>
      <c r="O492" s="416">
        <v>10800000000</v>
      </c>
      <c r="P492" s="358"/>
      <c r="Q492" s="320"/>
      <c r="R492" s="168"/>
      <c r="S492" s="168"/>
      <c r="T492" s="287"/>
      <c r="U492" s="264"/>
      <c r="V492" s="198"/>
    </row>
    <row r="493" spans="1:22" s="90" customFormat="1" ht="19.5" hidden="1" customHeight="1">
      <c r="A493" s="137"/>
      <c r="B493" s="197">
        <f t="shared" si="8"/>
        <v>483</v>
      </c>
      <c r="C493" s="30" t="s">
        <v>202</v>
      </c>
      <c r="D493" s="30" t="s">
        <v>225</v>
      </c>
      <c r="E493" s="234" t="s">
        <v>928</v>
      </c>
      <c r="F493" s="235" t="s">
        <v>1327</v>
      </c>
      <c r="G493" s="284">
        <f>IFERROR(VLOOKUP(E493,Assign!$C$2:$J$142,8,FALSE),)</f>
        <v>0</v>
      </c>
      <c r="H493" s="236" t="s">
        <v>5436</v>
      </c>
      <c r="I493" s="236">
        <v>1</v>
      </c>
      <c r="J493" s="236" t="s">
        <v>418</v>
      </c>
      <c r="K493" s="355" t="s">
        <v>1383</v>
      </c>
      <c r="L493" s="356">
        <v>45260</v>
      </c>
      <c r="M493" s="357" t="s">
        <v>204</v>
      </c>
      <c r="N493" s="416">
        <v>8400000000</v>
      </c>
      <c r="O493" s="416">
        <v>8400000000</v>
      </c>
      <c r="P493" s="358"/>
      <c r="Q493" s="320"/>
      <c r="R493" s="168"/>
      <c r="S493" s="168"/>
      <c r="T493" s="287"/>
      <c r="U493" s="264"/>
      <c r="V493" s="198"/>
    </row>
    <row r="494" spans="1:22" s="90" customFormat="1" ht="19.5" hidden="1" customHeight="1">
      <c r="A494" s="137"/>
      <c r="B494" s="197">
        <f t="shared" si="8"/>
        <v>484</v>
      </c>
      <c r="C494" s="30" t="s">
        <v>202</v>
      </c>
      <c r="D494" s="30" t="s">
        <v>225</v>
      </c>
      <c r="E494" s="234" t="s">
        <v>928</v>
      </c>
      <c r="F494" s="235" t="s">
        <v>1327</v>
      </c>
      <c r="G494" s="284">
        <f>IFERROR(VLOOKUP(E494,Assign!$C$2:$J$142,8,FALSE),)</f>
        <v>0</v>
      </c>
      <c r="H494" s="236" t="s">
        <v>5436</v>
      </c>
      <c r="I494" s="236">
        <v>1</v>
      </c>
      <c r="J494" s="236" t="s">
        <v>418</v>
      </c>
      <c r="K494" s="355" t="s">
        <v>1384</v>
      </c>
      <c r="L494" s="356">
        <v>45260</v>
      </c>
      <c r="M494" s="357" t="s">
        <v>204</v>
      </c>
      <c r="N494" s="416">
        <v>8400000000</v>
      </c>
      <c r="O494" s="416">
        <v>8400000000</v>
      </c>
      <c r="P494" s="358"/>
      <c r="Q494" s="320"/>
      <c r="R494" s="168"/>
      <c r="S494" s="168"/>
      <c r="T494" s="287"/>
      <c r="U494" s="264"/>
      <c r="V494" s="198"/>
    </row>
    <row r="495" spans="1:22" s="90" customFormat="1" ht="19.5" hidden="1" customHeight="1">
      <c r="A495" s="137"/>
      <c r="B495" s="197">
        <f t="shared" si="8"/>
        <v>485</v>
      </c>
      <c r="C495" s="30" t="s">
        <v>202</v>
      </c>
      <c r="D495" s="30" t="s">
        <v>225</v>
      </c>
      <c r="E495" s="234" t="s">
        <v>928</v>
      </c>
      <c r="F495" s="235" t="s">
        <v>1327</v>
      </c>
      <c r="G495" s="284">
        <f>IFERROR(VLOOKUP(E495,Assign!$C$2:$J$142,8,FALSE),)</f>
        <v>0</v>
      </c>
      <c r="H495" s="236" t="s">
        <v>5436</v>
      </c>
      <c r="I495" s="236">
        <v>1</v>
      </c>
      <c r="J495" s="236" t="s">
        <v>418</v>
      </c>
      <c r="K495" s="355" t="s">
        <v>3376</v>
      </c>
      <c r="L495" s="356">
        <v>45335</v>
      </c>
      <c r="M495" s="357" t="s">
        <v>204</v>
      </c>
      <c r="N495" s="416">
        <v>1950000000</v>
      </c>
      <c r="O495" s="416">
        <v>1950000000</v>
      </c>
      <c r="P495" s="358"/>
      <c r="Q495" s="320"/>
      <c r="R495" s="168"/>
      <c r="S495" s="168"/>
      <c r="T495" s="287"/>
      <c r="U495" s="264"/>
      <c r="V495" s="198"/>
    </row>
    <row r="496" spans="1:22" s="90" customFormat="1" ht="19.5" hidden="1" customHeight="1">
      <c r="A496" s="137"/>
      <c r="B496" s="197">
        <f t="shared" si="8"/>
        <v>486</v>
      </c>
      <c r="C496" s="30" t="s">
        <v>202</v>
      </c>
      <c r="D496" s="30" t="s">
        <v>225</v>
      </c>
      <c r="E496" s="234" t="s">
        <v>929</v>
      </c>
      <c r="F496" s="235" t="s">
        <v>1329</v>
      </c>
      <c r="G496" s="284">
        <f>IFERROR(VLOOKUP(E496,Assign!$C$2:$J$142,8,FALSE),)</f>
        <v>0</v>
      </c>
      <c r="H496" s="236" t="s">
        <v>5492</v>
      </c>
      <c r="I496" s="236">
        <v>1</v>
      </c>
      <c r="J496" s="236">
        <v>1</v>
      </c>
      <c r="K496" s="355" t="s">
        <v>1373</v>
      </c>
      <c r="L496" s="356">
        <v>38960</v>
      </c>
      <c r="M496" s="357" t="s">
        <v>204</v>
      </c>
      <c r="N496" s="416">
        <v>10200000000</v>
      </c>
      <c r="O496" s="416">
        <v>10200000000</v>
      </c>
      <c r="P496" s="358"/>
      <c r="Q496" s="320" t="s">
        <v>1387</v>
      </c>
      <c r="R496" s="168"/>
      <c r="S496" s="168"/>
      <c r="T496" s="287"/>
      <c r="U496" s="264"/>
      <c r="V496" s="198"/>
    </row>
    <row r="497" spans="1:22" s="90" customFormat="1" ht="19.5" hidden="1" customHeight="1">
      <c r="A497" s="137"/>
      <c r="B497" s="197">
        <f t="shared" si="8"/>
        <v>487</v>
      </c>
      <c r="C497" s="30" t="s">
        <v>202</v>
      </c>
      <c r="D497" s="30" t="s">
        <v>225</v>
      </c>
      <c r="E497" s="234" t="s">
        <v>929</v>
      </c>
      <c r="F497" s="235" t="s">
        <v>1329</v>
      </c>
      <c r="G497" s="284">
        <f>IFERROR(VLOOKUP(E497,Assign!$C$2:$J$142,8,FALSE),)</f>
        <v>0</v>
      </c>
      <c r="H497" s="236" t="s">
        <v>5517</v>
      </c>
      <c r="I497" s="236">
        <v>2</v>
      </c>
      <c r="J497" s="236">
        <v>2</v>
      </c>
      <c r="K497" s="355" t="s">
        <v>1373</v>
      </c>
      <c r="L497" s="356">
        <v>41061</v>
      </c>
      <c r="M497" s="357" t="s">
        <v>204</v>
      </c>
      <c r="N497" s="416">
        <v>10200000000</v>
      </c>
      <c r="O497" s="416">
        <v>10200000000</v>
      </c>
      <c r="P497" s="358"/>
      <c r="Q497" s="320" t="s">
        <v>381</v>
      </c>
      <c r="R497" s="168"/>
      <c r="S497" s="168"/>
      <c r="T497" s="287"/>
      <c r="U497" s="264"/>
      <c r="V497" s="198"/>
    </row>
    <row r="498" spans="1:22" s="90" customFormat="1" ht="19.5" hidden="1" customHeight="1">
      <c r="A498" s="137"/>
      <c r="B498" s="197">
        <f t="shared" si="8"/>
        <v>488</v>
      </c>
      <c r="C498" s="30" t="s">
        <v>202</v>
      </c>
      <c r="D498" s="30" t="s">
        <v>225</v>
      </c>
      <c r="E498" s="234" t="s">
        <v>929</v>
      </c>
      <c r="F498" s="235" t="s">
        <v>1329</v>
      </c>
      <c r="G498" s="284">
        <f>IFERROR(VLOOKUP(E498,Assign!$C$2:$J$142,8,FALSE),)</f>
        <v>0</v>
      </c>
      <c r="H498" s="236" t="s">
        <v>5532</v>
      </c>
      <c r="I498" s="236">
        <v>3</v>
      </c>
      <c r="J498" s="236">
        <v>1</v>
      </c>
      <c r="K498" s="355" t="s">
        <v>421</v>
      </c>
      <c r="L498" s="356">
        <v>42306</v>
      </c>
      <c r="M498" s="357" t="s">
        <v>204</v>
      </c>
      <c r="N498" s="416">
        <v>2160000000</v>
      </c>
      <c r="O498" s="416">
        <v>2160000000</v>
      </c>
      <c r="P498" s="358"/>
      <c r="Q498" s="320"/>
      <c r="R498" s="168"/>
      <c r="S498" s="168"/>
      <c r="T498" s="287"/>
      <c r="U498" s="264"/>
      <c r="V498" s="198"/>
    </row>
    <row r="499" spans="1:22" s="90" customFormat="1" ht="19.5" hidden="1" customHeight="1">
      <c r="A499" s="137"/>
      <c r="B499" s="197">
        <f t="shared" si="8"/>
        <v>489</v>
      </c>
      <c r="C499" s="30" t="s">
        <v>202</v>
      </c>
      <c r="D499" s="30" t="s">
        <v>225</v>
      </c>
      <c r="E499" s="234" t="s">
        <v>929</v>
      </c>
      <c r="F499" s="235" t="s">
        <v>1329</v>
      </c>
      <c r="G499" s="284">
        <f>IFERROR(VLOOKUP(E499,Assign!$C$2:$J$142,8,FALSE),)</f>
        <v>0</v>
      </c>
      <c r="H499" s="236" t="s">
        <v>5532</v>
      </c>
      <c r="I499" s="236">
        <v>3</v>
      </c>
      <c r="J499" s="236">
        <v>2</v>
      </c>
      <c r="K499" s="355" t="s">
        <v>1373</v>
      </c>
      <c r="L499" s="356">
        <v>42314</v>
      </c>
      <c r="M499" s="357" t="s">
        <v>204</v>
      </c>
      <c r="N499" s="416">
        <v>10200000000</v>
      </c>
      <c r="O499" s="416">
        <v>10200000000</v>
      </c>
      <c r="P499" s="358"/>
      <c r="Q499" s="320" t="s">
        <v>1388</v>
      </c>
      <c r="R499" s="168"/>
      <c r="S499" s="168"/>
      <c r="T499" s="287"/>
      <c r="U499" s="264"/>
      <c r="V499" s="198"/>
    </row>
    <row r="500" spans="1:22" s="90" customFormat="1" ht="19.5" hidden="1" customHeight="1">
      <c r="A500" s="137"/>
      <c r="B500" s="197">
        <f t="shared" si="8"/>
        <v>490</v>
      </c>
      <c r="C500" s="30" t="s">
        <v>202</v>
      </c>
      <c r="D500" s="30" t="s">
        <v>225</v>
      </c>
      <c r="E500" s="234" t="s">
        <v>930</v>
      </c>
      <c r="F500" s="235" t="s">
        <v>1330</v>
      </c>
      <c r="G500" s="284">
        <f>IFERROR(VLOOKUP(E500,Assign!$C$2:$J$142,8,FALSE),)</f>
        <v>0</v>
      </c>
      <c r="H500" s="236" t="s">
        <v>4448</v>
      </c>
      <c r="I500" s="236">
        <v>1</v>
      </c>
      <c r="J500" s="236">
        <v>1</v>
      </c>
      <c r="K500" s="355" t="s">
        <v>1373</v>
      </c>
      <c r="L500" s="356">
        <v>45531</v>
      </c>
      <c r="M500" s="357" t="s">
        <v>204</v>
      </c>
      <c r="N500" s="416">
        <v>6450000000</v>
      </c>
      <c r="O500" s="416">
        <v>6450000000</v>
      </c>
      <c r="P500" s="358"/>
      <c r="Q500" s="320"/>
      <c r="R500" s="168"/>
      <c r="S500" s="168"/>
      <c r="T500" s="287"/>
      <c r="U500" s="264"/>
      <c r="V500" s="198"/>
    </row>
    <row r="501" spans="1:22" s="90" customFormat="1" ht="19.5" hidden="1" customHeight="1">
      <c r="A501" s="137"/>
      <c r="B501" s="197">
        <f t="shared" si="8"/>
        <v>491</v>
      </c>
      <c r="C501" s="30" t="s">
        <v>202</v>
      </c>
      <c r="D501" s="30" t="s">
        <v>225</v>
      </c>
      <c r="E501" s="234" t="s">
        <v>931</v>
      </c>
      <c r="F501" s="235" t="s">
        <v>1331</v>
      </c>
      <c r="G501" s="284">
        <f>IFERROR(VLOOKUP(E501,Assign!$C$2:$J$142,8,FALSE),)</f>
        <v>0</v>
      </c>
      <c r="H501" s="236" t="s">
        <v>5312</v>
      </c>
      <c r="I501" s="236">
        <v>1</v>
      </c>
      <c r="J501" s="236">
        <v>1</v>
      </c>
      <c r="K501" s="355" t="s">
        <v>1373</v>
      </c>
      <c r="L501" s="356">
        <v>44348</v>
      </c>
      <c r="M501" s="357" t="s">
        <v>204</v>
      </c>
      <c r="N501" s="416">
        <v>1272000000</v>
      </c>
      <c r="O501" s="416">
        <v>1272000000</v>
      </c>
      <c r="P501" s="358"/>
      <c r="Q501" s="320"/>
      <c r="R501" s="168"/>
      <c r="S501" s="168"/>
      <c r="T501" s="287"/>
      <c r="U501" s="264"/>
      <c r="V501" s="198"/>
    </row>
    <row r="502" spans="1:22" s="90" customFormat="1" ht="19.5" hidden="1" customHeight="1">
      <c r="A502" s="137"/>
      <c r="B502" s="197">
        <f t="shared" si="8"/>
        <v>492</v>
      </c>
      <c r="C502" s="30" t="s">
        <v>202</v>
      </c>
      <c r="D502" s="30" t="s">
        <v>225</v>
      </c>
      <c r="E502" s="234" t="s">
        <v>931</v>
      </c>
      <c r="F502" s="235" t="s">
        <v>1331</v>
      </c>
      <c r="G502" s="284">
        <f>IFERROR(VLOOKUP(E502,Assign!$C$2:$J$142,8,FALSE),)</f>
        <v>0</v>
      </c>
      <c r="H502" s="236" t="s">
        <v>5312</v>
      </c>
      <c r="I502" s="236">
        <v>1</v>
      </c>
      <c r="J502" s="236">
        <v>2</v>
      </c>
      <c r="K502" s="355" t="s">
        <v>1373</v>
      </c>
      <c r="L502" s="356">
        <v>44613</v>
      </c>
      <c r="M502" s="357" t="s">
        <v>204</v>
      </c>
      <c r="N502" s="416">
        <v>2400000000</v>
      </c>
      <c r="O502" s="416">
        <v>2400000000</v>
      </c>
      <c r="P502" s="358"/>
      <c r="Q502" s="320"/>
      <c r="R502" s="168"/>
      <c r="S502" s="168"/>
      <c r="T502" s="287"/>
      <c r="U502" s="264"/>
      <c r="V502" s="198"/>
    </row>
    <row r="503" spans="1:22" s="90" customFormat="1" ht="19.5" hidden="1" customHeight="1">
      <c r="A503" s="137"/>
      <c r="B503" s="197">
        <f t="shared" si="8"/>
        <v>493</v>
      </c>
      <c r="C503" s="30" t="s">
        <v>202</v>
      </c>
      <c r="D503" s="30" t="s">
        <v>225</v>
      </c>
      <c r="E503" s="234" t="s">
        <v>931</v>
      </c>
      <c r="F503" s="235" t="s">
        <v>1331</v>
      </c>
      <c r="G503" s="284">
        <f>IFERROR(VLOOKUP(E503,Assign!$C$2:$J$142,8,FALSE),)</f>
        <v>0</v>
      </c>
      <c r="H503" s="236" t="s">
        <v>5312</v>
      </c>
      <c r="I503" s="236">
        <v>1</v>
      </c>
      <c r="J503" s="236">
        <v>3</v>
      </c>
      <c r="K503" s="355" t="s">
        <v>1373</v>
      </c>
      <c r="L503" s="356">
        <v>45489</v>
      </c>
      <c r="M503" s="357" t="s">
        <v>204</v>
      </c>
      <c r="N503" s="416">
        <v>2928000000</v>
      </c>
      <c r="O503" s="416">
        <v>2928000000</v>
      </c>
      <c r="P503" s="358"/>
      <c r="Q503" s="320"/>
      <c r="R503" s="168"/>
      <c r="S503" s="168"/>
      <c r="T503" s="287"/>
      <c r="U503" s="264"/>
      <c r="V503" s="198"/>
    </row>
    <row r="504" spans="1:22" s="90" customFormat="1" ht="19.5" hidden="1" customHeight="1">
      <c r="A504" s="137"/>
      <c r="B504" s="197">
        <f t="shared" si="8"/>
        <v>494</v>
      </c>
      <c r="C504" s="30" t="s">
        <v>202</v>
      </c>
      <c r="D504" s="30" t="s">
        <v>225</v>
      </c>
      <c r="E504" s="234" t="s">
        <v>932</v>
      </c>
      <c r="F504" s="235" t="s">
        <v>1332</v>
      </c>
      <c r="G504" s="284">
        <f>IFERROR(VLOOKUP(E504,Assign!$C$2:$J$142,8,FALSE),)</f>
        <v>0</v>
      </c>
      <c r="H504" s="236" t="s">
        <v>5136</v>
      </c>
      <c r="I504" s="236">
        <v>1</v>
      </c>
      <c r="J504" s="236">
        <v>1</v>
      </c>
      <c r="K504" s="355" t="s">
        <v>1373</v>
      </c>
      <c r="L504" s="356">
        <v>44762</v>
      </c>
      <c r="M504" s="357" t="s">
        <v>204</v>
      </c>
      <c r="N504" s="416">
        <v>1476000000</v>
      </c>
      <c r="O504" s="416">
        <v>1476000000</v>
      </c>
      <c r="P504" s="358" t="s">
        <v>1422</v>
      </c>
      <c r="Q504" s="320"/>
      <c r="R504" s="168"/>
      <c r="S504" s="168"/>
      <c r="T504" s="287"/>
      <c r="U504" s="264"/>
      <c r="V504" s="198"/>
    </row>
    <row r="505" spans="1:22" s="90" customFormat="1" ht="19.5" hidden="1" customHeight="1">
      <c r="A505" s="137"/>
      <c r="B505" s="197">
        <f t="shared" si="8"/>
        <v>495</v>
      </c>
      <c r="C505" s="30" t="s">
        <v>202</v>
      </c>
      <c r="D505" s="30" t="s">
        <v>225</v>
      </c>
      <c r="E505" s="234" t="s">
        <v>932</v>
      </c>
      <c r="F505" s="235" t="s">
        <v>1332</v>
      </c>
      <c r="G505" s="284">
        <f>IFERROR(VLOOKUP(E505,Assign!$C$2:$J$142,8,FALSE),)</f>
        <v>0</v>
      </c>
      <c r="H505" s="236" t="s">
        <v>5136</v>
      </c>
      <c r="I505" s="236">
        <v>1</v>
      </c>
      <c r="J505" s="236">
        <v>2</v>
      </c>
      <c r="K505" s="355" t="s">
        <v>1373</v>
      </c>
      <c r="L505" s="356">
        <v>44762</v>
      </c>
      <c r="M505" s="357" t="s">
        <v>204</v>
      </c>
      <c r="N505" s="416">
        <v>1632000000</v>
      </c>
      <c r="O505" s="416">
        <v>1632000000</v>
      </c>
      <c r="P505" s="358" t="s">
        <v>1408</v>
      </c>
      <c r="Q505" s="320"/>
      <c r="R505" s="168"/>
      <c r="S505" s="168"/>
      <c r="T505" s="287"/>
      <c r="U505" s="264"/>
      <c r="V505" s="198"/>
    </row>
    <row r="506" spans="1:22" s="90" customFormat="1" ht="19.5" hidden="1" customHeight="1">
      <c r="A506" s="137"/>
      <c r="B506" s="197">
        <f t="shared" si="8"/>
        <v>496</v>
      </c>
      <c r="C506" s="30" t="s">
        <v>202</v>
      </c>
      <c r="D506" s="30" t="s">
        <v>225</v>
      </c>
      <c r="E506" s="234" t="s">
        <v>932</v>
      </c>
      <c r="F506" s="235" t="s">
        <v>1332</v>
      </c>
      <c r="G506" s="284">
        <f>IFERROR(VLOOKUP(E506,Assign!$C$2:$J$142,8,FALSE),)</f>
        <v>0</v>
      </c>
      <c r="H506" s="236" t="s">
        <v>5136</v>
      </c>
      <c r="I506" s="236">
        <v>1</v>
      </c>
      <c r="J506" s="236">
        <v>3</v>
      </c>
      <c r="K506" s="355" t="s">
        <v>1373</v>
      </c>
      <c r="L506" s="356">
        <v>44886</v>
      </c>
      <c r="M506" s="357" t="s">
        <v>204</v>
      </c>
      <c r="N506" s="416">
        <v>1248000000</v>
      </c>
      <c r="O506" s="416">
        <v>1248000000</v>
      </c>
      <c r="P506" s="358" t="s">
        <v>1423</v>
      </c>
      <c r="Q506" s="320"/>
      <c r="R506" s="168"/>
      <c r="S506" s="168"/>
      <c r="T506" s="287"/>
      <c r="U506" s="264"/>
      <c r="V506" s="198"/>
    </row>
    <row r="507" spans="1:22" s="90" customFormat="1" ht="19.5" hidden="1" customHeight="1">
      <c r="A507" s="137"/>
      <c r="B507" s="197">
        <f t="shared" si="8"/>
        <v>497</v>
      </c>
      <c r="C507" s="30" t="s">
        <v>202</v>
      </c>
      <c r="D507" s="30" t="s">
        <v>225</v>
      </c>
      <c r="E507" s="234" t="s">
        <v>932</v>
      </c>
      <c r="F507" s="235" t="s">
        <v>1332</v>
      </c>
      <c r="G507" s="284">
        <f>IFERROR(VLOOKUP(E507,Assign!$C$2:$J$142,8,FALSE),)</f>
        <v>0</v>
      </c>
      <c r="H507" s="236" t="s">
        <v>5136</v>
      </c>
      <c r="I507" s="236">
        <v>1</v>
      </c>
      <c r="J507" s="236">
        <v>4</v>
      </c>
      <c r="K507" s="355" t="s">
        <v>1373</v>
      </c>
      <c r="L507" s="356">
        <v>45152</v>
      </c>
      <c r="M507" s="357" t="s">
        <v>204</v>
      </c>
      <c r="N507" s="416">
        <v>368400000</v>
      </c>
      <c r="O507" s="416">
        <v>368400000</v>
      </c>
      <c r="P507" s="358" t="s">
        <v>1424</v>
      </c>
      <c r="Q507" s="320"/>
      <c r="R507" s="168"/>
      <c r="S507" s="168"/>
      <c r="T507" s="287"/>
      <c r="U507" s="264"/>
      <c r="V507" s="198"/>
    </row>
    <row r="508" spans="1:22" s="90" customFormat="1" ht="19.5" hidden="1" customHeight="1">
      <c r="A508" s="137"/>
      <c r="B508" s="197">
        <f t="shared" si="8"/>
        <v>498</v>
      </c>
      <c r="C508" s="30" t="s">
        <v>202</v>
      </c>
      <c r="D508" s="30" t="s">
        <v>225</v>
      </c>
      <c r="E508" s="234" t="s">
        <v>933</v>
      </c>
      <c r="F508" s="235" t="s">
        <v>1266</v>
      </c>
      <c r="G508" s="284">
        <f>IFERROR(VLOOKUP(E508,Assign!$C$2:$J$142,8,FALSE),)</f>
        <v>0</v>
      </c>
      <c r="H508" s="236" t="s">
        <v>3927</v>
      </c>
      <c r="I508" s="236">
        <v>1</v>
      </c>
      <c r="J508" s="236">
        <v>1</v>
      </c>
      <c r="K508" s="355" t="s">
        <v>1373</v>
      </c>
      <c r="L508" s="356">
        <v>40547</v>
      </c>
      <c r="M508" s="357" t="s">
        <v>204</v>
      </c>
      <c r="N508" s="416">
        <v>4615000000</v>
      </c>
      <c r="O508" s="416">
        <v>4615000000</v>
      </c>
      <c r="P508" s="358"/>
      <c r="Q508" s="320">
        <v>3</v>
      </c>
      <c r="R508" s="168"/>
      <c r="S508" s="168"/>
      <c r="T508" s="287"/>
      <c r="U508" s="264"/>
      <c r="V508" s="198"/>
    </row>
    <row r="509" spans="1:22" s="90" customFormat="1" ht="19.5" hidden="1" customHeight="1">
      <c r="A509" s="137"/>
      <c r="B509" s="197">
        <f t="shared" si="8"/>
        <v>499</v>
      </c>
      <c r="C509" s="30" t="s">
        <v>202</v>
      </c>
      <c r="D509" s="30" t="s">
        <v>225</v>
      </c>
      <c r="E509" s="234" t="s">
        <v>933</v>
      </c>
      <c r="F509" s="235" t="s">
        <v>1266</v>
      </c>
      <c r="G509" s="284">
        <f>IFERROR(VLOOKUP(E509,Assign!$C$2:$J$142,8,FALSE),)</f>
        <v>0</v>
      </c>
      <c r="H509" s="236" t="s">
        <v>3927</v>
      </c>
      <c r="I509" s="236">
        <v>1</v>
      </c>
      <c r="J509" s="236">
        <v>2</v>
      </c>
      <c r="K509" s="355" t="s">
        <v>1373</v>
      </c>
      <c r="L509" s="356">
        <v>40760</v>
      </c>
      <c r="M509" s="357" t="s">
        <v>204</v>
      </c>
      <c r="N509" s="416">
        <v>585000000</v>
      </c>
      <c r="O509" s="416">
        <v>585000000</v>
      </c>
      <c r="P509" s="358"/>
      <c r="Q509" s="320">
        <v>3</v>
      </c>
      <c r="R509" s="168"/>
      <c r="S509" s="168"/>
      <c r="T509" s="287"/>
      <c r="U509" s="264"/>
      <c r="V509" s="198"/>
    </row>
    <row r="510" spans="1:22" s="90" customFormat="1" ht="19.5" hidden="1" customHeight="1">
      <c r="A510" s="137"/>
      <c r="B510" s="197">
        <f t="shared" si="8"/>
        <v>500</v>
      </c>
      <c r="C510" s="30" t="s">
        <v>202</v>
      </c>
      <c r="D510" s="30" t="s">
        <v>225</v>
      </c>
      <c r="E510" s="234" t="s">
        <v>933</v>
      </c>
      <c r="F510" s="235" t="s">
        <v>1266</v>
      </c>
      <c r="G510" s="284">
        <f>IFERROR(VLOOKUP(E510,Assign!$C$2:$J$142,8,FALSE),)</f>
        <v>0</v>
      </c>
      <c r="H510" s="236" t="s">
        <v>3927</v>
      </c>
      <c r="I510" s="236">
        <v>1</v>
      </c>
      <c r="J510" s="236">
        <v>3</v>
      </c>
      <c r="K510" s="355" t="s">
        <v>1373</v>
      </c>
      <c r="L510" s="356">
        <v>41177</v>
      </c>
      <c r="M510" s="357" t="s">
        <v>204</v>
      </c>
      <c r="N510" s="416">
        <v>1170000000</v>
      </c>
      <c r="O510" s="416">
        <v>1170000000</v>
      </c>
      <c r="P510" s="358"/>
      <c r="Q510" s="320" t="s">
        <v>1387</v>
      </c>
      <c r="R510" s="168"/>
      <c r="S510" s="168"/>
      <c r="T510" s="287"/>
      <c r="U510" s="264"/>
      <c r="V510" s="198"/>
    </row>
    <row r="511" spans="1:22" s="90" customFormat="1" ht="19.5" hidden="1" customHeight="1">
      <c r="A511" s="137"/>
      <c r="B511" s="197">
        <f t="shared" si="8"/>
        <v>501</v>
      </c>
      <c r="C511" s="30" t="s">
        <v>202</v>
      </c>
      <c r="D511" s="30" t="s">
        <v>225</v>
      </c>
      <c r="E511" s="234" t="s">
        <v>933</v>
      </c>
      <c r="F511" s="235" t="s">
        <v>1266</v>
      </c>
      <c r="G511" s="284">
        <f>IFERROR(VLOOKUP(E511,Assign!$C$2:$J$142,8,FALSE),)</f>
        <v>0</v>
      </c>
      <c r="H511" s="236" t="s">
        <v>3931</v>
      </c>
      <c r="I511" s="236">
        <v>2</v>
      </c>
      <c r="J511" s="236">
        <v>1</v>
      </c>
      <c r="K511" s="355" t="s">
        <v>1373</v>
      </c>
      <c r="L511" s="356">
        <v>42222</v>
      </c>
      <c r="M511" s="357" t="s">
        <v>204</v>
      </c>
      <c r="N511" s="416">
        <v>1170000000</v>
      </c>
      <c r="O511" s="416">
        <v>1170000000</v>
      </c>
      <c r="P511" s="358"/>
      <c r="Q511" s="320" t="s">
        <v>381</v>
      </c>
      <c r="R511" s="168"/>
      <c r="S511" s="168"/>
      <c r="T511" s="287"/>
      <c r="U511" s="264"/>
      <c r="V511" s="198"/>
    </row>
    <row r="512" spans="1:22" s="90" customFormat="1" ht="19.5" hidden="1" customHeight="1">
      <c r="A512" s="137"/>
      <c r="B512" s="197">
        <f t="shared" si="8"/>
        <v>502</v>
      </c>
      <c r="C512" s="30" t="s">
        <v>202</v>
      </c>
      <c r="D512" s="30" t="s">
        <v>225</v>
      </c>
      <c r="E512" s="234" t="s">
        <v>933</v>
      </c>
      <c r="F512" s="235" t="s">
        <v>1266</v>
      </c>
      <c r="G512" s="284">
        <f>IFERROR(VLOOKUP(E512,Assign!$C$2:$J$142,8,FALSE),)</f>
        <v>0</v>
      </c>
      <c r="H512" s="236" t="s">
        <v>3933</v>
      </c>
      <c r="I512" s="236">
        <v>3</v>
      </c>
      <c r="J512" s="236">
        <v>1</v>
      </c>
      <c r="K512" s="355" t="s">
        <v>1373</v>
      </c>
      <c r="L512" s="356">
        <v>40547</v>
      </c>
      <c r="M512" s="357" t="s">
        <v>204</v>
      </c>
      <c r="N512" s="416">
        <v>4615000000</v>
      </c>
      <c r="O512" s="416">
        <v>4615000000</v>
      </c>
      <c r="P512" s="358"/>
      <c r="Q512" s="320">
        <v>1</v>
      </c>
      <c r="R512" s="168"/>
      <c r="S512" s="168"/>
      <c r="T512" s="287"/>
      <c r="U512" s="264"/>
      <c r="V512" s="198"/>
    </row>
    <row r="513" spans="1:22" s="90" customFormat="1" ht="19.5" hidden="1" customHeight="1">
      <c r="A513" s="137"/>
      <c r="B513" s="197">
        <f t="shared" si="8"/>
        <v>503</v>
      </c>
      <c r="C513" s="30" t="s">
        <v>202</v>
      </c>
      <c r="D513" s="30" t="s">
        <v>225</v>
      </c>
      <c r="E513" s="234" t="s">
        <v>933</v>
      </c>
      <c r="F513" s="235" t="s">
        <v>1266</v>
      </c>
      <c r="G513" s="284">
        <f>IFERROR(VLOOKUP(E513,Assign!$C$2:$J$142,8,FALSE),)</f>
        <v>0</v>
      </c>
      <c r="H513" s="236" t="s">
        <v>3933</v>
      </c>
      <c r="I513" s="236">
        <v>3</v>
      </c>
      <c r="J513" s="236">
        <v>2</v>
      </c>
      <c r="K513" s="355" t="s">
        <v>1373</v>
      </c>
      <c r="L513" s="356">
        <v>40760</v>
      </c>
      <c r="M513" s="357" t="s">
        <v>204</v>
      </c>
      <c r="N513" s="416">
        <v>585000000</v>
      </c>
      <c r="O513" s="416">
        <v>585000000</v>
      </c>
      <c r="P513" s="358"/>
      <c r="Q513" s="320">
        <v>1</v>
      </c>
      <c r="R513" s="168"/>
      <c r="S513" s="168"/>
      <c r="T513" s="287"/>
      <c r="U513" s="264"/>
      <c r="V513" s="198"/>
    </row>
    <row r="514" spans="1:22" s="90" customFormat="1" ht="19.5" hidden="1" customHeight="1">
      <c r="A514" s="137"/>
      <c r="B514" s="197">
        <f t="shared" si="8"/>
        <v>504</v>
      </c>
      <c r="C514" s="30" t="s">
        <v>202</v>
      </c>
      <c r="D514" s="30" t="s">
        <v>225</v>
      </c>
      <c r="E514" s="234" t="s">
        <v>933</v>
      </c>
      <c r="F514" s="235" t="s">
        <v>1266</v>
      </c>
      <c r="G514" s="284">
        <f>IFERROR(VLOOKUP(E514,Assign!$C$2:$J$142,8,FALSE),)</f>
        <v>0</v>
      </c>
      <c r="H514" s="236" t="s">
        <v>3933</v>
      </c>
      <c r="I514" s="236">
        <v>3</v>
      </c>
      <c r="J514" s="236">
        <v>3</v>
      </c>
      <c r="K514" s="355" t="s">
        <v>1373</v>
      </c>
      <c r="L514" s="356">
        <v>41177</v>
      </c>
      <c r="M514" s="357" t="s">
        <v>204</v>
      </c>
      <c r="N514" s="416">
        <v>1170000000</v>
      </c>
      <c r="O514" s="416">
        <v>1170000000</v>
      </c>
      <c r="P514" s="358"/>
      <c r="Q514" s="320" t="s">
        <v>1388</v>
      </c>
      <c r="R514" s="168"/>
      <c r="S514" s="168"/>
      <c r="T514" s="287"/>
      <c r="U514" s="264"/>
      <c r="V514" s="198"/>
    </row>
    <row r="515" spans="1:22" s="90" customFormat="1" ht="19.5" hidden="1" customHeight="1">
      <c r="A515" s="137"/>
      <c r="B515" s="197">
        <f t="shared" si="8"/>
        <v>505</v>
      </c>
      <c r="C515" s="30" t="s">
        <v>202</v>
      </c>
      <c r="D515" s="30" t="s">
        <v>225</v>
      </c>
      <c r="E515" s="234" t="s">
        <v>934</v>
      </c>
      <c r="F515" s="235" t="s">
        <v>1333</v>
      </c>
      <c r="G515" s="284">
        <f>IFERROR(VLOOKUP(E515,Assign!$C$2:$J$142,8,FALSE),)</f>
        <v>0</v>
      </c>
      <c r="H515" s="236" t="s">
        <v>4812</v>
      </c>
      <c r="I515" s="236">
        <v>1</v>
      </c>
      <c r="J515" s="236">
        <v>1</v>
      </c>
      <c r="K515" s="355" t="s">
        <v>1373</v>
      </c>
      <c r="L515" s="356">
        <v>44971</v>
      </c>
      <c r="M515" s="357" t="s">
        <v>204</v>
      </c>
      <c r="N515" s="416">
        <v>3470640000</v>
      </c>
      <c r="O515" s="416">
        <v>3470640000</v>
      </c>
      <c r="P515" s="358"/>
      <c r="Q515" s="320"/>
      <c r="R515" s="168"/>
      <c r="S515" s="168"/>
      <c r="T515" s="287"/>
      <c r="U515" s="264"/>
      <c r="V515" s="198"/>
    </row>
    <row r="516" spans="1:22" s="90" customFormat="1" ht="19.5" hidden="1" customHeight="1">
      <c r="A516" s="137"/>
      <c r="B516" s="197">
        <f t="shared" si="8"/>
        <v>506</v>
      </c>
      <c r="C516" s="30" t="s">
        <v>202</v>
      </c>
      <c r="D516" s="30" t="s">
        <v>225</v>
      </c>
      <c r="E516" s="234" t="s">
        <v>935</v>
      </c>
      <c r="F516" s="235" t="s">
        <v>1334</v>
      </c>
      <c r="G516" s="284">
        <f>IFERROR(VLOOKUP(E516,Assign!$C$2:$J$142,8,FALSE),)</f>
        <v>0</v>
      </c>
      <c r="H516" s="236" t="s">
        <v>5088</v>
      </c>
      <c r="I516" s="236">
        <v>1</v>
      </c>
      <c r="J516" s="236">
        <v>1</v>
      </c>
      <c r="K516" s="355" t="s">
        <v>1373</v>
      </c>
      <c r="L516" s="356">
        <v>44376</v>
      </c>
      <c r="M516" s="357" t="s">
        <v>204</v>
      </c>
      <c r="N516" s="416">
        <v>5280000000</v>
      </c>
      <c r="O516" s="416">
        <v>5280000000</v>
      </c>
      <c r="P516" s="358"/>
      <c r="Q516" s="320"/>
      <c r="R516" s="168"/>
      <c r="S516" s="168"/>
      <c r="T516" s="287"/>
      <c r="U516" s="264"/>
      <c r="V516" s="198"/>
    </row>
    <row r="517" spans="1:22" s="90" customFormat="1" ht="19.5" hidden="1" customHeight="1">
      <c r="A517" s="137"/>
      <c r="B517" s="197">
        <f t="shared" si="8"/>
        <v>507</v>
      </c>
      <c r="C517" s="30" t="s">
        <v>202</v>
      </c>
      <c r="D517" s="30" t="s">
        <v>225</v>
      </c>
      <c r="E517" s="234" t="s">
        <v>935</v>
      </c>
      <c r="F517" s="235" t="s">
        <v>1334</v>
      </c>
      <c r="G517" s="284">
        <f>IFERROR(VLOOKUP(E517,Assign!$C$2:$J$142,8,FALSE),)</f>
        <v>0</v>
      </c>
      <c r="H517" s="236" t="s">
        <v>5113</v>
      </c>
      <c r="I517" s="236">
        <v>2</v>
      </c>
      <c r="J517" s="236">
        <v>1</v>
      </c>
      <c r="K517" s="355" t="s">
        <v>1373</v>
      </c>
      <c r="L517" s="356">
        <v>44671</v>
      </c>
      <c r="M517" s="357" t="s">
        <v>204</v>
      </c>
      <c r="N517" s="416">
        <v>600000000</v>
      </c>
      <c r="O517" s="416">
        <v>600000000</v>
      </c>
      <c r="P517" s="358"/>
      <c r="Q517" s="320"/>
      <c r="R517" s="168"/>
      <c r="S517" s="168"/>
      <c r="T517" s="287"/>
      <c r="U517" s="264"/>
      <c r="V517" s="198"/>
    </row>
    <row r="518" spans="1:22" s="90" customFormat="1" ht="19.5" hidden="1" customHeight="1">
      <c r="A518" s="137"/>
      <c r="B518" s="197">
        <f t="shared" si="8"/>
        <v>508</v>
      </c>
      <c r="C518" s="30" t="s">
        <v>202</v>
      </c>
      <c r="D518" s="30" t="s">
        <v>225</v>
      </c>
      <c r="E518" s="234" t="s">
        <v>936</v>
      </c>
      <c r="F518" s="235" t="s">
        <v>1335</v>
      </c>
      <c r="G518" s="284">
        <f>IFERROR(VLOOKUP(E518,Assign!$C$2:$J$142,8,FALSE),)</f>
        <v>0</v>
      </c>
      <c r="H518" s="236" t="s">
        <v>5412</v>
      </c>
      <c r="I518" s="236">
        <v>1</v>
      </c>
      <c r="J518" s="236">
        <v>1</v>
      </c>
      <c r="K518" s="355" t="s">
        <v>1373</v>
      </c>
      <c r="L518" s="356">
        <v>45033</v>
      </c>
      <c r="M518" s="357" t="s">
        <v>539</v>
      </c>
      <c r="N518" s="416">
        <v>300000000</v>
      </c>
      <c r="O518" s="416">
        <v>2991090000</v>
      </c>
      <c r="P518" s="358" t="s">
        <v>1433</v>
      </c>
      <c r="Q518" s="320"/>
      <c r="R518" s="168"/>
      <c r="S518" s="168"/>
      <c r="T518" s="287"/>
      <c r="U518" s="264"/>
      <c r="V518" s="198"/>
    </row>
    <row r="519" spans="1:22" s="90" customFormat="1" ht="19.5" hidden="1" customHeight="1">
      <c r="A519" s="137"/>
      <c r="B519" s="197">
        <f t="shared" si="8"/>
        <v>509</v>
      </c>
      <c r="C519" s="30" t="s">
        <v>202</v>
      </c>
      <c r="D519" s="30" t="s">
        <v>225</v>
      </c>
      <c r="E519" s="234" t="s">
        <v>936</v>
      </c>
      <c r="F519" s="235" t="s">
        <v>1335</v>
      </c>
      <c r="G519" s="284">
        <f>IFERROR(VLOOKUP(E519,Assign!$C$2:$J$142,8,FALSE),)</f>
        <v>0</v>
      </c>
      <c r="H519" s="236" t="s">
        <v>5412</v>
      </c>
      <c r="I519" s="236">
        <v>1</v>
      </c>
      <c r="J519" s="236">
        <v>2</v>
      </c>
      <c r="K519" s="355" t="s">
        <v>1373</v>
      </c>
      <c r="L519" s="356">
        <v>45033</v>
      </c>
      <c r="M519" s="357" t="s">
        <v>204</v>
      </c>
      <c r="N519" s="416">
        <v>960000000</v>
      </c>
      <c r="O519" s="416">
        <v>960000000</v>
      </c>
      <c r="P519" s="358" t="s">
        <v>1409</v>
      </c>
      <c r="Q519" s="320"/>
      <c r="R519" s="168"/>
      <c r="S519" s="168"/>
      <c r="T519" s="287"/>
      <c r="U519" s="264"/>
      <c r="V519" s="198"/>
    </row>
    <row r="520" spans="1:22" s="90" customFormat="1" ht="19.5" hidden="1" customHeight="1">
      <c r="A520" s="137"/>
      <c r="B520" s="197">
        <f t="shared" si="8"/>
        <v>510</v>
      </c>
      <c r="C520" s="30" t="s">
        <v>202</v>
      </c>
      <c r="D520" s="30" t="s">
        <v>225</v>
      </c>
      <c r="E520" s="234" t="s">
        <v>937</v>
      </c>
      <c r="F520" s="235" t="s">
        <v>1336</v>
      </c>
      <c r="G520" s="284">
        <f>IFERROR(VLOOKUP(E520,Assign!$C$2:$J$142,8,FALSE),)</f>
        <v>0</v>
      </c>
      <c r="H520" s="236" t="s">
        <v>5294</v>
      </c>
      <c r="I520" s="236">
        <v>1</v>
      </c>
      <c r="J520" s="236">
        <v>1</v>
      </c>
      <c r="K520" s="355" t="s">
        <v>1373</v>
      </c>
      <c r="L520" s="356">
        <v>44196</v>
      </c>
      <c r="M520" s="357" t="s">
        <v>204</v>
      </c>
      <c r="N520" s="416">
        <v>960000000</v>
      </c>
      <c r="O520" s="416">
        <v>960000000</v>
      </c>
      <c r="P520" s="358" t="s">
        <v>1428</v>
      </c>
      <c r="Q520" s="320"/>
      <c r="R520" s="168"/>
      <c r="S520" s="168"/>
      <c r="T520" s="287"/>
      <c r="U520" s="264"/>
      <c r="V520" s="198"/>
    </row>
    <row r="521" spans="1:22" s="90" customFormat="1" ht="19.5" hidden="1" customHeight="1">
      <c r="A521" s="137"/>
      <c r="B521" s="197">
        <f t="shared" si="8"/>
        <v>511</v>
      </c>
      <c r="C521" s="30" t="s">
        <v>202</v>
      </c>
      <c r="D521" s="30" t="s">
        <v>225</v>
      </c>
      <c r="E521" s="234" t="s">
        <v>937</v>
      </c>
      <c r="F521" s="235" t="s">
        <v>1336</v>
      </c>
      <c r="G521" s="284">
        <f>IFERROR(VLOOKUP(E521,Assign!$C$2:$J$142,8,FALSE),)</f>
        <v>0</v>
      </c>
      <c r="H521" s="236" t="s">
        <v>5294</v>
      </c>
      <c r="I521" s="236">
        <v>1</v>
      </c>
      <c r="J521" s="236">
        <v>2</v>
      </c>
      <c r="K521" s="355" t="s">
        <v>1373</v>
      </c>
      <c r="L521" s="356">
        <v>44225</v>
      </c>
      <c r="M521" s="357" t="s">
        <v>204</v>
      </c>
      <c r="N521" s="416">
        <v>2748000000</v>
      </c>
      <c r="O521" s="416">
        <v>2748000000</v>
      </c>
      <c r="P521" s="358" t="s">
        <v>1429</v>
      </c>
      <c r="Q521" s="320"/>
      <c r="R521" s="168"/>
      <c r="S521" s="168"/>
      <c r="T521" s="287"/>
      <c r="U521" s="264"/>
      <c r="V521" s="198"/>
    </row>
    <row r="522" spans="1:22" s="90" customFormat="1" ht="19.5" hidden="1" customHeight="1">
      <c r="A522" s="137"/>
      <c r="B522" s="197">
        <f t="shared" si="8"/>
        <v>512</v>
      </c>
      <c r="C522" s="30" t="s">
        <v>202</v>
      </c>
      <c r="D522" s="30" t="s">
        <v>225</v>
      </c>
      <c r="E522" s="234" t="s">
        <v>938</v>
      </c>
      <c r="F522" s="235" t="s">
        <v>1231</v>
      </c>
      <c r="G522" s="284">
        <f>IFERROR(VLOOKUP(E522,Assign!$C$2:$J$142,8,FALSE),)</f>
        <v>0</v>
      </c>
      <c r="H522" s="236" t="s">
        <v>4807</v>
      </c>
      <c r="I522" s="236">
        <v>1</v>
      </c>
      <c r="J522" s="236">
        <v>1</v>
      </c>
      <c r="K522" s="355" t="s">
        <v>1373</v>
      </c>
      <c r="L522" s="356">
        <v>44368</v>
      </c>
      <c r="M522" s="357" t="s">
        <v>204</v>
      </c>
      <c r="N522" s="416">
        <v>2232000000</v>
      </c>
      <c r="O522" s="416">
        <v>2232000000</v>
      </c>
      <c r="P522" s="358"/>
      <c r="Q522" s="320"/>
      <c r="R522" s="168"/>
      <c r="S522" s="168"/>
      <c r="T522" s="287"/>
      <c r="U522" s="264"/>
      <c r="V522" s="198"/>
    </row>
    <row r="523" spans="1:22" s="90" customFormat="1" ht="19.5" hidden="1" customHeight="1">
      <c r="A523" s="137"/>
      <c r="B523" s="197">
        <f t="shared" ref="B523:B586" si="9">ROW()-10</f>
        <v>513</v>
      </c>
      <c r="C523" s="30" t="s">
        <v>202</v>
      </c>
      <c r="D523" s="30" t="s">
        <v>225</v>
      </c>
      <c r="E523" s="234" t="s">
        <v>938</v>
      </c>
      <c r="F523" s="235" t="s">
        <v>1231</v>
      </c>
      <c r="G523" s="284">
        <f>IFERROR(VLOOKUP(E523,Assign!$C$2:$J$142,8,FALSE),)</f>
        <v>0</v>
      </c>
      <c r="H523" s="236" t="s">
        <v>4807</v>
      </c>
      <c r="I523" s="236">
        <v>1</v>
      </c>
      <c r="J523" s="236">
        <v>2</v>
      </c>
      <c r="K523" s="355" t="s">
        <v>1373</v>
      </c>
      <c r="L523" s="356">
        <v>44453</v>
      </c>
      <c r="M523" s="357" t="s">
        <v>204</v>
      </c>
      <c r="N523" s="416">
        <v>1200000000</v>
      </c>
      <c r="O523" s="416">
        <v>1200000000</v>
      </c>
      <c r="P523" s="358"/>
      <c r="Q523" s="320"/>
      <c r="R523" s="168"/>
      <c r="S523" s="168"/>
      <c r="T523" s="287"/>
      <c r="U523" s="264"/>
      <c r="V523" s="198"/>
    </row>
    <row r="524" spans="1:22" s="90" customFormat="1" ht="19.5" hidden="1" customHeight="1">
      <c r="A524" s="137"/>
      <c r="B524" s="197">
        <f t="shared" si="9"/>
        <v>514</v>
      </c>
      <c r="C524" s="30" t="s">
        <v>202</v>
      </c>
      <c r="D524" s="30" t="s">
        <v>225</v>
      </c>
      <c r="E524" s="234" t="s">
        <v>938</v>
      </c>
      <c r="F524" s="235" t="s">
        <v>1231</v>
      </c>
      <c r="G524" s="284">
        <f>IFERROR(VLOOKUP(E524,Assign!$C$2:$J$142,8,FALSE),)</f>
        <v>0</v>
      </c>
      <c r="H524" s="236" t="s">
        <v>4807</v>
      </c>
      <c r="I524" s="236">
        <v>1</v>
      </c>
      <c r="J524" s="236">
        <v>3</v>
      </c>
      <c r="K524" s="355" t="s">
        <v>1373</v>
      </c>
      <c r="L524" s="356">
        <v>45229</v>
      </c>
      <c r="M524" s="357" t="s">
        <v>204</v>
      </c>
      <c r="N524" s="416">
        <v>120000000</v>
      </c>
      <c r="O524" s="416">
        <v>120000000</v>
      </c>
      <c r="P524" s="358"/>
      <c r="Q524" s="320"/>
      <c r="R524" s="168"/>
      <c r="S524" s="168"/>
      <c r="T524" s="287"/>
      <c r="U524" s="264"/>
      <c r="V524" s="198"/>
    </row>
    <row r="525" spans="1:22" s="90" customFormat="1" ht="19.5" hidden="1" customHeight="1">
      <c r="A525" s="137"/>
      <c r="B525" s="197">
        <f t="shared" si="9"/>
        <v>515</v>
      </c>
      <c r="C525" s="30" t="s">
        <v>202</v>
      </c>
      <c r="D525" s="30" t="s">
        <v>225</v>
      </c>
      <c r="E525" s="234" t="s">
        <v>939</v>
      </c>
      <c r="F525" s="235" t="s">
        <v>1338</v>
      </c>
      <c r="G525" s="284">
        <f>IFERROR(VLOOKUP(E525,Assign!$C$2:$J$142,8,FALSE),)</f>
        <v>0</v>
      </c>
      <c r="H525" s="236" t="s">
        <v>5559</v>
      </c>
      <c r="I525" s="236">
        <v>1</v>
      </c>
      <c r="J525" s="236">
        <v>1</v>
      </c>
      <c r="K525" s="355" t="s">
        <v>1373</v>
      </c>
      <c r="L525" s="356">
        <v>44314</v>
      </c>
      <c r="M525" s="357" t="s">
        <v>204</v>
      </c>
      <c r="N525" s="416">
        <v>3774000000</v>
      </c>
      <c r="O525" s="416">
        <v>3774000000</v>
      </c>
      <c r="P525" s="358"/>
      <c r="Q525" s="320"/>
      <c r="R525" s="168"/>
      <c r="S525" s="168"/>
      <c r="T525" s="287"/>
      <c r="U525" s="264"/>
      <c r="V525" s="198"/>
    </row>
    <row r="526" spans="1:22" s="90" customFormat="1" ht="19.5" hidden="1" customHeight="1">
      <c r="A526" s="137"/>
      <c r="B526" s="197">
        <f t="shared" si="9"/>
        <v>516</v>
      </c>
      <c r="C526" s="30" t="s">
        <v>202</v>
      </c>
      <c r="D526" s="30" t="s">
        <v>225</v>
      </c>
      <c r="E526" s="234" t="s">
        <v>940</v>
      </c>
      <c r="F526" s="235" t="s">
        <v>1339</v>
      </c>
      <c r="G526" s="284">
        <f>IFERROR(VLOOKUP(E526,Assign!$C$2:$J$142,8,FALSE),)</f>
        <v>0</v>
      </c>
      <c r="H526" s="236" t="s">
        <v>5540</v>
      </c>
      <c r="I526" s="236">
        <v>1</v>
      </c>
      <c r="J526" s="236">
        <v>1</v>
      </c>
      <c r="K526" s="355" t="s">
        <v>1373</v>
      </c>
      <c r="L526" s="356">
        <v>44862</v>
      </c>
      <c r="M526" s="357" t="s">
        <v>204</v>
      </c>
      <c r="N526" s="416">
        <v>1104000000</v>
      </c>
      <c r="O526" s="416">
        <v>1104000000</v>
      </c>
      <c r="P526" s="358"/>
      <c r="Q526" s="320"/>
      <c r="R526" s="168"/>
      <c r="S526" s="168"/>
      <c r="T526" s="287"/>
      <c r="U526" s="264"/>
      <c r="V526" s="198"/>
    </row>
    <row r="527" spans="1:22" s="90" customFormat="1" ht="19.5" hidden="1" customHeight="1">
      <c r="A527" s="137"/>
      <c r="B527" s="197">
        <f t="shared" si="9"/>
        <v>517</v>
      </c>
      <c r="C527" s="30" t="s">
        <v>202</v>
      </c>
      <c r="D527" s="30" t="s">
        <v>225</v>
      </c>
      <c r="E527" s="234" t="s">
        <v>940</v>
      </c>
      <c r="F527" s="235" t="s">
        <v>1339</v>
      </c>
      <c r="G527" s="284">
        <f>IFERROR(VLOOKUP(E527,Assign!$C$2:$J$142,8,FALSE),)</f>
        <v>0</v>
      </c>
      <c r="H527" s="236" t="s">
        <v>5542</v>
      </c>
      <c r="I527" s="236">
        <v>2</v>
      </c>
      <c r="J527" s="236">
        <v>1</v>
      </c>
      <c r="K527" s="355" t="s">
        <v>1373</v>
      </c>
      <c r="L527" s="356">
        <v>44862</v>
      </c>
      <c r="M527" s="357" t="s">
        <v>204</v>
      </c>
      <c r="N527" s="416">
        <v>636000000</v>
      </c>
      <c r="O527" s="416">
        <v>636000000</v>
      </c>
      <c r="P527" s="358"/>
      <c r="Q527" s="320"/>
      <c r="R527" s="168"/>
      <c r="S527" s="168"/>
      <c r="T527" s="287"/>
      <c r="U527" s="264"/>
      <c r="V527" s="198"/>
    </row>
    <row r="528" spans="1:22" s="90" customFormat="1" ht="19.5" hidden="1" customHeight="1">
      <c r="A528" s="137"/>
      <c r="B528" s="197">
        <f t="shared" si="9"/>
        <v>518</v>
      </c>
      <c r="C528" s="30" t="s">
        <v>202</v>
      </c>
      <c r="D528" s="30" t="s">
        <v>225</v>
      </c>
      <c r="E528" s="234" t="s">
        <v>940</v>
      </c>
      <c r="F528" s="235" t="s">
        <v>1339</v>
      </c>
      <c r="G528" s="284">
        <f>IFERROR(VLOOKUP(E528,Assign!$C$2:$J$142,8,FALSE),)</f>
        <v>0</v>
      </c>
      <c r="H528" s="236" t="s">
        <v>5542</v>
      </c>
      <c r="I528" s="236">
        <v>2</v>
      </c>
      <c r="J528" s="236">
        <v>2</v>
      </c>
      <c r="K528" s="355" t="s">
        <v>1373</v>
      </c>
      <c r="L528" s="356">
        <v>44973</v>
      </c>
      <c r="M528" s="357" t="s">
        <v>204</v>
      </c>
      <c r="N528" s="416">
        <v>360000000</v>
      </c>
      <c r="O528" s="416">
        <v>360000000</v>
      </c>
      <c r="P528" s="358"/>
      <c r="Q528" s="320"/>
      <c r="R528" s="168"/>
      <c r="S528" s="168"/>
      <c r="T528" s="287"/>
      <c r="U528" s="264"/>
      <c r="V528" s="198"/>
    </row>
    <row r="529" spans="1:22" s="90" customFormat="1" ht="19.5" hidden="1" customHeight="1">
      <c r="A529" s="137"/>
      <c r="B529" s="197">
        <f t="shared" si="9"/>
        <v>519</v>
      </c>
      <c r="C529" s="30" t="s">
        <v>202</v>
      </c>
      <c r="D529" s="30" t="s">
        <v>225</v>
      </c>
      <c r="E529" s="234" t="s">
        <v>940</v>
      </c>
      <c r="F529" s="235" t="s">
        <v>1339</v>
      </c>
      <c r="G529" s="284">
        <f>IFERROR(VLOOKUP(E529,Assign!$C$2:$J$142,8,FALSE),)</f>
        <v>0</v>
      </c>
      <c r="H529" s="236" t="s">
        <v>5544</v>
      </c>
      <c r="I529" s="236">
        <v>3</v>
      </c>
      <c r="J529" s="236">
        <v>1</v>
      </c>
      <c r="K529" s="355" t="s">
        <v>1373</v>
      </c>
      <c r="L529" s="356">
        <v>44862</v>
      </c>
      <c r="M529" s="357" t="s">
        <v>204</v>
      </c>
      <c r="N529" s="416">
        <v>660000000</v>
      </c>
      <c r="O529" s="416">
        <v>660000000</v>
      </c>
      <c r="P529" s="358"/>
      <c r="Q529" s="320"/>
      <c r="R529" s="168"/>
      <c r="S529" s="168"/>
      <c r="T529" s="287"/>
      <c r="U529" s="264"/>
      <c r="V529" s="198"/>
    </row>
    <row r="530" spans="1:22" s="90" customFormat="1" ht="19.5" hidden="1" customHeight="1">
      <c r="A530" s="137"/>
      <c r="B530" s="197">
        <f t="shared" si="9"/>
        <v>520</v>
      </c>
      <c r="C530" s="30" t="s">
        <v>202</v>
      </c>
      <c r="D530" s="30" t="s">
        <v>225</v>
      </c>
      <c r="E530" s="234" t="s">
        <v>941</v>
      </c>
      <c r="F530" s="235" t="s">
        <v>1229</v>
      </c>
      <c r="G530" s="284">
        <f>IFERROR(VLOOKUP(E530,Assign!$C$2:$J$142,8,FALSE),)</f>
        <v>0</v>
      </c>
      <c r="H530" s="236" t="s">
        <v>3940</v>
      </c>
      <c r="I530" s="236">
        <v>1</v>
      </c>
      <c r="J530" s="236">
        <v>1</v>
      </c>
      <c r="K530" s="355" t="s">
        <v>1373</v>
      </c>
      <c r="L530" s="356">
        <v>43140</v>
      </c>
      <c r="M530" s="357" t="s">
        <v>204</v>
      </c>
      <c r="N530" s="416">
        <v>2400000000</v>
      </c>
      <c r="O530" s="416">
        <v>2400000000</v>
      </c>
      <c r="P530" s="358"/>
      <c r="Q530" s="320">
        <v>2</v>
      </c>
      <c r="R530" s="168"/>
      <c r="S530" s="168"/>
      <c r="T530" s="287"/>
      <c r="U530" s="264"/>
      <c r="V530" s="198"/>
    </row>
    <row r="531" spans="1:22" s="90" customFormat="1" ht="19.5" hidden="1" customHeight="1">
      <c r="A531" s="137"/>
      <c r="B531" s="197">
        <f t="shared" si="9"/>
        <v>521</v>
      </c>
      <c r="C531" s="30" t="s">
        <v>202</v>
      </c>
      <c r="D531" s="30" t="s">
        <v>225</v>
      </c>
      <c r="E531" s="234" t="s">
        <v>941</v>
      </c>
      <c r="F531" s="235" t="s">
        <v>1229</v>
      </c>
      <c r="G531" s="284">
        <f>IFERROR(VLOOKUP(E531,Assign!$C$2:$J$142,8,FALSE),)</f>
        <v>0</v>
      </c>
      <c r="H531" s="236" t="s">
        <v>3945</v>
      </c>
      <c r="I531" s="236">
        <v>2</v>
      </c>
      <c r="J531" s="236">
        <v>1</v>
      </c>
      <c r="K531" s="355" t="s">
        <v>1373</v>
      </c>
      <c r="L531" s="356">
        <v>43140</v>
      </c>
      <c r="M531" s="357" t="s">
        <v>204</v>
      </c>
      <c r="N531" s="416">
        <v>2400000000</v>
      </c>
      <c r="O531" s="416">
        <v>2400000000</v>
      </c>
      <c r="P531" s="358"/>
      <c r="Q531" s="320">
        <v>1</v>
      </c>
      <c r="R531" s="168"/>
      <c r="S531" s="168"/>
      <c r="T531" s="287"/>
      <c r="U531" s="264"/>
      <c r="V531" s="198"/>
    </row>
    <row r="532" spans="1:22" s="90" customFormat="1" ht="19.5" hidden="1" customHeight="1">
      <c r="A532" s="137"/>
      <c r="B532" s="197">
        <f t="shared" si="9"/>
        <v>522</v>
      </c>
      <c r="C532" s="30" t="s">
        <v>202</v>
      </c>
      <c r="D532" s="30" t="s">
        <v>225</v>
      </c>
      <c r="E532" s="234" t="s">
        <v>941</v>
      </c>
      <c r="F532" s="235" t="s">
        <v>1229</v>
      </c>
      <c r="G532" s="284">
        <f>IFERROR(VLOOKUP(E532,Assign!$C$2:$J$142,8,FALSE),)</f>
        <v>0</v>
      </c>
      <c r="H532" s="236" t="s">
        <v>3947</v>
      </c>
      <c r="I532" s="236">
        <v>3</v>
      </c>
      <c r="J532" s="236">
        <v>1</v>
      </c>
      <c r="K532" s="355" t="s">
        <v>1373</v>
      </c>
      <c r="L532" s="356">
        <v>43136</v>
      </c>
      <c r="M532" s="357" t="s">
        <v>204</v>
      </c>
      <c r="N532" s="416">
        <v>120000000</v>
      </c>
      <c r="O532" s="416">
        <v>120000000</v>
      </c>
      <c r="P532" s="358"/>
      <c r="Q532" s="320"/>
      <c r="R532" s="168"/>
      <c r="S532" s="168"/>
      <c r="T532" s="287"/>
      <c r="U532" s="264"/>
      <c r="V532" s="198"/>
    </row>
    <row r="533" spans="1:22" s="90" customFormat="1" ht="19.5" hidden="1" customHeight="1">
      <c r="A533" s="137"/>
      <c r="B533" s="197">
        <f t="shared" si="9"/>
        <v>523</v>
      </c>
      <c r="C533" s="30" t="s">
        <v>202</v>
      </c>
      <c r="D533" s="30" t="s">
        <v>225</v>
      </c>
      <c r="E533" s="234" t="s">
        <v>942</v>
      </c>
      <c r="F533" s="235" t="s">
        <v>1340</v>
      </c>
      <c r="G533" s="284">
        <f>IFERROR(VLOOKUP(E533,Assign!$C$2:$J$142,8,FALSE),)</f>
        <v>0</v>
      </c>
      <c r="H533" s="236" t="s">
        <v>5423</v>
      </c>
      <c r="I533" s="236">
        <v>1</v>
      </c>
      <c r="J533" s="236">
        <v>1</v>
      </c>
      <c r="K533" s="355" t="s">
        <v>1373</v>
      </c>
      <c r="L533" s="356">
        <v>45286</v>
      </c>
      <c r="M533" s="357" t="s">
        <v>204</v>
      </c>
      <c r="N533" s="416">
        <v>1140000000</v>
      </c>
      <c r="O533" s="416">
        <v>1140000000</v>
      </c>
      <c r="P533" s="358"/>
      <c r="Q533" s="320"/>
      <c r="R533" s="168"/>
      <c r="S533" s="168"/>
      <c r="T533" s="287"/>
      <c r="U533" s="264"/>
      <c r="V533" s="198"/>
    </row>
    <row r="534" spans="1:22" s="90" customFormat="1" ht="19.5" hidden="1" customHeight="1">
      <c r="A534" s="137"/>
      <c r="B534" s="197">
        <f t="shared" si="9"/>
        <v>524</v>
      </c>
      <c r="C534" s="30" t="s">
        <v>202</v>
      </c>
      <c r="D534" s="30" t="s">
        <v>225</v>
      </c>
      <c r="E534" s="234" t="s">
        <v>942</v>
      </c>
      <c r="F534" s="235" t="s">
        <v>1340</v>
      </c>
      <c r="G534" s="284">
        <f>IFERROR(VLOOKUP(E534,Assign!$C$2:$J$142,8,FALSE),)</f>
        <v>0</v>
      </c>
      <c r="H534" s="236" t="s">
        <v>5426</v>
      </c>
      <c r="I534" s="236">
        <v>2</v>
      </c>
      <c r="J534" s="236">
        <v>1</v>
      </c>
      <c r="K534" s="355" t="s">
        <v>1373</v>
      </c>
      <c r="L534" s="356">
        <v>45369</v>
      </c>
      <c r="M534" s="357" t="s">
        <v>204</v>
      </c>
      <c r="N534" s="416">
        <v>960000000</v>
      </c>
      <c r="O534" s="416">
        <v>960000000</v>
      </c>
      <c r="P534" s="358"/>
      <c r="Q534" s="320"/>
      <c r="R534" s="168"/>
      <c r="S534" s="168"/>
      <c r="T534" s="287"/>
      <c r="U534" s="264"/>
      <c r="V534" s="198"/>
    </row>
    <row r="535" spans="1:22" s="90" customFormat="1" ht="19.5" customHeight="1">
      <c r="A535" s="137"/>
      <c r="B535" s="197">
        <f t="shared" si="9"/>
        <v>525</v>
      </c>
      <c r="C535" s="30" t="s">
        <v>202</v>
      </c>
      <c r="D535" s="30" t="s">
        <v>225</v>
      </c>
      <c r="E535" s="234" t="s">
        <v>943</v>
      </c>
      <c r="F535" s="235" t="s">
        <v>1341</v>
      </c>
      <c r="G535" s="284" t="str">
        <f>IFERROR(VLOOKUP(E535,Assign!$C$2:$J$142,8,FALSE),)</f>
        <v>문선영</v>
      </c>
      <c r="H535" s="236" t="s">
        <v>5237</v>
      </c>
      <c r="I535" s="236">
        <v>1</v>
      </c>
      <c r="J535" s="236">
        <v>1</v>
      </c>
      <c r="K535" s="355" t="s">
        <v>1373</v>
      </c>
      <c r="L535" s="356">
        <v>43769</v>
      </c>
      <c r="M535" s="357" t="s">
        <v>204</v>
      </c>
      <c r="N535" s="416">
        <v>1695000000</v>
      </c>
      <c r="O535" s="416">
        <v>1695000000</v>
      </c>
      <c r="P535" s="358" t="s">
        <v>1426</v>
      </c>
      <c r="Q535" s="320"/>
      <c r="R535" s="168"/>
      <c r="S535" s="168"/>
      <c r="T535" s="287"/>
      <c r="U535" s="264"/>
      <c r="V535" s="198"/>
    </row>
    <row r="536" spans="1:22" s="90" customFormat="1" ht="19.5" customHeight="1">
      <c r="A536" s="137"/>
      <c r="B536" s="197">
        <f t="shared" si="9"/>
        <v>526</v>
      </c>
      <c r="C536" s="30" t="s">
        <v>202</v>
      </c>
      <c r="D536" s="30" t="s">
        <v>225</v>
      </c>
      <c r="E536" s="234" t="s">
        <v>943</v>
      </c>
      <c r="F536" s="235" t="s">
        <v>1341</v>
      </c>
      <c r="G536" s="284" t="str">
        <f>IFERROR(VLOOKUP(E536,Assign!$C$2:$J$142,8,FALSE),)</f>
        <v>문선영</v>
      </c>
      <c r="H536" s="236" t="s">
        <v>5237</v>
      </c>
      <c r="I536" s="236">
        <v>1</v>
      </c>
      <c r="J536" s="236">
        <v>2</v>
      </c>
      <c r="K536" s="355" t="s">
        <v>1373</v>
      </c>
      <c r="L536" s="356">
        <v>44529</v>
      </c>
      <c r="M536" s="357" t="s">
        <v>204</v>
      </c>
      <c r="N536" s="416">
        <v>140000000</v>
      </c>
      <c r="O536" s="416">
        <v>140000000</v>
      </c>
      <c r="P536" s="358"/>
      <c r="Q536" s="320"/>
      <c r="R536" s="168"/>
      <c r="S536" s="168"/>
      <c r="T536" s="287"/>
      <c r="U536" s="264"/>
      <c r="V536" s="198"/>
    </row>
    <row r="537" spans="1:22" s="90" customFormat="1" ht="19.5" hidden="1" customHeight="1">
      <c r="A537" s="137"/>
      <c r="B537" s="197">
        <f t="shared" si="9"/>
        <v>527</v>
      </c>
      <c r="C537" s="30" t="s">
        <v>202</v>
      </c>
      <c r="D537" s="30" t="s">
        <v>225</v>
      </c>
      <c r="E537" s="234" t="s">
        <v>944</v>
      </c>
      <c r="F537" s="235" t="s">
        <v>1342</v>
      </c>
      <c r="G537" s="284">
        <f>IFERROR(VLOOKUP(E537,Assign!$C$2:$J$142,8,FALSE),)</f>
        <v>0</v>
      </c>
      <c r="H537" s="236" t="s">
        <v>5550</v>
      </c>
      <c r="I537" s="236">
        <v>1</v>
      </c>
      <c r="J537" s="236">
        <v>1</v>
      </c>
      <c r="K537" s="355" t="s">
        <v>1373</v>
      </c>
      <c r="L537" s="356">
        <v>45288</v>
      </c>
      <c r="M537" s="357" t="s">
        <v>204</v>
      </c>
      <c r="N537" s="416">
        <v>1680000000</v>
      </c>
      <c r="O537" s="416">
        <v>1680000000</v>
      </c>
      <c r="P537" s="358"/>
      <c r="Q537" s="320"/>
      <c r="R537" s="168"/>
      <c r="S537" s="168"/>
      <c r="T537" s="287"/>
      <c r="U537" s="264"/>
      <c r="V537" s="198"/>
    </row>
    <row r="538" spans="1:22" s="90" customFormat="1" ht="19.5" hidden="1" customHeight="1">
      <c r="A538" s="137"/>
      <c r="B538" s="197">
        <f t="shared" si="9"/>
        <v>528</v>
      </c>
      <c r="C538" s="30" t="s">
        <v>202</v>
      </c>
      <c r="D538" s="30" t="s">
        <v>225</v>
      </c>
      <c r="E538" s="234" t="s">
        <v>945</v>
      </c>
      <c r="F538" s="235" t="s">
        <v>1235</v>
      </c>
      <c r="G538" s="284">
        <f>IFERROR(VLOOKUP(E538,Assign!$C$2:$J$142,8,FALSE),)</f>
        <v>0</v>
      </c>
      <c r="H538" s="236" t="s">
        <v>4756</v>
      </c>
      <c r="I538" s="236">
        <v>1</v>
      </c>
      <c r="J538" s="236">
        <v>1</v>
      </c>
      <c r="K538" s="355" t="s">
        <v>1373</v>
      </c>
      <c r="L538" s="356">
        <v>41835</v>
      </c>
      <c r="M538" s="357" t="s">
        <v>204</v>
      </c>
      <c r="N538" s="416">
        <v>1680000000</v>
      </c>
      <c r="O538" s="416">
        <v>1680000000</v>
      </c>
      <c r="P538" s="358"/>
      <c r="Q538" s="320"/>
      <c r="R538" s="168"/>
      <c r="S538" s="168"/>
      <c r="T538" s="287"/>
      <c r="U538" s="264"/>
      <c r="V538" s="198"/>
    </row>
    <row r="539" spans="1:22" s="90" customFormat="1" ht="19.5" hidden="1" customHeight="1">
      <c r="A539" s="137"/>
      <c r="B539" s="197">
        <f t="shared" si="9"/>
        <v>529</v>
      </c>
      <c r="C539" s="30" t="s">
        <v>202</v>
      </c>
      <c r="D539" s="30" t="s">
        <v>225</v>
      </c>
      <c r="E539" s="234" t="s">
        <v>946</v>
      </c>
      <c r="F539" s="235" t="s">
        <v>1343</v>
      </c>
      <c r="G539" s="284">
        <f>IFERROR(VLOOKUP(E539,Assign!$C$2:$J$142,8,FALSE),)</f>
        <v>0</v>
      </c>
      <c r="H539" s="236" t="s">
        <v>5222</v>
      </c>
      <c r="I539" s="236">
        <v>1</v>
      </c>
      <c r="J539" s="236">
        <v>1</v>
      </c>
      <c r="K539" s="355" t="s">
        <v>1373</v>
      </c>
      <c r="L539" s="356">
        <v>44173</v>
      </c>
      <c r="M539" s="357" t="s">
        <v>204</v>
      </c>
      <c r="N539" s="416">
        <v>1636800000</v>
      </c>
      <c r="O539" s="416">
        <v>1636800000</v>
      </c>
      <c r="P539" s="358"/>
      <c r="Q539" s="320"/>
      <c r="R539" s="168"/>
      <c r="S539" s="168"/>
      <c r="T539" s="287"/>
      <c r="U539" s="264"/>
      <c r="V539" s="198"/>
    </row>
    <row r="540" spans="1:22" s="90" customFormat="1" ht="19.5" hidden="1" customHeight="1">
      <c r="A540" s="137"/>
      <c r="B540" s="197">
        <f t="shared" si="9"/>
        <v>530</v>
      </c>
      <c r="C540" s="30" t="s">
        <v>202</v>
      </c>
      <c r="D540" s="30" t="s">
        <v>225</v>
      </c>
      <c r="E540" s="234" t="s">
        <v>946</v>
      </c>
      <c r="F540" s="235" t="s">
        <v>1343</v>
      </c>
      <c r="G540" s="284">
        <f>IFERROR(VLOOKUP(E540,Assign!$C$2:$J$142,8,FALSE),)</f>
        <v>0</v>
      </c>
      <c r="H540" s="236" t="s">
        <v>5231</v>
      </c>
      <c r="I540" s="236">
        <v>2</v>
      </c>
      <c r="J540" s="236">
        <v>1</v>
      </c>
      <c r="K540" s="355" t="s">
        <v>487</v>
      </c>
      <c r="L540" s="356">
        <v>43801</v>
      </c>
      <c r="M540" s="357" t="s">
        <v>204</v>
      </c>
      <c r="N540" s="416">
        <v>273350000</v>
      </c>
      <c r="O540" s="416">
        <v>273350000</v>
      </c>
      <c r="P540" s="358"/>
      <c r="Q540" s="320"/>
      <c r="R540" s="168"/>
      <c r="S540" s="168"/>
      <c r="T540" s="287"/>
      <c r="U540" s="264"/>
      <c r="V540" s="198"/>
    </row>
    <row r="541" spans="1:22" s="90" customFormat="1" ht="19.5" hidden="1" customHeight="1">
      <c r="A541" s="137"/>
      <c r="B541" s="197">
        <f t="shared" si="9"/>
        <v>531</v>
      </c>
      <c r="C541" s="30" t="s">
        <v>202</v>
      </c>
      <c r="D541" s="30" t="s">
        <v>225</v>
      </c>
      <c r="E541" s="234" t="s">
        <v>946</v>
      </c>
      <c r="F541" s="235" t="s">
        <v>1343</v>
      </c>
      <c r="G541" s="284">
        <f>IFERROR(VLOOKUP(E541,Assign!$C$2:$J$142,8,FALSE),)</f>
        <v>0</v>
      </c>
      <c r="H541" s="236" t="s">
        <v>5231</v>
      </c>
      <c r="I541" s="236">
        <v>2</v>
      </c>
      <c r="J541" s="236">
        <v>2</v>
      </c>
      <c r="K541" s="355" t="s">
        <v>1373</v>
      </c>
      <c r="L541" s="356">
        <v>44173</v>
      </c>
      <c r="M541" s="357" t="s">
        <v>204</v>
      </c>
      <c r="N541" s="416">
        <v>250000000</v>
      </c>
      <c r="O541" s="416">
        <v>250000000</v>
      </c>
      <c r="P541" s="358"/>
      <c r="Q541" s="320"/>
      <c r="R541" s="168"/>
      <c r="S541" s="168"/>
      <c r="T541" s="287"/>
      <c r="U541" s="264"/>
      <c r="V541" s="198"/>
    </row>
    <row r="542" spans="1:22" s="90" customFormat="1" ht="19.5" hidden="1" customHeight="1">
      <c r="A542" s="137"/>
      <c r="B542" s="197">
        <f t="shared" si="9"/>
        <v>532</v>
      </c>
      <c r="C542" s="30" t="s">
        <v>202</v>
      </c>
      <c r="D542" s="30" t="s">
        <v>225</v>
      </c>
      <c r="E542" s="234" t="s">
        <v>947</v>
      </c>
      <c r="F542" s="235" t="s">
        <v>1244</v>
      </c>
      <c r="G542" s="284">
        <f>IFERROR(VLOOKUP(E542,Assign!$C$2:$J$142,8,FALSE),)</f>
        <v>0</v>
      </c>
      <c r="H542" s="236" t="s">
        <v>4606</v>
      </c>
      <c r="I542" s="236">
        <v>1</v>
      </c>
      <c r="J542" s="236">
        <v>1</v>
      </c>
      <c r="K542" s="355" t="s">
        <v>1373</v>
      </c>
      <c r="L542" s="356">
        <v>39471</v>
      </c>
      <c r="M542" s="357" t="s">
        <v>204</v>
      </c>
      <c r="N542" s="416">
        <v>1300000000</v>
      </c>
      <c r="O542" s="416">
        <v>1300000000</v>
      </c>
      <c r="P542" s="358"/>
      <c r="Q542" s="320"/>
      <c r="R542" s="168"/>
      <c r="S542" s="168"/>
      <c r="T542" s="287"/>
      <c r="U542" s="264"/>
      <c r="V542" s="198"/>
    </row>
    <row r="543" spans="1:22" s="90" customFormat="1" ht="19.5" hidden="1" customHeight="1">
      <c r="A543" s="137"/>
      <c r="B543" s="197">
        <f t="shared" si="9"/>
        <v>533</v>
      </c>
      <c r="C543" s="30" t="s">
        <v>202</v>
      </c>
      <c r="D543" s="30" t="s">
        <v>225</v>
      </c>
      <c r="E543" s="234" t="s">
        <v>947</v>
      </c>
      <c r="F543" s="235" t="s">
        <v>1244</v>
      </c>
      <c r="G543" s="284">
        <f>IFERROR(VLOOKUP(E543,Assign!$C$2:$J$142,8,FALSE),)</f>
        <v>0</v>
      </c>
      <c r="H543" s="236" t="s">
        <v>4606</v>
      </c>
      <c r="I543" s="236">
        <v>1</v>
      </c>
      <c r="J543" s="236">
        <v>2</v>
      </c>
      <c r="K543" s="355" t="s">
        <v>1373</v>
      </c>
      <c r="L543" s="356">
        <v>42698</v>
      </c>
      <c r="M543" s="357" t="s">
        <v>204</v>
      </c>
      <c r="N543" s="416">
        <v>140000000</v>
      </c>
      <c r="O543" s="416">
        <v>140000000</v>
      </c>
      <c r="P543" s="358"/>
      <c r="Q543" s="320"/>
      <c r="R543" s="168"/>
      <c r="S543" s="168"/>
      <c r="T543" s="287"/>
      <c r="U543" s="264"/>
      <c r="V543" s="198"/>
    </row>
    <row r="544" spans="1:22" s="90" customFormat="1" ht="19.5" hidden="1" customHeight="1">
      <c r="A544" s="137"/>
      <c r="B544" s="197">
        <f t="shared" si="9"/>
        <v>534</v>
      </c>
      <c r="C544" s="30" t="s">
        <v>202</v>
      </c>
      <c r="D544" s="30" t="s">
        <v>225</v>
      </c>
      <c r="E544" s="234" t="s">
        <v>947</v>
      </c>
      <c r="F544" s="235" t="s">
        <v>1244</v>
      </c>
      <c r="G544" s="284">
        <f>IFERROR(VLOOKUP(E544,Assign!$C$2:$J$142,8,FALSE),)</f>
        <v>0</v>
      </c>
      <c r="H544" s="236" t="s">
        <v>4606</v>
      </c>
      <c r="I544" s="236">
        <v>1</v>
      </c>
      <c r="J544" s="236">
        <v>3</v>
      </c>
      <c r="K544" s="355" t="s">
        <v>1373</v>
      </c>
      <c r="L544" s="356">
        <v>42766</v>
      </c>
      <c r="M544" s="357" t="s">
        <v>204</v>
      </c>
      <c r="N544" s="416">
        <v>40000000</v>
      </c>
      <c r="O544" s="416">
        <v>40000000</v>
      </c>
      <c r="P544" s="358"/>
      <c r="Q544" s="320"/>
      <c r="R544" s="168"/>
      <c r="S544" s="168"/>
      <c r="T544" s="287"/>
      <c r="U544" s="264"/>
      <c r="V544" s="198"/>
    </row>
    <row r="545" spans="1:22" s="90" customFormat="1" ht="19.5" hidden="1" customHeight="1">
      <c r="A545" s="137"/>
      <c r="B545" s="197">
        <f t="shared" si="9"/>
        <v>535</v>
      </c>
      <c r="C545" s="30" t="s">
        <v>202</v>
      </c>
      <c r="D545" s="30" t="s">
        <v>225</v>
      </c>
      <c r="E545" s="234" t="s">
        <v>948</v>
      </c>
      <c r="F545" s="235" t="s">
        <v>1344</v>
      </c>
      <c r="G545" s="284">
        <f>IFERROR(VLOOKUP(E545,Assign!$C$2:$J$142,8,FALSE),)</f>
        <v>0</v>
      </c>
      <c r="H545" s="236" t="s">
        <v>5059</v>
      </c>
      <c r="I545" s="236">
        <v>1</v>
      </c>
      <c r="J545" s="236">
        <v>1</v>
      </c>
      <c r="K545" s="355" t="s">
        <v>1373</v>
      </c>
      <c r="L545" s="356">
        <v>44075</v>
      </c>
      <c r="M545" s="357" t="s">
        <v>204</v>
      </c>
      <c r="N545" s="416">
        <v>840000000</v>
      </c>
      <c r="O545" s="416">
        <v>840000000</v>
      </c>
      <c r="P545" s="358"/>
      <c r="Q545" s="320"/>
      <c r="R545" s="168"/>
      <c r="S545" s="168"/>
      <c r="T545" s="287"/>
      <c r="U545" s="264"/>
      <c r="V545" s="198"/>
    </row>
    <row r="546" spans="1:22" s="90" customFormat="1" ht="19.5" hidden="1" customHeight="1">
      <c r="A546" s="137"/>
      <c r="B546" s="197">
        <f t="shared" si="9"/>
        <v>536</v>
      </c>
      <c r="C546" s="30" t="s">
        <v>202</v>
      </c>
      <c r="D546" s="30" t="s">
        <v>225</v>
      </c>
      <c r="E546" s="234" t="s">
        <v>948</v>
      </c>
      <c r="F546" s="235" t="s">
        <v>1344</v>
      </c>
      <c r="G546" s="284">
        <f>IFERROR(VLOOKUP(E546,Assign!$C$2:$J$142,8,FALSE),)</f>
        <v>0</v>
      </c>
      <c r="H546" s="236" t="s">
        <v>5065</v>
      </c>
      <c r="I546" s="236">
        <v>2</v>
      </c>
      <c r="J546" s="236">
        <v>1</v>
      </c>
      <c r="K546" s="355" t="s">
        <v>1373</v>
      </c>
      <c r="L546" s="356">
        <v>44074</v>
      </c>
      <c r="M546" s="357" t="s">
        <v>204</v>
      </c>
      <c r="N546" s="416">
        <v>840000000</v>
      </c>
      <c r="O546" s="416">
        <v>840000000</v>
      </c>
      <c r="P546" s="358"/>
      <c r="Q546" s="320"/>
      <c r="R546" s="168"/>
      <c r="S546" s="168"/>
      <c r="T546" s="287"/>
      <c r="U546" s="264"/>
      <c r="V546" s="198"/>
    </row>
    <row r="547" spans="1:22" s="90" customFormat="1" ht="19.5" hidden="1" customHeight="1">
      <c r="A547" s="137"/>
      <c r="B547" s="197">
        <f t="shared" si="9"/>
        <v>537</v>
      </c>
      <c r="C547" s="30" t="s">
        <v>202</v>
      </c>
      <c r="D547" s="30" t="s">
        <v>225</v>
      </c>
      <c r="E547" s="234" t="s">
        <v>948</v>
      </c>
      <c r="F547" s="235" t="s">
        <v>1344</v>
      </c>
      <c r="G547" s="284">
        <f>IFERROR(VLOOKUP(E547,Assign!$C$2:$J$142,8,FALSE),)</f>
        <v>0</v>
      </c>
      <c r="H547" s="236" t="s">
        <v>5067</v>
      </c>
      <c r="I547" s="236">
        <v>3</v>
      </c>
      <c r="J547" s="236">
        <v>1</v>
      </c>
      <c r="K547" s="355" t="s">
        <v>1373</v>
      </c>
      <c r="L547" s="356">
        <v>43350</v>
      </c>
      <c r="M547" s="357" t="s">
        <v>204</v>
      </c>
      <c r="N547" s="416">
        <v>255000000</v>
      </c>
      <c r="O547" s="416">
        <v>255000000</v>
      </c>
      <c r="P547" s="358"/>
      <c r="Q547" s="320"/>
      <c r="R547" s="168"/>
      <c r="S547" s="168"/>
      <c r="T547" s="287"/>
      <c r="U547" s="264"/>
      <c r="V547" s="198"/>
    </row>
    <row r="548" spans="1:22" s="90" customFormat="1" ht="19.5" customHeight="1">
      <c r="A548" s="137"/>
      <c r="B548" s="197">
        <f t="shared" si="9"/>
        <v>538</v>
      </c>
      <c r="C548" s="30" t="s">
        <v>202</v>
      </c>
      <c r="D548" s="30" t="s">
        <v>225</v>
      </c>
      <c r="E548" s="234" t="s">
        <v>949</v>
      </c>
      <c r="F548" s="235" t="s">
        <v>1252</v>
      </c>
      <c r="G548" s="284" t="str">
        <f>IFERROR(VLOOKUP(E548,Assign!$C$2:$J$142,8,FALSE),)</f>
        <v>문선영</v>
      </c>
      <c r="H548" s="236" t="s">
        <v>5213</v>
      </c>
      <c r="I548" s="236">
        <v>1</v>
      </c>
      <c r="J548" s="236">
        <v>1</v>
      </c>
      <c r="K548" s="355" t="s">
        <v>1373</v>
      </c>
      <c r="L548" s="356">
        <v>44309</v>
      </c>
      <c r="M548" s="357" t="s">
        <v>204</v>
      </c>
      <c r="N548" s="416">
        <v>972000000</v>
      </c>
      <c r="O548" s="416">
        <v>972000000</v>
      </c>
      <c r="P548" s="358"/>
      <c r="Q548" s="320"/>
      <c r="R548" s="168"/>
      <c r="S548" s="168"/>
      <c r="T548" s="287"/>
      <c r="U548" s="264"/>
      <c r="V548" s="198"/>
    </row>
    <row r="549" spans="1:22" s="90" customFormat="1" ht="19.5" customHeight="1">
      <c r="A549" s="137"/>
      <c r="B549" s="197">
        <f t="shared" si="9"/>
        <v>539</v>
      </c>
      <c r="C549" s="30" t="s">
        <v>202</v>
      </c>
      <c r="D549" s="30" t="s">
        <v>225</v>
      </c>
      <c r="E549" s="234" t="s">
        <v>949</v>
      </c>
      <c r="F549" s="235" t="s">
        <v>1252</v>
      </c>
      <c r="G549" s="284" t="str">
        <f>IFERROR(VLOOKUP(E549,Assign!$C$2:$J$142,8,FALSE),)</f>
        <v>문선영</v>
      </c>
      <c r="H549" s="236" t="s">
        <v>5218</v>
      </c>
      <c r="I549" s="236">
        <v>2</v>
      </c>
      <c r="J549" s="236">
        <v>1</v>
      </c>
      <c r="K549" s="355" t="s">
        <v>1373</v>
      </c>
      <c r="L549" s="356">
        <v>43724</v>
      </c>
      <c r="M549" s="357" t="s">
        <v>204</v>
      </c>
      <c r="N549" s="416">
        <v>273600000</v>
      </c>
      <c r="O549" s="416">
        <v>273600000</v>
      </c>
      <c r="P549" s="358"/>
      <c r="Q549" s="320"/>
      <c r="R549" s="168"/>
      <c r="S549" s="168"/>
      <c r="T549" s="287"/>
      <c r="U549" s="264"/>
      <c r="V549" s="198"/>
    </row>
    <row r="550" spans="1:22" s="90" customFormat="1" ht="19.5" customHeight="1">
      <c r="A550" s="137"/>
      <c r="B550" s="197">
        <f t="shared" si="9"/>
        <v>540</v>
      </c>
      <c r="C550" s="30" t="s">
        <v>202</v>
      </c>
      <c r="D550" s="30" t="s">
        <v>225</v>
      </c>
      <c r="E550" s="234" t="s">
        <v>949</v>
      </c>
      <c r="F550" s="235" t="s">
        <v>1252</v>
      </c>
      <c r="G550" s="284" t="str">
        <f>IFERROR(VLOOKUP(E550,Assign!$C$2:$J$142,8,FALSE),)</f>
        <v>문선영</v>
      </c>
      <c r="H550" s="236" t="s">
        <v>5218</v>
      </c>
      <c r="I550" s="236">
        <v>2</v>
      </c>
      <c r="J550" s="236">
        <v>2</v>
      </c>
      <c r="K550" s="355" t="s">
        <v>1373</v>
      </c>
      <c r="L550" s="356">
        <v>44309</v>
      </c>
      <c r="M550" s="357" t="s">
        <v>204</v>
      </c>
      <c r="N550" s="416">
        <v>170400000</v>
      </c>
      <c r="O550" s="416">
        <v>170400000</v>
      </c>
      <c r="P550" s="358"/>
      <c r="Q550" s="320"/>
      <c r="R550" s="168"/>
      <c r="S550" s="168"/>
      <c r="T550" s="287"/>
      <c r="U550" s="264"/>
      <c r="V550" s="198"/>
    </row>
    <row r="551" spans="1:22" s="90" customFormat="1" ht="19.5" customHeight="1">
      <c r="A551" s="137"/>
      <c r="B551" s="197">
        <f t="shared" si="9"/>
        <v>541</v>
      </c>
      <c r="C551" s="30" t="s">
        <v>202</v>
      </c>
      <c r="D551" s="30" t="s">
        <v>225</v>
      </c>
      <c r="E551" s="234" t="s">
        <v>950</v>
      </c>
      <c r="F551" s="235" t="s">
        <v>1271</v>
      </c>
      <c r="G551" s="284" t="str">
        <f>IFERROR(VLOOKUP(E551,Assign!$C$2:$J$142,8,FALSE),)</f>
        <v>문선영</v>
      </c>
      <c r="H551" s="236" t="s">
        <v>4122</v>
      </c>
      <c r="I551" s="236">
        <v>1</v>
      </c>
      <c r="J551" s="236">
        <v>1</v>
      </c>
      <c r="K551" s="355" t="s">
        <v>1373</v>
      </c>
      <c r="L551" s="356">
        <v>45155</v>
      </c>
      <c r="M551" s="357" t="s">
        <v>204</v>
      </c>
      <c r="N551" s="416">
        <v>1080000000</v>
      </c>
      <c r="O551" s="416">
        <v>1080000000</v>
      </c>
      <c r="P551" s="358" t="s">
        <v>1411</v>
      </c>
      <c r="Q551" s="320"/>
      <c r="R551" s="168"/>
      <c r="S551" s="168"/>
      <c r="T551" s="287"/>
      <c r="U551" s="264"/>
      <c r="V551" s="198"/>
    </row>
    <row r="552" spans="1:22" s="90" customFormat="1" ht="19.5" customHeight="1">
      <c r="A552" s="137"/>
      <c r="B552" s="197">
        <f t="shared" si="9"/>
        <v>542</v>
      </c>
      <c r="C552" s="30" t="s">
        <v>202</v>
      </c>
      <c r="D552" s="30" t="s">
        <v>225</v>
      </c>
      <c r="E552" s="234" t="s">
        <v>950</v>
      </c>
      <c r="F552" s="235" t="s">
        <v>1271</v>
      </c>
      <c r="G552" s="284" t="str">
        <f>IFERROR(VLOOKUP(E552,Assign!$C$2:$J$142,8,FALSE),)</f>
        <v>문선영</v>
      </c>
      <c r="H552" s="236" t="s">
        <v>4125</v>
      </c>
      <c r="I552" s="236">
        <v>2</v>
      </c>
      <c r="J552" s="236">
        <v>1</v>
      </c>
      <c r="K552" s="355" t="s">
        <v>537</v>
      </c>
      <c r="L552" s="356">
        <v>44214</v>
      </c>
      <c r="M552" s="357" t="s">
        <v>204</v>
      </c>
      <c r="N552" s="416">
        <v>163000000</v>
      </c>
      <c r="O552" s="416">
        <v>163000000</v>
      </c>
      <c r="P552" s="358"/>
      <c r="Q552" s="320"/>
      <c r="R552" s="168"/>
      <c r="S552" s="168"/>
      <c r="T552" s="287"/>
      <c r="U552" s="264"/>
      <c r="V552" s="198"/>
    </row>
    <row r="553" spans="1:22" s="90" customFormat="1" ht="19.5" customHeight="1">
      <c r="A553" s="137"/>
      <c r="B553" s="197">
        <f t="shared" si="9"/>
        <v>543</v>
      </c>
      <c r="C553" s="30" t="s">
        <v>202</v>
      </c>
      <c r="D553" s="30" t="s">
        <v>225</v>
      </c>
      <c r="E553" s="234" t="s">
        <v>950</v>
      </c>
      <c r="F553" s="235" t="s">
        <v>1271</v>
      </c>
      <c r="G553" s="284" t="str">
        <f>IFERROR(VLOOKUP(E553,Assign!$C$2:$J$142,8,FALSE),)</f>
        <v>문선영</v>
      </c>
      <c r="H553" s="236" t="s">
        <v>4125</v>
      </c>
      <c r="I553" s="236">
        <v>2</v>
      </c>
      <c r="J553" s="236">
        <v>2</v>
      </c>
      <c r="K553" s="355" t="s">
        <v>1373</v>
      </c>
      <c r="L553" s="356">
        <v>45159</v>
      </c>
      <c r="M553" s="357" t="s">
        <v>204</v>
      </c>
      <c r="N553" s="416">
        <v>180000000</v>
      </c>
      <c r="O553" s="416">
        <v>180000000</v>
      </c>
      <c r="P553" s="358"/>
      <c r="Q553" s="320"/>
      <c r="R553" s="168"/>
      <c r="S553" s="168"/>
      <c r="T553" s="287"/>
      <c r="U553" s="264"/>
      <c r="V553" s="198"/>
    </row>
    <row r="554" spans="1:22" s="90" customFormat="1" ht="19.5" customHeight="1">
      <c r="A554" s="137"/>
      <c r="B554" s="197">
        <f t="shared" si="9"/>
        <v>544</v>
      </c>
      <c r="C554" s="30" t="s">
        <v>202</v>
      </c>
      <c r="D554" s="30" t="s">
        <v>225</v>
      </c>
      <c r="E554" s="234" t="s">
        <v>950</v>
      </c>
      <c r="F554" s="235" t="s">
        <v>1271</v>
      </c>
      <c r="G554" s="284" t="str">
        <f>IFERROR(VLOOKUP(E554,Assign!$C$2:$J$142,8,FALSE),)</f>
        <v>문선영</v>
      </c>
      <c r="H554" s="236" t="s">
        <v>4125</v>
      </c>
      <c r="I554" s="236">
        <v>2</v>
      </c>
      <c r="J554" s="236">
        <v>3</v>
      </c>
      <c r="K554" s="355" t="s">
        <v>1373</v>
      </c>
      <c r="L554" s="356">
        <v>45250</v>
      </c>
      <c r="M554" s="357" t="s">
        <v>204</v>
      </c>
      <c r="N554" s="416">
        <v>120000000</v>
      </c>
      <c r="O554" s="416">
        <v>120000000</v>
      </c>
      <c r="P554" s="358"/>
      <c r="Q554" s="320"/>
      <c r="R554" s="168"/>
      <c r="S554" s="168"/>
      <c r="T554" s="287"/>
      <c r="U554" s="264"/>
      <c r="V554" s="198"/>
    </row>
    <row r="555" spans="1:22" s="90" customFormat="1" ht="19.5" hidden="1" customHeight="1">
      <c r="A555" s="137"/>
      <c r="B555" s="197">
        <f t="shared" si="9"/>
        <v>545</v>
      </c>
      <c r="C555" s="30" t="s">
        <v>202</v>
      </c>
      <c r="D555" s="30" t="s">
        <v>225</v>
      </c>
      <c r="E555" s="234" t="s">
        <v>951</v>
      </c>
      <c r="F555" s="235" t="s">
        <v>1217</v>
      </c>
      <c r="G555" s="284">
        <f>IFERROR(VLOOKUP(E555,Assign!$C$2:$J$142,8,FALSE),)</f>
        <v>0</v>
      </c>
      <c r="H555" s="236" t="s">
        <v>4970</v>
      </c>
      <c r="I555" s="236">
        <v>1</v>
      </c>
      <c r="J555" s="236">
        <v>1</v>
      </c>
      <c r="K555" s="355" t="s">
        <v>1373</v>
      </c>
      <c r="L555" s="356">
        <v>44103</v>
      </c>
      <c r="M555" s="357" t="s">
        <v>204</v>
      </c>
      <c r="N555" s="416">
        <v>1680000000</v>
      </c>
      <c r="O555" s="416">
        <v>1680000000</v>
      </c>
      <c r="P555" s="358"/>
      <c r="Q555" s="320"/>
      <c r="R555" s="168"/>
      <c r="S555" s="168"/>
      <c r="T555" s="287"/>
      <c r="U555" s="264"/>
      <c r="V555" s="198"/>
    </row>
    <row r="556" spans="1:22" s="90" customFormat="1" ht="19.5" hidden="1" customHeight="1">
      <c r="A556" s="137"/>
      <c r="B556" s="197">
        <f t="shared" si="9"/>
        <v>546</v>
      </c>
      <c r="C556" s="30" t="s">
        <v>202</v>
      </c>
      <c r="D556" s="30" t="s">
        <v>225</v>
      </c>
      <c r="E556" s="234" t="s">
        <v>952</v>
      </c>
      <c r="F556" s="235" t="s">
        <v>1231</v>
      </c>
      <c r="G556" s="284">
        <f>IFERROR(VLOOKUP(E556,Assign!$C$2:$J$142,8,FALSE),)</f>
        <v>0</v>
      </c>
      <c r="H556" s="236" t="s">
        <v>4330</v>
      </c>
      <c r="I556" s="236">
        <v>1</v>
      </c>
      <c r="J556" s="236">
        <v>1</v>
      </c>
      <c r="K556" s="355" t="s">
        <v>1373</v>
      </c>
      <c r="L556" s="356">
        <v>38460</v>
      </c>
      <c r="M556" s="357" t="s">
        <v>204</v>
      </c>
      <c r="N556" s="416">
        <v>957600000</v>
      </c>
      <c r="O556" s="416">
        <v>957600000</v>
      </c>
      <c r="P556" s="358"/>
      <c r="Q556" s="320"/>
      <c r="R556" s="168"/>
      <c r="S556" s="168"/>
      <c r="T556" s="287"/>
      <c r="U556" s="264"/>
      <c r="V556" s="198"/>
    </row>
    <row r="557" spans="1:22" s="90" customFormat="1" ht="19.5" hidden="1" customHeight="1">
      <c r="A557" s="137"/>
      <c r="B557" s="197">
        <f t="shared" si="9"/>
        <v>547</v>
      </c>
      <c r="C557" s="30" t="s">
        <v>202</v>
      </c>
      <c r="D557" s="30" t="s">
        <v>225</v>
      </c>
      <c r="E557" s="234" t="s">
        <v>952</v>
      </c>
      <c r="F557" s="235" t="s">
        <v>1231</v>
      </c>
      <c r="G557" s="284">
        <f>IFERROR(VLOOKUP(E557,Assign!$C$2:$J$142,8,FALSE),)</f>
        <v>0</v>
      </c>
      <c r="H557" s="236" t="s">
        <v>4330</v>
      </c>
      <c r="I557" s="236">
        <v>1</v>
      </c>
      <c r="J557" s="236">
        <v>2</v>
      </c>
      <c r="K557" s="355" t="s">
        <v>1373</v>
      </c>
      <c r="L557" s="356">
        <v>38561</v>
      </c>
      <c r="M557" s="357" t="s">
        <v>204</v>
      </c>
      <c r="N557" s="416">
        <v>144000000</v>
      </c>
      <c r="O557" s="416">
        <v>144000000</v>
      </c>
      <c r="P557" s="358"/>
      <c r="Q557" s="320"/>
      <c r="R557" s="168"/>
      <c r="S557" s="168"/>
      <c r="T557" s="287"/>
      <c r="U557" s="264"/>
      <c r="V557" s="198"/>
    </row>
    <row r="558" spans="1:22" s="90" customFormat="1" ht="19.5" hidden="1" customHeight="1">
      <c r="A558" s="137"/>
      <c r="B558" s="197">
        <f t="shared" si="9"/>
        <v>548</v>
      </c>
      <c r="C558" s="30" t="s">
        <v>202</v>
      </c>
      <c r="D558" s="30" t="s">
        <v>225</v>
      </c>
      <c r="E558" s="234" t="s">
        <v>952</v>
      </c>
      <c r="F558" s="235" t="s">
        <v>1231</v>
      </c>
      <c r="G558" s="284">
        <f>IFERROR(VLOOKUP(E558,Assign!$C$2:$J$142,8,FALSE),)</f>
        <v>0</v>
      </c>
      <c r="H558" s="236" t="s">
        <v>4330</v>
      </c>
      <c r="I558" s="236">
        <v>1</v>
      </c>
      <c r="J558" s="236">
        <v>3</v>
      </c>
      <c r="K558" s="355" t="s">
        <v>1373</v>
      </c>
      <c r="L558" s="356">
        <v>38757</v>
      </c>
      <c r="M558" s="357" t="s">
        <v>204</v>
      </c>
      <c r="N558" s="416">
        <v>120000000</v>
      </c>
      <c r="O558" s="416">
        <v>120000000</v>
      </c>
      <c r="P558" s="358"/>
      <c r="Q558" s="320"/>
      <c r="R558" s="168"/>
      <c r="S558" s="168"/>
      <c r="T558" s="287"/>
      <c r="U558" s="264"/>
      <c r="V558" s="198"/>
    </row>
    <row r="559" spans="1:22" s="90" customFormat="1" ht="19.5" hidden="1" customHeight="1">
      <c r="A559" s="137"/>
      <c r="B559" s="197">
        <f t="shared" si="9"/>
        <v>549</v>
      </c>
      <c r="C559" s="30" t="s">
        <v>202</v>
      </c>
      <c r="D559" s="30" t="s">
        <v>225</v>
      </c>
      <c r="E559" s="234" t="s">
        <v>952</v>
      </c>
      <c r="F559" s="235" t="s">
        <v>1231</v>
      </c>
      <c r="G559" s="284">
        <f>IFERROR(VLOOKUP(E559,Assign!$C$2:$J$142,8,FALSE),)</f>
        <v>0</v>
      </c>
      <c r="H559" s="236" t="s">
        <v>4330</v>
      </c>
      <c r="I559" s="236">
        <v>1</v>
      </c>
      <c r="J559" s="236">
        <v>4</v>
      </c>
      <c r="K559" s="355" t="s">
        <v>1373</v>
      </c>
      <c r="L559" s="356">
        <v>41408</v>
      </c>
      <c r="M559" s="357" t="s">
        <v>204</v>
      </c>
      <c r="N559" s="416">
        <v>30000000</v>
      </c>
      <c r="O559" s="416">
        <v>30000000</v>
      </c>
      <c r="P559" s="358"/>
      <c r="Q559" s="320"/>
      <c r="R559" s="168"/>
      <c r="S559" s="168"/>
      <c r="T559" s="287"/>
      <c r="U559" s="264"/>
      <c r="V559" s="198"/>
    </row>
    <row r="560" spans="1:22" s="90" customFormat="1" ht="19.5" customHeight="1">
      <c r="A560" s="137"/>
      <c r="B560" s="197">
        <f t="shared" si="9"/>
        <v>550</v>
      </c>
      <c r="C560" s="30" t="s">
        <v>202</v>
      </c>
      <c r="D560" s="30" t="s">
        <v>225</v>
      </c>
      <c r="E560" s="234" t="s">
        <v>954</v>
      </c>
      <c r="F560" s="235" t="s">
        <v>1346</v>
      </c>
      <c r="G560" s="284" t="str">
        <f>IFERROR(VLOOKUP(E560,Assign!$C$2:$J$142,8,FALSE),)</f>
        <v>문선영</v>
      </c>
      <c r="H560" s="236" t="s">
        <v>5022</v>
      </c>
      <c r="I560" s="236">
        <v>1</v>
      </c>
      <c r="J560" s="236">
        <v>1</v>
      </c>
      <c r="K560" s="355" t="s">
        <v>486</v>
      </c>
      <c r="L560" s="356">
        <v>43691</v>
      </c>
      <c r="M560" s="357" t="s">
        <v>204</v>
      </c>
      <c r="N560" s="416">
        <v>960000000</v>
      </c>
      <c r="O560" s="416">
        <v>960000000</v>
      </c>
      <c r="P560" s="358"/>
      <c r="Q560" s="320">
        <v>2</v>
      </c>
      <c r="R560" s="168"/>
      <c r="S560" s="168"/>
      <c r="T560" s="287"/>
      <c r="U560" s="264"/>
      <c r="V560" s="198"/>
    </row>
    <row r="561" spans="1:22" s="90" customFormat="1" ht="19.5" customHeight="1">
      <c r="A561" s="137"/>
      <c r="B561" s="197">
        <f t="shared" si="9"/>
        <v>551</v>
      </c>
      <c r="C561" s="30" t="s">
        <v>202</v>
      </c>
      <c r="D561" s="30" t="s">
        <v>225</v>
      </c>
      <c r="E561" s="234" t="s">
        <v>954</v>
      </c>
      <c r="F561" s="235" t="s">
        <v>1346</v>
      </c>
      <c r="G561" s="284" t="str">
        <f>IFERROR(VLOOKUP(E561,Assign!$C$2:$J$142,8,FALSE),)</f>
        <v>문선영</v>
      </c>
      <c r="H561" s="236" t="s">
        <v>5022</v>
      </c>
      <c r="I561" s="236">
        <v>1</v>
      </c>
      <c r="J561" s="236">
        <v>2</v>
      </c>
      <c r="K561" s="355" t="s">
        <v>486</v>
      </c>
      <c r="L561" s="356">
        <v>44279</v>
      </c>
      <c r="M561" s="357" t="s">
        <v>1</v>
      </c>
      <c r="N561" s="416">
        <v>240000</v>
      </c>
      <c r="O561" s="416">
        <v>342384000</v>
      </c>
      <c r="P561" s="358"/>
      <c r="Q561" s="320">
        <v>2</v>
      </c>
      <c r="R561" s="168"/>
      <c r="S561" s="168"/>
      <c r="T561" s="287"/>
      <c r="U561" s="264"/>
      <c r="V561" s="198"/>
    </row>
    <row r="562" spans="1:22" s="90" customFormat="1" ht="19.5" customHeight="1">
      <c r="A562" s="137"/>
      <c r="B562" s="197">
        <f t="shared" si="9"/>
        <v>552</v>
      </c>
      <c r="C562" s="30" t="s">
        <v>202</v>
      </c>
      <c r="D562" s="30" t="s">
        <v>225</v>
      </c>
      <c r="E562" s="234" t="s">
        <v>954</v>
      </c>
      <c r="F562" s="235" t="s">
        <v>1346</v>
      </c>
      <c r="G562" s="284" t="str">
        <f>IFERROR(VLOOKUP(E562,Assign!$C$2:$J$142,8,FALSE),)</f>
        <v>문선영</v>
      </c>
      <c r="H562" s="236" t="s">
        <v>5022</v>
      </c>
      <c r="I562" s="236">
        <v>1</v>
      </c>
      <c r="J562" s="236">
        <v>3</v>
      </c>
      <c r="K562" s="355" t="s">
        <v>1373</v>
      </c>
      <c r="L562" s="356">
        <v>44827</v>
      </c>
      <c r="M562" s="357" t="s">
        <v>1</v>
      </c>
      <c r="N562" s="416">
        <v>84000</v>
      </c>
      <c r="O562" s="416">
        <v>119834399.99999999</v>
      </c>
      <c r="P562" s="358"/>
      <c r="Q562" s="320">
        <v>2</v>
      </c>
      <c r="R562" s="168"/>
      <c r="S562" s="168"/>
      <c r="T562" s="287"/>
      <c r="U562" s="264"/>
      <c r="V562" s="198"/>
    </row>
    <row r="563" spans="1:22" s="90" customFormat="1" ht="19.5" customHeight="1">
      <c r="A563" s="137"/>
      <c r="B563" s="197">
        <f t="shared" si="9"/>
        <v>553</v>
      </c>
      <c r="C563" s="30" t="s">
        <v>202</v>
      </c>
      <c r="D563" s="30" t="s">
        <v>225</v>
      </c>
      <c r="E563" s="234" t="s">
        <v>954</v>
      </c>
      <c r="F563" s="235" t="s">
        <v>1346</v>
      </c>
      <c r="G563" s="284" t="str">
        <f>IFERROR(VLOOKUP(E563,Assign!$C$2:$J$142,8,FALSE),)</f>
        <v>문선영</v>
      </c>
      <c r="H563" s="236" t="s">
        <v>5024</v>
      </c>
      <c r="I563" s="236">
        <v>2</v>
      </c>
      <c r="J563" s="236">
        <v>1</v>
      </c>
      <c r="K563" s="355" t="s">
        <v>486</v>
      </c>
      <c r="L563" s="356">
        <v>43691</v>
      </c>
      <c r="M563" s="357" t="s">
        <v>204</v>
      </c>
      <c r="N563" s="416">
        <v>960000000</v>
      </c>
      <c r="O563" s="416">
        <v>960000000</v>
      </c>
      <c r="P563" s="358"/>
      <c r="Q563" s="320">
        <v>1</v>
      </c>
      <c r="R563" s="168"/>
      <c r="S563" s="168"/>
      <c r="T563" s="287"/>
      <c r="U563" s="264"/>
      <c r="V563" s="198"/>
    </row>
    <row r="564" spans="1:22" s="90" customFormat="1" ht="19.5" customHeight="1">
      <c r="A564" s="137"/>
      <c r="B564" s="197">
        <f t="shared" si="9"/>
        <v>554</v>
      </c>
      <c r="C564" s="30" t="s">
        <v>202</v>
      </c>
      <c r="D564" s="30" t="s">
        <v>225</v>
      </c>
      <c r="E564" s="234" t="s">
        <v>954</v>
      </c>
      <c r="F564" s="235" t="s">
        <v>1346</v>
      </c>
      <c r="G564" s="284" t="str">
        <f>IFERROR(VLOOKUP(E564,Assign!$C$2:$J$142,8,FALSE),)</f>
        <v>문선영</v>
      </c>
      <c r="H564" s="236" t="s">
        <v>5024</v>
      </c>
      <c r="I564" s="236">
        <v>2</v>
      </c>
      <c r="J564" s="236">
        <v>2</v>
      </c>
      <c r="K564" s="355" t="s">
        <v>486</v>
      </c>
      <c r="L564" s="356">
        <v>44279</v>
      </c>
      <c r="M564" s="357" t="s">
        <v>1</v>
      </c>
      <c r="N564" s="416">
        <v>240000</v>
      </c>
      <c r="O564" s="416">
        <v>342384000</v>
      </c>
      <c r="P564" s="358"/>
      <c r="Q564" s="320">
        <v>1</v>
      </c>
      <c r="R564" s="168"/>
      <c r="S564" s="168"/>
      <c r="T564" s="287"/>
      <c r="U564" s="264"/>
      <c r="V564" s="198"/>
    </row>
    <row r="565" spans="1:22" s="90" customFormat="1" ht="19.5" customHeight="1">
      <c r="A565" s="137"/>
      <c r="B565" s="197">
        <f t="shared" si="9"/>
        <v>555</v>
      </c>
      <c r="C565" s="30" t="s">
        <v>202</v>
      </c>
      <c r="D565" s="30" t="s">
        <v>225</v>
      </c>
      <c r="E565" s="234" t="s">
        <v>954</v>
      </c>
      <c r="F565" s="235" t="s">
        <v>1346</v>
      </c>
      <c r="G565" s="284" t="str">
        <f>IFERROR(VLOOKUP(E565,Assign!$C$2:$J$142,8,FALSE),)</f>
        <v>문선영</v>
      </c>
      <c r="H565" s="236" t="s">
        <v>5024</v>
      </c>
      <c r="I565" s="236">
        <v>2</v>
      </c>
      <c r="J565" s="236">
        <v>3</v>
      </c>
      <c r="K565" s="355" t="s">
        <v>1373</v>
      </c>
      <c r="L565" s="356">
        <v>44827</v>
      </c>
      <c r="M565" s="357" t="s">
        <v>1</v>
      </c>
      <c r="N565" s="416">
        <v>84000</v>
      </c>
      <c r="O565" s="416">
        <v>119834399.99999999</v>
      </c>
      <c r="P565" s="358"/>
      <c r="Q565" s="320">
        <v>1</v>
      </c>
      <c r="R565" s="168"/>
      <c r="S565" s="168"/>
      <c r="T565" s="287"/>
      <c r="U565" s="264"/>
      <c r="V565" s="198"/>
    </row>
    <row r="566" spans="1:22" s="90" customFormat="1" ht="19.5" customHeight="1">
      <c r="A566" s="137"/>
      <c r="B566" s="197">
        <f t="shared" si="9"/>
        <v>556</v>
      </c>
      <c r="C566" s="30" t="s">
        <v>202</v>
      </c>
      <c r="D566" s="30" t="s">
        <v>225</v>
      </c>
      <c r="E566" s="234" t="s">
        <v>955</v>
      </c>
      <c r="F566" s="235" t="s">
        <v>1347</v>
      </c>
      <c r="G566" s="284" t="str">
        <f>IFERROR(VLOOKUP(E566,Assign!$C$2:$J$142,8,FALSE),)</f>
        <v>문선영</v>
      </c>
      <c r="H566" s="236" t="s">
        <v>5562</v>
      </c>
      <c r="I566" s="236">
        <v>1</v>
      </c>
      <c r="J566" s="236">
        <v>1</v>
      </c>
      <c r="K566" s="355" t="s">
        <v>1386</v>
      </c>
      <c r="L566" s="356">
        <v>43676</v>
      </c>
      <c r="M566" s="357" t="s">
        <v>204</v>
      </c>
      <c r="N566" s="416">
        <v>48000000</v>
      </c>
      <c r="O566" s="416">
        <v>48000000</v>
      </c>
      <c r="P566" s="358"/>
      <c r="Q566" s="320"/>
      <c r="R566" s="168"/>
      <c r="S566" s="168"/>
      <c r="T566" s="287"/>
      <c r="U566" s="264"/>
      <c r="V566" s="198" t="s">
        <v>5589</v>
      </c>
    </row>
    <row r="567" spans="1:22" s="90" customFormat="1" ht="19.5" customHeight="1">
      <c r="A567" s="137"/>
      <c r="B567" s="197">
        <f t="shared" si="9"/>
        <v>557</v>
      </c>
      <c r="C567" s="30" t="s">
        <v>202</v>
      </c>
      <c r="D567" s="30" t="s">
        <v>225</v>
      </c>
      <c r="E567" s="234" t="s">
        <v>955</v>
      </c>
      <c r="F567" s="235" t="s">
        <v>1347</v>
      </c>
      <c r="G567" s="284" t="str">
        <f>IFERROR(VLOOKUP(E567,Assign!$C$2:$J$142,8,FALSE),)</f>
        <v>문선영</v>
      </c>
      <c r="H567" s="236" t="s">
        <v>5562</v>
      </c>
      <c r="I567" s="236">
        <v>1</v>
      </c>
      <c r="J567" s="236">
        <v>2</v>
      </c>
      <c r="K567" s="355" t="s">
        <v>1373</v>
      </c>
      <c r="L567" s="356">
        <v>43676</v>
      </c>
      <c r="M567" s="357" t="s">
        <v>204</v>
      </c>
      <c r="N567" s="416">
        <v>1248000000</v>
      </c>
      <c r="O567" s="416">
        <v>1248000000</v>
      </c>
      <c r="P567" s="358"/>
      <c r="Q567" s="320">
        <v>2</v>
      </c>
      <c r="R567" s="168"/>
      <c r="S567" s="168"/>
      <c r="T567" s="287"/>
      <c r="U567" s="264"/>
      <c r="V567" s="198"/>
    </row>
    <row r="568" spans="1:22" s="90" customFormat="1" ht="19.5" customHeight="1">
      <c r="A568" s="137"/>
      <c r="B568" s="197">
        <f t="shared" si="9"/>
        <v>558</v>
      </c>
      <c r="C568" s="30" t="s">
        <v>202</v>
      </c>
      <c r="D568" s="30" t="s">
        <v>225</v>
      </c>
      <c r="E568" s="234" t="s">
        <v>955</v>
      </c>
      <c r="F568" s="235" t="s">
        <v>1347</v>
      </c>
      <c r="G568" s="284" t="str">
        <f>IFERROR(VLOOKUP(E568,Assign!$C$2:$J$142,8,FALSE),)</f>
        <v>문선영</v>
      </c>
      <c r="H568" s="236" t="s">
        <v>5571</v>
      </c>
      <c r="I568" s="236">
        <v>2</v>
      </c>
      <c r="J568" s="236">
        <v>1</v>
      </c>
      <c r="K568" s="355" t="s">
        <v>1386</v>
      </c>
      <c r="L568" s="356">
        <v>43676</v>
      </c>
      <c r="M568" s="357" t="s">
        <v>204</v>
      </c>
      <c r="N568" s="416">
        <v>48000000</v>
      </c>
      <c r="O568" s="416">
        <v>48000000</v>
      </c>
      <c r="P568" s="358"/>
      <c r="Q568" s="320"/>
      <c r="R568" s="168"/>
      <c r="S568" s="168"/>
      <c r="T568" s="287"/>
      <c r="U568" s="264"/>
      <c r="V568" s="198" t="s">
        <v>5589</v>
      </c>
    </row>
    <row r="569" spans="1:22" s="90" customFormat="1" ht="19.5" customHeight="1">
      <c r="A569" s="137"/>
      <c r="B569" s="197">
        <f t="shared" si="9"/>
        <v>559</v>
      </c>
      <c r="C569" s="30" t="s">
        <v>202</v>
      </c>
      <c r="D569" s="30" t="s">
        <v>225</v>
      </c>
      <c r="E569" s="234" t="s">
        <v>955</v>
      </c>
      <c r="F569" s="235" t="s">
        <v>1347</v>
      </c>
      <c r="G569" s="284" t="str">
        <f>IFERROR(VLOOKUP(E569,Assign!$C$2:$J$142,8,FALSE),)</f>
        <v>문선영</v>
      </c>
      <c r="H569" s="236" t="s">
        <v>5571</v>
      </c>
      <c r="I569" s="236">
        <v>2</v>
      </c>
      <c r="J569" s="236">
        <v>2</v>
      </c>
      <c r="K569" s="355" t="s">
        <v>1373</v>
      </c>
      <c r="L569" s="356">
        <v>43676</v>
      </c>
      <c r="M569" s="357" t="s">
        <v>204</v>
      </c>
      <c r="N569" s="416">
        <v>1248000000</v>
      </c>
      <c r="O569" s="416">
        <v>1248000000</v>
      </c>
      <c r="P569" s="358"/>
      <c r="Q569" s="320">
        <v>1</v>
      </c>
      <c r="R569" s="168"/>
      <c r="S569" s="168"/>
      <c r="T569" s="287"/>
      <c r="U569" s="264"/>
      <c r="V569" s="198"/>
    </row>
    <row r="570" spans="1:22" s="90" customFormat="1" ht="19.5" hidden="1" customHeight="1">
      <c r="A570" s="137"/>
      <c r="B570" s="197">
        <f t="shared" si="9"/>
        <v>560</v>
      </c>
      <c r="C570" s="30" t="s">
        <v>202</v>
      </c>
      <c r="D570" s="30" t="s">
        <v>225</v>
      </c>
      <c r="E570" s="234" t="s">
        <v>956</v>
      </c>
      <c r="F570" s="235" t="s">
        <v>1348</v>
      </c>
      <c r="G570" s="284">
        <f>IFERROR(VLOOKUP(E570,Assign!$C$2:$J$142,8,FALSE),)</f>
        <v>0</v>
      </c>
      <c r="H570" s="236" t="s">
        <v>5355</v>
      </c>
      <c r="I570" s="236">
        <v>1</v>
      </c>
      <c r="J570" s="236">
        <v>1</v>
      </c>
      <c r="K570" s="355" t="s">
        <v>1373</v>
      </c>
      <c r="L570" s="356">
        <v>44547</v>
      </c>
      <c r="M570" s="357" t="s">
        <v>204</v>
      </c>
      <c r="N570" s="416">
        <v>1080000000</v>
      </c>
      <c r="O570" s="416">
        <v>1080000000</v>
      </c>
      <c r="P570" s="358"/>
      <c r="Q570" s="320"/>
      <c r="R570" s="168"/>
      <c r="S570" s="168"/>
      <c r="T570" s="287"/>
      <c r="U570" s="264"/>
      <c r="V570" s="198"/>
    </row>
    <row r="571" spans="1:22" s="90" customFormat="1" ht="19.5" hidden="1" customHeight="1">
      <c r="A571" s="137"/>
      <c r="B571" s="197">
        <f t="shared" si="9"/>
        <v>561</v>
      </c>
      <c r="C571" s="30" t="s">
        <v>202</v>
      </c>
      <c r="D571" s="30" t="s">
        <v>225</v>
      </c>
      <c r="E571" s="234" t="s">
        <v>957</v>
      </c>
      <c r="F571" s="235" t="s">
        <v>1220</v>
      </c>
      <c r="G571" s="284">
        <f>IFERROR(VLOOKUP(E571,Assign!$C$2:$J$142,8,FALSE),)</f>
        <v>0</v>
      </c>
      <c r="H571" s="236" t="s">
        <v>4177</v>
      </c>
      <c r="I571" s="236">
        <v>1</v>
      </c>
      <c r="J571" s="236">
        <v>1</v>
      </c>
      <c r="K571" s="355" t="s">
        <v>1373</v>
      </c>
      <c r="L571" s="356">
        <v>45390</v>
      </c>
      <c r="M571" s="357" t="s">
        <v>204</v>
      </c>
      <c r="N571" s="416">
        <v>1056000000</v>
      </c>
      <c r="O571" s="416">
        <v>1056000000</v>
      </c>
      <c r="P571" s="358"/>
      <c r="Q571" s="320"/>
      <c r="R571" s="168"/>
      <c r="S571" s="168"/>
      <c r="T571" s="287"/>
      <c r="U571" s="264"/>
      <c r="V571" s="198"/>
    </row>
    <row r="572" spans="1:22" s="90" customFormat="1" ht="19.5" customHeight="1">
      <c r="A572" s="137"/>
      <c r="B572" s="197">
        <f t="shared" si="9"/>
        <v>562</v>
      </c>
      <c r="C572" s="30" t="s">
        <v>202</v>
      </c>
      <c r="D572" s="30" t="s">
        <v>225</v>
      </c>
      <c r="E572" s="234" t="s">
        <v>958</v>
      </c>
      <c r="F572" s="235" t="s">
        <v>1274</v>
      </c>
      <c r="G572" s="284" t="str">
        <f>IFERROR(VLOOKUP(E572,Assign!$C$2:$J$142,8,FALSE),)</f>
        <v>문선영</v>
      </c>
      <c r="H572" s="236" t="s">
        <v>5245</v>
      </c>
      <c r="I572" s="236">
        <v>1</v>
      </c>
      <c r="J572" s="236">
        <v>1</v>
      </c>
      <c r="K572" s="355" t="s">
        <v>1373</v>
      </c>
      <c r="L572" s="356">
        <v>43774</v>
      </c>
      <c r="M572" s="357" t="s">
        <v>204</v>
      </c>
      <c r="N572" s="416">
        <v>840000000</v>
      </c>
      <c r="O572" s="416">
        <v>840000000</v>
      </c>
      <c r="P572" s="358"/>
      <c r="Q572" s="320"/>
      <c r="R572" s="168"/>
      <c r="S572" s="168"/>
      <c r="T572" s="287"/>
      <c r="U572" s="264"/>
      <c r="V572" s="198"/>
    </row>
    <row r="573" spans="1:22" s="90" customFormat="1" ht="19.5" customHeight="1">
      <c r="A573" s="137"/>
      <c r="B573" s="197">
        <f t="shared" si="9"/>
        <v>563</v>
      </c>
      <c r="C573" s="30" t="s">
        <v>202</v>
      </c>
      <c r="D573" s="30" t="s">
        <v>225</v>
      </c>
      <c r="E573" s="234" t="s">
        <v>958</v>
      </c>
      <c r="F573" s="235" t="s">
        <v>1274</v>
      </c>
      <c r="G573" s="284" t="str">
        <f>IFERROR(VLOOKUP(E573,Assign!$C$2:$J$142,8,FALSE),)</f>
        <v>문선영</v>
      </c>
      <c r="H573" s="236" t="s">
        <v>5245</v>
      </c>
      <c r="I573" s="236">
        <v>1</v>
      </c>
      <c r="J573" s="236">
        <v>2</v>
      </c>
      <c r="K573" s="355" t="s">
        <v>1373</v>
      </c>
      <c r="L573" s="356">
        <v>44322</v>
      </c>
      <c r="M573" s="357" t="s">
        <v>204</v>
      </c>
      <c r="N573" s="416">
        <v>144000000</v>
      </c>
      <c r="O573" s="416">
        <v>144000000</v>
      </c>
      <c r="P573" s="358"/>
      <c r="Q573" s="320"/>
      <c r="R573" s="168"/>
      <c r="S573" s="168"/>
      <c r="T573" s="287"/>
      <c r="U573" s="264"/>
      <c r="V573" s="198"/>
    </row>
    <row r="574" spans="1:22" s="90" customFormat="1" ht="19.5" customHeight="1">
      <c r="A574" s="137"/>
      <c r="B574" s="197">
        <f t="shared" si="9"/>
        <v>564</v>
      </c>
      <c r="C574" s="30" t="s">
        <v>202</v>
      </c>
      <c r="D574" s="30" t="s">
        <v>225</v>
      </c>
      <c r="E574" s="234" t="s">
        <v>959</v>
      </c>
      <c r="F574" s="235" t="s">
        <v>1221</v>
      </c>
      <c r="G574" s="284" t="str">
        <f>IFERROR(VLOOKUP(E574,Assign!$C$2:$J$142,8,FALSE),)</f>
        <v>문선영</v>
      </c>
      <c r="H574" s="236" t="s">
        <v>4191</v>
      </c>
      <c r="I574" s="236">
        <v>1</v>
      </c>
      <c r="J574" s="236">
        <v>1</v>
      </c>
      <c r="K574" s="355" t="s">
        <v>1373</v>
      </c>
      <c r="L574" s="356">
        <v>45595</v>
      </c>
      <c r="M574" s="357" t="s">
        <v>204</v>
      </c>
      <c r="N574" s="416">
        <v>960000000</v>
      </c>
      <c r="O574" s="416">
        <v>960000000</v>
      </c>
      <c r="P574" s="358"/>
      <c r="Q574" s="320"/>
      <c r="R574" s="168"/>
      <c r="S574" s="168"/>
      <c r="T574" s="287"/>
      <c r="U574" s="264"/>
      <c r="V574" s="198"/>
    </row>
    <row r="575" spans="1:22" s="90" customFormat="1" ht="19.5" customHeight="1">
      <c r="A575" s="137"/>
      <c r="B575" s="197">
        <f t="shared" si="9"/>
        <v>565</v>
      </c>
      <c r="C575" s="30" t="s">
        <v>202</v>
      </c>
      <c r="D575" s="30" t="s">
        <v>225</v>
      </c>
      <c r="E575" s="234" t="s">
        <v>960</v>
      </c>
      <c r="F575" s="235" t="s">
        <v>1349</v>
      </c>
      <c r="G575" s="284" t="str">
        <f>IFERROR(VLOOKUP(E575,Assign!$C$2:$J$142,8,FALSE),)</f>
        <v>문선영</v>
      </c>
      <c r="H575" s="236" t="s">
        <v>5400</v>
      </c>
      <c r="I575" s="236">
        <v>1</v>
      </c>
      <c r="J575" s="236">
        <v>1</v>
      </c>
      <c r="K575" s="355" t="s">
        <v>1373</v>
      </c>
      <c r="L575" s="356">
        <v>44697</v>
      </c>
      <c r="M575" s="357" t="s">
        <v>204</v>
      </c>
      <c r="N575" s="416">
        <v>900000000</v>
      </c>
      <c r="O575" s="416">
        <v>900000000</v>
      </c>
      <c r="P575" s="358"/>
      <c r="Q575" s="320"/>
      <c r="R575" s="168"/>
      <c r="S575" s="168"/>
      <c r="T575" s="287"/>
      <c r="U575" s="264"/>
      <c r="V575" s="198"/>
    </row>
    <row r="576" spans="1:22" s="90" customFormat="1" ht="19.5" hidden="1" customHeight="1">
      <c r="A576" s="137"/>
      <c r="B576" s="197">
        <f t="shared" si="9"/>
        <v>566</v>
      </c>
      <c r="C576" s="30" t="s">
        <v>202</v>
      </c>
      <c r="D576" s="30" t="s">
        <v>225</v>
      </c>
      <c r="E576" s="234" t="s">
        <v>961</v>
      </c>
      <c r="F576" s="235" t="s">
        <v>1275</v>
      </c>
      <c r="G576" s="284">
        <f>IFERROR(VLOOKUP(E576,Assign!$C$2:$J$142,8,FALSE),)</f>
        <v>0</v>
      </c>
      <c r="H576" s="236" t="s">
        <v>5233</v>
      </c>
      <c r="I576" s="236">
        <v>1</v>
      </c>
      <c r="J576" s="236">
        <v>1</v>
      </c>
      <c r="K576" s="355" t="s">
        <v>1373</v>
      </c>
      <c r="L576" s="356">
        <v>44833</v>
      </c>
      <c r="M576" s="357" t="s">
        <v>204</v>
      </c>
      <c r="N576" s="416">
        <v>288000000</v>
      </c>
      <c r="O576" s="416">
        <v>288000000</v>
      </c>
      <c r="P576" s="358"/>
      <c r="Q576" s="320"/>
      <c r="R576" s="168"/>
      <c r="S576" s="168"/>
      <c r="T576" s="287"/>
      <c r="U576" s="264"/>
      <c r="V576" s="198"/>
    </row>
    <row r="577" spans="1:22" s="90" customFormat="1" ht="19.5" hidden="1" customHeight="1">
      <c r="A577" s="137"/>
      <c r="B577" s="197">
        <f t="shared" si="9"/>
        <v>567</v>
      </c>
      <c r="C577" s="30" t="s">
        <v>202</v>
      </c>
      <c r="D577" s="30" t="s">
        <v>225</v>
      </c>
      <c r="E577" s="234" t="s">
        <v>961</v>
      </c>
      <c r="F577" s="235" t="s">
        <v>1275</v>
      </c>
      <c r="G577" s="284">
        <f>IFERROR(VLOOKUP(E577,Assign!$C$2:$J$142,8,FALSE),)</f>
        <v>0</v>
      </c>
      <c r="H577" s="236" t="s">
        <v>5233</v>
      </c>
      <c r="I577" s="236">
        <v>1</v>
      </c>
      <c r="J577" s="236">
        <v>2</v>
      </c>
      <c r="K577" s="355" t="s">
        <v>1373</v>
      </c>
      <c r="L577" s="356">
        <v>44833</v>
      </c>
      <c r="M577" s="357" t="s">
        <v>204</v>
      </c>
      <c r="N577" s="416">
        <v>360000000</v>
      </c>
      <c r="O577" s="416">
        <v>360000000</v>
      </c>
      <c r="P577" s="358"/>
      <c r="Q577" s="320">
        <v>2</v>
      </c>
      <c r="R577" s="168"/>
      <c r="S577" s="168"/>
      <c r="T577" s="287"/>
      <c r="U577" s="264"/>
      <c r="V577" s="198"/>
    </row>
    <row r="578" spans="1:22" s="90" customFormat="1" ht="19.5" hidden="1" customHeight="1">
      <c r="A578" s="137"/>
      <c r="B578" s="197">
        <f t="shared" si="9"/>
        <v>568</v>
      </c>
      <c r="C578" s="30" t="s">
        <v>202</v>
      </c>
      <c r="D578" s="30" t="s">
        <v>225</v>
      </c>
      <c r="E578" s="234" t="s">
        <v>961</v>
      </c>
      <c r="F578" s="235" t="s">
        <v>1275</v>
      </c>
      <c r="G578" s="284">
        <f>IFERROR(VLOOKUP(E578,Assign!$C$2:$J$142,8,FALSE),)</f>
        <v>0</v>
      </c>
      <c r="H578" s="236" t="s">
        <v>5235</v>
      </c>
      <c r="I578" s="236">
        <v>2</v>
      </c>
      <c r="J578" s="236">
        <v>1</v>
      </c>
      <c r="K578" s="355" t="s">
        <v>1373</v>
      </c>
      <c r="L578" s="356">
        <v>44833</v>
      </c>
      <c r="M578" s="357" t="s">
        <v>204</v>
      </c>
      <c r="N578" s="416">
        <v>266400000</v>
      </c>
      <c r="O578" s="416">
        <v>266400000</v>
      </c>
      <c r="P578" s="358"/>
      <c r="Q578" s="320"/>
      <c r="R578" s="168"/>
      <c r="S578" s="168"/>
      <c r="T578" s="287"/>
      <c r="U578" s="264"/>
      <c r="V578" s="198"/>
    </row>
    <row r="579" spans="1:22" s="90" customFormat="1" ht="19.5" hidden="1" customHeight="1">
      <c r="A579" s="137"/>
      <c r="B579" s="197">
        <f t="shared" si="9"/>
        <v>569</v>
      </c>
      <c r="C579" s="30" t="s">
        <v>202</v>
      </c>
      <c r="D579" s="30" t="s">
        <v>225</v>
      </c>
      <c r="E579" s="234" t="s">
        <v>961</v>
      </c>
      <c r="F579" s="235" t="s">
        <v>1275</v>
      </c>
      <c r="G579" s="284">
        <f>IFERROR(VLOOKUP(E579,Assign!$C$2:$J$142,8,FALSE),)</f>
        <v>0</v>
      </c>
      <c r="H579" s="236" t="s">
        <v>5235</v>
      </c>
      <c r="I579" s="236">
        <v>2</v>
      </c>
      <c r="J579" s="236">
        <v>2</v>
      </c>
      <c r="K579" s="355" t="s">
        <v>1373</v>
      </c>
      <c r="L579" s="356">
        <v>44833</v>
      </c>
      <c r="M579" s="357" t="s">
        <v>204</v>
      </c>
      <c r="N579" s="416">
        <v>360000000</v>
      </c>
      <c r="O579" s="416">
        <v>360000000</v>
      </c>
      <c r="P579" s="358"/>
      <c r="Q579" s="320">
        <v>1</v>
      </c>
      <c r="R579" s="168"/>
      <c r="S579" s="168"/>
      <c r="T579" s="287"/>
      <c r="U579" s="264"/>
      <c r="V579" s="198"/>
    </row>
    <row r="580" spans="1:22" s="90" customFormat="1" ht="19.5" hidden="1" customHeight="1">
      <c r="A580" s="137"/>
      <c r="B580" s="197">
        <f t="shared" si="9"/>
        <v>570</v>
      </c>
      <c r="C580" s="30" t="s">
        <v>202</v>
      </c>
      <c r="D580" s="30" t="s">
        <v>225</v>
      </c>
      <c r="E580" s="234" t="s">
        <v>961</v>
      </c>
      <c r="F580" s="235" t="s">
        <v>1275</v>
      </c>
      <c r="G580" s="284">
        <f>IFERROR(VLOOKUP(E580,Assign!$C$2:$J$142,8,FALSE),)</f>
        <v>0</v>
      </c>
      <c r="H580" s="236" t="s">
        <v>5591</v>
      </c>
      <c r="I580" s="236">
        <v>3</v>
      </c>
      <c r="J580" s="236">
        <v>1</v>
      </c>
      <c r="K580" s="355" t="s">
        <v>1373</v>
      </c>
      <c r="L580" s="356">
        <v>44833</v>
      </c>
      <c r="M580" s="357" t="s">
        <v>204</v>
      </c>
      <c r="N580" s="416">
        <v>300000000</v>
      </c>
      <c r="O580" s="416">
        <v>300000000</v>
      </c>
      <c r="P580" s="358"/>
      <c r="Q580" s="320"/>
      <c r="R580" s="168"/>
      <c r="S580" s="168"/>
      <c r="T580" s="287"/>
      <c r="U580" s="264"/>
      <c r="V580" s="198"/>
    </row>
    <row r="581" spans="1:22" s="90" customFormat="1" ht="19.5" hidden="1" customHeight="1">
      <c r="A581" s="137"/>
      <c r="B581" s="197">
        <f t="shared" si="9"/>
        <v>571</v>
      </c>
      <c r="C581" s="30" t="s">
        <v>202</v>
      </c>
      <c r="D581" s="30" t="s">
        <v>225</v>
      </c>
      <c r="E581" s="234" t="s">
        <v>962</v>
      </c>
      <c r="F581" s="235" t="s">
        <v>1229</v>
      </c>
      <c r="G581" s="284">
        <f>IFERROR(VLOOKUP(E581,Assign!$C$2:$J$142,8,FALSE),)</f>
        <v>0</v>
      </c>
      <c r="H581" s="236" t="s">
        <v>5421</v>
      </c>
      <c r="I581" s="236">
        <v>1</v>
      </c>
      <c r="J581" s="236">
        <v>1</v>
      </c>
      <c r="K581" s="355" t="s">
        <v>1373</v>
      </c>
      <c r="L581" s="356">
        <v>45009</v>
      </c>
      <c r="M581" s="357" t="s">
        <v>204</v>
      </c>
      <c r="N581" s="416">
        <v>840000000</v>
      </c>
      <c r="O581" s="416">
        <v>840000000</v>
      </c>
      <c r="P581" s="358"/>
      <c r="Q581" s="320"/>
      <c r="R581" s="168"/>
      <c r="S581" s="168"/>
      <c r="T581" s="287"/>
      <c r="U581" s="264"/>
      <c r="V581" s="198"/>
    </row>
    <row r="582" spans="1:22" s="90" customFormat="1" ht="19.5" customHeight="1">
      <c r="A582" s="137"/>
      <c r="B582" s="197">
        <f t="shared" si="9"/>
        <v>572</v>
      </c>
      <c r="C582" s="30" t="s">
        <v>202</v>
      </c>
      <c r="D582" s="30" t="s">
        <v>225</v>
      </c>
      <c r="E582" s="234" t="s">
        <v>963</v>
      </c>
      <c r="F582" s="235" t="s">
        <v>1276</v>
      </c>
      <c r="G582" s="284" t="str">
        <f>IFERROR(VLOOKUP(E582,Assign!$C$2:$J$142,8,FALSE),)</f>
        <v>문선영</v>
      </c>
      <c r="H582" s="236" t="s">
        <v>4320</v>
      </c>
      <c r="I582" s="236">
        <v>1</v>
      </c>
      <c r="J582" s="236">
        <v>1</v>
      </c>
      <c r="K582" s="355" t="s">
        <v>487</v>
      </c>
      <c r="L582" s="356">
        <v>38867</v>
      </c>
      <c r="M582" s="357" t="s">
        <v>204</v>
      </c>
      <c r="N582" s="416">
        <v>118800000</v>
      </c>
      <c r="O582" s="416">
        <v>118800000</v>
      </c>
      <c r="P582" s="358"/>
      <c r="Q582" s="320"/>
      <c r="R582" s="168"/>
      <c r="S582" s="168"/>
      <c r="T582" s="287"/>
      <c r="U582" s="264"/>
      <c r="V582" s="198"/>
    </row>
    <row r="583" spans="1:22" s="90" customFormat="1" ht="19.5" customHeight="1">
      <c r="A583" s="137"/>
      <c r="B583" s="197">
        <f t="shared" si="9"/>
        <v>573</v>
      </c>
      <c r="C583" s="30" t="s">
        <v>202</v>
      </c>
      <c r="D583" s="30" t="s">
        <v>225</v>
      </c>
      <c r="E583" s="234" t="s">
        <v>963</v>
      </c>
      <c r="F583" s="235" t="s">
        <v>1276</v>
      </c>
      <c r="G583" s="284" t="str">
        <f>IFERROR(VLOOKUP(E583,Assign!$C$2:$J$142,8,FALSE),)</f>
        <v>문선영</v>
      </c>
      <c r="H583" s="236" t="s">
        <v>4320</v>
      </c>
      <c r="I583" s="236">
        <v>1</v>
      </c>
      <c r="J583" s="236">
        <v>2</v>
      </c>
      <c r="K583" s="355" t="s">
        <v>1373</v>
      </c>
      <c r="L583" s="356">
        <v>43364</v>
      </c>
      <c r="M583" s="357" t="s">
        <v>204</v>
      </c>
      <c r="N583" s="416">
        <v>674400000</v>
      </c>
      <c r="O583" s="416">
        <v>674400000</v>
      </c>
      <c r="P583" s="358"/>
      <c r="Q583" s="320"/>
      <c r="R583" s="168"/>
      <c r="S583" s="168"/>
      <c r="T583" s="287"/>
      <c r="U583" s="264"/>
      <c r="V583" s="198"/>
    </row>
    <row r="584" spans="1:22" s="90" customFormat="1" ht="19.5" customHeight="1">
      <c r="A584" s="137"/>
      <c r="B584" s="197">
        <f t="shared" si="9"/>
        <v>574</v>
      </c>
      <c r="C584" s="30" t="s">
        <v>202</v>
      </c>
      <c r="D584" s="30" t="s">
        <v>225</v>
      </c>
      <c r="E584" s="234" t="s">
        <v>963</v>
      </c>
      <c r="F584" s="235" t="s">
        <v>1276</v>
      </c>
      <c r="G584" s="284" t="str">
        <f>IFERROR(VLOOKUP(E584,Assign!$C$2:$J$142,8,FALSE),)</f>
        <v>문선영</v>
      </c>
      <c r="H584" s="236" t="s">
        <v>4320</v>
      </c>
      <c r="I584" s="236">
        <v>1</v>
      </c>
      <c r="J584" s="236">
        <v>3</v>
      </c>
      <c r="K584" s="355" t="s">
        <v>1373</v>
      </c>
      <c r="L584" s="356">
        <v>44456</v>
      </c>
      <c r="M584" s="357" t="s">
        <v>1</v>
      </c>
      <c r="N584" s="416">
        <v>120000</v>
      </c>
      <c r="O584" s="416">
        <v>171192000</v>
      </c>
      <c r="P584" s="358"/>
      <c r="Q584" s="320"/>
      <c r="R584" s="168"/>
      <c r="S584" s="168"/>
      <c r="T584" s="287"/>
      <c r="U584" s="264"/>
      <c r="V584" s="198"/>
    </row>
    <row r="585" spans="1:22" s="90" customFormat="1" ht="19.5" customHeight="1">
      <c r="A585" s="137"/>
      <c r="B585" s="197">
        <f t="shared" si="9"/>
        <v>575</v>
      </c>
      <c r="C585" s="30" t="s">
        <v>202</v>
      </c>
      <c r="D585" s="30" t="s">
        <v>225</v>
      </c>
      <c r="E585" s="234" t="s">
        <v>964</v>
      </c>
      <c r="F585" s="235" t="s">
        <v>1225</v>
      </c>
      <c r="G585" s="284" t="str">
        <f>IFERROR(VLOOKUP(E585,Assign!$C$2:$J$142,8,FALSE),)</f>
        <v>문선영</v>
      </c>
      <c r="H585" s="236" t="s">
        <v>5145</v>
      </c>
      <c r="I585" s="236">
        <v>1</v>
      </c>
      <c r="J585" s="236">
        <v>1</v>
      </c>
      <c r="K585" s="355" t="s">
        <v>1373</v>
      </c>
      <c r="L585" s="356">
        <v>43301</v>
      </c>
      <c r="M585" s="357" t="s">
        <v>204</v>
      </c>
      <c r="N585" s="416">
        <v>697200000</v>
      </c>
      <c r="O585" s="416">
        <v>697200000</v>
      </c>
      <c r="P585" s="358"/>
      <c r="Q585" s="320"/>
      <c r="R585" s="168"/>
      <c r="S585" s="168"/>
      <c r="T585" s="287"/>
      <c r="U585" s="264"/>
      <c r="V585" s="198"/>
    </row>
    <row r="586" spans="1:22" s="90" customFormat="1" ht="19.5" customHeight="1" thickBot="1">
      <c r="A586" s="137"/>
      <c r="B586" s="197">
        <f t="shared" si="9"/>
        <v>576</v>
      </c>
      <c r="C586" s="30" t="s">
        <v>202</v>
      </c>
      <c r="D586" s="30" t="s">
        <v>225</v>
      </c>
      <c r="E586" s="234" t="s">
        <v>965</v>
      </c>
      <c r="F586" s="235" t="s">
        <v>1224</v>
      </c>
      <c r="G586" s="284" t="str">
        <f>IFERROR(VLOOKUP(E586,Assign!$C$2:$J$142,8,FALSE),)</f>
        <v>문선영</v>
      </c>
      <c r="H586" s="236" t="s">
        <v>4576</v>
      </c>
      <c r="I586" s="236">
        <v>1</v>
      </c>
      <c r="J586" s="236">
        <v>1</v>
      </c>
      <c r="K586" s="355" t="s">
        <v>1373</v>
      </c>
      <c r="L586" s="356">
        <v>42901</v>
      </c>
      <c r="M586" s="357" t="s">
        <v>204</v>
      </c>
      <c r="N586" s="416">
        <v>826800000</v>
      </c>
      <c r="O586" s="416">
        <v>826800000</v>
      </c>
      <c r="P586" s="358" t="s">
        <v>1413</v>
      </c>
      <c r="Q586" s="320"/>
      <c r="R586" s="168"/>
      <c r="S586" s="168"/>
      <c r="T586" s="287"/>
      <c r="U586" s="264"/>
      <c r="V586" s="198"/>
    </row>
    <row r="587" spans="1:22" s="90" customFormat="1" ht="19.5" hidden="1" customHeight="1">
      <c r="A587" s="137"/>
      <c r="B587" s="197">
        <f t="shared" ref="B587:B650" si="10">ROW()-10</f>
        <v>577</v>
      </c>
      <c r="C587" s="30" t="s">
        <v>202</v>
      </c>
      <c r="D587" s="30" t="s">
        <v>225</v>
      </c>
      <c r="E587" s="234" t="s">
        <v>966</v>
      </c>
      <c r="F587" s="235" t="s">
        <v>1247</v>
      </c>
      <c r="G587" s="284">
        <f>IFERROR(VLOOKUP(E587,Assign!$C$2:$J$142,8,FALSE),)</f>
        <v>0</v>
      </c>
      <c r="H587" s="236" t="s">
        <v>4215</v>
      </c>
      <c r="I587" s="236">
        <v>1</v>
      </c>
      <c r="J587" s="236">
        <v>1</v>
      </c>
      <c r="K587" s="355" t="s">
        <v>1373</v>
      </c>
      <c r="L587" s="356">
        <v>44783</v>
      </c>
      <c r="M587" s="357" t="s">
        <v>204</v>
      </c>
      <c r="N587" s="416">
        <v>768000000</v>
      </c>
      <c r="O587" s="416">
        <v>768000000</v>
      </c>
      <c r="P587" s="358"/>
      <c r="Q587" s="320"/>
      <c r="R587" s="168"/>
      <c r="S587" s="168"/>
      <c r="T587" s="287"/>
      <c r="U587" s="264"/>
      <c r="V587" s="198"/>
    </row>
    <row r="588" spans="1:22" s="90" customFormat="1" ht="19.5" hidden="1" customHeight="1">
      <c r="A588" s="137"/>
      <c r="B588" s="197">
        <f t="shared" si="10"/>
        <v>578</v>
      </c>
      <c r="C588" s="30" t="s">
        <v>202</v>
      </c>
      <c r="D588" s="30" t="s">
        <v>225</v>
      </c>
      <c r="E588" s="234" t="s">
        <v>967</v>
      </c>
      <c r="F588" s="235" t="s">
        <v>1225</v>
      </c>
      <c r="G588" s="476"/>
      <c r="H588" s="236" t="s">
        <v>4417</v>
      </c>
      <c r="I588" s="236">
        <v>1</v>
      </c>
      <c r="J588" s="236">
        <v>1</v>
      </c>
      <c r="K588" s="355" t="s">
        <v>1373</v>
      </c>
      <c r="L588" s="356">
        <v>42703</v>
      </c>
      <c r="M588" s="357" t="s">
        <v>204</v>
      </c>
      <c r="N588" s="416">
        <v>492000000</v>
      </c>
      <c r="O588" s="416">
        <v>492000000</v>
      </c>
      <c r="P588" s="358"/>
      <c r="Q588" s="320"/>
      <c r="R588" s="168"/>
      <c r="S588" s="168"/>
      <c r="T588" s="287"/>
      <c r="U588" s="264"/>
      <c r="V588" s="198"/>
    </row>
    <row r="589" spans="1:22" s="90" customFormat="1" ht="19.5" hidden="1" customHeight="1">
      <c r="A589" s="137"/>
      <c r="B589" s="197">
        <f t="shared" si="10"/>
        <v>579</v>
      </c>
      <c r="C589" s="30" t="s">
        <v>202</v>
      </c>
      <c r="D589" s="30" t="s">
        <v>225</v>
      </c>
      <c r="E589" s="234" t="s">
        <v>967</v>
      </c>
      <c r="F589" s="235" t="s">
        <v>1225</v>
      </c>
      <c r="G589" s="476"/>
      <c r="H589" s="236" t="s">
        <v>4417</v>
      </c>
      <c r="I589" s="236">
        <v>1</v>
      </c>
      <c r="J589" s="236">
        <v>2</v>
      </c>
      <c r="K589" s="355" t="s">
        <v>1373</v>
      </c>
      <c r="L589" s="356">
        <v>43473</v>
      </c>
      <c r="M589" s="357" t="s">
        <v>204</v>
      </c>
      <c r="N589" s="416">
        <v>120000000</v>
      </c>
      <c r="O589" s="416">
        <v>120000000</v>
      </c>
      <c r="P589" s="358"/>
      <c r="Q589" s="320"/>
      <c r="R589" s="168"/>
      <c r="S589" s="168"/>
      <c r="T589" s="287"/>
      <c r="U589" s="264"/>
      <c r="V589" s="198"/>
    </row>
    <row r="590" spans="1:22" s="90" customFormat="1" ht="19.5" hidden="1" customHeight="1">
      <c r="A590" s="137"/>
      <c r="B590" s="197">
        <f t="shared" si="10"/>
        <v>580</v>
      </c>
      <c r="C590" s="30" t="s">
        <v>202</v>
      </c>
      <c r="D590" s="30" t="s">
        <v>225</v>
      </c>
      <c r="E590" s="234" t="s">
        <v>968</v>
      </c>
      <c r="F590" s="235" t="s">
        <v>1252</v>
      </c>
      <c r="G590" s="476"/>
      <c r="H590" s="236" t="s">
        <v>4292</v>
      </c>
      <c r="I590" s="236">
        <v>1</v>
      </c>
      <c r="J590" s="236">
        <v>1</v>
      </c>
      <c r="K590" s="355" t="s">
        <v>1373</v>
      </c>
      <c r="L590" s="356">
        <v>44810</v>
      </c>
      <c r="M590" s="357" t="s">
        <v>204</v>
      </c>
      <c r="N590" s="416">
        <v>276000000</v>
      </c>
      <c r="O590" s="416">
        <v>276000000</v>
      </c>
      <c r="P590" s="358"/>
      <c r="Q590" s="320"/>
      <c r="R590" s="168"/>
      <c r="S590" s="168"/>
      <c r="T590" s="287"/>
      <c r="U590" s="264"/>
      <c r="V590" s="198"/>
    </row>
    <row r="591" spans="1:22" s="90" customFormat="1" ht="19.5" hidden="1" customHeight="1">
      <c r="A591" s="137"/>
      <c r="B591" s="197">
        <f t="shared" si="10"/>
        <v>581</v>
      </c>
      <c r="C591" s="30" t="s">
        <v>202</v>
      </c>
      <c r="D591" s="30" t="s">
        <v>225</v>
      </c>
      <c r="E591" s="234" t="s">
        <v>968</v>
      </c>
      <c r="F591" s="235" t="s">
        <v>1252</v>
      </c>
      <c r="G591" s="476"/>
      <c r="H591" s="236" t="s">
        <v>4292</v>
      </c>
      <c r="I591" s="236">
        <v>1</v>
      </c>
      <c r="J591" s="236">
        <v>2</v>
      </c>
      <c r="K591" s="355" t="s">
        <v>1373</v>
      </c>
      <c r="L591" s="356">
        <v>44972</v>
      </c>
      <c r="M591" s="357" t="s">
        <v>204</v>
      </c>
      <c r="N591" s="416">
        <v>204000000</v>
      </c>
      <c r="O591" s="416">
        <v>204000000</v>
      </c>
      <c r="P591" s="358"/>
      <c r="Q591" s="320"/>
      <c r="R591" s="168"/>
      <c r="S591" s="168"/>
      <c r="T591" s="287"/>
      <c r="U591" s="264"/>
      <c r="V591" s="198"/>
    </row>
    <row r="592" spans="1:22" s="90" customFormat="1" ht="19.5" hidden="1" customHeight="1">
      <c r="A592" s="137"/>
      <c r="B592" s="197">
        <f t="shared" si="10"/>
        <v>582</v>
      </c>
      <c r="C592" s="30" t="s">
        <v>202</v>
      </c>
      <c r="D592" s="30" t="s">
        <v>225</v>
      </c>
      <c r="E592" s="234" t="s">
        <v>968</v>
      </c>
      <c r="F592" s="235" t="s">
        <v>1252</v>
      </c>
      <c r="G592" s="476"/>
      <c r="H592" s="236" t="s">
        <v>4294</v>
      </c>
      <c r="I592" s="236">
        <v>2</v>
      </c>
      <c r="J592" s="236">
        <v>1</v>
      </c>
      <c r="K592" s="355" t="s">
        <v>490</v>
      </c>
      <c r="L592" s="356">
        <v>42160</v>
      </c>
      <c r="M592" s="357" t="s">
        <v>204</v>
      </c>
      <c r="N592" s="416">
        <v>276000000</v>
      </c>
      <c r="O592" s="416">
        <v>276000000</v>
      </c>
      <c r="P592" s="358"/>
      <c r="Q592" s="320"/>
      <c r="R592" s="168"/>
      <c r="S592" s="168"/>
      <c r="T592" s="287"/>
      <c r="U592" s="264"/>
      <c r="V592" s="198"/>
    </row>
    <row r="593" spans="1:22" s="90" customFormat="1" ht="19.5" hidden="1" customHeight="1">
      <c r="A593" s="137"/>
      <c r="B593" s="197">
        <f t="shared" si="10"/>
        <v>583</v>
      </c>
      <c r="C593" s="30" t="s">
        <v>202</v>
      </c>
      <c r="D593" s="30" t="s">
        <v>225</v>
      </c>
      <c r="E593" s="234" t="s">
        <v>968</v>
      </c>
      <c r="F593" s="235" t="s">
        <v>1252</v>
      </c>
      <c r="G593" s="476"/>
      <c r="H593" s="236" t="s">
        <v>4294</v>
      </c>
      <c r="I593" s="236">
        <v>2</v>
      </c>
      <c r="J593" s="236">
        <v>2</v>
      </c>
      <c r="K593" s="355" t="s">
        <v>1373</v>
      </c>
      <c r="L593" s="356">
        <v>44826</v>
      </c>
      <c r="M593" s="357" t="s">
        <v>204</v>
      </c>
      <c r="N593" s="416">
        <v>228000000</v>
      </c>
      <c r="O593" s="416">
        <v>228000000</v>
      </c>
      <c r="P593" s="358"/>
      <c r="Q593" s="320"/>
      <c r="R593" s="168"/>
      <c r="S593" s="168"/>
      <c r="T593" s="287"/>
      <c r="U593" s="264"/>
      <c r="V593" s="198"/>
    </row>
    <row r="594" spans="1:22" s="90" customFormat="1" ht="19.5" hidden="1" customHeight="1">
      <c r="A594" s="137"/>
      <c r="B594" s="197">
        <f t="shared" si="10"/>
        <v>584</v>
      </c>
      <c r="C594" s="30" t="s">
        <v>202</v>
      </c>
      <c r="D594" s="30" t="s">
        <v>225</v>
      </c>
      <c r="E594" s="234" t="s">
        <v>969</v>
      </c>
      <c r="F594" s="235" t="s">
        <v>1229</v>
      </c>
      <c r="G594" s="476"/>
      <c r="H594" s="236" t="s">
        <v>4248</v>
      </c>
      <c r="I594" s="236">
        <v>1</v>
      </c>
      <c r="J594" s="236">
        <v>1</v>
      </c>
      <c r="K594" s="355" t="s">
        <v>1373</v>
      </c>
      <c r="L594" s="356">
        <v>44186</v>
      </c>
      <c r="M594" s="357" t="s">
        <v>204</v>
      </c>
      <c r="N594" s="416">
        <v>714000000</v>
      </c>
      <c r="O594" s="416">
        <v>714000000</v>
      </c>
      <c r="P594" s="358"/>
      <c r="Q594" s="320"/>
      <c r="R594" s="168"/>
      <c r="S594" s="168"/>
      <c r="T594" s="287"/>
      <c r="U594" s="264"/>
      <c r="V594" s="198"/>
    </row>
    <row r="595" spans="1:22" s="90" customFormat="1" ht="19.5" hidden="1" customHeight="1">
      <c r="A595" s="137"/>
      <c r="B595" s="197">
        <f t="shared" si="10"/>
        <v>585</v>
      </c>
      <c r="C595" s="30" t="s">
        <v>202</v>
      </c>
      <c r="D595" s="30" t="s">
        <v>225</v>
      </c>
      <c r="E595" s="234" t="s">
        <v>970</v>
      </c>
      <c r="F595" s="235" t="s">
        <v>1350</v>
      </c>
      <c r="G595" s="476"/>
      <c r="H595" s="236" t="s">
        <v>5265</v>
      </c>
      <c r="I595" s="236">
        <v>1</v>
      </c>
      <c r="J595" s="236">
        <v>1</v>
      </c>
      <c r="K595" s="355" t="s">
        <v>1373</v>
      </c>
      <c r="L595" s="356">
        <v>44543</v>
      </c>
      <c r="M595" s="357" t="s">
        <v>204</v>
      </c>
      <c r="N595" s="416">
        <v>642000000</v>
      </c>
      <c r="O595" s="416">
        <v>642000000</v>
      </c>
      <c r="P595" s="358"/>
      <c r="Q595" s="320"/>
      <c r="R595" s="168"/>
      <c r="S595" s="168"/>
      <c r="T595" s="287"/>
      <c r="U595" s="264"/>
      <c r="V595" s="198"/>
    </row>
    <row r="596" spans="1:22" s="90" customFormat="1" ht="19.5" hidden="1" customHeight="1">
      <c r="A596" s="137"/>
      <c r="B596" s="197">
        <f t="shared" si="10"/>
        <v>586</v>
      </c>
      <c r="C596" s="30" t="s">
        <v>202</v>
      </c>
      <c r="D596" s="30" t="s">
        <v>225</v>
      </c>
      <c r="E596" s="234" t="s">
        <v>971</v>
      </c>
      <c r="F596" s="235" t="s">
        <v>1352</v>
      </c>
      <c r="G596" s="476"/>
      <c r="H596" s="236" t="s">
        <v>5140</v>
      </c>
      <c r="I596" s="236">
        <v>1</v>
      </c>
      <c r="J596" s="236">
        <v>1</v>
      </c>
      <c r="K596" s="355" t="s">
        <v>1373</v>
      </c>
      <c r="L596" s="356">
        <v>43196</v>
      </c>
      <c r="M596" s="357" t="s">
        <v>204</v>
      </c>
      <c r="N596" s="416">
        <v>708000000</v>
      </c>
      <c r="O596" s="416">
        <v>708000000</v>
      </c>
      <c r="P596" s="358"/>
      <c r="Q596" s="320"/>
      <c r="R596" s="168"/>
      <c r="S596" s="168"/>
      <c r="T596" s="287"/>
      <c r="U596" s="264"/>
      <c r="V596" s="198"/>
    </row>
    <row r="597" spans="1:22" s="90" customFormat="1" ht="19.5" hidden="1" customHeight="1">
      <c r="A597" s="137"/>
      <c r="B597" s="197">
        <f t="shared" si="10"/>
        <v>587</v>
      </c>
      <c r="C597" s="30" t="s">
        <v>202</v>
      </c>
      <c r="D597" s="30" t="s">
        <v>225</v>
      </c>
      <c r="E597" s="234" t="s">
        <v>972</v>
      </c>
      <c r="F597" s="235" t="s">
        <v>1225</v>
      </c>
      <c r="G597" s="476"/>
      <c r="H597" s="236" t="s">
        <v>4541</v>
      </c>
      <c r="I597" s="236">
        <v>1</v>
      </c>
      <c r="J597" s="236">
        <v>1</v>
      </c>
      <c r="K597" s="355" t="s">
        <v>1373</v>
      </c>
      <c r="L597" s="356">
        <v>44613</v>
      </c>
      <c r="M597" s="357" t="s">
        <v>204</v>
      </c>
      <c r="N597" s="416">
        <v>612000000</v>
      </c>
      <c r="O597" s="416">
        <v>612000000</v>
      </c>
      <c r="P597" s="358"/>
      <c r="Q597" s="320"/>
      <c r="R597" s="168"/>
      <c r="S597" s="168"/>
      <c r="T597" s="287"/>
      <c r="U597" s="264"/>
      <c r="V597" s="198"/>
    </row>
    <row r="598" spans="1:22" s="90" customFormat="1" ht="19.5" hidden="1" customHeight="1">
      <c r="A598" s="137"/>
      <c r="B598" s="197">
        <f t="shared" si="10"/>
        <v>588</v>
      </c>
      <c r="C598" s="30" t="s">
        <v>202</v>
      </c>
      <c r="D598" s="30" t="s">
        <v>225</v>
      </c>
      <c r="E598" s="234" t="s">
        <v>973</v>
      </c>
      <c r="F598" s="235" t="s">
        <v>1277</v>
      </c>
      <c r="G598" s="476"/>
      <c r="H598" s="236" t="s">
        <v>5455</v>
      </c>
      <c r="I598" s="236">
        <v>1</v>
      </c>
      <c r="J598" s="236">
        <v>1</v>
      </c>
      <c r="K598" s="355" t="s">
        <v>1373</v>
      </c>
      <c r="L598" s="356">
        <v>45512</v>
      </c>
      <c r="M598" s="357" t="s">
        <v>204</v>
      </c>
      <c r="N598" s="416">
        <v>600000000</v>
      </c>
      <c r="O598" s="416">
        <v>600000000</v>
      </c>
      <c r="P598" s="358"/>
      <c r="Q598" s="320"/>
      <c r="R598" s="168"/>
      <c r="S598" s="168"/>
      <c r="T598" s="287"/>
      <c r="U598" s="264"/>
      <c r="V598" s="198"/>
    </row>
    <row r="599" spans="1:22" s="90" customFormat="1" ht="19.5" hidden="1" customHeight="1">
      <c r="A599" s="137"/>
      <c r="B599" s="197">
        <f t="shared" si="10"/>
        <v>589</v>
      </c>
      <c r="C599" s="30" t="s">
        <v>202</v>
      </c>
      <c r="D599" s="30" t="s">
        <v>225</v>
      </c>
      <c r="E599" s="234" t="s">
        <v>974</v>
      </c>
      <c r="F599" s="235" t="s">
        <v>1353</v>
      </c>
      <c r="G599" s="476"/>
      <c r="H599" s="236" t="s">
        <v>5268</v>
      </c>
      <c r="I599" s="236">
        <v>1</v>
      </c>
      <c r="J599" s="236">
        <v>1</v>
      </c>
      <c r="K599" s="355" t="s">
        <v>421</v>
      </c>
      <c r="L599" s="356">
        <v>43917</v>
      </c>
      <c r="M599" s="357" t="s">
        <v>204</v>
      </c>
      <c r="N599" s="416">
        <v>948000000</v>
      </c>
      <c r="O599" s="416">
        <v>948000000</v>
      </c>
      <c r="P599" s="358"/>
      <c r="Q599" s="320"/>
      <c r="R599" s="168"/>
      <c r="S599" s="168"/>
      <c r="T599" s="287"/>
      <c r="U599" s="264"/>
      <c r="V599" s="198"/>
    </row>
    <row r="600" spans="1:22" s="90" customFormat="1" ht="19.5" hidden="1" customHeight="1">
      <c r="A600" s="137"/>
      <c r="B600" s="197">
        <f t="shared" si="10"/>
        <v>590</v>
      </c>
      <c r="C600" s="30" t="s">
        <v>202</v>
      </c>
      <c r="D600" s="30" t="s">
        <v>225</v>
      </c>
      <c r="E600" s="234" t="s">
        <v>974</v>
      </c>
      <c r="F600" s="235" t="s">
        <v>1353</v>
      </c>
      <c r="G600" s="476"/>
      <c r="H600" s="236" t="s">
        <v>5268</v>
      </c>
      <c r="I600" s="236">
        <v>1</v>
      </c>
      <c r="J600" s="236">
        <v>2</v>
      </c>
      <c r="K600" s="355" t="s">
        <v>421</v>
      </c>
      <c r="L600" s="356">
        <v>43976</v>
      </c>
      <c r="M600" s="357" t="s">
        <v>204</v>
      </c>
      <c r="N600" s="416">
        <v>1320000000</v>
      </c>
      <c r="O600" s="416">
        <v>1320000000</v>
      </c>
      <c r="P600" s="358"/>
      <c r="Q600" s="320"/>
      <c r="R600" s="168"/>
      <c r="S600" s="168"/>
      <c r="T600" s="287"/>
      <c r="U600" s="264"/>
      <c r="V600" s="198"/>
    </row>
    <row r="601" spans="1:22" s="90" customFormat="1" ht="19.5" hidden="1" customHeight="1">
      <c r="A601" s="137"/>
      <c r="B601" s="197">
        <f t="shared" si="10"/>
        <v>591</v>
      </c>
      <c r="C601" s="30" t="s">
        <v>202</v>
      </c>
      <c r="D601" s="30" t="s">
        <v>225</v>
      </c>
      <c r="E601" s="234" t="s">
        <v>974</v>
      </c>
      <c r="F601" s="235" t="s">
        <v>1353</v>
      </c>
      <c r="G601" s="476"/>
      <c r="H601" s="236" t="s">
        <v>5268</v>
      </c>
      <c r="I601" s="236">
        <v>1</v>
      </c>
      <c r="J601" s="236">
        <v>3</v>
      </c>
      <c r="K601" s="355" t="s">
        <v>1373</v>
      </c>
      <c r="L601" s="356">
        <v>44008</v>
      </c>
      <c r="M601" s="357" t="s">
        <v>204</v>
      </c>
      <c r="N601" s="416">
        <v>1200000000</v>
      </c>
      <c r="O601" s="416">
        <v>1200000000</v>
      </c>
      <c r="P601" s="358" t="s">
        <v>1427</v>
      </c>
      <c r="Q601" s="320"/>
      <c r="R601" s="168" t="s">
        <v>204</v>
      </c>
      <c r="S601" s="168" t="s">
        <v>536</v>
      </c>
      <c r="T601" s="287">
        <v>45258</v>
      </c>
      <c r="U601" s="264">
        <v>507761095</v>
      </c>
      <c r="V601" s="198"/>
    </row>
    <row r="602" spans="1:22" s="90" customFormat="1" ht="19.5" hidden="1" customHeight="1">
      <c r="A602" s="137"/>
      <c r="B602" s="197">
        <f t="shared" si="10"/>
        <v>592</v>
      </c>
      <c r="C602" s="30" t="s">
        <v>202</v>
      </c>
      <c r="D602" s="30" t="s">
        <v>225</v>
      </c>
      <c r="E602" s="234" t="s">
        <v>975</v>
      </c>
      <c r="F602" s="235" t="s">
        <v>1225</v>
      </c>
      <c r="G602" s="476"/>
      <c r="H602" s="236" t="s">
        <v>3908</v>
      </c>
      <c r="I602" s="236">
        <v>1</v>
      </c>
      <c r="J602" s="236">
        <v>1</v>
      </c>
      <c r="K602" s="355" t="s">
        <v>1373</v>
      </c>
      <c r="L602" s="356">
        <v>45559</v>
      </c>
      <c r="M602" s="357" t="s">
        <v>204</v>
      </c>
      <c r="N602" s="416">
        <v>588000000</v>
      </c>
      <c r="O602" s="416">
        <v>588000000</v>
      </c>
      <c r="P602" s="358"/>
      <c r="Q602" s="320"/>
      <c r="R602" s="168"/>
      <c r="S602" s="168"/>
      <c r="T602" s="287"/>
      <c r="U602" s="264"/>
      <c r="V602" s="198"/>
    </row>
    <row r="603" spans="1:22" s="90" customFormat="1" ht="19.5" hidden="1" customHeight="1">
      <c r="A603" s="137"/>
      <c r="B603" s="197">
        <f t="shared" si="10"/>
        <v>593</v>
      </c>
      <c r="C603" s="30" t="s">
        <v>202</v>
      </c>
      <c r="D603" s="30" t="s">
        <v>225</v>
      </c>
      <c r="E603" s="234" t="s">
        <v>976</v>
      </c>
      <c r="F603" s="235" t="s">
        <v>1354</v>
      </c>
      <c r="G603" s="476"/>
      <c r="H603" s="236" t="s">
        <v>5306</v>
      </c>
      <c r="I603" s="236">
        <v>1</v>
      </c>
      <c r="J603" s="236">
        <v>1</v>
      </c>
      <c r="K603" s="355" t="s">
        <v>1375</v>
      </c>
      <c r="L603" s="356">
        <v>43763</v>
      </c>
      <c r="M603" s="357" t="s">
        <v>204</v>
      </c>
      <c r="N603" s="416">
        <v>97400000</v>
      </c>
      <c r="O603" s="416">
        <v>97400000</v>
      </c>
      <c r="P603" s="358"/>
      <c r="Q603" s="320"/>
      <c r="R603" s="168"/>
      <c r="S603" s="168"/>
      <c r="T603" s="287"/>
      <c r="U603" s="264"/>
      <c r="V603" s="198"/>
    </row>
    <row r="604" spans="1:22" s="90" customFormat="1" ht="19.5" hidden="1" customHeight="1">
      <c r="A604" s="137"/>
      <c r="B604" s="197">
        <f t="shared" si="10"/>
        <v>594</v>
      </c>
      <c r="C604" s="30" t="s">
        <v>202</v>
      </c>
      <c r="D604" s="30" t="s">
        <v>225</v>
      </c>
      <c r="E604" s="234" t="s">
        <v>976</v>
      </c>
      <c r="F604" s="235" t="s">
        <v>1354</v>
      </c>
      <c r="G604" s="476"/>
      <c r="H604" s="236" t="s">
        <v>5306</v>
      </c>
      <c r="I604" s="236">
        <v>1</v>
      </c>
      <c r="J604" s="236">
        <v>2</v>
      </c>
      <c r="K604" s="355" t="s">
        <v>1373</v>
      </c>
      <c r="L604" s="356">
        <v>44188</v>
      </c>
      <c r="M604" s="357" t="s">
        <v>204</v>
      </c>
      <c r="N604" s="416">
        <v>566400000</v>
      </c>
      <c r="O604" s="416">
        <v>566400000</v>
      </c>
      <c r="P604" s="358"/>
      <c r="Q604" s="320"/>
      <c r="R604" s="168"/>
      <c r="S604" s="168"/>
      <c r="T604" s="287"/>
      <c r="U604" s="264"/>
      <c r="V604" s="198"/>
    </row>
    <row r="605" spans="1:22" s="90" customFormat="1" ht="19.5" hidden="1" customHeight="1">
      <c r="A605" s="137"/>
      <c r="B605" s="197">
        <f t="shared" si="10"/>
        <v>595</v>
      </c>
      <c r="C605" s="30" t="s">
        <v>202</v>
      </c>
      <c r="D605" s="30" t="s">
        <v>225</v>
      </c>
      <c r="E605" s="234" t="s">
        <v>977</v>
      </c>
      <c r="F605" s="235" t="s">
        <v>1226</v>
      </c>
      <c r="G605" s="476"/>
      <c r="H605" s="236" t="s">
        <v>4581</v>
      </c>
      <c r="I605" s="236">
        <v>1</v>
      </c>
      <c r="J605" s="236">
        <v>1</v>
      </c>
      <c r="K605" s="355" t="s">
        <v>1373</v>
      </c>
      <c r="L605" s="356">
        <v>44725</v>
      </c>
      <c r="M605" s="357" t="s">
        <v>204</v>
      </c>
      <c r="N605" s="416">
        <v>519100000</v>
      </c>
      <c r="O605" s="416">
        <v>519100000</v>
      </c>
      <c r="P605" s="358"/>
      <c r="Q605" s="320"/>
      <c r="R605" s="168"/>
      <c r="S605" s="168"/>
      <c r="T605" s="287"/>
      <c r="U605" s="264"/>
      <c r="V605" s="198"/>
    </row>
    <row r="606" spans="1:22" s="90" customFormat="1" ht="19.5" hidden="1" customHeight="1">
      <c r="A606" s="137"/>
      <c r="B606" s="197">
        <f t="shared" si="10"/>
        <v>596</v>
      </c>
      <c r="C606" s="30" t="s">
        <v>202</v>
      </c>
      <c r="D606" s="30" t="s">
        <v>225</v>
      </c>
      <c r="E606" s="234" t="s">
        <v>978</v>
      </c>
      <c r="F606" s="235" t="s">
        <v>1234</v>
      </c>
      <c r="G606" s="476"/>
      <c r="H606" s="236" t="s">
        <v>4100</v>
      </c>
      <c r="I606" s="236">
        <v>1</v>
      </c>
      <c r="J606" s="236">
        <v>1</v>
      </c>
      <c r="K606" s="355" t="s">
        <v>1373</v>
      </c>
      <c r="L606" s="356">
        <v>44132</v>
      </c>
      <c r="M606" s="357" t="s">
        <v>204</v>
      </c>
      <c r="N606" s="416">
        <v>576000000</v>
      </c>
      <c r="O606" s="416">
        <v>576000000</v>
      </c>
      <c r="P606" s="358"/>
      <c r="Q606" s="320"/>
      <c r="R606" s="168"/>
      <c r="S606" s="168"/>
      <c r="T606" s="287"/>
      <c r="U606" s="264"/>
      <c r="V606" s="198"/>
    </row>
    <row r="607" spans="1:22" s="90" customFormat="1" ht="19.5" hidden="1" customHeight="1">
      <c r="A607" s="137"/>
      <c r="B607" s="197">
        <f t="shared" si="10"/>
        <v>597</v>
      </c>
      <c r="C607" s="30" t="s">
        <v>202</v>
      </c>
      <c r="D607" s="30" t="s">
        <v>225</v>
      </c>
      <c r="E607" s="234" t="s">
        <v>979</v>
      </c>
      <c r="F607" s="235" t="s">
        <v>1225</v>
      </c>
      <c r="G607" s="476"/>
      <c r="H607" s="236" t="s">
        <v>4640</v>
      </c>
      <c r="I607" s="236">
        <v>1</v>
      </c>
      <c r="J607" s="236">
        <v>1</v>
      </c>
      <c r="K607" s="355" t="s">
        <v>1373</v>
      </c>
      <c r="L607" s="356">
        <v>45316</v>
      </c>
      <c r="M607" s="357" t="s">
        <v>204</v>
      </c>
      <c r="N607" s="416">
        <v>454300000</v>
      </c>
      <c r="O607" s="416">
        <v>454300000</v>
      </c>
      <c r="P607" s="358"/>
      <c r="Q607" s="320"/>
      <c r="R607" s="168"/>
      <c r="S607" s="168"/>
      <c r="T607" s="287"/>
      <c r="U607" s="264"/>
      <c r="V607" s="198"/>
    </row>
    <row r="608" spans="1:22" s="90" customFormat="1" ht="19.5" hidden="1" customHeight="1">
      <c r="A608" s="137"/>
      <c r="B608" s="197">
        <f t="shared" si="10"/>
        <v>598</v>
      </c>
      <c r="C608" s="30" t="s">
        <v>202</v>
      </c>
      <c r="D608" s="30" t="s">
        <v>225</v>
      </c>
      <c r="E608" s="234" t="s">
        <v>980</v>
      </c>
      <c r="F608" s="235" t="s">
        <v>1248</v>
      </c>
      <c r="G608" s="476"/>
      <c r="H608" s="236" t="s">
        <v>5071</v>
      </c>
      <c r="I608" s="236">
        <v>1</v>
      </c>
      <c r="J608" s="236">
        <v>1</v>
      </c>
      <c r="K608" s="355" t="s">
        <v>1373</v>
      </c>
      <c r="L608" s="356">
        <v>44588</v>
      </c>
      <c r="M608" s="357" t="s">
        <v>204</v>
      </c>
      <c r="N608" s="416">
        <v>149600000</v>
      </c>
      <c r="O608" s="416">
        <v>149600000</v>
      </c>
      <c r="P608" s="358"/>
      <c r="Q608" s="320"/>
      <c r="R608" s="168"/>
      <c r="S608" s="168"/>
      <c r="T608" s="287"/>
      <c r="U608" s="264"/>
      <c r="V608" s="198"/>
    </row>
    <row r="609" spans="1:22" s="90" customFormat="1" ht="19.5" hidden="1" customHeight="1">
      <c r="A609" s="137"/>
      <c r="B609" s="197">
        <f t="shared" si="10"/>
        <v>599</v>
      </c>
      <c r="C609" s="30" t="s">
        <v>202</v>
      </c>
      <c r="D609" s="30" t="s">
        <v>225</v>
      </c>
      <c r="E609" s="234" t="s">
        <v>980</v>
      </c>
      <c r="F609" s="235" t="s">
        <v>1248</v>
      </c>
      <c r="G609" s="476"/>
      <c r="H609" s="236" t="s">
        <v>5071</v>
      </c>
      <c r="I609" s="236">
        <v>1</v>
      </c>
      <c r="J609" s="236">
        <v>2</v>
      </c>
      <c r="K609" s="355" t="s">
        <v>1373</v>
      </c>
      <c r="L609" s="356">
        <v>44705</v>
      </c>
      <c r="M609" s="357" t="s">
        <v>204</v>
      </c>
      <c r="N609" s="416">
        <v>84000000</v>
      </c>
      <c r="O609" s="416">
        <v>84000000</v>
      </c>
      <c r="P609" s="358"/>
      <c r="Q609" s="320"/>
      <c r="R609" s="168"/>
      <c r="S609" s="168"/>
      <c r="T609" s="287"/>
      <c r="U609" s="264"/>
      <c r="V609" s="198"/>
    </row>
    <row r="610" spans="1:22" s="90" customFormat="1" ht="19.5" hidden="1" customHeight="1">
      <c r="A610" s="137"/>
      <c r="B610" s="197">
        <f t="shared" si="10"/>
        <v>600</v>
      </c>
      <c r="C610" s="30" t="s">
        <v>202</v>
      </c>
      <c r="D610" s="30" t="s">
        <v>225</v>
      </c>
      <c r="E610" s="234" t="s">
        <v>980</v>
      </c>
      <c r="F610" s="235" t="s">
        <v>1248</v>
      </c>
      <c r="G610" s="476"/>
      <c r="H610" s="236" t="s">
        <v>5073</v>
      </c>
      <c r="I610" s="236">
        <v>2</v>
      </c>
      <c r="J610" s="236">
        <v>1</v>
      </c>
      <c r="K610" s="355" t="s">
        <v>1373</v>
      </c>
      <c r="L610" s="356">
        <v>45404</v>
      </c>
      <c r="M610" s="357" t="s">
        <v>204</v>
      </c>
      <c r="N610" s="416">
        <v>330000000</v>
      </c>
      <c r="O610" s="416">
        <v>330000000</v>
      </c>
      <c r="P610" s="358"/>
      <c r="Q610" s="320"/>
      <c r="R610" s="168"/>
      <c r="S610" s="168"/>
      <c r="T610" s="287"/>
      <c r="U610" s="264"/>
      <c r="V610" s="198"/>
    </row>
    <row r="611" spans="1:22" s="90" customFormat="1" ht="19.5" hidden="1" customHeight="1">
      <c r="A611" s="137"/>
      <c r="B611" s="197">
        <f t="shared" si="10"/>
        <v>601</v>
      </c>
      <c r="C611" s="30" t="s">
        <v>202</v>
      </c>
      <c r="D611" s="30" t="s">
        <v>225</v>
      </c>
      <c r="E611" s="234" t="s">
        <v>981</v>
      </c>
      <c r="F611" s="235" t="s">
        <v>1356</v>
      </c>
      <c r="G611" s="476"/>
      <c r="H611" s="236" t="s">
        <v>5302</v>
      </c>
      <c r="I611" s="236">
        <v>1</v>
      </c>
      <c r="J611" s="236">
        <v>1</v>
      </c>
      <c r="K611" s="355" t="s">
        <v>1373</v>
      </c>
      <c r="L611" s="356">
        <v>44595</v>
      </c>
      <c r="M611" s="357" t="s">
        <v>204</v>
      </c>
      <c r="N611" s="416">
        <v>480000000</v>
      </c>
      <c r="O611" s="416">
        <v>480000000</v>
      </c>
      <c r="P611" s="358"/>
      <c r="Q611" s="320"/>
      <c r="R611" s="168"/>
      <c r="S611" s="168"/>
      <c r="T611" s="287"/>
      <c r="U611" s="264"/>
      <c r="V611" s="198"/>
    </row>
    <row r="612" spans="1:22" s="90" customFormat="1" ht="19.5" hidden="1" customHeight="1">
      <c r="A612" s="137"/>
      <c r="B612" s="197">
        <f t="shared" si="10"/>
        <v>602</v>
      </c>
      <c r="C612" s="30" t="s">
        <v>202</v>
      </c>
      <c r="D612" s="30" t="s">
        <v>225</v>
      </c>
      <c r="E612" s="234" t="s">
        <v>982</v>
      </c>
      <c r="F612" s="235" t="s">
        <v>1235</v>
      </c>
      <c r="G612" s="476"/>
      <c r="H612" s="236" t="s">
        <v>4229</v>
      </c>
      <c r="I612" s="236">
        <v>1</v>
      </c>
      <c r="J612" s="236">
        <v>1</v>
      </c>
      <c r="K612" s="355" t="s">
        <v>1373</v>
      </c>
      <c r="L612" s="356">
        <v>40847</v>
      </c>
      <c r="M612" s="357" t="s">
        <v>204</v>
      </c>
      <c r="N612" s="416">
        <v>408000000</v>
      </c>
      <c r="O612" s="416">
        <v>408000000</v>
      </c>
      <c r="P612" s="358"/>
      <c r="Q612" s="320"/>
      <c r="R612" s="168"/>
      <c r="S612" s="168"/>
      <c r="T612" s="287"/>
      <c r="U612" s="264"/>
      <c r="V612" s="198"/>
    </row>
    <row r="613" spans="1:22" s="90" customFormat="1" ht="19.5" hidden="1" customHeight="1">
      <c r="A613" s="137"/>
      <c r="B613" s="197">
        <f t="shared" si="10"/>
        <v>603</v>
      </c>
      <c r="C613" s="30" t="s">
        <v>202</v>
      </c>
      <c r="D613" s="30" t="s">
        <v>225</v>
      </c>
      <c r="E613" s="234" t="s">
        <v>982</v>
      </c>
      <c r="F613" s="235" t="s">
        <v>1235</v>
      </c>
      <c r="G613" s="476"/>
      <c r="H613" s="236" t="s">
        <v>4229</v>
      </c>
      <c r="I613" s="236">
        <v>1</v>
      </c>
      <c r="J613" s="236">
        <v>2</v>
      </c>
      <c r="K613" s="355" t="s">
        <v>1373</v>
      </c>
      <c r="L613" s="356">
        <v>42285</v>
      </c>
      <c r="M613" s="357" t="s">
        <v>204</v>
      </c>
      <c r="N613" s="416">
        <v>120000000</v>
      </c>
      <c r="O613" s="416">
        <v>120000000</v>
      </c>
      <c r="P613" s="358"/>
      <c r="Q613" s="320"/>
      <c r="R613" s="168"/>
      <c r="S613" s="168"/>
      <c r="T613" s="287"/>
      <c r="U613" s="264"/>
      <c r="V613" s="198"/>
    </row>
    <row r="614" spans="1:22" s="90" customFormat="1" ht="19.5" hidden="1" customHeight="1">
      <c r="A614" s="137"/>
      <c r="B614" s="197">
        <f t="shared" si="10"/>
        <v>604</v>
      </c>
      <c r="C614" s="30" t="s">
        <v>202</v>
      </c>
      <c r="D614" s="30" t="s">
        <v>225</v>
      </c>
      <c r="E614" s="234" t="s">
        <v>982</v>
      </c>
      <c r="F614" s="235" t="s">
        <v>1235</v>
      </c>
      <c r="G614" s="476"/>
      <c r="H614" s="236" t="s">
        <v>4229</v>
      </c>
      <c r="I614" s="236">
        <v>1</v>
      </c>
      <c r="J614" s="236">
        <v>3</v>
      </c>
      <c r="K614" s="355" t="s">
        <v>1373</v>
      </c>
      <c r="L614" s="356">
        <v>42562</v>
      </c>
      <c r="M614" s="357" t="s">
        <v>204</v>
      </c>
      <c r="N614" s="416">
        <v>43200000</v>
      </c>
      <c r="O614" s="416">
        <v>43200000</v>
      </c>
      <c r="P614" s="358"/>
      <c r="Q614" s="320"/>
      <c r="R614" s="168"/>
      <c r="S614" s="168"/>
      <c r="T614" s="287"/>
      <c r="U614" s="264"/>
      <c r="V614" s="198"/>
    </row>
    <row r="615" spans="1:22" s="90" customFormat="1" ht="19.5" hidden="1" customHeight="1">
      <c r="A615" s="137"/>
      <c r="B615" s="197">
        <f t="shared" si="10"/>
        <v>605</v>
      </c>
      <c r="C615" s="30" t="s">
        <v>202</v>
      </c>
      <c r="D615" s="30" t="s">
        <v>225</v>
      </c>
      <c r="E615" s="234" t="s">
        <v>983</v>
      </c>
      <c r="F615" s="235" t="s">
        <v>1252</v>
      </c>
      <c r="G615" s="476"/>
      <c r="H615" s="236" t="s">
        <v>4737</v>
      </c>
      <c r="I615" s="236">
        <v>1</v>
      </c>
      <c r="J615" s="236">
        <v>1</v>
      </c>
      <c r="K615" s="355" t="s">
        <v>1373</v>
      </c>
      <c r="L615" s="356">
        <v>45184</v>
      </c>
      <c r="M615" s="357" t="s">
        <v>204</v>
      </c>
      <c r="N615" s="416">
        <v>98400000</v>
      </c>
      <c r="O615" s="416">
        <v>98400000</v>
      </c>
      <c r="P615" s="358"/>
      <c r="Q615" s="320"/>
      <c r="R615" s="168"/>
      <c r="S615" s="168"/>
      <c r="T615" s="287"/>
      <c r="U615" s="264"/>
      <c r="V615" s="198"/>
    </row>
    <row r="616" spans="1:22" s="90" customFormat="1" ht="19.5" hidden="1" customHeight="1">
      <c r="A616" s="137"/>
      <c r="B616" s="197">
        <f t="shared" si="10"/>
        <v>606</v>
      </c>
      <c r="C616" s="30" t="s">
        <v>202</v>
      </c>
      <c r="D616" s="30" t="s">
        <v>225</v>
      </c>
      <c r="E616" s="234" t="s">
        <v>983</v>
      </c>
      <c r="F616" s="235" t="s">
        <v>1252</v>
      </c>
      <c r="G616" s="476"/>
      <c r="H616" s="236" t="s">
        <v>4739</v>
      </c>
      <c r="I616" s="236">
        <v>2</v>
      </c>
      <c r="J616" s="236">
        <v>1</v>
      </c>
      <c r="K616" s="355" t="s">
        <v>1373</v>
      </c>
      <c r="L616" s="356">
        <v>45184</v>
      </c>
      <c r="M616" s="357" t="s">
        <v>204</v>
      </c>
      <c r="N616" s="416">
        <v>97200000</v>
      </c>
      <c r="O616" s="416">
        <v>97200000</v>
      </c>
      <c r="P616" s="358"/>
      <c r="Q616" s="320"/>
      <c r="R616" s="168"/>
      <c r="S616" s="168"/>
      <c r="T616" s="287"/>
      <c r="U616" s="264"/>
      <c r="V616" s="198"/>
    </row>
    <row r="617" spans="1:22" s="90" customFormat="1" ht="19.5" hidden="1" customHeight="1">
      <c r="A617" s="137"/>
      <c r="B617" s="197">
        <f t="shared" si="10"/>
        <v>607</v>
      </c>
      <c r="C617" s="30" t="s">
        <v>202</v>
      </c>
      <c r="D617" s="30" t="s">
        <v>225</v>
      </c>
      <c r="E617" s="234" t="s">
        <v>983</v>
      </c>
      <c r="F617" s="235" t="s">
        <v>1252</v>
      </c>
      <c r="G617" s="476"/>
      <c r="H617" s="236" t="s">
        <v>4741</v>
      </c>
      <c r="I617" s="236">
        <v>3</v>
      </c>
      <c r="J617" s="236">
        <v>1</v>
      </c>
      <c r="K617" s="355" t="s">
        <v>1373</v>
      </c>
      <c r="L617" s="356">
        <v>45184</v>
      </c>
      <c r="M617" s="357" t="s">
        <v>204</v>
      </c>
      <c r="N617" s="416">
        <v>97200000</v>
      </c>
      <c r="O617" s="416">
        <v>97200000</v>
      </c>
      <c r="P617" s="358"/>
      <c r="Q617" s="320"/>
      <c r="R617" s="168"/>
      <c r="S617" s="168"/>
      <c r="T617" s="287"/>
      <c r="U617" s="264"/>
      <c r="V617" s="198"/>
    </row>
    <row r="618" spans="1:22" s="90" customFormat="1" ht="19.5" hidden="1" customHeight="1">
      <c r="A618" s="137"/>
      <c r="B618" s="197">
        <f t="shared" si="10"/>
        <v>608</v>
      </c>
      <c r="C618" s="30" t="s">
        <v>202</v>
      </c>
      <c r="D618" s="30" t="s">
        <v>225</v>
      </c>
      <c r="E618" s="234" t="s">
        <v>983</v>
      </c>
      <c r="F618" s="235" t="s">
        <v>1252</v>
      </c>
      <c r="G618" s="476"/>
      <c r="H618" s="236" t="s">
        <v>4743</v>
      </c>
      <c r="I618" s="236">
        <v>4</v>
      </c>
      <c r="J618" s="236">
        <v>1</v>
      </c>
      <c r="K618" s="355" t="s">
        <v>1373</v>
      </c>
      <c r="L618" s="356">
        <v>45287</v>
      </c>
      <c r="M618" s="357" t="s">
        <v>204</v>
      </c>
      <c r="N618" s="416">
        <v>86400000</v>
      </c>
      <c r="O618" s="416">
        <v>86400000</v>
      </c>
      <c r="P618" s="358"/>
      <c r="Q618" s="320"/>
      <c r="R618" s="168"/>
      <c r="S618" s="168"/>
      <c r="T618" s="287"/>
      <c r="U618" s="264"/>
      <c r="V618" s="198"/>
    </row>
    <row r="619" spans="1:22" s="90" customFormat="1" ht="19.5" hidden="1" customHeight="1">
      <c r="A619" s="137"/>
      <c r="B619" s="197">
        <f t="shared" si="10"/>
        <v>609</v>
      </c>
      <c r="C619" s="30" t="s">
        <v>202</v>
      </c>
      <c r="D619" s="30" t="s">
        <v>225</v>
      </c>
      <c r="E619" s="234" t="s">
        <v>983</v>
      </c>
      <c r="F619" s="235" t="s">
        <v>1252</v>
      </c>
      <c r="G619" s="476"/>
      <c r="H619" s="236" t="s">
        <v>4745</v>
      </c>
      <c r="I619" s="236">
        <v>5</v>
      </c>
      <c r="J619" s="236">
        <v>1</v>
      </c>
      <c r="K619" s="355" t="s">
        <v>1373</v>
      </c>
      <c r="L619" s="356">
        <v>45287</v>
      </c>
      <c r="M619" s="357" t="s">
        <v>204</v>
      </c>
      <c r="N619" s="416">
        <v>86400000</v>
      </c>
      <c r="O619" s="416">
        <v>86400000</v>
      </c>
      <c r="P619" s="358"/>
      <c r="Q619" s="320"/>
      <c r="R619" s="168"/>
      <c r="S619" s="168"/>
      <c r="T619" s="287"/>
      <c r="U619" s="264"/>
      <c r="V619" s="198"/>
    </row>
    <row r="620" spans="1:22" s="90" customFormat="1" ht="19.5" hidden="1" customHeight="1">
      <c r="A620" s="137"/>
      <c r="B620" s="197">
        <f t="shared" si="10"/>
        <v>610</v>
      </c>
      <c r="C620" s="30" t="s">
        <v>202</v>
      </c>
      <c r="D620" s="30" t="s">
        <v>225</v>
      </c>
      <c r="E620" s="234" t="s">
        <v>984</v>
      </c>
      <c r="F620" s="235" t="s">
        <v>1357</v>
      </c>
      <c r="G620" s="476"/>
      <c r="H620" s="236" t="s">
        <v>5123</v>
      </c>
      <c r="I620" s="236">
        <v>1</v>
      </c>
      <c r="J620" s="236">
        <v>1</v>
      </c>
      <c r="K620" s="355" t="s">
        <v>1373</v>
      </c>
      <c r="L620" s="356">
        <v>43202</v>
      </c>
      <c r="M620" s="357" t="s">
        <v>204</v>
      </c>
      <c r="N620" s="416">
        <v>715200000</v>
      </c>
      <c r="O620" s="416">
        <v>715200000</v>
      </c>
      <c r="P620" s="358"/>
      <c r="Q620" s="320"/>
      <c r="R620" s="168"/>
      <c r="S620" s="168"/>
      <c r="T620" s="287"/>
      <c r="U620" s="264"/>
      <c r="V620" s="198"/>
    </row>
    <row r="621" spans="1:22" s="90" customFormat="1" ht="19.5" hidden="1" customHeight="1">
      <c r="A621" s="137"/>
      <c r="B621" s="197">
        <f t="shared" si="10"/>
        <v>611</v>
      </c>
      <c r="C621" s="30" t="s">
        <v>202</v>
      </c>
      <c r="D621" s="30" t="s">
        <v>225</v>
      </c>
      <c r="E621" s="234" t="s">
        <v>985</v>
      </c>
      <c r="F621" s="235" t="s">
        <v>1229</v>
      </c>
      <c r="G621" s="476"/>
      <c r="H621" s="236" t="s">
        <v>4779</v>
      </c>
      <c r="I621" s="236">
        <v>1</v>
      </c>
      <c r="J621" s="236">
        <v>1</v>
      </c>
      <c r="K621" s="355" t="s">
        <v>1373</v>
      </c>
      <c r="L621" s="356">
        <v>45674</v>
      </c>
      <c r="M621" s="357" t="s">
        <v>204</v>
      </c>
      <c r="N621" s="416">
        <v>424270000</v>
      </c>
      <c r="O621" s="416">
        <v>424270000</v>
      </c>
      <c r="P621" s="358"/>
      <c r="Q621" s="320"/>
      <c r="R621" s="168"/>
      <c r="S621" s="168"/>
      <c r="T621" s="287"/>
      <c r="U621" s="264"/>
      <c r="V621" s="198"/>
    </row>
    <row r="622" spans="1:22" s="90" customFormat="1" ht="19.5" hidden="1" customHeight="1">
      <c r="A622" s="137"/>
      <c r="B622" s="197">
        <f t="shared" si="10"/>
        <v>612</v>
      </c>
      <c r="C622" s="30" t="s">
        <v>202</v>
      </c>
      <c r="D622" s="30" t="s">
        <v>225</v>
      </c>
      <c r="E622" s="234" t="s">
        <v>986</v>
      </c>
      <c r="F622" s="235" t="s">
        <v>1229</v>
      </c>
      <c r="G622" s="476"/>
      <c r="H622" s="236" t="s">
        <v>4116</v>
      </c>
      <c r="I622" s="236">
        <v>1</v>
      </c>
      <c r="J622" s="236">
        <v>1</v>
      </c>
      <c r="K622" s="355" t="s">
        <v>1373</v>
      </c>
      <c r="L622" s="356">
        <v>44889</v>
      </c>
      <c r="M622" s="357" t="s">
        <v>204</v>
      </c>
      <c r="N622" s="416">
        <v>330000000</v>
      </c>
      <c r="O622" s="416">
        <v>330000000</v>
      </c>
      <c r="P622" s="358"/>
      <c r="Q622" s="320"/>
      <c r="R622" s="168"/>
      <c r="S622" s="168"/>
      <c r="T622" s="287"/>
      <c r="U622" s="264"/>
      <c r="V622" s="198"/>
    </row>
    <row r="623" spans="1:22" s="90" customFormat="1" ht="19.5" hidden="1" customHeight="1">
      <c r="A623" s="137"/>
      <c r="B623" s="197">
        <f t="shared" si="10"/>
        <v>613</v>
      </c>
      <c r="C623" s="30" t="s">
        <v>202</v>
      </c>
      <c r="D623" s="30" t="s">
        <v>225</v>
      </c>
      <c r="E623" s="234" t="s">
        <v>986</v>
      </c>
      <c r="F623" s="235" t="s">
        <v>1229</v>
      </c>
      <c r="G623" s="476"/>
      <c r="H623" s="236" t="s">
        <v>4116</v>
      </c>
      <c r="I623" s="236">
        <v>1</v>
      </c>
      <c r="J623" s="236">
        <v>2</v>
      </c>
      <c r="K623" s="355" t="s">
        <v>1373</v>
      </c>
      <c r="L623" s="356">
        <v>44922</v>
      </c>
      <c r="M623" s="357" t="s">
        <v>204</v>
      </c>
      <c r="N623" s="416">
        <v>140400000</v>
      </c>
      <c r="O623" s="416">
        <v>140400000</v>
      </c>
      <c r="P623" s="358"/>
      <c r="Q623" s="320"/>
      <c r="R623" s="168"/>
      <c r="S623" s="168"/>
      <c r="T623" s="287"/>
      <c r="U623" s="264"/>
      <c r="V623" s="198"/>
    </row>
    <row r="624" spans="1:22" s="90" customFormat="1" ht="19.5" hidden="1" customHeight="1">
      <c r="A624" s="137"/>
      <c r="B624" s="197">
        <f t="shared" si="10"/>
        <v>614</v>
      </c>
      <c r="C624" s="30" t="s">
        <v>202</v>
      </c>
      <c r="D624" s="30" t="s">
        <v>225</v>
      </c>
      <c r="E624" s="234" t="s">
        <v>987</v>
      </c>
      <c r="F624" s="235" t="s">
        <v>1255</v>
      </c>
      <c r="G624" s="476"/>
      <c r="H624" s="236" t="s">
        <v>4023</v>
      </c>
      <c r="I624" s="236">
        <v>1</v>
      </c>
      <c r="J624" s="236">
        <v>1</v>
      </c>
      <c r="K624" s="355" t="s">
        <v>1373</v>
      </c>
      <c r="L624" s="356">
        <v>44932</v>
      </c>
      <c r="M624" s="357" t="s">
        <v>204</v>
      </c>
      <c r="N624" s="416">
        <v>383620840</v>
      </c>
      <c r="O624" s="416">
        <v>383620840</v>
      </c>
      <c r="P624" s="358"/>
      <c r="Q624" s="320"/>
      <c r="R624" s="168"/>
      <c r="S624" s="168"/>
      <c r="T624" s="287"/>
      <c r="U624" s="264"/>
      <c r="V624" s="198"/>
    </row>
    <row r="625" spans="1:22" s="90" customFormat="1" ht="19.5" hidden="1" customHeight="1">
      <c r="A625" s="137"/>
      <c r="B625" s="197">
        <f t="shared" si="10"/>
        <v>615</v>
      </c>
      <c r="C625" s="30" t="s">
        <v>202</v>
      </c>
      <c r="D625" s="30" t="s">
        <v>225</v>
      </c>
      <c r="E625" s="234" t="s">
        <v>987</v>
      </c>
      <c r="F625" s="235" t="s">
        <v>1255</v>
      </c>
      <c r="G625" s="476"/>
      <c r="H625" s="236" t="s">
        <v>4026</v>
      </c>
      <c r="I625" s="236">
        <v>2</v>
      </c>
      <c r="J625" s="236">
        <v>1</v>
      </c>
      <c r="K625" s="355" t="s">
        <v>489</v>
      </c>
      <c r="L625" s="356">
        <v>43416</v>
      </c>
      <c r="M625" s="357" t="s">
        <v>204</v>
      </c>
      <c r="N625" s="416">
        <v>295900000</v>
      </c>
      <c r="O625" s="416">
        <v>295900000</v>
      </c>
      <c r="P625" s="358"/>
      <c r="Q625" s="320"/>
      <c r="R625" s="168"/>
      <c r="S625" s="168"/>
      <c r="T625" s="287"/>
      <c r="U625" s="264"/>
      <c r="V625" s="198"/>
    </row>
    <row r="626" spans="1:22" s="90" customFormat="1" ht="19.5" hidden="1" customHeight="1">
      <c r="A626" s="137"/>
      <c r="B626" s="197">
        <f t="shared" si="10"/>
        <v>616</v>
      </c>
      <c r="C626" s="30" t="s">
        <v>202</v>
      </c>
      <c r="D626" s="30" t="s">
        <v>225</v>
      </c>
      <c r="E626" s="234" t="s">
        <v>987</v>
      </c>
      <c r="F626" s="235" t="s">
        <v>1255</v>
      </c>
      <c r="G626" s="476"/>
      <c r="H626" s="236" t="s">
        <v>4026</v>
      </c>
      <c r="I626" s="236">
        <v>2</v>
      </c>
      <c r="J626" s="236">
        <v>2</v>
      </c>
      <c r="K626" s="355" t="s">
        <v>1373</v>
      </c>
      <c r="L626" s="356">
        <v>44932</v>
      </c>
      <c r="M626" s="357" t="s">
        <v>204</v>
      </c>
      <c r="N626" s="416">
        <v>120379160</v>
      </c>
      <c r="O626" s="416">
        <v>120379160</v>
      </c>
      <c r="P626" s="358"/>
      <c r="Q626" s="320"/>
      <c r="R626" s="168"/>
      <c r="S626" s="168"/>
      <c r="T626" s="287"/>
      <c r="U626" s="264"/>
      <c r="V626" s="198"/>
    </row>
    <row r="627" spans="1:22" s="90" customFormat="1" ht="19.5" hidden="1" customHeight="1">
      <c r="A627" s="137"/>
      <c r="B627" s="197">
        <f t="shared" si="10"/>
        <v>617</v>
      </c>
      <c r="C627" s="30" t="s">
        <v>202</v>
      </c>
      <c r="D627" s="30" t="s">
        <v>225</v>
      </c>
      <c r="E627" s="234" t="s">
        <v>988</v>
      </c>
      <c r="F627" s="235" t="s">
        <v>1252</v>
      </c>
      <c r="G627" s="476"/>
      <c r="H627" s="236" t="s">
        <v>4819</v>
      </c>
      <c r="I627" s="236">
        <v>1</v>
      </c>
      <c r="J627" s="236">
        <v>1</v>
      </c>
      <c r="K627" s="355" t="s">
        <v>1373</v>
      </c>
      <c r="L627" s="356">
        <v>42096</v>
      </c>
      <c r="M627" s="357" t="s">
        <v>204</v>
      </c>
      <c r="N627" s="416">
        <v>657600000</v>
      </c>
      <c r="O627" s="416">
        <v>657600000</v>
      </c>
      <c r="P627" s="358"/>
      <c r="Q627" s="320"/>
      <c r="R627" s="168"/>
      <c r="S627" s="168"/>
      <c r="T627" s="287"/>
      <c r="U627" s="264"/>
      <c r="V627" s="198"/>
    </row>
    <row r="628" spans="1:22" s="90" customFormat="1" ht="19.5" hidden="1" customHeight="1">
      <c r="A628" s="137"/>
      <c r="B628" s="197">
        <f t="shared" si="10"/>
        <v>618</v>
      </c>
      <c r="C628" s="30" t="s">
        <v>202</v>
      </c>
      <c r="D628" s="30" t="s">
        <v>225</v>
      </c>
      <c r="E628" s="234" t="s">
        <v>989</v>
      </c>
      <c r="F628" s="235" t="s">
        <v>611</v>
      </c>
      <c r="G628" s="476"/>
      <c r="H628" s="236" t="s">
        <v>4159</v>
      </c>
      <c r="I628" s="236">
        <v>1</v>
      </c>
      <c r="J628" s="236">
        <v>1</v>
      </c>
      <c r="K628" s="355" t="s">
        <v>486</v>
      </c>
      <c r="L628" s="356">
        <v>42570</v>
      </c>
      <c r="M628" s="357" t="s">
        <v>204</v>
      </c>
      <c r="N628" s="416">
        <v>153000000</v>
      </c>
      <c r="O628" s="416">
        <v>153000000</v>
      </c>
      <c r="P628" s="358"/>
      <c r="Q628" s="320"/>
      <c r="R628" s="168"/>
      <c r="S628" s="168"/>
      <c r="T628" s="287"/>
      <c r="U628" s="264"/>
      <c r="V628" s="198"/>
    </row>
    <row r="629" spans="1:22" s="90" customFormat="1" ht="19.5" hidden="1" customHeight="1">
      <c r="A629" s="137"/>
      <c r="B629" s="197">
        <f t="shared" si="10"/>
        <v>619</v>
      </c>
      <c r="C629" s="30" t="s">
        <v>202</v>
      </c>
      <c r="D629" s="30" t="s">
        <v>225</v>
      </c>
      <c r="E629" s="234" t="s">
        <v>989</v>
      </c>
      <c r="F629" s="235" t="s">
        <v>611</v>
      </c>
      <c r="G629" s="476"/>
      <c r="H629" s="236" t="s">
        <v>4159</v>
      </c>
      <c r="I629" s="236">
        <v>1</v>
      </c>
      <c r="J629" s="236">
        <v>2</v>
      </c>
      <c r="K629" s="355" t="s">
        <v>1373</v>
      </c>
      <c r="L629" s="356">
        <v>44834</v>
      </c>
      <c r="M629" s="357" t="s">
        <v>204</v>
      </c>
      <c r="N629" s="416">
        <v>420000000</v>
      </c>
      <c r="O629" s="416">
        <v>420000000</v>
      </c>
      <c r="P629" s="358"/>
      <c r="Q629" s="320"/>
      <c r="R629" s="168"/>
      <c r="S629" s="168"/>
      <c r="T629" s="287"/>
      <c r="U629" s="264"/>
      <c r="V629" s="198"/>
    </row>
    <row r="630" spans="1:22" s="90" customFormat="1" ht="19.5" hidden="1" customHeight="1">
      <c r="A630" s="137"/>
      <c r="B630" s="197">
        <f t="shared" si="10"/>
        <v>620</v>
      </c>
      <c r="C630" s="30" t="s">
        <v>202</v>
      </c>
      <c r="D630" s="30" t="s">
        <v>225</v>
      </c>
      <c r="E630" s="234" t="s">
        <v>990</v>
      </c>
      <c r="F630" s="235" t="s">
        <v>1229</v>
      </c>
      <c r="G630" s="476"/>
      <c r="H630" s="236" t="s">
        <v>4348</v>
      </c>
      <c r="I630" s="236">
        <v>1</v>
      </c>
      <c r="J630" s="236">
        <v>1</v>
      </c>
      <c r="K630" s="355" t="s">
        <v>1373</v>
      </c>
      <c r="L630" s="356">
        <v>44543</v>
      </c>
      <c r="M630" s="357" t="s">
        <v>204</v>
      </c>
      <c r="N630" s="416">
        <v>408100000</v>
      </c>
      <c r="O630" s="416">
        <v>408100000</v>
      </c>
      <c r="P630" s="358"/>
      <c r="Q630" s="320"/>
      <c r="R630" s="168"/>
      <c r="S630" s="168"/>
      <c r="T630" s="287"/>
      <c r="U630" s="264"/>
      <c r="V630" s="198"/>
    </row>
    <row r="631" spans="1:22" s="90" customFormat="1" ht="19.5" hidden="1" customHeight="1">
      <c r="A631" s="137"/>
      <c r="B631" s="197">
        <f t="shared" si="10"/>
        <v>621</v>
      </c>
      <c r="C631" s="30" t="s">
        <v>202</v>
      </c>
      <c r="D631" s="30" t="s">
        <v>225</v>
      </c>
      <c r="E631" s="234" t="s">
        <v>991</v>
      </c>
      <c r="F631" s="235" t="s">
        <v>1358</v>
      </c>
      <c r="G631" s="476"/>
      <c r="H631" s="236" t="s">
        <v>5325</v>
      </c>
      <c r="I631" s="236">
        <v>1</v>
      </c>
      <c r="J631" s="236">
        <v>1</v>
      </c>
      <c r="K631" s="355" t="s">
        <v>1373</v>
      </c>
      <c r="L631" s="356">
        <v>44323</v>
      </c>
      <c r="M631" s="357" t="s">
        <v>204</v>
      </c>
      <c r="N631" s="416">
        <v>420000000</v>
      </c>
      <c r="O631" s="416">
        <v>420000000</v>
      </c>
      <c r="P631" s="358"/>
      <c r="Q631" s="320"/>
      <c r="R631" s="168"/>
      <c r="S631" s="168"/>
      <c r="T631" s="287"/>
      <c r="U631" s="264"/>
      <c r="V631" s="198"/>
    </row>
    <row r="632" spans="1:22" s="90" customFormat="1" ht="19.5" hidden="1" customHeight="1">
      <c r="A632" s="137"/>
      <c r="B632" s="197">
        <f t="shared" si="10"/>
        <v>622</v>
      </c>
      <c r="C632" s="30" t="s">
        <v>202</v>
      </c>
      <c r="D632" s="30" t="s">
        <v>225</v>
      </c>
      <c r="E632" s="234" t="s">
        <v>992</v>
      </c>
      <c r="F632" s="235" t="s">
        <v>611</v>
      </c>
      <c r="G632" s="476"/>
      <c r="H632" s="236" t="s">
        <v>4658</v>
      </c>
      <c r="I632" s="236">
        <v>1</v>
      </c>
      <c r="J632" s="236">
        <v>1</v>
      </c>
      <c r="K632" s="355" t="s">
        <v>1373</v>
      </c>
      <c r="L632" s="356">
        <v>45364</v>
      </c>
      <c r="M632" s="357" t="s">
        <v>204</v>
      </c>
      <c r="N632" s="416">
        <v>244800000</v>
      </c>
      <c r="O632" s="416">
        <v>244800000</v>
      </c>
      <c r="P632" s="358"/>
      <c r="Q632" s="320"/>
      <c r="R632" s="168"/>
      <c r="S632" s="168"/>
      <c r="T632" s="287"/>
      <c r="U632" s="264"/>
      <c r="V632" s="198"/>
    </row>
    <row r="633" spans="1:22" s="90" customFormat="1" ht="19.5" hidden="1" customHeight="1">
      <c r="A633" s="137"/>
      <c r="B633" s="197">
        <f t="shared" si="10"/>
        <v>623</v>
      </c>
      <c r="C633" s="30" t="s">
        <v>202</v>
      </c>
      <c r="D633" s="30" t="s">
        <v>225</v>
      </c>
      <c r="E633" s="234" t="s">
        <v>992</v>
      </c>
      <c r="F633" s="235" t="s">
        <v>611</v>
      </c>
      <c r="G633" s="476"/>
      <c r="H633" s="236" t="s">
        <v>4658</v>
      </c>
      <c r="I633" s="236">
        <v>1</v>
      </c>
      <c r="J633" s="236">
        <v>2</v>
      </c>
      <c r="K633" s="355" t="s">
        <v>1373</v>
      </c>
      <c r="L633" s="356">
        <v>45366</v>
      </c>
      <c r="M633" s="357" t="s">
        <v>204</v>
      </c>
      <c r="N633" s="416">
        <v>84000000</v>
      </c>
      <c r="O633" s="416">
        <v>84000000</v>
      </c>
      <c r="P633" s="358"/>
      <c r="Q633" s="320"/>
      <c r="R633" s="168"/>
      <c r="S633" s="168"/>
      <c r="T633" s="287"/>
      <c r="U633" s="264"/>
      <c r="V633" s="198"/>
    </row>
    <row r="634" spans="1:22" s="90" customFormat="1" ht="19.5" hidden="1" customHeight="1">
      <c r="A634" s="137"/>
      <c r="B634" s="197">
        <f t="shared" si="10"/>
        <v>624</v>
      </c>
      <c r="C634" s="30" t="s">
        <v>202</v>
      </c>
      <c r="D634" s="30" t="s">
        <v>225</v>
      </c>
      <c r="E634" s="234" t="s">
        <v>992</v>
      </c>
      <c r="F634" s="235" t="s">
        <v>611</v>
      </c>
      <c r="G634" s="476"/>
      <c r="H634" s="236" t="s">
        <v>4658</v>
      </c>
      <c r="I634" s="236">
        <v>1</v>
      </c>
      <c r="J634" s="236">
        <v>3</v>
      </c>
      <c r="K634" s="355" t="s">
        <v>1373</v>
      </c>
      <c r="L634" s="356">
        <v>45398</v>
      </c>
      <c r="M634" s="357" t="s">
        <v>204</v>
      </c>
      <c r="N634" s="416">
        <v>72000000</v>
      </c>
      <c r="O634" s="416">
        <v>72000000</v>
      </c>
      <c r="P634" s="358"/>
      <c r="Q634" s="320"/>
      <c r="R634" s="168"/>
      <c r="S634" s="168"/>
      <c r="T634" s="287"/>
      <c r="U634" s="264"/>
      <c r="V634" s="198"/>
    </row>
    <row r="635" spans="1:22" s="90" customFormat="1" ht="19.5" hidden="1" customHeight="1">
      <c r="A635" s="137"/>
      <c r="B635" s="197">
        <f t="shared" si="10"/>
        <v>625</v>
      </c>
      <c r="C635" s="30" t="s">
        <v>202</v>
      </c>
      <c r="D635" s="30" t="s">
        <v>225</v>
      </c>
      <c r="E635" s="234" t="s">
        <v>993</v>
      </c>
      <c r="F635" s="235" t="s">
        <v>1217</v>
      </c>
      <c r="G635" s="476"/>
      <c r="H635" s="236" t="s">
        <v>4112</v>
      </c>
      <c r="I635" s="236">
        <v>1</v>
      </c>
      <c r="J635" s="236">
        <v>1</v>
      </c>
      <c r="K635" s="355" t="s">
        <v>1373</v>
      </c>
      <c r="L635" s="356">
        <v>44011</v>
      </c>
      <c r="M635" s="357" t="s">
        <v>204</v>
      </c>
      <c r="N635" s="416">
        <v>300000000</v>
      </c>
      <c r="O635" s="416">
        <v>300000000</v>
      </c>
      <c r="P635" s="358"/>
      <c r="Q635" s="320"/>
      <c r="R635" s="168"/>
      <c r="S635" s="168"/>
      <c r="T635" s="287"/>
      <c r="U635" s="264"/>
      <c r="V635" s="198"/>
    </row>
    <row r="636" spans="1:22" s="90" customFormat="1" ht="19.5" hidden="1" customHeight="1">
      <c r="A636" s="137"/>
      <c r="B636" s="197">
        <f t="shared" si="10"/>
        <v>626</v>
      </c>
      <c r="C636" s="30" t="s">
        <v>202</v>
      </c>
      <c r="D636" s="30" t="s">
        <v>225</v>
      </c>
      <c r="E636" s="234" t="s">
        <v>993</v>
      </c>
      <c r="F636" s="235" t="s">
        <v>1217</v>
      </c>
      <c r="G636" s="476"/>
      <c r="H636" s="236" t="s">
        <v>4112</v>
      </c>
      <c r="I636" s="236">
        <v>1</v>
      </c>
      <c r="J636" s="236">
        <v>2</v>
      </c>
      <c r="K636" s="355" t="s">
        <v>488</v>
      </c>
      <c r="L636" s="356">
        <v>44049</v>
      </c>
      <c r="M636" s="357" t="s">
        <v>204</v>
      </c>
      <c r="N636" s="416">
        <v>120000000</v>
      </c>
      <c r="O636" s="416">
        <v>120000000</v>
      </c>
      <c r="P636" s="358"/>
      <c r="Q636" s="320"/>
      <c r="R636" s="168"/>
      <c r="S636" s="168"/>
      <c r="T636" s="287"/>
      <c r="U636" s="264"/>
      <c r="V636" s="198"/>
    </row>
    <row r="637" spans="1:22" s="90" customFormat="1" ht="19.5" hidden="1" customHeight="1">
      <c r="A637" s="137"/>
      <c r="B637" s="197">
        <f t="shared" si="10"/>
        <v>627</v>
      </c>
      <c r="C637" s="30" t="s">
        <v>202</v>
      </c>
      <c r="D637" s="30" t="s">
        <v>225</v>
      </c>
      <c r="E637" s="234" t="s">
        <v>993</v>
      </c>
      <c r="F637" s="235" t="s">
        <v>1217</v>
      </c>
      <c r="G637" s="476"/>
      <c r="H637" s="236" t="s">
        <v>4112</v>
      </c>
      <c r="I637" s="236">
        <v>1</v>
      </c>
      <c r="J637" s="236">
        <v>3</v>
      </c>
      <c r="K637" s="355" t="s">
        <v>1373</v>
      </c>
      <c r="L637" s="356">
        <v>44406</v>
      </c>
      <c r="M637" s="357" t="s">
        <v>204</v>
      </c>
      <c r="N637" s="416">
        <v>120000000</v>
      </c>
      <c r="O637" s="416">
        <v>120000000</v>
      </c>
      <c r="P637" s="358"/>
      <c r="Q637" s="320"/>
      <c r="R637" s="168"/>
      <c r="S637" s="168"/>
      <c r="T637" s="287"/>
      <c r="U637" s="264"/>
      <c r="V637" s="198"/>
    </row>
    <row r="638" spans="1:22" s="90" customFormat="1" ht="19.5" hidden="1" customHeight="1">
      <c r="A638" s="137"/>
      <c r="B638" s="197">
        <f t="shared" si="10"/>
        <v>628</v>
      </c>
      <c r="C638" s="30" t="s">
        <v>202</v>
      </c>
      <c r="D638" s="30" t="s">
        <v>225</v>
      </c>
      <c r="E638" s="234" t="s">
        <v>994</v>
      </c>
      <c r="F638" s="235" t="s">
        <v>1217</v>
      </c>
      <c r="G638" s="476"/>
      <c r="H638" s="236" t="s">
        <v>5014</v>
      </c>
      <c r="I638" s="236">
        <v>1</v>
      </c>
      <c r="J638" s="236">
        <v>1</v>
      </c>
      <c r="K638" s="355" t="s">
        <v>1373</v>
      </c>
      <c r="L638" s="356">
        <v>45147</v>
      </c>
      <c r="M638" s="357" t="s">
        <v>204</v>
      </c>
      <c r="N638" s="416">
        <v>357940000</v>
      </c>
      <c r="O638" s="416">
        <v>357940000</v>
      </c>
      <c r="P638" s="358"/>
      <c r="Q638" s="320"/>
      <c r="R638" s="168"/>
      <c r="S638" s="168"/>
      <c r="T638" s="287"/>
      <c r="U638" s="264"/>
      <c r="V638" s="198"/>
    </row>
    <row r="639" spans="1:22" s="90" customFormat="1" ht="19.5" hidden="1" customHeight="1">
      <c r="A639" s="137"/>
      <c r="B639" s="197">
        <f t="shared" si="10"/>
        <v>629</v>
      </c>
      <c r="C639" s="30" t="s">
        <v>202</v>
      </c>
      <c r="D639" s="30" t="s">
        <v>225</v>
      </c>
      <c r="E639" s="234" t="s">
        <v>995</v>
      </c>
      <c r="F639" s="235" t="s">
        <v>1229</v>
      </c>
      <c r="G639" s="476"/>
      <c r="H639" s="236" t="s">
        <v>5033</v>
      </c>
      <c r="I639" s="236">
        <v>1</v>
      </c>
      <c r="J639" s="236">
        <v>1</v>
      </c>
      <c r="K639" s="355" t="s">
        <v>1373</v>
      </c>
      <c r="L639" s="356">
        <v>42270</v>
      </c>
      <c r="M639" s="357" t="s">
        <v>204</v>
      </c>
      <c r="N639" s="416">
        <v>540000000</v>
      </c>
      <c r="O639" s="416">
        <v>540000000</v>
      </c>
      <c r="P639" s="358"/>
      <c r="Q639" s="320"/>
      <c r="R639" s="168"/>
      <c r="S639" s="168"/>
      <c r="T639" s="287"/>
      <c r="U639" s="264"/>
      <c r="V639" s="198"/>
    </row>
    <row r="640" spans="1:22" s="90" customFormat="1" ht="19.5" hidden="1" customHeight="1">
      <c r="A640" s="137"/>
      <c r="B640" s="197">
        <f t="shared" si="10"/>
        <v>630</v>
      </c>
      <c r="C640" s="30" t="s">
        <v>202</v>
      </c>
      <c r="D640" s="30" t="s">
        <v>225</v>
      </c>
      <c r="E640" s="234" t="s">
        <v>996</v>
      </c>
      <c r="F640" s="235" t="s">
        <v>1359</v>
      </c>
      <c r="G640" s="476"/>
      <c r="H640" s="236" t="s">
        <v>5308</v>
      </c>
      <c r="I640" s="236">
        <v>1</v>
      </c>
      <c r="J640" s="236">
        <v>1</v>
      </c>
      <c r="K640" s="355" t="s">
        <v>1373</v>
      </c>
      <c r="L640" s="356">
        <v>44235</v>
      </c>
      <c r="M640" s="357" t="s">
        <v>204</v>
      </c>
      <c r="N640" s="416">
        <v>438000000</v>
      </c>
      <c r="O640" s="416">
        <v>438000000</v>
      </c>
      <c r="P640" s="358"/>
      <c r="Q640" s="320"/>
      <c r="R640" s="168"/>
      <c r="S640" s="168"/>
      <c r="T640" s="287"/>
      <c r="U640" s="264"/>
      <c r="V640" s="198"/>
    </row>
    <row r="641" spans="1:22" s="90" customFormat="1" ht="19.5" hidden="1" customHeight="1">
      <c r="A641" s="137"/>
      <c r="B641" s="197">
        <f t="shared" si="10"/>
        <v>631</v>
      </c>
      <c r="C641" s="30" t="s">
        <v>202</v>
      </c>
      <c r="D641" s="30" t="s">
        <v>225</v>
      </c>
      <c r="E641" s="234" t="s">
        <v>997</v>
      </c>
      <c r="F641" s="235" t="s">
        <v>1229</v>
      </c>
      <c r="G641" s="476"/>
      <c r="H641" s="236" t="s">
        <v>4597</v>
      </c>
      <c r="I641" s="236">
        <v>1</v>
      </c>
      <c r="J641" s="236">
        <v>1</v>
      </c>
      <c r="K641" s="355" t="s">
        <v>1373</v>
      </c>
      <c r="L641" s="356">
        <v>45071</v>
      </c>
      <c r="M641" s="357" t="s">
        <v>204</v>
      </c>
      <c r="N641" s="416">
        <v>350900000</v>
      </c>
      <c r="O641" s="416">
        <v>350900000</v>
      </c>
      <c r="P641" s="358"/>
      <c r="Q641" s="320"/>
      <c r="R641" s="168"/>
      <c r="S641" s="168"/>
      <c r="T641" s="287"/>
      <c r="U641" s="264"/>
      <c r="V641" s="198"/>
    </row>
    <row r="642" spans="1:22" s="90" customFormat="1" ht="19.5" hidden="1" customHeight="1">
      <c r="A642" s="137"/>
      <c r="B642" s="197">
        <f t="shared" si="10"/>
        <v>632</v>
      </c>
      <c r="C642" s="30" t="s">
        <v>202</v>
      </c>
      <c r="D642" s="30" t="s">
        <v>225</v>
      </c>
      <c r="E642" s="234" t="s">
        <v>998</v>
      </c>
      <c r="F642" s="235" t="s">
        <v>1221</v>
      </c>
      <c r="G642" s="476"/>
      <c r="H642" s="236" t="s">
        <v>4878</v>
      </c>
      <c r="I642" s="236">
        <v>1</v>
      </c>
      <c r="J642" s="236">
        <v>1</v>
      </c>
      <c r="K642" s="355" t="s">
        <v>1373</v>
      </c>
      <c r="L642" s="356">
        <v>44515</v>
      </c>
      <c r="M642" s="357" t="s">
        <v>204</v>
      </c>
      <c r="N642" s="416">
        <v>357500000</v>
      </c>
      <c r="O642" s="416">
        <v>357500000</v>
      </c>
      <c r="P642" s="358"/>
      <c r="Q642" s="320"/>
      <c r="R642" s="168"/>
      <c r="S642" s="168"/>
      <c r="T642" s="287"/>
      <c r="U642" s="264"/>
      <c r="V642" s="198"/>
    </row>
    <row r="643" spans="1:22" s="90" customFormat="1" ht="19.5" hidden="1" customHeight="1">
      <c r="A643" s="137"/>
      <c r="B643" s="197">
        <f t="shared" si="10"/>
        <v>633</v>
      </c>
      <c r="C643" s="30" t="s">
        <v>202</v>
      </c>
      <c r="D643" s="30" t="s">
        <v>225</v>
      </c>
      <c r="E643" s="234" t="s">
        <v>999</v>
      </c>
      <c r="F643" s="235" t="s">
        <v>1232</v>
      </c>
      <c r="G643" s="476"/>
      <c r="H643" s="236" t="s">
        <v>4344</v>
      </c>
      <c r="I643" s="236">
        <v>1</v>
      </c>
      <c r="J643" s="236">
        <v>1</v>
      </c>
      <c r="K643" s="355" t="s">
        <v>1373</v>
      </c>
      <c r="L643" s="356">
        <v>42083</v>
      </c>
      <c r="M643" s="357" t="s">
        <v>204</v>
      </c>
      <c r="N643" s="416">
        <v>351600000</v>
      </c>
      <c r="O643" s="416">
        <v>351600000</v>
      </c>
      <c r="P643" s="358"/>
      <c r="Q643" s="320"/>
      <c r="R643" s="168"/>
      <c r="S643" s="168"/>
      <c r="T643" s="287"/>
      <c r="U643" s="264"/>
      <c r="V643" s="198"/>
    </row>
    <row r="644" spans="1:22" s="90" customFormat="1" ht="19.5" hidden="1" customHeight="1">
      <c r="A644" s="137"/>
      <c r="B644" s="197">
        <f t="shared" si="10"/>
        <v>634</v>
      </c>
      <c r="C644" s="30" t="s">
        <v>202</v>
      </c>
      <c r="D644" s="30" t="s">
        <v>225</v>
      </c>
      <c r="E644" s="234" t="s">
        <v>999</v>
      </c>
      <c r="F644" s="235" t="s">
        <v>1232</v>
      </c>
      <c r="G644" s="476"/>
      <c r="H644" s="236" t="s">
        <v>4344</v>
      </c>
      <c r="I644" s="236">
        <v>1</v>
      </c>
      <c r="J644" s="236">
        <v>2</v>
      </c>
      <c r="K644" s="355" t="s">
        <v>1373</v>
      </c>
      <c r="L644" s="356">
        <v>43444</v>
      </c>
      <c r="M644" s="357" t="s">
        <v>204</v>
      </c>
      <c r="N644" s="416">
        <v>53000000</v>
      </c>
      <c r="O644" s="416">
        <v>53000000</v>
      </c>
      <c r="P644" s="358"/>
      <c r="Q644" s="320"/>
      <c r="R644" s="168"/>
      <c r="S644" s="168"/>
      <c r="T644" s="287"/>
      <c r="U644" s="264"/>
      <c r="V644" s="198"/>
    </row>
    <row r="645" spans="1:22" s="90" customFormat="1" ht="19.5" hidden="1" customHeight="1">
      <c r="A645" s="137"/>
      <c r="B645" s="197">
        <f t="shared" si="10"/>
        <v>635</v>
      </c>
      <c r="C645" s="30" t="s">
        <v>202</v>
      </c>
      <c r="D645" s="30" t="s">
        <v>225</v>
      </c>
      <c r="E645" s="234" t="s">
        <v>999</v>
      </c>
      <c r="F645" s="235" t="s">
        <v>1232</v>
      </c>
      <c r="G645" s="476"/>
      <c r="H645" s="236" t="s">
        <v>4344</v>
      </c>
      <c r="I645" s="236">
        <v>1</v>
      </c>
      <c r="J645" s="236">
        <v>3</v>
      </c>
      <c r="K645" s="355" t="s">
        <v>1373</v>
      </c>
      <c r="L645" s="356">
        <v>43521</v>
      </c>
      <c r="M645" s="357" t="s">
        <v>204</v>
      </c>
      <c r="N645" s="416">
        <v>74000000</v>
      </c>
      <c r="O645" s="416">
        <v>74000000</v>
      </c>
      <c r="P645" s="358"/>
      <c r="Q645" s="320"/>
      <c r="R645" s="168"/>
      <c r="S645" s="168"/>
      <c r="T645" s="287"/>
      <c r="U645" s="264"/>
      <c r="V645" s="198"/>
    </row>
    <row r="646" spans="1:22" s="90" customFormat="1" ht="19.5" hidden="1" customHeight="1">
      <c r="A646" s="137"/>
      <c r="B646" s="197">
        <f t="shared" si="10"/>
        <v>636</v>
      </c>
      <c r="C646" s="30" t="s">
        <v>202</v>
      </c>
      <c r="D646" s="30" t="s">
        <v>225</v>
      </c>
      <c r="E646" s="234" t="s">
        <v>1000</v>
      </c>
      <c r="F646" s="235" t="s">
        <v>1256</v>
      </c>
      <c r="G646" s="476"/>
      <c r="H646" s="236" t="s">
        <v>3874</v>
      </c>
      <c r="I646" s="236">
        <v>1</v>
      </c>
      <c r="J646" s="236">
        <v>1</v>
      </c>
      <c r="K646" s="355" t="s">
        <v>1373</v>
      </c>
      <c r="L646" s="356">
        <v>43164</v>
      </c>
      <c r="M646" s="357" t="s">
        <v>204</v>
      </c>
      <c r="N646" s="416">
        <v>372000000</v>
      </c>
      <c r="O646" s="416">
        <v>372000000</v>
      </c>
      <c r="P646" s="358"/>
      <c r="Q646" s="320"/>
      <c r="R646" s="168"/>
      <c r="S646" s="168"/>
      <c r="T646" s="287"/>
      <c r="U646" s="264"/>
      <c r="V646" s="198"/>
    </row>
    <row r="647" spans="1:22" s="90" customFormat="1" ht="19.5" hidden="1" customHeight="1">
      <c r="A647" s="137"/>
      <c r="B647" s="197">
        <f t="shared" si="10"/>
        <v>637</v>
      </c>
      <c r="C647" s="30" t="s">
        <v>202</v>
      </c>
      <c r="D647" s="30" t="s">
        <v>225</v>
      </c>
      <c r="E647" s="234" t="s">
        <v>1001</v>
      </c>
      <c r="F647" s="235" t="s">
        <v>1217</v>
      </c>
      <c r="G647" s="476"/>
      <c r="H647" s="236" t="s">
        <v>4299</v>
      </c>
      <c r="I647" s="236">
        <v>1</v>
      </c>
      <c r="J647" s="236">
        <v>1</v>
      </c>
      <c r="K647" s="355" t="s">
        <v>1373</v>
      </c>
      <c r="L647" s="356">
        <v>43215</v>
      </c>
      <c r="M647" s="357" t="s">
        <v>204</v>
      </c>
      <c r="N647" s="416">
        <v>480000000</v>
      </c>
      <c r="O647" s="416">
        <v>480000000</v>
      </c>
      <c r="P647" s="358"/>
      <c r="Q647" s="320"/>
      <c r="R647" s="168"/>
      <c r="S647" s="168"/>
      <c r="T647" s="287"/>
      <c r="U647" s="264"/>
      <c r="V647" s="198"/>
    </row>
    <row r="648" spans="1:22" s="90" customFormat="1" ht="19.5" hidden="1" customHeight="1">
      <c r="A648" s="137"/>
      <c r="B648" s="197">
        <f t="shared" si="10"/>
        <v>638</v>
      </c>
      <c r="C648" s="30" t="s">
        <v>202</v>
      </c>
      <c r="D648" s="30" t="s">
        <v>225</v>
      </c>
      <c r="E648" s="234" t="s">
        <v>1002</v>
      </c>
      <c r="F648" s="235" t="s">
        <v>1360</v>
      </c>
      <c r="G648" s="476"/>
      <c r="H648" s="236" t="s">
        <v>5026</v>
      </c>
      <c r="I648" s="236">
        <v>1</v>
      </c>
      <c r="J648" s="236">
        <v>1</v>
      </c>
      <c r="K648" s="355" t="s">
        <v>488</v>
      </c>
      <c r="L648" s="356">
        <v>44523</v>
      </c>
      <c r="M648" s="357" t="s">
        <v>204</v>
      </c>
      <c r="N648" s="416">
        <v>360000000</v>
      </c>
      <c r="O648" s="416">
        <v>360000000</v>
      </c>
      <c r="P648" s="358"/>
      <c r="Q648" s="320"/>
      <c r="R648" s="168"/>
      <c r="S648" s="168"/>
      <c r="T648" s="287"/>
      <c r="U648" s="264"/>
      <c r="V648" s="198"/>
    </row>
    <row r="649" spans="1:22" s="90" customFormat="1" ht="19.5" hidden="1" customHeight="1">
      <c r="A649" s="137"/>
      <c r="B649" s="197">
        <f t="shared" si="10"/>
        <v>639</v>
      </c>
      <c r="C649" s="30" t="s">
        <v>202</v>
      </c>
      <c r="D649" s="30" t="s">
        <v>225</v>
      </c>
      <c r="E649" s="234" t="s">
        <v>1002</v>
      </c>
      <c r="F649" s="235" t="s">
        <v>1360</v>
      </c>
      <c r="G649" s="476"/>
      <c r="H649" s="236" t="s">
        <v>5026</v>
      </c>
      <c r="I649" s="236">
        <v>1</v>
      </c>
      <c r="J649" s="236">
        <v>2</v>
      </c>
      <c r="K649" s="355" t="s">
        <v>1373</v>
      </c>
      <c r="L649" s="356">
        <v>45372</v>
      </c>
      <c r="M649" s="357" t="s">
        <v>204</v>
      </c>
      <c r="N649" s="416">
        <v>360000000</v>
      </c>
      <c r="O649" s="416">
        <v>360000000</v>
      </c>
      <c r="P649" s="358"/>
      <c r="Q649" s="320"/>
      <c r="R649" s="168"/>
      <c r="S649" s="168"/>
      <c r="T649" s="287"/>
      <c r="U649" s="264"/>
      <c r="V649" s="198"/>
    </row>
    <row r="650" spans="1:22" s="90" customFormat="1" ht="19.5" hidden="1" customHeight="1">
      <c r="A650" s="137"/>
      <c r="B650" s="197">
        <f t="shared" si="10"/>
        <v>640</v>
      </c>
      <c r="C650" s="30" t="s">
        <v>202</v>
      </c>
      <c r="D650" s="30" t="s">
        <v>225</v>
      </c>
      <c r="E650" s="234" t="s">
        <v>1003</v>
      </c>
      <c r="F650" s="235" t="s">
        <v>1231</v>
      </c>
      <c r="G650" s="476"/>
      <c r="H650" s="236" t="s">
        <v>4421</v>
      </c>
      <c r="I650" s="236">
        <v>1</v>
      </c>
      <c r="J650" s="236">
        <v>1</v>
      </c>
      <c r="K650" s="355" t="s">
        <v>1373</v>
      </c>
      <c r="L650" s="356">
        <v>44876</v>
      </c>
      <c r="M650" s="357" t="s">
        <v>204</v>
      </c>
      <c r="N650" s="416">
        <v>333300000</v>
      </c>
      <c r="O650" s="416">
        <v>333300000</v>
      </c>
      <c r="P650" s="358"/>
      <c r="Q650" s="320"/>
      <c r="R650" s="168"/>
      <c r="S650" s="168"/>
      <c r="T650" s="287"/>
      <c r="U650" s="264"/>
      <c r="V650" s="198"/>
    </row>
    <row r="651" spans="1:22" s="90" customFormat="1" ht="19.5" hidden="1" customHeight="1">
      <c r="A651" s="137"/>
      <c r="B651" s="197">
        <f t="shared" ref="B651:B714" si="11">ROW()-10</f>
        <v>641</v>
      </c>
      <c r="C651" s="30" t="s">
        <v>202</v>
      </c>
      <c r="D651" s="30" t="s">
        <v>225</v>
      </c>
      <c r="E651" s="234" t="s">
        <v>1004</v>
      </c>
      <c r="F651" s="235" t="s">
        <v>1361</v>
      </c>
      <c r="G651" s="476"/>
      <c r="H651" s="236" t="s">
        <v>5016</v>
      </c>
      <c r="I651" s="236">
        <v>1</v>
      </c>
      <c r="J651" s="236">
        <v>1</v>
      </c>
      <c r="K651" s="355" t="s">
        <v>1373</v>
      </c>
      <c r="L651" s="356">
        <v>42885</v>
      </c>
      <c r="M651" s="357" t="s">
        <v>204</v>
      </c>
      <c r="N651" s="416">
        <v>1200000000</v>
      </c>
      <c r="O651" s="416">
        <v>1200000000</v>
      </c>
      <c r="P651" s="358"/>
      <c r="Q651" s="320"/>
      <c r="R651" s="168"/>
      <c r="S651" s="168"/>
      <c r="T651" s="287"/>
      <c r="U651" s="264"/>
      <c r="V651" s="198"/>
    </row>
    <row r="652" spans="1:22" s="90" customFormat="1" ht="19.5" hidden="1" customHeight="1">
      <c r="A652" s="137"/>
      <c r="B652" s="197">
        <f t="shared" si="11"/>
        <v>642</v>
      </c>
      <c r="C652" s="30" t="s">
        <v>202</v>
      </c>
      <c r="D652" s="30" t="s">
        <v>225</v>
      </c>
      <c r="E652" s="234" t="s">
        <v>1005</v>
      </c>
      <c r="F652" s="235" t="s">
        <v>1226</v>
      </c>
      <c r="G652" s="476"/>
      <c r="H652" s="236" t="s">
        <v>3914</v>
      </c>
      <c r="I652" s="236">
        <v>1</v>
      </c>
      <c r="J652" s="236">
        <v>1</v>
      </c>
      <c r="K652" s="355" t="s">
        <v>1373</v>
      </c>
      <c r="L652" s="356">
        <v>45041</v>
      </c>
      <c r="M652" s="357" t="s">
        <v>204</v>
      </c>
      <c r="N652" s="416">
        <v>319000000</v>
      </c>
      <c r="O652" s="416">
        <v>319000000</v>
      </c>
      <c r="P652" s="358"/>
      <c r="Q652" s="320"/>
      <c r="R652" s="168"/>
      <c r="S652" s="168"/>
      <c r="T652" s="287"/>
      <c r="U652" s="264"/>
      <c r="V652" s="198"/>
    </row>
    <row r="653" spans="1:22" s="90" customFormat="1" ht="19.5" hidden="1" customHeight="1">
      <c r="A653" s="137"/>
      <c r="B653" s="197">
        <f t="shared" si="11"/>
        <v>643</v>
      </c>
      <c r="C653" s="30" t="s">
        <v>202</v>
      </c>
      <c r="D653" s="30" t="s">
        <v>225</v>
      </c>
      <c r="E653" s="234" t="s">
        <v>1006</v>
      </c>
      <c r="F653" s="235" t="s">
        <v>1231</v>
      </c>
      <c r="G653" s="476"/>
      <c r="H653" s="236" t="s">
        <v>5463</v>
      </c>
      <c r="I653" s="236">
        <v>1</v>
      </c>
      <c r="J653" s="236">
        <v>1</v>
      </c>
      <c r="K653" s="355" t="s">
        <v>1373</v>
      </c>
      <c r="L653" s="356">
        <v>43301</v>
      </c>
      <c r="M653" s="357" t="s">
        <v>204</v>
      </c>
      <c r="N653" s="416">
        <v>432000000</v>
      </c>
      <c r="O653" s="416">
        <v>432000000</v>
      </c>
      <c r="P653" s="358"/>
      <c r="Q653" s="320"/>
      <c r="R653" s="168"/>
      <c r="S653" s="168"/>
      <c r="T653" s="287"/>
      <c r="U653" s="264"/>
      <c r="V653" s="198"/>
    </row>
    <row r="654" spans="1:22" s="90" customFormat="1" ht="19.5" hidden="1" customHeight="1">
      <c r="A654" s="137"/>
      <c r="B654" s="197">
        <f t="shared" si="11"/>
        <v>644</v>
      </c>
      <c r="C654" s="30" t="s">
        <v>202</v>
      </c>
      <c r="D654" s="30" t="s">
        <v>225</v>
      </c>
      <c r="E654" s="234" t="s">
        <v>1007</v>
      </c>
      <c r="F654" s="235" t="s">
        <v>1229</v>
      </c>
      <c r="G654" s="476"/>
      <c r="H654" s="236" t="s">
        <v>4849</v>
      </c>
      <c r="I654" s="236">
        <v>1</v>
      </c>
      <c r="J654" s="236">
        <v>1</v>
      </c>
      <c r="K654" s="355" t="s">
        <v>1373</v>
      </c>
      <c r="L654" s="356">
        <v>44967</v>
      </c>
      <c r="M654" s="357" t="s">
        <v>204</v>
      </c>
      <c r="N654" s="416">
        <v>321200000</v>
      </c>
      <c r="O654" s="416">
        <v>321200000</v>
      </c>
      <c r="P654" s="358"/>
      <c r="Q654" s="320"/>
      <c r="R654" s="168"/>
      <c r="S654" s="168"/>
      <c r="T654" s="287"/>
      <c r="U654" s="264"/>
      <c r="V654" s="198"/>
    </row>
    <row r="655" spans="1:22" s="90" customFormat="1" ht="19.5" hidden="1" customHeight="1">
      <c r="A655" s="137"/>
      <c r="B655" s="197">
        <f t="shared" si="11"/>
        <v>645</v>
      </c>
      <c r="C655" s="30" t="s">
        <v>202</v>
      </c>
      <c r="D655" s="30" t="s">
        <v>225</v>
      </c>
      <c r="E655" s="234" t="s">
        <v>1008</v>
      </c>
      <c r="F655" s="235" t="s">
        <v>1229</v>
      </c>
      <c r="G655" s="476"/>
      <c r="H655" s="236" t="s">
        <v>4677</v>
      </c>
      <c r="I655" s="236">
        <v>1</v>
      </c>
      <c r="J655" s="236">
        <v>1</v>
      </c>
      <c r="K655" s="355" t="s">
        <v>1373</v>
      </c>
      <c r="L655" s="356">
        <v>40485</v>
      </c>
      <c r="M655" s="357" t="s">
        <v>204</v>
      </c>
      <c r="N655" s="416">
        <v>306600000</v>
      </c>
      <c r="O655" s="416">
        <v>306600000</v>
      </c>
      <c r="P655" s="358"/>
      <c r="Q655" s="320"/>
      <c r="R655" s="168"/>
      <c r="S655" s="168"/>
      <c r="T655" s="287"/>
      <c r="U655" s="264"/>
      <c r="V655" s="198"/>
    </row>
    <row r="656" spans="1:22" s="90" customFormat="1" ht="19.5" hidden="1" customHeight="1">
      <c r="A656" s="137"/>
      <c r="B656" s="197">
        <f t="shared" si="11"/>
        <v>646</v>
      </c>
      <c r="C656" s="30" t="s">
        <v>202</v>
      </c>
      <c r="D656" s="30" t="s">
        <v>225</v>
      </c>
      <c r="E656" s="234" t="s">
        <v>1009</v>
      </c>
      <c r="F656" s="235" t="s">
        <v>1221</v>
      </c>
      <c r="G656" s="476"/>
      <c r="H656" s="236" t="s">
        <v>4656</v>
      </c>
      <c r="I656" s="236">
        <v>1</v>
      </c>
      <c r="J656" s="236">
        <v>1</v>
      </c>
      <c r="K656" s="355" t="s">
        <v>1373</v>
      </c>
      <c r="L656" s="356">
        <v>44211</v>
      </c>
      <c r="M656" s="357" t="s">
        <v>204</v>
      </c>
      <c r="N656" s="416">
        <v>252000000</v>
      </c>
      <c r="O656" s="416">
        <v>252000000</v>
      </c>
      <c r="P656" s="358"/>
      <c r="Q656" s="320"/>
      <c r="R656" s="168"/>
      <c r="S656" s="168"/>
      <c r="T656" s="287"/>
      <c r="U656" s="264"/>
      <c r="V656" s="198"/>
    </row>
    <row r="657" spans="1:22" s="90" customFormat="1" ht="19.5" hidden="1" customHeight="1">
      <c r="A657" s="137"/>
      <c r="B657" s="197">
        <f t="shared" si="11"/>
        <v>647</v>
      </c>
      <c r="C657" s="30" t="s">
        <v>202</v>
      </c>
      <c r="D657" s="30" t="s">
        <v>225</v>
      </c>
      <c r="E657" s="234" t="s">
        <v>1009</v>
      </c>
      <c r="F657" s="235" t="s">
        <v>1221</v>
      </c>
      <c r="G657" s="476"/>
      <c r="H657" s="236" t="s">
        <v>4656</v>
      </c>
      <c r="I657" s="236">
        <v>1</v>
      </c>
      <c r="J657" s="236">
        <v>2</v>
      </c>
      <c r="K657" s="355" t="s">
        <v>1373</v>
      </c>
      <c r="L657" s="356">
        <v>44868</v>
      </c>
      <c r="M657" s="357" t="s">
        <v>204</v>
      </c>
      <c r="N657" s="416">
        <v>87600000</v>
      </c>
      <c r="O657" s="416">
        <v>87600000</v>
      </c>
      <c r="P657" s="358"/>
      <c r="Q657" s="320"/>
      <c r="R657" s="168"/>
      <c r="S657" s="168"/>
      <c r="T657" s="287"/>
      <c r="U657" s="264"/>
      <c r="V657" s="198"/>
    </row>
    <row r="658" spans="1:22" s="90" customFormat="1" ht="19.5" hidden="1" customHeight="1">
      <c r="A658" s="137"/>
      <c r="B658" s="197">
        <f t="shared" si="11"/>
        <v>648</v>
      </c>
      <c r="C658" s="30" t="s">
        <v>202</v>
      </c>
      <c r="D658" s="30" t="s">
        <v>225</v>
      </c>
      <c r="E658" s="234" t="s">
        <v>1010</v>
      </c>
      <c r="F658" s="235" t="s">
        <v>1217</v>
      </c>
      <c r="G658" s="476"/>
      <c r="H658" s="236" t="s">
        <v>4399</v>
      </c>
      <c r="I658" s="236">
        <v>1</v>
      </c>
      <c r="J658" s="236">
        <v>1</v>
      </c>
      <c r="K658" s="355" t="s">
        <v>1373</v>
      </c>
      <c r="L658" s="356">
        <v>44901</v>
      </c>
      <c r="M658" s="357" t="s">
        <v>204</v>
      </c>
      <c r="N658" s="416">
        <v>293700000</v>
      </c>
      <c r="O658" s="416">
        <v>293700000</v>
      </c>
      <c r="P658" s="358"/>
      <c r="Q658" s="320"/>
      <c r="R658" s="168"/>
      <c r="S658" s="168"/>
      <c r="T658" s="287"/>
      <c r="U658" s="264"/>
      <c r="V658" s="198"/>
    </row>
    <row r="659" spans="1:22" s="90" customFormat="1" ht="19.5" hidden="1" customHeight="1">
      <c r="A659" s="137"/>
      <c r="B659" s="197">
        <f t="shared" si="11"/>
        <v>649</v>
      </c>
      <c r="C659" s="30" t="s">
        <v>202</v>
      </c>
      <c r="D659" s="30" t="s">
        <v>225</v>
      </c>
      <c r="E659" s="234" t="s">
        <v>1011</v>
      </c>
      <c r="F659" s="235" t="s">
        <v>1220</v>
      </c>
      <c r="G659" s="476"/>
      <c r="H659" s="236" t="s">
        <v>4260</v>
      </c>
      <c r="I659" s="236">
        <v>1</v>
      </c>
      <c r="J659" s="236">
        <v>1</v>
      </c>
      <c r="K659" s="355" t="s">
        <v>1373</v>
      </c>
      <c r="L659" s="356">
        <v>45155</v>
      </c>
      <c r="M659" s="357" t="s">
        <v>204</v>
      </c>
      <c r="N659" s="416">
        <v>284900000</v>
      </c>
      <c r="O659" s="416">
        <v>284900000</v>
      </c>
      <c r="P659" s="358"/>
      <c r="Q659" s="320"/>
      <c r="R659" s="168"/>
      <c r="S659" s="168"/>
      <c r="T659" s="287"/>
      <c r="U659" s="264"/>
      <c r="V659" s="198"/>
    </row>
    <row r="660" spans="1:22" s="90" customFormat="1" ht="19.5" hidden="1" customHeight="1">
      <c r="A660" s="137"/>
      <c r="B660" s="197">
        <f t="shared" si="11"/>
        <v>650</v>
      </c>
      <c r="C660" s="30" t="s">
        <v>202</v>
      </c>
      <c r="D660" s="30" t="s">
        <v>225</v>
      </c>
      <c r="E660" s="234" t="s">
        <v>1012</v>
      </c>
      <c r="F660" s="235" t="s">
        <v>1218</v>
      </c>
      <c r="G660" s="476"/>
      <c r="H660" s="236" t="s">
        <v>5392</v>
      </c>
      <c r="I660" s="236">
        <v>1</v>
      </c>
      <c r="J660" s="236">
        <v>1</v>
      </c>
      <c r="K660" s="355" t="s">
        <v>1373</v>
      </c>
      <c r="L660" s="356">
        <v>45316</v>
      </c>
      <c r="M660" s="357" t="s">
        <v>204</v>
      </c>
      <c r="N660" s="416">
        <v>275000000</v>
      </c>
      <c r="O660" s="416">
        <v>275000000</v>
      </c>
      <c r="P660" s="358"/>
      <c r="Q660" s="320"/>
      <c r="R660" s="168"/>
      <c r="S660" s="168"/>
      <c r="T660" s="287"/>
      <c r="U660" s="264"/>
      <c r="V660" s="198"/>
    </row>
    <row r="661" spans="1:22" s="90" customFormat="1" ht="19.5" hidden="1" customHeight="1">
      <c r="A661" s="137"/>
      <c r="B661" s="197">
        <f t="shared" si="11"/>
        <v>651</v>
      </c>
      <c r="C661" s="30" t="s">
        <v>202</v>
      </c>
      <c r="D661" s="30" t="s">
        <v>225</v>
      </c>
      <c r="E661" s="234" t="s">
        <v>1013</v>
      </c>
      <c r="F661" s="235" t="s">
        <v>1278</v>
      </c>
      <c r="G661" s="476"/>
      <c r="H661" s="236" t="s">
        <v>4189</v>
      </c>
      <c r="I661" s="236">
        <v>1</v>
      </c>
      <c r="J661" s="236">
        <v>1</v>
      </c>
      <c r="K661" s="355" t="s">
        <v>1373</v>
      </c>
      <c r="L661" s="356">
        <v>43845</v>
      </c>
      <c r="M661" s="357" t="s">
        <v>204</v>
      </c>
      <c r="N661" s="416">
        <v>333600000</v>
      </c>
      <c r="O661" s="416">
        <v>333600000</v>
      </c>
      <c r="P661" s="358"/>
      <c r="Q661" s="320"/>
      <c r="R661" s="168"/>
      <c r="S661" s="168"/>
      <c r="T661" s="287"/>
      <c r="U661" s="264"/>
      <c r="V661" s="198"/>
    </row>
    <row r="662" spans="1:22" s="90" customFormat="1" ht="19.5" hidden="1" customHeight="1">
      <c r="A662" s="137"/>
      <c r="B662" s="197">
        <f t="shared" si="11"/>
        <v>652</v>
      </c>
      <c r="C662" s="30" t="s">
        <v>202</v>
      </c>
      <c r="D662" s="30" t="s">
        <v>225</v>
      </c>
      <c r="E662" s="234" t="s">
        <v>1014</v>
      </c>
      <c r="F662" s="235" t="s">
        <v>1221</v>
      </c>
      <c r="G662" s="476"/>
      <c r="H662" s="236" t="s">
        <v>4358</v>
      </c>
      <c r="I662" s="236">
        <v>1</v>
      </c>
      <c r="J662" s="236">
        <v>1</v>
      </c>
      <c r="K662" s="355" t="s">
        <v>1373</v>
      </c>
      <c r="L662" s="356">
        <v>43224</v>
      </c>
      <c r="M662" s="357" t="s">
        <v>204</v>
      </c>
      <c r="N662" s="416">
        <v>331200000</v>
      </c>
      <c r="O662" s="416">
        <v>331200000</v>
      </c>
      <c r="P662" s="358"/>
      <c r="Q662" s="320"/>
      <c r="R662" s="168"/>
      <c r="S662" s="168"/>
      <c r="T662" s="287"/>
      <c r="U662" s="264"/>
      <c r="V662" s="198"/>
    </row>
    <row r="663" spans="1:22" s="90" customFormat="1" ht="19.5" hidden="1" customHeight="1">
      <c r="A663" s="137"/>
      <c r="B663" s="197">
        <f t="shared" si="11"/>
        <v>653</v>
      </c>
      <c r="C663" s="30" t="s">
        <v>202</v>
      </c>
      <c r="D663" s="30" t="s">
        <v>225</v>
      </c>
      <c r="E663" s="234" t="s">
        <v>1015</v>
      </c>
      <c r="F663" s="235" t="s">
        <v>1217</v>
      </c>
      <c r="G663" s="476"/>
      <c r="H663" s="236" t="s">
        <v>4390</v>
      </c>
      <c r="I663" s="236">
        <v>1</v>
      </c>
      <c r="J663" s="236">
        <v>1</v>
      </c>
      <c r="K663" s="355" t="s">
        <v>1373</v>
      </c>
      <c r="L663" s="356">
        <v>41551</v>
      </c>
      <c r="M663" s="357" t="s">
        <v>204</v>
      </c>
      <c r="N663" s="416">
        <v>360000000</v>
      </c>
      <c r="O663" s="416">
        <v>360000000</v>
      </c>
      <c r="P663" s="358"/>
      <c r="Q663" s="320"/>
      <c r="R663" s="168"/>
      <c r="S663" s="168"/>
      <c r="T663" s="287"/>
      <c r="U663" s="264"/>
      <c r="V663" s="198"/>
    </row>
    <row r="664" spans="1:22" s="90" customFormat="1" ht="19.5" hidden="1" customHeight="1">
      <c r="A664" s="137"/>
      <c r="B664" s="197">
        <f t="shared" si="11"/>
        <v>654</v>
      </c>
      <c r="C664" s="30" t="s">
        <v>202</v>
      </c>
      <c r="D664" s="30" t="s">
        <v>225</v>
      </c>
      <c r="E664" s="234" t="s">
        <v>1016</v>
      </c>
      <c r="F664" s="235" t="s">
        <v>1221</v>
      </c>
      <c r="G664" s="476"/>
      <c r="H664" s="236" t="s">
        <v>5398</v>
      </c>
      <c r="I664" s="236">
        <v>1</v>
      </c>
      <c r="J664" s="236">
        <v>1</v>
      </c>
      <c r="K664" s="355" t="s">
        <v>1373</v>
      </c>
      <c r="L664" s="356">
        <v>45034</v>
      </c>
      <c r="M664" s="357" t="s">
        <v>204</v>
      </c>
      <c r="N664" s="416">
        <v>300000000</v>
      </c>
      <c r="O664" s="416">
        <v>300000000</v>
      </c>
      <c r="P664" s="358"/>
      <c r="Q664" s="320"/>
      <c r="R664" s="168"/>
      <c r="S664" s="168"/>
      <c r="T664" s="287"/>
      <c r="U664" s="264"/>
      <c r="V664" s="198"/>
    </row>
    <row r="665" spans="1:22" s="90" customFormat="1" ht="19.5" hidden="1" customHeight="1">
      <c r="A665" s="137"/>
      <c r="B665" s="197">
        <f t="shared" si="11"/>
        <v>655</v>
      </c>
      <c r="C665" s="30" t="s">
        <v>202</v>
      </c>
      <c r="D665" s="30" t="s">
        <v>225</v>
      </c>
      <c r="E665" s="234" t="s">
        <v>1017</v>
      </c>
      <c r="F665" s="235" t="s">
        <v>1229</v>
      </c>
      <c r="G665" s="476"/>
      <c r="H665" s="236" t="s">
        <v>4561</v>
      </c>
      <c r="I665" s="236">
        <v>1</v>
      </c>
      <c r="J665" s="236">
        <v>1</v>
      </c>
      <c r="K665" s="355" t="s">
        <v>1373</v>
      </c>
      <c r="L665" s="356">
        <v>42318</v>
      </c>
      <c r="M665" s="357" t="s">
        <v>204</v>
      </c>
      <c r="N665" s="416">
        <v>276000000</v>
      </c>
      <c r="O665" s="416">
        <v>276000000</v>
      </c>
      <c r="P665" s="358"/>
      <c r="Q665" s="320"/>
      <c r="R665" s="168"/>
      <c r="S665" s="168"/>
      <c r="T665" s="287"/>
      <c r="U665" s="264"/>
      <c r="V665" s="198"/>
    </row>
    <row r="666" spans="1:22" s="90" customFormat="1" ht="19.5" hidden="1" customHeight="1">
      <c r="A666" s="137"/>
      <c r="B666" s="197">
        <f t="shared" si="11"/>
        <v>656</v>
      </c>
      <c r="C666" s="30" t="s">
        <v>202</v>
      </c>
      <c r="D666" s="30" t="s">
        <v>225</v>
      </c>
      <c r="E666" s="234" t="s">
        <v>1018</v>
      </c>
      <c r="F666" s="235" t="s">
        <v>1229</v>
      </c>
      <c r="G666" s="476"/>
      <c r="H666" s="236" t="s">
        <v>3890</v>
      </c>
      <c r="I666" s="236">
        <v>1</v>
      </c>
      <c r="J666" s="236">
        <v>1</v>
      </c>
      <c r="K666" s="355" t="s">
        <v>1373</v>
      </c>
      <c r="L666" s="356">
        <v>43573</v>
      </c>
      <c r="M666" s="357" t="s">
        <v>204</v>
      </c>
      <c r="N666" s="416">
        <v>312000000</v>
      </c>
      <c r="O666" s="416">
        <v>312000000</v>
      </c>
      <c r="P666" s="358"/>
      <c r="Q666" s="320"/>
      <c r="R666" s="168"/>
      <c r="S666" s="168"/>
      <c r="T666" s="287"/>
      <c r="U666" s="264"/>
      <c r="V666" s="198"/>
    </row>
    <row r="667" spans="1:22" s="90" customFormat="1" ht="19.5" hidden="1" customHeight="1">
      <c r="A667" s="137"/>
      <c r="B667" s="197">
        <f t="shared" si="11"/>
        <v>657</v>
      </c>
      <c r="C667" s="30" t="s">
        <v>202</v>
      </c>
      <c r="D667" s="30" t="s">
        <v>225</v>
      </c>
      <c r="E667" s="234" t="s">
        <v>1019</v>
      </c>
      <c r="F667" s="235" t="s">
        <v>1219</v>
      </c>
      <c r="G667" s="476"/>
      <c r="H667" s="236" t="s">
        <v>4199</v>
      </c>
      <c r="I667" s="236">
        <v>1</v>
      </c>
      <c r="J667" s="236">
        <v>1</v>
      </c>
      <c r="K667" s="355" t="s">
        <v>1373</v>
      </c>
      <c r="L667" s="356">
        <v>42963</v>
      </c>
      <c r="M667" s="357" t="s">
        <v>204</v>
      </c>
      <c r="N667" s="416">
        <v>320400000</v>
      </c>
      <c r="O667" s="416">
        <v>320400000</v>
      </c>
      <c r="P667" s="358"/>
      <c r="Q667" s="320"/>
      <c r="R667" s="168"/>
      <c r="S667" s="168"/>
      <c r="T667" s="287"/>
      <c r="U667" s="264"/>
      <c r="V667" s="198"/>
    </row>
    <row r="668" spans="1:22" s="90" customFormat="1" ht="19.5" hidden="1" customHeight="1">
      <c r="A668" s="137"/>
      <c r="B668" s="197">
        <f t="shared" si="11"/>
        <v>658</v>
      </c>
      <c r="C668" s="30" t="s">
        <v>202</v>
      </c>
      <c r="D668" s="30" t="s">
        <v>225</v>
      </c>
      <c r="E668" s="234" t="s">
        <v>1020</v>
      </c>
      <c r="F668" s="235" t="s">
        <v>1247</v>
      </c>
      <c r="G668" s="476"/>
      <c r="H668" s="236" t="s">
        <v>4302</v>
      </c>
      <c r="I668" s="236">
        <v>1</v>
      </c>
      <c r="J668" s="236">
        <v>1</v>
      </c>
      <c r="K668" s="355" t="s">
        <v>1373</v>
      </c>
      <c r="L668" s="356">
        <v>44852</v>
      </c>
      <c r="M668" s="357" t="s">
        <v>204</v>
      </c>
      <c r="N668" s="416">
        <v>247200000</v>
      </c>
      <c r="O668" s="416">
        <v>247200000</v>
      </c>
      <c r="P668" s="358"/>
      <c r="Q668" s="320"/>
      <c r="R668" s="168"/>
      <c r="S668" s="168"/>
      <c r="T668" s="287"/>
      <c r="U668" s="264"/>
      <c r="V668" s="198"/>
    </row>
    <row r="669" spans="1:22" s="90" customFormat="1" ht="19.5" hidden="1" customHeight="1">
      <c r="A669" s="137"/>
      <c r="B669" s="197">
        <f t="shared" si="11"/>
        <v>659</v>
      </c>
      <c r="C669" s="30" t="s">
        <v>202</v>
      </c>
      <c r="D669" s="30" t="s">
        <v>225</v>
      </c>
      <c r="E669" s="234" t="s">
        <v>1021</v>
      </c>
      <c r="F669" s="235" t="s">
        <v>1229</v>
      </c>
      <c r="G669" s="476"/>
      <c r="H669" s="236" t="s">
        <v>4366</v>
      </c>
      <c r="I669" s="236">
        <v>1</v>
      </c>
      <c r="J669" s="236">
        <v>1</v>
      </c>
      <c r="K669" s="355" t="s">
        <v>1373</v>
      </c>
      <c r="L669" s="356">
        <v>44134</v>
      </c>
      <c r="M669" s="357" t="s">
        <v>204</v>
      </c>
      <c r="N669" s="416">
        <v>245400000</v>
      </c>
      <c r="O669" s="416">
        <v>245400000</v>
      </c>
      <c r="P669" s="358"/>
      <c r="Q669" s="320"/>
      <c r="R669" s="168"/>
      <c r="S669" s="168"/>
      <c r="T669" s="287"/>
      <c r="U669" s="264"/>
      <c r="V669" s="198"/>
    </row>
    <row r="670" spans="1:22" s="90" customFormat="1" ht="19.5" hidden="1" customHeight="1">
      <c r="A670" s="137"/>
      <c r="B670" s="197">
        <f t="shared" si="11"/>
        <v>660</v>
      </c>
      <c r="C670" s="30" t="s">
        <v>202</v>
      </c>
      <c r="D670" s="30" t="s">
        <v>225</v>
      </c>
      <c r="E670" s="234" t="s">
        <v>1022</v>
      </c>
      <c r="F670" s="235" t="s">
        <v>1225</v>
      </c>
      <c r="G670" s="476"/>
      <c r="H670" s="236" t="s">
        <v>4862</v>
      </c>
      <c r="I670" s="236">
        <v>1</v>
      </c>
      <c r="J670" s="236">
        <v>1</v>
      </c>
      <c r="K670" s="355" t="s">
        <v>1373</v>
      </c>
      <c r="L670" s="356">
        <v>44196</v>
      </c>
      <c r="M670" s="357" t="s">
        <v>204</v>
      </c>
      <c r="N670" s="416">
        <v>285600000</v>
      </c>
      <c r="O670" s="416">
        <v>285600000</v>
      </c>
      <c r="P670" s="358"/>
      <c r="Q670" s="320"/>
      <c r="R670" s="168"/>
      <c r="S670" s="168"/>
      <c r="T670" s="287"/>
      <c r="U670" s="264"/>
      <c r="V670" s="198"/>
    </row>
    <row r="671" spans="1:22" s="90" customFormat="1" ht="19.5" hidden="1" customHeight="1">
      <c r="A671" s="137"/>
      <c r="B671" s="197">
        <f t="shared" si="11"/>
        <v>661</v>
      </c>
      <c r="C671" s="30" t="s">
        <v>202</v>
      </c>
      <c r="D671" s="30" t="s">
        <v>225</v>
      </c>
      <c r="E671" s="234" t="s">
        <v>1023</v>
      </c>
      <c r="F671" s="235" t="s">
        <v>1279</v>
      </c>
      <c r="G671" s="476"/>
      <c r="H671" s="236" t="s">
        <v>4211</v>
      </c>
      <c r="I671" s="236">
        <v>1</v>
      </c>
      <c r="J671" s="236">
        <v>1</v>
      </c>
      <c r="K671" s="355" t="s">
        <v>1373</v>
      </c>
      <c r="L671" s="356">
        <v>42094</v>
      </c>
      <c r="M671" s="357" t="s">
        <v>204</v>
      </c>
      <c r="N671" s="416">
        <v>237754000</v>
      </c>
      <c r="O671" s="416">
        <v>237754000</v>
      </c>
      <c r="P671" s="358"/>
      <c r="Q671" s="320"/>
      <c r="R671" s="168"/>
      <c r="S671" s="168"/>
      <c r="T671" s="287"/>
      <c r="U671" s="264"/>
      <c r="V671" s="198"/>
    </row>
    <row r="672" spans="1:22" s="90" customFormat="1" ht="19.5" hidden="1" customHeight="1">
      <c r="A672" s="137"/>
      <c r="B672" s="197">
        <f t="shared" si="11"/>
        <v>662</v>
      </c>
      <c r="C672" s="30" t="s">
        <v>202</v>
      </c>
      <c r="D672" s="30" t="s">
        <v>225</v>
      </c>
      <c r="E672" s="234" t="s">
        <v>1024</v>
      </c>
      <c r="F672" s="235" t="s">
        <v>1226</v>
      </c>
      <c r="G672" s="476"/>
      <c r="H672" s="236" t="s">
        <v>4252</v>
      </c>
      <c r="I672" s="236">
        <v>1</v>
      </c>
      <c r="J672" s="236">
        <v>1</v>
      </c>
      <c r="K672" s="355" t="s">
        <v>1373</v>
      </c>
      <c r="L672" s="356">
        <v>44281</v>
      </c>
      <c r="M672" s="357" t="s">
        <v>204</v>
      </c>
      <c r="N672" s="416">
        <v>271200000</v>
      </c>
      <c r="O672" s="416">
        <v>271200000</v>
      </c>
      <c r="P672" s="358"/>
      <c r="Q672" s="320"/>
      <c r="R672" s="168"/>
      <c r="S672" s="168"/>
      <c r="T672" s="287"/>
      <c r="U672" s="264"/>
      <c r="V672" s="198"/>
    </row>
    <row r="673" spans="1:22" s="90" customFormat="1" ht="19.5" hidden="1" customHeight="1">
      <c r="A673" s="137"/>
      <c r="B673" s="197">
        <f t="shared" si="11"/>
        <v>663</v>
      </c>
      <c r="C673" s="30" t="s">
        <v>202</v>
      </c>
      <c r="D673" s="30" t="s">
        <v>225</v>
      </c>
      <c r="E673" s="234" t="s">
        <v>1025</v>
      </c>
      <c r="F673" s="235" t="s">
        <v>1232</v>
      </c>
      <c r="G673" s="476"/>
      <c r="H673" s="236" t="s">
        <v>4726</v>
      </c>
      <c r="I673" s="236">
        <v>1</v>
      </c>
      <c r="J673" s="236">
        <v>1</v>
      </c>
      <c r="K673" s="355" t="s">
        <v>1373</v>
      </c>
      <c r="L673" s="356">
        <v>44547</v>
      </c>
      <c r="M673" s="357" t="s">
        <v>204</v>
      </c>
      <c r="N673" s="416">
        <v>235400000</v>
      </c>
      <c r="O673" s="416">
        <v>235400000</v>
      </c>
      <c r="P673" s="358"/>
      <c r="Q673" s="320"/>
      <c r="R673" s="168"/>
      <c r="S673" s="168"/>
      <c r="T673" s="287"/>
      <c r="U673" s="264"/>
      <c r="V673" s="198"/>
    </row>
    <row r="674" spans="1:22" s="90" customFormat="1" ht="19.5" hidden="1" customHeight="1">
      <c r="A674" s="137"/>
      <c r="B674" s="197">
        <f t="shared" si="11"/>
        <v>664</v>
      </c>
      <c r="C674" s="30" t="s">
        <v>202</v>
      </c>
      <c r="D674" s="30" t="s">
        <v>225</v>
      </c>
      <c r="E674" s="234" t="s">
        <v>1026</v>
      </c>
      <c r="F674" s="235" t="s">
        <v>1232</v>
      </c>
      <c r="G674" s="476"/>
      <c r="H674" s="236" t="s">
        <v>4352</v>
      </c>
      <c r="I674" s="236">
        <v>1</v>
      </c>
      <c r="J674" s="236">
        <v>1</v>
      </c>
      <c r="K674" s="355" t="s">
        <v>1373</v>
      </c>
      <c r="L674" s="356">
        <v>44552</v>
      </c>
      <c r="M674" s="357" t="s">
        <v>204</v>
      </c>
      <c r="N674" s="416">
        <v>360000000</v>
      </c>
      <c r="O674" s="416">
        <v>360000000</v>
      </c>
      <c r="P674" s="358"/>
      <c r="Q674" s="320"/>
      <c r="R674" s="168"/>
      <c r="S674" s="168"/>
      <c r="T674" s="287"/>
      <c r="U674" s="264"/>
      <c r="V674" s="198"/>
    </row>
    <row r="675" spans="1:22" s="90" customFormat="1" ht="19.5" hidden="1" customHeight="1">
      <c r="A675" s="137"/>
      <c r="B675" s="197">
        <f t="shared" si="11"/>
        <v>665</v>
      </c>
      <c r="C675" s="30" t="s">
        <v>202</v>
      </c>
      <c r="D675" s="30" t="s">
        <v>225</v>
      </c>
      <c r="E675" s="234" t="s">
        <v>1027</v>
      </c>
      <c r="F675" s="235" t="s">
        <v>1271</v>
      </c>
      <c r="G675" s="476"/>
      <c r="H675" s="236" t="s">
        <v>3971</v>
      </c>
      <c r="I675" s="236">
        <v>1</v>
      </c>
      <c r="J675" s="236">
        <v>1</v>
      </c>
      <c r="K675" s="355" t="s">
        <v>1373</v>
      </c>
      <c r="L675" s="356">
        <v>42044</v>
      </c>
      <c r="M675" s="357" t="s">
        <v>204</v>
      </c>
      <c r="N675" s="416">
        <v>360000000</v>
      </c>
      <c r="O675" s="416">
        <v>360000000</v>
      </c>
      <c r="P675" s="358"/>
      <c r="Q675" s="320"/>
      <c r="R675" s="168"/>
      <c r="S675" s="168"/>
      <c r="T675" s="287"/>
      <c r="U675" s="264"/>
      <c r="V675" s="198"/>
    </row>
    <row r="676" spans="1:22" s="90" customFormat="1" ht="19.5" hidden="1" customHeight="1">
      <c r="A676" s="137"/>
      <c r="B676" s="197">
        <f t="shared" si="11"/>
        <v>666</v>
      </c>
      <c r="C676" s="30" t="s">
        <v>202</v>
      </c>
      <c r="D676" s="30" t="s">
        <v>225</v>
      </c>
      <c r="E676" s="234" t="s">
        <v>1028</v>
      </c>
      <c r="F676" s="235" t="s">
        <v>1218</v>
      </c>
      <c r="G676" s="476"/>
      <c r="H676" s="236" t="s">
        <v>3936</v>
      </c>
      <c r="I676" s="236">
        <v>1</v>
      </c>
      <c r="J676" s="236">
        <v>1</v>
      </c>
      <c r="K676" s="355" t="s">
        <v>1373</v>
      </c>
      <c r="L676" s="356">
        <v>45308</v>
      </c>
      <c r="M676" s="357" t="s">
        <v>204</v>
      </c>
      <c r="N676" s="416">
        <v>220000000</v>
      </c>
      <c r="O676" s="416">
        <v>220000000</v>
      </c>
      <c r="P676" s="358"/>
      <c r="Q676" s="320"/>
      <c r="R676" s="168"/>
      <c r="S676" s="168"/>
      <c r="T676" s="287"/>
      <c r="U676" s="264"/>
      <c r="V676" s="198"/>
    </row>
    <row r="677" spans="1:22" s="90" customFormat="1" ht="19.5" hidden="1" customHeight="1">
      <c r="A677" s="137"/>
      <c r="B677" s="197">
        <f t="shared" si="11"/>
        <v>667</v>
      </c>
      <c r="C677" s="30" t="s">
        <v>202</v>
      </c>
      <c r="D677" s="30" t="s">
        <v>225</v>
      </c>
      <c r="E677" s="234" t="s">
        <v>1029</v>
      </c>
      <c r="F677" s="235" t="s">
        <v>1280</v>
      </c>
      <c r="G677" s="476"/>
      <c r="H677" s="236" t="s">
        <v>5374</v>
      </c>
      <c r="I677" s="236">
        <v>1</v>
      </c>
      <c r="J677" s="236">
        <v>1</v>
      </c>
      <c r="K677" s="355" t="s">
        <v>1373</v>
      </c>
      <c r="L677" s="356">
        <v>44565</v>
      </c>
      <c r="M677" s="357" t="s">
        <v>204</v>
      </c>
      <c r="N677" s="416">
        <v>120000000</v>
      </c>
      <c r="O677" s="416">
        <v>120000000</v>
      </c>
      <c r="P677" s="358"/>
      <c r="Q677" s="320"/>
      <c r="R677" s="168"/>
      <c r="S677" s="168"/>
      <c r="T677" s="287"/>
      <c r="U677" s="264"/>
      <c r="V677" s="198"/>
    </row>
    <row r="678" spans="1:22" s="90" customFormat="1" ht="19.5" hidden="1" customHeight="1">
      <c r="A678" s="137"/>
      <c r="B678" s="197">
        <f t="shared" si="11"/>
        <v>668</v>
      </c>
      <c r="C678" s="30" t="s">
        <v>202</v>
      </c>
      <c r="D678" s="30" t="s">
        <v>225</v>
      </c>
      <c r="E678" s="234" t="s">
        <v>1029</v>
      </c>
      <c r="F678" s="235" t="s">
        <v>1280</v>
      </c>
      <c r="G678" s="476"/>
      <c r="H678" s="236" t="s">
        <v>5376</v>
      </c>
      <c r="I678" s="236">
        <v>2</v>
      </c>
      <c r="J678" s="236">
        <v>1</v>
      </c>
      <c r="K678" s="355" t="s">
        <v>1373</v>
      </c>
      <c r="L678" s="356">
        <v>44565</v>
      </c>
      <c r="M678" s="357" t="s">
        <v>204</v>
      </c>
      <c r="N678" s="416">
        <v>120000000</v>
      </c>
      <c r="O678" s="416">
        <v>120000000</v>
      </c>
      <c r="P678" s="358"/>
      <c r="Q678" s="320"/>
      <c r="R678" s="168"/>
      <c r="S678" s="168"/>
      <c r="T678" s="287"/>
      <c r="U678" s="264"/>
      <c r="V678" s="198"/>
    </row>
    <row r="679" spans="1:22" s="90" customFormat="1" ht="19.5" hidden="1" customHeight="1">
      <c r="A679" s="137"/>
      <c r="B679" s="197">
        <f t="shared" si="11"/>
        <v>669</v>
      </c>
      <c r="C679" s="30" t="s">
        <v>202</v>
      </c>
      <c r="D679" s="30" t="s">
        <v>225</v>
      </c>
      <c r="E679" s="234" t="s">
        <v>1030</v>
      </c>
      <c r="F679" s="235" t="s">
        <v>1231</v>
      </c>
      <c r="G679" s="476"/>
      <c r="H679" s="236" t="s">
        <v>4102</v>
      </c>
      <c r="I679" s="236">
        <v>1</v>
      </c>
      <c r="J679" s="236">
        <v>1</v>
      </c>
      <c r="K679" s="355" t="s">
        <v>1373</v>
      </c>
      <c r="L679" s="356">
        <v>44967</v>
      </c>
      <c r="M679" s="357" t="s">
        <v>204</v>
      </c>
      <c r="N679" s="416">
        <v>220000000</v>
      </c>
      <c r="O679" s="416">
        <v>220000000</v>
      </c>
      <c r="P679" s="358"/>
      <c r="Q679" s="320"/>
      <c r="R679" s="168"/>
      <c r="S679" s="168"/>
      <c r="T679" s="287"/>
      <c r="U679" s="264"/>
      <c r="V679" s="198"/>
    </row>
    <row r="680" spans="1:22" s="90" customFormat="1" ht="19.5" hidden="1" customHeight="1">
      <c r="A680" s="137"/>
      <c r="B680" s="197">
        <f t="shared" si="11"/>
        <v>670</v>
      </c>
      <c r="C680" s="30" t="s">
        <v>202</v>
      </c>
      <c r="D680" s="30" t="s">
        <v>225</v>
      </c>
      <c r="E680" s="234" t="s">
        <v>1031</v>
      </c>
      <c r="F680" s="235" t="s">
        <v>1238</v>
      </c>
      <c r="G680" s="476"/>
      <c r="H680" s="236" t="s">
        <v>5257</v>
      </c>
      <c r="I680" s="236">
        <v>1</v>
      </c>
      <c r="J680" s="236">
        <v>1</v>
      </c>
      <c r="K680" s="355" t="s">
        <v>1373</v>
      </c>
      <c r="L680" s="356">
        <v>45195</v>
      </c>
      <c r="M680" s="357" t="s">
        <v>204</v>
      </c>
      <c r="N680" s="416">
        <v>240000000</v>
      </c>
      <c r="O680" s="416">
        <v>240000000</v>
      </c>
      <c r="P680" s="358"/>
      <c r="Q680" s="320"/>
      <c r="R680" s="168"/>
      <c r="S680" s="168"/>
      <c r="T680" s="287"/>
      <c r="U680" s="264"/>
      <c r="V680" s="198"/>
    </row>
    <row r="681" spans="1:22" s="90" customFormat="1" ht="19.5" hidden="1" customHeight="1">
      <c r="A681" s="137"/>
      <c r="B681" s="197">
        <f t="shared" si="11"/>
        <v>671</v>
      </c>
      <c r="C681" s="30" t="s">
        <v>202</v>
      </c>
      <c r="D681" s="30" t="s">
        <v>225</v>
      </c>
      <c r="E681" s="234" t="s">
        <v>1031</v>
      </c>
      <c r="F681" s="235" t="s">
        <v>1238</v>
      </c>
      <c r="G681" s="476"/>
      <c r="H681" s="236" t="s">
        <v>5259</v>
      </c>
      <c r="I681" s="236">
        <v>2</v>
      </c>
      <c r="J681" s="236">
        <v>1</v>
      </c>
      <c r="K681" s="355" t="s">
        <v>1373</v>
      </c>
      <c r="L681" s="356">
        <v>45132</v>
      </c>
      <c r="M681" s="357" t="s">
        <v>204</v>
      </c>
      <c r="N681" s="416">
        <v>162800000</v>
      </c>
      <c r="O681" s="416">
        <v>162800000</v>
      </c>
      <c r="P681" s="358"/>
      <c r="Q681" s="320"/>
      <c r="R681" s="168"/>
      <c r="S681" s="168"/>
      <c r="T681" s="287"/>
      <c r="U681" s="264"/>
      <c r="V681" s="198"/>
    </row>
    <row r="682" spans="1:22" s="90" customFormat="1" ht="19.5" hidden="1" customHeight="1">
      <c r="A682" s="137"/>
      <c r="B682" s="197">
        <f t="shared" si="11"/>
        <v>672</v>
      </c>
      <c r="C682" s="30" t="s">
        <v>202</v>
      </c>
      <c r="D682" s="30" t="s">
        <v>225</v>
      </c>
      <c r="E682" s="234" t="s">
        <v>1032</v>
      </c>
      <c r="F682" s="235" t="s">
        <v>1231</v>
      </c>
      <c r="G682" s="476"/>
      <c r="H682" s="236" t="s">
        <v>4517</v>
      </c>
      <c r="I682" s="236">
        <v>1</v>
      </c>
      <c r="J682" s="236">
        <v>1</v>
      </c>
      <c r="K682" s="355" t="s">
        <v>1373</v>
      </c>
      <c r="L682" s="356">
        <v>43707</v>
      </c>
      <c r="M682" s="357" t="s">
        <v>204</v>
      </c>
      <c r="N682" s="416">
        <v>115200000</v>
      </c>
      <c r="O682" s="416">
        <v>115200000</v>
      </c>
      <c r="P682" s="358"/>
      <c r="Q682" s="320"/>
      <c r="R682" s="168"/>
      <c r="S682" s="168"/>
      <c r="T682" s="287"/>
      <c r="U682" s="264"/>
      <c r="V682" s="198"/>
    </row>
    <row r="683" spans="1:22" s="90" customFormat="1" ht="19.5" hidden="1" customHeight="1">
      <c r="A683" s="137"/>
      <c r="B683" s="197">
        <f t="shared" si="11"/>
        <v>673</v>
      </c>
      <c r="C683" s="30" t="s">
        <v>202</v>
      </c>
      <c r="D683" s="30" t="s">
        <v>225</v>
      </c>
      <c r="E683" s="234" t="s">
        <v>1032</v>
      </c>
      <c r="F683" s="235" t="s">
        <v>1231</v>
      </c>
      <c r="G683" s="476"/>
      <c r="H683" s="236" t="s">
        <v>4519</v>
      </c>
      <c r="I683" s="236">
        <v>2</v>
      </c>
      <c r="J683" s="236">
        <v>1</v>
      </c>
      <c r="K683" s="355" t="s">
        <v>1373</v>
      </c>
      <c r="L683" s="356">
        <v>43707</v>
      </c>
      <c r="M683" s="357" t="s">
        <v>204</v>
      </c>
      <c r="N683" s="416">
        <v>115200000</v>
      </c>
      <c r="O683" s="416">
        <v>115200000</v>
      </c>
      <c r="P683" s="358"/>
      <c r="Q683" s="320"/>
      <c r="R683" s="168"/>
      <c r="S683" s="168"/>
      <c r="T683" s="287"/>
      <c r="U683" s="264"/>
      <c r="V683" s="198"/>
    </row>
    <row r="684" spans="1:22" s="90" customFormat="1" ht="19.5" hidden="1" customHeight="1">
      <c r="A684" s="137"/>
      <c r="B684" s="197">
        <f t="shared" si="11"/>
        <v>674</v>
      </c>
      <c r="C684" s="30" t="s">
        <v>202</v>
      </c>
      <c r="D684" s="30" t="s">
        <v>225</v>
      </c>
      <c r="E684" s="234" t="s">
        <v>1033</v>
      </c>
      <c r="F684" s="235" t="s">
        <v>1229</v>
      </c>
      <c r="G684" s="476"/>
      <c r="H684" s="236" t="s">
        <v>4951</v>
      </c>
      <c r="I684" s="236">
        <v>1</v>
      </c>
      <c r="J684" s="236">
        <v>1</v>
      </c>
      <c r="K684" s="355" t="s">
        <v>1373</v>
      </c>
      <c r="L684" s="356">
        <v>43707</v>
      </c>
      <c r="M684" s="357" t="s">
        <v>204</v>
      </c>
      <c r="N684" s="416">
        <v>115200000</v>
      </c>
      <c r="O684" s="416">
        <v>115200000</v>
      </c>
      <c r="P684" s="358"/>
      <c r="Q684" s="320"/>
      <c r="R684" s="168"/>
      <c r="S684" s="168"/>
      <c r="T684" s="287"/>
      <c r="U684" s="264"/>
      <c r="V684" s="198"/>
    </row>
    <row r="685" spans="1:22" s="90" customFormat="1" ht="19.5" hidden="1" customHeight="1">
      <c r="A685" s="137"/>
      <c r="B685" s="197">
        <f t="shared" si="11"/>
        <v>675</v>
      </c>
      <c r="C685" s="30" t="s">
        <v>202</v>
      </c>
      <c r="D685" s="30" t="s">
        <v>225</v>
      </c>
      <c r="E685" s="234" t="s">
        <v>1033</v>
      </c>
      <c r="F685" s="235" t="s">
        <v>1229</v>
      </c>
      <c r="G685" s="476"/>
      <c r="H685" s="236" t="s">
        <v>4953</v>
      </c>
      <c r="I685" s="236">
        <v>2</v>
      </c>
      <c r="J685" s="236">
        <v>1</v>
      </c>
      <c r="K685" s="355" t="s">
        <v>1373</v>
      </c>
      <c r="L685" s="356">
        <v>43707</v>
      </c>
      <c r="M685" s="357" t="s">
        <v>204</v>
      </c>
      <c r="N685" s="416">
        <v>115200000</v>
      </c>
      <c r="O685" s="416">
        <v>115200000</v>
      </c>
      <c r="P685" s="358"/>
      <c r="Q685" s="320"/>
      <c r="R685" s="168"/>
      <c r="S685" s="168"/>
      <c r="T685" s="287"/>
      <c r="U685" s="264"/>
      <c r="V685" s="198"/>
    </row>
    <row r="686" spans="1:22" s="90" customFormat="1" ht="19.5" hidden="1" customHeight="1">
      <c r="A686" s="137"/>
      <c r="B686" s="197">
        <f t="shared" si="11"/>
        <v>676</v>
      </c>
      <c r="C686" s="30" t="s">
        <v>202</v>
      </c>
      <c r="D686" s="30" t="s">
        <v>225</v>
      </c>
      <c r="E686" s="234" t="s">
        <v>1034</v>
      </c>
      <c r="F686" s="235" t="s">
        <v>1226</v>
      </c>
      <c r="G686" s="476"/>
      <c r="H686" s="236" t="s">
        <v>4521</v>
      </c>
      <c r="I686" s="236">
        <v>1</v>
      </c>
      <c r="J686" s="236">
        <v>1</v>
      </c>
      <c r="K686" s="355" t="s">
        <v>1373</v>
      </c>
      <c r="L686" s="356">
        <v>42173</v>
      </c>
      <c r="M686" s="357" t="s">
        <v>204</v>
      </c>
      <c r="N686" s="416">
        <v>217800000</v>
      </c>
      <c r="O686" s="416">
        <v>217800000</v>
      </c>
      <c r="P686" s="358"/>
      <c r="Q686" s="320"/>
      <c r="R686" s="168"/>
      <c r="S686" s="168"/>
      <c r="T686" s="287"/>
      <c r="U686" s="264"/>
      <c r="V686" s="198"/>
    </row>
    <row r="687" spans="1:22" s="90" customFormat="1" ht="19.5" hidden="1" customHeight="1">
      <c r="A687" s="137"/>
      <c r="B687" s="197">
        <f t="shared" si="11"/>
        <v>677</v>
      </c>
      <c r="C687" s="30" t="s">
        <v>202</v>
      </c>
      <c r="D687" s="30" t="s">
        <v>225</v>
      </c>
      <c r="E687" s="234" t="s">
        <v>1035</v>
      </c>
      <c r="F687" s="235" t="s">
        <v>1232</v>
      </c>
      <c r="G687" s="476"/>
      <c r="H687" s="236" t="s">
        <v>5168</v>
      </c>
      <c r="I687" s="236">
        <v>1</v>
      </c>
      <c r="J687" s="236">
        <v>1</v>
      </c>
      <c r="K687" s="355" t="s">
        <v>1373</v>
      </c>
      <c r="L687" s="356">
        <v>43796</v>
      </c>
      <c r="M687" s="357" t="s">
        <v>204</v>
      </c>
      <c r="N687" s="416">
        <v>115200000</v>
      </c>
      <c r="O687" s="416">
        <v>115200000</v>
      </c>
      <c r="P687" s="358"/>
      <c r="Q687" s="320"/>
      <c r="R687" s="168"/>
      <c r="S687" s="168"/>
      <c r="T687" s="287"/>
      <c r="U687" s="264"/>
      <c r="V687" s="198"/>
    </row>
    <row r="688" spans="1:22" s="90" customFormat="1" ht="19.5" hidden="1" customHeight="1">
      <c r="A688" s="137"/>
      <c r="B688" s="197">
        <f t="shared" si="11"/>
        <v>678</v>
      </c>
      <c r="C688" s="30" t="s">
        <v>202</v>
      </c>
      <c r="D688" s="30" t="s">
        <v>225</v>
      </c>
      <c r="E688" s="234" t="s">
        <v>1035</v>
      </c>
      <c r="F688" s="235" t="s">
        <v>1232</v>
      </c>
      <c r="G688" s="476"/>
      <c r="H688" s="236" t="s">
        <v>5170</v>
      </c>
      <c r="I688" s="236">
        <v>2</v>
      </c>
      <c r="J688" s="236">
        <v>1</v>
      </c>
      <c r="K688" s="355" t="s">
        <v>1373</v>
      </c>
      <c r="L688" s="356">
        <v>43796</v>
      </c>
      <c r="M688" s="357" t="s">
        <v>204</v>
      </c>
      <c r="N688" s="416">
        <v>115200000</v>
      </c>
      <c r="O688" s="416">
        <v>115200000</v>
      </c>
      <c r="P688" s="358"/>
      <c r="Q688" s="320"/>
      <c r="R688" s="168"/>
      <c r="S688" s="168"/>
      <c r="T688" s="287"/>
      <c r="U688" s="264"/>
      <c r="V688" s="198"/>
    </row>
    <row r="689" spans="1:22" s="90" customFormat="1" ht="19.5" hidden="1" customHeight="1">
      <c r="A689" s="137"/>
      <c r="B689" s="197">
        <f t="shared" si="11"/>
        <v>679</v>
      </c>
      <c r="C689" s="30" t="s">
        <v>202</v>
      </c>
      <c r="D689" s="30" t="s">
        <v>225</v>
      </c>
      <c r="E689" s="234" t="s">
        <v>1036</v>
      </c>
      <c r="F689" s="235" t="s">
        <v>1244</v>
      </c>
      <c r="G689" s="476"/>
      <c r="H689" s="236" t="s">
        <v>4005</v>
      </c>
      <c r="I689" s="236">
        <v>1</v>
      </c>
      <c r="J689" s="236">
        <v>1</v>
      </c>
      <c r="K689" s="355" t="s">
        <v>1373</v>
      </c>
      <c r="L689" s="356">
        <v>43997</v>
      </c>
      <c r="M689" s="357" t="s">
        <v>204</v>
      </c>
      <c r="N689" s="416">
        <v>115200000</v>
      </c>
      <c r="O689" s="416">
        <v>115200000</v>
      </c>
      <c r="P689" s="358"/>
      <c r="Q689" s="320"/>
      <c r="R689" s="168"/>
      <c r="S689" s="168"/>
      <c r="T689" s="287"/>
      <c r="U689" s="264"/>
      <c r="V689" s="198"/>
    </row>
    <row r="690" spans="1:22" s="90" customFormat="1" ht="19.5" hidden="1" customHeight="1">
      <c r="A690" s="137"/>
      <c r="B690" s="197">
        <f t="shared" si="11"/>
        <v>680</v>
      </c>
      <c r="C690" s="30" t="s">
        <v>202</v>
      </c>
      <c r="D690" s="30" t="s">
        <v>225</v>
      </c>
      <c r="E690" s="234" t="s">
        <v>1036</v>
      </c>
      <c r="F690" s="235" t="s">
        <v>1244</v>
      </c>
      <c r="G690" s="476"/>
      <c r="H690" s="236" t="s">
        <v>4007</v>
      </c>
      <c r="I690" s="236">
        <v>2</v>
      </c>
      <c r="J690" s="236">
        <v>1</v>
      </c>
      <c r="K690" s="355" t="s">
        <v>1373</v>
      </c>
      <c r="L690" s="356">
        <v>43997</v>
      </c>
      <c r="M690" s="357" t="s">
        <v>204</v>
      </c>
      <c r="N690" s="416">
        <v>115200000</v>
      </c>
      <c r="O690" s="416">
        <v>115200000</v>
      </c>
      <c r="P690" s="358"/>
      <c r="Q690" s="320"/>
      <c r="R690" s="168"/>
      <c r="S690" s="168"/>
      <c r="T690" s="287"/>
      <c r="U690" s="264"/>
      <c r="V690" s="198"/>
    </row>
    <row r="691" spans="1:22" s="90" customFormat="1" ht="19.5" hidden="1" customHeight="1">
      <c r="A691" s="137"/>
      <c r="B691" s="197">
        <f t="shared" si="11"/>
        <v>681</v>
      </c>
      <c r="C691" s="30" t="s">
        <v>202</v>
      </c>
      <c r="D691" s="30" t="s">
        <v>225</v>
      </c>
      <c r="E691" s="234" t="s">
        <v>1037</v>
      </c>
      <c r="F691" s="235" t="s">
        <v>1229</v>
      </c>
      <c r="G691" s="476"/>
      <c r="H691" s="236" t="s">
        <v>4086</v>
      </c>
      <c r="I691" s="236">
        <v>1</v>
      </c>
      <c r="J691" s="236">
        <v>1</v>
      </c>
      <c r="K691" s="355" t="s">
        <v>1373</v>
      </c>
      <c r="L691" s="356">
        <v>43609</v>
      </c>
      <c r="M691" s="357" t="s">
        <v>204</v>
      </c>
      <c r="N691" s="416">
        <v>252000000</v>
      </c>
      <c r="O691" s="416">
        <v>252000000</v>
      </c>
      <c r="P691" s="358"/>
      <c r="Q691" s="320"/>
      <c r="R691" s="168"/>
      <c r="S691" s="168"/>
      <c r="T691" s="287"/>
      <c r="U691" s="264"/>
      <c r="V691" s="198"/>
    </row>
    <row r="692" spans="1:22" s="90" customFormat="1" ht="19.5" hidden="1" customHeight="1">
      <c r="A692" s="137"/>
      <c r="B692" s="197">
        <f t="shared" si="11"/>
        <v>682</v>
      </c>
      <c r="C692" s="30" t="s">
        <v>202</v>
      </c>
      <c r="D692" s="30" t="s">
        <v>225</v>
      </c>
      <c r="E692" s="234" t="s">
        <v>1038</v>
      </c>
      <c r="F692" s="235" t="s">
        <v>1225</v>
      </c>
      <c r="G692" s="476"/>
      <c r="H692" s="236" t="s">
        <v>3898</v>
      </c>
      <c r="I692" s="236">
        <v>1</v>
      </c>
      <c r="J692" s="236">
        <v>1</v>
      </c>
      <c r="K692" s="355" t="s">
        <v>1373</v>
      </c>
      <c r="L692" s="356">
        <v>44607</v>
      </c>
      <c r="M692" s="357" t="s">
        <v>204</v>
      </c>
      <c r="N692" s="416">
        <v>209000000</v>
      </c>
      <c r="O692" s="416">
        <v>209000000</v>
      </c>
      <c r="P692" s="358"/>
      <c r="Q692" s="320"/>
      <c r="R692" s="168"/>
      <c r="S692" s="168"/>
      <c r="T692" s="287"/>
      <c r="U692" s="264"/>
      <c r="V692" s="198"/>
    </row>
    <row r="693" spans="1:22" s="90" customFormat="1" ht="19.5" hidden="1" customHeight="1">
      <c r="A693" s="137"/>
      <c r="B693" s="197">
        <f t="shared" si="11"/>
        <v>683</v>
      </c>
      <c r="C693" s="30" t="s">
        <v>202</v>
      </c>
      <c r="D693" s="30" t="s">
        <v>225</v>
      </c>
      <c r="E693" s="234" t="s">
        <v>1039</v>
      </c>
      <c r="F693" s="235" t="s">
        <v>1281</v>
      </c>
      <c r="G693" s="476"/>
      <c r="H693" s="236" t="s">
        <v>3978</v>
      </c>
      <c r="I693" s="236">
        <v>1</v>
      </c>
      <c r="J693" s="236">
        <v>1</v>
      </c>
      <c r="K693" s="355" t="s">
        <v>1373</v>
      </c>
      <c r="L693" s="356">
        <v>44442</v>
      </c>
      <c r="M693" s="357" t="s">
        <v>204</v>
      </c>
      <c r="N693" s="416">
        <v>209000000</v>
      </c>
      <c r="O693" s="416">
        <v>209000000</v>
      </c>
      <c r="P693" s="358"/>
      <c r="Q693" s="320"/>
      <c r="R693" s="168"/>
      <c r="S693" s="168"/>
      <c r="T693" s="287"/>
      <c r="U693" s="264"/>
      <c r="V693" s="198"/>
    </row>
    <row r="694" spans="1:22" s="90" customFormat="1" ht="19.5" hidden="1" customHeight="1">
      <c r="A694" s="137"/>
      <c r="B694" s="197">
        <f t="shared" si="11"/>
        <v>684</v>
      </c>
      <c r="C694" s="30" t="s">
        <v>202</v>
      </c>
      <c r="D694" s="30" t="s">
        <v>225</v>
      </c>
      <c r="E694" s="234" t="s">
        <v>1040</v>
      </c>
      <c r="F694" s="235" t="s">
        <v>1362</v>
      </c>
      <c r="G694" s="476"/>
      <c r="H694" s="236" t="s">
        <v>5012</v>
      </c>
      <c r="I694" s="236">
        <v>1</v>
      </c>
      <c r="J694" s="236">
        <v>1</v>
      </c>
      <c r="K694" s="355" t="s">
        <v>1373</v>
      </c>
      <c r="L694" s="356">
        <v>42412</v>
      </c>
      <c r="M694" s="357" t="s">
        <v>204</v>
      </c>
      <c r="N694" s="416">
        <v>240000000</v>
      </c>
      <c r="O694" s="416">
        <v>240000000</v>
      </c>
      <c r="P694" s="358"/>
      <c r="Q694" s="320"/>
      <c r="R694" s="168"/>
      <c r="S694" s="168"/>
      <c r="T694" s="287"/>
      <c r="U694" s="264"/>
      <c r="V694" s="198"/>
    </row>
    <row r="695" spans="1:22" s="90" customFormat="1" ht="19.5" hidden="1" customHeight="1">
      <c r="A695" s="137"/>
      <c r="B695" s="197">
        <f t="shared" si="11"/>
        <v>685</v>
      </c>
      <c r="C695" s="30" t="s">
        <v>202</v>
      </c>
      <c r="D695" s="30" t="s">
        <v>225</v>
      </c>
      <c r="E695" s="234" t="s">
        <v>1041</v>
      </c>
      <c r="F695" s="235" t="s">
        <v>1231</v>
      </c>
      <c r="G695" s="476"/>
      <c r="H695" s="236" t="s">
        <v>3993</v>
      </c>
      <c r="I695" s="236">
        <v>1</v>
      </c>
      <c r="J695" s="236">
        <v>1</v>
      </c>
      <c r="K695" s="355" t="s">
        <v>1373</v>
      </c>
      <c r="L695" s="356">
        <v>43873</v>
      </c>
      <c r="M695" s="357" t="s">
        <v>204</v>
      </c>
      <c r="N695" s="416">
        <v>201600000</v>
      </c>
      <c r="O695" s="416">
        <v>201600000</v>
      </c>
      <c r="P695" s="358"/>
      <c r="Q695" s="320"/>
      <c r="R695" s="168"/>
      <c r="S695" s="168"/>
      <c r="T695" s="287"/>
      <c r="U695" s="264"/>
      <c r="V695" s="198"/>
    </row>
    <row r="696" spans="1:22" s="90" customFormat="1" ht="19.5" hidden="1" customHeight="1">
      <c r="A696" s="137"/>
      <c r="B696" s="197">
        <f t="shared" si="11"/>
        <v>686</v>
      </c>
      <c r="C696" s="30" t="s">
        <v>202</v>
      </c>
      <c r="D696" s="30" t="s">
        <v>225</v>
      </c>
      <c r="E696" s="234" t="s">
        <v>1041</v>
      </c>
      <c r="F696" s="235" t="s">
        <v>1231</v>
      </c>
      <c r="G696" s="476"/>
      <c r="H696" s="236" t="s">
        <v>3993</v>
      </c>
      <c r="I696" s="236">
        <v>1</v>
      </c>
      <c r="J696" s="236">
        <v>2</v>
      </c>
      <c r="K696" s="355" t="s">
        <v>1373</v>
      </c>
      <c r="L696" s="356">
        <v>44166</v>
      </c>
      <c r="M696" s="357" t="s">
        <v>204</v>
      </c>
      <c r="N696" s="416">
        <v>37200000</v>
      </c>
      <c r="O696" s="416">
        <v>37200000</v>
      </c>
      <c r="P696" s="358"/>
      <c r="Q696" s="320"/>
      <c r="R696" s="168"/>
      <c r="S696" s="168"/>
      <c r="T696" s="287"/>
      <c r="U696" s="264"/>
      <c r="V696" s="198"/>
    </row>
    <row r="697" spans="1:22" s="90" customFormat="1" ht="19.5" hidden="1" customHeight="1">
      <c r="A697" s="137"/>
      <c r="B697" s="197">
        <f t="shared" si="11"/>
        <v>687</v>
      </c>
      <c r="C697" s="30" t="s">
        <v>202</v>
      </c>
      <c r="D697" s="30" t="s">
        <v>225</v>
      </c>
      <c r="E697" s="234" t="s">
        <v>1042</v>
      </c>
      <c r="F697" s="235" t="s">
        <v>1229</v>
      </c>
      <c r="G697" s="476"/>
      <c r="H697" s="236" t="s">
        <v>5057</v>
      </c>
      <c r="I697" s="236">
        <v>1</v>
      </c>
      <c r="J697" s="236">
        <v>1</v>
      </c>
      <c r="K697" s="355" t="s">
        <v>1373</v>
      </c>
      <c r="L697" s="356">
        <v>44482</v>
      </c>
      <c r="M697" s="357" t="s">
        <v>204</v>
      </c>
      <c r="N697" s="416">
        <v>228000000</v>
      </c>
      <c r="O697" s="416">
        <v>228000000</v>
      </c>
      <c r="P697" s="358"/>
      <c r="Q697" s="320"/>
      <c r="R697" s="168"/>
      <c r="S697" s="168"/>
      <c r="T697" s="287"/>
      <c r="U697" s="264"/>
      <c r="V697" s="198"/>
    </row>
    <row r="698" spans="1:22" s="90" customFormat="1" ht="19.5" hidden="1" customHeight="1">
      <c r="A698" s="137"/>
      <c r="B698" s="197">
        <f t="shared" si="11"/>
        <v>688</v>
      </c>
      <c r="C698" s="30" t="s">
        <v>202</v>
      </c>
      <c r="D698" s="30" t="s">
        <v>225</v>
      </c>
      <c r="E698" s="234" t="s">
        <v>1043</v>
      </c>
      <c r="F698" s="235" t="s">
        <v>1280</v>
      </c>
      <c r="G698" s="476"/>
      <c r="H698" s="236" t="s">
        <v>5134</v>
      </c>
      <c r="I698" s="236">
        <v>1</v>
      </c>
      <c r="J698" s="236">
        <v>1</v>
      </c>
      <c r="K698" s="355" t="s">
        <v>1373</v>
      </c>
      <c r="L698" s="356">
        <v>43433</v>
      </c>
      <c r="M698" s="357" t="s">
        <v>204</v>
      </c>
      <c r="N698" s="416">
        <v>240000000</v>
      </c>
      <c r="O698" s="416">
        <v>240000000</v>
      </c>
      <c r="P698" s="358"/>
      <c r="Q698" s="320"/>
      <c r="R698" s="168"/>
      <c r="S698" s="168"/>
      <c r="T698" s="287"/>
      <c r="U698" s="264"/>
      <c r="V698" s="198"/>
    </row>
    <row r="699" spans="1:22" s="90" customFormat="1" ht="19.5" hidden="1" customHeight="1">
      <c r="A699" s="137"/>
      <c r="B699" s="197">
        <f t="shared" si="11"/>
        <v>689</v>
      </c>
      <c r="C699" s="30" t="s">
        <v>202</v>
      </c>
      <c r="D699" s="30" t="s">
        <v>225</v>
      </c>
      <c r="E699" s="234" t="s">
        <v>1044</v>
      </c>
      <c r="F699" s="235" t="s">
        <v>1217</v>
      </c>
      <c r="G699" s="476"/>
      <c r="H699" s="236" t="s">
        <v>4547</v>
      </c>
      <c r="I699" s="236">
        <v>1</v>
      </c>
      <c r="J699" s="236">
        <v>1</v>
      </c>
      <c r="K699" s="355" t="s">
        <v>1373</v>
      </c>
      <c r="L699" s="356">
        <v>43516</v>
      </c>
      <c r="M699" s="357" t="s">
        <v>204</v>
      </c>
      <c r="N699" s="416">
        <v>198000000</v>
      </c>
      <c r="O699" s="416">
        <v>198000000</v>
      </c>
      <c r="P699" s="358"/>
      <c r="Q699" s="320"/>
      <c r="R699" s="168"/>
      <c r="S699" s="168"/>
      <c r="T699" s="287"/>
      <c r="U699" s="264"/>
      <c r="V699" s="198"/>
    </row>
    <row r="700" spans="1:22" s="90" customFormat="1" ht="19.5" hidden="1" customHeight="1">
      <c r="A700" s="137"/>
      <c r="B700" s="197">
        <f t="shared" si="11"/>
        <v>690</v>
      </c>
      <c r="C700" s="30" t="s">
        <v>202</v>
      </c>
      <c r="D700" s="30" t="s">
        <v>225</v>
      </c>
      <c r="E700" s="234" t="s">
        <v>1045</v>
      </c>
      <c r="F700" s="235" t="s">
        <v>1229</v>
      </c>
      <c r="G700" s="476"/>
      <c r="H700" s="236" t="s">
        <v>4036</v>
      </c>
      <c r="I700" s="236">
        <v>1</v>
      </c>
      <c r="J700" s="236">
        <v>1</v>
      </c>
      <c r="K700" s="355" t="s">
        <v>1373</v>
      </c>
      <c r="L700" s="356">
        <v>41795</v>
      </c>
      <c r="M700" s="357" t="s">
        <v>204</v>
      </c>
      <c r="N700" s="416">
        <v>147600000</v>
      </c>
      <c r="O700" s="416">
        <v>147600000</v>
      </c>
      <c r="P700" s="358"/>
      <c r="Q700" s="320"/>
      <c r="R700" s="168"/>
      <c r="S700" s="168"/>
      <c r="T700" s="287"/>
      <c r="U700" s="264"/>
      <c r="V700" s="198"/>
    </row>
    <row r="701" spans="1:22" s="90" customFormat="1" ht="19.5" hidden="1" customHeight="1">
      <c r="A701" s="137"/>
      <c r="B701" s="197">
        <f t="shared" si="11"/>
        <v>691</v>
      </c>
      <c r="C701" s="30" t="s">
        <v>202</v>
      </c>
      <c r="D701" s="30" t="s">
        <v>225</v>
      </c>
      <c r="E701" s="234" t="s">
        <v>1045</v>
      </c>
      <c r="F701" s="235" t="s">
        <v>1229</v>
      </c>
      <c r="G701" s="476"/>
      <c r="H701" s="236" t="s">
        <v>4036</v>
      </c>
      <c r="I701" s="236">
        <v>1</v>
      </c>
      <c r="J701" s="236">
        <v>2</v>
      </c>
      <c r="K701" s="355" t="s">
        <v>1373</v>
      </c>
      <c r="L701" s="356">
        <v>42807</v>
      </c>
      <c r="M701" s="357" t="s">
        <v>204</v>
      </c>
      <c r="N701" s="416">
        <v>34800000</v>
      </c>
      <c r="O701" s="416">
        <v>34800000</v>
      </c>
      <c r="P701" s="358"/>
      <c r="Q701" s="320"/>
      <c r="R701" s="168"/>
      <c r="S701" s="168"/>
      <c r="T701" s="287"/>
      <c r="U701" s="264"/>
      <c r="V701" s="198"/>
    </row>
    <row r="702" spans="1:22" s="90" customFormat="1" ht="19.5" hidden="1" customHeight="1">
      <c r="A702" s="137"/>
      <c r="B702" s="197">
        <f t="shared" si="11"/>
        <v>692</v>
      </c>
      <c r="C702" s="30" t="s">
        <v>202</v>
      </c>
      <c r="D702" s="30" t="s">
        <v>225</v>
      </c>
      <c r="E702" s="234" t="s">
        <v>1046</v>
      </c>
      <c r="F702" s="235" t="s">
        <v>1220</v>
      </c>
      <c r="G702" s="476"/>
      <c r="H702" s="236" t="s">
        <v>4052</v>
      </c>
      <c r="I702" s="236">
        <v>1</v>
      </c>
      <c r="J702" s="236">
        <v>1</v>
      </c>
      <c r="K702" s="355" t="s">
        <v>1373</v>
      </c>
      <c r="L702" s="356">
        <v>41962</v>
      </c>
      <c r="M702" s="357" t="s">
        <v>204</v>
      </c>
      <c r="N702" s="416">
        <v>205800000</v>
      </c>
      <c r="O702" s="416">
        <v>205800000</v>
      </c>
      <c r="P702" s="358"/>
      <c r="Q702" s="320"/>
      <c r="R702" s="168"/>
      <c r="S702" s="168"/>
      <c r="T702" s="287"/>
      <c r="U702" s="264"/>
      <c r="V702" s="198"/>
    </row>
    <row r="703" spans="1:22" s="90" customFormat="1" ht="19.5" hidden="1" customHeight="1">
      <c r="A703" s="137"/>
      <c r="B703" s="197">
        <f t="shared" si="11"/>
        <v>693</v>
      </c>
      <c r="C703" s="30" t="s">
        <v>202</v>
      </c>
      <c r="D703" s="30" t="s">
        <v>225</v>
      </c>
      <c r="E703" s="234" t="s">
        <v>1047</v>
      </c>
      <c r="F703" s="235" t="s">
        <v>1244</v>
      </c>
      <c r="G703" s="476"/>
      <c r="H703" s="236" t="s">
        <v>4407</v>
      </c>
      <c r="I703" s="236">
        <v>1</v>
      </c>
      <c r="J703" s="236">
        <v>1</v>
      </c>
      <c r="K703" s="355" t="s">
        <v>1373</v>
      </c>
      <c r="L703" s="356">
        <v>43493</v>
      </c>
      <c r="M703" s="357" t="s">
        <v>204</v>
      </c>
      <c r="N703" s="416">
        <v>188400000</v>
      </c>
      <c r="O703" s="416">
        <v>188400000</v>
      </c>
      <c r="P703" s="358"/>
      <c r="Q703" s="320"/>
      <c r="R703" s="168"/>
      <c r="S703" s="168"/>
      <c r="T703" s="287"/>
      <c r="U703" s="264"/>
      <c r="V703" s="198"/>
    </row>
    <row r="704" spans="1:22" s="90" customFormat="1" ht="19.5" hidden="1" customHeight="1">
      <c r="A704" s="137"/>
      <c r="B704" s="197">
        <f t="shared" si="11"/>
        <v>694</v>
      </c>
      <c r="C704" s="30" t="s">
        <v>202</v>
      </c>
      <c r="D704" s="30" t="s">
        <v>225</v>
      </c>
      <c r="E704" s="234" t="s">
        <v>1048</v>
      </c>
      <c r="F704" s="235" t="s">
        <v>1266</v>
      </c>
      <c r="G704" s="476"/>
      <c r="H704" s="236" t="s">
        <v>4197</v>
      </c>
      <c r="I704" s="236">
        <v>1</v>
      </c>
      <c r="J704" s="236">
        <v>1</v>
      </c>
      <c r="K704" s="355" t="s">
        <v>1373</v>
      </c>
      <c r="L704" s="356">
        <v>44435</v>
      </c>
      <c r="M704" s="357" t="s">
        <v>204</v>
      </c>
      <c r="N704" s="416">
        <v>216000000</v>
      </c>
      <c r="O704" s="416">
        <v>216000000</v>
      </c>
      <c r="P704" s="358"/>
      <c r="Q704" s="320"/>
      <c r="R704" s="168"/>
      <c r="S704" s="168"/>
      <c r="T704" s="287"/>
      <c r="U704" s="264"/>
      <c r="V704" s="198"/>
    </row>
    <row r="705" spans="1:22" s="90" customFormat="1" ht="19.5" hidden="1" customHeight="1">
      <c r="A705" s="137"/>
      <c r="B705" s="197">
        <f t="shared" si="11"/>
        <v>695</v>
      </c>
      <c r="C705" s="30" t="s">
        <v>202</v>
      </c>
      <c r="D705" s="30" t="s">
        <v>225</v>
      </c>
      <c r="E705" s="234" t="s">
        <v>1049</v>
      </c>
      <c r="F705" s="235" t="s">
        <v>1225</v>
      </c>
      <c r="G705" s="476"/>
      <c r="H705" s="236" t="s">
        <v>4759</v>
      </c>
      <c r="I705" s="236">
        <v>1</v>
      </c>
      <c r="J705" s="236">
        <v>1</v>
      </c>
      <c r="K705" s="355" t="s">
        <v>1373</v>
      </c>
      <c r="L705" s="356">
        <v>44924</v>
      </c>
      <c r="M705" s="357" t="s">
        <v>204</v>
      </c>
      <c r="N705" s="416">
        <v>184800000</v>
      </c>
      <c r="O705" s="416">
        <v>184800000</v>
      </c>
      <c r="P705" s="358"/>
      <c r="Q705" s="320"/>
      <c r="R705" s="168"/>
      <c r="S705" s="168"/>
      <c r="T705" s="287"/>
      <c r="U705" s="264"/>
      <c r="V705" s="198"/>
    </row>
    <row r="706" spans="1:22" s="90" customFormat="1" ht="19.5" hidden="1" customHeight="1">
      <c r="A706" s="137"/>
      <c r="B706" s="197">
        <f t="shared" si="11"/>
        <v>696</v>
      </c>
      <c r="C706" s="30" t="s">
        <v>202</v>
      </c>
      <c r="D706" s="30" t="s">
        <v>225</v>
      </c>
      <c r="E706" s="234" t="s">
        <v>1050</v>
      </c>
      <c r="F706" s="235" t="s">
        <v>1271</v>
      </c>
      <c r="G706" s="476"/>
      <c r="H706" s="236" t="s">
        <v>4163</v>
      </c>
      <c r="I706" s="236">
        <v>1</v>
      </c>
      <c r="J706" s="236">
        <v>1</v>
      </c>
      <c r="K706" s="355" t="s">
        <v>1373</v>
      </c>
      <c r="L706" s="356">
        <v>43614</v>
      </c>
      <c r="M706" s="357" t="s">
        <v>204</v>
      </c>
      <c r="N706" s="416">
        <v>198000000</v>
      </c>
      <c r="O706" s="416">
        <v>198000000</v>
      </c>
      <c r="P706" s="358"/>
      <c r="Q706" s="320"/>
      <c r="R706" s="168"/>
      <c r="S706" s="168"/>
      <c r="T706" s="287"/>
      <c r="U706" s="264"/>
      <c r="V706" s="198"/>
    </row>
    <row r="707" spans="1:22" s="90" customFormat="1" ht="19.5" hidden="1" customHeight="1">
      <c r="A707" s="137"/>
      <c r="B707" s="197">
        <f t="shared" si="11"/>
        <v>697</v>
      </c>
      <c r="C707" s="30" t="s">
        <v>202</v>
      </c>
      <c r="D707" s="30" t="s">
        <v>225</v>
      </c>
      <c r="E707" s="234" t="s">
        <v>1051</v>
      </c>
      <c r="F707" s="235" t="s">
        <v>1224</v>
      </c>
      <c r="G707" s="476"/>
      <c r="H707" s="236" t="s">
        <v>4388</v>
      </c>
      <c r="I707" s="236">
        <v>1</v>
      </c>
      <c r="J707" s="236">
        <v>1</v>
      </c>
      <c r="K707" s="355" t="s">
        <v>1373</v>
      </c>
      <c r="L707" s="356">
        <v>44091</v>
      </c>
      <c r="M707" s="357" t="s">
        <v>204</v>
      </c>
      <c r="N707" s="416">
        <v>210000000</v>
      </c>
      <c r="O707" s="416">
        <v>210000000</v>
      </c>
      <c r="P707" s="358"/>
      <c r="Q707" s="320"/>
      <c r="R707" s="168"/>
      <c r="S707" s="168"/>
      <c r="T707" s="287"/>
      <c r="U707" s="264"/>
      <c r="V707" s="198"/>
    </row>
    <row r="708" spans="1:22" s="90" customFormat="1" ht="19.5" hidden="1" customHeight="1">
      <c r="A708" s="137"/>
      <c r="B708" s="197">
        <f t="shared" si="11"/>
        <v>698</v>
      </c>
      <c r="C708" s="30" t="s">
        <v>202</v>
      </c>
      <c r="D708" s="30" t="s">
        <v>225</v>
      </c>
      <c r="E708" s="234" t="s">
        <v>1052</v>
      </c>
      <c r="F708" s="235" t="s">
        <v>1225</v>
      </c>
      <c r="G708" s="476"/>
      <c r="H708" s="236" t="s">
        <v>4793</v>
      </c>
      <c r="I708" s="236">
        <v>1</v>
      </c>
      <c r="J708" s="236">
        <v>1</v>
      </c>
      <c r="K708" s="355" t="s">
        <v>1373</v>
      </c>
      <c r="L708" s="356">
        <v>43495</v>
      </c>
      <c r="M708" s="357" t="s">
        <v>204</v>
      </c>
      <c r="N708" s="416">
        <v>195600000</v>
      </c>
      <c r="O708" s="416">
        <v>195600000</v>
      </c>
      <c r="P708" s="358"/>
      <c r="Q708" s="320"/>
      <c r="R708" s="168"/>
      <c r="S708" s="168"/>
      <c r="T708" s="287"/>
      <c r="U708" s="264"/>
      <c r="V708" s="198"/>
    </row>
    <row r="709" spans="1:22" s="90" customFormat="1" ht="19.5" hidden="1" customHeight="1">
      <c r="A709" s="137"/>
      <c r="B709" s="197">
        <f t="shared" si="11"/>
        <v>699</v>
      </c>
      <c r="C709" s="30" t="s">
        <v>202</v>
      </c>
      <c r="D709" s="30" t="s">
        <v>225</v>
      </c>
      <c r="E709" s="234" t="s">
        <v>1053</v>
      </c>
      <c r="F709" s="235" t="s">
        <v>1229</v>
      </c>
      <c r="G709" s="476"/>
      <c r="H709" s="236" t="s">
        <v>4274</v>
      </c>
      <c r="I709" s="236">
        <v>1</v>
      </c>
      <c r="J709" s="236">
        <v>1</v>
      </c>
      <c r="K709" s="355" t="s">
        <v>1373</v>
      </c>
      <c r="L709" s="356">
        <v>43707</v>
      </c>
      <c r="M709" s="357" t="s">
        <v>204</v>
      </c>
      <c r="N709" s="416">
        <v>136800000</v>
      </c>
      <c r="O709" s="416">
        <v>136800000</v>
      </c>
      <c r="P709" s="358"/>
      <c r="Q709" s="320"/>
      <c r="R709" s="168"/>
      <c r="S709" s="168"/>
      <c r="T709" s="287"/>
      <c r="U709" s="264"/>
      <c r="V709" s="198"/>
    </row>
    <row r="710" spans="1:22" s="90" customFormat="1" ht="19.5" hidden="1" customHeight="1">
      <c r="A710" s="137"/>
      <c r="B710" s="197">
        <f t="shared" si="11"/>
        <v>700</v>
      </c>
      <c r="C710" s="30" t="s">
        <v>202</v>
      </c>
      <c r="D710" s="30" t="s">
        <v>225</v>
      </c>
      <c r="E710" s="234" t="s">
        <v>1053</v>
      </c>
      <c r="F710" s="235" t="s">
        <v>1229</v>
      </c>
      <c r="G710" s="476"/>
      <c r="H710" s="236" t="s">
        <v>4274</v>
      </c>
      <c r="I710" s="236">
        <v>1</v>
      </c>
      <c r="J710" s="236">
        <v>2</v>
      </c>
      <c r="K710" s="355" t="s">
        <v>1373</v>
      </c>
      <c r="L710" s="356">
        <v>43903</v>
      </c>
      <c r="M710" s="357" t="s">
        <v>204</v>
      </c>
      <c r="N710" s="416">
        <v>68200000</v>
      </c>
      <c r="O710" s="416">
        <v>68200000</v>
      </c>
      <c r="P710" s="358"/>
      <c r="Q710" s="320"/>
      <c r="R710" s="168"/>
      <c r="S710" s="168"/>
      <c r="T710" s="287"/>
      <c r="U710" s="264"/>
      <c r="V710" s="198"/>
    </row>
    <row r="711" spans="1:22" s="90" customFormat="1" ht="19.5" hidden="1" customHeight="1">
      <c r="A711" s="137"/>
      <c r="B711" s="197">
        <f t="shared" si="11"/>
        <v>701</v>
      </c>
      <c r="C711" s="30" t="s">
        <v>202</v>
      </c>
      <c r="D711" s="30" t="s">
        <v>225</v>
      </c>
      <c r="E711" s="234" t="s">
        <v>1054</v>
      </c>
      <c r="F711" s="235" t="s">
        <v>1251</v>
      </c>
      <c r="G711" s="476"/>
      <c r="H711" s="236" t="s">
        <v>4276</v>
      </c>
      <c r="I711" s="236">
        <v>1</v>
      </c>
      <c r="J711" s="236">
        <v>1</v>
      </c>
      <c r="K711" s="355" t="s">
        <v>3378</v>
      </c>
      <c r="L711" s="356">
        <v>42466</v>
      </c>
      <c r="M711" s="357" t="s">
        <v>204</v>
      </c>
      <c r="N711" s="416">
        <v>592800000</v>
      </c>
      <c r="O711" s="416">
        <v>592800000</v>
      </c>
      <c r="P711" s="358"/>
      <c r="Q711" s="320"/>
      <c r="R711" s="168"/>
      <c r="S711" s="168"/>
      <c r="T711" s="287"/>
      <c r="U711" s="264"/>
      <c r="V711" s="198"/>
    </row>
    <row r="712" spans="1:22" s="90" customFormat="1" ht="19.5" hidden="1" customHeight="1">
      <c r="A712" s="137"/>
      <c r="B712" s="197">
        <f t="shared" si="11"/>
        <v>702</v>
      </c>
      <c r="C712" s="30" t="s">
        <v>202</v>
      </c>
      <c r="D712" s="30" t="s">
        <v>225</v>
      </c>
      <c r="E712" s="234" t="s">
        <v>1054</v>
      </c>
      <c r="F712" s="235" t="s">
        <v>1251</v>
      </c>
      <c r="G712" s="476"/>
      <c r="H712" s="236" t="s">
        <v>4276</v>
      </c>
      <c r="I712" s="236">
        <v>1</v>
      </c>
      <c r="J712" s="236">
        <v>2</v>
      </c>
      <c r="K712" s="355" t="s">
        <v>1373</v>
      </c>
      <c r="L712" s="356">
        <v>44253</v>
      </c>
      <c r="M712" s="357" t="s">
        <v>204</v>
      </c>
      <c r="N712" s="416">
        <v>228000000</v>
      </c>
      <c r="O712" s="416">
        <v>228000000</v>
      </c>
      <c r="P712" s="358"/>
      <c r="Q712" s="320"/>
      <c r="R712" s="168"/>
      <c r="S712" s="168"/>
      <c r="T712" s="287"/>
      <c r="U712" s="264"/>
      <c r="V712" s="198"/>
    </row>
    <row r="713" spans="1:22" s="90" customFormat="1" ht="19.5" hidden="1" customHeight="1">
      <c r="A713" s="137"/>
      <c r="B713" s="197">
        <f t="shared" si="11"/>
        <v>703</v>
      </c>
      <c r="C713" s="30" t="s">
        <v>202</v>
      </c>
      <c r="D713" s="30" t="s">
        <v>225</v>
      </c>
      <c r="E713" s="234" t="s">
        <v>1055</v>
      </c>
      <c r="F713" s="235" t="s">
        <v>1225</v>
      </c>
      <c r="G713" s="476"/>
      <c r="H713" s="236" t="s">
        <v>4336</v>
      </c>
      <c r="I713" s="236">
        <v>1</v>
      </c>
      <c r="J713" s="236">
        <v>1</v>
      </c>
      <c r="K713" s="355" t="s">
        <v>1373</v>
      </c>
      <c r="L713" s="356">
        <v>42010</v>
      </c>
      <c r="M713" s="357" t="s">
        <v>204</v>
      </c>
      <c r="N713" s="416">
        <v>174300000</v>
      </c>
      <c r="O713" s="416">
        <v>174300000</v>
      </c>
      <c r="P713" s="358"/>
      <c r="Q713" s="320"/>
      <c r="R713" s="168"/>
      <c r="S713" s="168"/>
      <c r="T713" s="287"/>
      <c r="U713" s="264"/>
      <c r="V713" s="198"/>
    </row>
    <row r="714" spans="1:22" s="90" customFormat="1" ht="19.5" hidden="1" customHeight="1">
      <c r="A714" s="137"/>
      <c r="B714" s="197">
        <f t="shared" si="11"/>
        <v>704</v>
      </c>
      <c r="C714" s="30" t="s">
        <v>202</v>
      </c>
      <c r="D714" s="30" t="s">
        <v>225</v>
      </c>
      <c r="E714" s="234" t="s">
        <v>1056</v>
      </c>
      <c r="F714" s="235" t="s">
        <v>1229</v>
      </c>
      <c r="G714" s="476"/>
      <c r="H714" s="236" t="s">
        <v>4088</v>
      </c>
      <c r="I714" s="236">
        <v>1</v>
      </c>
      <c r="J714" s="236">
        <v>1</v>
      </c>
      <c r="K714" s="355" t="s">
        <v>1373</v>
      </c>
      <c r="L714" s="356">
        <v>42907</v>
      </c>
      <c r="M714" s="357" t="s">
        <v>204</v>
      </c>
      <c r="N714" s="416">
        <v>176500000</v>
      </c>
      <c r="O714" s="416">
        <v>176500000</v>
      </c>
      <c r="P714" s="358"/>
      <c r="Q714" s="320"/>
      <c r="R714" s="168"/>
      <c r="S714" s="168"/>
      <c r="T714" s="287"/>
      <c r="U714" s="264"/>
      <c r="V714" s="198"/>
    </row>
    <row r="715" spans="1:22" s="90" customFormat="1" ht="19.5" hidden="1" customHeight="1">
      <c r="A715" s="137"/>
      <c r="B715" s="197">
        <f t="shared" ref="B715:B778" si="12">ROW()-10</f>
        <v>705</v>
      </c>
      <c r="C715" s="30" t="s">
        <v>202</v>
      </c>
      <c r="D715" s="30" t="s">
        <v>225</v>
      </c>
      <c r="E715" s="234" t="s">
        <v>1057</v>
      </c>
      <c r="F715" s="235" t="s">
        <v>1282</v>
      </c>
      <c r="G715" s="476"/>
      <c r="H715" s="236" t="s">
        <v>4485</v>
      </c>
      <c r="I715" s="236">
        <v>1</v>
      </c>
      <c r="J715" s="236">
        <v>1</v>
      </c>
      <c r="K715" s="355" t="s">
        <v>1373</v>
      </c>
      <c r="L715" s="356">
        <v>43915</v>
      </c>
      <c r="M715" s="357" t="s">
        <v>204</v>
      </c>
      <c r="N715" s="416">
        <v>192000000</v>
      </c>
      <c r="O715" s="416">
        <v>192000000</v>
      </c>
      <c r="P715" s="358"/>
      <c r="Q715" s="320"/>
      <c r="R715" s="168"/>
      <c r="S715" s="168"/>
      <c r="T715" s="287"/>
      <c r="U715" s="264"/>
      <c r="V715" s="198"/>
    </row>
    <row r="716" spans="1:22" s="90" customFormat="1" ht="19.5" hidden="1" customHeight="1">
      <c r="A716" s="137"/>
      <c r="B716" s="197">
        <f t="shared" si="12"/>
        <v>706</v>
      </c>
      <c r="C716" s="30" t="s">
        <v>202</v>
      </c>
      <c r="D716" s="30" t="s">
        <v>225</v>
      </c>
      <c r="E716" s="234" t="s">
        <v>1058</v>
      </c>
      <c r="F716" s="235" t="s">
        <v>1229</v>
      </c>
      <c r="G716" s="476"/>
      <c r="H716" s="236" t="s">
        <v>4232</v>
      </c>
      <c r="I716" s="236">
        <v>1</v>
      </c>
      <c r="J716" s="236">
        <v>1</v>
      </c>
      <c r="K716" s="355" t="s">
        <v>1373</v>
      </c>
      <c r="L716" s="356">
        <v>42041</v>
      </c>
      <c r="M716" s="357" t="s">
        <v>204</v>
      </c>
      <c r="N716" s="416">
        <v>154800000</v>
      </c>
      <c r="O716" s="416">
        <v>154800000</v>
      </c>
      <c r="P716" s="358"/>
      <c r="Q716" s="320"/>
      <c r="R716" s="168"/>
      <c r="S716" s="168"/>
      <c r="T716" s="287"/>
      <c r="U716" s="264"/>
      <c r="V716" s="198"/>
    </row>
    <row r="717" spans="1:22" s="90" customFormat="1" ht="19.5" hidden="1" customHeight="1">
      <c r="A717" s="137"/>
      <c r="B717" s="197">
        <f t="shared" si="12"/>
        <v>707</v>
      </c>
      <c r="C717" s="30" t="s">
        <v>202</v>
      </c>
      <c r="D717" s="30" t="s">
        <v>225</v>
      </c>
      <c r="E717" s="234" t="s">
        <v>1058</v>
      </c>
      <c r="F717" s="235" t="s">
        <v>1229</v>
      </c>
      <c r="G717" s="476"/>
      <c r="H717" s="236" t="s">
        <v>4232</v>
      </c>
      <c r="I717" s="236">
        <v>1</v>
      </c>
      <c r="J717" s="236">
        <v>2</v>
      </c>
      <c r="K717" s="355" t="s">
        <v>1373</v>
      </c>
      <c r="L717" s="356">
        <v>42138</v>
      </c>
      <c r="M717" s="357" t="s">
        <v>204</v>
      </c>
      <c r="N717" s="416">
        <v>133200000</v>
      </c>
      <c r="O717" s="416">
        <v>133200000</v>
      </c>
      <c r="P717" s="358"/>
      <c r="Q717" s="320"/>
      <c r="R717" s="168" t="s">
        <v>204</v>
      </c>
      <c r="S717" s="168" t="s">
        <v>536</v>
      </c>
      <c r="T717" s="287">
        <v>45448</v>
      </c>
      <c r="U717" s="264">
        <v>70500000</v>
      </c>
      <c r="V717" s="198"/>
    </row>
    <row r="718" spans="1:22" s="90" customFormat="1" ht="19.5" hidden="1" customHeight="1">
      <c r="A718" s="137"/>
      <c r="B718" s="197">
        <f t="shared" si="12"/>
        <v>708</v>
      </c>
      <c r="C718" s="30" t="s">
        <v>202</v>
      </c>
      <c r="D718" s="30" t="s">
        <v>225</v>
      </c>
      <c r="E718" s="234" t="s">
        <v>1059</v>
      </c>
      <c r="F718" s="235" t="s">
        <v>1225</v>
      </c>
      <c r="G718" s="476"/>
      <c r="H718" s="236" t="s">
        <v>4503</v>
      </c>
      <c r="I718" s="236">
        <v>1</v>
      </c>
      <c r="J718" s="236">
        <v>1</v>
      </c>
      <c r="K718" s="355" t="s">
        <v>1373</v>
      </c>
      <c r="L718" s="356">
        <v>42296</v>
      </c>
      <c r="M718" s="357" t="s">
        <v>204</v>
      </c>
      <c r="N718" s="416">
        <v>228000000</v>
      </c>
      <c r="O718" s="416">
        <v>228000000</v>
      </c>
      <c r="P718" s="358"/>
      <c r="Q718" s="320"/>
      <c r="R718" s="168"/>
      <c r="S718" s="168"/>
      <c r="T718" s="287"/>
      <c r="U718" s="264"/>
      <c r="V718" s="198"/>
    </row>
    <row r="719" spans="1:22" s="90" customFormat="1" ht="19.5" hidden="1" customHeight="1">
      <c r="A719" s="137"/>
      <c r="B719" s="197">
        <f t="shared" si="12"/>
        <v>709</v>
      </c>
      <c r="C719" s="30" t="s">
        <v>202</v>
      </c>
      <c r="D719" s="30" t="s">
        <v>225</v>
      </c>
      <c r="E719" s="234" t="s">
        <v>1060</v>
      </c>
      <c r="F719" s="235" t="s">
        <v>1229</v>
      </c>
      <c r="G719" s="476"/>
      <c r="H719" s="236" t="s">
        <v>4171</v>
      </c>
      <c r="I719" s="236">
        <v>1</v>
      </c>
      <c r="J719" s="236">
        <v>1</v>
      </c>
      <c r="K719" s="355" t="s">
        <v>1373</v>
      </c>
      <c r="L719" s="356">
        <v>43795</v>
      </c>
      <c r="M719" s="357" t="s">
        <v>204</v>
      </c>
      <c r="N719" s="416">
        <v>180000000</v>
      </c>
      <c r="O719" s="416">
        <v>180000000</v>
      </c>
      <c r="P719" s="358"/>
      <c r="Q719" s="320"/>
      <c r="R719" s="168"/>
      <c r="S719" s="168"/>
      <c r="T719" s="287"/>
      <c r="U719" s="264"/>
      <c r="V719" s="198"/>
    </row>
    <row r="720" spans="1:22" s="90" customFormat="1" ht="19.5" hidden="1" customHeight="1">
      <c r="A720" s="137"/>
      <c r="B720" s="197">
        <f t="shared" si="12"/>
        <v>710</v>
      </c>
      <c r="C720" s="30" t="s">
        <v>202</v>
      </c>
      <c r="D720" s="30" t="s">
        <v>225</v>
      </c>
      <c r="E720" s="234" t="s">
        <v>1061</v>
      </c>
      <c r="F720" s="235" t="s">
        <v>1225</v>
      </c>
      <c r="G720" s="476"/>
      <c r="H720" s="236" t="s">
        <v>4393</v>
      </c>
      <c r="I720" s="236">
        <v>1</v>
      </c>
      <c r="J720" s="236">
        <v>1</v>
      </c>
      <c r="K720" s="355" t="s">
        <v>489</v>
      </c>
      <c r="L720" s="356">
        <v>43006</v>
      </c>
      <c r="M720" s="357" t="s">
        <v>204</v>
      </c>
      <c r="N720" s="416">
        <v>110000000</v>
      </c>
      <c r="O720" s="416">
        <v>110000000</v>
      </c>
      <c r="P720" s="358"/>
      <c r="Q720" s="320"/>
      <c r="R720" s="168"/>
      <c r="S720" s="168"/>
      <c r="T720" s="287"/>
      <c r="U720" s="264"/>
      <c r="V720" s="198"/>
    </row>
    <row r="721" spans="1:22" s="90" customFormat="1" ht="19.5" hidden="1" customHeight="1">
      <c r="A721" s="137"/>
      <c r="B721" s="197">
        <f t="shared" si="12"/>
        <v>711</v>
      </c>
      <c r="C721" s="30" t="s">
        <v>202</v>
      </c>
      <c r="D721" s="30" t="s">
        <v>225</v>
      </c>
      <c r="E721" s="234" t="s">
        <v>1061</v>
      </c>
      <c r="F721" s="235" t="s">
        <v>1225</v>
      </c>
      <c r="G721" s="476"/>
      <c r="H721" s="236" t="s">
        <v>4393</v>
      </c>
      <c r="I721" s="236">
        <v>1</v>
      </c>
      <c r="J721" s="236">
        <v>2</v>
      </c>
      <c r="K721" s="355" t="s">
        <v>1373</v>
      </c>
      <c r="L721" s="356">
        <v>44315</v>
      </c>
      <c r="M721" s="357" t="s">
        <v>204</v>
      </c>
      <c r="N721" s="416">
        <v>60000000</v>
      </c>
      <c r="O721" s="416">
        <v>60000000</v>
      </c>
      <c r="P721" s="358"/>
      <c r="Q721" s="320"/>
      <c r="R721" s="168"/>
      <c r="S721" s="168"/>
      <c r="T721" s="287"/>
      <c r="U721" s="264"/>
      <c r="V721" s="198"/>
    </row>
    <row r="722" spans="1:22" s="90" customFormat="1" ht="19.5" hidden="1" customHeight="1">
      <c r="A722" s="137"/>
      <c r="B722" s="197">
        <f t="shared" si="12"/>
        <v>712</v>
      </c>
      <c r="C722" s="30" t="s">
        <v>202</v>
      </c>
      <c r="D722" s="30" t="s">
        <v>225</v>
      </c>
      <c r="E722" s="234" t="s">
        <v>1061</v>
      </c>
      <c r="F722" s="235" t="s">
        <v>1225</v>
      </c>
      <c r="G722" s="476"/>
      <c r="H722" s="236" t="s">
        <v>4393</v>
      </c>
      <c r="I722" s="236">
        <v>1</v>
      </c>
      <c r="J722" s="236">
        <v>3</v>
      </c>
      <c r="K722" s="355" t="s">
        <v>1373</v>
      </c>
      <c r="L722" s="356">
        <v>44348</v>
      </c>
      <c r="M722" s="357" t="s">
        <v>204</v>
      </c>
      <c r="N722" s="416">
        <v>120000000</v>
      </c>
      <c r="O722" s="416">
        <v>120000000</v>
      </c>
      <c r="P722" s="358"/>
      <c r="Q722" s="320"/>
      <c r="R722" s="168"/>
      <c r="S722" s="168"/>
      <c r="T722" s="287"/>
      <c r="U722" s="264"/>
      <c r="V722" s="198"/>
    </row>
    <row r="723" spans="1:22" s="90" customFormat="1" ht="19.5" hidden="1" customHeight="1">
      <c r="A723" s="137"/>
      <c r="B723" s="197">
        <f t="shared" si="12"/>
        <v>713</v>
      </c>
      <c r="C723" s="30" t="s">
        <v>202</v>
      </c>
      <c r="D723" s="30" t="s">
        <v>225</v>
      </c>
      <c r="E723" s="234" t="s">
        <v>1062</v>
      </c>
      <c r="F723" s="235" t="s">
        <v>1221</v>
      </c>
      <c r="G723" s="476"/>
      <c r="H723" s="236" t="s">
        <v>4360</v>
      </c>
      <c r="I723" s="236">
        <v>1</v>
      </c>
      <c r="J723" s="236">
        <v>1</v>
      </c>
      <c r="K723" s="355" t="s">
        <v>1373</v>
      </c>
      <c r="L723" s="356">
        <v>43543</v>
      </c>
      <c r="M723" s="357" t="s">
        <v>204</v>
      </c>
      <c r="N723" s="416">
        <v>114000000</v>
      </c>
      <c r="O723" s="416">
        <v>114000000</v>
      </c>
      <c r="P723" s="358"/>
      <c r="Q723" s="320"/>
      <c r="R723" s="168"/>
      <c r="S723" s="168"/>
      <c r="T723" s="287"/>
      <c r="U723" s="264"/>
      <c r="V723" s="198"/>
    </row>
    <row r="724" spans="1:22" s="90" customFormat="1" ht="19.5" hidden="1" customHeight="1">
      <c r="A724" s="137"/>
      <c r="B724" s="197">
        <f t="shared" si="12"/>
        <v>714</v>
      </c>
      <c r="C724" s="30" t="s">
        <v>202</v>
      </c>
      <c r="D724" s="30" t="s">
        <v>225</v>
      </c>
      <c r="E724" s="234" t="s">
        <v>1062</v>
      </c>
      <c r="F724" s="235" t="s">
        <v>1221</v>
      </c>
      <c r="G724" s="476"/>
      <c r="H724" s="236" t="s">
        <v>4360</v>
      </c>
      <c r="I724" s="236">
        <v>1</v>
      </c>
      <c r="J724" s="236">
        <v>2</v>
      </c>
      <c r="K724" s="355" t="s">
        <v>1373</v>
      </c>
      <c r="L724" s="356">
        <v>44368</v>
      </c>
      <c r="M724" s="357" t="s">
        <v>204</v>
      </c>
      <c r="N724" s="416">
        <v>80000000</v>
      </c>
      <c r="O724" s="416">
        <v>80000000</v>
      </c>
      <c r="P724" s="358"/>
      <c r="Q724" s="320"/>
      <c r="R724" s="168"/>
      <c r="S724" s="168"/>
      <c r="T724" s="287"/>
      <c r="U724" s="264"/>
      <c r="V724" s="198"/>
    </row>
    <row r="725" spans="1:22" s="90" customFormat="1" ht="19.5" hidden="1" customHeight="1">
      <c r="A725" s="137"/>
      <c r="B725" s="197">
        <f t="shared" si="12"/>
        <v>715</v>
      </c>
      <c r="C725" s="30" t="s">
        <v>202</v>
      </c>
      <c r="D725" s="30" t="s">
        <v>225</v>
      </c>
      <c r="E725" s="234" t="s">
        <v>1063</v>
      </c>
      <c r="F725" s="235" t="s">
        <v>1225</v>
      </c>
      <c r="G725" s="476"/>
      <c r="H725" s="236" t="s">
        <v>4670</v>
      </c>
      <c r="I725" s="236">
        <v>1</v>
      </c>
      <c r="J725" s="236">
        <v>1</v>
      </c>
      <c r="K725" s="355" t="s">
        <v>1373</v>
      </c>
      <c r="L725" s="356">
        <v>43731</v>
      </c>
      <c r="M725" s="357" t="s">
        <v>204</v>
      </c>
      <c r="N725" s="416">
        <v>215400000</v>
      </c>
      <c r="O725" s="416">
        <v>215400000</v>
      </c>
      <c r="P725" s="358"/>
      <c r="Q725" s="320"/>
      <c r="R725" s="168"/>
      <c r="S725" s="168"/>
      <c r="T725" s="287"/>
      <c r="U725" s="264"/>
      <c r="V725" s="198"/>
    </row>
    <row r="726" spans="1:22" s="90" customFormat="1" ht="19.5" hidden="1" customHeight="1">
      <c r="A726" s="137"/>
      <c r="B726" s="197">
        <f t="shared" si="12"/>
        <v>716</v>
      </c>
      <c r="C726" s="30" t="s">
        <v>202</v>
      </c>
      <c r="D726" s="30" t="s">
        <v>225</v>
      </c>
      <c r="E726" s="234" t="s">
        <v>1064</v>
      </c>
      <c r="F726" s="235" t="s">
        <v>1225</v>
      </c>
      <c r="G726" s="476"/>
      <c r="H726" s="236" t="s">
        <v>4244</v>
      </c>
      <c r="I726" s="236">
        <v>1</v>
      </c>
      <c r="J726" s="236">
        <v>1</v>
      </c>
      <c r="K726" s="355" t="s">
        <v>1373</v>
      </c>
      <c r="L726" s="356">
        <v>38645</v>
      </c>
      <c r="M726" s="357" t="s">
        <v>204</v>
      </c>
      <c r="N726" s="416">
        <v>172700000</v>
      </c>
      <c r="O726" s="416">
        <v>172700000</v>
      </c>
      <c r="P726" s="358"/>
      <c r="Q726" s="320"/>
      <c r="R726" s="168"/>
      <c r="S726" s="168"/>
      <c r="T726" s="287"/>
      <c r="U726" s="264"/>
      <c r="V726" s="198"/>
    </row>
    <row r="727" spans="1:22" s="90" customFormat="1" ht="19.5" hidden="1" customHeight="1">
      <c r="A727" s="137"/>
      <c r="B727" s="197">
        <f t="shared" si="12"/>
        <v>717</v>
      </c>
      <c r="C727" s="30" t="s">
        <v>202</v>
      </c>
      <c r="D727" s="30" t="s">
        <v>225</v>
      </c>
      <c r="E727" s="234" t="s">
        <v>1065</v>
      </c>
      <c r="F727" s="235" t="s">
        <v>1223</v>
      </c>
      <c r="G727" s="476"/>
      <c r="H727" s="236" t="s">
        <v>4661</v>
      </c>
      <c r="I727" s="236">
        <v>1</v>
      </c>
      <c r="J727" s="236">
        <v>1</v>
      </c>
      <c r="K727" s="355" t="s">
        <v>1373</v>
      </c>
      <c r="L727" s="356">
        <v>44098</v>
      </c>
      <c r="M727" s="357" t="s">
        <v>204</v>
      </c>
      <c r="N727" s="416">
        <v>180000000</v>
      </c>
      <c r="O727" s="416">
        <v>180000000</v>
      </c>
      <c r="P727" s="358"/>
      <c r="Q727" s="320"/>
      <c r="R727" s="168"/>
      <c r="S727" s="168"/>
      <c r="T727" s="287"/>
      <c r="U727" s="264"/>
      <c r="V727" s="198"/>
    </row>
    <row r="728" spans="1:22" s="90" customFormat="1" ht="19.5" hidden="1" customHeight="1">
      <c r="A728" s="137"/>
      <c r="B728" s="197">
        <f t="shared" si="12"/>
        <v>718</v>
      </c>
      <c r="C728" s="30" t="s">
        <v>202</v>
      </c>
      <c r="D728" s="30" t="s">
        <v>225</v>
      </c>
      <c r="E728" s="234" t="s">
        <v>1066</v>
      </c>
      <c r="F728" s="235" t="s">
        <v>1217</v>
      </c>
      <c r="G728" s="476"/>
      <c r="H728" s="236" t="s">
        <v>4595</v>
      </c>
      <c r="I728" s="236">
        <v>1</v>
      </c>
      <c r="J728" s="236">
        <v>1</v>
      </c>
      <c r="K728" s="355" t="s">
        <v>1373</v>
      </c>
      <c r="L728" s="356">
        <v>43196</v>
      </c>
      <c r="M728" s="357" t="s">
        <v>204</v>
      </c>
      <c r="N728" s="416">
        <v>192000000</v>
      </c>
      <c r="O728" s="416">
        <v>192000000</v>
      </c>
      <c r="P728" s="358"/>
      <c r="Q728" s="320"/>
      <c r="R728" s="168"/>
      <c r="S728" s="168"/>
      <c r="T728" s="287"/>
      <c r="U728" s="264"/>
      <c r="V728" s="198"/>
    </row>
    <row r="729" spans="1:22" s="90" customFormat="1" ht="19.5" hidden="1" customHeight="1">
      <c r="A729" s="137"/>
      <c r="B729" s="197">
        <f t="shared" si="12"/>
        <v>719</v>
      </c>
      <c r="C729" s="30" t="s">
        <v>202</v>
      </c>
      <c r="D729" s="30" t="s">
        <v>225</v>
      </c>
      <c r="E729" s="234" t="s">
        <v>1067</v>
      </c>
      <c r="F729" s="235" t="s">
        <v>1225</v>
      </c>
      <c r="G729" s="476"/>
      <c r="H729" s="236" t="s">
        <v>4223</v>
      </c>
      <c r="I729" s="236">
        <v>1</v>
      </c>
      <c r="J729" s="236">
        <v>1</v>
      </c>
      <c r="K729" s="355" t="s">
        <v>1373</v>
      </c>
      <c r="L729" s="356">
        <v>43560</v>
      </c>
      <c r="M729" s="357" t="s">
        <v>204</v>
      </c>
      <c r="N729" s="416">
        <v>192000000</v>
      </c>
      <c r="O729" s="416">
        <v>192000000</v>
      </c>
      <c r="P729" s="358"/>
      <c r="Q729" s="320"/>
      <c r="R729" s="168"/>
      <c r="S729" s="168"/>
      <c r="T729" s="287"/>
      <c r="U729" s="264"/>
      <c r="V729" s="198"/>
    </row>
    <row r="730" spans="1:22" s="90" customFormat="1" ht="19.5" hidden="1" customHeight="1">
      <c r="A730" s="137"/>
      <c r="B730" s="197">
        <f t="shared" si="12"/>
        <v>720</v>
      </c>
      <c r="C730" s="30" t="s">
        <v>202</v>
      </c>
      <c r="D730" s="30" t="s">
        <v>225</v>
      </c>
      <c r="E730" s="234" t="s">
        <v>1068</v>
      </c>
      <c r="F730" s="235" t="s">
        <v>1252</v>
      </c>
      <c r="G730" s="476"/>
      <c r="H730" s="236" t="s">
        <v>4106</v>
      </c>
      <c r="I730" s="236">
        <v>1</v>
      </c>
      <c r="J730" s="236">
        <v>1</v>
      </c>
      <c r="K730" s="355" t="s">
        <v>1373</v>
      </c>
      <c r="L730" s="356">
        <v>41257</v>
      </c>
      <c r="M730" s="357" t="s">
        <v>204</v>
      </c>
      <c r="N730" s="416">
        <v>82830000</v>
      </c>
      <c r="O730" s="416">
        <v>82830000</v>
      </c>
      <c r="P730" s="358"/>
      <c r="Q730" s="320"/>
      <c r="R730" s="168"/>
      <c r="S730" s="168"/>
      <c r="T730" s="287"/>
      <c r="U730" s="264"/>
      <c r="V730" s="198"/>
    </row>
    <row r="731" spans="1:22" s="90" customFormat="1" ht="19.5" hidden="1" customHeight="1">
      <c r="A731" s="137"/>
      <c r="B731" s="197">
        <f t="shared" si="12"/>
        <v>721</v>
      </c>
      <c r="C731" s="30" t="s">
        <v>202</v>
      </c>
      <c r="D731" s="30" t="s">
        <v>225</v>
      </c>
      <c r="E731" s="234" t="s">
        <v>1068</v>
      </c>
      <c r="F731" s="235" t="s">
        <v>1252</v>
      </c>
      <c r="G731" s="476"/>
      <c r="H731" s="236" t="s">
        <v>4106</v>
      </c>
      <c r="I731" s="236">
        <v>1</v>
      </c>
      <c r="J731" s="236">
        <v>2</v>
      </c>
      <c r="K731" s="355" t="s">
        <v>1373</v>
      </c>
      <c r="L731" s="356">
        <v>42521</v>
      </c>
      <c r="M731" s="357" t="s">
        <v>204</v>
      </c>
      <c r="N731" s="416">
        <v>70400000</v>
      </c>
      <c r="O731" s="416">
        <v>70400000</v>
      </c>
      <c r="P731" s="358"/>
      <c r="Q731" s="320"/>
      <c r="R731" s="168"/>
      <c r="S731" s="168"/>
      <c r="T731" s="287"/>
      <c r="U731" s="264"/>
      <c r="V731" s="198"/>
    </row>
    <row r="732" spans="1:22" s="90" customFormat="1" ht="19.5" hidden="1" customHeight="1">
      <c r="A732" s="137"/>
      <c r="B732" s="197">
        <f t="shared" si="12"/>
        <v>722</v>
      </c>
      <c r="C732" s="30" t="s">
        <v>202</v>
      </c>
      <c r="D732" s="30" t="s">
        <v>225</v>
      </c>
      <c r="E732" s="234" t="s">
        <v>1069</v>
      </c>
      <c r="F732" s="235" t="s">
        <v>1235</v>
      </c>
      <c r="G732" s="476"/>
      <c r="H732" s="236" t="s">
        <v>5132</v>
      </c>
      <c r="I732" s="236">
        <v>1</v>
      </c>
      <c r="J732" s="236">
        <v>1</v>
      </c>
      <c r="K732" s="355" t="s">
        <v>1373</v>
      </c>
      <c r="L732" s="356">
        <v>43167</v>
      </c>
      <c r="M732" s="357" t="s">
        <v>204</v>
      </c>
      <c r="N732" s="416">
        <v>169200000</v>
      </c>
      <c r="O732" s="416">
        <v>169200000</v>
      </c>
      <c r="P732" s="358"/>
      <c r="Q732" s="320"/>
      <c r="R732" s="168"/>
      <c r="S732" s="168"/>
      <c r="T732" s="287"/>
      <c r="U732" s="264"/>
      <c r="V732" s="198"/>
    </row>
    <row r="733" spans="1:22" s="90" customFormat="1" ht="19.5" hidden="1" customHeight="1">
      <c r="A733" s="137"/>
      <c r="B733" s="197">
        <f t="shared" si="12"/>
        <v>723</v>
      </c>
      <c r="C733" s="30" t="s">
        <v>202</v>
      </c>
      <c r="D733" s="30" t="s">
        <v>225</v>
      </c>
      <c r="E733" s="234" t="s">
        <v>1070</v>
      </c>
      <c r="F733" s="235" t="s">
        <v>1318</v>
      </c>
      <c r="G733" s="476"/>
      <c r="H733" s="236" t="s">
        <v>4909</v>
      </c>
      <c r="I733" s="236">
        <v>1</v>
      </c>
      <c r="J733" s="236">
        <v>1</v>
      </c>
      <c r="K733" s="355" t="s">
        <v>1373</v>
      </c>
      <c r="L733" s="356">
        <v>43342</v>
      </c>
      <c r="M733" s="357" t="s">
        <v>204</v>
      </c>
      <c r="N733" s="416">
        <v>187200000</v>
      </c>
      <c r="O733" s="416">
        <v>187200000</v>
      </c>
      <c r="P733" s="358"/>
      <c r="Q733" s="320"/>
      <c r="R733" s="168"/>
      <c r="S733" s="168"/>
      <c r="T733" s="287"/>
      <c r="U733" s="264"/>
      <c r="V733" s="198"/>
    </row>
    <row r="734" spans="1:22" s="90" customFormat="1" ht="19.5" hidden="1" customHeight="1">
      <c r="A734" s="137"/>
      <c r="B734" s="197">
        <f t="shared" si="12"/>
        <v>724</v>
      </c>
      <c r="C734" s="30" t="s">
        <v>202</v>
      </c>
      <c r="D734" s="30" t="s">
        <v>225</v>
      </c>
      <c r="E734" s="234" t="s">
        <v>1071</v>
      </c>
      <c r="F734" s="235" t="s">
        <v>1244</v>
      </c>
      <c r="G734" s="476"/>
      <c r="H734" s="236" t="s">
        <v>4907</v>
      </c>
      <c r="I734" s="236">
        <v>1</v>
      </c>
      <c r="J734" s="236">
        <v>1</v>
      </c>
      <c r="K734" s="355" t="s">
        <v>1373</v>
      </c>
      <c r="L734" s="356">
        <v>43189</v>
      </c>
      <c r="M734" s="357" t="s">
        <v>204</v>
      </c>
      <c r="N734" s="416">
        <v>181500000</v>
      </c>
      <c r="O734" s="416">
        <v>181500000</v>
      </c>
      <c r="P734" s="358"/>
      <c r="Q734" s="320"/>
      <c r="R734" s="168"/>
      <c r="S734" s="168"/>
      <c r="T734" s="287"/>
      <c r="U734" s="264"/>
      <c r="V734" s="198"/>
    </row>
    <row r="735" spans="1:22" s="90" customFormat="1" ht="19.5" hidden="1" customHeight="1">
      <c r="A735" s="137"/>
      <c r="B735" s="197">
        <f t="shared" si="12"/>
        <v>725</v>
      </c>
      <c r="C735" s="30" t="s">
        <v>202</v>
      </c>
      <c r="D735" s="30" t="s">
        <v>225</v>
      </c>
      <c r="E735" s="234" t="s">
        <v>1072</v>
      </c>
      <c r="F735" s="235" t="s">
        <v>1225</v>
      </c>
      <c r="G735" s="476"/>
      <c r="H735" s="236" t="s">
        <v>4749</v>
      </c>
      <c r="I735" s="236">
        <v>1</v>
      </c>
      <c r="J735" s="236">
        <v>1</v>
      </c>
      <c r="K735" s="355" t="s">
        <v>1373</v>
      </c>
      <c r="L735" s="356">
        <v>42101</v>
      </c>
      <c r="M735" s="357" t="s">
        <v>204</v>
      </c>
      <c r="N735" s="416">
        <v>169500000</v>
      </c>
      <c r="O735" s="416">
        <v>169500000</v>
      </c>
      <c r="P735" s="358"/>
      <c r="Q735" s="320"/>
      <c r="R735" s="168"/>
      <c r="S735" s="168"/>
      <c r="T735" s="287"/>
      <c r="U735" s="264"/>
      <c r="V735" s="198"/>
    </row>
    <row r="736" spans="1:22" s="90" customFormat="1" ht="19.5" hidden="1" customHeight="1">
      <c r="A736" s="137"/>
      <c r="B736" s="197">
        <f t="shared" si="12"/>
        <v>726</v>
      </c>
      <c r="C736" s="30" t="s">
        <v>202</v>
      </c>
      <c r="D736" s="30" t="s">
        <v>225</v>
      </c>
      <c r="E736" s="234" t="s">
        <v>1072</v>
      </c>
      <c r="F736" s="235" t="s">
        <v>1225</v>
      </c>
      <c r="G736" s="476"/>
      <c r="H736" s="236" t="s">
        <v>4749</v>
      </c>
      <c r="I736" s="236">
        <v>1</v>
      </c>
      <c r="J736" s="236">
        <v>2</v>
      </c>
      <c r="K736" s="355" t="s">
        <v>1373</v>
      </c>
      <c r="L736" s="356">
        <v>42285</v>
      </c>
      <c r="M736" s="357" t="s">
        <v>204</v>
      </c>
      <c r="N736" s="416">
        <v>17400000</v>
      </c>
      <c r="O736" s="416">
        <v>17400000</v>
      </c>
      <c r="P736" s="358"/>
      <c r="Q736" s="320"/>
      <c r="R736" s="168"/>
      <c r="S736" s="168"/>
      <c r="T736" s="287"/>
      <c r="U736" s="264"/>
      <c r="V736" s="198"/>
    </row>
    <row r="737" spans="1:22" s="90" customFormat="1" ht="19.5" hidden="1" customHeight="1">
      <c r="A737" s="137"/>
      <c r="B737" s="197">
        <f t="shared" si="12"/>
        <v>727</v>
      </c>
      <c r="C737" s="30" t="s">
        <v>202</v>
      </c>
      <c r="D737" s="30" t="s">
        <v>225</v>
      </c>
      <c r="E737" s="234" t="s">
        <v>1073</v>
      </c>
      <c r="F737" s="235" t="s">
        <v>1279</v>
      </c>
      <c r="G737" s="476"/>
      <c r="H737" s="236" t="s">
        <v>4777</v>
      </c>
      <c r="I737" s="236">
        <v>1</v>
      </c>
      <c r="J737" s="236">
        <v>1</v>
      </c>
      <c r="K737" s="355" t="s">
        <v>1373</v>
      </c>
      <c r="L737" s="356">
        <v>42930</v>
      </c>
      <c r="M737" s="357" t="s">
        <v>204</v>
      </c>
      <c r="N737" s="416">
        <v>153000000</v>
      </c>
      <c r="O737" s="416">
        <v>153000000</v>
      </c>
      <c r="P737" s="358"/>
      <c r="Q737" s="320"/>
      <c r="R737" s="168"/>
      <c r="S737" s="168"/>
      <c r="T737" s="287"/>
      <c r="U737" s="264"/>
      <c r="V737" s="198"/>
    </row>
    <row r="738" spans="1:22" s="90" customFormat="1" ht="19.5" hidden="1" customHeight="1">
      <c r="A738" s="137"/>
      <c r="B738" s="197">
        <f t="shared" si="12"/>
        <v>728</v>
      </c>
      <c r="C738" s="30" t="s">
        <v>202</v>
      </c>
      <c r="D738" s="30" t="s">
        <v>225</v>
      </c>
      <c r="E738" s="234" t="s">
        <v>1074</v>
      </c>
      <c r="F738" s="235" t="s">
        <v>1227</v>
      </c>
      <c r="G738" s="476"/>
      <c r="H738" s="236" t="s">
        <v>4611</v>
      </c>
      <c r="I738" s="236">
        <v>1</v>
      </c>
      <c r="J738" s="236">
        <v>1</v>
      </c>
      <c r="K738" s="355" t="s">
        <v>1373</v>
      </c>
      <c r="L738" s="356">
        <v>44267</v>
      </c>
      <c r="M738" s="357" t="s">
        <v>204</v>
      </c>
      <c r="N738" s="416">
        <v>182400000</v>
      </c>
      <c r="O738" s="416">
        <v>182400000</v>
      </c>
      <c r="P738" s="358"/>
      <c r="Q738" s="320"/>
      <c r="R738" s="168"/>
      <c r="S738" s="168"/>
      <c r="T738" s="287"/>
      <c r="U738" s="264"/>
      <c r="V738" s="198"/>
    </row>
    <row r="739" spans="1:22" s="90" customFormat="1" ht="19.5" hidden="1" customHeight="1">
      <c r="A739" s="137"/>
      <c r="B739" s="197">
        <f t="shared" si="12"/>
        <v>729</v>
      </c>
      <c r="C739" s="30" t="s">
        <v>202</v>
      </c>
      <c r="D739" s="30" t="s">
        <v>225</v>
      </c>
      <c r="E739" s="234" t="s">
        <v>1075</v>
      </c>
      <c r="F739" s="235" t="s">
        <v>1231</v>
      </c>
      <c r="G739" s="476"/>
      <c r="H739" s="236" t="s">
        <v>5281</v>
      </c>
      <c r="I739" s="236">
        <v>1</v>
      </c>
      <c r="J739" s="236">
        <v>1</v>
      </c>
      <c r="K739" s="355" t="s">
        <v>1373</v>
      </c>
      <c r="L739" s="356">
        <v>45499</v>
      </c>
      <c r="M739" s="357" t="s">
        <v>204</v>
      </c>
      <c r="N739" s="416">
        <v>156000000</v>
      </c>
      <c r="O739" s="416">
        <v>156000000</v>
      </c>
      <c r="P739" s="358"/>
      <c r="Q739" s="320"/>
      <c r="R739" s="168"/>
      <c r="S739" s="168"/>
      <c r="T739" s="287"/>
      <c r="U739" s="264"/>
      <c r="V739" s="198"/>
    </row>
    <row r="740" spans="1:22" s="90" customFormat="1" ht="19.5" hidden="1" customHeight="1">
      <c r="A740" s="137"/>
      <c r="B740" s="197">
        <f t="shared" si="12"/>
        <v>730</v>
      </c>
      <c r="C740" s="30" t="s">
        <v>202</v>
      </c>
      <c r="D740" s="30" t="s">
        <v>225</v>
      </c>
      <c r="E740" s="234" t="s">
        <v>1076</v>
      </c>
      <c r="F740" s="235" t="s">
        <v>1229</v>
      </c>
      <c r="G740" s="476"/>
      <c r="H740" s="236" t="s">
        <v>4221</v>
      </c>
      <c r="I740" s="236">
        <v>1</v>
      </c>
      <c r="J740" s="236">
        <v>1</v>
      </c>
      <c r="K740" s="355" t="s">
        <v>1373</v>
      </c>
      <c r="L740" s="356">
        <v>41522</v>
      </c>
      <c r="M740" s="357" t="s">
        <v>204</v>
      </c>
      <c r="N740" s="416">
        <v>168000000</v>
      </c>
      <c r="O740" s="416">
        <v>168000000</v>
      </c>
      <c r="P740" s="358"/>
      <c r="Q740" s="320"/>
      <c r="R740" s="168"/>
      <c r="S740" s="168"/>
      <c r="T740" s="287"/>
      <c r="U740" s="264"/>
      <c r="V740" s="198"/>
    </row>
    <row r="741" spans="1:22" s="90" customFormat="1" ht="19.5" hidden="1" customHeight="1">
      <c r="A741" s="137"/>
      <c r="B741" s="197">
        <f t="shared" si="12"/>
        <v>731</v>
      </c>
      <c r="C741" s="30" t="s">
        <v>202</v>
      </c>
      <c r="D741" s="30" t="s">
        <v>225</v>
      </c>
      <c r="E741" s="234" t="s">
        <v>1077</v>
      </c>
      <c r="F741" s="235" t="s">
        <v>1231</v>
      </c>
      <c r="G741" s="476"/>
      <c r="H741" s="236" t="s">
        <v>4028</v>
      </c>
      <c r="I741" s="236">
        <v>1</v>
      </c>
      <c r="J741" s="236">
        <v>1</v>
      </c>
      <c r="K741" s="355" t="s">
        <v>1373</v>
      </c>
      <c r="L741" s="356">
        <v>43976</v>
      </c>
      <c r="M741" s="357" t="s">
        <v>204</v>
      </c>
      <c r="N741" s="416">
        <v>156000000</v>
      </c>
      <c r="O741" s="416">
        <v>156000000</v>
      </c>
      <c r="P741" s="358"/>
      <c r="Q741" s="320"/>
      <c r="R741" s="168"/>
      <c r="S741" s="168"/>
      <c r="T741" s="287"/>
      <c r="U741" s="264"/>
      <c r="V741" s="198"/>
    </row>
    <row r="742" spans="1:22" s="90" customFormat="1" ht="19.5" hidden="1" customHeight="1">
      <c r="A742" s="137"/>
      <c r="B742" s="197">
        <f t="shared" si="12"/>
        <v>732</v>
      </c>
      <c r="C742" s="30" t="s">
        <v>202</v>
      </c>
      <c r="D742" s="30" t="s">
        <v>225</v>
      </c>
      <c r="E742" s="234" t="s">
        <v>1078</v>
      </c>
      <c r="F742" s="235" t="s">
        <v>1217</v>
      </c>
      <c r="G742" s="476"/>
      <c r="H742" s="236" t="s">
        <v>4187</v>
      </c>
      <c r="I742" s="236">
        <v>1</v>
      </c>
      <c r="J742" s="236">
        <v>1</v>
      </c>
      <c r="K742" s="355" t="s">
        <v>1373</v>
      </c>
      <c r="L742" s="356">
        <v>42124</v>
      </c>
      <c r="M742" s="357" t="s">
        <v>204</v>
      </c>
      <c r="N742" s="416">
        <v>152400000</v>
      </c>
      <c r="O742" s="416">
        <v>152400000</v>
      </c>
      <c r="P742" s="358"/>
      <c r="Q742" s="320"/>
      <c r="R742" s="168"/>
      <c r="S742" s="168"/>
      <c r="T742" s="287"/>
      <c r="U742" s="264"/>
      <c r="V742" s="198"/>
    </row>
    <row r="743" spans="1:22" s="90" customFormat="1" ht="19.5" hidden="1" customHeight="1">
      <c r="A743" s="137"/>
      <c r="B743" s="197">
        <f t="shared" si="12"/>
        <v>733</v>
      </c>
      <c r="C743" s="30" t="s">
        <v>202</v>
      </c>
      <c r="D743" s="30" t="s">
        <v>225</v>
      </c>
      <c r="E743" s="234" t="s">
        <v>1078</v>
      </c>
      <c r="F743" s="235" t="s">
        <v>1217</v>
      </c>
      <c r="G743" s="476"/>
      <c r="H743" s="236" t="s">
        <v>4187</v>
      </c>
      <c r="I743" s="236">
        <v>1</v>
      </c>
      <c r="J743" s="236">
        <v>2</v>
      </c>
      <c r="K743" s="355" t="s">
        <v>1373</v>
      </c>
      <c r="L743" s="356">
        <v>42669</v>
      </c>
      <c r="M743" s="357" t="s">
        <v>204</v>
      </c>
      <c r="N743" s="416">
        <v>21900000</v>
      </c>
      <c r="O743" s="416">
        <v>21900000</v>
      </c>
      <c r="P743" s="358"/>
      <c r="Q743" s="320"/>
      <c r="R743" s="168"/>
      <c r="S743" s="168"/>
      <c r="T743" s="287"/>
      <c r="U743" s="264"/>
      <c r="V743" s="198"/>
    </row>
    <row r="744" spans="1:22" s="90" customFormat="1" ht="19.5" hidden="1" customHeight="1">
      <c r="A744" s="137"/>
      <c r="B744" s="197">
        <f t="shared" si="12"/>
        <v>734</v>
      </c>
      <c r="C744" s="30" t="s">
        <v>202</v>
      </c>
      <c r="D744" s="30" t="s">
        <v>225</v>
      </c>
      <c r="E744" s="234" t="s">
        <v>1079</v>
      </c>
      <c r="F744" s="235" t="s">
        <v>1225</v>
      </c>
      <c r="G744" s="476"/>
      <c r="H744" s="236" t="s">
        <v>4432</v>
      </c>
      <c r="I744" s="236">
        <v>1</v>
      </c>
      <c r="J744" s="236">
        <v>1</v>
      </c>
      <c r="K744" s="355" t="s">
        <v>1373</v>
      </c>
      <c r="L744" s="356">
        <v>45149</v>
      </c>
      <c r="M744" s="357" t="s">
        <v>204</v>
      </c>
      <c r="N744" s="416">
        <v>140800000</v>
      </c>
      <c r="O744" s="416">
        <v>140800000</v>
      </c>
      <c r="P744" s="358"/>
      <c r="Q744" s="320"/>
      <c r="R744" s="168"/>
      <c r="S744" s="168"/>
      <c r="T744" s="287"/>
      <c r="U744" s="264"/>
      <c r="V744" s="198"/>
    </row>
    <row r="745" spans="1:22" s="90" customFormat="1" ht="19.5" hidden="1" customHeight="1">
      <c r="A745" s="137"/>
      <c r="B745" s="197">
        <f t="shared" si="12"/>
        <v>735</v>
      </c>
      <c r="C745" s="30" t="s">
        <v>202</v>
      </c>
      <c r="D745" s="30" t="s">
        <v>225</v>
      </c>
      <c r="E745" s="234" t="s">
        <v>1080</v>
      </c>
      <c r="F745" s="235" t="s">
        <v>1232</v>
      </c>
      <c r="G745" s="476"/>
      <c r="H745" s="236" t="s">
        <v>5143</v>
      </c>
      <c r="I745" s="236">
        <v>1</v>
      </c>
      <c r="J745" s="236">
        <v>1</v>
      </c>
      <c r="K745" s="355" t="s">
        <v>1373</v>
      </c>
      <c r="L745" s="356">
        <v>43276</v>
      </c>
      <c r="M745" s="357" t="s">
        <v>204</v>
      </c>
      <c r="N745" s="416">
        <v>170400000</v>
      </c>
      <c r="O745" s="416">
        <v>170400000</v>
      </c>
      <c r="P745" s="358"/>
      <c r="Q745" s="320"/>
      <c r="R745" s="168"/>
      <c r="S745" s="168"/>
      <c r="T745" s="287"/>
      <c r="U745" s="264"/>
      <c r="V745" s="198"/>
    </row>
    <row r="746" spans="1:22" s="90" customFormat="1" ht="19.5" hidden="1" customHeight="1">
      <c r="A746" s="137"/>
      <c r="B746" s="197">
        <f t="shared" si="12"/>
        <v>736</v>
      </c>
      <c r="C746" s="30" t="s">
        <v>202</v>
      </c>
      <c r="D746" s="30" t="s">
        <v>225</v>
      </c>
      <c r="E746" s="234" t="s">
        <v>1081</v>
      </c>
      <c r="F746" s="235" t="s">
        <v>1229</v>
      </c>
      <c r="G746" s="476"/>
      <c r="H746" s="236" t="s">
        <v>4326</v>
      </c>
      <c r="I746" s="236">
        <v>1</v>
      </c>
      <c r="J746" s="236">
        <v>1</v>
      </c>
      <c r="K746" s="355" t="s">
        <v>1373</v>
      </c>
      <c r="L746" s="356">
        <v>39577</v>
      </c>
      <c r="M746" s="357" t="s">
        <v>204</v>
      </c>
      <c r="N746" s="416">
        <v>194400000</v>
      </c>
      <c r="O746" s="416">
        <v>194400000</v>
      </c>
      <c r="P746" s="358"/>
      <c r="Q746" s="320"/>
      <c r="R746" s="168"/>
      <c r="S746" s="168"/>
      <c r="T746" s="287"/>
      <c r="U746" s="264"/>
      <c r="V746" s="198"/>
    </row>
    <row r="747" spans="1:22" s="90" customFormat="1" ht="19.5" hidden="1" customHeight="1">
      <c r="A747" s="137"/>
      <c r="B747" s="197">
        <f t="shared" si="12"/>
        <v>737</v>
      </c>
      <c r="C747" s="30" t="s">
        <v>202</v>
      </c>
      <c r="D747" s="30" t="s">
        <v>225</v>
      </c>
      <c r="E747" s="234" t="s">
        <v>1082</v>
      </c>
      <c r="F747" s="235" t="s">
        <v>1260</v>
      </c>
      <c r="G747" s="476"/>
      <c r="H747" s="236" t="s">
        <v>4493</v>
      </c>
      <c r="I747" s="236">
        <v>1</v>
      </c>
      <c r="J747" s="236">
        <v>1</v>
      </c>
      <c r="K747" s="355" t="s">
        <v>1373</v>
      </c>
      <c r="L747" s="356">
        <v>44866</v>
      </c>
      <c r="M747" s="357" t="s">
        <v>204</v>
      </c>
      <c r="N747" s="416">
        <v>143000000</v>
      </c>
      <c r="O747" s="416">
        <v>143000000</v>
      </c>
      <c r="P747" s="358"/>
      <c r="Q747" s="320"/>
      <c r="R747" s="168"/>
      <c r="S747" s="168"/>
      <c r="T747" s="287"/>
      <c r="U747" s="264"/>
      <c r="V747" s="198"/>
    </row>
    <row r="748" spans="1:22" s="90" customFormat="1" ht="19.5" hidden="1" customHeight="1">
      <c r="A748" s="137"/>
      <c r="B748" s="197">
        <f t="shared" si="12"/>
        <v>738</v>
      </c>
      <c r="C748" s="30" t="s">
        <v>202</v>
      </c>
      <c r="D748" s="30" t="s">
        <v>225</v>
      </c>
      <c r="E748" s="234" t="s">
        <v>1083</v>
      </c>
      <c r="F748" s="235" t="s">
        <v>1229</v>
      </c>
      <c r="G748" s="476"/>
      <c r="H748" s="236" t="s">
        <v>4803</v>
      </c>
      <c r="I748" s="236">
        <v>1</v>
      </c>
      <c r="J748" s="236">
        <v>1</v>
      </c>
      <c r="K748" s="355" t="s">
        <v>1373</v>
      </c>
      <c r="L748" s="356">
        <v>43244</v>
      </c>
      <c r="M748" s="357" t="s">
        <v>204</v>
      </c>
      <c r="N748" s="416">
        <v>168000000</v>
      </c>
      <c r="O748" s="416">
        <v>168000000</v>
      </c>
      <c r="P748" s="358"/>
      <c r="Q748" s="320"/>
      <c r="R748" s="168"/>
      <c r="S748" s="168"/>
      <c r="T748" s="287"/>
      <c r="U748" s="264"/>
      <c r="V748" s="198"/>
    </row>
    <row r="749" spans="1:22" s="90" customFormat="1" ht="19.5" hidden="1" customHeight="1">
      <c r="A749" s="137"/>
      <c r="B749" s="197">
        <f t="shared" si="12"/>
        <v>739</v>
      </c>
      <c r="C749" s="30" t="s">
        <v>202</v>
      </c>
      <c r="D749" s="30" t="s">
        <v>225</v>
      </c>
      <c r="E749" s="234" t="s">
        <v>1084</v>
      </c>
      <c r="F749" s="235" t="s">
        <v>1217</v>
      </c>
      <c r="G749" s="476"/>
      <c r="H749" s="236" t="s">
        <v>3974</v>
      </c>
      <c r="I749" s="236">
        <v>1</v>
      </c>
      <c r="J749" s="236">
        <v>1</v>
      </c>
      <c r="K749" s="355" t="s">
        <v>1373</v>
      </c>
      <c r="L749" s="356">
        <v>42969</v>
      </c>
      <c r="M749" s="357" t="s">
        <v>204</v>
      </c>
      <c r="N749" s="416">
        <v>171600000</v>
      </c>
      <c r="O749" s="416">
        <v>171600000</v>
      </c>
      <c r="P749" s="358"/>
      <c r="Q749" s="320"/>
      <c r="R749" s="168"/>
      <c r="S749" s="168"/>
      <c r="T749" s="287"/>
      <c r="U749" s="264"/>
      <c r="V749" s="198"/>
    </row>
    <row r="750" spans="1:22" s="90" customFormat="1" ht="19.5" hidden="1" customHeight="1">
      <c r="A750" s="137"/>
      <c r="B750" s="197">
        <f t="shared" si="12"/>
        <v>740</v>
      </c>
      <c r="C750" s="30" t="s">
        <v>202</v>
      </c>
      <c r="D750" s="30" t="s">
        <v>225</v>
      </c>
      <c r="E750" s="234" t="s">
        <v>1085</v>
      </c>
      <c r="F750" s="235" t="s">
        <v>1218</v>
      </c>
      <c r="G750" s="476"/>
      <c r="H750" s="236" t="s">
        <v>4438</v>
      </c>
      <c r="I750" s="236">
        <v>1</v>
      </c>
      <c r="J750" s="236">
        <v>1</v>
      </c>
      <c r="K750" s="355" t="s">
        <v>1373</v>
      </c>
      <c r="L750" s="356">
        <v>42625</v>
      </c>
      <c r="M750" s="357" t="s">
        <v>204</v>
      </c>
      <c r="N750" s="416">
        <v>180000000</v>
      </c>
      <c r="O750" s="416">
        <v>180000000</v>
      </c>
      <c r="P750" s="358"/>
      <c r="Q750" s="320"/>
      <c r="R750" s="168"/>
      <c r="S750" s="168"/>
      <c r="T750" s="287"/>
      <c r="U750" s="264"/>
      <c r="V750" s="198"/>
    </row>
    <row r="751" spans="1:22" s="90" customFormat="1" ht="19.5" hidden="1" customHeight="1">
      <c r="A751" s="137"/>
      <c r="B751" s="197">
        <f t="shared" si="12"/>
        <v>741</v>
      </c>
      <c r="C751" s="30" t="s">
        <v>202</v>
      </c>
      <c r="D751" s="30" t="s">
        <v>225</v>
      </c>
      <c r="E751" s="234" t="s">
        <v>1086</v>
      </c>
      <c r="F751" s="235" t="s">
        <v>1221</v>
      </c>
      <c r="G751" s="476"/>
      <c r="H751" s="236" t="s">
        <v>5211</v>
      </c>
      <c r="I751" s="236">
        <v>1</v>
      </c>
      <c r="J751" s="236">
        <v>1</v>
      </c>
      <c r="K751" s="355" t="s">
        <v>1373</v>
      </c>
      <c r="L751" s="356">
        <v>43601</v>
      </c>
      <c r="M751" s="357" t="s">
        <v>204</v>
      </c>
      <c r="N751" s="416">
        <v>137170000</v>
      </c>
      <c r="O751" s="416">
        <v>137170000</v>
      </c>
      <c r="P751" s="358"/>
      <c r="Q751" s="320"/>
      <c r="R751" s="168"/>
      <c r="S751" s="168"/>
      <c r="T751" s="287"/>
      <c r="U751" s="264"/>
      <c r="V751" s="198"/>
    </row>
    <row r="752" spans="1:22" s="90" customFormat="1" ht="19.5" hidden="1" customHeight="1">
      <c r="A752" s="137"/>
      <c r="B752" s="197">
        <f t="shared" si="12"/>
        <v>742</v>
      </c>
      <c r="C752" s="30" t="s">
        <v>202</v>
      </c>
      <c r="D752" s="30" t="s">
        <v>225</v>
      </c>
      <c r="E752" s="234" t="s">
        <v>1087</v>
      </c>
      <c r="F752" s="235" t="s">
        <v>1283</v>
      </c>
      <c r="G752" s="476"/>
      <c r="H752" s="236" t="s">
        <v>4847</v>
      </c>
      <c r="I752" s="236">
        <v>1</v>
      </c>
      <c r="J752" s="236">
        <v>1</v>
      </c>
      <c r="K752" s="355" t="s">
        <v>1373</v>
      </c>
      <c r="L752" s="356">
        <v>44879</v>
      </c>
      <c r="M752" s="357" t="s">
        <v>204</v>
      </c>
      <c r="N752" s="416">
        <v>134200000</v>
      </c>
      <c r="O752" s="416">
        <v>134200000</v>
      </c>
      <c r="P752" s="358"/>
      <c r="Q752" s="320"/>
      <c r="R752" s="168"/>
      <c r="S752" s="168"/>
      <c r="T752" s="287"/>
      <c r="U752" s="264"/>
      <c r="V752" s="198"/>
    </row>
    <row r="753" spans="1:22" s="90" customFormat="1" ht="19.5" hidden="1" customHeight="1">
      <c r="A753" s="137"/>
      <c r="B753" s="197">
        <f t="shared" si="12"/>
        <v>743</v>
      </c>
      <c r="C753" s="30" t="s">
        <v>202</v>
      </c>
      <c r="D753" s="30" t="s">
        <v>225</v>
      </c>
      <c r="E753" s="234" t="s">
        <v>1088</v>
      </c>
      <c r="F753" s="235" t="s">
        <v>1266</v>
      </c>
      <c r="G753" s="476"/>
      <c r="H753" s="236" t="s">
        <v>3876</v>
      </c>
      <c r="I753" s="236">
        <v>1</v>
      </c>
      <c r="J753" s="236">
        <v>1</v>
      </c>
      <c r="K753" s="355" t="s">
        <v>1373</v>
      </c>
      <c r="L753" s="356">
        <v>44631</v>
      </c>
      <c r="M753" s="357" t="s">
        <v>204</v>
      </c>
      <c r="N753" s="416">
        <v>134200000</v>
      </c>
      <c r="O753" s="416">
        <v>134200000</v>
      </c>
      <c r="P753" s="358"/>
      <c r="Q753" s="320"/>
      <c r="R753" s="168"/>
      <c r="S753" s="168"/>
      <c r="T753" s="287"/>
      <c r="U753" s="264"/>
      <c r="V753" s="198"/>
    </row>
    <row r="754" spans="1:22" s="90" customFormat="1" ht="19.5" hidden="1" customHeight="1">
      <c r="A754" s="137"/>
      <c r="B754" s="197">
        <f t="shared" si="12"/>
        <v>744</v>
      </c>
      <c r="C754" s="30" t="s">
        <v>202</v>
      </c>
      <c r="D754" s="30" t="s">
        <v>225</v>
      </c>
      <c r="E754" s="234" t="s">
        <v>1089</v>
      </c>
      <c r="F754" s="235" t="s">
        <v>1248</v>
      </c>
      <c r="G754" s="476"/>
      <c r="H754" s="236" t="s">
        <v>3980</v>
      </c>
      <c r="I754" s="236">
        <v>1</v>
      </c>
      <c r="J754" s="236">
        <v>1</v>
      </c>
      <c r="K754" s="355" t="s">
        <v>1373</v>
      </c>
      <c r="L754" s="356">
        <v>41299</v>
      </c>
      <c r="M754" s="357" t="s">
        <v>204</v>
      </c>
      <c r="N754" s="416">
        <v>143000000</v>
      </c>
      <c r="O754" s="416">
        <v>143000000</v>
      </c>
      <c r="P754" s="358"/>
      <c r="Q754" s="320"/>
      <c r="R754" s="168"/>
      <c r="S754" s="168"/>
      <c r="T754" s="287"/>
      <c r="U754" s="264"/>
      <c r="V754" s="198"/>
    </row>
    <row r="755" spans="1:22" s="90" customFormat="1" ht="19.5" hidden="1" customHeight="1">
      <c r="A755" s="137"/>
      <c r="B755" s="197">
        <f t="shared" si="12"/>
        <v>745</v>
      </c>
      <c r="C755" s="30" t="s">
        <v>202</v>
      </c>
      <c r="D755" s="30" t="s">
        <v>225</v>
      </c>
      <c r="E755" s="234" t="s">
        <v>1090</v>
      </c>
      <c r="F755" s="235" t="s">
        <v>1229</v>
      </c>
      <c r="G755" s="476"/>
      <c r="H755" s="236" t="s">
        <v>5018</v>
      </c>
      <c r="I755" s="236">
        <v>1</v>
      </c>
      <c r="J755" s="236">
        <v>1</v>
      </c>
      <c r="K755" s="355" t="s">
        <v>1373</v>
      </c>
      <c r="L755" s="356">
        <v>42104</v>
      </c>
      <c r="M755" s="357" t="s">
        <v>204</v>
      </c>
      <c r="N755" s="416">
        <v>140280000</v>
      </c>
      <c r="O755" s="416">
        <v>140280000</v>
      </c>
      <c r="P755" s="358"/>
      <c r="Q755" s="320"/>
      <c r="R755" s="168"/>
      <c r="S755" s="168"/>
      <c r="T755" s="287"/>
      <c r="U755" s="264"/>
      <c r="V755" s="198"/>
    </row>
    <row r="756" spans="1:22" s="90" customFormat="1" ht="19.5" hidden="1" customHeight="1">
      <c r="A756" s="137"/>
      <c r="B756" s="197">
        <f t="shared" si="12"/>
        <v>746</v>
      </c>
      <c r="C756" s="30" t="s">
        <v>202</v>
      </c>
      <c r="D756" s="30" t="s">
        <v>225</v>
      </c>
      <c r="E756" s="234" t="s">
        <v>1091</v>
      </c>
      <c r="F756" s="235" t="s">
        <v>1226</v>
      </c>
      <c r="G756" s="476"/>
      <c r="H756" s="236" t="s">
        <v>4478</v>
      </c>
      <c r="I756" s="236">
        <v>1</v>
      </c>
      <c r="J756" s="236">
        <v>1</v>
      </c>
      <c r="K756" s="355" t="s">
        <v>1373</v>
      </c>
      <c r="L756" s="356">
        <v>41029</v>
      </c>
      <c r="M756" s="357" t="s">
        <v>204</v>
      </c>
      <c r="N756" s="416">
        <v>86900000</v>
      </c>
      <c r="O756" s="416">
        <v>86900000</v>
      </c>
      <c r="P756" s="358"/>
      <c r="Q756" s="320"/>
      <c r="R756" s="168"/>
      <c r="S756" s="168"/>
      <c r="T756" s="287"/>
      <c r="U756" s="264"/>
      <c r="V756" s="198"/>
    </row>
    <row r="757" spans="1:22" s="90" customFormat="1" ht="19.5" hidden="1" customHeight="1">
      <c r="A757" s="137"/>
      <c r="B757" s="197">
        <f t="shared" si="12"/>
        <v>747</v>
      </c>
      <c r="C757" s="30" t="s">
        <v>202</v>
      </c>
      <c r="D757" s="30" t="s">
        <v>225</v>
      </c>
      <c r="E757" s="234" t="s">
        <v>1091</v>
      </c>
      <c r="F757" s="235" t="s">
        <v>1226</v>
      </c>
      <c r="G757" s="476"/>
      <c r="H757" s="236" t="s">
        <v>4478</v>
      </c>
      <c r="I757" s="236">
        <v>1</v>
      </c>
      <c r="J757" s="236">
        <v>2</v>
      </c>
      <c r="K757" s="355" t="s">
        <v>1373</v>
      </c>
      <c r="L757" s="356">
        <v>43038</v>
      </c>
      <c r="M757" s="357" t="s">
        <v>204</v>
      </c>
      <c r="N757" s="416">
        <v>43780000</v>
      </c>
      <c r="O757" s="416">
        <v>43780000</v>
      </c>
      <c r="P757" s="358"/>
      <c r="Q757" s="320"/>
      <c r="R757" s="168"/>
      <c r="S757" s="168"/>
      <c r="T757" s="287"/>
      <c r="U757" s="264"/>
      <c r="V757" s="198"/>
    </row>
    <row r="758" spans="1:22" s="90" customFormat="1" ht="19.5" hidden="1" customHeight="1">
      <c r="A758" s="137"/>
      <c r="B758" s="197">
        <f t="shared" si="12"/>
        <v>748</v>
      </c>
      <c r="C758" s="30" t="s">
        <v>202</v>
      </c>
      <c r="D758" s="30" t="s">
        <v>225</v>
      </c>
      <c r="E758" s="234" t="s">
        <v>1092</v>
      </c>
      <c r="F758" s="235" t="s">
        <v>1229</v>
      </c>
      <c r="G758" s="476"/>
      <c r="H758" s="236" t="s">
        <v>4587</v>
      </c>
      <c r="I758" s="236">
        <v>1</v>
      </c>
      <c r="J758" s="236">
        <v>1</v>
      </c>
      <c r="K758" s="355" t="s">
        <v>1373</v>
      </c>
      <c r="L758" s="356">
        <v>43728</v>
      </c>
      <c r="M758" s="357" t="s">
        <v>204</v>
      </c>
      <c r="N758" s="416">
        <v>168000000</v>
      </c>
      <c r="O758" s="416">
        <v>168000000</v>
      </c>
      <c r="P758" s="358"/>
      <c r="Q758" s="320"/>
      <c r="R758" s="168"/>
      <c r="S758" s="168"/>
      <c r="T758" s="287"/>
      <c r="U758" s="264"/>
      <c r="V758" s="198"/>
    </row>
    <row r="759" spans="1:22" s="90" customFormat="1" ht="19.5" hidden="1" customHeight="1">
      <c r="A759" s="137"/>
      <c r="B759" s="197">
        <f t="shared" si="12"/>
        <v>749</v>
      </c>
      <c r="C759" s="30" t="s">
        <v>202</v>
      </c>
      <c r="D759" s="30" t="s">
        <v>225</v>
      </c>
      <c r="E759" s="234" t="s">
        <v>1093</v>
      </c>
      <c r="F759" s="235" t="s">
        <v>1219</v>
      </c>
      <c r="G759" s="476"/>
      <c r="H759" s="236" t="s">
        <v>4011</v>
      </c>
      <c r="I759" s="236">
        <v>1</v>
      </c>
      <c r="J759" s="236">
        <v>1</v>
      </c>
      <c r="K759" s="355" t="s">
        <v>1373</v>
      </c>
      <c r="L759" s="356">
        <v>44568</v>
      </c>
      <c r="M759" s="357" t="s">
        <v>204</v>
      </c>
      <c r="N759" s="416">
        <v>130900000</v>
      </c>
      <c r="O759" s="416">
        <v>130900000</v>
      </c>
      <c r="P759" s="358"/>
      <c r="Q759" s="320"/>
      <c r="R759" s="168"/>
      <c r="S759" s="168"/>
      <c r="T759" s="287"/>
      <c r="U759" s="264"/>
      <c r="V759" s="198"/>
    </row>
    <row r="760" spans="1:22" s="90" customFormat="1" ht="19.5" hidden="1" customHeight="1">
      <c r="A760" s="137"/>
      <c r="B760" s="197">
        <f t="shared" si="12"/>
        <v>750</v>
      </c>
      <c r="C760" s="30" t="s">
        <v>202</v>
      </c>
      <c r="D760" s="30" t="s">
        <v>225</v>
      </c>
      <c r="E760" s="234" t="s">
        <v>1094</v>
      </c>
      <c r="F760" s="235" t="s">
        <v>1219</v>
      </c>
      <c r="G760" s="476"/>
      <c r="H760" s="236" t="s">
        <v>4837</v>
      </c>
      <c r="I760" s="236">
        <v>1</v>
      </c>
      <c r="J760" s="236">
        <v>1</v>
      </c>
      <c r="K760" s="355" t="s">
        <v>1373</v>
      </c>
      <c r="L760" s="356">
        <v>42983</v>
      </c>
      <c r="M760" s="357" t="s">
        <v>204</v>
      </c>
      <c r="N760" s="416">
        <v>158400000</v>
      </c>
      <c r="O760" s="416">
        <v>158400000</v>
      </c>
      <c r="P760" s="358"/>
      <c r="Q760" s="320"/>
      <c r="R760" s="168"/>
      <c r="S760" s="168"/>
      <c r="T760" s="287"/>
      <c r="U760" s="264"/>
      <c r="V760" s="198"/>
    </row>
    <row r="761" spans="1:22" s="90" customFormat="1" ht="19.5" hidden="1" customHeight="1">
      <c r="A761" s="137"/>
      <c r="B761" s="197">
        <f t="shared" si="12"/>
        <v>751</v>
      </c>
      <c r="C761" s="30" t="s">
        <v>202</v>
      </c>
      <c r="D761" s="30" t="s">
        <v>225</v>
      </c>
      <c r="E761" s="234" t="s">
        <v>1095</v>
      </c>
      <c r="F761" s="235" t="s">
        <v>1231</v>
      </c>
      <c r="G761" s="476"/>
      <c r="H761" s="236" t="s">
        <v>4465</v>
      </c>
      <c r="I761" s="236">
        <v>1</v>
      </c>
      <c r="J761" s="236">
        <v>1</v>
      </c>
      <c r="K761" s="355" t="s">
        <v>1373</v>
      </c>
      <c r="L761" s="356">
        <v>43950</v>
      </c>
      <c r="M761" s="357" t="s">
        <v>204</v>
      </c>
      <c r="N761" s="416">
        <v>146400000</v>
      </c>
      <c r="O761" s="416">
        <v>146400000</v>
      </c>
      <c r="P761" s="358"/>
      <c r="Q761" s="320"/>
      <c r="R761" s="168"/>
      <c r="S761" s="168"/>
      <c r="T761" s="287"/>
      <c r="U761" s="264"/>
      <c r="V761" s="198"/>
    </row>
    <row r="762" spans="1:22" s="90" customFormat="1" ht="19.5" hidden="1" customHeight="1">
      <c r="A762" s="137"/>
      <c r="B762" s="197">
        <f t="shared" si="12"/>
        <v>752</v>
      </c>
      <c r="C762" s="30" t="s">
        <v>202</v>
      </c>
      <c r="D762" s="30" t="s">
        <v>225</v>
      </c>
      <c r="E762" s="234" t="s">
        <v>1096</v>
      </c>
      <c r="F762" s="235" t="s">
        <v>1229</v>
      </c>
      <c r="G762" s="476"/>
      <c r="H762" s="236" t="s">
        <v>4040</v>
      </c>
      <c r="I762" s="236">
        <v>1</v>
      </c>
      <c r="J762" s="236">
        <v>1</v>
      </c>
      <c r="K762" s="355" t="s">
        <v>1373</v>
      </c>
      <c r="L762" s="356">
        <v>43084</v>
      </c>
      <c r="M762" s="357" t="s">
        <v>204</v>
      </c>
      <c r="N762" s="416">
        <v>156000000</v>
      </c>
      <c r="O762" s="416">
        <v>156000000</v>
      </c>
      <c r="P762" s="358"/>
      <c r="Q762" s="320"/>
      <c r="R762" s="168"/>
      <c r="S762" s="168"/>
      <c r="T762" s="287"/>
      <c r="U762" s="264"/>
      <c r="V762" s="198"/>
    </row>
    <row r="763" spans="1:22" s="90" customFormat="1" ht="19.5" hidden="1" customHeight="1">
      <c r="A763" s="137"/>
      <c r="B763" s="197">
        <f t="shared" si="12"/>
        <v>753</v>
      </c>
      <c r="C763" s="30" t="s">
        <v>202</v>
      </c>
      <c r="D763" s="30" t="s">
        <v>225</v>
      </c>
      <c r="E763" s="234" t="s">
        <v>1097</v>
      </c>
      <c r="F763" s="235" t="s">
        <v>1229</v>
      </c>
      <c r="G763" s="476"/>
      <c r="H763" s="236" t="s">
        <v>4334</v>
      </c>
      <c r="I763" s="236">
        <v>1</v>
      </c>
      <c r="J763" s="236">
        <v>1</v>
      </c>
      <c r="K763" s="355" t="s">
        <v>1373</v>
      </c>
      <c r="L763" s="356">
        <v>44231</v>
      </c>
      <c r="M763" s="357" t="s">
        <v>204</v>
      </c>
      <c r="N763" s="416">
        <v>156000000</v>
      </c>
      <c r="O763" s="416">
        <v>156000000</v>
      </c>
      <c r="P763" s="358"/>
      <c r="Q763" s="320"/>
      <c r="R763" s="168"/>
      <c r="S763" s="168"/>
      <c r="T763" s="287"/>
      <c r="U763" s="264"/>
      <c r="V763" s="198"/>
    </row>
    <row r="764" spans="1:22" s="90" customFormat="1" ht="19.5" hidden="1" customHeight="1">
      <c r="A764" s="137"/>
      <c r="B764" s="197">
        <f t="shared" si="12"/>
        <v>754</v>
      </c>
      <c r="C764" s="30" t="s">
        <v>202</v>
      </c>
      <c r="D764" s="30" t="s">
        <v>225</v>
      </c>
      <c r="E764" s="234" t="s">
        <v>1098</v>
      </c>
      <c r="F764" s="235" t="s">
        <v>1271</v>
      </c>
      <c r="G764" s="476"/>
      <c r="H764" s="236" t="s">
        <v>3892</v>
      </c>
      <c r="I764" s="236">
        <v>1</v>
      </c>
      <c r="J764" s="236">
        <v>1</v>
      </c>
      <c r="K764" s="355" t="s">
        <v>1373</v>
      </c>
      <c r="L764" s="356">
        <v>43389</v>
      </c>
      <c r="M764" s="357" t="s">
        <v>204</v>
      </c>
      <c r="N764" s="416">
        <v>150000000</v>
      </c>
      <c r="O764" s="416">
        <v>150000000</v>
      </c>
      <c r="P764" s="358"/>
      <c r="Q764" s="320"/>
      <c r="R764" s="168"/>
      <c r="S764" s="168"/>
      <c r="T764" s="287"/>
      <c r="U764" s="264"/>
      <c r="V764" s="198"/>
    </row>
    <row r="765" spans="1:22" s="90" customFormat="1" ht="19.5" hidden="1" customHeight="1">
      <c r="A765" s="137"/>
      <c r="B765" s="197">
        <f t="shared" si="12"/>
        <v>755</v>
      </c>
      <c r="C765" s="30" t="s">
        <v>202</v>
      </c>
      <c r="D765" s="30" t="s">
        <v>225</v>
      </c>
      <c r="E765" s="234" t="s">
        <v>1099</v>
      </c>
      <c r="F765" s="235" t="s">
        <v>1284</v>
      </c>
      <c r="G765" s="476"/>
      <c r="H765" s="236" t="s">
        <v>4242</v>
      </c>
      <c r="I765" s="236">
        <v>1</v>
      </c>
      <c r="J765" s="236">
        <v>1</v>
      </c>
      <c r="K765" s="355" t="s">
        <v>1373</v>
      </c>
      <c r="L765" s="356">
        <v>42172</v>
      </c>
      <c r="M765" s="357" t="s">
        <v>204</v>
      </c>
      <c r="N765" s="416">
        <v>159600000</v>
      </c>
      <c r="O765" s="416">
        <v>159600000</v>
      </c>
      <c r="P765" s="358"/>
      <c r="Q765" s="320"/>
      <c r="R765" s="168"/>
      <c r="S765" s="168"/>
      <c r="T765" s="287"/>
      <c r="U765" s="264"/>
      <c r="V765" s="198"/>
    </row>
    <row r="766" spans="1:22" s="90" customFormat="1" ht="19.5" hidden="1" customHeight="1">
      <c r="A766" s="137"/>
      <c r="B766" s="197">
        <f t="shared" si="12"/>
        <v>756</v>
      </c>
      <c r="C766" s="30" t="s">
        <v>202</v>
      </c>
      <c r="D766" s="30" t="s">
        <v>225</v>
      </c>
      <c r="E766" s="234" t="s">
        <v>1100</v>
      </c>
      <c r="F766" s="235" t="s">
        <v>1246</v>
      </c>
      <c r="G766" s="476"/>
      <c r="H766" s="236" t="s">
        <v>4397</v>
      </c>
      <c r="I766" s="236">
        <v>1</v>
      </c>
      <c r="J766" s="236">
        <v>1</v>
      </c>
      <c r="K766" s="355" t="s">
        <v>1373</v>
      </c>
      <c r="L766" s="356">
        <v>44530</v>
      </c>
      <c r="M766" s="357" t="s">
        <v>204</v>
      </c>
      <c r="N766" s="416">
        <v>138000000</v>
      </c>
      <c r="O766" s="416">
        <v>138000000</v>
      </c>
      <c r="P766" s="358"/>
      <c r="Q766" s="320"/>
      <c r="R766" s="168"/>
      <c r="S766" s="168"/>
      <c r="T766" s="287"/>
      <c r="U766" s="264"/>
      <c r="V766" s="198"/>
    </row>
    <row r="767" spans="1:22" s="90" customFormat="1" ht="19.5" hidden="1" customHeight="1">
      <c r="A767" s="137"/>
      <c r="B767" s="197">
        <f t="shared" si="12"/>
        <v>757</v>
      </c>
      <c r="C767" s="30" t="s">
        <v>202</v>
      </c>
      <c r="D767" s="30" t="s">
        <v>225</v>
      </c>
      <c r="E767" s="234" t="s">
        <v>1101</v>
      </c>
      <c r="F767" s="235" t="s">
        <v>1225</v>
      </c>
      <c r="G767" s="476"/>
      <c r="H767" s="236" t="s">
        <v>4821</v>
      </c>
      <c r="I767" s="236">
        <v>1</v>
      </c>
      <c r="J767" s="236">
        <v>1</v>
      </c>
      <c r="K767" s="355" t="s">
        <v>1373</v>
      </c>
      <c r="L767" s="356">
        <v>43973</v>
      </c>
      <c r="M767" s="357" t="s">
        <v>204</v>
      </c>
      <c r="N767" s="416">
        <v>132000000</v>
      </c>
      <c r="O767" s="416">
        <v>132000000</v>
      </c>
      <c r="P767" s="358"/>
      <c r="Q767" s="320"/>
      <c r="R767" s="168"/>
      <c r="S767" s="168"/>
      <c r="T767" s="287"/>
      <c r="U767" s="264"/>
      <c r="V767" s="198"/>
    </row>
    <row r="768" spans="1:22" s="90" customFormat="1" ht="19.5" hidden="1" customHeight="1">
      <c r="A768" s="137"/>
      <c r="B768" s="197">
        <f t="shared" si="12"/>
        <v>758</v>
      </c>
      <c r="C768" s="30" t="s">
        <v>202</v>
      </c>
      <c r="D768" s="30" t="s">
        <v>225</v>
      </c>
      <c r="E768" s="234" t="s">
        <v>1102</v>
      </c>
      <c r="F768" s="235" t="s">
        <v>1229</v>
      </c>
      <c r="G768" s="476"/>
      <c r="H768" s="236" t="s">
        <v>4217</v>
      </c>
      <c r="I768" s="236">
        <v>1</v>
      </c>
      <c r="J768" s="236">
        <v>1</v>
      </c>
      <c r="K768" s="355" t="s">
        <v>1373</v>
      </c>
      <c r="L768" s="356">
        <v>39395</v>
      </c>
      <c r="M768" s="357" t="s">
        <v>204</v>
      </c>
      <c r="N768" s="416">
        <v>294000000</v>
      </c>
      <c r="O768" s="416">
        <v>294000000</v>
      </c>
      <c r="P768" s="358"/>
      <c r="Q768" s="320"/>
      <c r="R768" s="168"/>
      <c r="S768" s="168"/>
      <c r="T768" s="287"/>
      <c r="U768" s="264"/>
      <c r="V768" s="198"/>
    </row>
    <row r="769" spans="1:22" s="90" customFormat="1" ht="19.5" hidden="1" customHeight="1">
      <c r="A769" s="137"/>
      <c r="B769" s="197">
        <f t="shared" si="12"/>
        <v>759</v>
      </c>
      <c r="C769" s="30" t="s">
        <v>202</v>
      </c>
      <c r="D769" s="30" t="s">
        <v>225</v>
      </c>
      <c r="E769" s="234" t="s">
        <v>1103</v>
      </c>
      <c r="F769" s="235" t="s">
        <v>1232</v>
      </c>
      <c r="G769" s="476"/>
      <c r="H769" s="236" t="s">
        <v>4264</v>
      </c>
      <c r="I769" s="236">
        <v>1</v>
      </c>
      <c r="J769" s="236">
        <v>1</v>
      </c>
      <c r="K769" s="355" t="s">
        <v>1373</v>
      </c>
      <c r="L769" s="356">
        <v>44512</v>
      </c>
      <c r="M769" s="357" t="s">
        <v>204</v>
      </c>
      <c r="N769" s="416">
        <v>132000000</v>
      </c>
      <c r="O769" s="416">
        <v>132000000</v>
      </c>
      <c r="P769" s="358"/>
      <c r="Q769" s="320"/>
      <c r="R769" s="168"/>
      <c r="S769" s="168"/>
      <c r="T769" s="287"/>
      <c r="U769" s="264"/>
      <c r="V769" s="198"/>
    </row>
    <row r="770" spans="1:22" s="90" customFormat="1" ht="19.5" hidden="1" customHeight="1">
      <c r="A770" s="137"/>
      <c r="B770" s="197">
        <f t="shared" si="12"/>
        <v>760</v>
      </c>
      <c r="C770" s="30" t="s">
        <v>202</v>
      </c>
      <c r="D770" s="30" t="s">
        <v>225</v>
      </c>
      <c r="E770" s="234" t="s">
        <v>1104</v>
      </c>
      <c r="F770" s="235" t="s">
        <v>1285</v>
      </c>
      <c r="G770" s="476"/>
      <c r="H770" s="236" t="s">
        <v>4262</v>
      </c>
      <c r="I770" s="236">
        <v>1</v>
      </c>
      <c r="J770" s="236">
        <v>1</v>
      </c>
      <c r="K770" s="355" t="s">
        <v>1373</v>
      </c>
      <c r="L770" s="356">
        <v>44260</v>
      </c>
      <c r="M770" s="357" t="s">
        <v>204</v>
      </c>
      <c r="N770" s="416">
        <v>136800000</v>
      </c>
      <c r="O770" s="416">
        <v>136800000</v>
      </c>
      <c r="P770" s="358"/>
      <c r="Q770" s="320"/>
      <c r="R770" s="168"/>
      <c r="S770" s="168"/>
      <c r="T770" s="287"/>
      <c r="U770" s="264"/>
      <c r="V770" s="198"/>
    </row>
    <row r="771" spans="1:22" s="90" customFormat="1" ht="19.5" hidden="1" customHeight="1">
      <c r="A771" s="137"/>
      <c r="B771" s="197">
        <f t="shared" si="12"/>
        <v>761</v>
      </c>
      <c r="C771" s="30" t="s">
        <v>202</v>
      </c>
      <c r="D771" s="30" t="s">
        <v>225</v>
      </c>
      <c r="E771" s="234" t="s">
        <v>1105</v>
      </c>
      <c r="F771" s="235" t="s">
        <v>1219</v>
      </c>
      <c r="G771" s="476"/>
      <c r="H771" s="236" t="s">
        <v>4403</v>
      </c>
      <c r="I771" s="236">
        <v>1</v>
      </c>
      <c r="J771" s="236">
        <v>1</v>
      </c>
      <c r="K771" s="355" t="s">
        <v>1373</v>
      </c>
      <c r="L771" s="356">
        <v>37540</v>
      </c>
      <c r="M771" s="357" t="s">
        <v>204</v>
      </c>
      <c r="N771" s="416">
        <v>109200000</v>
      </c>
      <c r="O771" s="416">
        <v>109200000</v>
      </c>
      <c r="P771" s="358"/>
      <c r="Q771" s="320"/>
      <c r="R771" s="168"/>
      <c r="S771" s="168"/>
      <c r="T771" s="287"/>
      <c r="U771" s="264"/>
      <c r="V771" s="198"/>
    </row>
    <row r="772" spans="1:22" s="90" customFormat="1" ht="19.5" hidden="1" customHeight="1">
      <c r="A772" s="137"/>
      <c r="B772" s="197">
        <f t="shared" si="12"/>
        <v>762</v>
      </c>
      <c r="C772" s="30" t="s">
        <v>202</v>
      </c>
      <c r="D772" s="30" t="s">
        <v>225</v>
      </c>
      <c r="E772" s="234" t="s">
        <v>1105</v>
      </c>
      <c r="F772" s="235" t="s">
        <v>1219</v>
      </c>
      <c r="G772" s="476"/>
      <c r="H772" s="236" t="s">
        <v>4403</v>
      </c>
      <c r="I772" s="236">
        <v>1</v>
      </c>
      <c r="J772" s="236">
        <v>2</v>
      </c>
      <c r="K772" s="355" t="s">
        <v>1373</v>
      </c>
      <c r="L772" s="356">
        <v>41759</v>
      </c>
      <c r="M772" s="357" t="s">
        <v>204</v>
      </c>
      <c r="N772" s="416">
        <v>38400000</v>
      </c>
      <c r="O772" s="416">
        <v>38400000</v>
      </c>
      <c r="P772" s="358"/>
      <c r="Q772" s="320"/>
      <c r="R772" s="168"/>
      <c r="S772" s="168"/>
      <c r="T772" s="287"/>
      <c r="U772" s="264"/>
      <c r="V772" s="198"/>
    </row>
    <row r="773" spans="1:22" s="90" customFormat="1" ht="19.5" hidden="1" customHeight="1">
      <c r="A773" s="137"/>
      <c r="B773" s="197">
        <f t="shared" si="12"/>
        <v>763</v>
      </c>
      <c r="C773" s="30" t="s">
        <v>202</v>
      </c>
      <c r="D773" s="30" t="s">
        <v>225</v>
      </c>
      <c r="E773" s="234" t="s">
        <v>1106</v>
      </c>
      <c r="F773" s="235" t="s">
        <v>1226</v>
      </c>
      <c r="G773" s="476"/>
      <c r="H773" s="236" t="s">
        <v>5086</v>
      </c>
      <c r="I773" s="236">
        <v>1</v>
      </c>
      <c r="J773" s="236">
        <v>1</v>
      </c>
      <c r="K773" s="355" t="s">
        <v>1373</v>
      </c>
      <c r="L773" s="356">
        <v>42859</v>
      </c>
      <c r="M773" s="357" t="s">
        <v>204</v>
      </c>
      <c r="N773" s="416">
        <v>144000000</v>
      </c>
      <c r="O773" s="416">
        <v>144000000</v>
      </c>
      <c r="P773" s="358"/>
      <c r="Q773" s="320"/>
      <c r="R773" s="168"/>
      <c r="S773" s="168"/>
      <c r="T773" s="287"/>
      <c r="U773" s="264"/>
      <c r="V773" s="198"/>
    </row>
    <row r="774" spans="1:22" s="90" customFormat="1" ht="19.5" hidden="1" customHeight="1">
      <c r="A774" s="137"/>
      <c r="B774" s="197">
        <f t="shared" si="12"/>
        <v>764</v>
      </c>
      <c r="C774" s="30" t="s">
        <v>202</v>
      </c>
      <c r="D774" s="30" t="s">
        <v>225</v>
      </c>
      <c r="E774" s="234" t="s">
        <v>1107</v>
      </c>
      <c r="F774" s="235" t="s">
        <v>1225</v>
      </c>
      <c r="G774" s="476"/>
      <c r="H774" s="236" t="s">
        <v>4747</v>
      </c>
      <c r="I774" s="236">
        <v>1</v>
      </c>
      <c r="J774" s="236">
        <v>1</v>
      </c>
      <c r="K774" s="355" t="s">
        <v>1373</v>
      </c>
      <c r="L774" s="356">
        <v>44557</v>
      </c>
      <c r="M774" s="357" t="s">
        <v>204</v>
      </c>
      <c r="N774" s="416">
        <v>120000000</v>
      </c>
      <c r="O774" s="416">
        <v>120000000</v>
      </c>
      <c r="P774" s="358"/>
      <c r="Q774" s="320"/>
      <c r="R774" s="168"/>
      <c r="S774" s="168"/>
      <c r="T774" s="287"/>
      <c r="U774" s="264"/>
      <c r="V774" s="198"/>
    </row>
    <row r="775" spans="1:22" s="90" customFormat="1" ht="19.5" hidden="1" customHeight="1">
      <c r="A775" s="137"/>
      <c r="B775" s="197">
        <f t="shared" si="12"/>
        <v>765</v>
      </c>
      <c r="C775" s="30" t="s">
        <v>202</v>
      </c>
      <c r="D775" s="30" t="s">
        <v>225</v>
      </c>
      <c r="E775" s="234" t="s">
        <v>1108</v>
      </c>
      <c r="F775" s="235" t="s">
        <v>1263</v>
      </c>
      <c r="G775" s="476"/>
      <c r="H775" s="236" t="s">
        <v>3995</v>
      </c>
      <c r="I775" s="236">
        <v>1</v>
      </c>
      <c r="J775" s="236">
        <v>1</v>
      </c>
      <c r="K775" s="355" t="s">
        <v>1373</v>
      </c>
      <c r="L775" s="356">
        <v>41054</v>
      </c>
      <c r="M775" s="357" t="s">
        <v>204</v>
      </c>
      <c r="N775" s="416">
        <v>120000000</v>
      </c>
      <c r="O775" s="416">
        <v>120000000</v>
      </c>
      <c r="P775" s="358"/>
      <c r="Q775" s="320"/>
      <c r="R775" s="168"/>
      <c r="S775" s="168"/>
      <c r="T775" s="287"/>
      <c r="U775" s="264"/>
      <c r="V775" s="198"/>
    </row>
    <row r="776" spans="1:22" s="90" customFormat="1" ht="19.5" hidden="1" customHeight="1">
      <c r="A776" s="137"/>
      <c r="B776" s="197">
        <f t="shared" si="12"/>
        <v>766</v>
      </c>
      <c r="C776" s="30" t="s">
        <v>202</v>
      </c>
      <c r="D776" s="30" t="s">
        <v>225</v>
      </c>
      <c r="E776" s="234" t="s">
        <v>1109</v>
      </c>
      <c r="F776" s="235" t="s">
        <v>1249</v>
      </c>
      <c r="G776" s="476"/>
      <c r="H776" s="236" t="s">
        <v>4384</v>
      </c>
      <c r="I776" s="236">
        <v>1</v>
      </c>
      <c r="J776" s="236">
        <v>1</v>
      </c>
      <c r="K776" s="355" t="s">
        <v>1373</v>
      </c>
      <c r="L776" s="356">
        <v>44495</v>
      </c>
      <c r="M776" s="357" t="s">
        <v>204</v>
      </c>
      <c r="N776" s="416">
        <v>120000000</v>
      </c>
      <c r="O776" s="416">
        <v>120000000</v>
      </c>
      <c r="P776" s="358"/>
      <c r="Q776" s="320"/>
      <c r="R776" s="168"/>
      <c r="S776" s="168"/>
      <c r="T776" s="287"/>
      <c r="U776" s="264"/>
      <c r="V776" s="198"/>
    </row>
    <row r="777" spans="1:22" s="90" customFormat="1" ht="19.5" hidden="1" customHeight="1">
      <c r="A777" s="137"/>
      <c r="B777" s="197">
        <f t="shared" si="12"/>
        <v>767</v>
      </c>
      <c r="C777" s="30" t="s">
        <v>202</v>
      </c>
      <c r="D777" s="30" t="s">
        <v>225</v>
      </c>
      <c r="E777" s="234" t="s">
        <v>1110</v>
      </c>
      <c r="F777" s="235" t="s">
        <v>1249</v>
      </c>
      <c r="G777" s="476"/>
      <c r="H777" s="236" t="s">
        <v>4454</v>
      </c>
      <c r="I777" s="236">
        <v>1</v>
      </c>
      <c r="J777" s="236">
        <v>1</v>
      </c>
      <c r="K777" s="355" t="s">
        <v>1373</v>
      </c>
      <c r="L777" s="356">
        <v>43703</v>
      </c>
      <c r="M777" s="357" t="s">
        <v>204</v>
      </c>
      <c r="N777" s="416">
        <v>120000000</v>
      </c>
      <c r="O777" s="416">
        <v>120000000</v>
      </c>
      <c r="P777" s="358"/>
      <c r="Q777" s="320"/>
      <c r="R777" s="168"/>
      <c r="S777" s="168"/>
      <c r="T777" s="287"/>
      <c r="U777" s="264"/>
      <c r="V777" s="198"/>
    </row>
    <row r="778" spans="1:22" s="90" customFormat="1" ht="19.5" hidden="1" customHeight="1">
      <c r="A778" s="137"/>
      <c r="B778" s="197">
        <f t="shared" si="12"/>
        <v>768</v>
      </c>
      <c r="C778" s="30" t="s">
        <v>202</v>
      </c>
      <c r="D778" s="30" t="s">
        <v>225</v>
      </c>
      <c r="E778" s="234" t="s">
        <v>1111</v>
      </c>
      <c r="F778" s="235" t="s">
        <v>1235</v>
      </c>
      <c r="G778" s="476"/>
      <c r="H778" s="236" t="s">
        <v>4872</v>
      </c>
      <c r="I778" s="236">
        <v>1</v>
      </c>
      <c r="J778" s="236">
        <v>1</v>
      </c>
      <c r="K778" s="355" t="s">
        <v>3856</v>
      </c>
      <c r="L778" s="356">
        <v>40469</v>
      </c>
      <c r="M778" s="357" t="s">
        <v>204</v>
      </c>
      <c r="N778" s="416">
        <v>288200000</v>
      </c>
      <c r="O778" s="416">
        <v>288200000</v>
      </c>
      <c r="P778" s="358"/>
      <c r="Q778" s="320"/>
      <c r="R778" s="168"/>
      <c r="S778" s="168"/>
      <c r="T778" s="287"/>
      <c r="U778" s="264"/>
      <c r="V778" s="198"/>
    </row>
    <row r="779" spans="1:22" s="90" customFormat="1" ht="19.5" hidden="1" customHeight="1">
      <c r="A779" s="137"/>
      <c r="B779" s="197">
        <f t="shared" ref="B779:B842" si="13">ROW()-10</f>
        <v>769</v>
      </c>
      <c r="C779" s="30" t="s">
        <v>202</v>
      </c>
      <c r="D779" s="30" t="s">
        <v>225</v>
      </c>
      <c r="E779" s="234" t="s">
        <v>1111</v>
      </c>
      <c r="F779" s="235" t="s">
        <v>1235</v>
      </c>
      <c r="G779" s="476"/>
      <c r="H779" s="236" t="s">
        <v>4872</v>
      </c>
      <c r="I779" s="236">
        <v>1</v>
      </c>
      <c r="J779" s="236">
        <v>2</v>
      </c>
      <c r="K779" s="355" t="s">
        <v>1373</v>
      </c>
      <c r="L779" s="356">
        <v>44510</v>
      </c>
      <c r="M779" s="357" t="s">
        <v>204</v>
      </c>
      <c r="N779" s="416">
        <v>120000000</v>
      </c>
      <c r="O779" s="416">
        <v>120000000</v>
      </c>
      <c r="P779" s="358"/>
      <c r="Q779" s="320"/>
      <c r="R779" s="168"/>
      <c r="S779" s="168"/>
      <c r="T779" s="287"/>
      <c r="U779" s="264"/>
      <c r="V779" s="198"/>
    </row>
    <row r="780" spans="1:22" s="90" customFormat="1" ht="19.5" hidden="1" customHeight="1">
      <c r="A780" s="137"/>
      <c r="B780" s="197">
        <f t="shared" si="13"/>
        <v>770</v>
      </c>
      <c r="C780" s="30" t="s">
        <v>202</v>
      </c>
      <c r="D780" s="30" t="s">
        <v>225</v>
      </c>
      <c r="E780" s="234" t="s">
        <v>1112</v>
      </c>
      <c r="F780" s="235" t="s">
        <v>1266</v>
      </c>
      <c r="G780" s="476"/>
      <c r="H780" s="236" t="s">
        <v>4880</v>
      </c>
      <c r="I780" s="236">
        <v>1</v>
      </c>
      <c r="J780" s="236">
        <v>1</v>
      </c>
      <c r="K780" s="355" t="s">
        <v>3856</v>
      </c>
      <c r="L780" s="356">
        <v>43984</v>
      </c>
      <c r="M780" s="357" t="s">
        <v>204</v>
      </c>
      <c r="N780" s="416">
        <v>176000000</v>
      </c>
      <c r="O780" s="416">
        <v>176000000</v>
      </c>
      <c r="P780" s="358"/>
      <c r="Q780" s="320"/>
      <c r="R780" s="168"/>
      <c r="S780" s="168"/>
      <c r="T780" s="287"/>
      <c r="U780" s="264"/>
      <c r="V780" s="198"/>
    </row>
    <row r="781" spans="1:22" s="90" customFormat="1" ht="19.5" hidden="1" customHeight="1">
      <c r="A781" s="137"/>
      <c r="B781" s="197">
        <f t="shared" si="13"/>
        <v>771</v>
      </c>
      <c r="C781" s="30" t="s">
        <v>202</v>
      </c>
      <c r="D781" s="30" t="s">
        <v>225</v>
      </c>
      <c r="E781" s="234" t="s">
        <v>1112</v>
      </c>
      <c r="F781" s="235" t="s">
        <v>1266</v>
      </c>
      <c r="G781" s="476"/>
      <c r="H781" s="236" t="s">
        <v>4880</v>
      </c>
      <c r="I781" s="236">
        <v>1</v>
      </c>
      <c r="J781" s="236">
        <v>2</v>
      </c>
      <c r="K781" s="355" t="s">
        <v>1373</v>
      </c>
      <c r="L781" s="356">
        <v>44200</v>
      </c>
      <c r="M781" s="357" t="s">
        <v>204</v>
      </c>
      <c r="N781" s="416">
        <v>48000000</v>
      </c>
      <c r="O781" s="416">
        <v>48000000</v>
      </c>
      <c r="P781" s="358"/>
      <c r="Q781" s="320"/>
      <c r="R781" s="168"/>
      <c r="S781" s="168"/>
      <c r="T781" s="287"/>
      <c r="U781" s="264"/>
      <c r="V781" s="198"/>
    </row>
    <row r="782" spans="1:22" s="90" customFormat="1" ht="19.5" hidden="1" customHeight="1">
      <c r="A782" s="137"/>
      <c r="B782" s="197">
        <f t="shared" si="13"/>
        <v>772</v>
      </c>
      <c r="C782" s="30" t="s">
        <v>202</v>
      </c>
      <c r="D782" s="30" t="s">
        <v>225</v>
      </c>
      <c r="E782" s="234" t="s">
        <v>1112</v>
      </c>
      <c r="F782" s="235" t="s">
        <v>1266</v>
      </c>
      <c r="G782" s="476"/>
      <c r="H782" s="236" t="s">
        <v>4880</v>
      </c>
      <c r="I782" s="236">
        <v>1</v>
      </c>
      <c r="J782" s="236">
        <v>3</v>
      </c>
      <c r="K782" s="355" t="s">
        <v>1373</v>
      </c>
      <c r="L782" s="356">
        <v>45043</v>
      </c>
      <c r="M782" s="357" t="s">
        <v>204</v>
      </c>
      <c r="N782" s="416">
        <v>75600000</v>
      </c>
      <c r="O782" s="416">
        <v>75600000</v>
      </c>
      <c r="P782" s="358"/>
      <c r="Q782" s="320"/>
      <c r="R782" s="168"/>
      <c r="S782" s="168"/>
      <c r="T782" s="287"/>
      <c r="U782" s="264"/>
      <c r="V782" s="198"/>
    </row>
    <row r="783" spans="1:22" s="90" customFormat="1" ht="19.5" hidden="1" customHeight="1">
      <c r="A783" s="137"/>
      <c r="B783" s="197">
        <f t="shared" si="13"/>
        <v>773</v>
      </c>
      <c r="C783" s="30" t="s">
        <v>202</v>
      </c>
      <c r="D783" s="30" t="s">
        <v>225</v>
      </c>
      <c r="E783" s="234" t="s">
        <v>1113</v>
      </c>
      <c r="F783" s="235" t="s">
        <v>1286</v>
      </c>
      <c r="G783" s="476"/>
      <c r="H783" s="236" t="s">
        <v>5031</v>
      </c>
      <c r="I783" s="236">
        <v>1</v>
      </c>
      <c r="J783" s="236">
        <v>1</v>
      </c>
      <c r="K783" s="355" t="s">
        <v>1373</v>
      </c>
      <c r="L783" s="356">
        <v>42122</v>
      </c>
      <c r="M783" s="357" t="s">
        <v>204</v>
      </c>
      <c r="N783" s="416">
        <v>151200000</v>
      </c>
      <c r="O783" s="416">
        <v>151200000</v>
      </c>
      <c r="P783" s="358"/>
      <c r="Q783" s="320"/>
      <c r="R783" s="168"/>
      <c r="S783" s="168"/>
      <c r="T783" s="287"/>
      <c r="U783" s="264"/>
      <c r="V783" s="198"/>
    </row>
    <row r="784" spans="1:22" s="90" customFormat="1" ht="19.5" hidden="1" customHeight="1">
      <c r="A784" s="137"/>
      <c r="B784" s="197">
        <f t="shared" si="13"/>
        <v>774</v>
      </c>
      <c r="C784" s="30" t="s">
        <v>202</v>
      </c>
      <c r="D784" s="30" t="s">
        <v>225</v>
      </c>
      <c r="E784" s="234" t="s">
        <v>1114</v>
      </c>
      <c r="F784" s="235" t="s">
        <v>1221</v>
      </c>
      <c r="G784" s="476"/>
      <c r="H784" s="236" t="s">
        <v>5055</v>
      </c>
      <c r="I784" s="236">
        <v>1</v>
      </c>
      <c r="J784" s="236">
        <v>1</v>
      </c>
      <c r="K784" s="355" t="s">
        <v>1373</v>
      </c>
      <c r="L784" s="356">
        <v>42900</v>
      </c>
      <c r="M784" s="357" t="s">
        <v>204</v>
      </c>
      <c r="N784" s="416">
        <v>131000000</v>
      </c>
      <c r="O784" s="416">
        <v>131000000</v>
      </c>
      <c r="P784" s="358"/>
      <c r="Q784" s="320"/>
      <c r="R784" s="168"/>
      <c r="S784" s="168"/>
      <c r="T784" s="287"/>
      <c r="U784" s="264"/>
      <c r="V784" s="198"/>
    </row>
    <row r="785" spans="1:22" s="90" customFormat="1" ht="19.5" hidden="1" customHeight="1">
      <c r="A785" s="137"/>
      <c r="B785" s="197">
        <f t="shared" si="13"/>
        <v>775</v>
      </c>
      <c r="C785" s="30" t="s">
        <v>202</v>
      </c>
      <c r="D785" s="30" t="s">
        <v>225</v>
      </c>
      <c r="E785" s="234" t="s">
        <v>1115</v>
      </c>
      <c r="F785" s="235" t="s">
        <v>1279</v>
      </c>
      <c r="G785" s="476"/>
      <c r="H785" s="236" t="s">
        <v>4884</v>
      </c>
      <c r="I785" s="236">
        <v>1</v>
      </c>
      <c r="J785" s="236">
        <v>1</v>
      </c>
      <c r="K785" s="355" t="s">
        <v>1373</v>
      </c>
      <c r="L785" s="356">
        <v>41225</v>
      </c>
      <c r="M785" s="357" t="s">
        <v>204</v>
      </c>
      <c r="N785" s="416">
        <v>120000000</v>
      </c>
      <c r="O785" s="416">
        <v>120000000</v>
      </c>
      <c r="P785" s="358"/>
      <c r="Q785" s="320"/>
      <c r="R785" s="168"/>
      <c r="S785" s="168"/>
      <c r="T785" s="287"/>
      <c r="U785" s="264"/>
      <c r="V785" s="198"/>
    </row>
    <row r="786" spans="1:22" s="90" customFormat="1" ht="19.5" hidden="1" customHeight="1">
      <c r="A786" s="137"/>
      <c r="B786" s="197">
        <f t="shared" si="13"/>
        <v>776</v>
      </c>
      <c r="C786" s="30" t="s">
        <v>202</v>
      </c>
      <c r="D786" s="30" t="s">
        <v>225</v>
      </c>
      <c r="E786" s="234" t="s">
        <v>1115</v>
      </c>
      <c r="F786" s="235" t="s">
        <v>1279</v>
      </c>
      <c r="G786" s="476"/>
      <c r="H786" s="236" t="s">
        <v>4884</v>
      </c>
      <c r="I786" s="236">
        <v>1</v>
      </c>
      <c r="J786" s="236">
        <v>2</v>
      </c>
      <c r="K786" s="355" t="s">
        <v>1373</v>
      </c>
      <c r="L786" s="356">
        <v>43803</v>
      </c>
      <c r="M786" s="357" t="s">
        <v>204</v>
      </c>
      <c r="N786" s="416">
        <v>25500000</v>
      </c>
      <c r="O786" s="416">
        <v>25500000</v>
      </c>
      <c r="P786" s="358"/>
      <c r="Q786" s="320"/>
      <c r="R786" s="168"/>
      <c r="S786" s="168"/>
      <c r="T786" s="287"/>
      <c r="U786" s="264"/>
      <c r="V786" s="198"/>
    </row>
    <row r="787" spans="1:22" s="90" customFormat="1" ht="19.5" hidden="1" customHeight="1">
      <c r="A787" s="137"/>
      <c r="B787" s="197">
        <f t="shared" si="13"/>
        <v>777</v>
      </c>
      <c r="C787" s="30" t="s">
        <v>202</v>
      </c>
      <c r="D787" s="30" t="s">
        <v>225</v>
      </c>
      <c r="E787" s="234" t="s">
        <v>1116</v>
      </c>
      <c r="F787" s="235" t="s">
        <v>1221</v>
      </c>
      <c r="G787" s="476"/>
      <c r="H787" s="236" t="s">
        <v>4495</v>
      </c>
      <c r="I787" s="236">
        <v>1</v>
      </c>
      <c r="J787" s="236">
        <v>1</v>
      </c>
      <c r="K787" s="355" t="s">
        <v>1373</v>
      </c>
      <c r="L787" s="356">
        <v>40291</v>
      </c>
      <c r="M787" s="357" t="s">
        <v>204</v>
      </c>
      <c r="N787" s="416">
        <v>144000000</v>
      </c>
      <c r="O787" s="416">
        <v>144000000</v>
      </c>
      <c r="P787" s="358"/>
      <c r="Q787" s="320"/>
      <c r="R787" s="168"/>
      <c r="S787" s="168"/>
      <c r="T787" s="287"/>
      <c r="U787" s="264"/>
      <c r="V787" s="198"/>
    </row>
    <row r="788" spans="1:22" s="90" customFormat="1" ht="19.5" hidden="1" customHeight="1">
      <c r="A788" s="137"/>
      <c r="B788" s="197">
        <f t="shared" si="13"/>
        <v>778</v>
      </c>
      <c r="C788" s="30" t="s">
        <v>202</v>
      </c>
      <c r="D788" s="30" t="s">
        <v>225</v>
      </c>
      <c r="E788" s="234" t="s">
        <v>1117</v>
      </c>
      <c r="F788" s="235" t="s">
        <v>1225</v>
      </c>
      <c r="G788" s="476"/>
      <c r="H788" s="236" t="s">
        <v>5117</v>
      </c>
      <c r="I788" s="236">
        <v>1</v>
      </c>
      <c r="J788" s="236">
        <v>1</v>
      </c>
      <c r="K788" s="355" t="s">
        <v>1373</v>
      </c>
      <c r="L788" s="356">
        <v>44770</v>
      </c>
      <c r="M788" s="357" t="s">
        <v>204</v>
      </c>
      <c r="N788" s="416">
        <v>110000000</v>
      </c>
      <c r="O788" s="416">
        <v>110000000</v>
      </c>
      <c r="P788" s="358"/>
      <c r="Q788" s="320"/>
      <c r="R788" s="168"/>
      <c r="S788" s="168"/>
      <c r="T788" s="287"/>
      <c r="U788" s="264"/>
      <c r="V788" s="198"/>
    </row>
    <row r="789" spans="1:22" s="90" customFormat="1" ht="19.5" hidden="1" customHeight="1">
      <c r="A789" s="137"/>
      <c r="B789" s="197">
        <f t="shared" si="13"/>
        <v>779</v>
      </c>
      <c r="C789" s="30" t="s">
        <v>202</v>
      </c>
      <c r="D789" s="30" t="s">
        <v>225</v>
      </c>
      <c r="E789" s="234" t="s">
        <v>1118</v>
      </c>
      <c r="F789" s="235" t="s">
        <v>1229</v>
      </c>
      <c r="G789" s="476"/>
      <c r="H789" s="236" t="s">
        <v>4219</v>
      </c>
      <c r="I789" s="236">
        <v>1</v>
      </c>
      <c r="J789" s="236">
        <v>1</v>
      </c>
      <c r="K789" s="355" t="s">
        <v>1373</v>
      </c>
      <c r="L789" s="356">
        <v>44167</v>
      </c>
      <c r="M789" s="357" t="s">
        <v>204</v>
      </c>
      <c r="N789" s="416">
        <v>112800000</v>
      </c>
      <c r="O789" s="416">
        <v>112800000</v>
      </c>
      <c r="P789" s="358"/>
      <c r="Q789" s="320"/>
      <c r="R789" s="168"/>
      <c r="S789" s="168"/>
      <c r="T789" s="287"/>
      <c r="U789" s="264"/>
      <c r="V789" s="198"/>
    </row>
    <row r="790" spans="1:22" s="90" customFormat="1" ht="19.5" hidden="1" customHeight="1">
      <c r="A790" s="137"/>
      <c r="B790" s="197">
        <f t="shared" si="13"/>
        <v>780</v>
      </c>
      <c r="C790" s="30" t="s">
        <v>202</v>
      </c>
      <c r="D790" s="30" t="s">
        <v>225</v>
      </c>
      <c r="E790" s="234" t="s">
        <v>1119</v>
      </c>
      <c r="F790" s="235" t="s">
        <v>1224</v>
      </c>
      <c r="G790" s="476"/>
      <c r="H790" s="236" t="s">
        <v>5121</v>
      </c>
      <c r="I790" s="236">
        <v>1</v>
      </c>
      <c r="J790" s="236">
        <v>1</v>
      </c>
      <c r="K790" s="355" t="s">
        <v>1373</v>
      </c>
      <c r="L790" s="356">
        <v>42955</v>
      </c>
      <c r="M790" s="357" t="s">
        <v>204</v>
      </c>
      <c r="N790" s="416">
        <v>130800000</v>
      </c>
      <c r="O790" s="416">
        <v>130800000</v>
      </c>
      <c r="P790" s="358"/>
      <c r="Q790" s="320"/>
      <c r="R790" s="168"/>
      <c r="S790" s="168"/>
      <c r="T790" s="287"/>
      <c r="U790" s="264"/>
      <c r="V790" s="198"/>
    </row>
    <row r="791" spans="1:22" s="90" customFormat="1" ht="19.5" hidden="1" customHeight="1">
      <c r="A791" s="137"/>
      <c r="B791" s="197">
        <f t="shared" si="13"/>
        <v>781</v>
      </c>
      <c r="C791" s="30" t="s">
        <v>202</v>
      </c>
      <c r="D791" s="30" t="s">
        <v>225</v>
      </c>
      <c r="E791" s="234" t="s">
        <v>1120</v>
      </c>
      <c r="F791" s="235" t="s">
        <v>1229</v>
      </c>
      <c r="G791" s="476"/>
      <c r="H791" s="236" t="s">
        <v>4855</v>
      </c>
      <c r="I791" s="236">
        <v>1</v>
      </c>
      <c r="J791" s="236">
        <v>1</v>
      </c>
      <c r="K791" s="355" t="s">
        <v>1373</v>
      </c>
      <c r="L791" s="356">
        <v>45195</v>
      </c>
      <c r="M791" s="357" t="s">
        <v>204</v>
      </c>
      <c r="N791" s="416">
        <v>111600000</v>
      </c>
      <c r="O791" s="416">
        <v>111600000</v>
      </c>
      <c r="P791" s="358"/>
      <c r="Q791" s="320"/>
      <c r="R791" s="168"/>
      <c r="S791" s="168"/>
      <c r="T791" s="287"/>
      <c r="U791" s="264"/>
      <c r="V791" s="198"/>
    </row>
    <row r="792" spans="1:22" s="90" customFormat="1" ht="19.5" hidden="1" customHeight="1">
      <c r="A792" s="137"/>
      <c r="B792" s="197">
        <f t="shared" si="13"/>
        <v>782</v>
      </c>
      <c r="C792" s="30" t="s">
        <v>202</v>
      </c>
      <c r="D792" s="30" t="s">
        <v>225</v>
      </c>
      <c r="E792" s="234" t="s">
        <v>1121</v>
      </c>
      <c r="F792" s="235" t="s">
        <v>1218</v>
      </c>
      <c r="G792" s="476"/>
      <c r="H792" s="236" t="s">
        <v>4795</v>
      </c>
      <c r="I792" s="236">
        <v>1</v>
      </c>
      <c r="J792" s="236">
        <v>1</v>
      </c>
      <c r="K792" s="355" t="s">
        <v>1373</v>
      </c>
      <c r="L792" s="356">
        <v>42096</v>
      </c>
      <c r="M792" s="357" t="s">
        <v>204</v>
      </c>
      <c r="N792" s="416">
        <v>104500000</v>
      </c>
      <c r="O792" s="416">
        <v>104500000</v>
      </c>
      <c r="P792" s="358"/>
      <c r="Q792" s="320"/>
      <c r="R792" s="168"/>
      <c r="S792" s="168"/>
      <c r="T792" s="287"/>
      <c r="U792" s="264"/>
      <c r="V792" s="198"/>
    </row>
    <row r="793" spans="1:22" s="90" customFormat="1" ht="19.5" hidden="1" customHeight="1">
      <c r="A793" s="137"/>
      <c r="B793" s="197">
        <f t="shared" si="13"/>
        <v>783</v>
      </c>
      <c r="C793" s="30" t="s">
        <v>202</v>
      </c>
      <c r="D793" s="30" t="s">
        <v>225</v>
      </c>
      <c r="E793" s="234" t="s">
        <v>1122</v>
      </c>
      <c r="F793" s="235" t="s">
        <v>1225</v>
      </c>
      <c r="G793" s="476"/>
      <c r="H793" s="236" t="s">
        <v>3991</v>
      </c>
      <c r="I793" s="236">
        <v>1</v>
      </c>
      <c r="J793" s="236">
        <v>1</v>
      </c>
      <c r="K793" s="355" t="s">
        <v>1373</v>
      </c>
      <c r="L793" s="356">
        <v>39260</v>
      </c>
      <c r="M793" s="357" t="s">
        <v>204</v>
      </c>
      <c r="N793" s="416">
        <v>108000000</v>
      </c>
      <c r="O793" s="416">
        <v>108000000</v>
      </c>
      <c r="P793" s="358"/>
      <c r="Q793" s="320"/>
      <c r="R793" s="168"/>
      <c r="S793" s="168"/>
      <c r="T793" s="287"/>
      <c r="U793" s="264"/>
      <c r="V793" s="198"/>
    </row>
    <row r="794" spans="1:22" s="90" customFormat="1" ht="19.5" hidden="1" customHeight="1">
      <c r="A794" s="137"/>
      <c r="B794" s="197">
        <f t="shared" si="13"/>
        <v>784</v>
      </c>
      <c r="C794" s="30" t="s">
        <v>202</v>
      </c>
      <c r="D794" s="30" t="s">
        <v>225</v>
      </c>
      <c r="E794" s="234" t="s">
        <v>1123</v>
      </c>
      <c r="F794" s="235" t="s">
        <v>1225</v>
      </c>
      <c r="G794" s="476"/>
      <c r="H794" s="236" t="s">
        <v>4142</v>
      </c>
      <c r="I794" s="236">
        <v>1</v>
      </c>
      <c r="J794" s="236">
        <v>1</v>
      </c>
      <c r="K794" s="355" t="s">
        <v>420</v>
      </c>
      <c r="L794" s="356">
        <v>43585</v>
      </c>
      <c r="M794" s="357" t="s">
        <v>204</v>
      </c>
      <c r="N794" s="416">
        <v>58000000</v>
      </c>
      <c r="O794" s="416">
        <v>58000000</v>
      </c>
      <c r="P794" s="358"/>
      <c r="Q794" s="320"/>
      <c r="R794" s="168"/>
      <c r="S794" s="168"/>
      <c r="T794" s="287"/>
      <c r="U794" s="264"/>
      <c r="V794" s="198"/>
    </row>
    <row r="795" spans="1:22" s="90" customFormat="1" ht="19.5" hidden="1" customHeight="1">
      <c r="A795" s="137"/>
      <c r="B795" s="197">
        <f t="shared" si="13"/>
        <v>785</v>
      </c>
      <c r="C795" s="30" t="s">
        <v>202</v>
      </c>
      <c r="D795" s="30" t="s">
        <v>225</v>
      </c>
      <c r="E795" s="234" t="s">
        <v>1123</v>
      </c>
      <c r="F795" s="235" t="s">
        <v>1225</v>
      </c>
      <c r="G795" s="476"/>
      <c r="H795" s="236" t="s">
        <v>4142</v>
      </c>
      <c r="I795" s="236">
        <v>1</v>
      </c>
      <c r="J795" s="236">
        <v>2</v>
      </c>
      <c r="K795" s="355" t="s">
        <v>1373</v>
      </c>
      <c r="L795" s="356">
        <v>44363</v>
      </c>
      <c r="M795" s="357" t="s">
        <v>204</v>
      </c>
      <c r="N795" s="416">
        <v>120000000</v>
      </c>
      <c r="O795" s="416">
        <v>120000000</v>
      </c>
      <c r="P795" s="358"/>
      <c r="Q795" s="320"/>
      <c r="R795" s="168"/>
      <c r="S795" s="168"/>
      <c r="T795" s="287"/>
      <c r="U795" s="264"/>
      <c r="V795" s="198"/>
    </row>
    <row r="796" spans="1:22" s="90" customFormat="1" ht="19.5" hidden="1" customHeight="1">
      <c r="A796" s="137"/>
      <c r="B796" s="197">
        <f t="shared" si="13"/>
        <v>786</v>
      </c>
      <c r="C796" s="30" t="s">
        <v>202</v>
      </c>
      <c r="D796" s="30" t="s">
        <v>225</v>
      </c>
      <c r="E796" s="234" t="s">
        <v>1124</v>
      </c>
      <c r="F796" s="235" t="s">
        <v>1221</v>
      </c>
      <c r="G796" s="476"/>
      <c r="H796" s="236" t="s">
        <v>4042</v>
      </c>
      <c r="I796" s="236">
        <v>1</v>
      </c>
      <c r="J796" s="236">
        <v>1</v>
      </c>
      <c r="K796" s="355" t="s">
        <v>1373</v>
      </c>
      <c r="L796" s="356">
        <v>42305</v>
      </c>
      <c r="M796" s="357" t="s">
        <v>204</v>
      </c>
      <c r="N796" s="416">
        <v>134400000</v>
      </c>
      <c r="O796" s="416">
        <v>134400000</v>
      </c>
      <c r="P796" s="358"/>
      <c r="Q796" s="320"/>
      <c r="R796" s="168"/>
      <c r="S796" s="168"/>
      <c r="T796" s="287"/>
      <c r="U796" s="264"/>
      <c r="V796" s="198"/>
    </row>
    <row r="797" spans="1:22" s="90" customFormat="1" ht="19.5" hidden="1" customHeight="1">
      <c r="A797" s="137"/>
      <c r="B797" s="197">
        <f t="shared" si="13"/>
        <v>787</v>
      </c>
      <c r="C797" s="30" t="s">
        <v>202</v>
      </c>
      <c r="D797" s="30" t="s">
        <v>225</v>
      </c>
      <c r="E797" s="234" t="s">
        <v>1125</v>
      </c>
      <c r="F797" s="235" t="s">
        <v>1287</v>
      </c>
      <c r="G797" s="476"/>
      <c r="H797" s="236" t="s">
        <v>4773</v>
      </c>
      <c r="I797" s="236">
        <v>1</v>
      </c>
      <c r="J797" s="236">
        <v>1</v>
      </c>
      <c r="K797" s="355" t="s">
        <v>1373</v>
      </c>
      <c r="L797" s="356">
        <v>42060</v>
      </c>
      <c r="M797" s="357" t="s">
        <v>204</v>
      </c>
      <c r="N797" s="416">
        <v>134400000</v>
      </c>
      <c r="O797" s="416">
        <v>134400000</v>
      </c>
      <c r="P797" s="358"/>
      <c r="Q797" s="320"/>
      <c r="R797" s="168"/>
      <c r="S797" s="168"/>
      <c r="T797" s="287"/>
      <c r="U797" s="264"/>
      <c r="V797" s="198"/>
    </row>
    <row r="798" spans="1:22" s="90" customFormat="1" ht="19.5" hidden="1" customHeight="1">
      <c r="A798" s="137"/>
      <c r="B798" s="197">
        <f t="shared" si="13"/>
        <v>788</v>
      </c>
      <c r="C798" s="30" t="s">
        <v>202</v>
      </c>
      <c r="D798" s="30" t="s">
        <v>225</v>
      </c>
      <c r="E798" s="234" t="s">
        <v>1126</v>
      </c>
      <c r="F798" s="235" t="s">
        <v>1265</v>
      </c>
      <c r="G798" s="476"/>
      <c r="H798" s="236" t="s">
        <v>4132</v>
      </c>
      <c r="I798" s="236">
        <v>1</v>
      </c>
      <c r="J798" s="236">
        <v>1</v>
      </c>
      <c r="K798" s="355" t="s">
        <v>1373</v>
      </c>
      <c r="L798" s="356">
        <v>41927</v>
      </c>
      <c r="M798" s="357" t="s">
        <v>204</v>
      </c>
      <c r="N798" s="416">
        <v>104400000</v>
      </c>
      <c r="O798" s="416">
        <v>104400000</v>
      </c>
      <c r="P798" s="358"/>
      <c r="Q798" s="320"/>
      <c r="R798" s="168"/>
      <c r="S798" s="168"/>
      <c r="T798" s="287"/>
      <c r="U798" s="264"/>
      <c r="V798" s="198"/>
    </row>
    <row r="799" spans="1:22" s="90" customFormat="1" ht="19.5" hidden="1" customHeight="1">
      <c r="A799" s="137"/>
      <c r="B799" s="197">
        <f t="shared" si="13"/>
        <v>789</v>
      </c>
      <c r="C799" s="30" t="s">
        <v>202</v>
      </c>
      <c r="D799" s="30" t="s">
        <v>225</v>
      </c>
      <c r="E799" s="234" t="s">
        <v>1127</v>
      </c>
      <c r="F799" s="235" t="s">
        <v>1224</v>
      </c>
      <c r="G799" s="476"/>
      <c r="H799" s="236" t="s">
        <v>4650</v>
      </c>
      <c r="I799" s="236">
        <v>1</v>
      </c>
      <c r="J799" s="236">
        <v>1</v>
      </c>
      <c r="K799" s="355" t="s">
        <v>1373</v>
      </c>
      <c r="L799" s="356">
        <v>44560</v>
      </c>
      <c r="M799" s="357" t="s">
        <v>204</v>
      </c>
      <c r="N799" s="416">
        <v>103200000</v>
      </c>
      <c r="O799" s="416">
        <v>103200000</v>
      </c>
      <c r="P799" s="358"/>
      <c r="Q799" s="320"/>
      <c r="R799" s="168"/>
      <c r="S799" s="168"/>
      <c r="T799" s="287"/>
      <c r="U799" s="264"/>
      <c r="V799" s="198"/>
    </row>
    <row r="800" spans="1:22" s="90" customFormat="1" ht="19.5" hidden="1" customHeight="1">
      <c r="A800" s="137"/>
      <c r="B800" s="197">
        <f t="shared" si="13"/>
        <v>790</v>
      </c>
      <c r="C800" s="30" t="s">
        <v>202</v>
      </c>
      <c r="D800" s="30" t="s">
        <v>225</v>
      </c>
      <c r="E800" s="234" t="s">
        <v>1128</v>
      </c>
      <c r="F800" s="235" t="s">
        <v>1225</v>
      </c>
      <c r="G800" s="476"/>
      <c r="H800" s="236" t="s">
        <v>4901</v>
      </c>
      <c r="I800" s="236">
        <v>1</v>
      </c>
      <c r="J800" s="236">
        <v>1</v>
      </c>
      <c r="K800" s="355" t="s">
        <v>1373</v>
      </c>
      <c r="L800" s="356">
        <v>42013</v>
      </c>
      <c r="M800" s="357" t="s">
        <v>204</v>
      </c>
      <c r="N800" s="416">
        <v>132000000</v>
      </c>
      <c r="O800" s="416">
        <v>132000000</v>
      </c>
      <c r="P800" s="358"/>
      <c r="Q800" s="320"/>
      <c r="R800" s="168"/>
      <c r="S800" s="168"/>
      <c r="T800" s="287"/>
      <c r="U800" s="264"/>
      <c r="V800" s="198"/>
    </row>
    <row r="801" spans="1:22" s="90" customFormat="1" ht="19.5" hidden="1" customHeight="1">
      <c r="A801" s="137"/>
      <c r="B801" s="197">
        <f t="shared" si="13"/>
        <v>791</v>
      </c>
      <c r="C801" s="30" t="s">
        <v>202</v>
      </c>
      <c r="D801" s="30" t="s">
        <v>225</v>
      </c>
      <c r="E801" s="234" t="s">
        <v>1129</v>
      </c>
      <c r="F801" s="235" t="s">
        <v>1218</v>
      </c>
      <c r="G801" s="476"/>
      <c r="H801" s="236" t="s">
        <v>4108</v>
      </c>
      <c r="I801" s="236">
        <v>1</v>
      </c>
      <c r="J801" s="236">
        <v>1</v>
      </c>
      <c r="K801" s="355" t="s">
        <v>1373</v>
      </c>
      <c r="L801" s="356">
        <v>42887</v>
      </c>
      <c r="M801" s="357" t="s">
        <v>204</v>
      </c>
      <c r="N801" s="416">
        <v>120000000</v>
      </c>
      <c r="O801" s="416">
        <v>120000000</v>
      </c>
      <c r="P801" s="358"/>
      <c r="Q801" s="320"/>
      <c r="R801" s="168"/>
      <c r="S801" s="168"/>
      <c r="T801" s="287"/>
      <c r="U801" s="264"/>
      <c r="V801" s="198"/>
    </row>
    <row r="802" spans="1:22" s="90" customFormat="1" ht="19.5" hidden="1" customHeight="1">
      <c r="A802" s="137"/>
      <c r="B802" s="197">
        <f t="shared" si="13"/>
        <v>792</v>
      </c>
      <c r="C802" s="30" t="s">
        <v>202</v>
      </c>
      <c r="D802" s="30" t="s">
        <v>225</v>
      </c>
      <c r="E802" s="234" t="s">
        <v>1130</v>
      </c>
      <c r="F802" s="235" t="s">
        <v>1217</v>
      </c>
      <c r="G802" s="476"/>
      <c r="H802" s="236" t="s">
        <v>4801</v>
      </c>
      <c r="I802" s="236">
        <v>1</v>
      </c>
      <c r="J802" s="236">
        <v>1</v>
      </c>
      <c r="K802" s="355" t="s">
        <v>1373</v>
      </c>
      <c r="L802" s="356">
        <v>41239</v>
      </c>
      <c r="M802" s="357" t="s">
        <v>204</v>
      </c>
      <c r="N802" s="416">
        <v>108000000</v>
      </c>
      <c r="O802" s="416">
        <v>108000000</v>
      </c>
      <c r="P802" s="358"/>
      <c r="Q802" s="320"/>
      <c r="R802" s="168"/>
      <c r="S802" s="168"/>
      <c r="T802" s="287"/>
      <c r="U802" s="264"/>
      <c r="V802" s="198"/>
    </row>
    <row r="803" spans="1:22" s="90" customFormat="1" ht="19.5" hidden="1" customHeight="1">
      <c r="A803" s="137"/>
      <c r="B803" s="197">
        <f t="shared" si="13"/>
        <v>793</v>
      </c>
      <c r="C803" s="30" t="s">
        <v>202</v>
      </c>
      <c r="D803" s="30" t="s">
        <v>225</v>
      </c>
      <c r="E803" s="234" t="s">
        <v>1131</v>
      </c>
      <c r="F803" s="235" t="s">
        <v>1223</v>
      </c>
      <c r="G803" s="476"/>
      <c r="H803" s="236" t="s">
        <v>4272</v>
      </c>
      <c r="I803" s="236">
        <v>1</v>
      </c>
      <c r="J803" s="236">
        <v>1</v>
      </c>
      <c r="K803" s="355" t="s">
        <v>1373</v>
      </c>
      <c r="L803" s="356">
        <v>41781</v>
      </c>
      <c r="M803" s="357" t="s">
        <v>204</v>
      </c>
      <c r="N803" s="416">
        <v>151200000</v>
      </c>
      <c r="O803" s="416">
        <v>151200000</v>
      </c>
      <c r="P803" s="358"/>
      <c r="Q803" s="320"/>
      <c r="R803" s="168"/>
      <c r="S803" s="168"/>
      <c r="T803" s="287"/>
      <c r="U803" s="264"/>
      <c r="V803" s="198"/>
    </row>
    <row r="804" spans="1:22" s="90" customFormat="1" ht="19.5" hidden="1" customHeight="1">
      <c r="A804" s="137"/>
      <c r="B804" s="197">
        <f t="shared" si="13"/>
        <v>794</v>
      </c>
      <c r="C804" s="30" t="s">
        <v>202</v>
      </c>
      <c r="D804" s="30" t="s">
        <v>225</v>
      </c>
      <c r="E804" s="234" t="s">
        <v>1132</v>
      </c>
      <c r="F804" s="235" t="s">
        <v>1217</v>
      </c>
      <c r="G804" s="476"/>
      <c r="H804" s="236" t="s">
        <v>4258</v>
      </c>
      <c r="I804" s="236">
        <v>1</v>
      </c>
      <c r="J804" s="236">
        <v>1</v>
      </c>
      <c r="K804" s="355" t="s">
        <v>1373</v>
      </c>
      <c r="L804" s="356">
        <v>44433</v>
      </c>
      <c r="M804" s="357" t="s">
        <v>204</v>
      </c>
      <c r="N804" s="416">
        <v>120000000</v>
      </c>
      <c r="O804" s="416">
        <v>120000000</v>
      </c>
      <c r="P804" s="358"/>
      <c r="Q804" s="320"/>
      <c r="R804" s="168"/>
      <c r="S804" s="168"/>
      <c r="T804" s="287"/>
      <c r="U804" s="264"/>
      <c r="V804" s="198"/>
    </row>
    <row r="805" spans="1:22" s="90" customFormat="1" ht="19.5" hidden="1" customHeight="1">
      <c r="A805" s="137"/>
      <c r="B805" s="197">
        <f t="shared" si="13"/>
        <v>795</v>
      </c>
      <c r="C805" s="30" t="s">
        <v>202</v>
      </c>
      <c r="D805" s="30" t="s">
        <v>225</v>
      </c>
      <c r="E805" s="234" t="s">
        <v>1133</v>
      </c>
      <c r="F805" s="235" t="s">
        <v>1229</v>
      </c>
      <c r="G805" s="476"/>
      <c r="H805" s="236" t="s">
        <v>4151</v>
      </c>
      <c r="I805" s="236">
        <v>1</v>
      </c>
      <c r="J805" s="236">
        <v>1</v>
      </c>
      <c r="K805" s="355" t="s">
        <v>421</v>
      </c>
      <c r="L805" s="356">
        <v>41634</v>
      </c>
      <c r="M805" s="357" t="s">
        <v>204</v>
      </c>
      <c r="N805" s="416">
        <v>155000000</v>
      </c>
      <c r="O805" s="416">
        <v>155000000</v>
      </c>
      <c r="P805" s="358"/>
      <c r="Q805" s="320"/>
      <c r="R805" s="168"/>
      <c r="S805" s="168"/>
      <c r="T805" s="287"/>
      <c r="U805" s="264"/>
      <c r="V805" s="198"/>
    </row>
    <row r="806" spans="1:22" s="90" customFormat="1" ht="19.5" hidden="1" customHeight="1">
      <c r="A806" s="137"/>
      <c r="B806" s="197">
        <f t="shared" si="13"/>
        <v>796</v>
      </c>
      <c r="C806" s="30" t="s">
        <v>202</v>
      </c>
      <c r="D806" s="30" t="s">
        <v>225</v>
      </c>
      <c r="E806" s="234" t="s">
        <v>1133</v>
      </c>
      <c r="F806" s="235" t="s">
        <v>1229</v>
      </c>
      <c r="G806" s="476"/>
      <c r="H806" s="236" t="s">
        <v>4151</v>
      </c>
      <c r="I806" s="236">
        <v>1</v>
      </c>
      <c r="J806" s="236">
        <v>2</v>
      </c>
      <c r="K806" s="355" t="s">
        <v>1373</v>
      </c>
      <c r="L806" s="356">
        <v>44784</v>
      </c>
      <c r="M806" s="357" t="s">
        <v>204</v>
      </c>
      <c r="N806" s="416">
        <v>108000000</v>
      </c>
      <c r="O806" s="416">
        <v>108000000</v>
      </c>
      <c r="P806" s="358"/>
      <c r="Q806" s="320"/>
      <c r="R806" s="168"/>
      <c r="S806" s="168"/>
      <c r="T806" s="287"/>
      <c r="U806" s="264"/>
      <c r="V806" s="198"/>
    </row>
    <row r="807" spans="1:22" s="90" customFormat="1" ht="19.5" hidden="1" customHeight="1">
      <c r="A807" s="137"/>
      <c r="B807" s="197">
        <f t="shared" si="13"/>
        <v>797</v>
      </c>
      <c r="C807" s="30" t="s">
        <v>202</v>
      </c>
      <c r="D807" s="30" t="s">
        <v>225</v>
      </c>
      <c r="E807" s="234" t="s">
        <v>1134</v>
      </c>
      <c r="F807" s="235" t="s">
        <v>1265</v>
      </c>
      <c r="G807" s="476"/>
      <c r="H807" s="236" t="s">
        <v>4474</v>
      </c>
      <c r="I807" s="236">
        <v>1</v>
      </c>
      <c r="J807" s="236">
        <v>1</v>
      </c>
      <c r="K807" s="355" t="s">
        <v>1373</v>
      </c>
      <c r="L807" s="356">
        <v>44446</v>
      </c>
      <c r="M807" s="357" t="s">
        <v>204</v>
      </c>
      <c r="N807" s="416">
        <v>93600000</v>
      </c>
      <c r="O807" s="416">
        <v>93600000</v>
      </c>
      <c r="P807" s="358"/>
      <c r="Q807" s="320"/>
      <c r="R807" s="168"/>
      <c r="S807" s="168"/>
      <c r="T807" s="287"/>
      <c r="U807" s="264"/>
      <c r="V807" s="198"/>
    </row>
    <row r="808" spans="1:22" s="90" customFormat="1" ht="19.5" hidden="1" customHeight="1">
      <c r="A808" s="137"/>
      <c r="B808" s="197">
        <f t="shared" si="13"/>
        <v>798</v>
      </c>
      <c r="C808" s="30" t="s">
        <v>202</v>
      </c>
      <c r="D808" s="30" t="s">
        <v>225</v>
      </c>
      <c r="E808" s="234" t="s">
        <v>1135</v>
      </c>
      <c r="F808" s="235" t="s">
        <v>1232</v>
      </c>
      <c r="G808" s="476"/>
      <c r="H808" s="236" t="s">
        <v>4563</v>
      </c>
      <c r="I808" s="236">
        <v>1</v>
      </c>
      <c r="J808" s="236">
        <v>1</v>
      </c>
      <c r="K808" s="355" t="s">
        <v>1373</v>
      </c>
      <c r="L808" s="356">
        <v>42341</v>
      </c>
      <c r="M808" s="357" t="s">
        <v>204</v>
      </c>
      <c r="N808" s="416">
        <v>129600000</v>
      </c>
      <c r="O808" s="416">
        <v>129600000</v>
      </c>
      <c r="P808" s="358"/>
      <c r="Q808" s="320"/>
      <c r="R808" s="168"/>
      <c r="S808" s="168"/>
      <c r="T808" s="287"/>
      <c r="U808" s="264"/>
      <c r="V808" s="198"/>
    </row>
    <row r="809" spans="1:22" s="90" customFormat="1" ht="19.5" hidden="1" customHeight="1">
      <c r="A809" s="137"/>
      <c r="B809" s="197">
        <f t="shared" si="13"/>
        <v>799</v>
      </c>
      <c r="C809" s="30" t="s">
        <v>202</v>
      </c>
      <c r="D809" s="30" t="s">
        <v>225</v>
      </c>
      <c r="E809" s="234" t="s">
        <v>1136</v>
      </c>
      <c r="F809" s="235" t="s">
        <v>1239</v>
      </c>
      <c r="G809" s="476"/>
      <c r="H809" s="236" t="s">
        <v>4467</v>
      </c>
      <c r="I809" s="236">
        <v>1</v>
      </c>
      <c r="J809" s="236">
        <v>1</v>
      </c>
      <c r="K809" s="355" t="s">
        <v>1373</v>
      </c>
      <c r="L809" s="356">
        <v>42339</v>
      </c>
      <c r="M809" s="357" t="s">
        <v>204</v>
      </c>
      <c r="N809" s="416">
        <v>129600000</v>
      </c>
      <c r="O809" s="416">
        <v>129600000</v>
      </c>
      <c r="P809" s="358"/>
      <c r="Q809" s="320"/>
      <c r="R809" s="168"/>
      <c r="S809" s="168"/>
      <c r="T809" s="287"/>
      <c r="U809" s="264"/>
      <c r="V809" s="198"/>
    </row>
    <row r="810" spans="1:22" s="90" customFormat="1" ht="19.5" hidden="1" customHeight="1">
      <c r="A810" s="137"/>
      <c r="B810" s="197">
        <f t="shared" si="13"/>
        <v>800</v>
      </c>
      <c r="C810" s="30" t="s">
        <v>202</v>
      </c>
      <c r="D810" s="30" t="s">
        <v>225</v>
      </c>
      <c r="E810" s="234" t="s">
        <v>1137</v>
      </c>
      <c r="F810" s="235" t="s">
        <v>1363</v>
      </c>
      <c r="G810" s="476"/>
      <c r="H810" s="236" t="s">
        <v>5288</v>
      </c>
      <c r="I810" s="236">
        <v>1</v>
      </c>
      <c r="J810" s="236">
        <v>1</v>
      </c>
      <c r="K810" s="355" t="s">
        <v>1373</v>
      </c>
      <c r="L810" s="356">
        <v>44089</v>
      </c>
      <c r="M810" s="357" t="s">
        <v>204</v>
      </c>
      <c r="N810" s="416">
        <v>36000000</v>
      </c>
      <c r="O810" s="416">
        <v>36000000</v>
      </c>
      <c r="P810" s="358"/>
      <c r="Q810" s="320"/>
      <c r="R810" s="168"/>
      <c r="S810" s="168"/>
      <c r="T810" s="287"/>
      <c r="U810" s="264"/>
      <c r="V810" s="198"/>
    </row>
    <row r="811" spans="1:22" s="90" customFormat="1" ht="19.5" hidden="1" customHeight="1">
      <c r="A811" s="137"/>
      <c r="B811" s="197">
        <f t="shared" si="13"/>
        <v>801</v>
      </c>
      <c r="C811" s="30" t="s">
        <v>202</v>
      </c>
      <c r="D811" s="30" t="s">
        <v>225</v>
      </c>
      <c r="E811" s="234" t="s">
        <v>1137</v>
      </c>
      <c r="F811" s="235" t="s">
        <v>1363</v>
      </c>
      <c r="G811" s="476"/>
      <c r="H811" s="236" t="s">
        <v>5290</v>
      </c>
      <c r="I811" s="236">
        <v>2</v>
      </c>
      <c r="J811" s="236">
        <v>1</v>
      </c>
      <c r="K811" s="355" t="s">
        <v>1373</v>
      </c>
      <c r="L811" s="356">
        <v>44089</v>
      </c>
      <c r="M811" s="357" t="s">
        <v>204</v>
      </c>
      <c r="N811" s="416">
        <v>36000000</v>
      </c>
      <c r="O811" s="416">
        <v>36000000</v>
      </c>
      <c r="P811" s="358"/>
      <c r="Q811" s="320"/>
      <c r="R811" s="168"/>
      <c r="S811" s="168"/>
      <c r="T811" s="287"/>
      <c r="U811" s="264"/>
      <c r="V811" s="198"/>
    </row>
    <row r="812" spans="1:22" s="90" customFormat="1" ht="19.5" hidden="1" customHeight="1">
      <c r="A812" s="137"/>
      <c r="B812" s="197">
        <f t="shared" si="13"/>
        <v>802</v>
      </c>
      <c r="C812" s="30" t="s">
        <v>202</v>
      </c>
      <c r="D812" s="30" t="s">
        <v>225</v>
      </c>
      <c r="E812" s="234" t="s">
        <v>1137</v>
      </c>
      <c r="F812" s="235" t="s">
        <v>1363</v>
      </c>
      <c r="G812" s="476"/>
      <c r="H812" s="236" t="s">
        <v>5292</v>
      </c>
      <c r="I812" s="236">
        <v>3</v>
      </c>
      <c r="J812" s="236">
        <v>1</v>
      </c>
      <c r="K812" s="355" t="s">
        <v>1373</v>
      </c>
      <c r="L812" s="356">
        <v>44089</v>
      </c>
      <c r="M812" s="357" t="s">
        <v>204</v>
      </c>
      <c r="N812" s="416">
        <v>36000000</v>
      </c>
      <c r="O812" s="416">
        <v>36000000</v>
      </c>
      <c r="P812" s="358"/>
      <c r="Q812" s="320"/>
      <c r="R812" s="168"/>
      <c r="S812" s="168"/>
      <c r="T812" s="287"/>
      <c r="U812" s="264"/>
      <c r="V812" s="198"/>
    </row>
    <row r="813" spans="1:22" s="90" customFormat="1" ht="19.5" hidden="1" customHeight="1">
      <c r="A813" s="137"/>
      <c r="B813" s="197">
        <f t="shared" si="13"/>
        <v>803</v>
      </c>
      <c r="C813" s="30" t="s">
        <v>202</v>
      </c>
      <c r="D813" s="30" t="s">
        <v>225</v>
      </c>
      <c r="E813" s="234" t="s">
        <v>1138</v>
      </c>
      <c r="F813" s="235" t="s">
        <v>1225</v>
      </c>
      <c r="G813" s="476"/>
      <c r="H813" s="236" t="s">
        <v>4968</v>
      </c>
      <c r="I813" s="236">
        <v>1</v>
      </c>
      <c r="J813" s="236">
        <v>1</v>
      </c>
      <c r="K813" s="355" t="s">
        <v>1373</v>
      </c>
      <c r="L813" s="356">
        <v>42137</v>
      </c>
      <c r="M813" s="357" t="s">
        <v>204</v>
      </c>
      <c r="N813" s="416">
        <v>168000000</v>
      </c>
      <c r="O813" s="416">
        <v>168000000</v>
      </c>
      <c r="P813" s="358"/>
      <c r="Q813" s="320"/>
      <c r="R813" s="168"/>
      <c r="S813" s="168"/>
      <c r="T813" s="287"/>
      <c r="U813" s="264"/>
      <c r="V813" s="198"/>
    </row>
    <row r="814" spans="1:22" s="90" customFormat="1" ht="19.5" hidden="1" customHeight="1">
      <c r="A814" s="137"/>
      <c r="B814" s="197">
        <f t="shared" si="13"/>
        <v>804</v>
      </c>
      <c r="C814" s="30" t="s">
        <v>202</v>
      </c>
      <c r="D814" s="30" t="s">
        <v>225</v>
      </c>
      <c r="E814" s="234" t="s">
        <v>1139</v>
      </c>
      <c r="F814" s="235" t="s">
        <v>1225</v>
      </c>
      <c r="G814" s="476"/>
      <c r="H814" s="236" t="s">
        <v>4077</v>
      </c>
      <c r="I814" s="236">
        <v>1</v>
      </c>
      <c r="J814" s="236">
        <v>1</v>
      </c>
      <c r="K814" s="355" t="s">
        <v>3369</v>
      </c>
      <c r="L814" s="356">
        <v>42681</v>
      </c>
      <c r="M814" s="357" t="s">
        <v>204</v>
      </c>
      <c r="N814" s="416">
        <v>6000000</v>
      </c>
      <c r="O814" s="416">
        <v>6000000</v>
      </c>
      <c r="P814" s="358"/>
      <c r="Q814" s="320"/>
      <c r="R814" s="168"/>
      <c r="S814" s="168"/>
      <c r="T814" s="287"/>
      <c r="U814" s="264"/>
      <c r="V814" s="198"/>
    </row>
    <row r="815" spans="1:22" s="90" customFormat="1" ht="19.5" hidden="1" customHeight="1">
      <c r="A815" s="137"/>
      <c r="B815" s="197">
        <f t="shared" si="13"/>
        <v>805</v>
      </c>
      <c r="C815" s="30" t="s">
        <v>202</v>
      </c>
      <c r="D815" s="30" t="s">
        <v>225</v>
      </c>
      <c r="E815" s="234" t="s">
        <v>1139</v>
      </c>
      <c r="F815" s="235" t="s">
        <v>1225</v>
      </c>
      <c r="G815" s="476"/>
      <c r="H815" s="236" t="s">
        <v>4077</v>
      </c>
      <c r="I815" s="236">
        <v>1</v>
      </c>
      <c r="J815" s="236">
        <v>2</v>
      </c>
      <c r="K815" s="355" t="s">
        <v>1373</v>
      </c>
      <c r="L815" s="356">
        <v>43938</v>
      </c>
      <c r="M815" s="357" t="s">
        <v>204</v>
      </c>
      <c r="N815" s="416">
        <v>96000000</v>
      </c>
      <c r="O815" s="416">
        <v>96000000</v>
      </c>
      <c r="P815" s="358"/>
      <c r="Q815" s="320"/>
      <c r="R815" s="168"/>
      <c r="S815" s="168"/>
      <c r="T815" s="287"/>
      <c r="U815" s="264"/>
      <c r="V815" s="198"/>
    </row>
    <row r="816" spans="1:22" s="90" customFormat="1" ht="19.5" hidden="1" customHeight="1">
      <c r="A816" s="137"/>
      <c r="B816" s="197">
        <f t="shared" si="13"/>
        <v>806</v>
      </c>
      <c r="C816" s="30" t="s">
        <v>202</v>
      </c>
      <c r="D816" s="30" t="s">
        <v>225</v>
      </c>
      <c r="E816" s="234" t="s">
        <v>1140</v>
      </c>
      <c r="F816" s="235" t="s">
        <v>1239</v>
      </c>
      <c r="G816" s="476"/>
      <c r="H816" s="236" t="s">
        <v>4452</v>
      </c>
      <c r="I816" s="236">
        <v>1</v>
      </c>
      <c r="J816" s="236">
        <v>1</v>
      </c>
      <c r="K816" s="355" t="s">
        <v>1373</v>
      </c>
      <c r="L816" s="356">
        <v>44273</v>
      </c>
      <c r="M816" s="357" t="s">
        <v>204</v>
      </c>
      <c r="N816" s="416">
        <v>91200000</v>
      </c>
      <c r="O816" s="416">
        <v>91200000</v>
      </c>
      <c r="P816" s="358"/>
      <c r="Q816" s="320"/>
      <c r="R816" s="168"/>
      <c r="S816" s="168"/>
      <c r="T816" s="287"/>
      <c r="U816" s="264"/>
      <c r="V816" s="198"/>
    </row>
    <row r="817" spans="1:22" s="90" customFormat="1" ht="19.5" hidden="1" customHeight="1">
      <c r="A817" s="137"/>
      <c r="B817" s="197">
        <f t="shared" si="13"/>
        <v>807</v>
      </c>
      <c r="C817" s="30" t="s">
        <v>202</v>
      </c>
      <c r="D817" s="30" t="s">
        <v>225</v>
      </c>
      <c r="E817" s="234" t="s">
        <v>1141</v>
      </c>
      <c r="F817" s="235" t="s">
        <v>1220</v>
      </c>
      <c r="G817" s="476"/>
      <c r="H817" s="236" t="s">
        <v>3906</v>
      </c>
      <c r="I817" s="236">
        <v>1</v>
      </c>
      <c r="J817" s="236">
        <v>1</v>
      </c>
      <c r="K817" s="355" t="s">
        <v>1373</v>
      </c>
      <c r="L817" s="356">
        <v>44165</v>
      </c>
      <c r="M817" s="357" t="s">
        <v>204</v>
      </c>
      <c r="N817" s="416">
        <v>86400000</v>
      </c>
      <c r="O817" s="416">
        <v>86400000</v>
      </c>
      <c r="P817" s="358"/>
      <c r="Q817" s="320"/>
      <c r="R817" s="168"/>
      <c r="S817" s="168"/>
      <c r="T817" s="287"/>
      <c r="U817" s="264"/>
      <c r="V817" s="198"/>
    </row>
    <row r="818" spans="1:22" s="90" customFormat="1" ht="19.5" hidden="1" customHeight="1">
      <c r="A818" s="137"/>
      <c r="B818" s="197">
        <f t="shared" si="13"/>
        <v>808</v>
      </c>
      <c r="C818" s="30" t="s">
        <v>202</v>
      </c>
      <c r="D818" s="30" t="s">
        <v>225</v>
      </c>
      <c r="E818" s="234" t="s">
        <v>1142</v>
      </c>
      <c r="F818" s="235" t="s">
        <v>1251</v>
      </c>
      <c r="G818" s="476"/>
      <c r="H818" s="236" t="s">
        <v>4934</v>
      </c>
      <c r="I818" s="236">
        <v>1</v>
      </c>
      <c r="J818" s="236">
        <v>1</v>
      </c>
      <c r="K818" s="355" t="s">
        <v>1373</v>
      </c>
      <c r="L818" s="356">
        <v>42136</v>
      </c>
      <c r="M818" s="357" t="s">
        <v>204</v>
      </c>
      <c r="N818" s="416">
        <v>84000000</v>
      </c>
      <c r="O818" s="416">
        <v>84000000</v>
      </c>
      <c r="P818" s="358"/>
      <c r="Q818" s="320"/>
      <c r="R818" s="168"/>
      <c r="S818" s="168"/>
      <c r="T818" s="287"/>
      <c r="U818" s="264"/>
      <c r="V818" s="198"/>
    </row>
    <row r="819" spans="1:22" s="90" customFormat="1" ht="19.5" hidden="1" customHeight="1">
      <c r="A819" s="137"/>
      <c r="B819" s="197">
        <f t="shared" si="13"/>
        <v>809</v>
      </c>
      <c r="C819" s="30" t="s">
        <v>202</v>
      </c>
      <c r="D819" s="30" t="s">
        <v>225</v>
      </c>
      <c r="E819" s="234" t="s">
        <v>1143</v>
      </c>
      <c r="F819" s="235" t="s">
        <v>1217</v>
      </c>
      <c r="G819" s="476"/>
      <c r="H819" s="236" t="s">
        <v>4081</v>
      </c>
      <c r="I819" s="236">
        <v>1</v>
      </c>
      <c r="J819" s="236">
        <v>1</v>
      </c>
      <c r="K819" s="355" t="s">
        <v>1373</v>
      </c>
      <c r="L819" s="356">
        <v>44125</v>
      </c>
      <c r="M819" s="357" t="s">
        <v>204</v>
      </c>
      <c r="N819" s="416">
        <v>90000000</v>
      </c>
      <c r="O819" s="416">
        <v>90000000</v>
      </c>
      <c r="P819" s="358"/>
      <c r="Q819" s="320"/>
      <c r="R819" s="168"/>
      <c r="S819" s="168"/>
      <c r="T819" s="287"/>
      <c r="U819" s="264"/>
      <c r="V819" s="198"/>
    </row>
    <row r="820" spans="1:22" s="90" customFormat="1" ht="19.5" hidden="1" customHeight="1">
      <c r="A820" s="137"/>
      <c r="B820" s="197">
        <f t="shared" si="13"/>
        <v>810</v>
      </c>
      <c r="C820" s="30" t="s">
        <v>202</v>
      </c>
      <c r="D820" s="30" t="s">
        <v>225</v>
      </c>
      <c r="E820" s="234" t="s">
        <v>1144</v>
      </c>
      <c r="F820" s="235" t="s">
        <v>1269</v>
      </c>
      <c r="G820" s="476"/>
      <c r="H820" s="236" t="s">
        <v>4046</v>
      </c>
      <c r="I820" s="236">
        <v>1</v>
      </c>
      <c r="J820" s="236">
        <v>1</v>
      </c>
      <c r="K820" s="355" t="s">
        <v>1373</v>
      </c>
      <c r="L820" s="356">
        <v>44071</v>
      </c>
      <c r="M820" s="357" t="s">
        <v>204</v>
      </c>
      <c r="N820" s="416">
        <v>93600000</v>
      </c>
      <c r="O820" s="416">
        <v>93600000</v>
      </c>
      <c r="P820" s="358"/>
      <c r="Q820" s="320"/>
      <c r="R820" s="168"/>
      <c r="S820" s="168"/>
      <c r="T820" s="287"/>
      <c r="U820" s="264"/>
      <c r="V820" s="198"/>
    </row>
    <row r="821" spans="1:22" s="90" customFormat="1" ht="19.5" hidden="1" customHeight="1">
      <c r="A821" s="137"/>
      <c r="B821" s="197">
        <f t="shared" si="13"/>
        <v>811</v>
      </c>
      <c r="C821" s="30" t="s">
        <v>202</v>
      </c>
      <c r="D821" s="30" t="s">
        <v>225</v>
      </c>
      <c r="E821" s="234" t="s">
        <v>1145</v>
      </c>
      <c r="F821" s="235" t="s">
        <v>1234</v>
      </c>
      <c r="G821" s="476"/>
      <c r="H821" s="236" t="s">
        <v>4038</v>
      </c>
      <c r="I821" s="236">
        <v>1</v>
      </c>
      <c r="J821" s="236">
        <v>1</v>
      </c>
      <c r="K821" s="355" t="s">
        <v>1373</v>
      </c>
      <c r="L821" s="356">
        <v>44274</v>
      </c>
      <c r="M821" s="357" t="s">
        <v>204</v>
      </c>
      <c r="N821" s="416">
        <v>84000000</v>
      </c>
      <c r="O821" s="416">
        <v>84000000</v>
      </c>
      <c r="P821" s="358"/>
      <c r="Q821" s="320"/>
      <c r="R821" s="168"/>
      <c r="S821" s="168"/>
      <c r="T821" s="287"/>
      <c r="U821" s="264"/>
      <c r="V821" s="198"/>
    </row>
    <row r="822" spans="1:22" s="90" customFormat="1" ht="19.5" hidden="1" customHeight="1">
      <c r="A822" s="137"/>
      <c r="B822" s="197">
        <f t="shared" si="13"/>
        <v>812</v>
      </c>
      <c r="C822" s="30" t="s">
        <v>202</v>
      </c>
      <c r="D822" s="30" t="s">
        <v>225</v>
      </c>
      <c r="E822" s="234" t="s">
        <v>1146</v>
      </c>
      <c r="F822" s="235" t="s">
        <v>1220</v>
      </c>
      <c r="G822" s="476"/>
      <c r="H822" s="236" t="s">
        <v>4976</v>
      </c>
      <c r="I822" s="236">
        <v>1</v>
      </c>
      <c r="J822" s="236">
        <v>1</v>
      </c>
      <c r="K822" s="355" t="s">
        <v>1373</v>
      </c>
      <c r="L822" s="356">
        <v>43594</v>
      </c>
      <c r="M822" s="357" t="s">
        <v>204</v>
      </c>
      <c r="N822" s="416">
        <v>98400000</v>
      </c>
      <c r="O822" s="416">
        <v>98400000</v>
      </c>
      <c r="P822" s="358"/>
      <c r="Q822" s="320"/>
      <c r="R822" s="168"/>
      <c r="S822" s="168"/>
      <c r="T822" s="287"/>
      <c r="U822" s="264"/>
      <c r="V822" s="198"/>
    </row>
    <row r="823" spans="1:22" s="90" customFormat="1" ht="19.5" hidden="1" customHeight="1">
      <c r="A823" s="137"/>
      <c r="B823" s="197">
        <f t="shared" si="13"/>
        <v>813</v>
      </c>
      <c r="C823" s="30" t="s">
        <v>202</v>
      </c>
      <c r="D823" s="30" t="s">
        <v>225</v>
      </c>
      <c r="E823" s="234" t="s">
        <v>1147</v>
      </c>
      <c r="F823" s="235" t="s">
        <v>1229</v>
      </c>
      <c r="G823" s="476"/>
      <c r="H823" s="236" t="s">
        <v>4434</v>
      </c>
      <c r="I823" s="236">
        <v>1</v>
      </c>
      <c r="J823" s="236">
        <v>1</v>
      </c>
      <c r="K823" s="355" t="s">
        <v>1373</v>
      </c>
      <c r="L823" s="356">
        <v>44013</v>
      </c>
      <c r="M823" s="357" t="s">
        <v>204</v>
      </c>
      <c r="N823" s="416">
        <v>84000000</v>
      </c>
      <c r="O823" s="416">
        <v>84000000</v>
      </c>
      <c r="P823" s="358"/>
      <c r="Q823" s="320"/>
      <c r="R823" s="168"/>
      <c r="S823" s="168"/>
      <c r="T823" s="287"/>
      <c r="U823" s="264"/>
      <c r="V823" s="198"/>
    </row>
    <row r="824" spans="1:22" s="90" customFormat="1" ht="19.5" hidden="1" customHeight="1">
      <c r="A824" s="137"/>
      <c r="B824" s="197">
        <f t="shared" si="13"/>
        <v>814</v>
      </c>
      <c r="C824" s="30" t="s">
        <v>202</v>
      </c>
      <c r="D824" s="30" t="s">
        <v>225</v>
      </c>
      <c r="E824" s="234" t="s">
        <v>1148</v>
      </c>
      <c r="F824" s="235" t="s">
        <v>1217</v>
      </c>
      <c r="G824" s="476"/>
      <c r="H824" s="236" t="s">
        <v>4926</v>
      </c>
      <c r="I824" s="236">
        <v>1</v>
      </c>
      <c r="J824" s="236">
        <v>1</v>
      </c>
      <c r="K824" s="355" t="s">
        <v>489</v>
      </c>
      <c r="L824" s="356">
        <v>44076</v>
      </c>
      <c r="M824" s="357" t="s">
        <v>204</v>
      </c>
      <c r="N824" s="416">
        <v>242000000</v>
      </c>
      <c r="O824" s="416">
        <v>242000000</v>
      </c>
      <c r="P824" s="358"/>
      <c r="Q824" s="320"/>
      <c r="R824" s="168"/>
      <c r="S824" s="168"/>
      <c r="T824" s="287"/>
      <c r="U824" s="264"/>
      <c r="V824" s="198"/>
    </row>
    <row r="825" spans="1:22" s="90" customFormat="1" ht="19.5" hidden="1" customHeight="1">
      <c r="A825" s="137"/>
      <c r="B825" s="197">
        <f t="shared" si="13"/>
        <v>815</v>
      </c>
      <c r="C825" s="30" t="s">
        <v>202</v>
      </c>
      <c r="D825" s="30" t="s">
        <v>225</v>
      </c>
      <c r="E825" s="234" t="s">
        <v>1148</v>
      </c>
      <c r="F825" s="235" t="s">
        <v>1217</v>
      </c>
      <c r="G825" s="476"/>
      <c r="H825" s="236" t="s">
        <v>4926</v>
      </c>
      <c r="I825" s="236">
        <v>1</v>
      </c>
      <c r="J825" s="236">
        <v>2</v>
      </c>
      <c r="K825" s="355" t="s">
        <v>489</v>
      </c>
      <c r="L825" s="356">
        <v>44076</v>
      </c>
      <c r="M825" s="357" t="s">
        <v>204</v>
      </c>
      <c r="N825" s="416">
        <v>138600000</v>
      </c>
      <c r="O825" s="416">
        <v>138600000</v>
      </c>
      <c r="P825" s="358"/>
      <c r="Q825" s="320"/>
      <c r="R825" s="168"/>
      <c r="S825" s="168"/>
      <c r="T825" s="287"/>
      <c r="U825" s="264"/>
      <c r="V825" s="198"/>
    </row>
    <row r="826" spans="1:22" s="90" customFormat="1" ht="19.5" hidden="1" customHeight="1">
      <c r="A826" s="137"/>
      <c r="B826" s="197">
        <f t="shared" si="13"/>
        <v>816</v>
      </c>
      <c r="C826" s="30" t="s">
        <v>202</v>
      </c>
      <c r="D826" s="30" t="s">
        <v>225</v>
      </c>
      <c r="E826" s="234" t="s">
        <v>1148</v>
      </c>
      <c r="F826" s="235" t="s">
        <v>1217</v>
      </c>
      <c r="G826" s="476"/>
      <c r="H826" s="236" t="s">
        <v>4926</v>
      </c>
      <c r="I826" s="236">
        <v>1</v>
      </c>
      <c r="J826" s="236">
        <v>3</v>
      </c>
      <c r="K826" s="355" t="s">
        <v>1373</v>
      </c>
      <c r="L826" s="356">
        <v>44662</v>
      </c>
      <c r="M826" s="357" t="s">
        <v>204</v>
      </c>
      <c r="N826" s="416">
        <v>84000000</v>
      </c>
      <c r="O826" s="416">
        <v>84000000</v>
      </c>
      <c r="P826" s="358"/>
      <c r="Q826" s="320"/>
      <c r="R826" s="168"/>
      <c r="S826" s="168"/>
      <c r="T826" s="287"/>
      <c r="U826" s="264"/>
      <c r="V826" s="198"/>
    </row>
    <row r="827" spans="1:22" s="90" customFormat="1" ht="19.5" hidden="1" customHeight="1">
      <c r="A827" s="137"/>
      <c r="B827" s="197">
        <f t="shared" si="13"/>
        <v>817</v>
      </c>
      <c r="C827" s="30" t="s">
        <v>202</v>
      </c>
      <c r="D827" s="30" t="s">
        <v>225</v>
      </c>
      <c r="E827" s="234" t="s">
        <v>1149</v>
      </c>
      <c r="F827" s="235" t="s">
        <v>1232</v>
      </c>
      <c r="G827" s="476"/>
      <c r="H827" s="236" t="s">
        <v>4079</v>
      </c>
      <c r="I827" s="236">
        <v>1</v>
      </c>
      <c r="J827" s="236">
        <v>1</v>
      </c>
      <c r="K827" s="355" t="s">
        <v>1373</v>
      </c>
      <c r="L827" s="356">
        <v>44063</v>
      </c>
      <c r="M827" s="357" t="s">
        <v>204</v>
      </c>
      <c r="N827" s="416">
        <v>84000000</v>
      </c>
      <c r="O827" s="416">
        <v>84000000</v>
      </c>
      <c r="P827" s="358"/>
      <c r="Q827" s="320"/>
      <c r="R827" s="168"/>
      <c r="S827" s="168"/>
      <c r="T827" s="287"/>
      <c r="U827" s="264"/>
      <c r="V827" s="198"/>
    </row>
    <row r="828" spans="1:22" s="90" customFormat="1" ht="19.5" hidden="1" customHeight="1">
      <c r="A828" s="137"/>
      <c r="B828" s="197">
        <f t="shared" si="13"/>
        <v>818</v>
      </c>
      <c r="C828" s="30" t="s">
        <v>202</v>
      </c>
      <c r="D828" s="30" t="s">
        <v>225</v>
      </c>
      <c r="E828" s="234" t="s">
        <v>1150</v>
      </c>
      <c r="F828" s="235" t="s">
        <v>1233</v>
      </c>
      <c r="G828" s="476"/>
      <c r="H828" s="236" t="s">
        <v>4350</v>
      </c>
      <c r="I828" s="236">
        <v>1</v>
      </c>
      <c r="J828" s="236">
        <v>1</v>
      </c>
      <c r="K828" s="355" t="s">
        <v>1373</v>
      </c>
      <c r="L828" s="356">
        <v>44858</v>
      </c>
      <c r="M828" s="357" t="s">
        <v>204</v>
      </c>
      <c r="N828" s="416">
        <v>75900000</v>
      </c>
      <c r="O828" s="416">
        <v>75900000</v>
      </c>
      <c r="P828" s="358"/>
      <c r="Q828" s="320"/>
      <c r="R828" s="168"/>
      <c r="S828" s="168"/>
      <c r="T828" s="287"/>
      <c r="U828" s="264"/>
      <c r="V828" s="198"/>
    </row>
    <row r="829" spans="1:22" s="90" customFormat="1" ht="19.5" hidden="1" customHeight="1">
      <c r="A829" s="137"/>
      <c r="B829" s="197">
        <f t="shared" si="13"/>
        <v>819</v>
      </c>
      <c r="C829" s="30" t="s">
        <v>202</v>
      </c>
      <c r="D829" s="30" t="s">
        <v>225</v>
      </c>
      <c r="E829" s="234" t="s">
        <v>1151</v>
      </c>
      <c r="F829" s="235" t="s">
        <v>1231</v>
      </c>
      <c r="G829" s="476"/>
      <c r="H829" s="236" t="s">
        <v>4565</v>
      </c>
      <c r="I829" s="236">
        <v>1</v>
      </c>
      <c r="J829" s="236">
        <v>1</v>
      </c>
      <c r="K829" s="355" t="s">
        <v>1373</v>
      </c>
      <c r="L829" s="356">
        <v>42359</v>
      </c>
      <c r="M829" s="357" t="s">
        <v>204</v>
      </c>
      <c r="N829" s="416">
        <v>94800000</v>
      </c>
      <c r="O829" s="416">
        <v>94800000</v>
      </c>
      <c r="P829" s="358"/>
      <c r="Q829" s="320"/>
      <c r="R829" s="168"/>
      <c r="S829" s="168"/>
      <c r="T829" s="287"/>
      <c r="U829" s="264"/>
      <c r="V829" s="198"/>
    </row>
    <row r="830" spans="1:22" s="90" customFormat="1" ht="19.5" hidden="1" customHeight="1">
      <c r="A830" s="137"/>
      <c r="B830" s="197">
        <f t="shared" si="13"/>
        <v>820</v>
      </c>
      <c r="C830" s="30" t="s">
        <v>202</v>
      </c>
      <c r="D830" s="30" t="s">
        <v>225</v>
      </c>
      <c r="E830" s="234" t="s">
        <v>1152</v>
      </c>
      <c r="F830" s="235" t="s">
        <v>1220</v>
      </c>
      <c r="G830" s="476"/>
      <c r="H830" s="236" t="s">
        <v>4138</v>
      </c>
      <c r="I830" s="236">
        <v>1</v>
      </c>
      <c r="J830" s="236">
        <v>1</v>
      </c>
      <c r="K830" s="355" t="s">
        <v>1373</v>
      </c>
      <c r="L830" s="356">
        <v>38381</v>
      </c>
      <c r="M830" s="357" t="s">
        <v>204</v>
      </c>
      <c r="N830" s="416">
        <v>112800000</v>
      </c>
      <c r="O830" s="416">
        <v>112800000</v>
      </c>
      <c r="P830" s="358"/>
      <c r="Q830" s="320"/>
      <c r="R830" s="168"/>
      <c r="S830" s="168"/>
      <c r="T830" s="287"/>
      <c r="U830" s="264"/>
      <c r="V830" s="198"/>
    </row>
    <row r="831" spans="1:22" s="90" customFormat="1" ht="19.5" hidden="1" customHeight="1">
      <c r="A831" s="137"/>
      <c r="B831" s="197">
        <f t="shared" si="13"/>
        <v>821</v>
      </c>
      <c r="C831" s="30" t="s">
        <v>202</v>
      </c>
      <c r="D831" s="30" t="s">
        <v>225</v>
      </c>
      <c r="E831" s="234" t="s">
        <v>1152</v>
      </c>
      <c r="F831" s="235" t="s">
        <v>1220</v>
      </c>
      <c r="G831" s="476"/>
      <c r="H831" s="236" t="s">
        <v>4138</v>
      </c>
      <c r="I831" s="236">
        <v>1</v>
      </c>
      <c r="J831" s="236">
        <v>2</v>
      </c>
      <c r="K831" s="355" t="s">
        <v>1373</v>
      </c>
      <c r="L831" s="356">
        <v>41354</v>
      </c>
      <c r="M831" s="357" t="s">
        <v>204</v>
      </c>
      <c r="N831" s="416">
        <v>7080000</v>
      </c>
      <c r="O831" s="416">
        <v>7080000</v>
      </c>
      <c r="P831" s="358"/>
      <c r="Q831" s="320"/>
      <c r="R831" s="168"/>
      <c r="S831" s="168"/>
      <c r="T831" s="287"/>
      <c r="U831" s="264"/>
      <c r="V831" s="198"/>
    </row>
    <row r="832" spans="1:22" s="90" customFormat="1" ht="19.5" hidden="1" customHeight="1">
      <c r="A832" s="137"/>
      <c r="B832" s="197">
        <f t="shared" si="13"/>
        <v>822</v>
      </c>
      <c r="C832" s="30" t="s">
        <v>202</v>
      </c>
      <c r="D832" s="30" t="s">
        <v>225</v>
      </c>
      <c r="E832" s="234" t="s">
        <v>1153</v>
      </c>
      <c r="F832" s="235" t="s">
        <v>1229</v>
      </c>
      <c r="G832" s="476"/>
      <c r="H832" s="236" t="s">
        <v>5115</v>
      </c>
      <c r="I832" s="236">
        <v>1</v>
      </c>
      <c r="J832" s="236">
        <v>1</v>
      </c>
      <c r="K832" s="355" t="s">
        <v>1373</v>
      </c>
      <c r="L832" s="356">
        <v>42886</v>
      </c>
      <c r="M832" s="357" t="s">
        <v>204</v>
      </c>
      <c r="N832" s="416">
        <v>81600000</v>
      </c>
      <c r="O832" s="416">
        <v>81600000</v>
      </c>
      <c r="P832" s="358"/>
      <c r="Q832" s="320"/>
      <c r="R832" s="168"/>
      <c r="S832" s="168"/>
      <c r="T832" s="287"/>
      <c r="U832" s="264"/>
      <c r="V832" s="198"/>
    </row>
    <row r="833" spans="1:22" s="90" customFormat="1" ht="19.5" hidden="1" customHeight="1">
      <c r="A833" s="137"/>
      <c r="B833" s="197">
        <f t="shared" si="13"/>
        <v>823</v>
      </c>
      <c r="C833" s="30" t="s">
        <v>202</v>
      </c>
      <c r="D833" s="30" t="s">
        <v>225</v>
      </c>
      <c r="E833" s="234" t="s">
        <v>1154</v>
      </c>
      <c r="F833" s="235" t="s">
        <v>1223</v>
      </c>
      <c r="G833" s="476"/>
      <c r="H833" s="236" t="s">
        <v>4823</v>
      </c>
      <c r="I833" s="236">
        <v>1</v>
      </c>
      <c r="J833" s="236">
        <v>1</v>
      </c>
      <c r="K833" s="355" t="s">
        <v>1377</v>
      </c>
      <c r="L833" s="356">
        <v>35179</v>
      </c>
      <c r="M833" s="357" t="s">
        <v>204</v>
      </c>
      <c r="N833" s="416">
        <v>45500000</v>
      </c>
      <c r="O833" s="416">
        <v>45500000</v>
      </c>
      <c r="P833" s="358"/>
      <c r="Q833" s="320"/>
      <c r="R833" s="168"/>
      <c r="S833" s="168"/>
      <c r="T833" s="287"/>
      <c r="U833" s="264"/>
      <c r="V833" s="198"/>
    </row>
    <row r="834" spans="1:22" s="90" customFormat="1" ht="19.5" hidden="1" customHeight="1">
      <c r="A834" s="137"/>
      <c r="B834" s="197">
        <f t="shared" si="13"/>
        <v>824</v>
      </c>
      <c r="C834" s="30" t="s">
        <v>202</v>
      </c>
      <c r="D834" s="30" t="s">
        <v>225</v>
      </c>
      <c r="E834" s="234" t="s">
        <v>1154</v>
      </c>
      <c r="F834" s="235" t="s">
        <v>1223</v>
      </c>
      <c r="G834" s="476"/>
      <c r="H834" s="236" t="s">
        <v>4823</v>
      </c>
      <c r="I834" s="236">
        <v>1</v>
      </c>
      <c r="J834" s="236">
        <v>2</v>
      </c>
      <c r="K834" s="355" t="s">
        <v>1377</v>
      </c>
      <c r="L834" s="356">
        <v>36458</v>
      </c>
      <c r="M834" s="357" t="s">
        <v>204</v>
      </c>
      <c r="N834" s="416">
        <v>20800000</v>
      </c>
      <c r="O834" s="416">
        <v>20800000</v>
      </c>
      <c r="P834" s="358"/>
      <c r="Q834" s="320"/>
      <c r="R834" s="168"/>
      <c r="S834" s="168"/>
      <c r="T834" s="287"/>
      <c r="U834" s="264"/>
      <c r="V834" s="198"/>
    </row>
    <row r="835" spans="1:22" s="90" customFormat="1" ht="19.5" hidden="1" customHeight="1">
      <c r="A835" s="137"/>
      <c r="B835" s="197">
        <f t="shared" si="13"/>
        <v>825</v>
      </c>
      <c r="C835" s="30" t="s">
        <v>202</v>
      </c>
      <c r="D835" s="30" t="s">
        <v>225</v>
      </c>
      <c r="E835" s="234" t="s">
        <v>1154</v>
      </c>
      <c r="F835" s="235" t="s">
        <v>1223</v>
      </c>
      <c r="G835" s="476"/>
      <c r="H835" s="236" t="s">
        <v>4823</v>
      </c>
      <c r="I835" s="236">
        <v>1</v>
      </c>
      <c r="J835" s="236">
        <v>3</v>
      </c>
      <c r="K835" s="355" t="s">
        <v>1377</v>
      </c>
      <c r="L835" s="356">
        <v>37544</v>
      </c>
      <c r="M835" s="357" t="s">
        <v>204</v>
      </c>
      <c r="N835" s="416">
        <v>29700000</v>
      </c>
      <c r="O835" s="416">
        <v>29700000</v>
      </c>
      <c r="P835" s="358"/>
      <c r="Q835" s="320"/>
      <c r="R835" s="168"/>
      <c r="S835" s="168"/>
      <c r="T835" s="287"/>
      <c r="U835" s="264"/>
      <c r="V835" s="198"/>
    </row>
    <row r="836" spans="1:22" s="90" customFormat="1" ht="19.5" hidden="1" customHeight="1">
      <c r="A836" s="137"/>
      <c r="B836" s="197">
        <f t="shared" si="13"/>
        <v>826</v>
      </c>
      <c r="C836" s="30" t="s">
        <v>202</v>
      </c>
      <c r="D836" s="30" t="s">
        <v>225</v>
      </c>
      <c r="E836" s="234" t="s">
        <v>1154</v>
      </c>
      <c r="F836" s="235" t="s">
        <v>1223</v>
      </c>
      <c r="G836" s="476"/>
      <c r="H836" s="236" t="s">
        <v>4823</v>
      </c>
      <c r="I836" s="236">
        <v>1</v>
      </c>
      <c r="J836" s="236">
        <v>4</v>
      </c>
      <c r="K836" s="355" t="s">
        <v>1377</v>
      </c>
      <c r="L836" s="356">
        <v>40098</v>
      </c>
      <c r="M836" s="357" t="s">
        <v>204</v>
      </c>
      <c r="N836" s="416">
        <v>36000000</v>
      </c>
      <c r="O836" s="416">
        <v>36000000</v>
      </c>
      <c r="P836" s="358"/>
      <c r="Q836" s="320"/>
      <c r="R836" s="168"/>
      <c r="S836" s="168"/>
      <c r="T836" s="287"/>
      <c r="U836" s="264"/>
      <c r="V836" s="198"/>
    </row>
    <row r="837" spans="1:22" s="90" customFormat="1" ht="19.5" hidden="1" customHeight="1">
      <c r="A837" s="137"/>
      <c r="B837" s="197">
        <f t="shared" si="13"/>
        <v>827</v>
      </c>
      <c r="C837" s="30" t="s">
        <v>202</v>
      </c>
      <c r="D837" s="30" t="s">
        <v>225</v>
      </c>
      <c r="E837" s="234" t="s">
        <v>1154</v>
      </c>
      <c r="F837" s="235" t="s">
        <v>1223</v>
      </c>
      <c r="G837" s="476"/>
      <c r="H837" s="236" t="s">
        <v>4823</v>
      </c>
      <c r="I837" s="236">
        <v>1</v>
      </c>
      <c r="J837" s="236">
        <v>5</v>
      </c>
      <c r="K837" s="355" t="s">
        <v>1377</v>
      </c>
      <c r="L837" s="356">
        <v>43860</v>
      </c>
      <c r="M837" s="357" t="s">
        <v>204</v>
      </c>
      <c r="N837" s="416">
        <v>53600000</v>
      </c>
      <c r="O837" s="416">
        <v>53600000</v>
      </c>
      <c r="P837" s="358"/>
      <c r="Q837" s="320"/>
      <c r="R837" s="168"/>
      <c r="S837" s="168"/>
      <c r="T837" s="287"/>
      <c r="U837" s="264"/>
      <c r="V837" s="198"/>
    </row>
    <row r="838" spans="1:22" s="90" customFormat="1" ht="19.5" hidden="1" customHeight="1">
      <c r="A838" s="137"/>
      <c r="B838" s="197">
        <f t="shared" si="13"/>
        <v>828</v>
      </c>
      <c r="C838" s="30" t="s">
        <v>202</v>
      </c>
      <c r="D838" s="30" t="s">
        <v>225</v>
      </c>
      <c r="E838" s="234" t="s">
        <v>1154</v>
      </c>
      <c r="F838" s="235" t="s">
        <v>1223</v>
      </c>
      <c r="G838" s="476"/>
      <c r="H838" s="236" t="s">
        <v>4823</v>
      </c>
      <c r="I838" s="236">
        <v>1</v>
      </c>
      <c r="J838" s="236">
        <v>6</v>
      </c>
      <c r="K838" s="355" t="s">
        <v>486</v>
      </c>
      <c r="L838" s="356">
        <v>44314</v>
      </c>
      <c r="M838" s="357" t="s">
        <v>204</v>
      </c>
      <c r="N838" s="416">
        <v>47900000</v>
      </c>
      <c r="O838" s="416">
        <v>47900000</v>
      </c>
      <c r="P838" s="358"/>
      <c r="Q838" s="320"/>
      <c r="R838" s="168"/>
      <c r="S838" s="168"/>
      <c r="T838" s="287"/>
      <c r="U838" s="264"/>
      <c r="V838" s="198"/>
    </row>
    <row r="839" spans="1:22" s="90" customFormat="1" ht="19.5" hidden="1" customHeight="1">
      <c r="A839" s="137"/>
      <c r="B839" s="197">
        <f t="shared" si="13"/>
        <v>829</v>
      </c>
      <c r="C839" s="30" t="s">
        <v>202</v>
      </c>
      <c r="D839" s="30" t="s">
        <v>225</v>
      </c>
      <c r="E839" s="234" t="s">
        <v>1154</v>
      </c>
      <c r="F839" s="235" t="s">
        <v>1223</v>
      </c>
      <c r="G839" s="476"/>
      <c r="H839" s="236" t="s">
        <v>4823</v>
      </c>
      <c r="I839" s="236">
        <v>1</v>
      </c>
      <c r="J839" s="236">
        <v>7</v>
      </c>
      <c r="K839" s="355" t="s">
        <v>1373</v>
      </c>
      <c r="L839" s="356">
        <v>44348</v>
      </c>
      <c r="M839" s="357" t="s">
        <v>204</v>
      </c>
      <c r="N839" s="416">
        <v>72200000</v>
      </c>
      <c r="O839" s="416">
        <v>72200000</v>
      </c>
      <c r="P839" s="358"/>
      <c r="Q839" s="320"/>
      <c r="R839" s="168"/>
      <c r="S839" s="168"/>
      <c r="T839" s="287"/>
      <c r="U839" s="264"/>
      <c r="V839" s="198"/>
    </row>
    <row r="840" spans="1:22" s="90" customFormat="1" ht="19.5" hidden="1" customHeight="1">
      <c r="A840" s="137"/>
      <c r="B840" s="197">
        <f t="shared" si="13"/>
        <v>830</v>
      </c>
      <c r="C840" s="30" t="s">
        <v>202</v>
      </c>
      <c r="D840" s="30" t="s">
        <v>225</v>
      </c>
      <c r="E840" s="234" t="s">
        <v>1154</v>
      </c>
      <c r="F840" s="235" t="s">
        <v>1223</v>
      </c>
      <c r="G840" s="476"/>
      <c r="H840" s="236" t="s">
        <v>4825</v>
      </c>
      <c r="I840" s="236">
        <v>2</v>
      </c>
      <c r="J840" s="236">
        <v>1</v>
      </c>
      <c r="K840" s="355" t="s">
        <v>1373</v>
      </c>
      <c r="L840" s="356">
        <v>44348</v>
      </c>
      <c r="M840" s="357" t="s">
        <v>204</v>
      </c>
      <c r="N840" s="416">
        <v>47900000</v>
      </c>
      <c r="O840" s="416">
        <v>47900000</v>
      </c>
      <c r="P840" s="358"/>
      <c r="Q840" s="320"/>
      <c r="R840" s="168"/>
      <c r="S840" s="168"/>
      <c r="T840" s="287"/>
      <c r="U840" s="264"/>
      <c r="V840" s="198"/>
    </row>
    <row r="841" spans="1:22" s="90" customFormat="1" ht="19.5" hidden="1" customHeight="1">
      <c r="A841" s="137"/>
      <c r="B841" s="197">
        <f t="shared" si="13"/>
        <v>831</v>
      </c>
      <c r="C841" s="30" t="s">
        <v>202</v>
      </c>
      <c r="D841" s="30" t="s">
        <v>225</v>
      </c>
      <c r="E841" s="234" t="s">
        <v>1155</v>
      </c>
      <c r="F841" s="235" t="s">
        <v>1229</v>
      </c>
      <c r="G841" s="476"/>
      <c r="H841" s="236" t="s">
        <v>3925</v>
      </c>
      <c r="I841" s="236">
        <v>1</v>
      </c>
      <c r="J841" s="236">
        <v>1</v>
      </c>
      <c r="K841" s="355" t="s">
        <v>1373</v>
      </c>
      <c r="L841" s="356">
        <v>41708</v>
      </c>
      <c r="M841" s="357" t="s">
        <v>204</v>
      </c>
      <c r="N841" s="416">
        <v>73200000</v>
      </c>
      <c r="O841" s="416">
        <v>73200000</v>
      </c>
      <c r="P841" s="358"/>
      <c r="Q841" s="320"/>
      <c r="R841" s="168"/>
      <c r="S841" s="168"/>
      <c r="T841" s="287"/>
      <c r="U841" s="264"/>
      <c r="V841" s="198"/>
    </row>
    <row r="842" spans="1:22" s="90" customFormat="1" ht="19.5" hidden="1" customHeight="1">
      <c r="A842" s="137"/>
      <c r="B842" s="197">
        <f t="shared" si="13"/>
        <v>832</v>
      </c>
      <c r="C842" s="30" t="s">
        <v>202</v>
      </c>
      <c r="D842" s="30" t="s">
        <v>225</v>
      </c>
      <c r="E842" s="234" t="s">
        <v>1156</v>
      </c>
      <c r="F842" s="235" t="s">
        <v>1288</v>
      </c>
      <c r="G842" s="476"/>
      <c r="H842" s="236" t="s">
        <v>5010</v>
      </c>
      <c r="I842" s="236">
        <v>1</v>
      </c>
      <c r="J842" s="236">
        <v>1</v>
      </c>
      <c r="K842" s="355" t="s">
        <v>1373</v>
      </c>
      <c r="L842" s="356">
        <v>42048</v>
      </c>
      <c r="M842" s="357" t="s">
        <v>204</v>
      </c>
      <c r="N842" s="416">
        <v>96000000</v>
      </c>
      <c r="O842" s="416">
        <v>96000000</v>
      </c>
      <c r="P842" s="358"/>
      <c r="Q842" s="320"/>
      <c r="R842" s="168"/>
      <c r="S842" s="168"/>
      <c r="T842" s="287"/>
      <c r="U842" s="264"/>
      <c r="V842" s="198"/>
    </row>
    <row r="843" spans="1:22" s="90" customFormat="1" ht="19.5" hidden="1" customHeight="1">
      <c r="A843" s="137"/>
      <c r="B843" s="197">
        <f t="shared" ref="B843:B906" si="14">ROW()-10</f>
        <v>833</v>
      </c>
      <c r="C843" s="30" t="s">
        <v>202</v>
      </c>
      <c r="D843" s="30" t="s">
        <v>225</v>
      </c>
      <c r="E843" s="234" t="s">
        <v>1158</v>
      </c>
      <c r="F843" s="235" t="s">
        <v>1229</v>
      </c>
      <c r="G843" s="476"/>
      <c r="H843" s="236" t="s">
        <v>4728</v>
      </c>
      <c r="I843" s="236">
        <v>1</v>
      </c>
      <c r="J843" s="236">
        <v>1</v>
      </c>
      <c r="K843" s="355" t="s">
        <v>1373</v>
      </c>
      <c r="L843" s="356">
        <v>43293</v>
      </c>
      <c r="M843" s="357" t="s">
        <v>204</v>
      </c>
      <c r="N843" s="416">
        <v>72000000</v>
      </c>
      <c r="O843" s="416">
        <v>72000000</v>
      </c>
      <c r="P843" s="358"/>
      <c r="Q843" s="320"/>
      <c r="R843" s="168"/>
      <c r="S843" s="168"/>
      <c r="T843" s="287"/>
      <c r="U843" s="264"/>
      <c r="V843" s="198"/>
    </row>
    <row r="844" spans="1:22" s="90" customFormat="1" ht="19.5" hidden="1" customHeight="1">
      <c r="A844" s="137"/>
      <c r="B844" s="197">
        <f t="shared" si="14"/>
        <v>834</v>
      </c>
      <c r="C844" s="30" t="s">
        <v>202</v>
      </c>
      <c r="D844" s="30" t="s">
        <v>225</v>
      </c>
      <c r="E844" s="234" t="s">
        <v>1159</v>
      </c>
      <c r="F844" s="235" t="s">
        <v>1221</v>
      </c>
      <c r="G844" s="476"/>
      <c r="H844" s="236" t="s">
        <v>4401</v>
      </c>
      <c r="I844" s="236">
        <v>1</v>
      </c>
      <c r="J844" s="236">
        <v>1</v>
      </c>
      <c r="K844" s="355" t="s">
        <v>1373</v>
      </c>
      <c r="L844" s="356">
        <v>42349</v>
      </c>
      <c r="M844" s="357" t="s">
        <v>204</v>
      </c>
      <c r="N844" s="416">
        <v>92400000</v>
      </c>
      <c r="O844" s="416">
        <v>92400000</v>
      </c>
      <c r="P844" s="358"/>
      <c r="Q844" s="320"/>
      <c r="R844" s="168"/>
      <c r="S844" s="168"/>
      <c r="T844" s="287"/>
      <c r="U844" s="264"/>
      <c r="V844" s="198"/>
    </row>
    <row r="845" spans="1:22" s="90" customFormat="1" ht="19.5" hidden="1" customHeight="1">
      <c r="A845" s="137"/>
      <c r="B845" s="197">
        <f t="shared" si="14"/>
        <v>835</v>
      </c>
      <c r="C845" s="30" t="s">
        <v>202</v>
      </c>
      <c r="D845" s="30" t="s">
        <v>225</v>
      </c>
      <c r="E845" s="234" t="s">
        <v>1160</v>
      </c>
      <c r="F845" s="235" t="s">
        <v>1285</v>
      </c>
      <c r="G845" s="476"/>
      <c r="H845" s="236" t="s">
        <v>4368</v>
      </c>
      <c r="I845" s="236">
        <v>1</v>
      </c>
      <c r="J845" s="236">
        <v>1</v>
      </c>
      <c r="K845" s="355" t="s">
        <v>3856</v>
      </c>
      <c r="L845" s="356">
        <v>44783</v>
      </c>
      <c r="M845" s="357" t="s">
        <v>204</v>
      </c>
      <c r="N845" s="416">
        <v>293930000</v>
      </c>
      <c r="O845" s="416">
        <v>293930000</v>
      </c>
      <c r="P845" s="358"/>
      <c r="Q845" s="320"/>
      <c r="R845" s="168"/>
      <c r="S845" s="168"/>
      <c r="T845" s="287"/>
      <c r="U845" s="264"/>
      <c r="V845" s="198"/>
    </row>
    <row r="846" spans="1:22" s="90" customFormat="1" ht="19.5" hidden="1" customHeight="1">
      <c r="A846" s="137"/>
      <c r="B846" s="197">
        <f t="shared" si="14"/>
        <v>836</v>
      </c>
      <c r="C846" s="30" t="s">
        <v>202</v>
      </c>
      <c r="D846" s="30" t="s">
        <v>225</v>
      </c>
      <c r="E846" s="234" t="s">
        <v>1160</v>
      </c>
      <c r="F846" s="235" t="s">
        <v>1285</v>
      </c>
      <c r="G846" s="476"/>
      <c r="H846" s="236" t="s">
        <v>4368</v>
      </c>
      <c r="I846" s="236">
        <v>1</v>
      </c>
      <c r="J846" s="236">
        <v>2</v>
      </c>
      <c r="K846" s="355" t="s">
        <v>1373</v>
      </c>
      <c r="L846" s="356">
        <v>44783</v>
      </c>
      <c r="M846" s="357" t="s">
        <v>204</v>
      </c>
      <c r="N846" s="416">
        <v>62590000</v>
      </c>
      <c r="O846" s="416">
        <v>62590000</v>
      </c>
      <c r="P846" s="358"/>
      <c r="Q846" s="320"/>
      <c r="R846" s="168"/>
      <c r="S846" s="168"/>
      <c r="T846" s="287"/>
      <c r="U846" s="264"/>
      <c r="V846" s="198"/>
    </row>
    <row r="847" spans="1:22" s="90" customFormat="1" ht="19.5" hidden="1" customHeight="1">
      <c r="A847" s="137"/>
      <c r="B847" s="197">
        <f t="shared" si="14"/>
        <v>837</v>
      </c>
      <c r="C847" s="30" t="s">
        <v>202</v>
      </c>
      <c r="D847" s="30" t="s">
        <v>225</v>
      </c>
      <c r="E847" s="234" t="s">
        <v>1161</v>
      </c>
      <c r="F847" s="235" t="s">
        <v>1229</v>
      </c>
      <c r="G847" s="476"/>
      <c r="H847" s="236" t="s">
        <v>5362</v>
      </c>
      <c r="I847" s="236">
        <v>1</v>
      </c>
      <c r="J847" s="236">
        <v>1</v>
      </c>
      <c r="K847" s="355" t="s">
        <v>1373</v>
      </c>
      <c r="L847" s="356">
        <v>44736</v>
      </c>
      <c r="M847" s="357" t="s">
        <v>204</v>
      </c>
      <c r="N847" s="416">
        <v>62700000</v>
      </c>
      <c r="O847" s="416">
        <v>62700000</v>
      </c>
      <c r="P847" s="358"/>
      <c r="Q847" s="320"/>
      <c r="R847" s="168"/>
      <c r="S847" s="168"/>
      <c r="T847" s="287"/>
      <c r="U847" s="264"/>
      <c r="V847" s="198"/>
    </row>
    <row r="848" spans="1:22" s="90" customFormat="1" ht="19.5" hidden="1" customHeight="1">
      <c r="A848" s="137"/>
      <c r="B848" s="197">
        <f t="shared" si="14"/>
        <v>838</v>
      </c>
      <c r="C848" s="30" t="s">
        <v>202</v>
      </c>
      <c r="D848" s="30" t="s">
        <v>225</v>
      </c>
      <c r="E848" s="234" t="s">
        <v>1162</v>
      </c>
      <c r="F848" s="235" t="s">
        <v>1225</v>
      </c>
      <c r="G848" s="476"/>
      <c r="H848" s="236" t="s">
        <v>5428</v>
      </c>
      <c r="I848" s="236">
        <v>1</v>
      </c>
      <c r="J848" s="236">
        <v>1</v>
      </c>
      <c r="K848" s="355" t="s">
        <v>1373</v>
      </c>
      <c r="L848" s="356">
        <v>45030</v>
      </c>
      <c r="M848" s="357" t="s">
        <v>204</v>
      </c>
      <c r="N848" s="416">
        <v>60500000</v>
      </c>
      <c r="O848" s="416">
        <v>60500000</v>
      </c>
      <c r="P848" s="358"/>
      <c r="Q848" s="320"/>
      <c r="R848" s="168"/>
      <c r="S848" s="168"/>
      <c r="T848" s="287"/>
      <c r="U848" s="264"/>
      <c r="V848" s="198"/>
    </row>
    <row r="849" spans="1:22" s="90" customFormat="1" ht="19.5" hidden="1" customHeight="1">
      <c r="A849" s="137"/>
      <c r="B849" s="197">
        <f t="shared" si="14"/>
        <v>839</v>
      </c>
      <c r="C849" s="30" t="s">
        <v>202</v>
      </c>
      <c r="D849" s="30" t="s">
        <v>225</v>
      </c>
      <c r="E849" s="234" t="s">
        <v>1163</v>
      </c>
      <c r="F849" s="235" t="s">
        <v>1252</v>
      </c>
      <c r="G849" s="476"/>
      <c r="H849" s="236" t="s">
        <v>4613</v>
      </c>
      <c r="I849" s="236">
        <v>1</v>
      </c>
      <c r="J849" s="236">
        <v>1</v>
      </c>
      <c r="K849" s="355" t="s">
        <v>1373</v>
      </c>
      <c r="L849" s="356">
        <v>42031</v>
      </c>
      <c r="M849" s="357" t="s">
        <v>204</v>
      </c>
      <c r="N849" s="416">
        <v>94680000</v>
      </c>
      <c r="O849" s="416">
        <v>94680000</v>
      </c>
      <c r="P849" s="358"/>
      <c r="Q849" s="320"/>
      <c r="R849" s="168"/>
      <c r="S849" s="168"/>
      <c r="T849" s="287"/>
      <c r="U849" s="264"/>
      <c r="V849" s="198"/>
    </row>
    <row r="850" spans="1:22" s="90" customFormat="1" ht="19.5" hidden="1" customHeight="1">
      <c r="A850" s="137"/>
      <c r="B850" s="197">
        <f t="shared" si="14"/>
        <v>840</v>
      </c>
      <c r="C850" s="30" t="s">
        <v>202</v>
      </c>
      <c r="D850" s="30" t="s">
        <v>225</v>
      </c>
      <c r="E850" s="234" t="s">
        <v>1164</v>
      </c>
      <c r="F850" s="235" t="s">
        <v>1218</v>
      </c>
      <c r="G850" s="476"/>
      <c r="H850" s="236" t="s">
        <v>4583</v>
      </c>
      <c r="I850" s="236">
        <v>1</v>
      </c>
      <c r="J850" s="236">
        <v>1</v>
      </c>
      <c r="K850" s="355" t="s">
        <v>1373</v>
      </c>
      <c r="L850" s="356">
        <v>43577</v>
      </c>
      <c r="M850" s="357" t="s">
        <v>204</v>
      </c>
      <c r="N850" s="416">
        <v>70560000</v>
      </c>
      <c r="O850" s="416">
        <v>70560000</v>
      </c>
      <c r="P850" s="358"/>
      <c r="Q850" s="320"/>
      <c r="R850" s="168"/>
      <c r="S850" s="168"/>
      <c r="T850" s="287"/>
      <c r="U850" s="264"/>
      <c r="V850" s="198"/>
    </row>
    <row r="851" spans="1:22" s="90" customFormat="1" ht="19.5" hidden="1" customHeight="1">
      <c r="A851" s="137"/>
      <c r="B851" s="197">
        <f t="shared" si="14"/>
        <v>841</v>
      </c>
      <c r="C851" s="30" t="s">
        <v>202</v>
      </c>
      <c r="D851" s="30" t="s">
        <v>225</v>
      </c>
      <c r="E851" s="234" t="s">
        <v>1165</v>
      </c>
      <c r="F851" s="235" t="s">
        <v>1229</v>
      </c>
      <c r="G851" s="476"/>
      <c r="H851" s="236" t="s">
        <v>4827</v>
      </c>
      <c r="I851" s="236">
        <v>1</v>
      </c>
      <c r="J851" s="236">
        <v>1</v>
      </c>
      <c r="K851" s="355" t="s">
        <v>1373</v>
      </c>
      <c r="L851" s="356">
        <v>41326</v>
      </c>
      <c r="M851" s="357" t="s">
        <v>204</v>
      </c>
      <c r="N851" s="416">
        <v>12000000</v>
      </c>
      <c r="O851" s="416">
        <v>12000000</v>
      </c>
      <c r="P851" s="358"/>
      <c r="Q851" s="320"/>
      <c r="R851" s="168"/>
      <c r="S851" s="168"/>
      <c r="T851" s="287"/>
      <c r="U851" s="264"/>
      <c r="V851" s="198"/>
    </row>
    <row r="852" spans="1:22" s="90" customFormat="1" ht="19.5" hidden="1" customHeight="1">
      <c r="A852" s="137"/>
      <c r="B852" s="197">
        <f t="shared" si="14"/>
        <v>842</v>
      </c>
      <c r="C852" s="30" t="s">
        <v>202</v>
      </c>
      <c r="D852" s="30" t="s">
        <v>225</v>
      </c>
      <c r="E852" s="234" t="s">
        <v>1165</v>
      </c>
      <c r="F852" s="235" t="s">
        <v>1229</v>
      </c>
      <c r="G852" s="476"/>
      <c r="H852" s="236" t="s">
        <v>4827</v>
      </c>
      <c r="I852" s="236">
        <v>1</v>
      </c>
      <c r="J852" s="236">
        <v>2</v>
      </c>
      <c r="K852" s="355" t="s">
        <v>1373</v>
      </c>
      <c r="L852" s="356">
        <v>41991</v>
      </c>
      <c r="M852" s="357" t="s">
        <v>204</v>
      </c>
      <c r="N852" s="416">
        <v>78000000</v>
      </c>
      <c r="O852" s="416">
        <v>78000000</v>
      </c>
      <c r="P852" s="358"/>
      <c r="Q852" s="320"/>
      <c r="R852" s="168"/>
      <c r="S852" s="168"/>
      <c r="T852" s="287"/>
      <c r="U852" s="264"/>
      <c r="V852" s="198"/>
    </row>
    <row r="853" spans="1:22" s="90" customFormat="1" ht="19.5" hidden="1" customHeight="1">
      <c r="A853" s="137"/>
      <c r="B853" s="197">
        <f t="shared" si="14"/>
        <v>843</v>
      </c>
      <c r="C853" s="30" t="s">
        <v>202</v>
      </c>
      <c r="D853" s="30" t="s">
        <v>225</v>
      </c>
      <c r="E853" s="234" t="s">
        <v>1166</v>
      </c>
      <c r="F853" s="235" t="s">
        <v>1222</v>
      </c>
      <c r="G853" s="476"/>
      <c r="H853" s="236" t="s">
        <v>4571</v>
      </c>
      <c r="I853" s="236">
        <v>1</v>
      </c>
      <c r="J853" s="236">
        <v>1</v>
      </c>
      <c r="K853" s="355" t="s">
        <v>1377</v>
      </c>
      <c r="L853" s="356">
        <v>44139</v>
      </c>
      <c r="M853" s="357" t="s">
        <v>204</v>
      </c>
      <c r="N853" s="416">
        <v>219450000</v>
      </c>
      <c r="O853" s="416">
        <v>219450000</v>
      </c>
      <c r="P853" s="358"/>
      <c r="Q853" s="320"/>
      <c r="R853" s="168"/>
      <c r="S853" s="168"/>
      <c r="T853" s="287"/>
      <c r="U853" s="264"/>
      <c r="V853" s="198"/>
    </row>
    <row r="854" spans="1:22" s="90" customFormat="1" ht="19.5" hidden="1" customHeight="1">
      <c r="A854" s="137"/>
      <c r="B854" s="197">
        <f t="shared" si="14"/>
        <v>844</v>
      </c>
      <c r="C854" s="30" t="s">
        <v>202</v>
      </c>
      <c r="D854" s="30" t="s">
        <v>225</v>
      </c>
      <c r="E854" s="234" t="s">
        <v>1166</v>
      </c>
      <c r="F854" s="235" t="s">
        <v>1222</v>
      </c>
      <c r="G854" s="476"/>
      <c r="H854" s="236" t="s">
        <v>4571</v>
      </c>
      <c r="I854" s="236">
        <v>1</v>
      </c>
      <c r="J854" s="236">
        <v>2</v>
      </c>
      <c r="K854" s="355" t="s">
        <v>1373</v>
      </c>
      <c r="L854" s="356">
        <v>44532</v>
      </c>
      <c r="M854" s="357" t="s">
        <v>204</v>
      </c>
      <c r="N854" s="416">
        <v>59400000</v>
      </c>
      <c r="O854" s="416">
        <v>59400000</v>
      </c>
      <c r="P854" s="358"/>
      <c r="Q854" s="320"/>
      <c r="R854" s="168"/>
      <c r="S854" s="168"/>
      <c r="T854" s="287"/>
      <c r="U854" s="264"/>
      <c r="V854" s="198"/>
    </row>
    <row r="855" spans="1:22" s="90" customFormat="1" ht="19.5" hidden="1" customHeight="1">
      <c r="A855" s="137"/>
      <c r="B855" s="197">
        <f t="shared" si="14"/>
        <v>845</v>
      </c>
      <c r="C855" s="30" t="s">
        <v>202</v>
      </c>
      <c r="D855" s="30" t="s">
        <v>225</v>
      </c>
      <c r="E855" s="234" t="s">
        <v>1167</v>
      </c>
      <c r="F855" s="235" t="s">
        <v>1225</v>
      </c>
      <c r="G855" s="476"/>
      <c r="H855" s="236" t="s">
        <v>4034</v>
      </c>
      <c r="I855" s="236">
        <v>1</v>
      </c>
      <c r="J855" s="236">
        <v>1</v>
      </c>
      <c r="K855" s="355" t="s">
        <v>486</v>
      </c>
      <c r="L855" s="356">
        <v>40724</v>
      </c>
      <c r="M855" s="357" t="s">
        <v>204</v>
      </c>
      <c r="N855" s="416">
        <v>258000000</v>
      </c>
      <c r="O855" s="416">
        <v>258000000</v>
      </c>
      <c r="P855" s="358"/>
      <c r="Q855" s="320"/>
      <c r="R855" s="168"/>
      <c r="S855" s="168"/>
      <c r="T855" s="287"/>
      <c r="U855" s="264"/>
      <c r="V855" s="198"/>
    </row>
    <row r="856" spans="1:22" s="90" customFormat="1" ht="19.5" hidden="1" customHeight="1">
      <c r="A856" s="137"/>
      <c r="B856" s="197">
        <f t="shared" si="14"/>
        <v>846</v>
      </c>
      <c r="C856" s="30" t="s">
        <v>202</v>
      </c>
      <c r="D856" s="30" t="s">
        <v>225</v>
      </c>
      <c r="E856" s="234" t="s">
        <v>1167</v>
      </c>
      <c r="F856" s="235" t="s">
        <v>1225</v>
      </c>
      <c r="G856" s="476"/>
      <c r="H856" s="236" t="s">
        <v>4034</v>
      </c>
      <c r="I856" s="236">
        <v>1</v>
      </c>
      <c r="J856" s="236">
        <v>2</v>
      </c>
      <c r="K856" s="355" t="s">
        <v>1373</v>
      </c>
      <c r="L856" s="356">
        <v>44560</v>
      </c>
      <c r="M856" s="357" t="s">
        <v>204</v>
      </c>
      <c r="N856" s="416">
        <v>60000000</v>
      </c>
      <c r="O856" s="416">
        <v>60000000</v>
      </c>
      <c r="P856" s="358"/>
      <c r="Q856" s="320"/>
      <c r="R856" s="168"/>
      <c r="S856" s="168"/>
      <c r="T856" s="287"/>
      <c r="U856" s="264"/>
      <c r="V856" s="198"/>
    </row>
    <row r="857" spans="1:22" s="90" customFormat="1" ht="19.5" hidden="1" customHeight="1">
      <c r="A857" s="137"/>
      <c r="B857" s="197">
        <f t="shared" si="14"/>
        <v>847</v>
      </c>
      <c r="C857" s="30" t="s">
        <v>202</v>
      </c>
      <c r="D857" s="30" t="s">
        <v>225</v>
      </c>
      <c r="E857" s="234" t="s">
        <v>1168</v>
      </c>
      <c r="F857" s="235" t="s">
        <v>1232</v>
      </c>
      <c r="G857" s="476"/>
      <c r="H857" s="236" t="s">
        <v>5323</v>
      </c>
      <c r="I857" s="236">
        <v>1</v>
      </c>
      <c r="J857" s="236">
        <v>1</v>
      </c>
      <c r="K857" s="355" t="s">
        <v>1373</v>
      </c>
      <c r="L857" s="356">
        <v>44314</v>
      </c>
      <c r="M857" s="357" t="s">
        <v>204</v>
      </c>
      <c r="N857" s="416">
        <v>180000000</v>
      </c>
      <c r="O857" s="416">
        <v>180000000</v>
      </c>
      <c r="P857" s="358"/>
      <c r="Q857" s="320"/>
      <c r="R857" s="168"/>
      <c r="S857" s="168"/>
      <c r="T857" s="287"/>
      <c r="U857" s="264"/>
      <c r="V857" s="198"/>
    </row>
    <row r="858" spans="1:22" s="90" customFormat="1" ht="19.5" hidden="1" customHeight="1">
      <c r="A858" s="137"/>
      <c r="B858" s="197">
        <f t="shared" si="14"/>
        <v>848</v>
      </c>
      <c r="C858" s="30" t="s">
        <v>202</v>
      </c>
      <c r="D858" s="30" t="s">
        <v>225</v>
      </c>
      <c r="E858" s="234" t="s">
        <v>1169</v>
      </c>
      <c r="F858" s="235" t="s">
        <v>1226</v>
      </c>
      <c r="G858" s="476"/>
      <c r="H858" s="236" t="s">
        <v>4791</v>
      </c>
      <c r="I858" s="236">
        <v>1</v>
      </c>
      <c r="J858" s="236">
        <v>1</v>
      </c>
      <c r="K858" s="355" t="s">
        <v>1379</v>
      </c>
      <c r="L858" s="356">
        <v>39668</v>
      </c>
      <c r="M858" s="357" t="s">
        <v>204</v>
      </c>
      <c r="N858" s="416">
        <v>102000000</v>
      </c>
      <c r="O858" s="416">
        <v>102000000</v>
      </c>
      <c r="P858" s="358"/>
      <c r="Q858" s="320"/>
      <c r="R858" s="168"/>
      <c r="S858" s="168"/>
      <c r="T858" s="287"/>
      <c r="U858" s="264"/>
      <c r="V858" s="198"/>
    </row>
    <row r="859" spans="1:22" s="90" customFormat="1" ht="19.5" hidden="1" customHeight="1">
      <c r="A859" s="137"/>
      <c r="B859" s="197">
        <f t="shared" si="14"/>
        <v>849</v>
      </c>
      <c r="C859" s="30" t="s">
        <v>202</v>
      </c>
      <c r="D859" s="30" t="s">
        <v>225</v>
      </c>
      <c r="E859" s="234" t="s">
        <v>1169</v>
      </c>
      <c r="F859" s="235" t="s">
        <v>1226</v>
      </c>
      <c r="G859" s="476"/>
      <c r="H859" s="236" t="s">
        <v>4791</v>
      </c>
      <c r="I859" s="236">
        <v>1</v>
      </c>
      <c r="J859" s="236">
        <v>2</v>
      </c>
      <c r="K859" s="355" t="s">
        <v>1379</v>
      </c>
      <c r="L859" s="356">
        <v>41074</v>
      </c>
      <c r="M859" s="357" t="s">
        <v>204</v>
      </c>
      <c r="N859" s="416">
        <v>78000000</v>
      </c>
      <c r="O859" s="416">
        <v>78000000</v>
      </c>
      <c r="P859" s="358"/>
      <c r="Q859" s="320"/>
      <c r="R859" s="168"/>
      <c r="S859" s="168"/>
      <c r="T859" s="287"/>
      <c r="U859" s="264"/>
      <c r="V859" s="198"/>
    </row>
    <row r="860" spans="1:22" s="90" customFormat="1" ht="19.5" hidden="1" customHeight="1">
      <c r="A860" s="137"/>
      <c r="B860" s="197">
        <f t="shared" si="14"/>
        <v>850</v>
      </c>
      <c r="C860" s="30" t="s">
        <v>202</v>
      </c>
      <c r="D860" s="30" t="s">
        <v>225</v>
      </c>
      <c r="E860" s="234" t="s">
        <v>1169</v>
      </c>
      <c r="F860" s="235" t="s">
        <v>1226</v>
      </c>
      <c r="G860" s="476"/>
      <c r="H860" s="236" t="s">
        <v>4791</v>
      </c>
      <c r="I860" s="236">
        <v>1</v>
      </c>
      <c r="J860" s="236">
        <v>3</v>
      </c>
      <c r="K860" s="355" t="s">
        <v>1373</v>
      </c>
      <c r="L860" s="356">
        <v>42538</v>
      </c>
      <c r="M860" s="357" t="s">
        <v>204</v>
      </c>
      <c r="N860" s="416">
        <v>72000000</v>
      </c>
      <c r="O860" s="416">
        <v>72000000</v>
      </c>
      <c r="P860" s="358"/>
      <c r="Q860" s="320"/>
      <c r="R860" s="168"/>
      <c r="S860" s="168"/>
      <c r="T860" s="287"/>
      <c r="U860" s="264"/>
      <c r="V860" s="198"/>
    </row>
    <row r="861" spans="1:22" s="90" customFormat="1" ht="19.5" hidden="1" customHeight="1">
      <c r="A861" s="137"/>
      <c r="B861" s="197">
        <f t="shared" si="14"/>
        <v>851</v>
      </c>
      <c r="C861" s="30" t="s">
        <v>202</v>
      </c>
      <c r="D861" s="30" t="s">
        <v>225</v>
      </c>
      <c r="E861" s="234" t="s">
        <v>1170</v>
      </c>
      <c r="F861" s="235" t="s">
        <v>1225</v>
      </c>
      <c r="G861" s="476"/>
      <c r="H861" s="236" t="s">
        <v>4888</v>
      </c>
      <c r="I861" s="236">
        <v>1</v>
      </c>
      <c r="J861" s="236">
        <v>1</v>
      </c>
      <c r="K861" s="355" t="s">
        <v>1373</v>
      </c>
      <c r="L861" s="356">
        <v>45062</v>
      </c>
      <c r="M861" s="357" t="s">
        <v>204</v>
      </c>
      <c r="N861" s="416">
        <v>55000000</v>
      </c>
      <c r="O861" s="416">
        <v>55000000</v>
      </c>
      <c r="P861" s="358"/>
      <c r="Q861" s="320"/>
      <c r="R861" s="168"/>
      <c r="S861" s="168"/>
      <c r="T861" s="287"/>
      <c r="U861" s="264"/>
      <c r="V861" s="198"/>
    </row>
    <row r="862" spans="1:22" s="90" customFormat="1" ht="19.5" hidden="1" customHeight="1">
      <c r="A862" s="137"/>
      <c r="B862" s="197">
        <f t="shared" si="14"/>
        <v>852</v>
      </c>
      <c r="C862" s="30" t="s">
        <v>202</v>
      </c>
      <c r="D862" s="30" t="s">
        <v>225</v>
      </c>
      <c r="E862" s="234" t="s">
        <v>1171</v>
      </c>
      <c r="F862" s="235" t="s">
        <v>1252</v>
      </c>
      <c r="G862" s="476"/>
      <c r="H862" s="236" t="s">
        <v>4663</v>
      </c>
      <c r="I862" s="236">
        <v>1</v>
      </c>
      <c r="J862" s="236">
        <v>1</v>
      </c>
      <c r="K862" s="355" t="s">
        <v>1373</v>
      </c>
      <c r="L862" s="356">
        <v>42753</v>
      </c>
      <c r="M862" s="357" t="s">
        <v>204</v>
      </c>
      <c r="N862" s="416">
        <v>72000000</v>
      </c>
      <c r="O862" s="416">
        <v>72000000</v>
      </c>
      <c r="P862" s="358"/>
      <c r="Q862" s="320"/>
      <c r="R862" s="168"/>
      <c r="S862" s="168"/>
      <c r="T862" s="287"/>
      <c r="U862" s="264"/>
      <c r="V862" s="198"/>
    </row>
    <row r="863" spans="1:22" s="90" customFormat="1" ht="19.5" hidden="1" customHeight="1">
      <c r="A863" s="137"/>
      <c r="B863" s="197">
        <f t="shared" si="14"/>
        <v>853</v>
      </c>
      <c r="C863" s="30" t="s">
        <v>202</v>
      </c>
      <c r="D863" s="30" t="s">
        <v>225</v>
      </c>
      <c r="E863" s="234" t="s">
        <v>1172</v>
      </c>
      <c r="F863" s="235" t="s">
        <v>1233</v>
      </c>
      <c r="G863" s="476"/>
      <c r="H863" s="236" t="s">
        <v>4120</v>
      </c>
      <c r="I863" s="236">
        <v>1</v>
      </c>
      <c r="J863" s="236">
        <v>1</v>
      </c>
      <c r="K863" s="355" t="s">
        <v>1373</v>
      </c>
      <c r="L863" s="356">
        <v>44575</v>
      </c>
      <c r="M863" s="357" t="s">
        <v>204</v>
      </c>
      <c r="N863" s="416">
        <v>55000000</v>
      </c>
      <c r="O863" s="416">
        <v>55000000</v>
      </c>
      <c r="P863" s="358"/>
      <c r="Q863" s="320"/>
      <c r="R863" s="168"/>
      <c r="S863" s="168"/>
      <c r="T863" s="287"/>
      <c r="U863" s="264"/>
      <c r="V863" s="198"/>
    </row>
    <row r="864" spans="1:22" s="90" customFormat="1" ht="19.5" hidden="1" customHeight="1">
      <c r="A864" s="137"/>
      <c r="B864" s="197">
        <f t="shared" si="14"/>
        <v>854</v>
      </c>
      <c r="C864" s="30" t="s">
        <v>202</v>
      </c>
      <c r="D864" s="30" t="s">
        <v>225</v>
      </c>
      <c r="E864" s="234" t="s">
        <v>1173</v>
      </c>
      <c r="F864" s="235" t="s">
        <v>1229</v>
      </c>
      <c r="G864" s="476"/>
      <c r="H864" s="236" t="s">
        <v>4017</v>
      </c>
      <c r="I864" s="236">
        <v>1</v>
      </c>
      <c r="J864" s="236">
        <v>1</v>
      </c>
      <c r="K864" s="355" t="s">
        <v>1373</v>
      </c>
      <c r="L864" s="356">
        <v>38866</v>
      </c>
      <c r="M864" s="357" t="s">
        <v>204</v>
      </c>
      <c r="N864" s="416">
        <v>52800000</v>
      </c>
      <c r="O864" s="416">
        <v>52800000</v>
      </c>
      <c r="P864" s="358"/>
      <c r="Q864" s="320"/>
      <c r="R864" s="168"/>
      <c r="S864" s="168"/>
      <c r="T864" s="287"/>
      <c r="U864" s="264"/>
      <c r="V864" s="198"/>
    </row>
    <row r="865" spans="1:22" s="90" customFormat="1" ht="19.5" hidden="1" customHeight="1">
      <c r="A865" s="137"/>
      <c r="B865" s="197">
        <f t="shared" si="14"/>
        <v>855</v>
      </c>
      <c r="C865" s="30" t="s">
        <v>202</v>
      </c>
      <c r="D865" s="30" t="s">
        <v>225</v>
      </c>
      <c r="E865" s="234" t="s">
        <v>1174</v>
      </c>
      <c r="F865" s="235" t="s">
        <v>1364</v>
      </c>
      <c r="G865" s="476"/>
      <c r="H865" s="236" t="s">
        <v>4775</v>
      </c>
      <c r="I865" s="236">
        <v>1</v>
      </c>
      <c r="J865" s="236">
        <v>1</v>
      </c>
      <c r="K865" s="355" t="s">
        <v>1373</v>
      </c>
      <c r="L865" s="356">
        <v>42326</v>
      </c>
      <c r="M865" s="357" t="s">
        <v>204</v>
      </c>
      <c r="N865" s="416">
        <v>156000000</v>
      </c>
      <c r="O865" s="416">
        <v>156000000</v>
      </c>
      <c r="P865" s="358"/>
      <c r="Q865" s="320"/>
      <c r="R865" s="168"/>
      <c r="S865" s="168"/>
      <c r="T865" s="287"/>
      <c r="U865" s="264"/>
      <c r="V865" s="198"/>
    </row>
    <row r="866" spans="1:22" s="90" customFormat="1" ht="19.5" hidden="1" customHeight="1">
      <c r="A866" s="137"/>
      <c r="B866" s="197">
        <f t="shared" si="14"/>
        <v>856</v>
      </c>
      <c r="C866" s="30" t="s">
        <v>202</v>
      </c>
      <c r="D866" s="30" t="s">
        <v>225</v>
      </c>
      <c r="E866" s="234" t="s">
        <v>1175</v>
      </c>
      <c r="F866" s="235" t="s">
        <v>1232</v>
      </c>
      <c r="G866" s="476"/>
      <c r="H866" s="236" t="s">
        <v>4065</v>
      </c>
      <c r="I866" s="236">
        <v>1</v>
      </c>
      <c r="J866" s="236">
        <v>1</v>
      </c>
      <c r="K866" s="355" t="s">
        <v>1373</v>
      </c>
      <c r="L866" s="356">
        <v>43061</v>
      </c>
      <c r="M866" s="357" t="s">
        <v>204</v>
      </c>
      <c r="N866" s="416">
        <v>66000000</v>
      </c>
      <c r="O866" s="416">
        <v>66000000</v>
      </c>
      <c r="P866" s="358"/>
      <c r="Q866" s="320"/>
      <c r="R866" s="168"/>
      <c r="S866" s="168"/>
      <c r="T866" s="287"/>
      <c r="U866" s="264"/>
      <c r="V866" s="198"/>
    </row>
    <row r="867" spans="1:22" s="90" customFormat="1" ht="19.5" hidden="1" customHeight="1">
      <c r="A867" s="137"/>
      <c r="B867" s="197">
        <f t="shared" si="14"/>
        <v>857</v>
      </c>
      <c r="C867" s="30" t="s">
        <v>202</v>
      </c>
      <c r="D867" s="30" t="s">
        <v>225</v>
      </c>
      <c r="E867" s="234" t="s">
        <v>1176</v>
      </c>
      <c r="F867" s="235" t="s">
        <v>1235</v>
      </c>
      <c r="G867" s="476"/>
      <c r="H867" s="236" t="s">
        <v>3900</v>
      </c>
      <c r="I867" s="236">
        <v>1</v>
      </c>
      <c r="J867" s="236">
        <v>1</v>
      </c>
      <c r="K867" s="355" t="s">
        <v>1373</v>
      </c>
      <c r="L867" s="356">
        <v>42138</v>
      </c>
      <c r="M867" s="357" t="s">
        <v>204</v>
      </c>
      <c r="N867" s="416">
        <v>56100000</v>
      </c>
      <c r="O867" s="416">
        <v>56100000</v>
      </c>
      <c r="P867" s="358"/>
      <c r="Q867" s="320"/>
      <c r="R867" s="168"/>
      <c r="S867" s="168"/>
      <c r="T867" s="287"/>
      <c r="U867" s="264"/>
      <c r="V867" s="198"/>
    </row>
    <row r="868" spans="1:22" s="90" customFormat="1" ht="19.5" hidden="1" customHeight="1">
      <c r="A868" s="137"/>
      <c r="B868" s="197">
        <f t="shared" si="14"/>
        <v>858</v>
      </c>
      <c r="C868" s="30" t="s">
        <v>202</v>
      </c>
      <c r="D868" s="30" t="s">
        <v>225</v>
      </c>
      <c r="E868" s="234" t="s">
        <v>1177</v>
      </c>
      <c r="F868" s="235" t="s">
        <v>1263</v>
      </c>
      <c r="G868" s="476"/>
      <c r="H868" s="236" t="s">
        <v>4155</v>
      </c>
      <c r="I868" s="236">
        <v>1</v>
      </c>
      <c r="J868" s="236">
        <v>1</v>
      </c>
      <c r="K868" s="355" t="s">
        <v>1373</v>
      </c>
      <c r="L868" s="356">
        <v>38636</v>
      </c>
      <c r="M868" s="357" t="s">
        <v>204</v>
      </c>
      <c r="N868" s="416">
        <v>112800000</v>
      </c>
      <c r="O868" s="416">
        <v>112800000</v>
      </c>
      <c r="P868" s="358"/>
      <c r="Q868" s="320"/>
      <c r="R868" s="168"/>
      <c r="S868" s="168"/>
      <c r="T868" s="287"/>
      <c r="U868" s="264"/>
      <c r="V868" s="198"/>
    </row>
    <row r="869" spans="1:22" s="90" customFormat="1" ht="19.5" hidden="1" customHeight="1">
      <c r="A869" s="137"/>
      <c r="B869" s="197">
        <f t="shared" si="14"/>
        <v>859</v>
      </c>
      <c r="C869" s="30" t="s">
        <v>202</v>
      </c>
      <c r="D869" s="30" t="s">
        <v>225</v>
      </c>
      <c r="E869" s="234" t="s">
        <v>1178</v>
      </c>
      <c r="F869" s="235" t="s">
        <v>1251</v>
      </c>
      <c r="G869" s="476"/>
      <c r="H869" s="236" t="s">
        <v>4346</v>
      </c>
      <c r="I869" s="236">
        <v>1</v>
      </c>
      <c r="J869" s="236">
        <v>1</v>
      </c>
      <c r="K869" s="355" t="s">
        <v>1373</v>
      </c>
      <c r="L869" s="356">
        <v>44680</v>
      </c>
      <c r="M869" s="357" t="s">
        <v>204</v>
      </c>
      <c r="N869" s="416">
        <v>50600000</v>
      </c>
      <c r="O869" s="416">
        <v>50600000</v>
      </c>
      <c r="P869" s="358"/>
      <c r="Q869" s="320"/>
      <c r="R869" s="168"/>
      <c r="S869" s="168"/>
      <c r="T869" s="287"/>
      <c r="U869" s="264"/>
      <c r="V869" s="198"/>
    </row>
    <row r="870" spans="1:22" s="90" customFormat="1" ht="19.5" hidden="1" customHeight="1">
      <c r="A870" s="137"/>
      <c r="B870" s="197">
        <f t="shared" si="14"/>
        <v>860</v>
      </c>
      <c r="C870" s="30" t="s">
        <v>202</v>
      </c>
      <c r="D870" s="30" t="s">
        <v>225</v>
      </c>
      <c r="E870" s="234" t="s">
        <v>1179</v>
      </c>
      <c r="F870" s="235" t="s">
        <v>1226</v>
      </c>
      <c r="G870" s="476"/>
      <c r="H870" s="236" t="s">
        <v>4284</v>
      </c>
      <c r="I870" s="236">
        <v>1</v>
      </c>
      <c r="J870" s="236">
        <v>1</v>
      </c>
      <c r="K870" s="355" t="s">
        <v>1373</v>
      </c>
      <c r="L870" s="356">
        <v>41968</v>
      </c>
      <c r="M870" s="357" t="s">
        <v>204</v>
      </c>
      <c r="N870" s="416">
        <v>114000000</v>
      </c>
      <c r="O870" s="416">
        <v>114000000</v>
      </c>
      <c r="P870" s="358"/>
      <c r="Q870" s="320"/>
      <c r="R870" s="168"/>
      <c r="S870" s="168"/>
      <c r="T870" s="287"/>
      <c r="U870" s="264"/>
      <c r="V870" s="198"/>
    </row>
    <row r="871" spans="1:22" s="90" customFormat="1" ht="19.5" hidden="1" customHeight="1">
      <c r="A871" s="137"/>
      <c r="B871" s="197">
        <f t="shared" si="14"/>
        <v>861</v>
      </c>
      <c r="C871" s="30" t="s">
        <v>202</v>
      </c>
      <c r="D871" s="30" t="s">
        <v>225</v>
      </c>
      <c r="E871" s="234" t="s">
        <v>1180</v>
      </c>
      <c r="F871" s="235" t="s">
        <v>1226</v>
      </c>
      <c r="G871" s="476"/>
      <c r="H871" s="236" t="s">
        <v>4173</v>
      </c>
      <c r="I871" s="236">
        <v>1</v>
      </c>
      <c r="J871" s="236">
        <v>1</v>
      </c>
      <c r="K871" s="355" t="s">
        <v>1374</v>
      </c>
      <c r="L871" s="356">
        <v>45056</v>
      </c>
      <c r="M871" s="357" t="s">
        <v>204</v>
      </c>
      <c r="N871" s="416">
        <v>93500000</v>
      </c>
      <c r="O871" s="416">
        <v>93500000</v>
      </c>
      <c r="P871" s="358"/>
      <c r="Q871" s="320"/>
      <c r="R871" s="168"/>
      <c r="S871" s="168"/>
      <c r="T871" s="287"/>
      <c r="U871" s="264"/>
      <c r="V871" s="198"/>
    </row>
    <row r="872" spans="1:22" s="90" customFormat="1" ht="19.5" hidden="1" customHeight="1">
      <c r="A872" s="137"/>
      <c r="B872" s="197">
        <f t="shared" si="14"/>
        <v>862</v>
      </c>
      <c r="C872" s="30" t="s">
        <v>202</v>
      </c>
      <c r="D872" s="30" t="s">
        <v>225</v>
      </c>
      <c r="E872" s="234" t="s">
        <v>1180</v>
      </c>
      <c r="F872" s="235" t="s">
        <v>1226</v>
      </c>
      <c r="G872" s="476"/>
      <c r="H872" s="236" t="s">
        <v>4173</v>
      </c>
      <c r="I872" s="236">
        <v>1</v>
      </c>
      <c r="J872" s="236">
        <v>2</v>
      </c>
      <c r="K872" s="355" t="s">
        <v>1374</v>
      </c>
      <c r="L872" s="356">
        <v>45132</v>
      </c>
      <c r="M872" s="357" t="s">
        <v>204</v>
      </c>
      <c r="N872" s="416">
        <v>25300000</v>
      </c>
      <c r="O872" s="416">
        <v>25300000</v>
      </c>
      <c r="P872" s="358"/>
      <c r="Q872" s="320"/>
      <c r="R872" s="168"/>
      <c r="S872" s="168"/>
      <c r="T872" s="287"/>
      <c r="U872" s="264"/>
      <c r="V872" s="198"/>
    </row>
    <row r="873" spans="1:22" s="90" customFormat="1" ht="19.5" hidden="1" customHeight="1">
      <c r="A873" s="137"/>
      <c r="B873" s="197">
        <f t="shared" si="14"/>
        <v>863</v>
      </c>
      <c r="C873" s="30" t="s">
        <v>202</v>
      </c>
      <c r="D873" s="30" t="s">
        <v>225</v>
      </c>
      <c r="E873" s="234" t="s">
        <v>1180</v>
      </c>
      <c r="F873" s="235" t="s">
        <v>1226</v>
      </c>
      <c r="G873" s="476"/>
      <c r="H873" s="236" t="s">
        <v>4173</v>
      </c>
      <c r="I873" s="236">
        <v>1</v>
      </c>
      <c r="J873" s="236">
        <v>3</v>
      </c>
      <c r="K873" s="355" t="s">
        <v>1373</v>
      </c>
      <c r="L873" s="356">
        <v>45222</v>
      </c>
      <c r="M873" s="357" t="s">
        <v>204</v>
      </c>
      <c r="N873" s="416">
        <v>44000000</v>
      </c>
      <c r="O873" s="416">
        <v>44000000</v>
      </c>
      <c r="P873" s="358"/>
      <c r="Q873" s="320"/>
      <c r="R873" s="168"/>
      <c r="S873" s="168"/>
      <c r="T873" s="287"/>
      <c r="U873" s="264"/>
      <c r="V873" s="198"/>
    </row>
    <row r="874" spans="1:22" s="90" customFormat="1" ht="19.5" hidden="1" customHeight="1">
      <c r="A874" s="137"/>
      <c r="B874" s="197">
        <f t="shared" si="14"/>
        <v>864</v>
      </c>
      <c r="C874" s="30" t="s">
        <v>202</v>
      </c>
      <c r="D874" s="30" t="s">
        <v>225</v>
      </c>
      <c r="E874" s="234" t="s">
        <v>1181</v>
      </c>
      <c r="F874" s="235" t="s">
        <v>1229</v>
      </c>
      <c r="G874" s="476"/>
      <c r="H874" s="236" t="s">
        <v>3902</v>
      </c>
      <c r="I874" s="236">
        <v>1</v>
      </c>
      <c r="J874" s="236">
        <v>1</v>
      </c>
      <c r="K874" s="355" t="s">
        <v>1373</v>
      </c>
      <c r="L874" s="356">
        <v>43325</v>
      </c>
      <c r="M874" s="357" t="s">
        <v>204</v>
      </c>
      <c r="N874" s="416">
        <v>60000000</v>
      </c>
      <c r="O874" s="416">
        <v>60000000</v>
      </c>
      <c r="P874" s="358"/>
      <c r="Q874" s="320"/>
      <c r="R874" s="168"/>
      <c r="S874" s="168"/>
      <c r="T874" s="287"/>
      <c r="U874" s="264"/>
      <c r="V874" s="198"/>
    </row>
    <row r="875" spans="1:22" s="90" customFormat="1" ht="19.5" hidden="1" customHeight="1">
      <c r="A875" s="137"/>
      <c r="B875" s="197">
        <f t="shared" si="14"/>
        <v>865</v>
      </c>
      <c r="C875" s="30" t="s">
        <v>202</v>
      </c>
      <c r="D875" s="30" t="s">
        <v>225</v>
      </c>
      <c r="E875" s="234" t="s">
        <v>1182</v>
      </c>
      <c r="F875" s="235" t="s">
        <v>1225</v>
      </c>
      <c r="G875" s="476"/>
      <c r="H875" s="236" t="s">
        <v>4636</v>
      </c>
      <c r="I875" s="236">
        <v>1</v>
      </c>
      <c r="J875" s="236">
        <v>1</v>
      </c>
      <c r="K875" s="355" t="s">
        <v>1373</v>
      </c>
      <c r="L875" s="356">
        <v>44497</v>
      </c>
      <c r="M875" s="357" t="s">
        <v>204</v>
      </c>
      <c r="N875" s="416">
        <v>46200000</v>
      </c>
      <c r="O875" s="416">
        <v>46200000</v>
      </c>
      <c r="P875" s="358"/>
      <c r="Q875" s="320"/>
      <c r="R875" s="168"/>
      <c r="S875" s="168"/>
      <c r="T875" s="287"/>
      <c r="U875" s="264"/>
      <c r="V875" s="198"/>
    </row>
    <row r="876" spans="1:22" s="90" customFormat="1" ht="19.5" hidden="1" customHeight="1">
      <c r="A876" s="137"/>
      <c r="B876" s="197">
        <f t="shared" si="14"/>
        <v>866</v>
      </c>
      <c r="C876" s="30" t="s">
        <v>202</v>
      </c>
      <c r="D876" s="30" t="s">
        <v>225</v>
      </c>
      <c r="E876" s="234" t="s">
        <v>1183</v>
      </c>
      <c r="F876" s="235" t="s">
        <v>1227</v>
      </c>
      <c r="G876" s="476"/>
      <c r="H876" s="236" t="s">
        <v>4213</v>
      </c>
      <c r="I876" s="236">
        <v>1</v>
      </c>
      <c r="J876" s="236">
        <v>1</v>
      </c>
      <c r="K876" s="355" t="s">
        <v>1373</v>
      </c>
      <c r="L876" s="356">
        <v>40809</v>
      </c>
      <c r="M876" s="357" t="s">
        <v>204</v>
      </c>
      <c r="N876" s="416">
        <v>80400000</v>
      </c>
      <c r="O876" s="416">
        <v>80400000</v>
      </c>
      <c r="P876" s="358"/>
      <c r="Q876" s="320"/>
      <c r="R876" s="168"/>
      <c r="S876" s="168"/>
      <c r="T876" s="287"/>
      <c r="U876" s="264"/>
      <c r="V876" s="198"/>
    </row>
    <row r="877" spans="1:22" s="90" customFormat="1" ht="19.5" hidden="1" customHeight="1">
      <c r="A877" s="137"/>
      <c r="B877" s="197">
        <f t="shared" si="14"/>
        <v>867</v>
      </c>
      <c r="C877" s="30" t="s">
        <v>202</v>
      </c>
      <c r="D877" s="30" t="s">
        <v>225</v>
      </c>
      <c r="E877" s="234" t="s">
        <v>1184</v>
      </c>
      <c r="F877" s="235" t="s">
        <v>1266</v>
      </c>
      <c r="G877" s="476"/>
      <c r="H877" s="236" t="s">
        <v>4167</v>
      </c>
      <c r="I877" s="236">
        <v>1</v>
      </c>
      <c r="J877" s="236">
        <v>1</v>
      </c>
      <c r="K877" s="355" t="s">
        <v>1373</v>
      </c>
      <c r="L877" s="356">
        <v>42706</v>
      </c>
      <c r="M877" s="357" t="s">
        <v>204</v>
      </c>
      <c r="N877" s="416">
        <v>53760000</v>
      </c>
      <c r="O877" s="416">
        <v>53760000</v>
      </c>
      <c r="P877" s="358"/>
      <c r="Q877" s="320"/>
      <c r="R877" s="168"/>
      <c r="S877" s="168"/>
      <c r="T877" s="287"/>
      <c r="U877" s="264"/>
      <c r="V877" s="198"/>
    </row>
    <row r="878" spans="1:22" s="90" customFormat="1" ht="19.5" hidden="1" customHeight="1">
      <c r="A878" s="137"/>
      <c r="B878" s="197">
        <f t="shared" si="14"/>
        <v>868</v>
      </c>
      <c r="C878" s="30" t="s">
        <v>202</v>
      </c>
      <c r="D878" s="30" t="s">
        <v>225</v>
      </c>
      <c r="E878" s="234" t="s">
        <v>1185</v>
      </c>
      <c r="F878" s="235" t="s">
        <v>1289</v>
      </c>
      <c r="G878" s="476"/>
      <c r="H878" s="236" t="s">
        <v>4609</v>
      </c>
      <c r="I878" s="236">
        <v>1</v>
      </c>
      <c r="J878" s="236">
        <v>1</v>
      </c>
      <c r="K878" s="355" t="s">
        <v>1373</v>
      </c>
      <c r="L878" s="356">
        <v>43888</v>
      </c>
      <c r="M878" s="357" t="s">
        <v>204</v>
      </c>
      <c r="N878" s="416">
        <v>49200000</v>
      </c>
      <c r="O878" s="416">
        <v>49200000</v>
      </c>
      <c r="P878" s="358"/>
      <c r="Q878" s="320"/>
      <c r="R878" s="168"/>
      <c r="S878" s="168"/>
      <c r="T878" s="287"/>
      <c r="U878" s="264"/>
      <c r="V878" s="198"/>
    </row>
    <row r="879" spans="1:22" s="90" customFormat="1" ht="19.5" hidden="1" customHeight="1">
      <c r="A879" s="137"/>
      <c r="B879" s="197">
        <f t="shared" si="14"/>
        <v>869</v>
      </c>
      <c r="C879" s="30" t="s">
        <v>202</v>
      </c>
      <c r="D879" s="30" t="s">
        <v>225</v>
      </c>
      <c r="E879" s="234" t="s">
        <v>1186</v>
      </c>
      <c r="F879" s="235" t="s">
        <v>1221</v>
      </c>
      <c r="G879" s="476"/>
      <c r="H879" s="236" t="s">
        <v>4030</v>
      </c>
      <c r="I879" s="236">
        <v>1</v>
      </c>
      <c r="J879" s="236">
        <v>1</v>
      </c>
      <c r="K879" s="355" t="s">
        <v>1373</v>
      </c>
      <c r="L879" s="356">
        <v>41074</v>
      </c>
      <c r="M879" s="357" t="s">
        <v>204</v>
      </c>
      <c r="N879" s="416">
        <v>61200000</v>
      </c>
      <c r="O879" s="416">
        <v>61200000</v>
      </c>
      <c r="P879" s="358"/>
      <c r="Q879" s="320"/>
      <c r="R879" s="168"/>
      <c r="S879" s="168"/>
      <c r="T879" s="287"/>
      <c r="U879" s="264"/>
      <c r="V879" s="198"/>
    </row>
    <row r="880" spans="1:22" s="90" customFormat="1" ht="19.5" hidden="1" customHeight="1">
      <c r="A880" s="137"/>
      <c r="B880" s="197">
        <f t="shared" si="14"/>
        <v>870</v>
      </c>
      <c r="C880" s="30" t="s">
        <v>202</v>
      </c>
      <c r="D880" s="30" t="s">
        <v>225</v>
      </c>
      <c r="E880" s="234" t="s">
        <v>1187</v>
      </c>
      <c r="F880" s="235" t="s">
        <v>1242</v>
      </c>
      <c r="G880" s="476"/>
      <c r="H880" s="236" t="s">
        <v>4894</v>
      </c>
      <c r="I880" s="236">
        <v>1</v>
      </c>
      <c r="J880" s="236">
        <v>1</v>
      </c>
      <c r="K880" s="355" t="s">
        <v>1373</v>
      </c>
      <c r="L880" s="356">
        <v>43833</v>
      </c>
      <c r="M880" s="357" t="s">
        <v>204</v>
      </c>
      <c r="N880" s="416">
        <v>46200000</v>
      </c>
      <c r="O880" s="416">
        <v>46200000</v>
      </c>
      <c r="P880" s="358"/>
      <c r="Q880" s="320"/>
      <c r="R880" s="168"/>
      <c r="S880" s="168"/>
      <c r="T880" s="287"/>
      <c r="U880" s="264"/>
      <c r="V880" s="198"/>
    </row>
    <row r="881" spans="1:22" s="90" customFormat="1" ht="19.5" hidden="1" customHeight="1">
      <c r="A881" s="137"/>
      <c r="B881" s="197">
        <f t="shared" si="14"/>
        <v>871</v>
      </c>
      <c r="C881" s="30" t="s">
        <v>202</v>
      </c>
      <c r="D881" s="30" t="s">
        <v>225</v>
      </c>
      <c r="E881" s="234" t="s">
        <v>1188</v>
      </c>
      <c r="F881" s="235" t="s">
        <v>1225</v>
      </c>
      <c r="G881" s="476"/>
      <c r="H881" s="236" t="s">
        <v>4549</v>
      </c>
      <c r="I881" s="236">
        <v>1</v>
      </c>
      <c r="J881" s="236">
        <v>1</v>
      </c>
      <c r="K881" s="355" t="s">
        <v>1373</v>
      </c>
      <c r="L881" s="356">
        <v>42853</v>
      </c>
      <c r="M881" s="357" t="s">
        <v>204</v>
      </c>
      <c r="N881" s="416">
        <v>62400000</v>
      </c>
      <c r="O881" s="416">
        <v>62400000</v>
      </c>
      <c r="P881" s="358"/>
      <c r="Q881" s="320"/>
      <c r="R881" s="168"/>
      <c r="S881" s="168"/>
      <c r="T881" s="287"/>
      <c r="U881" s="264"/>
      <c r="V881" s="198"/>
    </row>
    <row r="882" spans="1:22" s="90" customFormat="1" ht="19.5" hidden="1" customHeight="1">
      <c r="A882" s="137"/>
      <c r="B882" s="197">
        <f t="shared" si="14"/>
        <v>872</v>
      </c>
      <c r="C882" s="30" t="s">
        <v>202</v>
      </c>
      <c r="D882" s="30" t="s">
        <v>225</v>
      </c>
      <c r="E882" s="234" t="s">
        <v>1189</v>
      </c>
      <c r="F882" s="235" t="s">
        <v>1260</v>
      </c>
      <c r="G882" s="476"/>
      <c r="H882" s="236" t="s">
        <v>4763</v>
      </c>
      <c r="I882" s="236">
        <v>1</v>
      </c>
      <c r="J882" s="236">
        <v>1</v>
      </c>
      <c r="K882" s="355" t="s">
        <v>1373</v>
      </c>
      <c r="L882" s="356">
        <v>40938</v>
      </c>
      <c r="M882" s="357" t="s">
        <v>204</v>
      </c>
      <c r="N882" s="416">
        <v>69600000</v>
      </c>
      <c r="O882" s="416">
        <v>69600000</v>
      </c>
      <c r="P882" s="358"/>
      <c r="Q882" s="320"/>
      <c r="R882" s="168"/>
      <c r="S882" s="168"/>
      <c r="T882" s="287"/>
      <c r="U882" s="264"/>
      <c r="V882" s="198"/>
    </row>
    <row r="883" spans="1:22" s="90" customFormat="1" ht="19.5" hidden="1" customHeight="1">
      <c r="A883" s="137"/>
      <c r="B883" s="197">
        <f t="shared" si="14"/>
        <v>873</v>
      </c>
      <c r="C883" s="30" t="s">
        <v>202</v>
      </c>
      <c r="D883" s="30" t="s">
        <v>225</v>
      </c>
      <c r="E883" s="234" t="s">
        <v>1190</v>
      </c>
      <c r="F883" s="235" t="s">
        <v>1244</v>
      </c>
      <c r="G883" s="476"/>
      <c r="H883" s="236" t="s">
        <v>4932</v>
      </c>
      <c r="I883" s="236">
        <v>1</v>
      </c>
      <c r="J883" s="236">
        <v>1</v>
      </c>
      <c r="K883" s="355" t="s">
        <v>1373</v>
      </c>
      <c r="L883" s="356">
        <v>41290</v>
      </c>
      <c r="M883" s="357" t="s">
        <v>204</v>
      </c>
      <c r="N883" s="416">
        <v>48000000</v>
      </c>
      <c r="O883" s="416">
        <v>48000000</v>
      </c>
      <c r="P883" s="358"/>
      <c r="Q883" s="320"/>
      <c r="R883" s="168"/>
      <c r="S883" s="168"/>
      <c r="T883" s="287"/>
      <c r="U883" s="264"/>
      <c r="V883" s="198"/>
    </row>
    <row r="884" spans="1:22" s="90" customFormat="1" ht="19.5" hidden="1" customHeight="1">
      <c r="A884" s="137"/>
      <c r="B884" s="197">
        <f t="shared" si="14"/>
        <v>874</v>
      </c>
      <c r="C884" s="30" t="s">
        <v>202</v>
      </c>
      <c r="D884" s="30" t="s">
        <v>225</v>
      </c>
      <c r="E884" s="234" t="s">
        <v>1191</v>
      </c>
      <c r="F884" s="235" t="s">
        <v>1229</v>
      </c>
      <c r="G884" s="476"/>
      <c r="H884" s="236" t="s">
        <v>4765</v>
      </c>
      <c r="I884" s="236">
        <v>1</v>
      </c>
      <c r="J884" s="236">
        <v>1</v>
      </c>
      <c r="K884" s="355" t="s">
        <v>1373</v>
      </c>
      <c r="L884" s="356">
        <v>42593</v>
      </c>
      <c r="M884" s="357" t="s">
        <v>204</v>
      </c>
      <c r="N884" s="416">
        <v>46800000</v>
      </c>
      <c r="O884" s="416">
        <v>46800000</v>
      </c>
      <c r="P884" s="358"/>
      <c r="Q884" s="320"/>
      <c r="R884" s="168"/>
      <c r="S884" s="168"/>
      <c r="T884" s="287"/>
      <c r="U884" s="264"/>
      <c r="V884" s="198"/>
    </row>
    <row r="885" spans="1:22" s="90" customFormat="1" ht="19.5" hidden="1" customHeight="1">
      <c r="A885" s="137"/>
      <c r="B885" s="197">
        <f t="shared" si="14"/>
        <v>875</v>
      </c>
      <c r="C885" s="30" t="s">
        <v>202</v>
      </c>
      <c r="D885" s="30" t="s">
        <v>225</v>
      </c>
      <c r="E885" s="234" t="s">
        <v>1192</v>
      </c>
      <c r="F885" s="235" t="s">
        <v>1234</v>
      </c>
      <c r="G885" s="476"/>
      <c r="H885" s="236" t="s">
        <v>4256</v>
      </c>
      <c r="I885" s="236">
        <v>1</v>
      </c>
      <c r="J885" s="236">
        <v>1</v>
      </c>
      <c r="K885" s="355" t="s">
        <v>1373</v>
      </c>
      <c r="L885" s="356">
        <v>44249</v>
      </c>
      <c r="M885" s="357" t="s">
        <v>204</v>
      </c>
      <c r="N885" s="416">
        <v>48000000</v>
      </c>
      <c r="O885" s="416">
        <v>48000000</v>
      </c>
      <c r="P885" s="358"/>
      <c r="Q885" s="320"/>
      <c r="R885" s="168"/>
      <c r="S885" s="168"/>
      <c r="T885" s="287"/>
      <c r="U885" s="264"/>
      <c r="V885" s="198"/>
    </row>
    <row r="886" spans="1:22" s="90" customFormat="1" ht="19.5" hidden="1" customHeight="1">
      <c r="A886" s="137"/>
      <c r="B886" s="197">
        <f t="shared" si="14"/>
        <v>876</v>
      </c>
      <c r="C886" s="30" t="s">
        <v>202</v>
      </c>
      <c r="D886" s="30" t="s">
        <v>225</v>
      </c>
      <c r="E886" s="234" t="s">
        <v>1193</v>
      </c>
      <c r="F886" s="235" t="s">
        <v>1232</v>
      </c>
      <c r="G886" s="476"/>
      <c r="H886" s="236" t="s">
        <v>5007</v>
      </c>
      <c r="I886" s="236">
        <v>1</v>
      </c>
      <c r="J886" s="236">
        <v>1</v>
      </c>
      <c r="K886" s="355" t="s">
        <v>1373</v>
      </c>
      <c r="L886" s="356">
        <v>41894</v>
      </c>
      <c r="M886" s="357" t="s">
        <v>204</v>
      </c>
      <c r="N886" s="416">
        <v>48000000</v>
      </c>
      <c r="O886" s="416">
        <v>48000000</v>
      </c>
      <c r="P886" s="358"/>
      <c r="Q886" s="320"/>
      <c r="R886" s="168"/>
      <c r="S886" s="168"/>
      <c r="T886" s="287"/>
      <c r="U886" s="264"/>
      <c r="V886" s="198"/>
    </row>
    <row r="887" spans="1:22" s="90" customFormat="1" ht="19.5" hidden="1" customHeight="1">
      <c r="A887" s="137"/>
      <c r="B887" s="197">
        <f t="shared" si="14"/>
        <v>877</v>
      </c>
      <c r="C887" s="30" t="s">
        <v>202</v>
      </c>
      <c r="D887" s="30" t="s">
        <v>225</v>
      </c>
      <c r="E887" s="234" t="s">
        <v>1194</v>
      </c>
      <c r="F887" s="235" t="s">
        <v>1247</v>
      </c>
      <c r="G887" s="476"/>
      <c r="H887" s="236" t="s">
        <v>4322</v>
      </c>
      <c r="I887" s="236">
        <v>1</v>
      </c>
      <c r="J887" s="236">
        <v>1</v>
      </c>
      <c r="K887" s="355" t="s">
        <v>486</v>
      </c>
      <c r="L887" s="356">
        <v>43769</v>
      </c>
      <c r="M887" s="357" t="s">
        <v>204</v>
      </c>
      <c r="N887" s="416">
        <v>377300000</v>
      </c>
      <c r="O887" s="416">
        <v>377300000</v>
      </c>
      <c r="P887" s="358"/>
      <c r="Q887" s="320"/>
      <c r="R887" s="168"/>
      <c r="S887" s="168"/>
      <c r="T887" s="287"/>
      <c r="U887" s="264"/>
      <c r="V887" s="198"/>
    </row>
    <row r="888" spans="1:22" s="90" customFormat="1" ht="19.5" hidden="1" customHeight="1">
      <c r="A888" s="137"/>
      <c r="B888" s="197">
        <f t="shared" si="14"/>
        <v>878</v>
      </c>
      <c r="C888" s="30" t="s">
        <v>202</v>
      </c>
      <c r="D888" s="30" t="s">
        <v>225</v>
      </c>
      <c r="E888" s="234" t="s">
        <v>1194</v>
      </c>
      <c r="F888" s="235" t="s">
        <v>1247</v>
      </c>
      <c r="G888" s="476"/>
      <c r="H888" s="236" t="s">
        <v>4322</v>
      </c>
      <c r="I888" s="236">
        <v>1</v>
      </c>
      <c r="J888" s="236">
        <v>2</v>
      </c>
      <c r="K888" s="355" t="s">
        <v>1373</v>
      </c>
      <c r="L888" s="356">
        <v>44579</v>
      </c>
      <c r="M888" s="357" t="s">
        <v>204</v>
      </c>
      <c r="N888" s="416">
        <v>36000000</v>
      </c>
      <c r="O888" s="416">
        <v>36000000</v>
      </c>
      <c r="P888" s="358"/>
      <c r="Q888" s="320"/>
      <c r="R888" s="168"/>
      <c r="S888" s="168"/>
      <c r="T888" s="287"/>
      <c r="U888" s="264"/>
      <c r="V888" s="198"/>
    </row>
    <row r="889" spans="1:22" s="90" customFormat="1" ht="19.5" hidden="1" customHeight="1">
      <c r="A889" s="137"/>
      <c r="B889" s="197">
        <f t="shared" si="14"/>
        <v>879</v>
      </c>
      <c r="C889" s="30" t="s">
        <v>202</v>
      </c>
      <c r="D889" s="30" t="s">
        <v>225</v>
      </c>
      <c r="E889" s="234" t="s">
        <v>1195</v>
      </c>
      <c r="F889" s="235" t="s">
        <v>1222</v>
      </c>
      <c r="G889" s="476"/>
      <c r="H889" s="236" t="s">
        <v>4090</v>
      </c>
      <c r="I889" s="236">
        <v>1</v>
      </c>
      <c r="J889" s="236">
        <v>1</v>
      </c>
      <c r="K889" s="355" t="s">
        <v>1373</v>
      </c>
      <c r="L889" s="356">
        <v>44229</v>
      </c>
      <c r="M889" s="357" t="s">
        <v>204</v>
      </c>
      <c r="N889" s="416">
        <v>43200000</v>
      </c>
      <c r="O889" s="416">
        <v>43200000</v>
      </c>
      <c r="P889" s="358"/>
      <c r="Q889" s="320"/>
      <c r="R889" s="168"/>
      <c r="S889" s="168"/>
      <c r="T889" s="287"/>
      <c r="U889" s="264"/>
      <c r="V889" s="198"/>
    </row>
    <row r="890" spans="1:22" s="90" customFormat="1" ht="19.5" hidden="1" customHeight="1">
      <c r="A890" s="137"/>
      <c r="B890" s="197">
        <f t="shared" si="14"/>
        <v>880</v>
      </c>
      <c r="C890" s="30" t="s">
        <v>202</v>
      </c>
      <c r="D890" s="30" t="s">
        <v>225</v>
      </c>
      <c r="E890" s="234" t="s">
        <v>1196</v>
      </c>
      <c r="F890" s="235" t="s">
        <v>1218</v>
      </c>
      <c r="G890" s="476"/>
      <c r="H890" s="236" t="s">
        <v>3976</v>
      </c>
      <c r="I890" s="236">
        <v>1</v>
      </c>
      <c r="J890" s="236">
        <v>1</v>
      </c>
      <c r="K890" s="355" t="s">
        <v>1373</v>
      </c>
      <c r="L890" s="356">
        <v>42655</v>
      </c>
      <c r="M890" s="357" t="s">
        <v>204</v>
      </c>
      <c r="N890" s="416">
        <v>60000000</v>
      </c>
      <c r="O890" s="416">
        <v>60000000</v>
      </c>
      <c r="P890" s="358"/>
      <c r="Q890" s="320"/>
      <c r="R890" s="168"/>
      <c r="S890" s="411"/>
      <c r="T890" s="287"/>
      <c r="U890" s="264"/>
      <c r="V890" s="198"/>
    </row>
    <row r="891" spans="1:22" s="90" customFormat="1" ht="19.5" hidden="1" customHeight="1">
      <c r="A891" s="137"/>
      <c r="B891" s="197">
        <f t="shared" si="14"/>
        <v>881</v>
      </c>
      <c r="C891" s="30" t="s">
        <v>202</v>
      </c>
      <c r="D891" s="30" t="s">
        <v>225</v>
      </c>
      <c r="E891" s="234" t="s">
        <v>1197</v>
      </c>
      <c r="F891" s="235" t="s">
        <v>1232</v>
      </c>
      <c r="G891" s="476"/>
      <c r="H891" s="236" t="s">
        <v>5020</v>
      </c>
      <c r="I891" s="236">
        <v>1</v>
      </c>
      <c r="J891" s="236">
        <v>1</v>
      </c>
      <c r="K891" s="355" t="s">
        <v>1373</v>
      </c>
      <c r="L891" s="356">
        <v>42083</v>
      </c>
      <c r="M891" s="357" t="s">
        <v>204</v>
      </c>
      <c r="N891" s="416">
        <v>36000000</v>
      </c>
      <c r="O891" s="416">
        <v>36000000</v>
      </c>
      <c r="P891" s="358"/>
      <c r="Q891" s="320"/>
      <c r="R891" s="168"/>
      <c r="S891" s="168"/>
      <c r="T891" s="287"/>
      <c r="U891" s="264"/>
      <c r="V891" s="198"/>
    </row>
    <row r="892" spans="1:22" s="90" customFormat="1" ht="19.5" hidden="1" customHeight="1">
      <c r="A892" s="137"/>
      <c r="B892" s="197">
        <f t="shared" si="14"/>
        <v>882</v>
      </c>
      <c r="C892" s="30" t="s">
        <v>202</v>
      </c>
      <c r="D892" s="30" t="s">
        <v>225</v>
      </c>
      <c r="E892" s="234" t="s">
        <v>1198</v>
      </c>
      <c r="F892" s="235" t="s">
        <v>1252</v>
      </c>
      <c r="G892" s="476"/>
      <c r="H892" s="236" t="s">
        <v>3910</v>
      </c>
      <c r="I892" s="236">
        <v>1</v>
      </c>
      <c r="J892" s="236">
        <v>1</v>
      </c>
      <c r="K892" s="355" t="s">
        <v>1373</v>
      </c>
      <c r="L892" s="356">
        <v>41792</v>
      </c>
      <c r="M892" s="357" t="s">
        <v>204</v>
      </c>
      <c r="N892" s="416">
        <v>45600000</v>
      </c>
      <c r="O892" s="416">
        <v>45600000</v>
      </c>
      <c r="P892" s="358"/>
      <c r="Q892" s="320"/>
      <c r="R892" s="168"/>
      <c r="S892" s="168"/>
      <c r="T892" s="287"/>
      <c r="U892" s="264"/>
      <c r="V892" s="198"/>
    </row>
    <row r="893" spans="1:22" s="90" customFormat="1" ht="19.5" hidden="1" customHeight="1">
      <c r="A893" s="137"/>
      <c r="B893" s="197">
        <f t="shared" si="14"/>
        <v>883</v>
      </c>
      <c r="C893" s="30" t="s">
        <v>202</v>
      </c>
      <c r="D893" s="30" t="s">
        <v>225</v>
      </c>
      <c r="E893" s="234" t="s">
        <v>1199</v>
      </c>
      <c r="F893" s="235" t="s">
        <v>1351</v>
      </c>
      <c r="G893" s="476"/>
      <c r="H893" s="236" t="s">
        <v>5075</v>
      </c>
      <c r="I893" s="236">
        <v>1</v>
      </c>
      <c r="J893" s="236">
        <v>1</v>
      </c>
      <c r="K893" s="355" t="s">
        <v>1373</v>
      </c>
      <c r="L893" s="356">
        <v>43336</v>
      </c>
      <c r="M893" s="357" t="s">
        <v>204</v>
      </c>
      <c r="N893" s="416">
        <v>40800000</v>
      </c>
      <c r="O893" s="416">
        <v>40800000</v>
      </c>
      <c r="P893" s="358"/>
      <c r="Q893" s="320"/>
      <c r="R893" s="168"/>
      <c r="S893" s="168"/>
      <c r="T893" s="287"/>
      <c r="U893" s="264"/>
      <c r="V893" s="198"/>
    </row>
    <row r="894" spans="1:22" s="90" customFormat="1" ht="19.5" hidden="1" customHeight="1">
      <c r="A894" s="137"/>
      <c r="B894" s="197">
        <f t="shared" si="14"/>
        <v>884</v>
      </c>
      <c r="C894" s="30" t="s">
        <v>202</v>
      </c>
      <c r="D894" s="30" t="s">
        <v>225</v>
      </c>
      <c r="E894" s="234" t="s">
        <v>1200</v>
      </c>
      <c r="F894" s="235" t="s">
        <v>1229</v>
      </c>
      <c r="G894" s="476"/>
      <c r="H894" s="236" t="s">
        <v>4094</v>
      </c>
      <c r="I894" s="236">
        <v>1</v>
      </c>
      <c r="J894" s="236">
        <v>1</v>
      </c>
      <c r="K894" s="355" t="s">
        <v>488</v>
      </c>
      <c r="L894" s="356">
        <v>39357</v>
      </c>
      <c r="M894" s="357" t="s">
        <v>204</v>
      </c>
      <c r="N894" s="416">
        <v>22000000</v>
      </c>
      <c r="O894" s="416">
        <v>22000000</v>
      </c>
      <c r="P894" s="358"/>
      <c r="Q894" s="320"/>
      <c r="R894" s="168"/>
      <c r="S894" s="168"/>
      <c r="T894" s="287"/>
      <c r="U894" s="264"/>
      <c r="V894" s="198"/>
    </row>
    <row r="895" spans="1:22" s="90" customFormat="1" ht="19.5" hidden="1" customHeight="1">
      <c r="A895" s="137"/>
      <c r="B895" s="197">
        <f t="shared" si="14"/>
        <v>885</v>
      </c>
      <c r="C895" s="30" t="s">
        <v>202</v>
      </c>
      <c r="D895" s="30" t="s">
        <v>225</v>
      </c>
      <c r="E895" s="234" t="s">
        <v>1200</v>
      </c>
      <c r="F895" s="235" t="s">
        <v>1229</v>
      </c>
      <c r="G895" s="476"/>
      <c r="H895" s="236" t="s">
        <v>4094</v>
      </c>
      <c r="I895" s="236">
        <v>1</v>
      </c>
      <c r="J895" s="236">
        <v>2</v>
      </c>
      <c r="K895" s="355" t="s">
        <v>1373</v>
      </c>
      <c r="L895" s="356">
        <v>39357</v>
      </c>
      <c r="M895" s="357" t="s">
        <v>204</v>
      </c>
      <c r="N895" s="416">
        <v>42000000</v>
      </c>
      <c r="O895" s="416">
        <v>42000000</v>
      </c>
      <c r="P895" s="358"/>
      <c r="Q895" s="320"/>
      <c r="R895" s="168"/>
      <c r="S895" s="168"/>
      <c r="T895" s="287"/>
      <c r="U895" s="264"/>
      <c r="V895" s="198"/>
    </row>
    <row r="896" spans="1:22" s="90" customFormat="1" ht="19.5" hidden="1" customHeight="1">
      <c r="A896" s="137"/>
      <c r="B896" s="197">
        <f t="shared" si="14"/>
        <v>886</v>
      </c>
      <c r="C896" s="30" t="s">
        <v>202</v>
      </c>
      <c r="D896" s="30" t="s">
        <v>225</v>
      </c>
      <c r="E896" s="234" t="s">
        <v>1200</v>
      </c>
      <c r="F896" s="235" t="s">
        <v>1229</v>
      </c>
      <c r="G896" s="476"/>
      <c r="H896" s="236" t="s">
        <v>4094</v>
      </c>
      <c r="I896" s="236">
        <v>1</v>
      </c>
      <c r="J896" s="236">
        <v>3</v>
      </c>
      <c r="K896" s="355" t="s">
        <v>1373</v>
      </c>
      <c r="L896" s="356">
        <v>39507</v>
      </c>
      <c r="M896" s="357" t="s">
        <v>204</v>
      </c>
      <c r="N896" s="416">
        <v>20400000</v>
      </c>
      <c r="O896" s="416">
        <v>20400000</v>
      </c>
      <c r="P896" s="358"/>
      <c r="Q896" s="320"/>
      <c r="R896" s="168"/>
      <c r="S896" s="168"/>
      <c r="T896" s="287"/>
      <c r="U896" s="264"/>
      <c r="V896" s="198"/>
    </row>
    <row r="897" spans="1:22" s="90" customFormat="1" ht="19.5" hidden="1" customHeight="1">
      <c r="A897" s="137"/>
      <c r="B897" s="197">
        <f t="shared" si="14"/>
        <v>887</v>
      </c>
      <c r="C897" s="30" t="s">
        <v>202</v>
      </c>
      <c r="D897" s="30" t="s">
        <v>225</v>
      </c>
      <c r="E897" s="234" t="s">
        <v>1201</v>
      </c>
      <c r="F897" s="235" t="s">
        <v>1217</v>
      </c>
      <c r="G897" s="476"/>
      <c r="H897" s="236" t="s">
        <v>4246</v>
      </c>
      <c r="I897" s="236">
        <v>1</v>
      </c>
      <c r="J897" s="236">
        <v>1</v>
      </c>
      <c r="K897" s="355" t="s">
        <v>1373</v>
      </c>
      <c r="L897" s="356">
        <v>41988</v>
      </c>
      <c r="M897" s="357" t="s">
        <v>204</v>
      </c>
      <c r="N897" s="416">
        <v>15600000</v>
      </c>
      <c r="O897" s="416">
        <v>15600000</v>
      </c>
      <c r="P897" s="358"/>
      <c r="Q897" s="320"/>
      <c r="R897" s="168"/>
      <c r="S897" s="168"/>
      <c r="T897" s="287"/>
      <c r="U897" s="264"/>
      <c r="V897" s="198"/>
    </row>
    <row r="898" spans="1:22" s="90" customFormat="1" ht="19.5" hidden="1" customHeight="1">
      <c r="A898" s="137"/>
      <c r="B898" s="197">
        <f t="shared" si="14"/>
        <v>888</v>
      </c>
      <c r="C898" s="30" t="s">
        <v>202</v>
      </c>
      <c r="D898" s="30" t="s">
        <v>225</v>
      </c>
      <c r="E898" s="234" t="s">
        <v>1202</v>
      </c>
      <c r="F898" s="235" t="s">
        <v>1231</v>
      </c>
      <c r="G898" s="476"/>
      <c r="H898" s="236" t="s">
        <v>4054</v>
      </c>
      <c r="I898" s="236">
        <v>1</v>
      </c>
      <c r="J898" s="236">
        <v>1</v>
      </c>
      <c r="K898" s="355" t="s">
        <v>1373</v>
      </c>
      <c r="L898" s="356">
        <v>41978</v>
      </c>
      <c r="M898" s="357" t="s">
        <v>204</v>
      </c>
      <c r="N898" s="416">
        <v>38400000</v>
      </c>
      <c r="O898" s="416">
        <v>38400000</v>
      </c>
      <c r="P898" s="358"/>
      <c r="Q898" s="320"/>
      <c r="R898" s="168"/>
      <c r="S898" s="168"/>
      <c r="T898" s="287"/>
      <c r="U898" s="264"/>
      <c r="V898" s="198"/>
    </row>
    <row r="899" spans="1:22" s="90" customFormat="1" ht="19.5" hidden="1" customHeight="1">
      <c r="A899" s="137"/>
      <c r="B899" s="197">
        <f t="shared" si="14"/>
        <v>889</v>
      </c>
      <c r="C899" s="30" t="s">
        <v>202</v>
      </c>
      <c r="D899" s="30" t="s">
        <v>225</v>
      </c>
      <c r="E899" s="234" t="s">
        <v>1203</v>
      </c>
      <c r="F899" s="235" t="s">
        <v>1229</v>
      </c>
      <c r="G899" s="476"/>
      <c r="H899" s="236" t="s">
        <v>4203</v>
      </c>
      <c r="I899" s="236">
        <v>1</v>
      </c>
      <c r="J899" s="236">
        <v>1</v>
      </c>
      <c r="K899" s="355" t="s">
        <v>1373</v>
      </c>
      <c r="L899" s="356">
        <v>40732</v>
      </c>
      <c r="M899" s="357" t="s">
        <v>204</v>
      </c>
      <c r="N899" s="416">
        <v>60000000</v>
      </c>
      <c r="O899" s="416">
        <v>60000000</v>
      </c>
      <c r="P899" s="358"/>
      <c r="Q899" s="320"/>
      <c r="R899" s="168"/>
      <c r="S899" s="168"/>
      <c r="T899" s="287"/>
      <c r="U899" s="264"/>
      <c r="V899" s="198"/>
    </row>
    <row r="900" spans="1:22" s="90" customFormat="1" ht="19.5" hidden="1" customHeight="1">
      <c r="A900" s="137"/>
      <c r="B900" s="197">
        <f t="shared" si="14"/>
        <v>890</v>
      </c>
      <c r="C900" s="30" t="s">
        <v>202</v>
      </c>
      <c r="D900" s="30" t="s">
        <v>225</v>
      </c>
      <c r="E900" s="234" t="s">
        <v>1204</v>
      </c>
      <c r="F900" s="235" t="s">
        <v>1217</v>
      </c>
      <c r="G900" s="476"/>
      <c r="H900" s="236" t="s">
        <v>4652</v>
      </c>
      <c r="I900" s="236">
        <v>1</v>
      </c>
      <c r="J900" s="236">
        <v>1</v>
      </c>
      <c r="K900" s="355" t="s">
        <v>1373</v>
      </c>
      <c r="L900" s="356">
        <v>39281</v>
      </c>
      <c r="M900" s="357" t="s">
        <v>204</v>
      </c>
      <c r="N900" s="416">
        <v>30000000</v>
      </c>
      <c r="O900" s="416">
        <v>30000000</v>
      </c>
      <c r="P900" s="358"/>
      <c r="Q900" s="320"/>
      <c r="R900" s="168"/>
      <c r="S900" s="168"/>
      <c r="T900" s="287"/>
      <c r="U900" s="264"/>
      <c r="V900" s="198"/>
    </row>
    <row r="901" spans="1:22" s="90" customFormat="1" ht="19.5" hidden="1" customHeight="1">
      <c r="A901" s="137"/>
      <c r="B901" s="197">
        <f t="shared" si="14"/>
        <v>891</v>
      </c>
      <c r="C901" s="30" t="s">
        <v>202</v>
      </c>
      <c r="D901" s="30" t="s">
        <v>225</v>
      </c>
      <c r="E901" s="234" t="s">
        <v>1204</v>
      </c>
      <c r="F901" s="235" t="s">
        <v>1217</v>
      </c>
      <c r="G901" s="476"/>
      <c r="H901" s="236" t="s">
        <v>4652</v>
      </c>
      <c r="I901" s="236">
        <v>1</v>
      </c>
      <c r="J901" s="236">
        <v>2</v>
      </c>
      <c r="K901" s="355" t="s">
        <v>1373</v>
      </c>
      <c r="L901" s="356">
        <v>40001</v>
      </c>
      <c r="M901" s="357" t="s">
        <v>204</v>
      </c>
      <c r="N901" s="416">
        <v>7200000</v>
      </c>
      <c r="O901" s="416">
        <v>7200000</v>
      </c>
      <c r="P901" s="358"/>
      <c r="Q901" s="320"/>
      <c r="R901" s="168"/>
      <c r="S901" s="168"/>
      <c r="T901" s="287"/>
      <c r="U901" s="264"/>
      <c r="V901" s="198"/>
    </row>
    <row r="902" spans="1:22" s="90" customFormat="1" ht="19.5" hidden="1" customHeight="1">
      <c r="A902" s="137"/>
      <c r="B902" s="197">
        <f t="shared" si="14"/>
        <v>892</v>
      </c>
      <c r="C902" s="30" t="s">
        <v>202</v>
      </c>
      <c r="D902" s="30" t="s">
        <v>225</v>
      </c>
      <c r="E902" s="234" t="s">
        <v>1204</v>
      </c>
      <c r="F902" s="235" t="s">
        <v>1217</v>
      </c>
      <c r="G902" s="476"/>
      <c r="H902" s="236" t="s">
        <v>4652</v>
      </c>
      <c r="I902" s="236">
        <v>1</v>
      </c>
      <c r="J902" s="236">
        <v>3</v>
      </c>
      <c r="K902" s="355" t="s">
        <v>1373</v>
      </c>
      <c r="L902" s="356">
        <v>41085</v>
      </c>
      <c r="M902" s="357" t="s">
        <v>204</v>
      </c>
      <c r="N902" s="416">
        <v>19800000</v>
      </c>
      <c r="O902" s="416">
        <v>19800000</v>
      </c>
      <c r="P902" s="358"/>
      <c r="Q902" s="320"/>
      <c r="R902" s="168"/>
      <c r="S902" s="168"/>
      <c r="T902" s="287"/>
      <c r="U902" s="264"/>
      <c r="V902" s="198"/>
    </row>
    <row r="903" spans="1:22" s="90" customFormat="1" ht="19.5" hidden="1" customHeight="1">
      <c r="A903" s="137"/>
      <c r="B903" s="197">
        <f t="shared" si="14"/>
        <v>893</v>
      </c>
      <c r="C903" s="30" t="s">
        <v>202</v>
      </c>
      <c r="D903" s="30" t="s">
        <v>225</v>
      </c>
      <c r="E903" s="234" t="s">
        <v>1205</v>
      </c>
      <c r="F903" s="235" t="s">
        <v>1229</v>
      </c>
      <c r="G903" s="476"/>
      <c r="H903" s="236" t="s">
        <v>3967</v>
      </c>
      <c r="I903" s="236">
        <v>1</v>
      </c>
      <c r="J903" s="236">
        <v>1</v>
      </c>
      <c r="K903" s="355" t="s">
        <v>1373</v>
      </c>
      <c r="L903" s="356">
        <v>42706</v>
      </c>
      <c r="M903" s="357" t="s">
        <v>204</v>
      </c>
      <c r="N903" s="416">
        <v>36000000</v>
      </c>
      <c r="O903" s="416">
        <v>36000000</v>
      </c>
      <c r="P903" s="358"/>
      <c r="Q903" s="320"/>
      <c r="R903" s="168"/>
      <c r="S903" s="168"/>
      <c r="T903" s="287"/>
      <c r="U903" s="264"/>
      <c r="V903" s="198"/>
    </row>
    <row r="904" spans="1:22" s="90" customFormat="1" ht="19.5" hidden="1" customHeight="1">
      <c r="A904" s="137"/>
      <c r="B904" s="197">
        <f t="shared" si="14"/>
        <v>894</v>
      </c>
      <c r="C904" s="30" t="s">
        <v>202</v>
      </c>
      <c r="D904" s="30" t="s">
        <v>359</v>
      </c>
      <c r="E904" s="234" t="s">
        <v>1206</v>
      </c>
      <c r="F904" s="235" t="s">
        <v>1365</v>
      </c>
      <c r="G904" s="476"/>
      <c r="H904" s="236" t="s">
        <v>4296</v>
      </c>
      <c r="I904" s="236">
        <v>1</v>
      </c>
      <c r="J904" s="236">
        <v>1</v>
      </c>
      <c r="K904" s="355" t="s">
        <v>1373</v>
      </c>
      <c r="L904" s="356">
        <v>44771</v>
      </c>
      <c r="M904" s="357" t="s">
        <v>204</v>
      </c>
      <c r="N904" s="416">
        <v>5160000000</v>
      </c>
      <c r="O904" s="416">
        <v>5160000000</v>
      </c>
      <c r="P904" s="358" t="s">
        <v>1412</v>
      </c>
      <c r="Q904" s="320"/>
      <c r="R904" s="168"/>
      <c r="S904" s="168"/>
      <c r="T904" s="287"/>
      <c r="U904" s="264"/>
      <c r="V904" s="198"/>
    </row>
    <row r="905" spans="1:22" s="90" customFormat="1" ht="19.5" hidden="1" customHeight="1">
      <c r="A905" s="137"/>
      <c r="B905" s="197">
        <f t="shared" si="14"/>
        <v>895</v>
      </c>
      <c r="C905" s="30" t="s">
        <v>202</v>
      </c>
      <c r="D905" s="30" t="s">
        <v>359</v>
      </c>
      <c r="E905" s="234" t="s">
        <v>1207</v>
      </c>
      <c r="F905" s="235" t="s">
        <v>1290</v>
      </c>
      <c r="G905" s="476"/>
      <c r="H905" s="236" t="s">
        <v>4866</v>
      </c>
      <c r="I905" s="236">
        <v>1</v>
      </c>
      <c r="J905" s="236">
        <v>1</v>
      </c>
      <c r="K905" s="355" t="s">
        <v>1373</v>
      </c>
      <c r="L905" s="356">
        <v>44098</v>
      </c>
      <c r="M905" s="357" t="s">
        <v>204</v>
      </c>
      <c r="N905" s="416">
        <v>854400000</v>
      </c>
      <c r="O905" s="416">
        <v>854400000</v>
      </c>
      <c r="P905" s="358"/>
      <c r="Q905" s="320"/>
      <c r="R905" s="168"/>
      <c r="S905" s="168"/>
      <c r="T905" s="287"/>
      <c r="U905" s="264"/>
      <c r="V905" s="198"/>
    </row>
    <row r="906" spans="1:22" s="90" customFormat="1" ht="19.5" hidden="1" customHeight="1">
      <c r="A906" s="137"/>
      <c r="B906" s="197">
        <f t="shared" si="14"/>
        <v>896</v>
      </c>
      <c r="C906" s="30" t="s">
        <v>202</v>
      </c>
      <c r="D906" s="30" t="s">
        <v>359</v>
      </c>
      <c r="E906" s="234" t="s">
        <v>1207</v>
      </c>
      <c r="F906" s="235" t="s">
        <v>1290</v>
      </c>
      <c r="G906" s="476"/>
      <c r="H906" s="236" t="s">
        <v>4866</v>
      </c>
      <c r="I906" s="236">
        <v>1</v>
      </c>
      <c r="J906" s="236">
        <v>2</v>
      </c>
      <c r="K906" s="355" t="s">
        <v>1373</v>
      </c>
      <c r="L906" s="356">
        <v>44671</v>
      </c>
      <c r="M906" s="357" t="s">
        <v>204</v>
      </c>
      <c r="N906" s="416">
        <v>600000000</v>
      </c>
      <c r="O906" s="416">
        <v>600000000</v>
      </c>
      <c r="P906" s="358"/>
      <c r="Q906" s="320"/>
      <c r="R906" s="168"/>
      <c r="S906" s="168"/>
      <c r="T906" s="287"/>
      <c r="U906" s="264"/>
      <c r="V906" s="198"/>
    </row>
    <row r="907" spans="1:22" s="90" customFormat="1" ht="19.5" hidden="1" customHeight="1">
      <c r="A907" s="137"/>
      <c r="B907" s="197">
        <f t="shared" ref="B907:B968" si="15">ROW()-10</f>
        <v>897</v>
      </c>
      <c r="C907" s="30" t="s">
        <v>202</v>
      </c>
      <c r="D907" s="30" t="s">
        <v>359</v>
      </c>
      <c r="E907" s="234" t="s">
        <v>1207</v>
      </c>
      <c r="F907" s="235" t="s">
        <v>1290</v>
      </c>
      <c r="G907" s="476"/>
      <c r="H907" s="236" t="s">
        <v>4868</v>
      </c>
      <c r="I907" s="236">
        <v>2</v>
      </c>
      <c r="J907" s="236">
        <v>1</v>
      </c>
      <c r="K907" s="355" t="s">
        <v>1373</v>
      </c>
      <c r="L907" s="356">
        <v>44741</v>
      </c>
      <c r="M907" s="357" t="s">
        <v>204</v>
      </c>
      <c r="N907" s="416">
        <v>1380000000</v>
      </c>
      <c r="O907" s="416">
        <v>1380000000</v>
      </c>
      <c r="P907" s="358"/>
      <c r="Q907" s="320"/>
      <c r="R907" s="168"/>
      <c r="S907" s="168"/>
      <c r="T907" s="287"/>
      <c r="U907" s="264"/>
      <c r="V907" s="198"/>
    </row>
    <row r="908" spans="1:22" s="90" customFormat="1" ht="19.5" hidden="1" customHeight="1">
      <c r="A908" s="137"/>
      <c r="B908" s="197">
        <f t="shared" si="15"/>
        <v>898</v>
      </c>
      <c r="C908" s="30" t="s">
        <v>202</v>
      </c>
      <c r="D908" s="30" t="s">
        <v>359</v>
      </c>
      <c r="E908" s="234" t="s">
        <v>1208</v>
      </c>
      <c r="F908" s="235" t="s">
        <v>1225</v>
      </c>
      <c r="G908" s="476"/>
      <c r="H908" s="236" t="s">
        <v>4681</v>
      </c>
      <c r="I908" s="236">
        <v>1</v>
      </c>
      <c r="J908" s="236">
        <v>1</v>
      </c>
      <c r="K908" s="355" t="s">
        <v>1373</v>
      </c>
      <c r="L908" s="356">
        <v>43958</v>
      </c>
      <c r="M908" s="357" t="s">
        <v>204</v>
      </c>
      <c r="N908" s="416">
        <v>576000000</v>
      </c>
      <c r="O908" s="416">
        <v>576000000</v>
      </c>
      <c r="P908" s="358"/>
      <c r="Q908" s="320"/>
      <c r="R908" s="168"/>
      <c r="S908" s="168"/>
      <c r="T908" s="287"/>
      <c r="U908" s="264"/>
      <c r="V908" s="198"/>
    </row>
    <row r="909" spans="1:22" s="90" customFormat="1" ht="19.5" hidden="1" customHeight="1">
      <c r="A909" s="137"/>
      <c r="B909" s="197">
        <f t="shared" si="15"/>
        <v>899</v>
      </c>
      <c r="C909" s="30" t="s">
        <v>202</v>
      </c>
      <c r="D909" s="30" t="s">
        <v>359</v>
      </c>
      <c r="E909" s="234" t="s">
        <v>1208</v>
      </c>
      <c r="F909" s="235" t="s">
        <v>1225</v>
      </c>
      <c r="G909" s="476"/>
      <c r="H909" s="236" t="s">
        <v>4681</v>
      </c>
      <c r="I909" s="236">
        <v>1</v>
      </c>
      <c r="J909" s="236">
        <v>2</v>
      </c>
      <c r="K909" s="355" t="s">
        <v>1373</v>
      </c>
      <c r="L909" s="356">
        <v>43958</v>
      </c>
      <c r="M909" s="357" t="s">
        <v>204</v>
      </c>
      <c r="N909" s="416">
        <v>1200000000</v>
      </c>
      <c r="O909" s="416">
        <v>1200000000</v>
      </c>
      <c r="P909" s="358"/>
      <c r="Q909" s="320" t="s">
        <v>1389</v>
      </c>
      <c r="R909" s="168"/>
      <c r="S909" s="168"/>
      <c r="T909" s="287"/>
      <c r="U909" s="264"/>
      <c r="V909" s="198"/>
    </row>
    <row r="910" spans="1:22" s="90" customFormat="1" ht="19.5" hidden="1" customHeight="1">
      <c r="A910" s="137"/>
      <c r="B910" s="197">
        <f t="shared" si="15"/>
        <v>900</v>
      </c>
      <c r="C910" s="30" t="s">
        <v>202</v>
      </c>
      <c r="D910" s="30" t="s">
        <v>359</v>
      </c>
      <c r="E910" s="234" t="s">
        <v>1208</v>
      </c>
      <c r="F910" s="235" t="s">
        <v>1225</v>
      </c>
      <c r="G910" s="476"/>
      <c r="H910" s="236" t="s">
        <v>4681</v>
      </c>
      <c r="I910" s="236">
        <v>1</v>
      </c>
      <c r="J910" s="236">
        <v>3</v>
      </c>
      <c r="K910" s="355" t="s">
        <v>1373</v>
      </c>
      <c r="L910" s="356">
        <v>44452</v>
      </c>
      <c r="M910" s="357" t="s">
        <v>204</v>
      </c>
      <c r="N910" s="416">
        <v>240000000</v>
      </c>
      <c r="O910" s="416">
        <v>240000000</v>
      </c>
      <c r="P910" s="358"/>
      <c r="Q910" s="320" t="s">
        <v>1390</v>
      </c>
      <c r="R910" s="168"/>
      <c r="S910" s="168"/>
      <c r="T910" s="287"/>
      <c r="U910" s="264"/>
      <c r="V910" s="198"/>
    </row>
    <row r="911" spans="1:22" s="90" customFormat="1" ht="19.5" hidden="1" customHeight="1">
      <c r="A911" s="137"/>
      <c r="B911" s="197">
        <f t="shared" si="15"/>
        <v>901</v>
      </c>
      <c r="C911" s="30" t="s">
        <v>202</v>
      </c>
      <c r="D911" s="30" t="s">
        <v>359</v>
      </c>
      <c r="E911" s="234" t="s">
        <v>1208</v>
      </c>
      <c r="F911" s="235" t="s">
        <v>1225</v>
      </c>
      <c r="G911" s="476"/>
      <c r="H911" s="236" t="s">
        <v>4683</v>
      </c>
      <c r="I911" s="236">
        <v>2</v>
      </c>
      <c r="J911" s="236">
        <v>1</v>
      </c>
      <c r="K911" s="355" t="s">
        <v>1373</v>
      </c>
      <c r="L911" s="356">
        <v>43958</v>
      </c>
      <c r="M911" s="357" t="s">
        <v>204</v>
      </c>
      <c r="N911" s="416">
        <v>1200000000</v>
      </c>
      <c r="O911" s="416">
        <v>1200000000</v>
      </c>
      <c r="P911" s="358"/>
      <c r="Q911" s="320" t="s">
        <v>1391</v>
      </c>
      <c r="R911" s="168"/>
      <c r="S911" s="168"/>
      <c r="T911" s="287"/>
      <c r="U911" s="264"/>
      <c r="V911" s="198"/>
    </row>
    <row r="912" spans="1:22" s="90" customFormat="1" ht="19.5" hidden="1" customHeight="1">
      <c r="A912" s="137"/>
      <c r="B912" s="197">
        <f t="shared" si="15"/>
        <v>902</v>
      </c>
      <c r="C912" s="30" t="s">
        <v>202</v>
      </c>
      <c r="D912" s="30" t="s">
        <v>359</v>
      </c>
      <c r="E912" s="234" t="s">
        <v>1208</v>
      </c>
      <c r="F912" s="235" t="s">
        <v>1225</v>
      </c>
      <c r="G912" s="476"/>
      <c r="H912" s="236" t="s">
        <v>4683</v>
      </c>
      <c r="I912" s="236">
        <v>2</v>
      </c>
      <c r="J912" s="236">
        <v>2</v>
      </c>
      <c r="K912" s="355" t="s">
        <v>1373</v>
      </c>
      <c r="L912" s="356">
        <v>44753</v>
      </c>
      <c r="M912" s="357" t="s">
        <v>204</v>
      </c>
      <c r="N912" s="416">
        <v>240000000</v>
      </c>
      <c r="O912" s="416">
        <v>240000000</v>
      </c>
      <c r="P912" s="358"/>
      <c r="Q912" s="320" t="s">
        <v>1392</v>
      </c>
      <c r="R912" s="168"/>
      <c r="S912" s="168"/>
      <c r="T912" s="287"/>
      <c r="U912" s="264"/>
      <c r="V912" s="198"/>
    </row>
    <row r="913" spans="1:22" s="90" customFormat="1" ht="19.5" hidden="1" customHeight="1">
      <c r="A913" s="137"/>
      <c r="B913" s="197">
        <f t="shared" si="15"/>
        <v>903</v>
      </c>
      <c r="C913" s="30" t="s">
        <v>202</v>
      </c>
      <c r="D913" s="30" t="s">
        <v>359</v>
      </c>
      <c r="E913" s="234" t="s">
        <v>1208</v>
      </c>
      <c r="F913" s="235" t="s">
        <v>1225</v>
      </c>
      <c r="G913" s="476"/>
      <c r="H913" s="236" t="s">
        <v>4685</v>
      </c>
      <c r="I913" s="236">
        <v>3</v>
      </c>
      <c r="J913" s="236">
        <v>1</v>
      </c>
      <c r="K913" s="355" t="s">
        <v>1378</v>
      </c>
      <c r="L913" s="356">
        <v>44370</v>
      </c>
      <c r="M913" s="357" t="s">
        <v>204</v>
      </c>
      <c r="N913" s="416">
        <v>1500000000</v>
      </c>
      <c r="O913" s="416">
        <v>1500000000</v>
      </c>
      <c r="P913" s="358"/>
      <c r="Q913" s="320">
        <v>5</v>
      </c>
      <c r="R913" s="168"/>
      <c r="S913" s="168"/>
      <c r="T913" s="287"/>
      <c r="U913" s="264"/>
      <c r="V913" s="198"/>
    </row>
    <row r="914" spans="1:22" s="90" customFormat="1" ht="19.5" hidden="1" customHeight="1">
      <c r="A914" s="137"/>
      <c r="B914" s="197">
        <f t="shared" si="15"/>
        <v>904</v>
      </c>
      <c r="C914" s="30" t="s">
        <v>202</v>
      </c>
      <c r="D914" s="30" t="s">
        <v>359</v>
      </c>
      <c r="E914" s="234" t="s">
        <v>1208</v>
      </c>
      <c r="F914" s="235" t="s">
        <v>1225</v>
      </c>
      <c r="G914" s="476"/>
      <c r="H914" s="236" t="s">
        <v>4685</v>
      </c>
      <c r="I914" s="236">
        <v>3</v>
      </c>
      <c r="J914" s="236">
        <v>2</v>
      </c>
      <c r="K914" s="355" t="s">
        <v>3371</v>
      </c>
      <c r="L914" s="356">
        <v>45488</v>
      </c>
      <c r="M914" s="357" t="s">
        <v>204</v>
      </c>
      <c r="N914" s="416">
        <v>500000000</v>
      </c>
      <c r="O914" s="416">
        <v>500000000</v>
      </c>
      <c r="P914" s="358"/>
      <c r="Q914" s="320">
        <v>5</v>
      </c>
      <c r="R914" s="168"/>
      <c r="S914" s="168"/>
      <c r="T914" s="287"/>
      <c r="U914" s="264"/>
      <c r="V914" s="198"/>
    </row>
    <row r="915" spans="1:22" s="90" customFormat="1" ht="19.5" hidden="1" customHeight="1">
      <c r="A915" s="137"/>
      <c r="B915" s="197">
        <f t="shared" si="15"/>
        <v>905</v>
      </c>
      <c r="C915" s="30" t="s">
        <v>202</v>
      </c>
      <c r="D915" s="30" t="s">
        <v>359</v>
      </c>
      <c r="E915" s="234" t="s">
        <v>1208</v>
      </c>
      <c r="F915" s="235" t="s">
        <v>1225</v>
      </c>
      <c r="G915" s="476"/>
      <c r="H915" s="236" t="s">
        <v>4685</v>
      </c>
      <c r="I915" s="236">
        <v>3</v>
      </c>
      <c r="J915" s="236">
        <v>3</v>
      </c>
      <c r="K915" s="355" t="s">
        <v>3372</v>
      </c>
      <c r="L915" s="356">
        <v>45511</v>
      </c>
      <c r="M915" s="357" t="s">
        <v>204</v>
      </c>
      <c r="N915" s="416">
        <v>110000000</v>
      </c>
      <c r="O915" s="416">
        <v>110000000</v>
      </c>
      <c r="P915" s="358"/>
      <c r="Q915" s="320" t="s">
        <v>1393</v>
      </c>
      <c r="R915" s="168"/>
      <c r="S915" s="168"/>
      <c r="T915" s="287"/>
      <c r="U915" s="264"/>
      <c r="V915" s="198"/>
    </row>
    <row r="916" spans="1:22" s="90" customFormat="1" ht="19.5" hidden="1" customHeight="1">
      <c r="A916" s="137"/>
      <c r="B916" s="197">
        <f t="shared" si="15"/>
        <v>906</v>
      </c>
      <c r="C916" s="30" t="s">
        <v>202</v>
      </c>
      <c r="D916" s="30" t="s">
        <v>359</v>
      </c>
      <c r="E916" s="234" t="s">
        <v>1208</v>
      </c>
      <c r="F916" s="235" t="s">
        <v>1225</v>
      </c>
      <c r="G916" s="476"/>
      <c r="H916" s="236" t="s">
        <v>4685</v>
      </c>
      <c r="I916" s="236">
        <v>3</v>
      </c>
      <c r="J916" s="236">
        <v>4</v>
      </c>
      <c r="K916" s="355" t="s">
        <v>1373</v>
      </c>
      <c r="L916" s="356">
        <v>45511</v>
      </c>
      <c r="M916" s="357" t="s">
        <v>204</v>
      </c>
      <c r="N916" s="416">
        <v>1200000000</v>
      </c>
      <c r="O916" s="416">
        <v>1200000000</v>
      </c>
      <c r="P916" s="358"/>
      <c r="Q916" s="320" t="s">
        <v>1394</v>
      </c>
      <c r="R916" s="168"/>
      <c r="S916" s="168"/>
      <c r="T916" s="287"/>
      <c r="U916" s="264"/>
      <c r="V916" s="198"/>
    </row>
    <row r="917" spans="1:22" s="90" customFormat="1" ht="19.5" hidden="1" customHeight="1">
      <c r="A917" s="137"/>
      <c r="B917" s="197">
        <f t="shared" si="15"/>
        <v>907</v>
      </c>
      <c r="C917" s="30" t="s">
        <v>202</v>
      </c>
      <c r="D917" s="30" t="s">
        <v>359</v>
      </c>
      <c r="E917" s="234" t="s">
        <v>1208</v>
      </c>
      <c r="F917" s="235" t="s">
        <v>1225</v>
      </c>
      <c r="G917" s="476"/>
      <c r="H917" s="236" t="s">
        <v>4685</v>
      </c>
      <c r="I917" s="236">
        <v>3</v>
      </c>
      <c r="J917" s="236">
        <v>5</v>
      </c>
      <c r="K917" s="355" t="s">
        <v>1373</v>
      </c>
      <c r="L917" s="356">
        <v>45511</v>
      </c>
      <c r="M917" s="357" t="s">
        <v>204</v>
      </c>
      <c r="N917" s="416">
        <v>240000000</v>
      </c>
      <c r="O917" s="416">
        <v>240000000</v>
      </c>
      <c r="P917" s="358"/>
      <c r="Q917" s="320" t="s">
        <v>1395</v>
      </c>
      <c r="R917" s="168"/>
      <c r="S917" s="168"/>
      <c r="T917" s="287"/>
      <c r="U917" s="264"/>
      <c r="V917" s="198"/>
    </row>
    <row r="918" spans="1:22" s="90" customFormat="1" ht="19.5" hidden="1" customHeight="1">
      <c r="A918" s="137"/>
      <c r="B918" s="197">
        <f t="shared" si="15"/>
        <v>908</v>
      </c>
      <c r="C918" s="30" t="s">
        <v>202</v>
      </c>
      <c r="D918" s="30" t="s">
        <v>359</v>
      </c>
      <c r="E918" s="234" t="s">
        <v>1208</v>
      </c>
      <c r="F918" s="235" t="s">
        <v>1225</v>
      </c>
      <c r="G918" s="476"/>
      <c r="H918" s="236" t="s">
        <v>4688</v>
      </c>
      <c r="I918" s="236">
        <v>4</v>
      </c>
      <c r="J918" s="236">
        <v>1</v>
      </c>
      <c r="K918" s="355" t="s">
        <v>421</v>
      </c>
      <c r="L918" s="356">
        <v>41674</v>
      </c>
      <c r="M918" s="357" t="s">
        <v>204</v>
      </c>
      <c r="N918" s="416">
        <v>2580000000</v>
      </c>
      <c r="O918" s="416">
        <v>2580000000</v>
      </c>
      <c r="P918" s="358"/>
      <c r="Q918" s="320">
        <v>5</v>
      </c>
      <c r="R918" s="168"/>
      <c r="S918" s="168"/>
      <c r="T918" s="287"/>
      <c r="U918" s="264"/>
      <c r="V918" s="198"/>
    </row>
    <row r="919" spans="1:22" s="90" customFormat="1" ht="19.5" hidden="1" customHeight="1">
      <c r="A919" s="137"/>
      <c r="B919" s="197">
        <f t="shared" si="15"/>
        <v>909</v>
      </c>
      <c r="C919" s="30" t="s">
        <v>202</v>
      </c>
      <c r="D919" s="30" t="s">
        <v>359</v>
      </c>
      <c r="E919" s="234" t="s">
        <v>1208</v>
      </c>
      <c r="F919" s="235" t="s">
        <v>1225</v>
      </c>
      <c r="G919" s="476"/>
      <c r="H919" s="236" t="s">
        <v>4688</v>
      </c>
      <c r="I919" s="236">
        <v>4</v>
      </c>
      <c r="J919" s="236">
        <v>2</v>
      </c>
      <c r="K919" s="355" t="s">
        <v>421</v>
      </c>
      <c r="L919" s="356">
        <v>42844</v>
      </c>
      <c r="M919" s="357" t="s">
        <v>204</v>
      </c>
      <c r="N919" s="416">
        <v>1200000000</v>
      </c>
      <c r="O919" s="416">
        <v>1200000000</v>
      </c>
      <c r="P919" s="358"/>
      <c r="Q919" s="320">
        <v>5</v>
      </c>
      <c r="R919" s="168"/>
      <c r="S919" s="168"/>
      <c r="T919" s="287"/>
      <c r="U919" s="264"/>
      <c r="V919" s="198"/>
    </row>
    <row r="920" spans="1:22" s="90" customFormat="1" ht="19.5" hidden="1" customHeight="1">
      <c r="A920" s="137"/>
      <c r="B920" s="197">
        <f t="shared" si="15"/>
        <v>910</v>
      </c>
      <c r="C920" s="30" t="s">
        <v>202</v>
      </c>
      <c r="D920" s="30" t="s">
        <v>359</v>
      </c>
      <c r="E920" s="234" t="s">
        <v>1208</v>
      </c>
      <c r="F920" s="235" t="s">
        <v>1225</v>
      </c>
      <c r="G920" s="476"/>
      <c r="H920" s="236" t="s">
        <v>4688</v>
      </c>
      <c r="I920" s="236">
        <v>4</v>
      </c>
      <c r="J920" s="236">
        <v>3</v>
      </c>
      <c r="K920" s="355" t="s">
        <v>421</v>
      </c>
      <c r="L920" s="356">
        <v>43122</v>
      </c>
      <c r="M920" s="357" t="s">
        <v>204</v>
      </c>
      <c r="N920" s="416">
        <v>600000000</v>
      </c>
      <c r="O920" s="416">
        <v>600000000</v>
      </c>
      <c r="P920" s="358"/>
      <c r="Q920" s="320">
        <v>5</v>
      </c>
      <c r="R920" s="168"/>
      <c r="S920" s="168"/>
      <c r="T920" s="287"/>
      <c r="U920" s="264"/>
      <c r="V920" s="198"/>
    </row>
    <row r="921" spans="1:22" s="90" customFormat="1" ht="19.5" hidden="1" customHeight="1">
      <c r="A921" s="137"/>
      <c r="B921" s="197">
        <f t="shared" si="15"/>
        <v>911</v>
      </c>
      <c r="C921" s="30" t="s">
        <v>202</v>
      </c>
      <c r="D921" s="30" t="s">
        <v>359</v>
      </c>
      <c r="E921" s="234" t="s">
        <v>1208</v>
      </c>
      <c r="F921" s="235" t="s">
        <v>1225</v>
      </c>
      <c r="G921" s="476"/>
      <c r="H921" s="236" t="s">
        <v>4688</v>
      </c>
      <c r="I921" s="236">
        <v>4</v>
      </c>
      <c r="J921" s="236">
        <v>4</v>
      </c>
      <c r="K921" s="355" t="s">
        <v>3372</v>
      </c>
      <c r="L921" s="356">
        <v>45511</v>
      </c>
      <c r="M921" s="357" t="s">
        <v>204</v>
      </c>
      <c r="N921" s="416">
        <v>110000000</v>
      </c>
      <c r="O921" s="416">
        <v>110000000</v>
      </c>
      <c r="P921" s="358"/>
      <c r="Q921" s="320" t="s">
        <v>1396</v>
      </c>
      <c r="R921" s="168"/>
      <c r="S921" s="168"/>
      <c r="T921" s="287"/>
      <c r="U921" s="264"/>
      <c r="V921" s="198"/>
    </row>
    <row r="922" spans="1:22" s="90" customFormat="1" ht="19.5" hidden="1" customHeight="1">
      <c r="A922" s="137"/>
      <c r="B922" s="197">
        <f t="shared" si="15"/>
        <v>912</v>
      </c>
      <c r="C922" s="30" t="s">
        <v>202</v>
      </c>
      <c r="D922" s="30" t="s">
        <v>359</v>
      </c>
      <c r="E922" s="234" t="s">
        <v>1208</v>
      </c>
      <c r="F922" s="235" t="s">
        <v>1225</v>
      </c>
      <c r="G922" s="476"/>
      <c r="H922" s="236" t="s">
        <v>4688</v>
      </c>
      <c r="I922" s="236">
        <v>4</v>
      </c>
      <c r="J922" s="236">
        <v>5</v>
      </c>
      <c r="K922" s="355" t="s">
        <v>1373</v>
      </c>
      <c r="L922" s="356">
        <v>45511</v>
      </c>
      <c r="M922" s="357" t="s">
        <v>204</v>
      </c>
      <c r="N922" s="416">
        <v>1200000000</v>
      </c>
      <c r="O922" s="416">
        <v>1200000000</v>
      </c>
      <c r="P922" s="358"/>
      <c r="Q922" s="320" t="s">
        <v>1397</v>
      </c>
      <c r="R922" s="168"/>
      <c r="S922" s="168"/>
      <c r="T922" s="287"/>
      <c r="U922" s="264"/>
      <c r="V922" s="198"/>
    </row>
    <row r="923" spans="1:22" s="90" customFormat="1" ht="19.5" hidden="1" customHeight="1">
      <c r="A923" s="137"/>
      <c r="B923" s="197">
        <f t="shared" si="15"/>
        <v>913</v>
      </c>
      <c r="C923" s="30" t="s">
        <v>202</v>
      </c>
      <c r="D923" s="30" t="s">
        <v>359</v>
      </c>
      <c r="E923" s="234" t="s">
        <v>1208</v>
      </c>
      <c r="F923" s="235" t="s">
        <v>1225</v>
      </c>
      <c r="G923" s="476"/>
      <c r="H923" s="236" t="s">
        <v>4688</v>
      </c>
      <c r="I923" s="236">
        <v>4</v>
      </c>
      <c r="J923" s="236">
        <v>6</v>
      </c>
      <c r="K923" s="355" t="s">
        <v>1373</v>
      </c>
      <c r="L923" s="356">
        <v>45511</v>
      </c>
      <c r="M923" s="357" t="s">
        <v>204</v>
      </c>
      <c r="N923" s="416">
        <v>240000000</v>
      </c>
      <c r="O923" s="416">
        <v>240000000</v>
      </c>
      <c r="P923" s="358"/>
      <c r="Q923" s="320" t="s">
        <v>1398</v>
      </c>
      <c r="R923" s="168"/>
      <c r="S923" s="168"/>
      <c r="T923" s="287"/>
      <c r="U923" s="264"/>
      <c r="V923" s="198"/>
    </row>
    <row r="924" spans="1:22" s="90" customFormat="1" ht="19.5" hidden="1" customHeight="1">
      <c r="A924" s="137"/>
      <c r="B924" s="197">
        <f t="shared" si="15"/>
        <v>914</v>
      </c>
      <c r="C924" s="30" t="s">
        <v>202</v>
      </c>
      <c r="D924" s="30" t="s">
        <v>359</v>
      </c>
      <c r="E924" s="234" t="s">
        <v>1208</v>
      </c>
      <c r="F924" s="235" t="s">
        <v>1225</v>
      </c>
      <c r="G924" s="476"/>
      <c r="H924" s="236" t="s">
        <v>4710</v>
      </c>
      <c r="I924" s="236">
        <v>5</v>
      </c>
      <c r="J924" s="236">
        <v>1</v>
      </c>
      <c r="K924" s="355" t="s">
        <v>421</v>
      </c>
      <c r="L924" s="356">
        <v>41674</v>
      </c>
      <c r="M924" s="357" t="s">
        <v>204</v>
      </c>
      <c r="N924" s="416">
        <v>2580000000</v>
      </c>
      <c r="O924" s="416">
        <v>2580000000</v>
      </c>
      <c r="P924" s="358"/>
      <c r="Q924" s="320">
        <v>4</v>
      </c>
      <c r="R924" s="168"/>
      <c r="S924" s="168"/>
      <c r="T924" s="287"/>
      <c r="U924" s="264"/>
      <c r="V924" s="198"/>
    </row>
    <row r="925" spans="1:22" s="90" customFormat="1" ht="19.5" hidden="1" customHeight="1">
      <c r="A925" s="137"/>
      <c r="B925" s="197">
        <f t="shared" si="15"/>
        <v>915</v>
      </c>
      <c r="C925" s="30" t="s">
        <v>202</v>
      </c>
      <c r="D925" s="30" t="s">
        <v>359</v>
      </c>
      <c r="E925" s="234" t="s">
        <v>1208</v>
      </c>
      <c r="F925" s="235" t="s">
        <v>1225</v>
      </c>
      <c r="G925" s="476"/>
      <c r="H925" s="236" t="s">
        <v>4710</v>
      </c>
      <c r="I925" s="236">
        <v>5</v>
      </c>
      <c r="J925" s="236">
        <v>2</v>
      </c>
      <c r="K925" s="355" t="s">
        <v>421</v>
      </c>
      <c r="L925" s="356">
        <v>42844</v>
      </c>
      <c r="M925" s="357" t="s">
        <v>204</v>
      </c>
      <c r="N925" s="416">
        <v>1200000000</v>
      </c>
      <c r="O925" s="416">
        <v>1200000000</v>
      </c>
      <c r="P925" s="358"/>
      <c r="Q925" s="320">
        <v>4</v>
      </c>
      <c r="R925" s="168"/>
      <c r="S925" s="168"/>
      <c r="T925" s="287"/>
      <c r="U925" s="264"/>
      <c r="V925" s="198"/>
    </row>
    <row r="926" spans="1:22" s="90" customFormat="1" ht="19.5" hidden="1" customHeight="1">
      <c r="A926" s="137"/>
      <c r="B926" s="197">
        <f t="shared" si="15"/>
        <v>916</v>
      </c>
      <c r="C926" s="30" t="s">
        <v>202</v>
      </c>
      <c r="D926" s="30" t="s">
        <v>359</v>
      </c>
      <c r="E926" s="234" t="s">
        <v>1208</v>
      </c>
      <c r="F926" s="235" t="s">
        <v>1225</v>
      </c>
      <c r="G926" s="476"/>
      <c r="H926" s="236" t="s">
        <v>4710</v>
      </c>
      <c r="I926" s="236">
        <v>5</v>
      </c>
      <c r="J926" s="236">
        <v>3</v>
      </c>
      <c r="K926" s="355" t="s">
        <v>421</v>
      </c>
      <c r="L926" s="356">
        <v>43122</v>
      </c>
      <c r="M926" s="357" t="s">
        <v>204</v>
      </c>
      <c r="N926" s="416">
        <v>600000000</v>
      </c>
      <c r="O926" s="416">
        <v>600000000</v>
      </c>
      <c r="P926" s="358"/>
      <c r="Q926" s="320">
        <v>4</v>
      </c>
      <c r="R926" s="168"/>
      <c r="S926" s="168"/>
      <c r="T926" s="287"/>
      <c r="U926" s="264"/>
      <c r="V926" s="198"/>
    </row>
    <row r="927" spans="1:22" s="90" customFormat="1" ht="19.5" hidden="1" customHeight="1">
      <c r="A927" s="137"/>
      <c r="B927" s="197">
        <f t="shared" si="15"/>
        <v>917</v>
      </c>
      <c r="C927" s="30" t="s">
        <v>202</v>
      </c>
      <c r="D927" s="30" t="s">
        <v>359</v>
      </c>
      <c r="E927" s="234" t="s">
        <v>1208</v>
      </c>
      <c r="F927" s="235" t="s">
        <v>1225</v>
      </c>
      <c r="G927" s="476"/>
      <c r="H927" s="236" t="s">
        <v>4710</v>
      </c>
      <c r="I927" s="236">
        <v>5</v>
      </c>
      <c r="J927" s="236">
        <v>4</v>
      </c>
      <c r="K927" s="355" t="s">
        <v>1378</v>
      </c>
      <c r="L927" s="356">
        <v>45216</v>
      </c>
      <c r="M927" s="357" t="s">
        <v>204</v>
      </c>
      <c r="N927" s="416">
        <v>1500000000</v>
      </c>
      <c r="O927" s="416">
        <v>1500000000</v>
      </c>
      <c r="P927" s="358"/>
      <c r="Q927" s="320">
        <v>3</v>
      </c>
      <c r="R927" s="168"/>
      <c r="S927" s="168"/>
      <c r="T927" s="287"/>
      <c r="U927" s="264"/>
      <c r="V927" s="198"/>
    </row>
    <row r="928" spans="1:22" s="90" customFormat="1" ht="19.5" hidden="1" customHeight="1">
      <c r="A928" s="137"/>
      <c r="B928" s="197">
        <f t="shared" si="15"/>
        <v>918</v>
      </c>
      <c r="C928" s="30" t="s">
        <v>202</v>
      </c>
      <c r="D928" s="30" t="s">
        <v>359</v>
      </c>
      <c r="E928" s="234" t="s">
        <v>1208</v>
      </c>
      <c r="F928" s="235" t="s">
        <v>1225</v>
      </c>
      <c r="G928" s="476"/>
      <c r="H928" s="236" t="s">
        <v>4710</v>
      </c>
      <c r="I928" s="236">
        <v>5</v>
      </c>
      <c r="J928" s="236">
        <v>5</v>
      </c>
      <c r="K928" s="355" t="s">
        <v>3371</v>
      </c>
      <c r="L928" s="356">
        <v>45488</v>
      </c>
      <c r="M928" s="357" t="s">
        <v>204</v>
      </c>
      <c r="N928" s="416">
        <v>500000000</v>
      </c>
      <c r="O928" s="416">
        <v>500000000</v>
      </c>
      <c r="P928" s="358"/>
      <c r="Q928" s="320">
        <v>3</v>
      </c>
      <c r="R928" s="168"/>
      <c r="S928" s="168"/>
      <c r="T928" s="287"/>
      <c r="U928" s="264"/>
      <c r="V928" s="198"/>
    </row>
    <row r="929" spans="1:22" s="90" customFormat="1" ht="19.5" hidden="1" customHeight="1">
      <c r="A929" s="137"/>
      <c r="B929" s="197">
        <f t="shared" si="15"/>
        <v>919</v>
      </c>
      <c r="C929" s="30" t="s">
        <v>202</v>
      </c>
      <c r="D929" s="30" t="s">
        <v>359</v>
      </c>
      <c r="E929" s="234" t="s">
        <v>1208</v>
      </c>
      <c r="F929" s="235" t="s">
        <v>1225</v>
      </c>
      <c r="G929" s="476"/>
      <c r="H929" s="236" t="s">
        <v>4710</v>
      </c>
      <c r="I929" s="236">
        <v>5</v>
      </c>
      <c r="J929" s="236">
        <v>6</v>
      </c>
      <c r="K929" s="355" t="s">
        <v>3372</v>
      </c>
      <c r="L929" s="356">
        <v>45511</v>
      </c>
      <c r="M929" s="357" t="s">
        <v>204</v>
      </c>
      <c r="N929" s="416">
        <v>110000000</v>
      </c>
      <c r="O929" s="416">
        <v>110000000</v>
      </c>
      <c r="P929" s="358"/>
      <c r="Q929" s="320" t="s">
        <v>1399</v>
      </c>
      <c r="R929" s="168"/>
      <c r="S929" s="168"/>
      <c r="T929" s="287"/>
      <c r="U929" s="264"/>
      <c r="V929" s="198"/>
    </row>
    <row r="930" spans="1:22" s="90" customFormat="1" ht="19.5" hidden="1" customHeight="1">
      <c r="A930" s="137"/>
      <c r="B930" s="197">
        <f t="shared" si="15"/>
        <v>920</v>
      </c>
      <c r="C930" s="30" t="s">
        <v>202</v>
      </c>
      <c r="D930" s="30" t="s">
        <v>359</v>
      </c>
      <c r="E930" s="234" t="s">
        <v>1208</v>
      </c>
      <c r="F930" s="235" t="s">
        <v>1225</v>
      </c>
      <c r="G930" s="476"/>
      <c r="H930" s="236" t="s">
        <v>4710</v>
      </c>
      <c r="I930" s="236">
        <v>5</v>
      </c>
      <c r="J930" s="236">
        <v>7</v>
      </c>
      <c r="K930" s="355" t="s">
        <v>1373</v>
      </c>
      <c r="L930" s="356">
        <v>45511</v>
      </c>
      <c r="M930" s="357" t="s">
        <v>204</v>
      </c>
      <c r="N930" s="416">
        <v>1200000000</v>
      </c>
      <c r="O930" s="416">
        <v>1200000000</v>
      </c>
      <c r="P930" s="358"/>
      <c r="Q930" s="320" t="s">
        <v>1400</v>
      </c>
      <c r="R930" s="168"/>
      <c r="S930" s="168"/>
      <c r="T930" s="287"/>
      <c r="U930" s="264"/>
      <c r="V930" s="198"/>
    </row>
    <row r="931" spans="1:22" s="90" customFormat="1" ht="19.5" hidden="1" customHeight="1">
      <c r="A931" s="137"/>
      <c r="B931" s="197">
        <f t="shared" si="15"/>
        <v>921</v>
      </c>
      <c r="C931" s="30" t="s">
        <v>202</v>
      </c>
      <c r="D931" s="30" t="s">
        <v>359</v>
      </c>
      <c r="E931" s="234" t="s">
        <v>1208</v>
      </c>
      <c r="F931" s="235" t="s">
        <v>1225</v>
      </c>
      <c r="G931" s="476"/>
      <c r="H931" s="236" t="s">
        <v>4710</v>
      </c>
      <c r="I931" s="236">
        <v>5</v>
      </c>
      <c r="J931" s="236">
        <v>8</v>
      </c>
      <c r="K931" s="355" t="s">
        <v>1373</v>
      </c>
      <c r="L931" s="356">
        <v>45511</v>
      </c>
      <c r="M931" s="357" t="s">
        <v>204</v>
      </c>
      <c r="N931" s="416">
        <v>240000000</v>
      </c>
      <c r="O931" s="416">
        <v>240000000</v>
      </c>
      <c r="P931" s="358"/>
      <c r="Q931" s="320" t="s">
        <v>1401</v>
      </c>
      <c r="R931" s="168"/>
      <c r="S931" s="168"/>
      <c r="T931" s="287"/>
      <c r="U931" s="264"/>
      <c r="V931" s="198"/>
    </row>
    <row r="932" spans="1:22" s="90" customFormat="1" ht="19.5" hidden="1" customHeight="1">
      <c r="A932" s="137"/>
      <c r="B932" s="197">
        <f t="shared" si="15"/>
        <v>922</v>
      </c>
      <c r="C932" s="30" t="s">
        <v>202</v>
      </c>
      <c r="D932" s="30" t="s">
        <v>359</v>
      </c>
      <c r="E932" s="234" t="s">
        <v>1208</v>
      </c>
      <c r="F932" s="235" t="s">
        <v>1225</v>
      </c>
      <c r="G932" s="476"/>
      <c r="H932" s="236" t="s">
        <v>4723</v>
      </c>
      <c r="I932" s="236">
        <v>6</v>
      </c>
      <c r="J932" s="236">
        <v>1</v>
      </c>
      <c r="K932" s="355" t="s">
        <v>1378</v>
      </c>
      <c r="L932" s="356">
        <v>45273</v>
      </c>
      <c r="M932" s="357" t="s">
        <v>204</v>
      </c>
      <c r="N932" s="416">
        <v>540000000</v>
      </c>
      <c r="O932" s="416">
        <v>540000000</v>
      </c>
      <c r="P932" s="358"/>
      <c r="Q932" s="320"/>
      <c r="R932" s="168"/>
      <c r="S932" s="168"/>
      <c r="T932" s="287"/>
      <c r="U932" s="264"/>
      <c r="V932" s="198"/>
    </row>
    <row r="933" spans="1:22" s="90" customFormat="1" ht="19.5" hidden="1" customHeight="1">
      <c r="A933" s="137"/>
      <c r="B933" s="197">
        <f t="shared" si="15"/>
        <v>923</v>
      </c>
      <c r="C933" s="30" t="s">
        <v>202</v>
      </c>
      <c r="D933" s="30" t="s">
        <v>359</v>
      </c>
      <c r="E933" s="234" t="s">
        <v>1208</v>
      </c>
      <c r="F933" s="235" t="s">
        <v>1225</v>
      </c>
      <c r="G933" s="476"/>
      <c r="H933" s="236" t="s">
        <v>4723</v>
      </c>
      <c r="I933" s="236">
        <v>6</v>
      </c>
      <c r="J933" s="236">
        <v>2</v>
      </c>
      <c r="K933" s="355" t="s">
        <v>1378</v>
      </c>
      <c r="L933" s="356">
        <v>45273</v>
      </c>
      <c r="M933" s="357" t="s">
        <v>204</v>
      </c>
      <c r="N933" s="416">
        <v>60000000</v>
      </c>
      <c r="O933" s="416">
        <v>60000000</v>
      </c>
      <c r="P933" s="358"/>
      <c r="Q933" s="320"/>
      <c r="R933" s="168"/>
      <c r="S933" s="168"/>
      <c r="T933" s="287"/>
      <c r="U933" s="264"/>
      <c r="V933" s="198"/>
    </row>
    <row r="934" spans="1:22" s="90" customFormat="1" ht="19.5" hidden="1" customHeight="1">
      <c r="A934" s="137"/>
      <c r="B934" s="197">
        <f t="shared" si="15"/>
        <v>924</v>
      </c>
      <c r="C934" s="30" t="s">
        <v>202</v>
      </c>
      <c r="D934" s="30" t="s">
        <v>359</v>
      </c>
      <c r="E934" s="234" t="s">
        <v>1208</v>
      </c>
      <c r="F934" s="235" t="s">
        <v>1225</v>
      </c>
      <c r="G934" s="476"/>
      <c r="H934" s="236" t="s">
        <v>4723</v>
      </c>
      <c r="I934" s="236">
        <v>6</v>
      </c>
      <c r="J934" s="236">
        <v>3</v>
      </c>
      <c r="K934" s="355" t="s">
        <v>1378</v>
      </c>
      <c r="L934" s="356">
        <v>45273</v>
      </c>
      <c r="M934" s="357" t="s">
        <v>204</v>
      </c>
      <c r="N934" s="416">
        <v>216000000</v>
      </c>
      <c r="O934" s="416">
        <v>216000000</v>
      </c>
      <c r="P934" s="358"/>
      <c r="Q934" s="320"/>
      <c r="R934" s="168"/>
      <c r="S934" s="168"/>
      <c r="T934" s="287"/>
      <c r="U934" s="264"/>
      <c r="V934" s="198"/>
    </row>
    <row r="935" spans="1:22" s="90" customFormat="1" ht="19.5" hidden="1" customHeight="1">
      <c r="A935" s="137"/>
      <c r="B935" s="197">
        <f t="shared" si="15"/>
        <v>925</v>
      </c>
      <c r="C935" s="30" t="s">
        <v>202</v>
      </c>
      <c r="D935" s="30" t="s">
        <v>359</v>
      </c>
      <c r="E935" s="234" t="s">
        <v>1208</v>
      </c>
      <c r="F935" s="235" t="s">
        <v>1225</v>
      </c>
      <c r="G935" s="476"/>
      <c r="H935" s="236" t="s">
        <v>4723</v>
      </c>
      <c r="I935" s="236">
        <v>6</v>
      </c>
      <c r="J935" s="236">
        <v>4</v>
      </c>
      <c r="K935" s="355" t="s">
        <v>421</v>
      </c>
      <c r="L935" s="356">
        <v>45405</v>
      </c>
      <c r="M935" s="357" t="s">
        <v>204</v>
      </c>
      <c r="N935" s="416">
        <v>120000000</v>
      </c>
      <c r="O935" s="416">
        <v>120000000</v>
      </c>
      <c r="P935" s="358"/>
      <c r="Q935" s="320"/>
      <c r="R935" s="168"/>
      <c r="S935" s="168"/>
      <c r="T935" s="287"/>
      <c r="U935" s="264"/>
      <c r="V935" s="198"/>
    </row>
    <row r="936" spans="1:22" s="90" customFormat="1" ht="19.5" hidden="1" customHeight="1">
      <c r="A936" s="137"/>
      <c r="B936" s="197">
        <f t="shared" si="15"/>
        <v>926</v>
      </c>
      <c r="C936" s="30" t="s">
        <v>202</v>
      </c>
      <c r="D936" s="30" t="s">
        <v>359</v>
      </c>
      <c r="E936" s="234" t="s">
        <v>1208</v>
      </c>
      <c r="F936" s="235" t="s">
        <v>1225</v>
      </c>
      <c r="G936" s="476"/>
      <c r="H936" s="236" t="s">
        <v>4723</v>
      </c>
      <c r="I936" s="236">
        <v>6</v>
      </c>
      <c r="J936" s="236">
        <v>5</v>
      </c>
      <c r="K936" s="355" t="s">
        <v>1373</v>
      </c>
      <c r="L936" s="356">
        <v>45511</v>
      </c>
      <c r="M936" s="357" t="s">
        <v>204</v>
      </c>
      <c r="N936" s="416">
        <v>1200000000</v>
      </c>
      <c r="O936" s="416">
        <v>1200000000</v>
      </c>
      <c r="P936" s="358"/>
      <c r="Q936" s="320" t="s">
        <v>1402</v>
      </c>
      <c r="R936" s="168"/>
      <c r="S936" s="168"/>
      <c r="T936" s="287"/>
      <c r="U936" s="264"/>
      <c r="V936" s="198"/>
    </row>
    <row r="937" spans="1:22" s="90" customFormat="1" ht="19.5" hidden="1" customHeight="1">
      <c r="A937" s="137"/>
      <c r="B937" s="197">
        <f t="shared" si="15"/>
        <v>927</v>
      </c>
      <c r="C937" s="30" t="s">
        <v>202</v>
      </c>
      <c r="D937" s="30" t="s">
        <v>359</v>
      </c>
      <c r="E937" s="234" t="s">
        <v>1209</v>
      </c>
      <c r="F937" s="235" t="s">
        <v>1236</v>
      </c>
      <c r="G937" s="476"/>
      <c r="H937" s="236" t="s">
        <v>4523</v>
      </c>
      <c r="I937" s="236">
        <v>1</v>
      </c>
      <c r="J937" s="236">
        <v>1</v>
      </c>
      <c r="K937" s="355" t="s">
        <v>1373</v>
      </c>
      <c r="L937" s="356">
        <v>44680</v>
      </c>
      <c r="M937" s="357" t="s">
        <v>204</v>
      </c>
      <c r="N937" s="416">
        <v>1926000000</v>
      </c>
      <c r="O937" s="416">
        <v>1926000000</v>
      </c>
      <c r="P937" s="358"/>
      <c r="Q937" s="320">
        <v>2</v>
      </c>
      <c r="R937" s="168"/>
      <c r="S937" s="168"/>
      <c r="T937" s="287"/>
      <c r="U937" s="264"/>
      <c r="V937" s="198"/>
    </row>
    <row r="938" spans="1:22" s="90" customFormat="1" ht="19.5" hidden="1" customHeight="1">
      <c r="A938" s="137"/>
      <c r="B938" s="197">
        <f t="shared" si="15"/>
        <v>928</v>
      </c>
      <c r="C938" s="30" t="s">
        <v>202</v>
      </c>
      <c r="D938" s="30" t="s">
        <v>359</v>
      </c>
      <c r="E938" s="234" t="s">
        <v>1209</v>
      </c>
      <c r="F938" s="235" t="s">
        <v>1236</v>
      </c>
      <c r="G938" s="476"/>
      <c r="H938" s="236" t="s">
        <v>4535</v>
      </c>
      <c r="I938" s="236">
        <v>2</v>
      </c>
      <c r="J938" s="236">
        <v>1</v>
      </c>
      <c r="K938" s="355" t="s">
        <v>490</v>
      </c>
      <c r="L938" s="356">
        <v>41883</v>
      </c>
      <c r="M938" s="357" t="s">
        <v>204</v>
      </c>
      <c r="N938" s="416">
        <v>96000000</v>
      </c>
      <c r="O938" s="416">
        <v>96000000</v>
      </c>
      <c r="P938" s="358"/>
      <c r="Q938" s="320"/>
      <c r="R938" s="168"/>
      <c r="S938" s="168"/>
      <c r="T938" s="287"/>
      <c r="U938" s="264"/>
      <c r="V938" s="198"/>
    </row>
    <row r="939" spans="1:22" s="90" customFormat="1" ht="19.5" hidden="1" customHeight="1">
      <c r="A939" s="137"/>
      <c r="B939" s="197">
        <f t="shared" si="15"/>
        <v>929</v>
      </c>
      <c r="C939" s="30" t="s">
        <v>202</v>
      </c>
      <c r="D939" s="30" t="s">
        <v>359</v>
      </c>
      <c r="E939" s="234" t="s">
        <v>1209</v>
      </c>
      <c r="F939" s="235" t="s">
        <v>1236</v>
      </c>
      <c r="G939" s="476"/>
      <c r="H939" s="236" t="s">
        <v>4535</v>
      </c>
      <c r="I939" s="236">
        <v>2</v>
      </c>
      <c r="J939" s="236">
        <v>2</v>
      </c>
      <c r="K939" s="355" t="s">
        <v>1373</v>
      </c>
      <c r="L939" s="356">
        <v>44680</v>
      </c>
      <c r="M939" s="357" t="s">
        <v>204</v>
      </c>
      <c r="N939" s="416">
        <v>1926000000</v>
      </c>
      <c r="O939" s="416">
        <v>1926000000</v>
      </c>
      <c r="P939" s="358"/>
      <c r="Q939" s="320">
        <v>1</v>
      </c>
      <c r="R939" s="168"/>
      <c r="S939" s="168"/>
      <c r="T939" s="287"/>
      <c r="U939" s="264"/>
      <c r="V939" s="198"/>
    </row>
    <row r="940" spans="1:22" s="90" customFormat="1" ht="19.5" hidden="1" customHeight="1">
      <c r="A940" s="137"/>
      <c r="B940" s="197">
        <f t="shared" si="15"/>
        <v>930</v>
      </c>
      <c r="C940" s="30" t="s">
        <v>202</v>
      </c>
      <c r="D940" s="30" t="s">
        <v>359</v>
      </c>
      <c r="E940" s="234" t="s">
        <v>1210</v>
      </c>
      <c r="F940" s="235" t="s">
        <v>1291</v>
      </c>
      <c r="G940" s="476"/>
      <c r="H940" s="236" t="s">
        <v>4874</v>
      </c>
      <c r="I940" s="236">
        <v>1</v>
      </c>
      <c r="J940" s="236">
        <v>1</v>
      </c>
      <c r="K940" s="355" t="s">
        <v>1373</v>
      </c>
      <c r="L940" s="356">
        <v>44188</v>
      </c>
      <c r="M940" s="357" t="s">
        <v>204</v>
      </c>
      <c r="N940" s="416">
        <v>600000000</v>
      </c>
      <c r="O940" s="416">
        <v>600000000</v>
      </c>
      <c r="P940" s="358"/>
      <c r="Q940" s="320"/>
      <c r="R940" s="168"/>
      <c r="S940" s="168"/>
      <c r="T940" s="287"/>
      <c r="U940" s="264"/>
      <c r="V940" s="198"/>
    </row>
    <row r="941" spans="1:22" s="90" customFormat="1" ht="19.5" hidden="1" customHeight="1">
      <c r="A941" s="137"/>
      <c r="B941" s="197">
        <f t="shared" si="15"/>
        <v>931</v>
      </c>
      <c r="C941" s="30" t="s">
        <v>202</v>
      </c>
      <c r="D941" s="30" t="s">
        <v>359</v>
      </c>
      <c r="E941" s="234" t="s">
        <v>1210</v>
      </c>
      <c r="F941" s="235" t="s">
        <v>1291</v>
      </c>
      <c r="G941" s="476"/>
      <c r="H941" s="236" t="s">
        <v>4874</v>
      </c>
      <c r="I941" s="236">
        <v>1</v>
      </c>
      <c r="J941" s="236">
        <v>2</v>
      </c>
      <c r="K941" s="355" t="s">
        <v>1373</v>
      </c>
      <c r="L941" s="356">
        <v>45415</v>
      </c>
      <c r="M941" s="357" t="s">
        <v>204</v>
      </c>
      <c r="N941" s="416">
        <v>228000000</v>
      </c>
      <c r="O941" s="416">
        <v>228000000</v>
      </c>
      <c r="P941" s="358"/>
      <c r="Q941" s="320"/>
      <c r="R941" s="168"/>
      <c r="S941" s="168"/>
      <c r="T941" s="287"/>
      <c r="U941" s="264"/>
      <c r="V941" s="198"/>
    </row>
    <row r="942" spans="1:22" s="90" customFormat="1" ht="19.5" hidden="1" customHeight="1">
      <c r="A942" s="137"/>
      <c r="B942" s="197">
        <f t="shared" si="15"/>
        <v>932</v>
      </c>
      <c r="C942" s="30" t="s">
        <v>202</v>
      </c>
      <c r="D942" s="30" t="s">
        <v>359</v>
      </c>
      <c r="E942" s="234" t="s">
        <v>1211</v>
      </c>
      <c r="F942" s="235" t="s">
        <v>1225</v>
      </c>
      <c r="G942" s="476"/>
      <c r="H942" s="236" t="s">
        <v>3882</v>
      </c>
      <c r="I942" s="236">
        <v>1</v>
      </c>
      <c r="J942" s="236">
        <v>1</v>
      </c>
      <c r="K942" s="355" t="s">
        <v>1373</v>
      </c>
      <c r="L942" s="356">
        <v>42368</v>
      </c>
      <c r="M942" s="357" t="s">
        <v>204</v>
      </c>
      <c r="N942" s="416">
        <v>219600000</v>
      </c>
      <c r="O942" s="416">
        <v>219600000</v>
      </c>
      <c r="P942" s="358"/>
      <c r="Q942" s="320"/>
      <c r="R942" s="168"/>
      <c r="S942" s="168"/>
      <c r="T942" s="287"/>
      <c r="U942" s="264"/>
      <c r="V942" s="198"/>
    </row>
    <row r="943" spans="1:22" s="90" customFormat="1" ht="19.5" hidden="1" customHeight="1">
      <c r="A943" s="137"/>
      <c r="B943" s="197">
        <f t="shared" si="15"/>
        <v>933</v>
      </c>
      <c r="C943" s="30" t="s">
        <v>202</v>
      </c>
      <c r="D943" s="30" t="s">
        <v>359</v>
      </c>
      <c r="E943" s="234" t="s">
        <v>1211</v>
      </c>
      <c r="F943" s="235" t="s">
        <v>1225</v>
      </c>
      <c r="G943" s="476"/>
      <c r="H943" s="236" t="s">
        <v>3882</v>
      </c>
      <c r="I943" s="236">
        <v>1</v>
      </c>
      <c r="J943" s="236">
        <v>2</v>
      </c>
      <c r="K943" s="355" t="s">
        <v>1373</v>
      </c>
      <c r="L943" s="356">
        <v>43397</v>
      </c>
      <c r="M943" s="357" t="s">
        <v>204</v>
      </c>
      <c r="N943" s="416">
        <v>264000000</v>
      </c>
      <c r="O943" s="416">
        <v>264000000</v>
      </c>
      <c r="P943" s="358"/>
      <c r="Q943" s="320"/>
      <c r="R943" s="168"/>
      <c r="S943" s="168"/>
      <c r="T943" s="287"/>
      <c r="U943" s="264"/>
      <c r="V943" s="198"/>
    </row>
    <row r="944" spans="1:22" s="90" customFormat="1" ht="19.5" hidden="1" customHeight="1">
      <c r="A944" s="137"/>
      <c r="B944" s="197">
        <f t="shared" si="15"/>
        <v>934</v>
      </c>
      <c r="C944" s="30" t="s">
        <v>202</v>
      </c>
      <c r="D944" s="30" t="s">
        <v>359</v>
      </c>
      <c r="E944" s="234" t="s">
        <v>1211</v>
      </c>
      <c r="F944" s="235" t="s">
        <v>1225</v>
      </c>
      <c r="G944" s="476"/>
      <c r="H944" s="236" t="s">
        <v>3882</v>
      </c>
      <c r="I944" s="236">
        <v>1</v>
      </c>
      <c r="J944" s="236">
        <v>3</v>
      </c>
      <c r="K944" s="355" t="s">
        <v>1373</v>
      </c>
      <c r="L944" s="356">
        <v>44281</v>
      </c>
      <c r="M944" s="357" t="s">
        <v>204</v>
      </c>
      <c r="N944" s="416">
        <v>180000000</v>
      </c>
      <c r="O944" s="416">
        <v>180000000</v>
      </c>
      <c r="P944" s="358"/>
      <c r="Q944" s="320"/>
      <c r="R944" s="168"/>
      <c r="S944" s="168"/>
      <c r="T944" s="287"/>
      <c r="U944" s="264"/>
      <c r="V944" s="198"/>
    </row>
    <row r="945" spans="1:22" s="90" customFormat="1" ht="19.5" hidden="1" customHeight="1">
      <c r="A945" s="137"/>
      <c r="B945" s="197">
        <f t="shared" si="15"/>
        <v>935</v>
      </c>
      <c r="C945" s="30" t="s">
        <v>202</v>
      </c>
      <c r="D945" s="30" t="s">
        <v>359</v>
      </c>
      <c r="E945" s="234" t="s">
        <v>1212</v>
      </c>
      <c r="F945" s="235" t="s">
        <v>1292</v>
      </c>
      <c r="G945" s="476"/>
      <c r="H945" s="236" t="s">
        <v>4946</v>
      </c>
      <c r="I945" s="236">
        <v>1</v>
      </c>
      <c r="J945" s="236">
        <v>1</v>
      </c>
      <c r="K945" s="355" t="s">
        <v>1373</v>
      </c>
      <c r="L945" s="356">
        <v>44531</v>
      </c>
      <c r="M945" s="357" t="s">
        <v>204</v>
      </c>
      <c r="N945" s="416">
        <v>612000000</v>
      </c>
      <c r="O945" s="416">
        <v>612000000</v>
      </c>
      <c r="P945" s="358"/>
      <c r="Q945" s="320"/>
      <c r="R945" s="168" t="s">
        <v>204</v>
      </c>
      <c r="S945" s="168" t="s">
        <v>536</v>
      </c>
      <c r="T945" s="287">
        <v>45729</v>
      </c>
      <c r="U945" s="264">
        <v>140639578</v>
      </c>
      <c r="V945" s="198"/>
    </row>
    <row r="946" spans="1:22" s="90" customFormat="1" ht="19.5" hidden="1" customHeight="1">
      <c r="A946" s="137"/>
      <c r="B946" s="197">
        <f t="shared" si="15"/>
        <v>936</v>
      </c>
      <c r="C946" s="30" t="s">
        <v>202</v>
      </c>
      <c r="D946" s="30" t="s">
        <v>359</v>
      </c>
      <c r="E946" s="234" t="s">
        <v>1213</v>
      </c>
      <c r="F946" s="235" t="s">
        <v>1229</v>
      </c>
      <c r="G946" s="476"/>
      <c r="H946" s="236" t="s">
        <v>4537</v>
      </c>
      <c r="I946" s="236">
        <v>1</v>
      </c>
      <c r="J946" s="236">
        <v>1</v>
      </c>
      <c r="K946" s="355" t="s">
        <v>1373</v>
      </c>
      <c r="L946" s="356">
        <v>44953</v>
      </c>
      <c r="M946" s="357" t="s">
        <v>204</v>
      </c>
      <c r="N946" s="416">
        <v>220000000</v>
      </c>
      <c r="O946" s="416">
        <v>220000000</v>
      </c>
      <c r="P946" s="358"/>
      <c r="Q946" s="320"/>
      <c r="R946" s="168"/>
      <c r="S946" s="168"/>
      <c r="T946" s="287"/>
      <c r="U946" s="264"/>
      <c r="V946" s="198"/>
    </row>
    <row r="947" spans="1:22" s="90" customFormat="1" ht="19.5" hidden="1" customHeight="1">
      <c r="A947" s="137"/>
      <c r="B947" s="197">
        <f t="shared" si="15"/>
        <v>937</v>
      </c>
      <c r="C947" s="30" t="s">
        <v>202</v>
      </c>
      <c r="D947" s="30" t="s">
        <v>359</v>
      </c>
      <c r="E947" s="234" t="s">
        <v>7150</v>
      </c>
      <c r="F947" s="235" t="s">
        <v>1328</v>
      </c>
      <c r="G947" s="476"/>
      <c r="H947" s="236" t="s">
        <v>4672</v>
      </c>
      <c r="I947" s="236">
        <v>1</v>
      </c>
      <c r="J947" s="236">
        <v>1</v>
      </c>
      <c r="K947" s="355" t="s">
        <v>1373</v>
      </c>
      <c r="L947" s="356">
        <v>45128</v>
      </c>
      <c r="M947" s="357" t="s">
        <v>204</v>
      </c>
      <c r="N947" s="416">
        <v>10800000000</v>
      </c>
      <c r="O947" s="416">
        <v>10800000000</v>
      </c>
      <c r="P947" s="358"/>
      <c r="Q947" s="320"/>
      <c r="R947" s="168"/>
      <c r="S947" s="168"/>
      <c r="T947" s="287"/>
      <c r="U947" s="264"/>
      <c r="V947" s="198"/>
    </row>
    <row r="948" spans="1:22" s="90" customFormat="1" ht="19.5" hidden="1" customHeight="1">
      <c r="A948" s="137"/>
      <c r="B948" s="197">
        <f t="shared" si="15"/>
        <v>938</v>
      </c>
      <c r="C948" s="30" t="s">
        <v>202</v>
      </c>
      <c r="D948" s="30" t="s">
        <v>359</v>
      </c>
      <c r="E948" s="234" t="s">
        <v>7151</v>
      </c>
      <c r="F948" s="235" t="s">
        <v>1337</v>
      </c>
      <c r="G948" s="476"/>
      <c r="H948" s="236" t="s">
        <v>5350</v>
      </c>
      <c r="I948" s="236">
        <v>1</v>
      </c>
      <c r="J948" s="236">
        <v>1</v>
      </c>
      <c r="K948" s="355" t="s">
        <v>1373</v>
      </c>
      <c r="L948" s="356">
        <v>44503</v>
      </c>
      <c r="M948" s="357" t="s">
        <v>204</v>
      </c>
      <c r="N948" s="416">
        <v>3360000000</v>
      </c>
      <c r="O948" s="416">
        <v>3360000000</v>
      </c>
      <c r="P948" s="358"/>
      <c r="Q948" s="320"/>
      <c r="R948" s="168"/>
      <c r="S948" s="168"/>
      <c r="T948" s="287"/>
      <c r="U948" s="264"/>
      <c r="V948" s="198"/>
    </row>
    <row r="949" spans="1:22" s="90" customFormat="1" ht="19.5" hidden="1" customHeight="1">
      <c r="A949" s="137"/>
      <c r="B949" s="197">
        <f t="shared" si="15"/>
        <v>939</v>
      </c>
      <c r="C949" s="30" t="s">
        <v>202</v>
      </c>
      <c r="D949" s="30" t="s">
        <v>359</v>
      </c>
      <c r="E949" s="234" t="s">
        <v>7151</v>
      </c>
      <c r="F949" s="235" t="s">
        <v>1337</v>
      </c>
      <c r="G949" s="476"/>
      <c r="H949" s="236" t="s">
        <v>5353</v>
      </c>
      <c r="I949" s="236">
        <v>2</v>
      </c>
      <c r="J949" s="236">
        <v>1</v>
      </c>
      <c r="K949" s="355" t="s">
        <v>488</v>
      </c>
      <c r="L949" s="356">
        <v>44176</v>
      </c>
      <c r="M949" s="357" t="s">
        <v>204</v>
      </c>
      <c r="N949" s="416">
        <v>320100000</v>
      </c>
      <c r="O949" s="416">
        <v>320100000</v>
      </c>
      <c r="P949" s="358"/>
      <c r="Q949" s="320"/>
      <c r="R949" s="168"/>
      <c r="S949" s="168"/>
      <c r="T949" s="287"/>
      <c r="U949" s="264"/>
      <c r="V949" s="198"/>
    </row>
    <row r="950" spans="1:22" s="90" customFormat="1" ht="19.5" hidden="1" customHeight="1">
      <c r="A950" s="137"/>
      <c r="B950" s="197">
        <f t="shared" si="15"/>
        <v>940</v>
      </c>
      <c r="C950" s="30" t="s">
        <v>202</v>
      </c>
      <c r="D950" s="30" t="s">
        <v>359</v>
      </c>
      <c r="E950" s="234" t="s">
        <v>7151</v>
      </c>
      <c r="F950" s="235" t="s">
        <v>1337</v>
      </c>
      <c r="G950" s="476"/>
      <c r="H950" s="236" t="s">
        <v>5353</v>
      </c>
      <c r="I950" s="236">
        <v>2</v>
      </c>
      <c r="J950" s="236">
        <v>2</v>
      </c>
      <c r="K950" s="355" t="s">
        <v>489</v>
      </c>
      <c r="L950" s="356">
        <v>44467</v>
      </c>
      <c r="M950" s="357" t="s">
        <v>204</v>
      </c>
      <c r="N950" s="416">
        <v>404400000</v>
      </c>
      <c r="O950" s="416">
        <v>404400000</v>
      </c>
      <c r="P950" s="358"/>
      <c r="Q950" s="320"/>
      <c r="R950" s="168"/>
      <c r="S950" s="168"/>
      <c r="T950" s="287"/>
      <c r="U950" s="264"/>
      <c r="V950" s="198"/>
    </row>
    <row r="951" spans="1:22" s="90" customFormat="1" ht="19.5" hidden="1" customHeight="1">
      <c r="A951" s="137"/>
      <c r="B951" s="197">
        <f t="shared" si="15"/>
        <v>941</v>
      </c>
      <c r="C951" s="30" t="s">
        <v>202</v>
      </c>
      <c r="D951" s="30" t="s">
        <v>359</v>
      </c>
      <c r="E951" s="234" t="s">
        <v>7151</v>
      </c>
      <c r="F951" s="235" t="s">
        <v>1337</v>
      </c>
      <c r="G951" s="476"/>
      <c r="H951" s="236" t="s">
        <v>5353</v>
      </c>
      <c r="I951" s="236">
        <v>2</v>
      </c>
      <c r="J951" s="236">
        <v>3</v>
      </c>
      <c r="K951" s="355" t="s">
        <v>489</v>
      </c>
      <c r="L951" s="356">
        <v>44637</v>
      </c>
      <c r="M951" s="357" t="s">
        <v>204</v>
      </c>
      <c r="N951" s="416">
        <v>96000000</v>
      </c>
      <c r="O951" s="416">
        <v>96000000</v>
      </c>
      <c r="P951" s="358"/>
      <c r="Q951" s="320"/>
      <c r="R951" s="168"/>
      <c r="S951" s="168"/>
      <c r="T951" s="287"/>
      <c r="U951" s="264"/>
      <c r="V951" s="198"/>
    </row>
    <row r="952" spans="1:22" s="90" customFormat="1" ht="19.5" hidden="1" customHeight="1">
      <c r="A952" s="137"/>
      <c r="B952" s="197">
        <f t="shared" si="15"/>
        <v>942</v>
      </c>
      <c r="C952" s="30" t="s">
        <v>202</v>
      </c>
      <c r="D952" s="30" t="s">
        <v>359</v>
      </c>
      <c r="E952" s="234" t="s">
        <v>7151</v>
      </c>
      <c r="F952" s="235" t="s">
        <v>1337</v>
      </c>
      <c r="G952" s="476"/>
      <c r="H952" s="236" t="s">
        <v>5353</v>
      </c>
      <c r="I952" s="236">
        <v>2</v>
      </c>
      <c r="J952" s="236">
        <v>4</v>
      </c>
      <c r="K952" s="355" t="s">
        <v>1373</v>
      </c>
      <c r="L952" s="356">
        <v>45607</v>
      </c>
      <c r="M952" s="357" t="s">
        <v>204</v>
      </c>
      <c r="N952" s="416">
        <v>58800000</v>
      </c>
      <c r="O952" s="416">
        <v>58800000</v>
      </c>
      <c r="P952" s="358"/>
      <c r="Q952" s="320"/>
      <c r="R952" s="168"/>
      <c r="S952" s="168"/>
      <c r="T952" s="287"/>
      <c r="U952" s="264"/>
      <c r="V952" s="198"/>
    </row>
    <row r="953" spans="1:22" s="90" customFormat="1" ht="19.5" hidden="1" customHeight="1">
      <c r="A953" s="137"/>
      <c r="B953" s="197">
        <f t="shared" si="15"/>
        <v>943</v>
      </c>
      <c r="C953" s="30" t="s">
        <v>202</v>
      </c>
      <c r="D953" s="30" t="s">
        <v>359</v>
      </c>
      <c r="E953" s="234" t="s">
        <v>7152</v>
      </c>
      <c r="F953" s="235" t="s">
        <v>1345</v>
      </c>
      <c r="G953" s="476"/>
      <c r="H953" s="236" t="s">
        <v>4589</v>
      </c>
      <c r="I953" s="236">
        <v>1</v>
      </c>
      <c r="J953" s="236">
        <v>1</v>
      </c>
      <c r="K953" s="355" t="s">
        <v>1373</v>
      </c>
      <c r="L953" s="356">
        <v>42360</v>
      </c>
      <c r="M953" s="357" t="s">
        <v>204</v>
      </c>
      <c r="N953" s="416">
        <v>240000000</v>
      </c>
      <c r="O953" s="416">
        <v>240000000</v>
      </c>
      <c r="P953" s="358"/>
      <c r="Q953" s="320"/>
      <c r="R953" s="168"/>
      <c r="S953" s="168"/>
      <c r="T953" s="287"/>
      <c r="U953" s="264"/>
      <c r="V953" s="198"/>
    </row>
    <row r="954" spans="1:22" s="90" customFormat="1" ht="19.5" hidden="1" customHeight="1">
      <c r="A954" s="137"/>
      <c r="B954" s="197">
        <f t="shared" si="15"/>
        <v>944</v>
      </c>
      <c r="C954" s="30" t="s">
        <v>202</v>
      </c>
      <c r="D954" s="30" t="s">
        <v>359</v>
      </c>
      <c r="E954" s="234" t="s">
        <v>7152</v>
      </c>
      <c r="F954" s="235" t="s">
        <v>1345</v>
      </c>
      <c r="G954" s="476"/>
      <c r="H954" s="236" t="s">
        <v>4591</v>
      </c>
      <c r="I954" s="236">
        <v>2</v>
      </c>
      <c r="J954" s="236">
        <v>1</v>
      </c>
      <c r="K954" s="355" t="s">
        <v>489</v>
      </c>
      <c r="L954" s="356">
        <v>37075</v>
      </c>
      <c r="M954" s="357" t="s">
        <v>204</v>
      </c>
      <c r="N954" s="416">
        <v>66000000</v>
      </c>
      <c r="O954" s="416">
        <v>66000000</v>
      </c>
      <c r="P954" s="358"/>
      <c r="Q954" s="320"/>
      <c r="R954" s="168"/>
      <c r="S954" s="168"/>
      <c r="T954" s="287"/>
      <c r="U954" s="264"/>
      <c r="V954" s="198"/>
    </row>
    <row r="955" spans="1:22" s="90" customFormat="1" ht="19.5" hidden="1" customHeight="1">
      <c r="A955" s="137"/>
      <c r="B955" s="197">
        <f t="shared" si="15"/>
        <v>945</v>
      </c>
      <c r="C955" s="30" t="s">
        <v>202</v>
      </c>
      <c r="D955" s="30" t="s">
        <v>359</v>
      </c>
      <c r="E955" s="234" t="s">
        <v>7152</v>
      </c>
      <c r="F955" s="235" t="s">
        <v>1345</v>
      </c>
      <c r="G955" s="476"/>
      <c r="H955" s="236" t="s">
        <v>4591</v>
      </c>
      <c r="I955" s="236">
        <v>2</v>
      </c>
      <c r="J955" s="236">
        <v>2</v>
      </c>
      <c r="K955" s="355" t="s">
        <v>3370</v>
      </c>
      <c r="L955" s="356">
        <v>38350</v>
      </c>
      <c r="M955" s="357" t="s">
        <v>204</v>
      </c>
      <c r="N955" s="416">
        <v>40000000</v>
      </c>
      <c r="O955" s="416">
        <v>40000000</v>
      </c>
      <c r="P955" s="358"/>
      <c r="Q955" s="320"/>
      <c r="R955" s="168"/>
      <c r="S955" s="168"/>
      <c r="T955" s="287"/>
      <c r="U955" s="264"/>
      <c r="V955" s="198"/>
    </row>
    <row r="956" spans="1:22" s="90" customFormat="1" ht="19.5" hidden="1" customHeight="1">
      <c r="A956" s="137"/>
      <c r="B956" s="197">
        <f t="shared" si="15"/>
        <v>946</v>
      </c>
      <c r="C956" s="30" t="s">
        <v>202</v>
      </c>
      <c r="D956" s="30" t="s">
        <v>359</v>
      </c>
      <c r="E956" s="234" t="s">
        <v>7152</v>
      </c>
      <c r="F956" s="235" t="s">
        <v>1345</v>
      </c>
      <c r="G956" s="476"/>
      <c r="H956" s="236" t="s">
        <v>4591</v>
      </c>
      <c r="I956" s="236">
        <v>2</v>
      </c>
      <c r="J956" s="236">
        <v>3</v>
      </c>
      <c r="K956" s="355" t="s">
        <v>1373</v>
      </c>
      <c r="L956" s="356">
        <v>43962</v>
      </c>
      <c r="M956" s="357" t="s">
        <v>204</v>
      </c>
      <c r="N956" s="416">
        <v>240000000</v>
      </c>
      <c r="O956" s="416">
        <v>240000000</v>
      </c>
      <c r="P956" s="358"/>
      <c r="Q956" s="320"/>
      <c r="R956" s="168"/>
      <c r="S956" s="168"/>
      <c r="T956" s="287"/>
      <c r="U956" s="264"/>
      <c r="V956" s="198"/>
    </row>
    <row r="957" spans="1:22" s="90" customFormat="1" ht="19.5" hidden="1" customHeight="1">
      <c r="A957" s="137"/>
      <c r="B957" s="197">
        <f t="shared" si="15"/>
        <v>947</v>
      </c>
      <c r="C957" s="30" t="s">
        <v>202</v>
      </c>
      <c r="D957" s="30" t="s">
        <v>359</v>
      </c>
      <c r="E957" s="234" t="s">
        <v>7153</v>
      </c>
      <c r="F957" s="235" t="s">
        <v>1351</v>
      </c>
      <c r="G957" s="476"/>
      <c r="H957" s="236" t="s">
        <v>4936</v>
      </c>
      <c r="I957" s="236">
        <v>1</v>
      </c>
      <c r="J957" s="236">
        <v>1</v>
      </c>
      <c r="K957" s="355" t="s">
        <v>1373</v>
      </c>
      <c r="L957" s="356">
        <v>43615</v>
      </c>
      <c r="M957" s="357" t="s">
        <v>204</v>
      </c>
      <c r="N957" s="416">
        <v>84000000</v>
      </c>
      <c r="O957" s="416">
        <v>84000000</v>
      </c>
      <c r="P957" s="358"/>
      <c r="Q957" s="320"/>
      <c r="R957" s="168"/>
      <c r="S957" s="168"/>
      <c r="T957" s="287"/>
      <c r="U957" s="264"/>
      <c r="V957" s="198"/>
    </row>
    <row r="958" spans="1:22" s="90" customFormat="1" ht="19.5" hidden="1" customHeight="1">
      <c r="A958" s="137"/>
      <c r="B958" s="197">
        <f t="shared" si="15"/>
        <v>948</v>
      </c>
      <c r="C958" s="30" t="s">
        <v>202</v>
      </c>
      <c r="D958" s="30" t="s">
        <v>359</v>
      </c>
      <c r="E958" s="234" t="s">
        <v>7153</v>
      </c>
      <c r="F958" s="235" t="s">
        <v>1351</v>
      </c>
      <c r="G958" s="476"/>
      <c r="H958" s="236" t="s">
        <v>4936</v>
      </c>
      <c r="I958" s="236">
        <v>1</v>
      </c>
      <c r="J958" s="236">
        <v>2</v>
      </c>
      <c r="K958" s="355" t="s">
        <v>1373</v>
      </c>
      <c r="L958" s="356">
        <v>44524</v>
      </c>
      <c r="M958" s="357" t="s">
        <v>204</v>
      </c>
      <c r="N958" s="416">
        <v>360000000</v>
      </c>
      <c r="O958" s="416">
        <v>360000000</v>
      </c>
      <c r="P958" s="358"/>
      <c r="Q958" s="320">
        <v>2</v>
      </c>
      <c r="R958" s="168"/>
      <c r="S958" s="168"/>
      <c r="T958" s="287"/>
      <c r="U958" s="264"/>
      <c r="V958" s="198"/>
    </row>
    <row r="959" spans="1:22" s="90" customFormat="1" ht="19.5" hidden="1" customHeight="1">
      <c r="A959" s="137"/>
      <c r="B959" s="197">
        <f t="shared" si="15"/>
        <v>949</v>
      </c>
      <c r="C959" s="30" t="s">
        <v>202</v>
      </c>
      <c r="D959" s="30" t="s">
        <v>359</v>
      </c>
      <c r="E959" s="234" t="s">
        <v>7153</v>
      </c>
      <c r="F959" s="235" t="s">
        <v>1351</v>
      </c>
      <c r="G959" s="476"/>
      <c r="H959" s="236" t="s">
        <v>4938</v>
      </c>
      <c r="I959" s="236">
        <v>2</v>
      </c>
      <c r="J959" s="236">
        <v>1</v>
      </c>
      <c r="K959" s="355" t="s">
        <v>3841</v>
      </c>
      <c r="L959" s="356">
        <v>42839</v>
      </c>
      <c r="M959" s="357" t="s">
        <v>204</v>
      </c>
      <c r="N959" s="416">
        <v>204000000</v>
      </c>
      <c r="O959" s="416">
        <v>204000000</v>
      </c>
      <c r="P959" s="358"/>
      <c r="Q959" s="320"/>
      <c r="R959" s="168"/>
      <c r="S959" s="168"/>
      <c r="T959" s="287"/>
      <c r="U959" s="264"/>
      <c r="V959" s="198"/>
    </row>
    <row r="960" spans="1:22" s="90" customFormat="1" ht="19.5" hidden="1" customHeight="1">
      <c r="A960" s="137"/>
      <c r="B960" s="197">
        <f t="shared" si="15"/>
        <v>950</v>
      </c>
      <c r="C960" s="30" t="s">
        <v>202</v>
      </c>
      <c r="D960" s="30" t="s">
        <v>359</v>
      </c>
      <c r="E960" s="234" t="s">
        <v>7153</v>
      </c>
      <c r="F960" s="235" t="s">
        <v>1351</v>
      </c>
      <c r="G960" s="476"/>
      <c r="H960" s="236" t="s">
        <v>4938</v>
      </c>
      <c r="I960" s="236">
        <v>2</v>
      </c>
      <c r="J960" s="236">
        <v>2</v>
      </c>
      <c r="K960" s="355" t="s">
        <v>1373</v>
      </c>
      <c r="L960" s="356">
        <v>44524</v>
      </c>
      <c r="M960" s="357" t="s">
        <v>204</v>
      </c>
      <c r="N960" s="416">
        <v>360000000</v>
      </c>
      <c r="O960" s="416">
        <v>360000000</v>
      </c>
      <c r="P960" s="358"/>
      <c r="Q960" s="320">
        <v>1</v>
      </c>
      <c r="R960" s="168"/>
      <c r="S960" s="168"/>
      <c r="T960" s="287"/>
      <c r="U960" s="264"/>
      <c r="V960" s="198"/>
    </row>
    <row r="961" spans="1:22" s="90" customFormat="1" ht="19.5" hidden="1" customHeight="1">
      <c r="A961" s="137"/>
      <c r="B961" s="197">
        <f t="shared" si="15"/>
        <v>951</v>
      </c>
      <c r="C961" s="30" t="s">
        <v>202</v>
      </c>
      <c r="D961" s="30" t="s">
        <v>359</v>
      </c>
      <c r="E961" s="234" t="s">
        <v>7154</v>
      </c>
      <c r="F961" s="235" t="s">
        <v>1355</v>
      </c>
      <c r="G961" s="476"/>
      <c r="H961" s="236" t="s">
        <v>4882</v>
      </c>
      <c r="I961" s="236">
        <v>1</v>
      </c>
      <c r="J961" s="236">
        <v>1</v>
      </c>
      <c r="K961" s="355" t="s">
        <v>488</v>
      </c>
      <c r="L961" s="356">
        <v>41851</v>
      </c>
      <c r="M961" s="357" t="s">
        <v>204</v>
      </c>
      <c r="N961" s="416">
        <v>264000000</v>
      </c>
      <c r="O961" s="416">
        <v>264000000</v>
      </c>
      <c r="P961" s="358"/>
      <c r="Q961" s="320"/>
      <c r="R961" s="168"/>
      <c r="S961" s="168"/>
      <c r="T961" s="287"/>
      <c r="U961" s="264"/>
      <c r="V961" s="198"/>
    </row>
    <row r="962" spans="1:22" s="90" customFormat="1" ht="19.5" hidden="1" customHeight="1">
      <c r="A962" s="137"/>
      <c r="B962" s="197">
        <f t="shared" si="15"/>
        <v>952</v>
      </c>
      <c r="C962" s="30" t="s">
        <v>202</v>
      </c>
      <c r="D962" s="30" t="s">
        <v>359</v>
      </c>
      <c r="E962" s="234" t="s">
        <v>7154</v>
      </c>
      <c r="F962" s="235" t="s">
        <v>1355</v>
      </c>
      <c r="G962" s="476"/>
      <c r="H962" s="236" t="s">
        <v>4882</v>
      </c>
      <c r="I962" s="236">
        <v>1</v>
      </c>
      <c r="J962" s="236">
        <v>2</v>
      </c>
      <c r="K962" s="355" t="s">
        <v>488</v>
      </c>
      <c r="L962" s="356">
        <v>43734</v>
      </c>
      <c r="M962" s="357" t="s">
        <v>204</v>
      </c>
      <c r="N962" s="416">
        <v>110000000</v>
      </c>
      <c r="O962" s="416">
        <v>110000000</v>
      </c>
      <c r="P962" s="358"/>
      <c r="Q962" s="320"/>
      <c r="R962" s="168"/>
      <c r="S962" s="168"/>
      <c r="T962" s="287"/>
      <c r="U962" s="264"/>
      <c r="V962" s="198"/>
    </row>
    <row r="963" spans="1:22" s="90" customFormat="1" ht="19.5" hidden="1" customHeight="1">
      <c r="A963" s="137"/>
      <c r="B963" s="197">
        <f t="shared" si="15"/>
        <v>953</v>
      </c>
      <c r="C963" s="30" t="s">
        <v>202</v>
      </c>
      <c r="D963" s="30" t="s">
        <v>359</v>
      </c>
      <c r="E963" s="234" t="s">
        <v>7154</v>
      </c>
      <c r="F963" s="235" t="s">
        <v>1355</v>
      </c>
      <c r="G963" s="476"/>
      <c r="H963" s="236" t="s">
        <v>4882</v>
      </c>
      <c r="I963" s="236">
        <v>1</v>
      </c>
      <c r="J963" s="236">
        <v>3</v>
      </c>
      <c r="K963" s="355" t="s">
        <v>1373</v>
      </c>
      <c r="L963" s="356">
        <v>44336</v>
      </c>
      <c r="M963" s="357" t="s">
        <v>204</v>
      </c>
      <c r="N963" s="416">
        <v>528000000</v>
      </c>
      <c r="O963" s="416">
        <v>528000000</v>
      </c>
      <c r="P963" s="358"/>
      <c r="Q963" s="320"/>
      <c r="R963" s="168"/>
      <c r="S963" s="168"/>
      <c r="T963" s="287"/>
      <c r="U963" s="264"/>
      <c r="V963" s="198"/>
    </row>
    <row r="964" spans="1:22" s="90" customFormat="1" ht="19.5" hidden="1" customHeight="1">
      <c r="A964" s="137"/>
      <c r="B964" s="197">
        <f t="shared" si="15"/>
        <v>954</v>
      </c>
      <c r="C964" s="30" t="s">
        <v>201</v>
      </c>
      <c r="D964" s="30" t="s">
        <v>225</v>
      </c>
      <c r="E964" s="234" t="s">
        <v>1214</v>
      </c>
      <c r="F964" s="235" t="s">
        <v>1366</v>
      </c>
      <c r="G964" s="476"/>
      <c r="H964" s="236" t="s">
        <v>5283</v>
      </c>
      <c r="I964" s="236">
        <v>1</v>
      </c>
      <c r="J964" s="236" t="s">
        <v>418</v>
      </c>
      <c r="K964" s="355" t="s">
        <v>1373</v>
      </c>
      <c r="L964" s="356">
        <v>44180</v>
      </c>
      <c r="M964" s="357" t="s">
        <v>204</v>
      </c>
      <c r="N964" s="416">
        <v>23520000000</v>
      </c>
      <c r="O964" s="416">
        <v>23520000000</v>
      </c>
      <c r="P964" s="358"/>
      <c r="Q964" s="320"/>
      <c r="R964" s="168"/>
      <c r="S964" s="168"/>
      <c r="T964" s="287"/>
      <c r="U964" s="264"/>
      <c r="V964" s="198"/>
    </row>
    <row r="965" spans="1:22" s="90" customFormat="1" ht="19.5" hidden="1" customHeight="1">
      <c r="A965" s="137"/>
      <c r="B965" s="197">
        <f t="shared" si="15"/>
        <v>955</v>
      </c>
      <c r="C965" s="30" t="s">
        <v>201</v>
      </c>
      <c r="D965" s="30" t="s">
        <v>225</v>
      </c>
      <c r="E965" s="234" t="s">
        <v>1214</v>
      </c>
      <c r="F965" s="235" t="s">
        <v>1366</v>
      </c>
      <c r="G965" s="476"/>
      <c r="H965" s="236" t="s">
        <v>5283</v>
      </c>
      <c r="I965" s="236">
        <v>1</v>
      </c>
      <c r="J965" s="236" t="s">
        <v>418</v>
      </c>
      <c r="K965" s="355" t="s">
        <v>3379</v>
      </c>
      <c r="L965" s="356">
        <v>44180</v>
      </c>
      <c r="M965" s="357" t="s">
        <v>204</v>
      </c>
      <c r="N965" s="416">
        <v>48000000000</v>
      </c>
      <c r="O965" s="416">
        <v>48000000000</v>
      </c>
      <c r="P965" s="358"/>
      <c r="Q965" s="320"/>
      <c r="R965" s="168"/>
      <c r="S965" s="168"/>
      <c r="T965" s="287"/>
      <c r="U965" s="264"/>
      <c r="V965" s="198"/>
    </row>
    <row r="966" spans="1:22" s="90" customFormat="1" ht="19.5" hidden="1" customHeight="1">
      <c r="A966" s="137"/>
      <c r="B966" s="197">
        <f t="shared" si="15"/>
        <v>956</v>
      </c>
      <c r="C966" s="30" t="s">
        <v>541</v>
      </c>
      <c r="D966" s="30" t="s">
        <v>225</v>
      </c>
      <c r="E966" s="234" t="s">
        <v>1215</v>
      </c>
      <c r="F966" s="235" t="s">
        <v>1293</v>
      </c>
      <c r="G966" s="476"/>
      <c r="H966" s="236" t="s">
        <v>5457</v>
      </c>
      <c r="I966" s="236">
        <v>1</v>
      </c>
      <c r="J966" s="236">
        <v>1</v>
      </c>
      <c r="K966" s="355" t="s">
        <v>1373</v>
      </c>
      <c r="L966" s="356">
        <v>43768</v>
      </c>
      <c r="M966" s="357" t="s">
        <v>204</v>
      </c>
      <c r="N966" s="416">
        <v>15240000000</v>
      </c>
      <c r="O966" s="416">
        <v>15240000000</v>
      </c>
      <c r="P966" s="358"/>
      <c r="Q966" s="320"/>
      <c r="R966" s="168"/>
      <c r="S966" s="168"/>
      <c r="T966" s="287"/>
      <c r="U966" s="264"/>
      <c r="V966" s="198"/>
    </row>
    <row r="967" spans="1:22" s="90" customFormat="1" ht="19.5" hidden="1" customHeight="1">
      <c r="A967" s="137"/>
      <c r="B967" s="197">
        <f t="shared" si="15"/>
        <v>957</v>
      </c>
      <c r="C967" s="30" t="s">
        <v>635</v>
      </c>
      <c r="D967" s="30" t="s">
        <v>225</v>
      </c>
      <c r="E967" s="234" t="s">
        <v>1216</v>
      </c>
      <c r="F967" s="235" t="s">
        <v>1243</v>
      </c>
      <c r="G967" s="476"/>
      <c r="H967" s="236" t="s">
        <v>5341</v>
      </c>
      <c r="I967" s="236">
        <v>1</v>
      </c>
      <c r="J967" s="236">
        <v>1</v>
      </c>
      <c r="K967" s="355" t="s">
        <v>1373</v>
      </c>
      <c r="L967" s="356">
        <v>45309</v>
      </c>
      <c r="M967" s="357" t="s">
        <v>204</v>
      </c>
      <c r="N967" s="416">
        <v>10800000000</v>
      </c>
      <c r="O967" s="416">
        <v>10800000000</v>
      </c>
      <c r="P967" s="358"/>
      <c r="Q967" s="320"/>
      <c r="R967" s="168"/>
      <c r="S967" s="168"/>
      <c r="T967" s="287"/>
      <c r="U967" s="264"/>
      <c r="V967" s="198"/>
    </row>
    <row r="968" spans="1:22" s="90" customFormat="1" ht="19.5" hidden="1" customHeight="1" thickBot="1">
      <c r="A968" s="137"/>
      <c r="B968" s="197">
        <f t="shared" si="15"/>
        <v>958</v>
      </c>
      <c r="C968" s="30" t="s">
        <v>635</v>
      </c>
      <c r="D968" s="30" t="s">
        <v>225</v>
      </c>
      <c r="E968" s="234" t="s">
        <v>1216</v>
      </c>
      <c r="F968" s="235" t="s">
        <v>1243</v>
      </c>
      <c r="G968" s="476"/>
      <c r="H968" s="236" t="s">
        <v>5341</v>
      </c>
      <c r="I968" s="236">
        <v>1</v>
      </c>
      <c r="J968" s="236">
        <v>2</v>
      </c>
      <c r="K968" s="355" t="s">
        <v>1373</v>
      </c>
      <c r="L968" s="356">
        <v>45309</v>
      </c>
      <c r="M968" s="357" t="s">
        <v>204</v>
      </c>
      <c r="N968" s="416">
        <v>12000000000</v>
      </c>
      <c r="O968" s="416">
        <v>12000000000</v>
      </c>
      <c r="P968" s="358"/>
      <c r="Q968" s="320"/>
      <c r="R968" s="168"/>
      <c r="S968" s="168"/>
      <c r="T968" s="287"/>
      <c r="U968" s="264"/>
      <c r="V968" s="198"/>
    </row>
    <row r="969" spans="1:22" ht="19.5" customHeight="1" thickBot="1">
      <c r="A969" s="90"/>
      <c r="B969" s="119"/>
      <c r="C969" s="120"/>
      <c r="D969" s="120"/>
      <c r="E969" s="120"/>
      <c r="F969" s="120"/>
      <c r="G969" s="120"/>
      <c r="H969" s="121"/>
      <c r="I969" s="121"/>
      <c r="J969" s="121"/>
      <c r="K969" s="121"/>
      <c r="L969" s="121"/>
      <c r="M969" s="122"/>
      <c r="N969" s="122"/>
      <c r="O969" s="122"/>
      <c r="P969" s="123"/>
      <c r="Q969" s="123"/>
      <c r="R969" s="123"/>
      <c r="S969" s="123"/>
      <c r="T969" s="288"/>
      <c r="U969" s="291"/>
      <c r="V969" s="124"/>
    </row>
    <row r="971" spans="1:22">
      <c r="N971" s="186"/>
      <c r="O971" s="186"/>
    </row>
  </sheetData>
  <autoFilter ref="A10:V968">
    <filterColumn colId="6">
      <filters>
        <filter val="문선영"/>
      </filters>
    </filterColumn>
  </autoFilter>
  <phoneticPr fontId="5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 filterMode="1">
    <pageSetUpPr autoPageBreaks="0"/>
  </sheetPr>
  <dimension ref="A1:AT587"/>
  <sheetViews>
    <sheetView showGridLines="0" zoomScale="75" zoomScaleNormal="75" zoomScaleSheetLayoutView="80" workbookViewId="0">
      <selection activeCell="I606" sqref="I606"/>
    </sheetView>
  </sheetViews>
  <sheetFormatPr defaultColWidth="8.6640625" defaultRowHeight="17"/>
  <cols>
    <col min="1" max="1" width="1.58203125" style="127" customWidth="1"/>
    <col min="2" max="4" width="7.58203125" style="127" customWidth="1"/>
    <col min="5" max="5" width="12.08203125" style="127" bestFit="1" customWidth="1"/>
    <col min="6" max="7" width="25.58203125" style="127" customWidth="1"/>
    <col min="8" max="11" width="10.6640625" style="127" customWidth="1"/>
    <col min="12" max="12" width="16.1640625" style="127" customWidth="1"/>
    <col min="13" max="13" width="17.08203125" style="127" customWidth="1"/>
    <col min="14" max="14" width="39.58203125" style="200" customWidth="1"/>
    <col min="15" max="15" width="33.1640625" style="200" customWidth="1"/>
    <col min="16" max="16" width="34" style="200" customWidth="1"/>
    <col min="17" max="18" width="10.5" style="127" customWidth="1"/>
    <col min="19" max="19" width="26.6640625" style="127" customWidth="1"/>
    <col min="20" max="24" width="13.58203125" style="127" customWidth="1"/>
    <col min="25" max="45" width="15.58203125" style="127" customWidth="1"/>
    <col min="46" max="46" width="40.6640625" style="127" customWidth="1"/>
    <col min="47" max="16384" width="8.6640625" style="127"/>
  </cols>
  <sheetData>
    <row r="1" spans="1:46" s="2" customFormat="1" ht="15" customHeight="1">
      <c r="A1" s="1"/>
      <c r="C1" s="2" t="s">
        <v>48</v>
      </c>
      <c r="F1" s="20"/>
      <c r="G1" s="20"/>
      <c r="H1" s="39"/>
      <c r="I1" s="39"/>
      <c r="N1" s="3"/>
      <c r="O1" s="3"/>
      <c r="P1" s="3"/>
    </row>
    <row r="2" spans="1:46" s="2" customFormat="1" ht="28.25" customHeight="1">
      <c r="A2" s="5" t="str">
        <f>Description!A2</f>
        <v>SHB 2025-8 Program</v>
      </c>
      <c r="F2" s="20"/>
      <c r="G2" s="20"/>
      <c r="H2" s="39"/>
      <c r="I2" s="39"/>
      <c r="N2" s="3"/>
      <c r="O2" s="3"/>
      <c r="P2" s="3"/>
    </row>
    <row r="3" spans="1:46" s="2" customFormat="1" ht="8" customHeight="1">
      <c r="H3" s="39"/>
      <c r="I3" s="39"/>
      <c r="N3" s="3"/>
      <c r="O3" s="3"/>
      <c r="P3" s="3"/>
    </row>
    <row r="4" spans="1:46" s="2" customFormat="1" ht="25.25" customHeight="1">
      <c r="A4" s="8" t="s">
        <v>4</v>
      </c>
      <c r="B4" s="9"/>
      <c r="C4" s="9"/>
      <c r="D4" s="9"/>
      <c r="E4" s="9"/>
      <c r="N4" s="3"/>
      <c r="O4" s="3"/>
      <c r="P4" s="3"/>
    </row>
    <row r="5" spans="1:46" s="2" customFormat="1" ht="5" customHeight="1">
      <c r="A5" s="10"/>
      <c r="B5" s="9"/>
      <c r="C5" s="9"/>
      <c r="D5" s="9"/>
      <c r="E5" s="9"/>
      <c r="H5" s="39"/>
      <c r="I5" s="39"/>
      <c r="N5" s="3"/>
      <c r="O5" s="3"/>
      <c r="P5" s="3"/>
    </row>
    <row r="6" spans="1:46" s="2" customFormat="1" ht="18" customHeight="1">
      <c r="A6" s="10" t="s">
        <v>145</v>
      </c>
      <c r="B6" s="9"/>
      <c r="C6" s="9"/>
      <c r="D6" s="9"/>
      <c r="E6" s="9"/>
      <c r="N6" s="3"/>
      <c r="O6" s="3"/>
      <c r="P6" s="3"/>
      <c r="AA6" s="157"/>
      <c r="AF6" s="157"/>
      <c r="AI6" s="157"/>
      <c r="AT6" s="68" t="s">
        <v>24</v>
      </c>
    </row>
    <row r="7" spans="1:46" s="64" customFormat="1" ht="8" customHeight="1" thickBot="1">
      <c r="N7" s="65"/>
      <c r="O7" s="65"/>
      <c r="P7" s="65"/>
      <c r="AS7" s="2"/>
    </row>
    <row r="8" spans="1:46" ht="18" customHeight="1">
      <c r="B8" s="126" t="s">
        <v>25</v>
      </c>
      <c r="C8" s="83"/>
      <c r="D8" s="83"/>
      <c r="E8" s="83"/>
      <c r="F8" s="83"/>
      <c r="G8" s="83"/>
      <c r="H8" s="83"/>
      <c r="I8" s="83"/>
      <c r="J8" s="83"/>
      <c r="K8" s="83"/>
      <c r="L8" s="83"/>
      <c r="M8" s="128"/>
      <c r="N8" s="129" t="s">
        <v>146</v>
      </c>
      <c r="O8" s="130"/>
      <c r="P8" s="130"/>
      <c r="Q8" s="130"/>
      <c r="R8" s="130"/>
      <c r="S8" s="131"/>
      <c r="T8" s="85" t="s">
        <v>147</v>
      </c>
      <c r="U8" s="85"/>
      <c r="V8" s="85"/>
      <c r="W8" s="85"/>
      <c r="X8" s="293"/>
      <c r="Y8" s="296" t="s">
        <v>181</v>
      </c>
      <c r="Z8" s="79"/>
      <c r="AA8" s="79"/>
      <c r="AB8" s="79"/>
      <c r="AC8" s="79"/>
      <c r="AD8" s="79"/>
      <c r="AE8" s="79"/>
      <c r="AF8" s="80"/>
      <c r="AG8" s="79" t="s">
        <v>7145</v>
      </c>
      <c r="AH8" s="79"/>
      <c r="AI8" s="79"/>
      <c r="AJ8" s="79"/>
      <c r="AK8" s="79"/>
      <c r="AL8" s="79"/>
      <c r="AM8" s="79"/>
      <c r="AN8" s="79"/>
      <c r="AO8" s="79"/>
      <c r="AP8" s="83"/>
      <c r="AQ8" s="83"/>
      <c r="AR8" s="83"/>
      <c r="AS8" s="195"/>
      <c r="AT8" s="25" t="s">
        <v>27</v>
      </c>
    </row>
    <row r="9" spans="1:46" ht="18" customHeight="1">
      <c r="B9" s="91" t="str">
        <f t="shared" ref="B9:D9" si="0">"Field "&amp;COLUMN()-1</f>
        <v>Field 1</v>
      </c>
      <c r="C9" s="92" t="str">
        <f t="shared" si="0"/>
        <v>Field 2</v>
      </c>
      <c r="D9" s="27" t="str">
        <f t="shared" si="0"/>
        <v>Field 3</v>
      </c>
      <c r="E9" s="161" t="str">
        <f>"Field "&amp;(COLUMN()-COUNTIF($B$9:D9,"")-1)</f>
        <v>Field 4</v>
      </c>
      <c r="F9" s="161" t="str">
        <f>"Field "&amp;(COLUMN()-COUNTIF($B$9:E9,"")-1)</f>
        <v>Field 5</v>
      </c>
      <c r="G9" s="477"/>
      <c r="H9" s="27" t="str">
        <f>"Field "&amp;(COLUMN()-COUNTIF($B$9:F9,"")-1)</f>
        <v>Field 7</v>
      </c>
      <c r="I9" s="27" t="str">
        <f>"Field "&amp;(COLUMN()-COUNTIF($B$9:H9,"")-1)</f>
        <v>Field 7</v>
      </c>
      <c r="J9" s="92" t="str">
        <f>"Field "&amp;(COLUMN()-COUNTIF($B$9:H9,"")-1)</f>
        <v>Field 8</v>
      </c>
      <c r="K9" s="92" t="str">
        <f>"Field "&amp;(COLUMN()-COUNTIF($B$9:I9,"")-1)</f>
        <v>Field 9</v>
      </c>
      <c r="L9" s="92" t="str">
        <f>"Field "&amp;(COLUMN()-COUNTIF($B$9:J9,"")-1)</f>
        <v>Field 10</v>
      </c>
      <c r="M9" s="96" t="str">
        <f>"Field "&amp;(COLUMN()-COUNTIF($B$9:L9,"")-1)</f>
        <v>Field 11</v>
      </c>
      <c r="N9" s="132" t="str">
        <f>"Field "&amp;(COLUMN()-COUNTIF($B$9:M9,"")-1)</f>
        <v>Field 12</v>
      </c>
      <c r="O9" s="94" t="str">
        <f>"Field "&amp;(COLUMN()-COUNTIF($B$9:N9,"")-1)</f>
        <v>Field 13</v>
      </c>
      <c r="P9" s="94" t="str">
        <f>"Field "&amp;(COLUMN()-COUNTIF($B$9:O9,"")-1)</f>
        <v>Field 14</v>
      </c>
      <c r="Q9" s="94" t="str">
        <f>"Field "&amp;(COLUMN()-COUNTIF($B$9:P9,"")-1)</f>
        <v>Field 15</v>
      </c>
      <c r="R9" s="94" t="str">
        <f>"Field "&amp;(COLUMN()-COUNTIF($B$9:Q9,"")-1)</f>
        <v>Field 16</v>
      </c>
      <c r="S9" s="96" t="str">
        <f>"Field "&amp;(COLUMN()-COUNTIF($B$9:R9,"")-1)</f>
        <v>Field 17</v>
      </c>
      <c r="T9" s="93" t="str">
        <f>"Field "&amp;(COLUMN()-COUNTIF($B$9:S9,"")-1)</f>
        <v>Field 18</v>
      </c>
      <c r="U9" s="92" t="str">
        <f>"Field "&amp;(COLUMN()-COUNTIF($B$9:T9,"")-1)</f>
        <v>Field 19</v>
      </c>
      <c r="V9" s="92" t="str">
        <f>"Field "&amp;(COLUMN()-COUNTIF($B$9:U9,"")-1)</f>
        <v>Field 20</v>
      </c>
      <c r="W9" s="92" t="str">
        <f>"Field "&amp;(COLUMN()-COUNTIF($B$9:V9,"")-1)</f>
        <v>Field 21</v>
      </c>
      <c r="X9" s="96" t="str">
        <f>"Field "&amp;(COLUMN()-COUNTIF($B$9:W9,"")-1)</f>
        <v>Field 22</v>
      </c>
      <c r="Y9" s="93" t="str">
        <f>"Field "&amp;(COLUMN()-COUNTIF($B$9:X9,"")-1)</f>
        <v>Field 23</v>
      </c>
      <c r="Z9" s="92" t="str">
        <f>"Field "&amp;(COLUMN()-COUNTIF($B$9:Y9,"")-1)</f>
        <v>Field 24</v>
      </c>
      <c r="AA9" s="92" t="str">
        <f>"Field "&amp;(COLUMN()-COUNTIF($B$9:Z9,"")-1)</f>
        <v>Field 25</v>
      </c>
      <c r="AB9" s="92" t="str">
        <f>"Field "&amp;(COLUMN()-COUNTIF($B$9:AA9,"")-1)</f>
        <v>Field 26</v>
      </c>
      <c r="AC9" s="95" t="str">
        <f>"Field "&amp;(COLUMN()-COUNTIF($B$9:AA9,"")-1)</f>
        <v>Field 27</v>
      </c>
      <c r="AD9" s="95" t="str">
        <f>"Field "&amp;(COLUMN()-COUNTIF($B$9:AB9,"")-1)</f>
        <v>Field 28</v>
      </c>
      <c r="AE9" s="95" t="str">
        <f>"Field "&amp;(COLUMN()-COUNTIF($B$9:AD9,"")-1)</f>
        <v>Field 29</v>
      </c>
      <c r="AF9" s="96" t="str">
        <f>"Field "&amp;(COLUMN()-COUNTIF($B$9:AE9,"")-1)</f>
        <v>Field 30</v>
      </c>
      <c r="AG9" s="93" t="str">
        <f>"Field "&amp;(COLUMN()-COUNTIF($B$9:AF9,"")-1)</f>
        <v>Field 31</v>
      </c>
      <c r="AH9" s="92" t="str">
        <f>"Field "&amp;(COLUMN()-COUNTIF($B$9:AG9,"")-1)</f>
        <v>Field 32</v>
      </c>
      <c r="AI9" s="92" t="str">
        <f>"Field "&amp;(COLUMN()-COUNTIF($B$9:AH9,"")-1)</f>
        <v>Field 33</v>
      </c>
      <c r="AJ9" s="92" t="str">
        <f>"Field "&amp;(COLUMN()-COUNTIF($B$9:AI9,"")-1)</f>
        <v>Field 34</v>
      </c>
      <c r="AK9" s="92" t="str">
        <f>"Field "&amp;(COLUMN()-COUNTIF($B$9:AJ9,"")-1)</f>
        <v>Field 35</v>
      </c>
      <c r="AL9" s="92" t="str">
        <f>"Field "&amp;(COLUMN()-COUNTIF($B$9:AK9,"")-1)</f>
        <v>Field 36</v>
      </c>
      <c r="AM9" s="92" t="str">
        <f>"Field "&amp;(COLUMN()-COUNTIF($B$9:AL9,"")-1)</f>
        <v>Field 37</v>
      </c>
      <c r="AN9" s="92" t="str">
        <f>"Field "&amp;(COLUMN()-COUNTIF($B$9:AM9,"")-1)</f>
        <v>Field 38</v>
      </c>
      <c r="AO9" s="95" t="str">
        <f>"Field "&amp;(COLUMN()-COUNTIF($B$9:AN9,"")-1)</f>
        <v>Field 39</v>
      </c>
      <c r="AP9" s="95" t="str">
        <f>"Field "&amp;(COLUMN()-COUNTIF($B$9:AO9,"")-1)</f>
        <v>Field 40</v>
      </c>
      <c r="AQ9" s="95" t="str">
        <f>"Field "&amp;(COLUMN()-COUNTIF($B$9:AP9,"")-1)</f>
        <v>Field 41</v>
      </c>
      <c r="AR9" s="95" t="str">
        <f>"Field "&amp;(COLUMN()-COUNTIF($B$9:AQ9,"")-1)</f>
        <v>Field 42</v>
      </c>
      <c r="AS9" s="92" t="str">
        <f>"Field "&amp;(COLUMN()-COUNTIF($B$9:AR9,"")-1)</f>
        <v>Field 43</v>
      </c>
      <c r="AT9" s="133" t="str">
        <f>"Field "&amp;(COLUMN()-COUNTIF($B$9:AS9,"")-1)</f>
        <v>Field 44</v>
      </c>
    </row>
    <row r="10" spans="1:46" s="312" customFormat="1" ht="30" customHeight="1" thickBot="1">
      <c r="B10" s="150" t="s">
        <v>28</v>
      </c>
      <c r="C10" s="151" t="s">
        <v>55</v>
      </c>
      <c r="D10" s="151" t="s">
        <v>56</v>
      </c>
      <c r="E10" s="148" t="s">
        <v>2</v>
      </c>
      <c r="F10" s="160" t="s">
        <v>3</v>
      </c>
      <c r="G10" s="482" t="s">
        <v>7473</v>
      </c>
      <c r="H10" s="155" t="s">
        <v>148</v>
      </c>
      <c r="I10" s="159" t="s">
        <v>32</v>
      </c>
      <c r="J10" s="151" t="s">
        <v>149</v>
      </c>
      <c r="K10" s="151" t="s">
        <v>180</v>
      </c>
      <c r="L10" s="151" t="s">
        <v>150</v>
      </c>
      <c r="M10" s="154" t="s">
        <v>197</v>
      </c>
      <c r="N10" s="153" t="s">
        <v>151</v>
      </c>
      <c r="O10" s="151" t="s">
        <v>152</v>
      </c>
      <c r="P10" s="139" t="s">
        <v>199</v>
      </c>
      <c r="Q10" s="151" t="s">
        <v>153</v>
      </c>
      <c r="R10" s="160" t="s">
        <v>198</v>
      </c>
      <c r="S10" s="154" t="s">
        <v>154</v>
      </c>
      <c r="T10" s="313" t="s">
        <v>621</v>
      </c>
      <c r="U10" s="151" t="s">
        <v>155</v>
      </c>
      <c r="V10" s="314" t="s">
        <v>156</v>
      </c>
      <c r="W10" s="314" t="s">
        <v>157</v>
      </c>
      <c r="X10" s="292" t="s">
        <v>200</v>
      </c>
      <c r="Y10" s="153" t="s">
        <v>182</v>
      </c>
      <c r="Z10" s="151" t="s">
        <v>183</v>
      </c>
      <c r="AA10" s="151" t="s">
        <v>184</v>
      </c>
      <c r="AB10" s="151" t="s">
        <v>185</v>
      </c>
      <c r="AC10" s="155" t="s">
        <v>3630</v>
      </c>
      <c r="AD10" s="155" t="s">
        <v>186</v>
      </c>
      <c r="AE10" s="155" t="s">
        <v>187</v>
      </c>
      <c r="AF10" s="154" t="s">
        <v>188</v>
      </c>
      <c r="AG10" s="153" t="s">
        <v>158</v>
      </c>
      <c r="AH10" s="151" t="s">
        <v>159</v>
      </c>
      <c r="AI10" s="151" t="s">
        <v>160</v>
      </c>
      <c r="AJ10" s="151" t="s">
        <v>161</v>
      </c>
      <c r="AK10" s="151" t="s">
        <v>162</v>
      </c>
      <c r="AL10" s="151" t="s">
        <v>163</v>
      </c>
      <c r="AM10" s="151" t="s">
        <v>189</v>
      </c>
      <c r="AN10" s="151" t="s">
        <v>164</v>
      </c>
      <c r="AO10" s="155" t="s">
        <v>165</v>
      </c>
      <c r="AP10" s="155" t="s">
        <v>190</v>
      </c>
      <c r="AQ10" s="155" t="s">
        <v>191</v>
      </c>
      <c r="AR10" s="155" t="s">
        <v>192</v>
      </c>
      <c r="AS10" s="151" t="s">
        <v>193</v>
      </c>
      <c r="AT10" s="315" t="s">
        <v>39</v>
      </c>
    </row>
    <row r="11" spans="1:46" ht="19.5" hidden="1" customHeight="1">
      <c r="B11" s="197">
        <f t="shared" ref="B11:B35" si="1">ROW()-10</f>
        <v>1</v>
      </c>
      <c r="C11" s="30" t="s">
        <v>206</v>
      </c>
      <c r="D11" s="30" t="s">
        <v>359</v>
      </c>
      <c r="E11" s="234" t="s">
        <v>918</v>
      </c>
      <c r="F11" s="240" t="s">
        <v>1322</v>
      </c>
      <c r="G11" s="284">
        <f>IFERROR(VLOOKUP(E11,Assign!$C$2:$J$142,8,FALSE),)</f>
        <v>0</v>
      </c>
      <c r="H11" s="163" t="s">
        <v>3631</v>
      </c>
      <c r="I11" s="163" t="s">
        <v>205</v>
      </c>
      <c r="J11" s="163" t="s">
        <v>3545</v>
      </c>
      <c r="K11" s="163"/>
      <c r="L11" s="237" t="s">
        <v>3548</v>
      </c>
      <c r="M11" s="241" t="s">
        <v>3583</v>
      </c>
      <c r="N11" s="242" t="s">
        <v>3549</v>
      </c>
      <c r="O11" s="243" t="s">
        <v>3550</v>
      </c>
      <c r="P11" s="243" t="s">
        <v>3551</v>
      </c>
      <c r="Q11" s="237" t="s">
        <v>3602</v>
      </c>
      <c r="R11" s="244" t="s">
        <v>3603</v>
      </c>
      <c r="S11" s="241" t="s">
        <v>3604</v>
      </c>
      <c r="T11" s="257">
        <v>41716</v>
      </c>
      <c r="U11" s="258">
        <v>45749</v>
      </c>
      <c r="V11" s="258"/>
      <c r="W11" s="258"/>
      <c r="X11" s="295"/>
      <c r="Y11" s="304">
        <v>45291</v>
      </c>
      <c r="Z11" s="306" t="s">
        <v>3627</v>
      </c>
      <c r="AA11" s="260">
        <v>13484.279</v>
      </c>
      <c r="AB11" s="260">
        <v>1037.559</v>
      </c>
      <c r="AC11" s="261">
        <v>191.78399999999999</v>
      </c>
      <c r="AD11" s="261">
        <v>1003.789</v>
      </c>
      <c r="AE11" s="261">
        <v>27268.225999999999</v>
      </c>
      <c r="AF11" s="450">
        <v>21569.654999999999</v>
      </c>
      <c r="AG11" s="259"/>
      <c r="AH11" s="260"/>
      <c r="AI11" s="260"/>
      <c r="AJ11" s="260"/>
      <c r="AK11" s="260"/>
      <c r="AL11" s="260"/>
      <c r="AM11" s="260"/>
      <c r="AN11" s="260"/>
      <c r="AO11" s="248"/>
      <c r="AP11" s="248"/>
      <c r="AQ11" s="248"/>
      <c r="AR11" s="248"/>
      <c r="AS11" s="249"/>
      <c r="AT11" s="263"/>
    </row>
    <row r="12" spans="1:46" ht="19.5" hidden="1" customHeight="1">
      <c r="A12" s="239"/>
      <c r="B12" s="197">
        <f t="shared" si="1"/>
        <v>2</v>
      </c>
      <c r="C12" s="30" t="s">
        <v>206</v>
      </c>
      <c r="D12" s="30" t="s">
        <v>359</v>
      </c>
      <c r="E12" s="234" t="s">
        <v>919</v>
      </c>
      <c r="F12" s="240" t="s">
        <v>1323</v>
      </c>
      <c r="G12" s="284">
        <f>IFERROR(VLOOKUP(E12,Assign!$C$2:$J$142,8,FALSE),)</f>
        <v>0</v>
      </c>
      <c r="H12" s="163" t="s">
        <v>3631</v>
      </c>
      <c r="I12" s="163" t="s">
        <v>205</v>
      </c>
      <c r="J12" s="163" t="s">
        <v>3546</v>
      </c>
      <c r="K12" s="163"/>
      <c r="L12" s="237" t="s">
        <v>3552</v>
      </c>
      <c r="M12" s="241" t="s">
        <v>3584</v>
      </c>
      <c r="N12" s="242" t="s">
        <v>3553</v>
      </c>
      <c r="O12" s="243" t="s">
        <v>3554</v>
      </c>
      <c r="P12" s="243" t="s">
        <v>3555</v>
      </c>
      <c r="Q12" s="237" t="s">
        <v>3602</v>
      </c>
      <c r="R12" s="244" t="s">
        <v>3605</v>
      </c>
      <c r="S12" s="241" t="s">
        <v>3606</v>
      </c>
      <c r="T12" s="245">
        <v>35916</v>
      </c>
      <c r="U12" s="238">
        <v>45698</v>
      </c>
      <c r="V12" s="238">
        <v>45715</v>
      </c>
      <c r="W12" s="238"/>
      <c r="X12" s="294"/>
      <c r="Y12" s="303">
        <v>45291</v>
      </c>
      <c r="Z12" s="305" t="s">
        <v>3627</v>
      </c>
      <c r="AA12" s="247">
        <v>78657.191999999995</v>
      </c>
      <c r="AB12" s="247">
        <v>-377.64400000000001</v>
      </c>
      <c r="AC12" s="248">
        <v>-1201.5609999999999</v>
      </c>
      <c r="AD12" s="248">
        <v>1288.0070000000001</v>
      </c>
      <c r="AE12" s="248">
        <v>52669.485999999997</v>
      </c>
      <c r="AF12" s="451">
        <v>37987.351999999999</v>
      </c>
      <c r="AG12" s="246"/>
      <c r="AH12" s="247"/>
      <c r="AI12" s="247"/>
      <c r="AJ12" s="247"/>
      <c r="AK12" s="247"/>
      <c r="AL12" s="247"/>
      <c r="AM12" s="247"/>
      <c r="AN12" s="247"/>
      <c r="AO12" s="248"/>
      <c r="AP12" s="248"/>
      <c r="AQ12" s="248"/>
      <c r="AR12" s="248"/>
      <c r="AS12" s="249"/>
      <c r="AT12" s="250"/>
    </row>
    <row r="13" spans="1:46" ht="19.5" hidden="1" customHeight="1">
      <c r="A13" s="239"/>
      <c r="B13" s="197">
        <f t="shared" si="1"/>
        <v>3</v>
      </c>
      <c r="C13" s="30" t="s">
        <v>206</v>
      </c>
      <c r="D13" s="30" t="s">
        <v>359</v>
      </c>
      <c r="E13" s="234" t="s">
        <v>920</v>
      </c>
      <c r="F13" s="240" t="s">
        <v>1272</v>
      </c>
      <c r="G13" s="284">
        <f>IFERROR(VLOOKUP(E13,Assign!$C$2:$J$142,8,FALSE),)</f>
        <v>0</v>
      </c>
      <c r="H13" s="163" t="s">
        <v>3631</v>
      </c>
      <c r="I13" s="163" t="s">
        <v>205</v>
      </c>
      <c r="J13" s="163" t="s">
        <v>3545</v>
      </c>
      <c r="K13" s="163"/>
      <c r="L13" s="237" t="s">
        <v>515</v>
      </c>
      <c r="M13" s="241" t="s">
        <v>3586</v>
      </c>
      <c r="N13" s="242" t="s">
        <v>3560</v>
      </c>
      <c r="O13" s="243" t="s">
        <v>3561</v>
      </c>
      <c r="P13" s="243" t="s">
        <v>3562</v>
      </c>
      <c r="Q13" s="237" t="s">
        <v>3602</v>
      </c>
      <c r="R13" s="244" t="s">
        <v>3609</v>
      </c>
      <c r="S13" s="241" t="s">
        <v>3610</v>
      </c>
      <c r="T13" s="245">
        <v>41766</v>
      </c>
      <c r="U13" s="238">
        <v>45755</v>
      </c>
      <c r="V13" s="238"/>
      <c r="W13" s="238"/>
      <c r="X13" s="294"/>
      <c r="Y13" s="303">
        <v>45657</v>
      </c>
      <c r="Z13" s="305" t="s">
        <v>3629</v>
      </c>
      <c r="AA13" s="247">
        <v>33862.773000000001</v>
      </c>
      <c r="AB13" s="247">
        <v>-5278.165</v>
      </c>
      <c r="AC13" s="248">
        <v>-7134.5429999999997</v>
      </c>
      <c r="AD13" s="248">
        <v>1969.396</v>
      </c>
      <c r="AE13" s="248">
        <v>35136.584999999999</v>
      </c>
      <c r="AF13" s="451">
        <v>32056.334999999999</v>
      </c>
      <c r="AG13" s="246"/>
      <c r="AH13" s="247"/>
      <c r="AI13" s="247"/>
      <c r="AJ13" s="247"/>
      <c r="AK13" s="247"/>
      <c r="AL13" s="247"/>
      <c r="AM13" s="247"/>
      <c r="AN13" s="247"/>
      <c r="AO13" s="248"/>
      <c r="AP13" s="248"/>
      <c r="AQ13" s="248"/>
      <c r="AR13" s="248"/>
      <c r="AS13" s="249"/>
      <c r="AT13" s="250"/>
    </row>
    <row r="14" spans="1:46" ht="19.5" hidden="1" customHeight="1">
      <c r="A14" s="239"/>
      <c r="B14" s="197">
        <f t="shared" si="1"/>
        <v>4</v>
      </c>
      <c r="C14" s="30" t="s">
        <v>206</v>
      </c>
      <c r="D14" s="30" t="s">
        <v>359</v>
      </c>
      <c r="E14" s="234" t="s">
        <v>921</v>
      </c>
      <c r="F14" s="240" t="s">
        <v>1273</v>
      </c>
      <c r="G14" s="284">
        <f>IFERROR(VLOOKUP(E14,Assign!$C$2:$J$142,8,FALSE),)</f>
        <v>0</v>
      </c>
      <c r="H14" s="163" t="s">
        <v>3631</v>
      </c>
      <c r="I14" s="163" t="s">
        <v>205</v>
      </c>
      <c r="J14" s="163" t="s">
        <v>3546</v>
      </c>
      <c r="K14" s="163"/>
      <c r="L14" s="237" t="s">
        <v>3552</v>
      </c>
      <c r="M14" s="241" t="s">
        <v>3587</v>
      </c>
      <c r="N14" s="242" t="s">
        <v>3563</v>
      </c>
      <c r="O14" s="243" t="s">
        <v>3564</v>
      </c>
      <c r="P14" s="243" t="s">
        <v>3565</v>
      </c>
      <c r="Q14" s="237" t="s">
        <v>3602</v>
      </c>
      <c r="R14" s="244" t="s">
        <v>3611</v>
      </c>
      <c r="S14" s="241" t="s">
        <v>3612</v>
      </c>
      <c r="T14" s="245">
        <v>39304</v>
      </c>
      <c r="U14" s="238">
        <v>45694</v>
      </c>
      <c r="V14" s="238">
        <v>45714</v>
      </c>
      <c r="W14" s="238"/>
      <c r="X14" s="294"/>
      <c r="Y14" s="303">
        <v>45291</v>
      </c>
      <c r="Z14" s="305" t="s">
        <v>492</v>
      </c>
      <c r="AA14" s="247">
        <v>1325.085</v>
      </c>
      <c r="AB14" s="247">
        <v>-147.42599999999999</v>
      </c>
      <c r="AC14" s="248">
        <v>-337.70699999999999</v>
      </c>
      <c r="AD14" s="248">
        <v>194.78</v>
      </c>
      <c r="AE14" s="248">
        <v>6956.5619999999999</v>
      </c>
      <c r="AF14" s="451">
        <v>6338.24</v>
      </c>
      <c r="AG14" s="246"/>
      <c r="AH14" s="247"/>
      <c r="AI14" s="247"/>
      <c r="AJ14" s="247"/>
      <c r="AK14" s="247"/>
      <c r="AL14" s="247"/>
      <c r="AM14" s="247"/>
      <c r="AN14" s="247"/>
      <c r="AO14" s="248"/>
      <c r="AP14" s="248"/>
      <c r="AQ14" s="248"/>
      <c r="AR14" s="248"/>
      <c r="AS14" s="249"/>
      <c r="AT14" s="250"/>
    </row>
    <row r="15" spans="1:46" ht="19.5" hidden="1" customHeight="1">
      <c r="B15" s="29">
        <f t="shared" si="1"/>
        <v>5</v>
      </c>
      <c r="C15" s="30" t="s">
        <v>206</v>
      </c>
      <c r="D15" s="30" t="s">
        <v>359</v>
      </c>
      <c r="E15" s="234" t="s">
        <v>922</v>
      </c>
      <c r="F15" s="240" t="s">
        <v>1324</v>
      </c>
      <c r="G15" s="284">
        <f>IFERROR(VLOOKUP(E15,Assign!$C$2:$J$142,8,FALSE),)</f>
        <v>0</v>
      </c>
      <c r="H15" s="163" t="s">
        <v>3631</v>
      </c>
      <c r="I15" s="163" t="s">
        <v>205</v>
      </c>
      <c r="J15" s="30" t="s">
        <v>3546</v>
      </c>
      <c r="K15" s="163"/>
      <c r="L15" s="298" t="s">
        <v>3552</v>
      </c>
      <c r="M15" s="252" t="s">
        <v>3589</v>
      </c>
      <c r="N15" s="253" t="s">
        <v>3569</v>
      </c>
      <c r="O15" s="254" t="s">
        <v>3570</v>
      </c>
      <c r="P15" s="254" t="s">
        <v>3571</v>
      </c>
      <c r="Q15" s="251" t="s">
        <v>3602</v>
      </c>
      <c r="R15" s="255" t="s">
        <v>3615</v>
      </c>
      <c r="S15" s="252" t="s">
        <v>3616</v>
      </c>
      <c r="T15" s="257">
        <v>42921</v>
      </c>
      <c r="U15" s="258">
        <v>45702</v>
      </c>
      <c r="V15" s="258">
        <v>45735</v>
      </c>
      <c r="W15" s="258"/>
      <c r="X15" s="295"/>
      <c r="Y15" s="304">
        <v>45291</v>
      </c>
      <c r="Z15" s="306" t="s">
        <v>3628</v>
      </c>
      <c r="AA15" s="260">
        <v>39122.589999999997</v>
      </c>
      <c r="AB15" s="260">
        <v>-5052.4030000000002</v>
      </c>
      <c r="AC15" s="261">
        <v>-13468.171</v>
      </c>
      <c r="AD15" s="261">
        <v>830.77099999999996</v>
      </c>
      <c r="AE15" s="261">
        <v>14245.235000000001</v>
      </c>
      <c r="AF15" s="450">
        <v>19281.833999999999</v>
      </c>
      <c r="AG15" s="259"/>
      <c r="AH15" s="260"/>
      <c r="AI15" s="260"/>
      <c r="AJ15" s="260"/>
      <c r="AK15" s="260"/>
      <c r="AL15" s="260"/>
      <c r="AM15" s="260"/>
      <c r="AN15" s="260"/>
      <c r="AO15" s="261"/>
      <c r="AP15" s="261"/>
      <c r="AQ15" s="261"/>
      <c r="AR15" s="261"/>
      <c r="AS15" s="262"/>
      <c r="AT15" s="263"/>
    </row>
    <row r="16" spans="1:46" s="239" customFormat="1" ht="19.5" hidden="1" customHeight="1">
      <c r="A16" s="127"/>
      <c r="B16" s="29">
        <f t="shared" si="1"/>
        <v>6</v>
      </c>
      <c r="C16" s="30" t="s">
        <v>206</v>
      </c>
      <c r="D16" s="30" t="s">
        <v>359</v>
      </c>
      <c r="E16" s="234" t="s">
        <v>923</v>
      </c>
      <c r="F16" s="240" t="s">
        <v>1325</v>
      </c>
      <c r="G16" s="284">
        <f>IFERROR(VLOOKUP(E16,Assign!$C$2:$J$142,8,FALSE),)</f>
        <v>0</v>
      </c>
      <c r="H16" s="163" t="s">
        <v>3631</v>
      </c>
      <c r="I16" s="163" t="s">
        <v>205</v>
      </c>
      <c r="J16" s="30" t="s">
        <v>3546</v>
      </c>
      <c r="K16" s="163"/>
      <c r="L16" s="298" t="s">
        <v>3552</v>
      </c>
      <c r="M16" s="252" t="s">
        <v>3591</v>
      </c>
      <c r="N16" s="253" t="s">
        <v>3573</v>
      </c>
      <c r="O16" s="254" t="s">
        <v>3574</v>
      </c>
      <c r="P16" s="254" t="s">
        <v>3572</v>
      </c>
      <c r="Q16" s="251" t="s">
        <v>3602</v>
      </c>
      <c r="R16" s="255" t="s">
        <v>3617</v>
      </c>
      <c r="S16" s="252" t="s">
        <v>3572</v>
      </c>
      <c r="T16" s="257">
        <v>42016</v>
      </c>
      <c r="U16" s="258">
        <v>45694</v>
      </c>
      <c r="V16" s="258">
        <v>45708</v>
      </c>
      <c r="W16" s="258"/>
      <c r="X16" s="295"/>
      <c r="Y16" s="304">
        <v>45291</v>
      </c>
      <c r="Z16" s="306" t="s">
        <v>492</v>
      </c>
      <c r="AA16" s="260">
        <v>2377.8560000000002</v>
      </c>
      <c r="AB16" s="260">
        <v>319.91800000000001</v>
      </c>
      <c r="AC16" s="261">
        <v>121.23</v>
      </c>
      <c r="AD16" s="261">
        <v>201.51599999999999</v>
      </c>
      <c r="AE16" s="261">
        <v>4825.9809999999998</v>
      </c>
      <c r="AF16" s="450">
        <v>3490.1129999999998</v>
      </c>
      <c r="AG16" s="259"/>
      <c r="AH16" s="260"/>
      <c r="AI16" s="260"/>
      <c r="AJ16" s="260"/>
      <c r="AK16" s="260"/>
      <c r="AL16" s="260"/>
      <c r="AM16" s="260"/>
      <c r="AN16" s="260"/>
      <c r="AO16" s="261"/>
      <c r="AP16" s="261"/>
      <c r="AQ16" s="261"/>
      <c r="AR16" s="261"/>
      <c r="AS16" s="262"/>
      <c r="AT16" s="263"/>
    </row>
    <row r="17" spans="1:46" s="239" customFormat="1" ht="19.5" customHeight="1">
      <c r="A17" s="127"/>
      <c r="B17" s="29">
        <f t="shared" si="1"/>
        <v>7</v>
      </c>
      <c r="C17" s="30" t="s">
        <v>206</v>
      </c>
      <c r="D17" s="30" t="s">
        <v>359</v>
      </c>
      <c r="E17" s="234" t="s">
        <v>924</v>
      </c>
      <c r="F17" s="240" t="s">
        <v>1247</v>
      </c>
      <c r="G17" s="284" t="str">
        <f>IFERROR(VLOOKUP(E17,Assign!$C$2:$J$142,8,FALSE),)</f>
        <v>문선영</v>
      </c>
      <c r="H17" s="163" t="s">
        <v>3632</v>
      </c>
      <c r="I17" s="163" t="s">
        <v>230</v>
      </c>
      <c r="J17" s="30" t="s">
        <v>3545</v>
      </c>
      <c r="K17" s="163"/>
      <c r="L17" s="298" t="s">
        <v>515</v>
      </c>
      <c r="M17" s="252" t="s">
        <v>3593</v>
      </c>
      <c r="N17" s="253" t="s">
        <v>3572</v>
      </c>
      <c r="O17" s="254" t="s">
        <v>3572</v>
      </c>
      <c r="P17" s="254" t="s">
        <v>3572</v>
      </c>
      <c r="Q17" s="251" t="s">
        <v>3572</v>
      </c>
      <c r="R17" s="255" t="s">
        <v>3572</v>
      </c>
      <c r="S17" s="252" t="s">
        <v>3572</v>
      </c>
      <c r="T17" s="257" t="s">
        <v>3572</v>
      </c>
      <c r="U17" s="258">
        <v>45763</v>
      </c>
      <c r="V17" s="258"/>
      <c r="W17" s="258"/>
      <c r="X17" s="295"/>
      <c r="Y17" s="304" t="s">
        <v>3572</v>
      </c>
      <c r="Z17" s="306"/>
      <c r="AA17" s="260"/>
      <c r="AB17" s="260"/>
      <c r="AC17" s="261"/>
      <c r="AD17" s="261"/>
      <c r="AE17" s="261"/>
      <c r="AF17" s="450"/>
      <c r="AG17" s="259"/>
      <c r="AH17" s="260"/>
      <c r="AI17" s="260"/>
      <c r="AJ17" s="260"/>
      <c r="AK17" s="260"/>
      <c r="AL17" s="260"/>
      <c r="AM17" s="260"/>
      <c r="AN17" s="260"/>
      <c r="AO17" s="261"/>
      <c r="AP17" s="261"/>
      <c r="AQ17" s="261"/>
      <c r="AR17" s="261"/>
      <c r="AS17" s="262"/>
      <c r="AT17" s="263"/>
    </row>
    <row r="18" spans="1:46" s="239" customFormat="1" ht="19.5" hidden="1" customHeight="1">
      <c r="A18" s="127"/>
      <c r="B18" s="197">
        <f t="shared" si="1"/>
        <v>8</v>
      </c>
      <c r="C18" s="30" t="s">
        <v>206</v>
      </c>
      <c r="D18" s="30" t="s">
        <v>359</v>
      </c>
      <c r="E18" s="234" t="s">
        <v>925</v>
      </c>
      <c r="F18" s="240" t="s">
        <v>1326</v>
      </c>
      <c r="G18" s="284">
        <f>IFERROR(VLOOKUP(E18,Assign!$C$2:$J$142,8,FALSE),)</f>
        <v>0</v>
      </c>
      <c r="H18" s="163" t="s">
        <v>3631</v>
      </c>
      <c r="I18" s="297" t="s">
        <v>205</v>
      </c>
      <c r="J18" s="163" t="s">
        <v>3546</v>
      </c>
      <c r="K18" s="297"/>
      <c r="L18" s="251" t="s">
        <v>3556</v>
      </c>
      <c r="M18" s="252" t="s">
        <v>3597</v>
      </c>
      <c r="N18" s="253" t="s">
        <v>3598</v>
      </c>
      <c r="O18" s="254" t="s">
        <v>3579</v>
      </c>
      <c r="P18" s="254" t="s">
        <v>3572</v>
      </c>
      <c r="Q18" s="251" t="s">
        <v>3602</v>
      </c>
      <c r="R18" s="255" t="s">
        <v>3621</v>
      </c>
      <c r="S18" s="256" t="s">
        <v>3622</v>
      </c>
      <c r="T18" s="257">
        <v>42043</v>
      </c>
      <c r="U18" s="258">
        <v>45747</v>
      </c>
      <c r="V18" s="238">
        <v>45761</v>
      </c>
      <c r="W18" s="258"/>
      <c r="X18" s="295"/>
      <c r="Y18" s="304">
        <v>45291</v>
      </c>
      <c r="Z18" s="306" t="s">
        <v>492</v>
      </c>
      <c r="AA18" s="260">
        <v>2741.3969999999999</v>
      </c>
      <c r="AB18" s="260">
        <v>130.03800000000001</v>
      </c>
      <c r="AC18" s="261">
        <v>73.260999999999996</v>
      </c>
      <c r="AD18" s="261">
        <v>58.963999999999999</v>
      </c>
      <c r="AE18" s="261">
        <v>2601.7310000000002</v>
      </c>
      <c r="AF18" s="450">
        <v>1844.4829999999999</v>
      </c>
      <c r="AG18" s="259"/>
      <c r="AH18" s="260"/>
      <c r="AI18" s="260"/>
      <c r="AJ18" s="260"/>
      <c r="AK18" s="260"/>
      <c r="AL18" s="260"/>
      <c r="AM18" s="260"/>
      <c r="AN18" s="260"/>
      <c r="AO18" s="261"/>
      <c r="AP18" s="261"/>
      <c r="AQ18" s="261"/>
      <c r="AR18" s="261"/>
      <c r="AS18" s="262"/>
      <c r="AT18" s="263"/>
    </row>
    <row r="19" spans="1:46" s="239" customFormat="1" ht="19.5" customHeight="1">
      <c r="B19" s="197">
        <f t="shared" si="1"/>
        <v>9</v>
      </c>
      <c r="C19" s="30" t="s">
        <v>206</v>
      </c>
      <c r="D19" s="30" t="s">
        <v>359</v>
      </c>
      <c r="E19" s="234" t="s">
        <v>926</v>
      </c>
      <c r="F19" s="240" t="s">
        <v>1225</v>
      </c>
      <c r="G19" s="284" t="str">
        <f>IFERROR(VLOOKUP(E19,Assign!$C$2:$J$142,8,FALSE),)</f>
        <v>문선영</v>
      </c>
      <c r="H19" s="163" t="s">
        <v>3632</v>
      </c>
      <c r="I19" s="163" t="s">
        <v>230</v>
      </c>
      <c r="J19" s="163" t="s">
        <v>3545</v>
      </c>
      <c r="K19" s="163"/>
      <c r="L19" s="237" t="s">
        <v>3548</v>
      </c>
      <c r="M19" s="241" t="s">
        <v>3601</v>
      </c>
      <c r="N19" s="253" t="s">
        <v>3572</v>
      </c>
      <c r="O19" s="254" t="s">
        <v>3572</v>
      </c>
      <c r="P19" s="243" t="s">
        <v>3572</v>
      </c>
      <c r="Q19" s="251" t="s">
        <v>3572</v>
      </c>
      <c r="R19" s="255" t="s">
        <v>3572</v>
      </c>
      <c r="S19" s="252" t="s">
        <v>3572</v>
      </c>
      <c r="T19" s="245" t="s">
        <v>3572</v>
      </c>
      <c r="U19" s="238">
        <v>45673</v>
      </c>
      <c r="V19" s="238"/>
      <c r="W19" s="238"/>
      <c r="X19" s="294"/>
      <c r="Y19" s="303" t="s">
        <v>3572</v>
      </c>
      <c r="Z19" s="305"/>
      <c r="AA19" s="247"/>
      <c r="AB19" s="247"/>
      <c r="AC19" s="248"/>
      <c r="AD19" s="248"/>
      <c r="AE19" s="248"/>
      <c r="AF19" s="451"/>
      <c r="AG19" s="246"/>
      <c r="AH19" s="247"/>
      <c r="AI19" s="247"/>
      <c r="AJ19" s="247"/>
      <c r="AK19" s="247"/>
      <c r="AL19" s="247"/>
      <c r="AM19" s="247"/>
      <c r="AN19" s="247"/>
      <c r="AO19" s="248"/>
      <c r="AP19" s="248"/>
      <c r="AQ19" s="248"/>
      <c r="AR19" s="248"/>
      <c r="AS19" s="249"/>
      <c r="AT19" s="250"/>
    </row>
    <row r="20" spans="1:46" s="239" customFormat="1" ht="19.5" hidden="1" customHeight="1">
      <c r="B20" s="197">
        <f t="shared" si="1"/>
        <v>10</v>
      </c>
      <c r="C20" s="30" t="s">
        <v>206</v>
      </c>
      <c r="D20" s="30" t="s">
        <v>359</v>
      </c>
      <c r="E20" s="234" t="s">
        <v>927</v>
      </c>
      <c r="F20" s="240" t="s">
        <v>1232</v>
      </c>
      <c r="G20" s="284">
        <f>IFERROR(VLOOKUP(E20,Assign!$C$2:$J$142,8,FALSE),)</f>
        <v>0</v>
      </c>
      <c r="H20" s="163" t="s">
        <v>3632</v>
      </c>
      <c r="I20" s="163" t="s">
        <v>230</v>
      </c>
      <c r="J20" s="163" t="s">
        <v>3546</v>
      </c>
      <c r="K20" s="163"/>
      <c r="L20" s="237" t="s">
        <v>3552</v>
      </c>
      <c r="M20" s="241" t="s">
        <v>3600</v>
      </c>
      <c r="N20" s="242" t="s">
        <v>3572</v>
      </c>
      <c r="O20" s="243" t="s">
        <v>3572</v>
      </c>
      <c r="P20" s="243" t="s">
        <v>3572</v>
      </c>
      <c r="Q20" s="237" t="s">
        <v>3572</v>
      </c>
      <c r="R20" s="244" t="s">
        <v>3572</v>
      </c>
      <c r="S20" s="241" t="s">
        <v>3572</v>
      </c>
      <c r="T20" s="245" t="s">
        <v>3572</v>
      </c>
      <c r="U20" s="238">
        <v>45750</v>
      </c>
      <c r="V20" s="238">
        <v>45765</v>
      </c>
      <c r="W20" s="238"/>
      <c r="X20" s="294"/>
      <c r="Y20" s="303" t="s">
        <v>3572</v>
      </c>
      <c r="Z20" s="305"/>
      <c r="AA20" s="247"/>
      <c r="AB20" s="247"/>
      <c r="AC20" s="248"/>
      <c r="AD20" s="248"/>
      <c r="AE20" s="248"/>
      <c r="AF20" s="451"/>
      <c r="AG20" s="246"/>
      <c r="AH20" s="247"/>
      <c r="AI20" s="247"/>
      <c r="AJ20" s="247"/>
      <c r="AK20" s="247"/>
      <c r="AL20" s="247"/>
      <c r="AM20" s="247"/>
      <c r="AN20" s="247"/>
      <c r="AO20" s="248"/>
      <c r="AP20" s="248"/>
      <c r="AQ20" s="248"/>
      <c r="AR20" s="248"/>
      <c r="AS20" s="249"/>
      <c r="AT20" s="250"/>
    </row>
    <row r="21" spans="1:46" s="239" customFormat="1" ht="19.5" customHeight="1">
      <c r="A21" s="127"/>
      <c r="B21" s="29">
        <f t="shared" si="1"/>
        <v>11</v>
      </c>
      <c r="C21" s="30" t="s">
        <v>206</v>
      </c>
      <c r="D21" s="30" t="s">
        <v>359</v>
      </c>
      <c r="E21" s="234" t="s">
        <v>7148</v>
      </c>
      <c r="F21" s="240" t="s">
        <v>7149</v>
      </c>
      <c r="G21" s="284" t="str">
        <f>IFERROR(VLOOKUP(E21,Assign!$C$2:$J$142,8,FALSE),)</f>
        <v>문선영</v>
      </c>
      <c r="H21" s="163" t="s">
        <v>3631</v>
      </c>
      <c r="I21" s="163" t="s">
        <v>205</v>
      </c>
      <c r="J21" s="30" t="s">
        <v>3545</v>
      </c>
      <c r="K21" s="163"/>
      <c r="L21" s="298" t="s">
        <v>3556</v>
      </c>
      <c r="M21" s="252" t="s">
        <v>3673</v>
      </c>
      <c r="N21" s="253" t="s">
        <v>3695</v>
      </c>
      <c r="O21" s="254" t="s">
        <v>3696</v>
      </c>
      <c r="P21" s="254" t="s">
        <v>3697</v>
      </c>
      <c r="Q21" s="251" t="s">
        <v>3602</v>
      </c>
      <c r="R21" s="255" t="s">
        <v>3698</v>
      </c>
      <c r="S21" s="252" t="s">
        <v>3699</v>
      </c>
      <c r="T21" s="257">
        <v>38492</v>
      </c>
      <c r="U21" s="258">
        <v>45772</v>
      </c>
      <c r="V21" s="258"/>
      <c r="W21" s="258"/>
      <c r="X21" s="295"/>
      <c r="Y21" s="304">
        <v>45657</v>
      </c>
      <c r="Z21" s="306" t="s">
        <v>492</v>
      </c>
      <c r="AA21" s="260">
        <v>983.20899999999995</v>
      </c>
      <c r="AB21" s="260">
        <v>185.02799999999999</v>
      </c>
      <c r="AC21" s="261">
        <v>88.326999999999998</v>
      </c>
      <c r="AD21" s="261">
        <v>87.128</v>
      </c>
      <c r="AE21" s="261">
        <v>2658.819</v>
      </c>
      <c r="AF21" s="450">
        <v>1859.5309999999999</v>
      </c>
      <c r="AG21" s="259"/>
      <c r="AH21" s="260"/>
      <c r="AI21" s="260"/>
      <c r="AJ21" s="260"/>
      <c r="AK21" s="260"/>
      <c r="AL21" s="260"/>
      <c r="AM21" s="260"/>
      <c r="AN21" s="260"/>
      <c r="AO21" s="261"/>
      <c r="AP21" s="261"/>
      <c r="AQ21" s="261"/>
      <c r="AR21" s="261"/>
      <c r="AS21" s="262"/>
      <c r="AT21" s="263"/>
    </row>
    <row r="22" spans="1:46" s="239" customFormat="1" ht="19.5" hidden="1" customHeight="1">
      <c r="B22" s="197">
        <f t="shared" si="1"/>
        <v>12</v>
      </c>
      <c r="C22" s="30" t="s">
        <v>202</v>
      </c>
      <c r="D22" s="30" t="s">
        <v>225</v>
      </c>
      <c r="E22" s="234" t="s">
        <v>974</v>
      </c>
      <c r="F22" s="240" t="s">
        <v>1353</v>
      </c>
      <c r="G22" s="284">
        <f>IFERROR(VLOOKUP(E22,Assign!$C$2:$J$142,8,FALSE),)</f>
        <v>0</v>
      </c>
      <c r="H22" s="163" t="s">
        <v>3631</v>
      </c>
      <c r="I22" s="163" t="s">
        <v>205</v>
      </c>
      <c r="J22" s="163" t="s">
        <v>3547</v>
      </c>
      <c r="K22" s="163"/>
      <c r="L22" s="237" t="s">
        <v>3556</v>
      </c>
      <c r="M22" s="241" t="s">
        <v>3599</v>
      </c>
      <c r="N22" s="242" t="s">
        <v>3580</v>
      </c>
      <c r="O22" s="243" t="s">
        <v>3581</v>
      </c>
      <c r="P22" s="243" t="s">
        <v>3582</v>
      </c>
      <c r="Q22" s="237" t="s">
        <v>3602</v>
      </c>
      <c r="R22" s="244" t="s">
        <v>3623</v>
      </c>
      <c r="S22" s="241" t="s">
        <v>3624</v>
      </c>
      <c r="T22" s="245">
        <v>43440</v>
      </c>
      <c r="U22" s="238">
        <v>45112</v>
      </c>
      <c r="V22" s="238">
        <v>45155</v>
      </c>
      <c r="W22" s="238"/>
      <c r="X22" s="414" t="s">
        <v>3626</v>
      </c>
      <c r="Y22" s="303">
        <v>44926</v>
      </c>
      <c r="Z22" s="305" t="s">
        <v>492</v>
      </c>
      <c r="AA22" s="247">
        <v>3619.7820000000002</v>
      </c>
      <c r="AB22" s="247">
        <v>138.04400000000001</v>
      </c>
      <c r="AC22" s="248">
        <v>40.771000000000001</v>
      </c>
      <c r="AD22" s="248">
        <v>135.49100000000001</v>
      </c>
      <c r="AE22" s="248">
        <v>5791.0469999999996</v>
      </c>
      <c r="AF22" s="451">
        <v>4215.2700000000004</v>
      </c>
      <c r="AG22" s="246"/>
      <c r="AH22" s="247"/>
      <c r="AI22" s="247"/>
      <c r="AJ22" s="247"/>
      <c r="AK22" s="247"/>
      <c r="AL22" s="247"/>
      <c r="AM22" s="247"/>
      <c r="AN22" s="247"/>
      <c r="AO22" s="248"/>
      <c r="AP22" s="248"/>
      <c r="AQ22" s="248"/>
      <c r="AR22" s="248"/>
      <c r="AS22" s="249"/>
      <c r="AT22" s="250"/>
    </row>
    <row r="23" spans="1:46" s="239" customFormat="1" ht="19.5" hidden="1" customHeight="1">
      <c r="B23" s="197">
        <f t="shared" si="1"/>
        <v>13</v>
      </c>
      <c r="C23" s="30" t="s">
        <v>202</v>
      </c>
      <c r="D23" s="30" t="s">
        <v>359</v>
      </c>
      <c r="E23" s="234" t="s">
        <v>1206</v>
      </c>
      <c r="F23" s="240" t="s">
        <v>1365</v>
      </c>
      <c r="G23" s="284">
        <f>IFERROR(VLOOKUP(E23,Assign!$C$2:$J$142,8,FALSE),)</f>
        <v>0</v>
      </c>
      <c r="H23" s="163" t="s">
        <v>3631</v>
      </c>
      <c r="I23" s="163" t="s">
        <v>205</v>
      </c>
      <c r="J23" s="163" t="s">
        <v>3546</v>
      </c>
      <c r="K23" s="163"/>
      <c r="L23" s="237" t="s">
        <v>3556</v>
      </c>
      <c r="M23" s="241" t="s">
        <v>3585</v>
      </c>
      <c r="N23" s="242" t="s">
        <v>3557</v>
      </c>
      <c r="O23" s="243" t="s">
        <v>3558</v>
      </c>
      <c r="P23" s="243" t="s">
        <v>3559</v>
      </c>
      <c r="Q23" s="237" t="s">
        <v>3602</v>
      </c>
      <c r="R23" s="244" t="s">
        <v>3607</v>
      </c>
      <c r="S23" s="241" t="s">
        <v>3608</v>
      </c>
      <c r="T23" s="245">
        <v>35728</v>
      </c>
      <c r="U23" s="238">
        <v>45751</v>
      </c>
      <c r="V23" s="238">
        <v>45764</v>
      </c>
      <c r="W23" s="238"/>
      <c r="X23" s="294"/>
      <c r="Y23" s="303">
        <v>45291</v>
      </c>
      <c r="Z23" s="305" t="s">
        <v>3628</v>
      </c>
      <c r="AA23" s="247">
        <v>26612.234</v>
      </c>
      <c r="AB23" s="247">
        <v>808.87</v>
      </c>
      <c r="AC23" s="248">
        <v>248.61099999999999</v>
      </c>
      <c r="AD23" s="248">
        <v>571.73800000000006</v>
      </c>
      <c r="AE23" s="248">
        <v>19621.253000000001</v>
      </c>
      <c r="AF23" s="451">
        <v>15619.634</v>
      </c>
      <c r="AG23" s="246"/>
      <c r="AH23" s="247"/>
      <c r="AI23" s="247"/>
      <c r="AJ23" s="247"/>
      <c r="AK23" s="247"/>
      <c r="AL23" s="247"/>
      <c r="AM23" s="247"/>
      <c r="AN23" s="247"/>
      <c r="AO23" s="248"/>
      <c r="AP23" s="248"/>
      <c r="AQ23" s="248"/>
      <c r="AR23" s="248"/>
      <c r="AS23" s="249"/>
      <c r="AT23" s="250"/>
    </row>
    <row r="24" spans="1:46" s="239" customFormat="1" ht="19.5" hidden="1" customHeight="1">
      <c r="A24" s="127"/>
      <c r="B24" s="29">
        <f t="shared" si="1"/>
        <v>14</v>
      </c>
      <c r="C24" s="30" t="s">
        <v>202</v>
      </c>
      <c r="D24" s="30" t="s">
        <v>359</v>
      </c>
      <c r="E24" s="234" t="s">
        <v>1207</v>
      </c>
      <c r="F24" s="240" t="s">
        <v>1290</v>
      </c>
      <c r="G24" s="284">
        <f>IFERROR(VLOOKUP(E24,Assign!$C$2:$J$142,8,FALSE),)</f>
        <v>0</v>
      </c>
      <c r="H24" s="163" t="s">
        <v>3631</v>
      </c>
      <c r="I24" s="163" t="s">
        <v>205</v>
      </c>
      <c r="J24" s="30" t="s">
        <v>3546</v>
      </c>
      <c r="K24" s="163"/>
      <c r="L24" s="298" t="s">
        <v>3552</v>
      </c>
      <c r="M24" s="252" t="s">
        <v>3588</v>
      </c>
      <c r="N24" s="253" t="s">
        <v>3566</v>
      </c>
      <c r="O24" s="254" t="s">
        <v>3567</v>
      </c>
      <c r="P24" s="254" t="s">
        <v>3568</v>
      </c>
      <c r="Q24" s="251" t="s">
        <v>3602</v>
      </c>
      <c r="R24" s="255" t="s">
        <v>3613</v>
      </c>
      <c r="S24" s="252" t="s">
        <v>3614</v>
      </c>
      <c r="T24" s="257">
        <v>37391</v>
      </c>
      <c r="U24" s="258">
        <v>45693</v>
      </c>
      <c r="V24" s="258">
        <v>45723</v>
      </c>
      <c r="W24" s="258"/>
      <c r="X24" s="295"/>
      <c r="Y24" s="304">
        <v>45291</v>
      </c>
      <c r="Z24" s="306" t="s">
        <v>492</v>
      </c>
      <c r="AA24" s="260">
        <v>7053.1350000000002</v>
      </c>
      <c r="AB24" s="260">
        <v>303.96600000000001</v>
      </c>
      <c r="AC24" s="261">
        <v>207.81299999999999</v>
      </c>
      <c r="AD24" s="261">
        <v>350.37</v>
      </c>
      <c r="AE24" s="261">
        <v>11020.493</v>
      </c>
      <c r="AF24" s="450">
        <v>7828.8379999999997</v>
      </c>
      <c r="AG24" s="259"/>
      <c r="AH24" s="260"/>
      <c r="AI24" s="260"/>
      <c r="AJ24" s="260"/>
      <c r="AK24" s="260"/>
      <c r="AL24" s="260"/>
      <c r="AM24" s="260"/>
      <c r="AN24" s="260"/>
      <c r="AO24" s="261"/>
      <c r="AP24" s="261"/>
      <c r="AQ24" s="261"/>
      <c r="AR24" s="261"/>
      <c r="AS24" s="262"/>
      <c r="AT24" s="263"/>
    </row>
    <row r="25" spans="1:46" s="239" customFormat="1" ht="19.5" customHeight="1">
      <c r="A25" s="127"/>
      <c r="B25" s="29">
        <f t="shared" si="1"/>
        <v>15</v>
      </c>
      <c r="C25" s="30" t="s">
        <v>202</v>
      </c>
      <c r="D25" s="30" t="s">
        <v>359</v>
      </c>
      <c r="E25" s="234" t="s">
        <v>1208</v>
      </c>
      <c r="F25" s="240" t="s">
        <v>1225</v>
      </c>
      <c r="G25" s="284" t="str">
        <f>IFERROR(VLOOKUP(E25,Assign!$C$2:$J$142,8,FALSE),)</f>
        <v>문선영</v>
      </c>
      <c r="H25" s="163" t="s">
        <v>3632</v>
      </c>
      <c r="I25" s="163" t="s">
        <v>230</v>
      </c>
      <c r="J25" s="30" t="s">
        <v>3546</v>
      </c>
      <c r="K25" s="163"/>
      <c r="L25" s="298" t="s">
        <v>515</v>
      </c>
      <c r="M25" s="252" t="s">
        <v>3590</v>
      </c>
      <c r="N25" s="253" t="s">
        <v>3572</v>
      </c>
      <c r="O25" s="254" t="s">
        <v>3572</v>
      </c>
      <c r="P25" s="254" t="s">
        <v>3572</v>
      </c>
      <c r="Q25" s="251" t="s">
        <v>3572</v>
      </c>
      <c r="R25" s="255" t="s">
        <v>3572</v>
      </c>
      <c r="S25" s="252" t="s">
        <v>3572</v>
      </c>
      <c r="T25" s="257" t="s">
        <v>3572</v>
      </c>
      <c r="U25" s="258">
        <v>45680</v>
      </c>
      <c r="V25" s="258">
        <v>45736</v>
      </c>
      <c r="W25" s="258"/>
      <c r="X25" s="295"/>
      <c r="Y25" s="304" t="s">
        <v>3572</v>
      </c>
      <c r="Z25" s="306"/>
      <c r="AA25" s="260"/>
      <c r="AB25" s="260"/>
      <c r="AC25" s="261"/>
      <c r="AD25" s="261"/>
      <c r="AE25" s="261"/>
      <c r="AF25" s="450"/>
      <c r="AG25" s="259"/>
      <c r="AH25" s="260"/>
      <c r="AI25" s="260"/>
      <c r="AJ25" s="260"/>
      <c r="AK25" s="260"/>
      <c r="AL25" s="260"/>
      <c r="AM25" s="260"/>
      <c r="AN25" s="260"/>
      <c r="AO25" s="261"/>
      <c r="AP25" s="261"/>
      <c r="AQ25" s="261"/>
      <c r="AR25" s="261"/>
      <c r="AS25" s="262"/>
      <c r="AT25" s="263"/>
    </row>
    <row r="26" spans="1:46" s="239" customFormat="1" ht="19.5" hidden="1" customHeight="1">
      <c r="A26" s="127"/>
      <c r="B26" s="29">
        <f t="shared" si="1"/>
        <v>16</v>
      </c>
      <c r="C26" s="30" t="s">
        <v>202</v>
      </c>
      <c r="D26" s="30" t="s">
        <v>359</v>
      </c>
      <c r="E26" s="234" t="s">
        <v>1209</v>
      </c>
      <c r="F26" s="240" t="s">
        <v>1236</v>
      </c>
      <c r="G26" s="284">
        <f>IFERROR(VLOOKUP(E26,Assign!$C$2:$J$142,8,FALSE),)</f>
        <v>0</v>
      </c>
      <c r="H26" s="163" t="s">
        <v>3632</v>
      </c>
      <c r="I26" s="163" t="s">
        <v>230</v>
      </c>
      <c r="J26" s="30" t="s">
        <v>3546</v>
      </c>
      <c r="K26" s="163"/>
      <c r="L26" s="298" t="s">
        <v>3552</v>
      </c>
      <c r="M26" s="252" t="s">
        <v>3592</v>
      </c>
      <c r="N26" s="253" t="s">
        <v>3572</v>
      </c>
      <c r="O26" s="254" t="s">
        <v>3572</v>
      </c>
      <c r="P26" s="254" t="s">
        <v>3572</v>
      </c>
      <c r="Q26" s="251" t="s">
        <v>3572</v>
      </c>
      <c r="R26" s="255" t="s">
        <v>3572</v>
      </c>
      <c r="S26" s="252" t="s">
        <v>3572</v>
      </c>
      <c r="T26" s="257" t="s">
        <v>3572</v>
      </c>
      <c r="U26" s="258">
        <v>45667</v>
      </c>
      <c r="V26" s="258">
        <v>45698</v>
      </c>
      <c r="W26" s="258"/>
      <c r="X26" s="295"/>
      <c r="Y26" s="304" t="s">
        <v>3572</v>
      </c>
      <c r="Z26" s="306"/>
      <c r="AA26" s="260"/>
      <c r="AB26" s="260"/>
      <c r="AC26" s="261"/>
      <c r="AD26" s="261"/>
      <c r="AE26" s="261"/>
      <c r="AF26" s="450"/>
      <c r="AG26" s="259"/>
      <c r="AH26" s="260"/>
      <c r="AI26" s="260"/>
      <c r="AJ26" s="260"/>
      <c r="AK26" s="260"/>
      <c r="AL26" s="260"/>
      <c r="AM26" s="260"/>
      <c r="AN26" s="260"/>
      <c r="AO26" s="261"/>
      <c r="AP26" s="261"/>
      <c r="AQ26" s="261"/>
      <c r="AR26" s="261"/>
      <c r="AS26" s="262"/>
      <c r="AT26" s="263"/>
    </row>
    <row r="27" spans="1:46" s="239" customFormat="1" ht="19.5" hidden="1" customHeight="1">
      <c r="A27" s="127"/>
      <c r="B27" s="29">
        <f t="shared" si="1"/>
        <v>17</v>
      </c>
      <c r="C27" s="30" t="s">
        <v>202</v>
      </c>
      <c r="D27" s="30" t="s">
        <v>359</v>
      </c>
      <c r="E27" s="234" t="s">
        <v>1210</v>
      </c>
      <c r="F27" s="240" t="s">
        <v>1291</v>
      </c>
      <c r="G27" s="284">
        <f>IFERROR(VLOOKUP(E27,Assign!$C$2:$J$142,8,FALSE),)</f>
        <v>0</v>
      </c>
      <c r="H27" s="163" t="s">
        <v>3631</v>
      </c>
      <c r="I27" s="163" t="s">
        <v>205</v>
      </c>
      <c r="J27" s="30" t="s">
        <v>3546</v>
      </c>
      <c r="K27" s="163"/>
      <c r="L27" s="298" t="s">
        <v>3556</v>
      </c>
      <c r="M27" s="252" t="s">
        <v>3594</v>
      </c>
      <c r="N27" s="253" t="s">
        <v>3575</v>
      </c>
      <c r="O27" s="254" t="s">
        <v>3576</v>
      </c>
      <c r="P27" s="254" t="s">
        <v>3572</v>
      </c>
      <c r="Q27" s="251" t="s">
        <v>3602</v>
      </c>
      <c r="R27" s="255" t="s">
        <v>3618</v>
      </c>
      <c r="S27" s="252" t="s">
        <v>3625</v>
      </c>
      <c r="T27" s="257">
        <v>38707</v>
      </c>
      <c r="U27" s="258">
        <v>45707</v>
      </c>
      <c r="V27" s="258">
        <v>45721</v>
      </c>
      <c r="W27" s="258"/>
      <c r="X27" s="295"/>
      <c r="Y27" s="415">
        <v>45291</v>
      </c>
      <c r="Z27" s="306" t="s">
        <v>492</v>
      </c>
      <c r="AA27" s="260">
        <v>5374.5820000000003</v>
      </c>
      <c r="AB27" s="260">
        <v>124.8</v>
      </c>
      <c r="AC27" s="261">
        <v>54.136000000000003</v>
      </c>
      <c r="AD27" s="261">
        <v>102.40300000000001</v>
      </c>
      <c r="AE27" s="261">
        <v>1672.6289999999999</v>
      </c>
      <c r="AF27" s="450">
        <v>2152.9450000000002</v>
      </c>
      <c r="AG27" s="259"/>
      <c r="AH27" s="260"/>
      <c r="AI27" s="260"/>
      <c r="AJ27" s="260"/>
      <c r="AK27" s="260"/>
      <c r="AL27" s="260"/>
      <c r="AM27" s="260"/>
      <c r="AN27" s="260"/>
      <c r="AO27" s="261"/>
      <c r="AP27" s="261"/>
      <c r="AQ27" s="261"/>
      <c r="AR27" s="261"/>
      <c r="AS27" s="262"/>
      <c r="AT27" s="263"/>
    </row>
    <row r="28" spans="1:46" ht="19.5" customHeight="1">
      <c r="B28" s="29">
        <f t="shared" si="1"/>
        <v>18</v>
      </c>
      <c r="C28" s="30" t="s">
        <v>202</v>
      </c>
      <c r="D28" s="30" t="s">
        <v>359</v>
      </c>
      <c r="E28" s="234" t="s">
        <v>1211</v>
      </c>
      <c r="F28" s="240" t="s">
        <v>1225</v>
      </c>
      <c r="G28" s="284" t="str">
        <f>IFERROR(VLOOKUP(E28,Assign!$C$2:$J$142,8,FALSE),)</f>
        <v>문선영</v>
      </c>
      <c r="H28" s="163" t="s">
        <v>3632</v>
      </c>
      <c r="I28" s="163" t="s">
        <v>230</v>
      </c>
      <c r="J28" s="30" t="s">
        <v>3546</v>
      </c>
      <c r="K28" s="163"/>
      <c r="L28" s="298" t="s">
        <v>515</v>
      </c>
      <c r="M28" s="252" t="s">
        <v>3595</v>
      </c>
      <c r="N28" s="253" t="s">
        <v>3572</v>
      </c>
      <c r="O28" s="254" t="s">
        <v>3572</v>
      </c>
      <c r="P28" s="254" t="s">
        <v>3572</v>
      </c>
      <c r="Q28" s="251" t="s">
        <v>3572</v>
      </c>
      <c r="R28" s="255" t="s">
        <v>3572</v>
      </c>
      <c r="S28" s="252" t="s">
        <v>3572</v>
      </c>
      <c r="T28" s="257" t="s">
        <v>3572</v>
      </c>
      <c r="U28" s="258">
        <v>45695</v>
      </c>
      <c r="V28" s="258">
        <v>45749</v>
      </c>
      <c r="W28" s="258"/>
      <c r="X28" s="295"/>
      <c r="Y28" s="304" t="s">
        <v>3572</v>
      </c>
      <c r="Z28" s="306"/>
      <c r="AA28" s="260"/>
      <c r="AB28" s="260"/>
      <c r="AC28" s="261"/>
      <c r="AD28" s="261"/>
      <c r="AE28" s="261"/>
      <c r="AF28" s="450"/>
      <c r="AG28" s="259"/>
      <c r="AH28" s="260"/>
      <c r="AI28" s="260"/>
      <c r="AJ28" s="260"/>
      <c r="AK28" s="260"/>
      <c r="AL28" s="260"/>
      <c r="AM28" s="260"/>
      <c r="AN28" s="260"/>
      <c r="AO28" s="261"/>
      <c r="AP28" s="261"/>
      <c r="AQ28" s="261"/>
      <c r="AR28" s="261"/>
      <c r="AS28" s="262"/>
      <c r="AT28" s="263"/>
    </row>
    <row r="29" spans="1:46" s="239" customFormat="1" ht="19.5" customHeight="1">
      <c r="A29" s="127"/>
      <c r="B29" s="29">
        <f t="shared" si="1"/>
        <v>19</v>
      </c>
      <c r="C29" s="30" t="s">
        <v>202</v>
      </c>
      <c r="D29" s="30" t="s">
        <v>359</v>
      </c>
      <c r="E29" s="234" t="s">
        <v>1212</v>
      </c>
      <c r="F29" s="240" t="s">
        <v>1292</v>
      </c>
      <c r="G29" s="284" t="str">
        <f>IFERROR(VLOOKUP(E29,Assign!$C$2:$J$142,8,FALSE),)</f>
        <v>문선영</v>
      </c>
      <c r="H29" s="163" t="s">
        <v>3631</v>
      </c>
      <c r="I29" s="163" t="s">
        <v>205</v>
      </c>
      <c r="J29" s="30" t="s">
        <v>3546</v>
      </c>
      <c r="K29" s="163"/>
      <c r="L29" s="298" t="s">
        <v>515</v>
      </c>
      <c r="M29" s="252" t="s">
        <v>3596</v>
      </c>
      <c r="N29" s="253" t="s">
        <v>3577</v>
      </c>
      <c r="O29" s="254" t="s">
        <v>3578</v>
      </c>
      <c r="P29" s="254" t="s">
        <v>3572</v>
      </c>
      <c r="Q29" s="251" t="s">
        <v>3602</v>
      </c>
      <c r="R29" s="255" t="s">
        <v>3619</v>
      </c>
      <c r="S29" s="252" t="s">
        <v>3620</v>
      </c>
      <c r="T29" s="257">
        <v>41151</v>
      </c>
      <c r="U29" s="258">
        <v>45680</v>
      </c>
      <c r="V29" s="258">
        <v>45734</v>
      </c>
      <c r="W29" s="258"/>
      <c r="X29" s="295"/>
      <c r="Y29" s="304">
        <v>45291</v>
      </c>
      <c r="Z29" s="306" t="s">
        <v>492</v>
      </c>
      <c r="AA29" s="260">
        <v>714.98900000000003</v>
      </c>
      <c r="AB29" s="260">
        <v>-42.677</v>
      </c>
      <c r="AC29" s="261">
        <v>-10.515000000000001</v>
      </c>
      <c r="AD29" s="261">
        <v>43.616999999999997</v>
      </c>
      <c r="AE29" s="261">
        <v>1249.816</v>
      </c>
      <c r="AF29" s="450">
        <v>1192.048</v>
      </c>
      <c r="AG29" s="259"/>
      <c r="AH29" s="260"/>
      <c r="AI29" s="260"/>
      <c r="AJ29" s="260"/>
      <c r="AK29" s="260"/>
      <c r="AL29" s="260"/>
      <c r="AM29" s="260"/>
      <c r="AN29" s="260"/>
      <c r="AO29" s="261"/>
      <c r="AP29" s="261"/>
      <c r="AQ29" s="261"/>
      <c r="AR29" s="261"/>
      <c r="AS29" s="262"/>
      <c r="AT29" s="263"/>
    </row>
    <row r="30" spans="1:46" s="239" customFormat="1" ht="19.5" customHeight="1">
      <c r="A30" s="127"/>
      <c r="B30" s="29">
        <f t="shared" si="1"/>
        <v>20</v>
      </c>
      <c r="C30" s="30" t="s">
        <v>202</v>
      </c>
      <c r="D30" s="30" t="s">
        <v>359</v>
      </c>
      <c r="E30" s="234" t="s">
        <v>1213</v>
      </c>
      <c r="F30" s="240" t="s">
        <v>1229</v>
      </c>
      <c r="G30" s="284" t="str">
        <f>IFERROR(VLOOKUP(E30,Assign!$C$2:$J$142,8,FALSE),)</f>
        <v>문선영</v>
      </c>
      <c r="H30" s="163" t="s">
        <v>3632</v>
      </c>
      <c r="I30" s="163" t="s">
        <v>194</v>
      </c>
      <c r="J30" s="30" t="s">
        <v>3546</v>
      </c>
      <c r="K30" s="163"/>
      <c r="L30" s="298" t="s">
        <v>3556</v>
      </c>
      <c r="M30" s="252" t="s">
        <v>3593</v>
      </c>
      <c r="N30" s="253" t="s">
        <v>3572</v>
      </c>
      <c r="O30" s="254" t="s">
        <v>3572</v>
      </c>
      <c r="P30" s="254" t="s">
        <v>3572</v>
      </c>
      <c r="Q30" s="251" t="s">
        <v>3572</v>
      </c>
      <c r="R30" s="255" t="s">
        <v>3572</v>
      </c>
      <c r="S30" s="252" t="s">
        <v>3572</v>
      </c>
      <c r="T30" s="257" t="s">
        <v>3572</v>
      </c>
      <c r="U30" s="258">
        <v>45695</v>
      </c>
      <c r="V30" s="258">
        <v>45708</v>
      </c>
      <c r="W30" s="258"/>
      <c r="X30" s="295"/>
      <c r="Y30" s="304" t="s">
        <v>3572</v>
      </c>
      <c r="Z30" s="306"/>
      <c r="AA30" s="260"/>
      <c r="AB30" s="260"/>
      <c r="AC30" s="261"/>
      <c r="AD30" s="261"/>
      <c r="AE30" s="261"/>
      <c r="AF30" s="450"/>
      <c r="AG30" s="259"/>
      <c r="AH30" s="260"/>
      <c r="AI30" s="260"/>
      <c r="AJ30" s="260"/>
      <c r="AK30" s="260"/>
      <c r="AL30" s="260"/>
      <c r="AM30" s="260"/>
      <c r="AN30" s="260"/>
      <c r="AO30" s="261"/>
      <c r="AP30" s="261"/>
      <c r="AQ30" s="261"/>
      <c r="AR30" s="261"/>
      <c r="AS30" s="262"/>
      <c r="AT30" s="263"/>
    </row>
    <row r="31" spans="1:46" s="239" customFormat="1" ht="19.5" hidden="1" customHeight="1">
      <c r="A31" s="127"/>
      <c r="B31" s="29">
        <f t="shared" si="1"/>
        <v>21</v>
      </c>
      <c r="C31" s="30" t="s">
        <v>202</v>
      </c>
      <c r="D31" s="30" t="s">
        <v>359</v>
      </c>
      <c r="E31" s="234" t="s">
        <v>7150</v>
      </c>
      <c r="F31" s="240" t="s">
        <v>1328</v>
      </c>
      <c r="G31" s="284">
        <f>IFERROR(VLOOKUP(E31,Assign!$C$2:$J$142,8,FALSE),)</f>
        <v>0</v>
      </c>
      <c r="H31" s="163" t="s">
        <v>3631</v>
      </c>
      <c r="I31" s="163" t="s">
        <v>205</v>
      </c>
      <c r="J31" s="30" t="s">
        <v>3545</v>
      </c>
      <c r="K31" s="163"/>
      <c r="L31" s="298" t="s">
        <v>3548</v>
      </c>
      <c r="M31" s="252" t="s">
        <v>3668</v>
      </c>
      <c r="N31" s="253" t="s">
        <v>3674</v>
      </c>
      <c r="O31" s="254" t="s">
        <v>3675</v>
      </c>
      <c r="P31" s="254" t="s">
        <v>3676</v>
      </c>
      <c r="Q31" s="251" t="s">
        <v>3602</v>
      </c>
      <c r="R31" s="255" t="s">
        <v>3677</v>
      </c>
      <c r="S31" s="252" t="s">
        <v>3678</v>
      </c>
      <c r="T31" s="257">
        <v>37075</v>
      </c>
      <c r="U31" s="258">
        <v>45771</v>
      </c>
      <c r="V31" s="258"/>
      <c r="W31" s="258"/>
      <c r="X31" s="295"/>
      <c r="Y31" s="304">
        <v>45291</v>
      </c>
      <c r="Z31" s="306" t="s">
        <v>3627</v>
      </c>
      <c r="AA31" s="260">
        <v>212001.198</v>
      </c>
      <c r="AB31" s="260">
        <v>-14561.026</v>
      </c>
      <c r="AC31" s="261">
        <v>-18550.437999999998</v>
      </c>
      <c r="AD31" s="261">
        <v>7311.3190000000004</v>
      </c>
      <c r="AE31" s="261">
        <v>220572.3</v>
      </c>
      <c r="AF31" s="450">
        <v>194218.788</v>
      </c>
      <c r="AG31" s="259"/>
      <c r="AH31" s="260"/>
      <c r="AI31" s="260"/>
      <c r="AJ31" s="260"/>
      <c r="AK31" s="260"/>
      <c r="AL31" s="260"/>
      <c r="AM31" s="260"/>
      <c r="AN31" s="260"/>
      <c r="AO31" s="261"/>
      <c r="AP31" s="261"/>
      <c r="AQ31" s="261"/>
      <c r="AR31" s="261"/>
      <c r="AS31" s="262"/>
      <c r="AT31" s="263"/>
    </row>
    <row r="32" spans="1:46" s="239" customFormat="1" ht="19.5" hidden="1" customHeight="1">
      <c r="A32" s="127"/>
      <c r="B32" s="29">
        <f t="shared" si="1"/>
        <v>22</v>
      </c>
      <c r="C32" s="30" t="s">
        <v>202</v>
      </c>
      <c r="D32" s="30" t="s">
        <v>359</v>
      </c>
      <c r="E32" s="234" t="s">
        <v>7151</v>
      </c>
      <c r="F32" s="240" t="s">
        <v>1337</v>
      </c>
      <c r="G32" s="284">
        <f>IFERROR(VLOOKUP(E32,Assign!$C$2:$J$142,8,FALSE),)</f>
        <v>0</v>
      </c>
      <c r="H32" s="163" t="s">
        <v>3631</v>
      </c>
      <c r="I32" s="163" t="s">
        <v>205</v>
      </c>
      <c r="J32" s="30" t="s">
        <v>3545</v>
      </c>
      <c r="K32" s="163"/>
      <c r="L32" s="298" t="s">
        <v>515</v>
      </c>
      <c r="M32" s="252" t="s">
        <v>3669</v>
      </c>
      <c r="N32" s="253" t="s">
        <v>3679</v>
      </c>
      <c r="O32" s="254" t="s">
        <v>3680</v>
      </c>
      <c r="P32" s="254" t="s">
        <v>3572</v>
      </c>
      <c r="Q32" s="251" t="s">
        <v>3602</v>
      </c>
      <c r="R32" s="255" t="s">
        <v>3681</v>
      </c>
      <c r="S32" s="252" t="s">
        <v>3572</v>
      </c>
      <c r="T32" s="257">
        <v>44081</v>
      </c>
      <c r="U32" s="258">
        <v>45750</v>
      </c>
      <c r="V32" s="258"/>
      <c r="W32" s="258"/>
      <c r="X32" s="295"/>
      <c r="Y32" s="304">
        <v>45657</v>
      </c>
      <c r="Z32" s="306" t="s">
        <v>492</v>
      </c>
      <c r="AA32" s="260">
        <v>2961.4949999999999</v>
      </c>
      <c r="AB32" s="260">
        <v>-1746.03</v>
      </c>
      <c r="AC32" s="261">
        <v>-1785.624</v>
      </c>
      <c r="AD32" s="261">
        <v>308.01499999999999</v>
      </c>
      <c r="AE32" s="261">
        <v>6635.5460000000003</v>
      </c>
      <c r="AF32" s="450">
        <v>6743.9340000000002</v>
      </c>
      <c r="AG32" s="259"/>
      <c r="AH32" s="260"/>
      <c r="AI32" s="260"/>
      <c r="AJ32" s="260"/>
      <c r="AK32" s="260"/>
      <c r="AL32" s="260"/>
      <c r="AM32" s="260"/>
      <c r="AN32" s="260"/>
      <c r="AO32" s="261"/>
      <c r="AP32" s="261"/>
      <c r="AQ32" s="261"/>
      <c r="AR32" s="261"/>
      <c r="AS32" s="262"/>
      <c r="AT32" s="263"/>
    </row>
    <row r="33" spans="1:46" s="239" customFormat="1" ht="19.5" customHeight="1">
      <c r="A33" s="127"/>
      <c r="B33" s="29">
        <f t="shared" si="1"/>
        <v>23</v>
      </c>
      <c r="C33" s="30" t="s">
        <v>202</v>
      </c>
      <c r="D33" s="30" t="s">
        <v>359</v>
      </c>
      <c r="E33" s="234" t="s">
        <v>7152</v>
      </c>
      <c r="F33" s="240" t="s">
        <v>1345</v>
      </c>
      <c r="G33" s="284" t="str">
        <f>IFERROR(VLOOKUP(E33,Assign!$C$2:$J$142,8,FALSE),)</f>
        <v>문선영</v>
      </c>
      <c r="H33" s="163" t="s">
        <v>3631</v>
      </c>
      <c r="I33" s="163" t="s">
        <v>205</v>
      </c>
      <c r="J33" s="30" t="s">
        <v>3545</v>
      </c>
      <c r="K33" s="163"/>
      <c r="L33" s="298" t="s">
        <v>514</v>
      </c>
      <c r="M33" s="252" t="s">
        <v>3670</v>
      </c>
      <c r="N33" s="253" t="s">
        <v>3682</v>
      </c>
      <c r="O33" s="254" t="s">
        <v>3683</v>
      </c>
      <c r="P33" s="254" t="s">
        <v>3572</v>
      </c>
      <c r="Q33" s="251" t="s">
        <v>3602</v>
      </c>
      <c r="R33" s="255" t="s">
        <v>3684</v>
      </c>
      <c r="S33" s="252" t="s">
        <v>3685</v>
      </c>
      <c r="T33" s="257">
        <v>36865</v>
      </c>
      <c r="U33" s="258">
        <v>45716</v>
      </c>
      <c r="V33" s="258"/>
      <c r="W33" s="258"/>
      <c r="X33" s="295"/>
      <c r="Y33" s="304">
        <v>44742</v>
      </c>
      <c r="Z33" s="306" t="s">
        <v>492</v>
      </c>
      <c r="AA33" s="260">
        <v>3012.21</v>
      </c>
      <c r="AB33" s="260">
        <v>188.52600000000001</v>
      </c>
      <c r="AC33" s="261">
        <v>83.766999999999996</v>
      </c>
      <c r="AD33" s="261">
        <v>89.754000000000005</v>
      </c>
      <c r="AE33" s="261">
        <v>4489.2420000000002</v>
      </c>
      <c r="AF33" s="450">
        <v>2183.6509999999998</v>
      </c>
      <c r="AG33" s="259"/>
      <c r="AH33" s="260"/>
      <c r="AI33" s="260"/>
      <c r="AJ33" s="260"/>
      <c r="AK33" s="260"/>
      <c r="AL33" s="260"/>
      <c r="AM33" s="260"/>
      <c r="AN33" s="260"/>
      <c r="AO33" s="261"/>
      <c r="AP33" s="261"/>
      <c r="AQ33" s="261"/>
      <c r="AR33" s="261"/>
      <c r="AS33" s="262"/>
      <c r="AT33" s="263"/>
    </row>
    <row r="34" spans="1:46" s="239" customFormat="1" ht="19.5" hidden="1" customHeight="1">
      <c r="A34" s="127"/>
      <c r="B34" s="29">
        <f t="shared" si="1"/>
        <v>24</v>
      </c>
      <c r="C34" s="30" t="s">
        <v>202</v>
      </c>
      <c r="D34" s="30" t="s">
        <v>359</v>
      </c>
      <c r="E34" s="234" t="s">
        <v>7153</v>
      </c>
      <c r="F34" s="240" t="s">
        <v>1351</v>
      </c>
      <c r="G34" s="284">
        <f>IFERROR(VLOOKUP(E34,Assign!$C$2:$J$142,8,FALSE),)</f>
        <v>0</v>
      </c>
      <c r="H34" s="163" t="s">
        <v>3631</v>
      </c>
      <c r="I34" s="163" t="s">
        <v>205</v>
      </c>
      <c r="J34" s="30" t="s">
        <v>3546</v>
      </c>
      <c r="K34" s="163"/>
      <c r="L34" s="298" t="s">
        <v>3556</v>
      </c>
      <c r="M34" s="252" t="s">
        <v>3671</v>
      </c>
      <c r="N34" s="253" t="s">
        <v>3686</v>
      </c>
      <c r="O34" s="254" t="s">
        <v>3554</v>
      </c>
      <c r="P34" s="254" t="s">
        <v>3687</v>
      </c>
      <c r="Q34" s="251" t="s">
        <v>3602</v>
      </c>
      <c r="R34" s="255" t="s">
        <v>3688</v>
      </c>
      <c r="S34" s="252" t="s">
        <v>3689</v>
      </c>
      <c r="T34" s="257">
        <v>40393</v>
      </c>
      <c r="U34" s="258">
        <v>45617</v>
      </c>
      <c r="V34" s="258">
        <v>45631</v>
      </c>
      <c r="W34" s="258"/>
      <c r="X34" s="295"/>
      <c r="Y34" s="304">
        <v>44196</v>
      </c>
      <c r="Z34" s="306" t="s">
        <v>492</v>
      </c>
      <c r="AA34" s="260">
        <v>1509.8050000000001</v>
      </c>
      <c r="AB34" s="260">
        <v>81.049000000000007</v>
      </c>
      <c r="AC34" s="261">
        <v>81.572999999999993</v>
      </c>
      <c r="AD34" s="261">
        <v>24.777999999999999</v>
      </c>
      <c r="AE34" s="261">
        <v>1304.403</v>
      </c>
      <c r="AF34" s="450">
        <v>909.04600000000005</v>
      </c>
      <c r="AG34" s="259"/>
      <c r="AH34" s="260"/>
      <c r="AI34" s="260"/>
      <c r="AJ34" s="260"/>
      <c r="AK34" s="260"/>
      <c r="AL34" s="260"/>
      <c r="AM34" s="260"/>
      <c r="AN34" s="260"/>
      <c r="AO34" s="261"/>
      <c r="AP34" s="261"/>
      <c r="AQ34" s="261"/>
      <c r="AR34" s="261"/>
      <c r="AS34" s="262"/>
      <c r="AT34" s="263"/>
    </row>
    <row r="35" spans="1:46" s="239" customFormat="1" ht="19.5" hidden="1" customHeight="1" thickBot="1">
      <c r="A35" s="127"/>
      <c r="B35" s="29">
        <f t="shared" si="1"/>
        <v>25</v>
      </c>
      <c r="C35" s="30" t="s">
        <v>202</v>
      </c>
      <c r="D35" s="30" t="s">
        <v>359</v>
      </c>
      <c r="E35" s="234" t="s">
        <v>7154</v>
      </c>
      <c r="F35" s="240" t="s">
        <v>1355</v>
      </c>
      <c r="G35" s="284">
        <f>IFERROR(VLOOKUP(E35,Assign!$C$2:$J$142,8,FALSE),)</f>
        <v>0</v>
      </c>
      <c r="H35" s="163" t="s">
        <v>3631</v>
      </c>
      <c r="I35" s="163" t="s">
        <v>205</v>
      </c>
      <c r="J35" s="30" t="s">
        <v>3546</v>
      </c>
      <c r="K35" s="163"/>
      <c r="L35" s="298" t="s">
        <v>3552</v>
      </c>
      <c r="M35" s="252" t="s">
        <v>3672</v>
      </c>
      <c r="N35" s="253" t="s">
        <v>3690</v>
      </c>
      <c r="O35" s="254" t="s">
        <v>3691</v>
      </c>
      <c r="P35" s="254" t="s">
        <v>3692</v>
      </c>
      <c r="Q35" s="251" t="s">
        <v>3602</v>
      </c>
      <c r="R35" s="255" t="s">
        <v>3693</v>
      </c>
      <c r="S35" s="252" t="s">
        <v>3694</v>
      </c>
      <c r="T35" s="257">
        <v>37673</v>
      </c>
      <c r="U35" s="258">
        <v>45706</v>
      </c>
      <c r="V35" s="258">
        <v>45730</v>
      </c>
      <c r="W35" s="258"/>
      <c r="X35" s="295"/>
      <c r="Y35" s="304">
        <v>44926</v>
      </c>
      <c r="Z35" s="306" t="s">
        <v>492</v>
      </c>
      <c r="AA35" s="260">
        <v>12742.255999999999</v>
      </c>
      <c r="AB35" s="260">
        <v>146.512</v>
      </c>
      <c r="AC35" s="261">
        <v>70.811999999999998</v>
      </c>
      <c r="AD35" s="261">
        <v>92.981999999999999</v>
      </c>
      <c r="AE35" s="261">
        <v>2815.8760000000002</v>
      </c>
      <c r="AF35" s="450">
        <v>1500.326</v>
      </c>
      <c r="AG35" s="259"/>
      <c r="AH35" s="260"/>
      <c r="AI35" s="260"/>
      <c r="AJ35" s="260"/>
      <c r="AK35" s="260"/>
      <c r="AL35" s="260"/>
      <c r="AM35" s="260"/>
      <c r="AN35" s="260"/>
      <c r="AO35" s="261"/>
      <c r="AP35" s="261"/>
      <c r="AQ35" s="261"/>
      <c r="AR35" s="261"/>
      <c r="AS35" s="262"/>
      <c r="AT35" s="263"/>
    </row>
    <row r="36" spans="1:46" ht="19.5" hidden="1" customHeight="1" thickBot="1">
      <c r="B36" s="134"/>
      <c r="C36" s="135"/>
      <c r="D36" s="135"/>
      <c r="E36" s="135"/>
      <c r="F36" s="135"/>
      <c r="G36" s="284">
        <f>IFERROR(VLOOKUP(E36,Assign!$C$2:$J$142,8,FALSE),)</f>
        <v>0</v>
      </c>
      <c r="H36" s="135"/>
      <c r="I36" s="135"/>
      <c r="J36" s="135"/>
      <c r="K36" s="135"/>
      <c r="L36" s="135"/>
      <c r="M36" s="136"/>
      <c r="N36" s="199"/>
      <c r="O36" s="199"/>
      <c r="P36" s="199"/>
      <c r="Q36" s="115"/>
      <c r="R36" s="115"/>
      <c r="S36" s="112"/>
      <c r="T36" s="112"/>
      <c r="U36" s="112"/>
      <c r="V36" s="112"/>
      <c r="W36" s="112"/>
      <c r="X36" s="112"/>
      <c r="Y36" s="115"/>
      <c r="Z36" s="115"/>
      <c r="AA36" s="115"/>
      <c r="AB36" s="115"/>
      <c r="AC36" s="115"/>
      <c r="AD36" s="115"/>
      <c r="AE36" s="115"/>
      <c r="AF36" s="115"/>
      <c r="AG36" s="115"/>
      <c r="AH36" s="115"/>
      <c r="AI36" s="115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6"/>
    </row>
    <row r="37" spans="1:46" hidden="1">
      <c r="G37" s="284">
        <f>IFERROR(VLOOKUP(E37,Assign!$C$2:$J$142,8,FALSE),)</f>
        <v>0</v>
      </c>
      <c r="Z37" s="188"/>
      <c r="AB37" s="188"/>
      <c r="AC37" s="188"/>
      <c r="AD37" s="188"/>
      <c r="AE37" s="188"/>
      <c r="AH37" s="188"/>
      <c r="AK37" s="187"/>
      <c r="AL37" s="187"/>
      <c r="AN37" s="169"/>
    </row>
    <row r="38" spans="1:46" hidden="1">
      <c r="G38" s="284">
        <f>IFERROR(VLOOKUP(E38,Assign!$C$2:$J$142,8,FALSE),)</f>
        <v>0</v>
      </c>
    </row>
    <row r="39" spans="1:46" hidden="1">
      <c r="G39" s="284">
        <f>IFERROR(VLOOKUP(E39,Assign!$C$2:$J$142,8,FALSE),)</f>
        <v>0</v>
      </c>
    </row>
    <row r="40" spans="1:46" hidden="1">
      <c r="G40" s="284">
        <f>IFERROR(VLOOKUP(E40,Assign!$C$2:$J$142,8,FALSE),)</f>
        <v>0</v>
      </c>
    </row>
    <row r="41" spans="1:46" hidden="1">
      <c r="G41" s="284">
        <f>IFERROR(VLOOKUP(E41,Assign!$C$2:$J$142,8,FALSE),)</f>
        <v>0</v>
      </c>
    </row>
    <row r="42" spans="1:46" hidden="1">
      <c r="G42" s="284">
        <f>IFERROR(VLOOKUP(E42,Assign!$C$2:$J$142,8,FALSE),)</f>
        <v>0</v>
      </c>
    </row>
    <row r="43" spans="1:46" hidden="1">
      <c r="G43" s="284">
        <f>IFERROR(VLOOKUP(E43,Assign!$C$2:$J$142,8,FALSE),)</f>
        <v>0</v>
      </c>
    </row>
    <row r="44" spans="1:46" hidden="1">
      <c r="G44" s="284">
        <f>IFERROR(VLOOKUP(E44,Assign!$C$2:$J$142,8,FALSE),)</f>
        <v>0</v>
      </c>
    </row>
    <row r="45" spans="1:46" hidden="1">
      <c r="G45" s="284">
        <f>IFERROR(VLOOKUP(E45,Assign!$C$2:$J$142,8,FALSE),)</f>
        <v>0</v>
      </c>
    </row>
    <row r="46" spans="1:46" hidden="1">
      <c r="G46" s="284">
        <f>IFERROR(VLOOKUP(E46,Assign!$C$2:$J$142,8,FALSE),)</f>
        <v>0</v>
      </c>
    </row>
    <row r="47" spans="1:46" hidden="1">
      <c r="G47" s="284">
        <f>IFERROR(VLOOKUP(E47,Assign!$C$2:$J$142,8,FALSE),)</f>
        <v>0</v>
      </c>
    </row>
    <row r="48" spans="1:46" hidden="1">
      <c r="G48" s="284">
        <f>IFERROR(VLOOKUP(E48,Assign!$C$2:$J$142,8,FALSE),)</f>
        <v>0</v>
      </c>
    </row>
    <row r="49" spans="7:7" hidden="1">
      <c r="G49" s="284">
        <f>IFERROR(VLOOKUP(E49,Assign!$C$2:$J$142,8,FALSE),)</f>
        <v>0</v>
      </c>
    </row>
    <row r="50" spans="7:7" hidden="1">
      <c r="G50" s="284">
        <f>IFERROR(VLOOKUP(E50,Assign!$C$2:$J$142,8,FALSE),)</f>
        <v>0</v>
      </c>
    </row>
    <row r="51" spans="7:7" hidden="1">
      <c r="G51" s="284">
        <f>IFERROR(VLOOKUP(E51,Assign!$C$2:$J$142,8,FALSE),)</f>
        <v>0</v>
      </c>
    </row>
    <row r="52" spans="7:7" hidden="1">
      <c r="G52" s="284">
        <f>IFERROR(VLOOKUP(E52,Assign!$C$2:$J$142,8,FALSE),)</f>
        <v>0</v>
      </c>
    </row>
    <row r="53" spans="7:7" hidden="1">
      <c r="G53" s="284">
        <f>IFERROR(VLOOKUP(E53,Assign!$C$2:$J$142,8,FALSE),)</f>
        <v>0</v>
      </c>
    </row>
    <row r="54" spans="7:7" hidden="1">
      <c r="G54" s="284">
        <f>IFERROR(VLOOKUP(E54,Assign!$C$2:$J$142,8,FALSE),)</f>
        <v>0</v>
      </c>
    </row>
    <row r="55" spans="7:7" hidden="1">
      <c r="G55" s="284">
        <f>IFERROR(VLOOKUP(E55,Assign!$C$2:$J$142,8,FALSE),)</f>
        <v>0</v>
      </c>
    </row>
    <row r="56" spans="7:7" hidden="1">
      <c r="G56" s="284">
        <f>IFERROR(VLOOKUP(E56,Assign!$C$2:$J$142,8,FALSE),)</f>
        <v>0</v>
      </c>
    </row>
    <row r="57" spans="7:7" hidden="1">
      <c r="G57" s="284">
        <f>IFERROR(VLOOKUP(E57,Assign!$C$2:$J$142,8,FALSE),)</f>
        <v>0</v>
      </c>
    </row>
    <row r="58" spans="7:7" hidden="1">
      <c r="G58" s="284">
        <f>IFERROR(VLOOKUP(E58,Assign!$C$2:$J$142,8,FALSE),)</f>
        <v>0</v>
      </c>
    </row>
    <row r="59" spans="7:7" hidden="1">
      <c r="G59" s="284">
        <f>IFERROR(VLOOKUP(E59,Assign!$C$2:$J$142,8,FALSE),)</f>
        <v>0</v>
      </c>
    </row>
    <row r="60" spans="7:7" hidden="1">
      <c r="G60" s="284">
        <f>IFERROR(VLOOKUP(E60,Assign!$C$2:$J$142,8,FALSE),)</f>
        <v>0</v>
      </c>
    </row>
    <row r="61" spans="7:7" hidden="1">
      <c r="G61" s="284">
        <f>IFERROR(VLOOKUP(E61,Assign!$C$2:$J$142,8,FALSE),)</f>
        <v>0</v>
      </c>
    </row>
    <row r="62" spans="7:7" hidden="1">
      <c r="G62" s="284">
        <f>IFERROR(VLOOKUP(E62,Assign!$C$2:$J$142,8,FALSE),)</f>
        <v>0</v>
      </c>
    </row>
    <row r="63" spans="7:7" hidden="1">
      <c r="G63" s="284">
        <f>IFERROR(VLOOKUP(E63,Assign!$C$2:$J$142,8,FALSE),)</f>
        <v>0</v>
      </c>
    </row>
    <row r="64" spans="7:7" hidden="1">
      <c r="G64" s="284">
        <f>IFERROR(VLOOKUP(E64,Assign!$C$2:$J$142,8,FALSE),)</f>
        <v>0</v>
      </c>
    </row>
    <row r="65" spans="7:7" hidden="1">
      <c r="G65" s="284">
        <f>IFERROR(VLOOKUP(E65,Assign!$C$2:$J$142,8,FALSE),)</f>
        <v>0</v>
      </c>
    </row>
    <row r="66" spans="7:7" hidden="1">
      <c r="G66" s="284">
        <f>IFERROR(VLOOKUP(E66,Assign!$C$2:$J$142,8,FALSE),)</f>
        <v>0</v>
      </c>
    </row>
    <row r="67" spans="7:7" hidden="1">
      <c r="G67" s="284">
        <f>IFERROR(VLOOKUP(E67,Assign!$C$2:$J$142,8,FALSE),)</f>
        <v>0</v>
      </c>
    </row>
    <row r="68" spans="7:7" hidden="1">
      <c r="G68" s="284">
        <f>IFERROR(VLOOKUP(E68,Assign!$C$2:$J$142,8,FALSE),)</f>
        <v>0</v>
      </c>
    </row>
    <row r="69" spans="7:7" hidden="1">
      <c r="G69" s="284">
        <f>IFERROR(VLOOKUP(E69,Assign!$C$2:$J$142,8,FALSE),)</f>
        <v>0</v>
      </c>
    </row>
    <row r="70" spans="7:7" hidden="1">
      <c r="G70" s="284">
        <f>IFERROR(VLOOKUP(E70,Assign!$C$2:$J$142,8,FALSE),)</f>
        <v>0</v>
      </c>
    </row>
    <row r="71" spans="7:7" hidden="1">
      <c r="G71" s="284">
        <f>IFERROR(VLOOKUP(E71,Assign!$C$2:$J$142,8,FALSE),)</f>
        <v>0</v>
      </c>
    </row>
    <row r="72" spans="7:7" hidden="1">
      <c r="G72" s="284">
        <f>IFERROR(VLOOKUP(E72,Assign!$C$2:$J$142,8,FALSE),)</f>
        <v>0</v>
      </c>
    </row>
    <row r="73" spans="7:7" hidden="1">
      <c r="G73" s="284">
        <f>IFERROR(VLOOKUP(E73,Assign!$C$2:$J$142,8,FALSE),)</f>
        <v>0</v>
      </c>
    </row>
    <row r="74" spans="7:7" hidden="1">
      <c r="G74" s="284">
        <f>IFERROR(VLOOKUP(E74,Assign!$C$2:$J$142,8,FALSE),)</f>
        <v>0</v>
      </c>
    </row>
    <row r="75" spans="7:7" hidden="1">
      <c r="G75" s="284">
        <f>IFERROR(VLOOKUP(E75,Assign!$C$2:$J$142,8,FALSE),)</f>
        <v>0</v>
      </c>
    </row>
    <row r="76" spans="7:7" hidden="1">
      <c r="G76" s="284">
        <f>IFERROR(VLOOKUP(E76,Assign!$C$2:$J$142,8,FALSE),)</f>
        <v>0</v>
      </c>
    </row>
    <row r="77" spans="7:7" hidden="1">
      <c r="G77" s="284">
        <f>IFERROR(VLOOKUP(E77,Assign!$C$2:$J$142,8,FALSE),)</f>
        <v>0</v>
      </c>
    </row>
    <row r="78" spans="7:7" hidden="1">
      <c r="G78" s="284">
        <f>IFERROR(VLOOKUP(E78,Assign!$C$2:$J$142,8,FALSE),)</f>
        <v>0</v>
      </c>
    </row>
    <row r="79" spans="7:7" hidden="1">
      <c r="G79" s="284">
        <f>IFERROR(VLOOKUP(E79,Assign!$C$2:$J$142,8,FALSE),)</f>
        <v>0</v>
      </c>
    </row>
    <row r="80" spans="7:7" hidden="1">
      <c r="G80" s="284">
        <f>IFERROR(VLOOKUP(E80,Assign!$C$2:$J$142,8,FALSE),)</f>
        <v>0</v>
      </c>
    </row>
    <row r="81" spans="7:7" hidden="1">
      <c r="G81" s="284">
        <f>IFERROR(VLOOKUP(E81,Assign!$C$2:$J$142,8,FALSE),)</f>
        <v>0</v>
      </c>
    </row>
    <row r="82" spans="7:7" hidden="1">
      <c r="G82" s="284">
        <f>IFERROR(VLOOKUP(E82,Assign!$C$2:$J$142,8,FALSE),)</f>
        <v>0</v>
      </c>
    </row>
    <row r="83" spans="7:7" hidden="1">
      <c r="G83" s="284">
        <f>IFERROR(VLOOKUP(E83,Assign!$C$2:$J$142,8,FALSE),)</f>
        <v>0</v>
      </c>
    </row>
    <row r="84" spans="7:7" hidden="1">
      <c r="G84" s="284">
        <f>IFERROR(VLOOKUP(E84,Assign!$C$2:$J$142,8,FALSE),)</f>
        <v>0</v>
      </c>
    </row>
    <row r="85" spans="7:7" hidden="1">
      <c r="G85" s="284">
        <f>IFERROR(VLOOKUP(E85,Assign!$C$2:$J$142,8,FALSE),)</f>
        <v>0</v>
      </c>
    </row>
    <row r="86" spans="7:7" hidden="1">
      <c r="G86" s="284">
        <f>IFERROR(VLOOKUP(E86,Assign!$C$2:$J$142,8,FALSE),)</f>
        <v>0</v>
      </c>
    </row>
    <row r="87" spans="7:7" hidden="1">
      <c r="G87" s="284">
        <f>IFERROR(VLOOKUP(E87,Assign!$C$2:$J$142,8,FALSE),)</f>
        <v>0</v>
      </c>
    </row>
    <row r="88" spans="7:7" hidden="1">
      <c r="G88" s="284">
        <f>IFERROR(VLOOKUP(E88,Assign!$C$2:$J$142,8,FALSE),)</f>
        <v>0</v>
      </c>
    </row>
    <row r="89" spans="7:7" hidden="1">
      <c r="G89" s="284">
        <f>IFERROR(VLOOKUP(E89,Assign!$C$2:$J$142,8,FALSE),)</f>
        <v>0</v>
      </c>
    </row>
    <row r="90" spans="7:7" hidden="1">
      <c r="G90" s="284">
        <f>IFERROR(VLOOKUP(E90,Assign!$C$2:$J$142,8,FALSE),)</f>
        <v>0</v>
      </c>
    </row>
    <row r="91" spans="7:7" hidden="1">
      <c r="G91" s="284">
        <f>IFERROR(VLOOKUP(E91,Assign!$C$2:$J$142,8,FALSE),)</f>
        <v>0</v>
      </c>
    </row>
    <row r="92" spans="7:7" hidden="1">
      <c r="G92" s="284">
        <f>IFERROR(VLOOKUP(E92,Assign!$C$2:$J$142,8,FALSE),)</f>
        <v>0</v>
      </c>
    </row>
    <row r="93" spans="7:7" hidden="1">
      <c r="G93" s="284">
        <f>IFERROR(VLOOKUP(E93,Assign!$C$2:$J$142,8,FALSE),)</f>
        <v>0</v>
      </c>
    </row>
    <row r="94" spans="7:7" hidden="1">
      <c r="G94" s="284">
        <f>IFERROR(VLOOKUP(E94,Assign!$C$2:$J$142,8,FALSE),)</f>
        <v>0</v>
      </c>
    </row>
    <row r="95" spans="7:7" hidden="1">
      <c r="G95" s="284">
        <f>IFERROR(VLOOKUP(E95,Assign!$C$2:$J$142,8,FALSE),)</f>
        <v>0</v>
      </c>
    </row>
    <row r="96" spans="7:7" hidden="1">
      <c r="G96" s="284">
        <f>IFERROR(VLOOKUP(E96,Assign!$C$2:$J$142,8,FALSE),)</f>
        <v>0</v>
      </c>
    </row>
    <row r="97" spans="7:7" hidden="1">
      <c r="G97" s="284">
        <f>IFERROR(VLOOKUP(E97,Assign!$C$2:$J$142,8,FALSE),)</f>
        <v>0</v>
      </c>
    </row>
    <row r="98" spans="7:7" hidden="1">
      <c r="G98" s="284">
        <f>IFERROR(VLOOKUP(E98,Assign!$C$2:$J$142,8,FALSE),)</f>
        <v>0</v>
      </c>
    </row>
    <row r="99" spans="7:7" hidden="1">
      <c r="G99" s="284">
        <f>IFERROR(VLOOKUP(E99,Assign!$C$2:$J$142,8,FALSE),)</f>
        <v>0</v>
      </c>
    </row>
    <row r="100" spans="7:7" hidden="1">
      <c r="G100" s="284">
        <f>IFERROR(VLOOKUP(E100,Assign!$C$2:$J$142,8,FALSE),)</f>
        <v>0</v>
      </c>
    </row>
    <row r="101" spans="7:7" hidden="1">
      <c r="G101" s="284">
        <f>IFERROR(VLOOKUP(E101,Assign!$C$2:$J$142,8,FALSE),)</f>
        <v>0</v>
      </c>
    </row>
    <row r="102" spans="7:7" hidden="1">
      <c r="G102" s="284">
        <f>IFERROR(VLOOKUP(E102,Assign!$C$2:$J$142,8,FALSE),)</f>
        <v>0</v>
      </c>
    </row>
    <row r="103" spans="7:7" hidden="1">
      <c r="G103" s="284">
        <f>IFERROR(VLOOKUP(E103,Assign!$C$2:$J$142,8,FALSE),)</f>
        <v>0</v>
      </c>
    </row>
    <row r="104" spans="7:7" hidden="1">
      <c r="G104" s="284">
        <f>IFERROR(VLOOKUP(E104,Assign!$C$2:$J$142,8,FALSE),)</f>
        <v>0</v>
      </c>
    </row>
    <row r="105" spans="7:7" hidden="1">
      <c r="G105" s="284">
        <f>IFERROR(VLOOKUP(E105,Assign!$C$2:$J$142,8,FALSE),)</f>
        <v>0</v>
      </c>
    </row>
    <row r="106" spans="7:7" hidden="1">
      <c r="G106" s="284">
        <f>IFERROR(VLOOKUP(E106,Assign!$C$2:$J$142,8,FALSE),)</f>
        <v>0</v>
      </c>
    </row>
    <row r="107" spans="7:7" hidden="1">
      <c r="G107" s="284">
        <f>IFERROR(VLOOKUP(E107,Assign!$C$2:$J$142,8,FALSE),)</f>
        <v>0</v>
      </c>
    </row>
    <row r="108" spans="7:7" hidden="1">
      <c r="G108" s="284">
        <f>IFERROR(VLOOKUP(E108,Assign!$C$2:$J$142,8,FALSE),)</f>
        <v>0</v>
      </c>
    </row>
    <row r="109" spans="7:7" hidden="1">
      <c r="G109" s="284">
        <f>IFERROR(VLOOKUP(E109,Assign!$C$2:$J$142,8,FALSE),)</f>
        <v>0</v>
      </c>
    </row>
    <row r="110" spans="7:7" hidden="1">
      <c r="G110" s="284">
        <f>IFERROR(VLOOKUP(E110,Assign!$C$2:$J$142,8,FALSE),)</f>
        <v>0</v>
      </c>
    </row>
    <row r="111" spans="7:7" hidden="1">
      <c r="G111" s="284">
        <f>IFERROR(VLOOKUP(E111,Assign!$C$2:$J$142,8,FALSE),)</f>
        <v>0</v>
      </c>
    </row>
    <row r="112" spans="7:7" hidden="1">
      <c r="G112" s="284">
        <f>IFERROR(VLOOKUP(E112,Assign!$C$2:$J$142,8,FALSE),)</f>
        <v>0</v>
      </c>
    </row>
    <row r="113" spans="7:7" hidden="1">
      <c r="G113" s="284">
        <f>IFERROR(VLOOKUP(E113,Assign!$C$2:$J$142,8,FALSE),)</f>
        <v>0</v>
      </c>
    </row>
    <row r="114" spans="7:7" hidden="1">
      <c r="G114" s="284">
        <f>IFERROR(VLOOKUP(E114,Assign!$C$2:$J$142,8,FALSE),)</f>
        <v>0</v>
      </c>
    </row>
    <row r="115" spans="7:7" hidden="1">
      <c r="G115" s="284">
        <f>IFERROR(VLOOKUP(E115,Assign!$C$2:$J$142,8,FALSE),)</f>
        <v>0</v>
      </c>
    </row>
    <row r="116" spans="7:7" hidden="1">
      <c r="G116" s="284">
        <f>IFERROR(VLOOKUP(E116,Assign!$C$2:$J$142,8,FALSE),)</f>
        <v>0</v>
      </c>
    </row>
    <row r="117" spans="7:7" hidden="1">
      <c r="G117" s="284">
        <f>IFERROR(VLOOKUP(E117,Assign!$C$2:$J$142,8,FALSE),)</f>
        <v>0</v>
      </c>
    </row>
    <row r="118" spans="7:7" hidden="1">
      <c r="G118" s="284">
        <f>IFERROR(VLOOKUP(E118,Assign!$C$2:$J$142,8,FALSE),)</f>
        <v>0</v>
      </c>
    </row>
    <row r="119" spans="7:7" hidden="1">
      <c r="G119" s="284">
        <f>IFERROR(VLOOKUP(E119,Assign!$C$2:$J$142,8,FALSE),)</f>
        <v>0</v>
      </c>
    </row>
    <row r="120" spans="7:7" hidden="1">
      <c r="G120" s="284">
        <f>IFERROR(VLOOKUP(E120,Assign!$C$2:$J$142,8,FALSE),)</f>
        <v>0</v>
      </c>
    </row>
    <row r="121" spans="7:7" hidden="1">
      <c r="G121" s="284">
        <f>IFERROR(VLOOKUP(E121,Assign!$C$2:$J$142,8,FALSE),)</f>
        <v>0</v>
      </c>
    </row>
    <row r="122" spans="7:7" hidden="1">
      <c r="G122" s="284">
        <f>IFERROR(VLOOKUP(E122,Assign!$C$2:$J$142,8,FALSE),)</f>
        <v>0</v>
      </c>
    </row>
    <row r="123" spans="7:7" hidden="1">
      <c r="G123" s="284">
        <f>IFERROR(VLOOKUP(E123,Assign!$C$2:$J$142,8,FALSE),)</f>
        <v>0</v>
      </c>
    </row>
    <row r="124" spans="7:7" hidden="1">
      <c r="G124" s="284">
        <f>IFERROR(VLOOKUP(E124,Assign!$C$2:$J$142,8,FALSE),)</f>
        <v>0</v>
      </c>
    </row>
    <row r="125" spans="7:7" hidden="1">
      <c r="G125" s="284">
        <f>IFERROR(VLOOKUP(E125,Assign!$C$2:$J$142,8,FALSE),)</f>
        <v>0</v>
      </c>
    </row>
    <row r="126" spans="7:7" hidden="1">
      <c r="G126" s="284">
        <f>IFERROR(VLOOKUP(E126,Assign!$C$2:$J$142,8,FALSE),)</f>
        <v>0</v>
      </c>
    </row>
    <row r="127" spans="7:7" hidden="1">
      <c r="G127" s="284">
        <f>IFERROR(VLOOKUP(E127,Assign!$C$2:$J$142,8,FALSE),)</f>
        <v>0</v>
      </c>
    </row>
    <row r="128" spans="7:7" hidden="1">
      <c r="G128" s="284">
        <f>IFERROR(VLOOKUP(E128,Assign!$C$2:$J$142,8,FALSE),)</f>
        <v>0</v>
      </c>
    </row>
    <row r="129" spans="7:7" hidden="1">
      <c r="G129" s="284">
        <f>IFERROR(VLOOKUP(E129,Assign!$C$2:$J$142,8,FALSE),)</f>
        <v>0</v>
      </c>
    </row>
    <row r="130" spans="7:7" hidden="1">
      <c r="G130" s="284">
        <f>IFERROR(VLOOKUP(E130,Assign!$C$2:$J$142,8,FALSE),)</f>
        <v>0</v>
      </c>
    </row>
    <row r="131" spans="7:7" hidden="1">
      <c r="G131" s="284">
        <f>IFERROR(VLOOKUP(E131,Assign!$C$2:$J$142,8,FALSE),)</f>
        <v>0</v>
      </c>
    </row>
    <row r="132" spans="7:7" hidden="1">
      <c r="G132" s="284">
        <f>IFERROR(VLOOKUP(E132,Assign!$C$2:$J$142,8,FALSE),)</f>
        <v>0</v>
      </c>
    </row>
    <row r="133" spans="7:7" hidden="1">
      <c r="G133" s="284">
        <f>IFERROR(VLOOKUP(E133,Assign!$C$2:$J$142,8,FALSE),)</f>
        <v>0</v>
      </c>
    </row>
    <row r="134" spans="7:7" hidden="1">
      <c r="G134" s="284">
        <f>IFERROR(VLOOKUP(E134,Assign!$C$2:$J$142,8,FALSE),)</f>
        <v>0</v>
      </c>
    </row>
    <row r="135" spans="7:7" hidden="1">
      <c r="G135" s="284">
        <f>IFERROR(VLOOKUP(E135,Assign!$C$2:$J$142,8,FALSE),)</f>
        <v>0</v>
      </c>
    </row>
    <row r="136" spans="7:7" hidden="1">
      <c r="G136" s="284">
        <f>IFERROR(VLOOKUP(E136,Assign!$C$2:$J$142,8,FALSE),)</f>
        <v>0</v>
      </c>
    </row>
    <row r="137" spans="7:7" hidden="1">
      <c r="G137" s="284">
        <f>IFERROR(VLOOKUP(E137,Assign!$C$2:$J$142,8,FALSE),)</f>
        <v>0</v>
      </c>
    </row>
    <row r="138" spans="7:7" hidden="1">
      <c r="G138" s="284">
        <f>IFERROR(VLOOKUP(E138,Assign!$C$2:$J$142,8,FALSE),)</f>
        <v>0</v>
      </c>
    </row>
    <row r="139" spans="7:7" hidden="1">
      <c r="G139" s="284">
        <f>IFERROR(VLOOKUP(E139,Assign!$C$2:$J$142,8,FALSE),)</f>
        <v>0</v>
      </c>
    </row>
    <row r="140" spans="7:7" hidden="1">
      <c r="G140" s="284">
        <f>IFERROR(VLOOKUP(E140,Assign!$C$2:$J$142,8,FALSE),)</f>
        <v>0</v>
      </c>
    </row>
    <row r="141" spans="7:7" hidden="1">
      <c r="G141" s="284">
        <f>IFERROR(VLOOKUP(E141,Assign!$C$2:$J$142,8,FALSE),)</f>
        <v>0</v>
      </c>
    </row>
    <row r="142" spans="7:7" hidden="1">
      <c r="G142" s="284">
        <f>IFERROR(VLOOKUP(E142,Assign!$C$2:$J$142,8,FALSE),)</f>
        <v>0</v>
      </c>
    </row>
    <row r="143" spans="7:7" hidden="1">
      <c r="G143" s="284">
        <f>IFERROR(VLOOKUP(E143,Assign!$C$2:$J$142,8,FALSE),)</f>
        <v>0</v>
      </c>
    </row>
    <row r="144" spans="7:7" hidden="1">
      <c r="G144" s="284">
        <f>IFERROR(VLOOKUP(E144,Assign!$C$2:$J$142,8,FALSE),)</f>
        <v>0</v>
      </c>
    </row>
    <row r="145" spans="7:7" hidden="1">
      <c r="G145" s="284">
        <f>IFERROR(VLOOKUP(E145,Assign!$C$2:$J$142,8,FALSE),)</f>
        <v>0</v>
      </c>
    </row>
    <row r="146" spans="7:7" hidden="1">
      <c r="G146" s="284">
        <f>IFERROR(VLOOKUP(E146,Assign!$C$2:$J$142,8,FALSE),)</f>
        <v>0</v>
      </c>
    </row>
    <row r="147" spans="7:7" hidden="1">
      <c r="G147" s="284">
        <f>IFERROR(VLOOKUP(E147,Assign!$C$2:$J$142,8,FALSE),)</f>
        <v>0</v>
      </c>
    </row>
    <row r="148" spans="7:7" hidden="1">
      <c r="G148" s="284">
        <f>IFERROR(VLOOKUP(E148,Assign!$C$2:$J$142,8,FALSE),)</f>
        <v>0</v>
      </c>
    </row>
    <row r="149" spans="7:7" hidden="1">
      <c r="G149" s="284">
        <f>IFERROR(VLOOKUP(E149,Assign!$C$2:$J$142,8,FALSE),)</f>
        <v>0</v>
      </c>
    </row>
    <row r="150" spans="7:7" hidden="1">
      <c r="G150" s="284">
        <f>IFERROR(VLOOKUP(E150,Assign!$C$2:$J$142,8,FALSE),)</f>
        <v>0</v>
      </c>
    </row>
    <row r="151" spans="7:7" hidden="1">
      <c r="G151" s="284">
        <f>IFERROR(VLOOKUP(E151,Assign!$C$2:$J$142,8,FALSE),)</f>
        <v>0</v>
      </c>
    </row>
    <row r="152" spans="7:7" hidden="1">
      <c r="G152" s="284">
        <f>IFERROR(VLOOKUP(E152,Assign!$C$2:$J$142,8,FALSE),)</f>
        <v>0</v>
      </c>
    </row>
    <row r="153" spans="7:7" hidden="1">
      <c r="G153" s="284">
        <f>IFERROR(VLOOKUP(E153,Assign!$C$2:$J$142,8,FALSE),)</f>
        <v>0</v>
      </c>
    </row>
    <row r="154" spans="7:7" hidden="1">
      <c r="G154" s="284">
        <f>IFERROR(VLOOKUP(E154,Assign!$C$2:$J$142,8,FALSE),)</f>
        <v>0</v>
      </c>
    </row>
    <row r="155" spans="7:7" hidden="1">
      <c r="G155" s="284">
        <f>IFERROR(VLOOKUP(E155,Assign!$C$2:$J$142,8,FALSE),)</f>
        <v>0</v>
      </c>
    </row>
    <row r="156" spans="7:7" hidden="1">
      <c r="G156" s="284">
        <f>IFERROR(VLOOKUP(E156,Assign!$C$2:$J$142,8,FALSE),)</f>
        <v>0</v>
      </c>
    </row>
    <row r="157" spans="7:7" hidden="1">
      <c r="G157" s="284">
        <f>IFERROR(VLOOKUP(E157,Assign!$C$2:$J$142,8,FALSE),)</f>
        <v>0</v>
      </c>
    </row>
    <row r="158" spans="7:7" hidden="1">
      <c r="G158" s="284">
        <f>IFERROR(VLOOKUP(E158,Assign!$C$2:$J$142,8,FALSE),)</f>
        <v>0</v>
      </c>
    </row>
    <row r="159" spans="7:7" hidden="1">
      <c r="G159" s="284">
        <f>IFERROR(VLOOKUP(E159,Assign!$C$2:$J$142,8,FALSE),)</f>
        <v>0</v>
      </c>
    </row>
    <row r="160" spans="7:7" hidden="1">
      <c r="G160" s="284">
        <f>IFERROR(VLOOKUP(E160,Assign!$C$2:$J$142,8,FALSE),)</f>
        <v>0</v>
      </c>
    </row>
    <row r="161" spans="7:7" hidden="1">
      <c r="G161" s="284">
        <f>IFERROR(VLOOKUP(E161,Assign!$C$2:$J$142,8,FALSE),)</f>
        <v>0</v>
      </c>
    </row>
    <row r="162" spans="7:7" hidden="1">
      <c r="G162" s="284">
        <f>IFERROR(VLOOKUP(E162,Assign!$C$2:$J$142,8,FALSE),)</f>
        <v>0</v>
      </c>
    </row>
    <row r="163" spans="7:7" hidden="1">
      <c r="G163" s="284">
        <f>IFERROR(VLOOKUP(E163,Assign!$C$2:$J$142,8,FALSE),)</f>
        <v>0</v>
      </c>
    </row>
    <row r="164" spans="7:7" hidden="1">
      <c r="G164" s="284">
        <f>IFERROR(VLOOKUP(E164,Assign!$C$2:$J$142,8,FALSE),)</f>
        <v>0</v>
      </c>
    </row>
    <row r="165" spans="7:7" hidden="1">
      <c r="G165" s="284">
        <f>IFERROR(VLOOKUP(E165,Assign!$C$2:$J$142,8,FALSE),)</f>
        <v>0</v>
      </c>
    </row>
    <row r="166" spans="7:7" hidden="1">
      <c r="G166" s="284">
        <f>IFERROR(VLOOKUP(E166,Assign!$C$2:$J$142,8,FALSE),)</f>
        <v>0</v>
      </c>
    </row>
    <row r="167" spans="7:7" hidden="1">
      <c r="G167" s="284">
        <f>IFERROR(VLOOKUP(E167,Assign!$C$2:$J$142,8,FALSE),)</f>
        <v>0</v>
      </c>
    </row>
    <row r="168" spans="7:7" hidden="1">
      <c r="G168" s="284">
        <f>IFERROR(VLOOKUP(E168,Assign!$C$2:$J$142,8,FALSE),)</f>
        <v>0</v>
      </c>
    </row>
    <row r="169" spans="7:7" hidden="1">
      <c r="G169" s="284">
        <f>IFERROR(VLOOKUP(E169,Assign!$C$2:$J$142,8,FALSE),)</f>
        <v>0</v>
      </c>
    </row>
    <row r="170" spans="7:7" hidden="1">
      <c r="G170" s="284">
        <f>IFERROR(VLOOKUP(E170,Assign!$C$2:$J$142,8,FALSE),)</f>
        <v>0</v>
      </c>
    </row>
    <row r="171" spans="7:7" hidden="1">
      <c r="G171" s="284">
        <f>IFERROR(VLOOKUP(E171,Assign!$C$2:$J$142,8,FALSE),)</f>
        <v>0</v>
      </c>
    </row>
    <row r="172" spans="7:7" hidden="1">
      <c r="G172" s="284">
        <f>IFERROR(VLOOKUP(E172,Assign!$C$2:$J$142,8,FALSE),)</f>
        <v>0</v>
      </c>
    </row>
    <row r="173" spans="7:7" hidden="1">
      <c r="G173" s="284">
        <f>IFERROR(VLOOKUP(E173,Assign!$C$2:$J$142,8,FALSE),)</f>
        <v>0</v>
      </c>
    </row>
    <row r="174" spans="7:7" hidden="1">
      <c r="G174" s="284">
        <f>IFERROR(VLOOKUP(E174,Assign!$C$2:$J$142,8,FALSE),)</f>
        <v>0</v>
      </c>
    </row>
    <row r="175" spans="7:7" hidden="1">
      <c r="G175" s="284">
        <f>IFERROR(VLOOKUP(E175,Assign!$C$2:$J$142,8,FALSE),)</f>
        <v>0</v>
      </c>
    </row>
    <row r="176" spans="7:7" hidden="1">
      <c r="G176" s="284">
        <f>IFERROR(VLOOKUP(E176,Assign!$C$2:$J$142,8,FALSE),)</f>
        <v>0</v>
      </c>
    </row>
    <row r="177" spans="7:7" hidden="1">
      <c r="G177" s="284">
        <f>IFERROR(VLOOKUP(E177,Assign!$C$2:$J$142,8,FALSE),)</f>
        <v>0</v>
      </c>
    </row>
    <row r="178" spans="7:7" hidden="1">
      <c r="G178" s="284">
        <f>IFERROR(VLOOKUP(E178,Assign!$C$2:$J$142,8,FALSE),)</f>
        <v>0</v>
      </c>
    </row>
    <row r="179" spans="7:7" hidden="1">
      <c r="G179" s="284">
        <f>IFERROR(VLOOKUP(E179,Assign!$C$2:$J$142,8,FALSE),)</f>
        <v>0</v>
      </c>
    </row>
    <row r="180" spans="7:7" hidden="1">
      <c r="G180" s="284">
        <f>IFERROR(VLOOKUP(E180,Assign!$C$2:$J$142,8,FALSE),)</f>
        <v>0</v>
      </c>
    </row>
    <row r="181" spans="7:7" hidden="1">
      <c r="G181" s="284">
        <f>IFERROR(VLOOKUP(E181,Assign!$C$2:$J$142,8,FALSE),)</f>
        <v>0</v>
      </c>
    </row>
    <row r="182" spans="7:7" hidden="1">
      <c r="G182" s="284">
        <f>IFERROR(VLOOKUP(E182,Assign!$C$2:$J$142,8,FALSE),)</f>
        <v>0</v>
      </c>
    </row>
    <row r="183" spans="7:7" hidden="1">
      <c r="G183" s="284">
        <f>IFERROR(VLOOKUP(E183,Assign!$C$2:$J$142,8,FALSE),)</f>
        <v>0</v>
      </c>
    </row>
    <row r="184" spans="7:7" hidden="1">
      <c r="G184" s="284">
        <f>IFERROR(VLOOKUP(E184,Assign!$C$2:$J$142,8,FALSE),)</f>
        <v>0</v>
      </c>
    </row>
    <row r="185" spans="7:7" hidden="1">
      <c r="G185" s="284">
        <f>IFERROR(VLOOKUP(E185,Assign!$C$2:$J$142,8,FALSE),)</f>
        <v>0</v>
      </c>
    </row>
    <row r="186" spans="7:7" hidden="1">
      <c r="G186" s="284">
        <f>IFERROR(VLOOKUP(E186,Assign!$C$2:$J$142,8,FALSE),)</f>
        <v>0</v>
      </c>
    </row>
    <row r="187" spans="7:7" hidden="1">
      <c r="G187" s="284">
        <f>IFERROR(VLOOKUP(E187,Assign!$C$2:$J$142,8,FALSE),)</f>
        <v>0</v>
      </c>
    </row>
    <row r="188" spans="7:7" hidden="1">
      <c r="G188" s="284">
        <f>IFERROR(VLOOKUP(E188,Assign!$C$2:$J$142,8,FALSE),)</f>
        <v>0</v>
      </c>
    </row>
    <row r="189" spans="7:7" hidden="1">
      <c r="G189" s="284">
        <f>IFERROR(VLOOKUP(E189,Assign!$C$2:$J$142,8,FALSE),)</f>
        <v>0</v>
      </c>
    </row>
    <row r="190" spans="7:7" hidden="1">
      <c r="G190" s="284">
        <f>IFERROR(VLOOKUP(E190,Assign!$C$2:$J$142,8,FALSE),)</f>
        <v>0</v>
      </c>
    </row>
    <row r="191" spans="7:7" hidden="1">
      <c r="G191" s="284">
        <f>IFERROR(VLOOKUP(E191,Assign!$C$2:$J$142,8,FALSE),)</f>
        <v>0</v>
      </c>
    </row>
    <row r="192" spans="7:7" hidden="1">
      <c r="G192" s="284">
        <f>IFERROR(VLOOKUP(E192,Assign!$C$2:$J$142,8,FALSE),)</f>
        <v>0</v>
      </c>
    </row>
    <row r="193" spans="7:7" hidden="1">
      <c r="G193" s="284">
        <f>IFERROR(VLOOKUP(E193,Assign!$C$2:$J$142,8,FALSE),)</f>
        <v>0</v>
      </c>
    </row>
    <row r="194" spans="7:7" hidden="1">
      <c r="G194" s="284">
        <f>IFERROR(VLOOKUP(E194,Assign!$C$2:$J$142,8,FALSE),)</f>
        <v>0</v>
      </c>
    </row>
    <row r="195" spans="7:7" hidden="1">
      <c r="G195" s="284">
        <f>IFERROR(VLOOKUP(E195,Assign!$C$2:$J$142,8,FALSE),)</f>
        <v>0</v>
      </c>
    </row>
    <row r="196" spans="7:7" hidden="1">
      <c r="G196" s="284">
        <f>IFERROR(VLOOKUP(E196,Assign!$C$2:$J$142,8,FALSE),)</f>
        <v>0</v>
      </c>
    </row>
    <row r="197" spans="7:7" hidden="1">
      <c r="G197" s="284">
        <f>IFERROR(VLOOKUP(E197,Assign!$C$2:$J$142,8,FALSE),)</f>
        <v>0</v>
      </c>
    </row>
    <row r="198" spans="7:7" hidden="1">
      <c r="G198" s="284">
        <f>IFERROR(VLOOKUP(E198,Assign!$C$2:$J$142,8,FALSE),)</f>
        <v>0</v>
      </c>
    </row>
    <row r="199" spans="7:7" hidden="1">
      <c r="G199" s="284">
        <f>IFERROR(VLOOKUP(E199,Assign!$C$2:$J$142,8,FALSE),)</f>
        <v>0</v>
      </c>
    </row>
    <row r="200" spans="7:7" hidden="1">
      <c r="G200" s="284">
        <f>IFERROR(VLOOKUP(E200,Assign!$C$2:$J$142,8,FALSE),)</f>
        <v>0</v>
      </c>
    </row>
    <row r="201" spans="7:7" hidden="1">
      <c r="G201" s="284">
        <f>IFERROR(VLOOKUP(E201,Assign!$C$2:$J$142,8,FALSE),)</f>
        <v>0</v>
      </c>
    </row>
    <row r="202" spans="7:7" hidden="1">
      <c r="G202" s="284">
        <f>IFERROR(VLOOKUP(E202,Assign!$C$2:$J$142,8,FALSE),)</f>
        <v>0</v>
      </c>
    </row>
    <row r="203" spans="7:7" hidden="1">
      <c r="G203" s="284">
        <f>IFERROR(VLOOKUP(E203,Assign!$C$2:$J$142,8,FALSE),)</f>
        <v>0</v>
      </c>
    </row>
    <row r="204" spans="7:7" hidden="1">
      <c r="G204" s="284">
        <f>IFERROR(VLOOKUP(E204,Assign!$C$2:$J$142,8,FALSE),)</f>
        <v>0</v>
      </c>
    </row>
    <row r="205" spans="7:7" hidden="1">
      <c r="G205" s="284">
        <f>IFERROR(VLOOKUP(E205,Assign!$C$2:$J$142,8,FALSE),)</f>
        <v>0</v>
      </c>
    </row>
    <row r="206" spans="7:7" hidden="1">
      <c r="G206" s="284">
        <f>IFERROR(VLOOKUP(E206,Assign!$C$2:$J$142,8,FALSE),)</f>
        <v>0</v>
      </c>
    </row>
    <row r="207" spans="7:7" hidden="1">
      <c r="G207" s="284">
        <f>IFERROR(VLOOKUP(E207,Assign!$C$2:$J$142,8,FALSE),)</f>
        <v>0</v>
      </c>
    </row>
    <row r="208" spans="7:7" hidden="1">
      <c r="G208" s="284">
        <f>IFERROR(VLOOKUP(E208,Assign!$C$2:$J$142,8,FALSE),)</f>
        <v>0</v>
      </c>
    </row>
    <row r="209" spans="7:7" hidden="1">
      <c r="G209" s="284">
        <f>IFERROR(VLOOKUP(E209,Assign!$C$2:$J$142,8,FALSE),)</f>
        <v>0</v>
      </c>
    </row>
    <row r="210" spans="7:7" hidden="1">
      <c r="G210" s="284">
        <f>IFERROR(VLOOKUP(E210,Assign!$C$2:$J$142,8,FALSE),)</f>
        <v>0</v>
      </c>
    </row>
    <row r="211" spans="7:7" hidden="1">
      <c r="G211" s="284">
        <f>IFERROR(VLOOKUP(E211,Assign!$C$2:$J$142,8,FALSE),)</f>
        <v>0</v>
      </c>
    </row>
    <row r="212" spans="7:7" hidden="1">
      <c r="G212" s="284">
        <f>IFERROR(VLOOKUP(E212,Assign!$C$2:$J$142,8,FALSE),)</f>
        <v>0</v>
      </c>
    </row>
    <row r="213" spans="7:7" hidden="1">
      <c r="G213" s="284">
        <f>IFERROR(VLOOKUP(E213,Assign!$C$2:$J$142,8,FALSE),)</f>
        <v>0</v>
      </c>
    </row>
    <row r="214" spans="7:7" hidden="1">
      <c r="G214" s="284">
        <f>IFERROR(VLOOKUP(E214,Assign!$C$2:$J$142,8,FALSE),)</f>
        <v>0</v>
      </c>
    </row>
    <row r="215" spans="7:7" hidden="1">
      <c r="G215" s="284">
        <f>IFERROR(VLOOKUP(E215,Assign!$C$2:$J$142,8,FALSE),)</f>
        <v>0</v>
      </c>
    </row>
    <row r="216" spans="7:7" hidden="1">
      <c r="G216" s="284">
        <f>IFERROR(VLOOKUP(E216,Assign!$C$2:$J$142,8,FALSE),)</f>
        <v>0</v>
      </c>
    </row>
    <row r="217" spans="7:7" hidden="1">
      <c r="G217" s="284">
        <f>IFERROR(VLOOKUP(E217,Assign!$C$2:$J$142,8,FALSE),)</f>
        <v>0</v>
      </c>
    </row>
    <row r="218" spans="7:7" hidden="1">
      <c r="G218" s="284">
        <f>IFERROR(VLOOKUP(E218,Assign!$C$2:$J$142,8,FALSE),)</f>
        <v>0</v>
      </c>
    </row>
    <row r="219" spans="7:7" hidden="1">
      <c r="G219" s="284">
        <f>IFERROR(VLOOKUP(E219,Assign!$C$2:$J$142,8,FALSE),)</f>
        <v>0</v>
      </c>
    </row>
    <row r="220" spans="7:7" hidden="1">
      <c r="G220" s="284">
        <f>IFERROR(VLOOKUP(E220,Assign!$C$2:$J$142,8,FALSE),)</f>
        <v>0</v>
      </c>
    </row>
    <row r="221" spans="7:7" hidden="1">
      <c r="G221" s="284">
        <f>IFERROR(VLOOKUP(E221,Assign!$C$2:$J$142,8,FALSE),)</f>
        <v>0</v>
      </c>
    </row>
    <row r="222" spans="7:7" hidden="1">
      <c r="G222" s="284">
        <f>IFERROR(VLOOKUP(E222,Assign!$C$2:$J$142,8,FALSE),)</f>
        <v>0</v>
      </c>
    </row>
    <row r="223" spans="7:7" hidden="1">
      <c r="G223" s="284">
        <f>IFERROR(VLOOKUP(E223,Assign!$C$2:$J$142,8,FALSE),)</f>
        <v>0</v>
      </c>
    </row>
    <row r="224" spans="7:7" hidden="1">
      <c r="G224" s="284">
        <f>IFERROR(VLOOKUP(E224,Assign!$C$2:$J$142,8,FALSE),)</f>
        <v>0</v>
      </c>
    </row>
    <row r="225" spans="7:7" hidden="1">
      <c r="G225" s="284">
        <f>IFERROR(VLOOKUP(E225,Assign!$C$2:$J$142,8,FALSE),)</f>
        <v>0</v>
      </c>
    </row>
    <row r="226" spans="7:7" hidden="1">
      <c r="G226" s="284">
        <f>IFERROR(VLOOKUP(E226,Assign!$C$2:$J$142,8,FALSE),)</f>
        <v>0</v>
      </c>
    </row>
    <row r="227" spans="7:7" hidden="1">
      <c r="G227" s="284">
        <f>IFERROR(VLOOKUP(E227,Assign!$C$2:$J$142,8,FALSE),)</f>
        <v>0</v>
      </c>
    </row>
    <row r="228" spans="7:7" hidden="1">
      <c r="G228" s="284">
        <f>IFERROR(VLOOKUP(E228,Assign!$C$2:$J$142,8,FALSE),)</f>
        <v>0</v>
      </c>
    </row>
    <row r="229" spans="7:7" hidden="1">
      <c r="G229" s="284">
        <f>IFERROR(VLOOKUP(E229,Assign!$C$2:$J$142,8,FALSE),)</f>
        <v>0</v>
      </c>
    </row>
    <row r="230" spans="7:7" hidden="1">
      <c r="G230" s="284">
        <f>IFERROR(VLOOKUP(E230,Assign!$C$2:$J$142,8,FALSE),)</f>
        <v>0</v>
      </c>
    </row>
    <row r="231" spans="7:7" hidden="1">
      <c r="G231" s="284">
        <f>IFERROR(VLOOKUP(E231,Assign!$C$2:$J$142,8,FALSE),)</f>
        <v>0</v>
      </c>
    </row>
    <row r="232" spans="7:7" hidden="1">
      <c r="G232" s="284">
        <f>IFERROR(VLOOKUP(E232,Assign!$C$2:$J$142,8,FALSE),)</f>
        <v>0</v>
      </c>
    </row>
    <row r="233" spans="7:7" hidden="1">
      <c r="G233" s="284">
        <f>IFERROR(VLOOKUP(E233,Assign!$C$2:$J$142,8,FALSE),)</f>
        <v>0</v>
      </c>
    </row>
    <row r="234" spans="7:7" hidden="1">
      <c r="G234" s="284">
        <f>IFERROR(VLOOKUP(E234,Assign!$C$2:$J$142,8,FALSE),)</f>
        <v>0</v>
      </c>
    </row>
    <row r="235" spans="7:7" hidden="1">
      <c r="G235" s="284">
        <f>IFERROR(VLOOKUP(E235,Assign!$C$2:$J$142,8,FALSE),)</f>
        <v>0</v>
      </c>
    </row>
    <row r="236" spans="7:7" hidden="1">
      <c r="G236" s="284">
        <f>IFERROR(VLOOKUP(E236,Assign!$C$2:$J$142,8,FALSE),)</f>
        <v>0</v>
      </c>
    </row>
    <row r="237" spans="7:7" hidden="1">
      <c r="G237" s="284">
        <f>IFERROR(VLOOKUP(E237,Assign!$C$2:$J$142,8,FALSE),)</f>
        <v>0</v>
      </c>
    </row>
    <row r="238" spans="7:7" hidden="1">
      <c r="G238" s="284">
        <f>IFERROR(VLOOKUP(E238,Assign!$C$2:$J$142,8,FALSE),)</f>
        <v>0</v>
      </c>
    </row>
    <row r="239" spans="7:7" hidden="1">
      <c r="G239" s="284">
        <f>IFERROR(VLOOKUP(E239,Assign!$C$2:$J$142,8,FALSE),)</f>
        <v>0</v>
      </c>
    </row>
    <row r="240" spans="7:7" hidden="1">
      <c r="G240" s="284">
        <f>IFERROR(VLOOKUP(E240,Assign!$C$2:$J$142,8,FALSE),)</f>
        <v>0</v>
      </c>
    </row>
    <row r="241" spans="7:7" hidden="1">
      <c r="G241" s="284">
        <f>IFERROR(VLOOKUP(E241,Assign!$C$2:$J$142,8,FALSE),)</f>
        <v>0</v>
      </c>
    </row>
    <row r="242" spans="7:7" hidden="1">
      <c r="G242" s="284">
        <f>IFERROR(VLOOKUP(E242,Assign!$C$2:$J$142,8,FALSE),)</f>
        <v>0</v>
      </c>
    </row>
    <row r="243" spans="7:7" hidden="1">
      <c r="G243" s="284">
        <f>IFERROR(VLOOKUP(E243,Assign!$C$2:$J$142,8,FALSE),)</f>
        <v>0</v>
      </c>
    </row>
    <row r="244" spans="7:7" hidden="1">
      <c r="G244" s="284">
        <f>IFERROR(VLOOKUP(E244,Assign!$C$2:$J$142,8,FALSE),)</f>
        <v>0</v>
      </c>
    </row>
    <row r="245" spans="7:7" hidden="1">
      <c r="G245" s="284">
        <f>IFERROR(VLOOKUP(E245,Assign!$C$2:$J$142,8,FALSE),)</f>
        <v>0</v>
      </c>
    </row>
    <row r="246" spans="7:7" hidden="1">
      <c r="G246" s="284">
        <f>IFERROR(VLOOKUP(E246,Assign!$C$2:$J$142,8,FALSE),)</f>
        <v>0</v>
      </c>
    </row>
    <row r="247" spans="7:7" hidden="1">
      <c r="G247" s="284">
        <f>IFERROR(VLOOKUP(E247,Assign!$C$2:$J$142,8,FALSE),)</f>
        <v>0</v>
      </c>
    </row>
    <row r="248" spans="7:7" hidden="1">
      <c r="G248" s="284">
        <f>IFERROR(VLOOKUP(E248,Assign!$C$2:$J$142,8,FALSE),)</f>
        <v>0</v>
      </c>
    </row>
    <row r="249" spans="7:7" hidden="1">
      <c r="G249" s="284">
        <f>IFERROR(VLOOKUP(E249,Assign!$C$2:$J$142,8,FALSE),)</f>
        <v>0</v>
      </c>
    </row>
    <row r="250" spans="7:7" hidden="1">
      <c r="G250" s="284">
        <f>IFERROR(VLOOKUP(E250,Assign!$C$2:$J$142,8,FALSE),)</f>
        <v>0</v>
      </c>
    </row>
    <row r="251" spans="7:7" hidden="1">
      <c r="G251" s="284">
        <f>IFERROR(VLOOKUP(E251,Assign!$C$2:$J$142,8,FALSE),)</f>
        <v>0</v>
      </c>
    </row>
    <row r="252" spans="7:7" hidden="1">
      <c r="G252" s="284">
        <f>IFERROR(VLOOKUP(E252,Assign!$C$2:$J$142,8,FALSE),)</f>
        <v>0</v>
      </c>
    </row>
    <row r="253" spans="7:7" hidden="1">
      <c r="G253" s="284">
        <f>IFERROR(VLOOKUP(E253,Assign!$C$2:$J$142,8,FALSE),)</f>
        <v>0</v>
      </c>
    </row>
    <row r="254" spans="7:7" hidden="1">
      <c r="G254" s="284">
        <f>IFERROR(VLOOKUP(E254,Assign!$C$2:$J$142,8,FALSE),)</f>
        <v>0</v>
      </c>
    </row>
    <row r="255" spans="7:7" hidden="1">
      <c r="G255" s="284">
        <f>IFERROR(VLOOKUP(E255,Assign!$C$2:$J$142,8,FALSE),)</f>
        <v>0</v>
      </c>
    </row>
    <row r="256" spans="7:7" hidden="1">
      <c r="G256" s="284">
        <f>IFERROR(VLOOKUP(E256,Assign!$C$2:$J$142,8,FALSE),)</f>
        <v>0</v>
      </c>
    </row>
    <row r="257" spans="7:7" hidden="1">
      <c r="G257" s="284">
        <f>IFERROR(VLOOKUP(E257,Assign!$C$2:$J$142,8,FALSE),)</f>
        <v>0</v>
      </c>
    </row>
    <row r="258" spans="7:7" hidden="1">
      <c r="G258" s="284">
        <f>IFERROR(VLOOKUP(E258,Assign!$C$2:$J$142,8,FALSE),)</f>
        <v>0</v>
      </c>
    </row>
    <row r="259" spans="7:7" hidden="1">
      <c r="G259" s="284">
        <f>IFERROR(VLOOKUP(E259,Assign!$C$2:$J$142,8,FALSE),)</f>
        <v>0</v>
      </c>
    </row>
    <row r="260" spans="7:7" hidden="1">
      <c r="G260" s="284">
        <f>IFERROR(VLOOKUP(E260,Assign!$C$2:$J$142,8,FALSE),)</f>
        <v>0</v>
      </c>
    </row>
    <row r="261" spans="7:7" hidden="1">
      <c r="G261" s="284">
        <f>IFERROR(VLOOKUP(E261,Assign!$C$2:$J$142,8,FALSE),)</f>
        <v>0</v>
      </c>
    </row>
    <row r="262" spans="7:7" hidden="1">
      <c r="G262" s="284">
        <f>IFERROR(VLOOKUP(E262,Assign!$C$2:$J$142,8,FALSE),)</f>
        <v>0</v>
      </c>
    </row>
    <row r="263" spans="7:7" hidden="1">
      <c r="G263" s="284">
        <f>IFERROR(VLOOKUP(E263,Assign!$C$2:$J$142,8,FALSE),)</f>
        <v>0</v>
      </c>
    </row>
    <row r="264" spans="7:7" hidden="1">
      <c r="G264" s="284">
        <f>IFERROR(VLOOKUP(E264,Assign!$C$2:$J$142,8,FALSE),)</f>
        <v>0</v>
      </c>
    </row>
    <row r="265" spans="7:7" hidden="1">
      <c r="G265" s="284">
        <f>IFERROR(VLOOKUP(E265,Assign!$C$2:$J$142,8,FALSE),)</f>
        <v>0</v>
      </c>
    </row>
    <row r="266" spans="7:7" hidden="1">
      <c r="G266" s="284">
        <f>IFERROR(VLOOKUP(E266,Assign!$C$2:$J$142,8,FALSE),)</f>
        <v>0</v>
      </c>
    </row>
    <row r="267" spans="7:7" hidden="1">
      <c r="G267" s="284">
        <f>IFERROR(VLOOKUP(E267,Assign!$C$2:$J$142,8,FALSE),)</f>
        <v>0</v>
      </c>
    </row>
    <row r="268" spans="7:7" hidden="1">
      <c r="G268" s="284">
        <f>IFERROR(VLOOKUP(E268,Assign!$C$2:$J$142,8,FALSE),)</f>
        <v>0</v>
      </c>
    </row>
    <row r="269" spans="7:7" hidden="1">
      <c r="G269" s="284">
        <f>IFERROR(VLOOKUP(E269,Assign!$C$2:$J$142,8,FALSE),)</f>
        <v>0</v>
      </c>
    </row>
    <row r="270" spans="7:7" hidden="1">
      <c r="G270" s="284">
        <f>IFERROR(VLOOKUP(E270,Assign!$C$2:$J$142,8,FALSE),)</f>
        <v>0</v>
      </c>
    </row>
    <row r="271" spans="7:7" hidden="1">
      <c r="G271" s="284">
        <f>IFERROR(VLOOKUP(E271,Assign!$C$2:$J$142,8,FALSE),)</f>
        <v>0</v>
      </c>
    </row>
    <row r="272" spans="7:7" hidden="1">
      <c r="G272" s="284">
        <f>IFERROR(VLOOKUP(E272,Assign!$C$2:$J$142,8,FALSE),)</f>
        <v>0</v>
      </c>
    </row>
    <row r="273" spans="7:7" hidden="1">
      <c r="G273" s="284">
        <f>IFERROR(VLOOKUP(E273,Assign!$C$2:$J$142,8,FALSE),)</f>
        <v>0</v>
      </c>
    </row>
    <row r="274" spans="7:7" hidden="1">
      <c r="G274" s="284">
        <f>IFERROR(VLOOKUP(E274,Assign!$C$2:$J$142,8,FALSE),)</f>
        <v>0</v>
      </c>
    </row>
    <row r="275" spans="7:7" hidden="1">
      <c r="G275" s="284">
        <f>IFERROR(VLOOKUP(E275,Assign!$C$2:$J$142,8,FALSE),)</f>
        <v>0</v>
      </c>
    </row>
    <row r="276" spans="7:7" hidden="1">
      <c r="G276" s="284">
        <f>IFERROR(VLOOKUP(E276,Assign!$C$2:$J$142,8,FALSE),)</f>
        <v>0</v>
      </c>
    </row>
    <row r="277" spans="7:7" hidden="1">
      <c r="G277" s="284">
        <f>IFERROR(VLOOKUP(E277,Assign!$C$2:$J$142,8,FALSE),)</f>
        <v>0</v>
      </c>
    </row>
    <row r="278" spans="7:7" hidden="1">
      <c r="G278" s="284">
        <f>IFERROR(VLOOKUP(E278,Assign!$C$2:$J$142,8,FALSE),)</f>
        <v>0</v>
      </c>
    </row>
    <row r="279" spans="7:7" hidden="1">
      <c r="G279" s="284">
        <f>IFERROR(VLOOKUP(E279,Assign!$C$2:$J$142,8,FALSE),)</f>
        <v>0</v>
      </c>
    </row>
    <row r="280" spans="7:7" hidden="1">
      <c r="G280" s="284">
        <f>IFERROR(VLOOKUP(E280,Assign!$C$2:$J$142,8,FALSE),)</f>
        <v>0</v>
      </c>
    </row>
    <row r="281" spans="7:7" hidden="1">
      <c r="G281" s="284">
        <f>IFERROR(VLOOKUP(E281,Assign!$C$2:$J$142,8,FALSE),)</f>
        <v>0</v>
      </c>
    </row>
    <row r="282" spans="7:7" hidden="1">
      <c r="G282" s="284">
        <f>IFERROR(VLOOKUP(E282,Assign!$C$2:$J$142,8,FALSE),)</f>
        <v>0</v>
      </c>
    </row>
    <row r="283" spans="7:7" hidden="1">
      <c r="G283" s="284">
        <f>IFERROR(VLOOKUP(E283,Assign!$C$2:$J$142,8,FALSE),)</f>
        <v>0</v>
      </c>
    </row>
    <row r="284" spans="7:7" hidden="1">
      <c r="G284" s="284">
        <f>IFERROR(VLOOKUP(E284,Assign!$C$2:$J$142,8,FALSE),)</f>
        <v>0</v>
      </c>
    </row>
    <row r="285" spans="7:7" hidden="1">
      <c r="G285" s="284">
        <f>IFERROR(VLOOKUP(E285,Assign!$C$2:$J$142,8,FALSE),)</f>
        <v>0</v>
      </c>
    </row>
    <row r="286" spans="7:7" hidden="1">
      <c r="G286" s="284">
        <f>IFERROR(VLOOKUP(E286,Assign!$C$2:$J$142,8,FALSE),)</f>
        <v>0</v>
      </c>
    </row>
    <row r="287" spans="7:7" hidden="1">
      <c r="G287" s="284">
        <f>IFERROR(VLOOKUP(E287,Assign!$C$2:$J$142,8,FALSE),)</f>
        <v>0</v>
      </c>
    </row>
    <row r="288" spans="7:7" hidden="1">
      <c r="G288" s="284">
        <f>IFERROR(VLOOKUP(E288,Assign!$C$2:$J$142,8,FALSE),)</f>
        <v>0</v>
      </c>
    </row>
    <row r="289" spans="7:7" hidden="1">
      <c r="G289" s="284">
        <f>IFERROR(VLOOKUP(E289,Assign!$C$2:$J$142,8,FALSE),)</f>
        <v>0</v>
      </c>
    </row>
    <row r="290" spans="7:7" hidden="1">
      <c r="G290" s="284">
        <f>IFERROR(VLOOKUP(E290,Assign!$C$2:$J$142,8,FALSE),)</f>
        <v>0</v>
      </c>
    </row>
    <row r="291" spans="7:7" hidden="1">
      <c r="G291" s="284">
        <f>IFERROR(VLOOKUP(E291,Assign!$C$2:$J$142,8,FALSE),)</f>
        <v>0</v>
      </c>
    </row>
    <row r="292" spans="7:7" hidden="1">
      <c r="G292" s="284">
        <f>IFERROR(VLOOKUP(E292,Assign!$C$2:$J$142,8,FALSE),)</f>
        <v>0</v>
      </c>
    </row>
    <row r="293" spans="7:7" hidden="1">
      <c r="G293" s="284">
        <f>IFERROR(VLOOKUP(E293,Assign!$C$2:$J$142,8,FALSE),)</f>
        <v>0</v>
      </c>
    </row>
    <row r="294" spans="7:7" hidden="1">
      <c r="G294" s="284">
        <f>IFERROR(VLOOKUP(E294,Assign!$C$2:$J$142,8,FALSE),)</f>
        <v>0</v>
      </c>
    </row>
    <row r="295" spans="7:7" hidden="1">
      <c r="G295" s="284">
        <f>IFERROR(VLOOKUP(E295,Assign!$C$2:$J$142,8,FALSE),)</f>
        <v>0</v>
      </c>
    </row>
    <row r="296" spans="7:7" hidden="1">
      <c r="G296" s="284">
        <f>IFERROR(VLOOKUP(E296,Assign!$C$2:$J$142,8,FALSE),)</f>
        <v>0</v>
      </c>
    </row>
    <row r="297" spans="7:7" hidden="1">
      <c r="G297" s="284">
        <f>IFERROR(VLOOKUP(E297,Assign!$C$2:$J$142,8,FALSE),)</f>
        <v>0</v>
      </c>
    </row>
    <row r="298" spans="7:7" hidden="1">
      <c r="G298" s="284">
        <f>IFERROR(VLOOKUP(E298,Assign!$C$2:$J$142,8,FALSE),)</f>
        <v>0</v>
      </c>
    </row>
    <row r="299" spans="7:7" hidden="1">
      <c r="G299" s="284">
        <f>IFERROR(VLOOKUP(E299,Assign!$C$2:$J$142,8,FALSE),)</f>
        <v>0</v>
      </c>
    </row>
    <row r="300" spans="7:7" hidden="1">
      <c r="G300" s="284">
        <f>IFERROR(VLOOKUP(E300,Assign!$C$2:$J$142,8,FALSE),)</f>
        <v>0</v>
      </c>
    </row>
    <row r="301" spans="7:7" hidden="1">
      <c r="G301" s="284">
        <f>IFERROR(VLOOKUP(E301,Assign!$C$2:$J$142,8,FALSE),)</f>
        <v>0</v>
      </c>
    </row>
    <row r="302" spans="7:7" hidden="1">
      <c r="G302" s="284">
        <f>IFERROR(VLOOKUP(E302,Assign!$C$2:$J$142,8,FALSE),)</f>
        <v>0</v>
      </c>
    </row>
    <row r="303" spans="7:7" hidden="1">
      <c r="G303" s="284">
        <f>IFERROR(VLOOKUP(E303,Assign!$C$2:$J$142,8,FALSE),)</f>
        <v>0</v>
      </c>
    </row>
    <row r="304" spans="7:7" hidden="1">
      <c r="G304" s="284">
        <f>IFERROR(VLOOKUP(E304,Assign!$C$2:$J$142,8,FALSE),)</f>
        <v>0</v>
      </c>
    </row>
    <row r="305" spans="7:7" hidden="1">
      <c r="G305" s="284">
        <f>IFERROR(VLOOKUP(E305,Assign!$C$2:$J$142,8,FALSE),)</f>
        <v>0</v>
      </c>
    </row>
    <row r="306" spans="7:7" hidden="1">
      <c r="G306" s="284">
        <f>IFERROR(VLOOKUP(E306,Assign!$C$2:$J$142,8,FALSE),)</f>
        <v>0</v>
      </c>
    </row>
    <row r="307" spans="7:7" hidden="1">
      <c r="G307" s="284">
        <f>IFERROR(VLOOKUP(E307,Assign!$C$2:$J$142,8,FALSE),)</f>
        <v>0</v>
      </c>
    </row>
    <row r="308" spans="7:7" hidden="1">
      <c r="G308" s="284">
        <f>IFERROR(VLOOKUP(E308,Assign!$C$2:$J$142,8,FALSE),)</f>
        <v>0</v>
      </c>
    </row>
    <row r="309" spans="7:7" hidden="1">
      <c r="G309" s="284">
        <f>IFERROR(VLOOKUP(E309,Assign!$C$2:$J$142,8,FALSE),)</f>
        <v>0</v>
      </c>
    </row>
    <row r="310" spans="7:7" hidden="1">
      <c r="G310" s="284">
        <f>IFERROR(VLOOKUP(E310,Assign!$C$2:$J$142,8,FALSE),)</f>
        <v>0</v>
      </c>
    </row>
    <row r="311" spans="7:7" hidden="1">
      <c r="G311" s="284">
        <f>IFERROR(VLOOKUP(E311,Assign!$C$2:$J$142,8,FALSE),)</f>
        <v>0</v>
      </c>
    </row>
    <row r="312" spans="7:7" hidden="1">
      <c r="G312" s="284">
        <f>IFERROR(VLOOKUP(E312,Assign!$C$2:$J$142,8,FALSE),)</f>
        <v>0</v>
      </c>
    </row>
    <row r="313" spans="7:7" hidden="1">
      <c r="G313" s="284">
        <f>IFERROR(VLOOKUP(E313,Assign!$C$2:$J$142,8,FALSE),)</f>
        <v>0</v>
      </c>
    </row>
    <row r="314" spans="7:7" hidden="1">
      <c r="G314" s="284">
        <f>IFERROR(VLOOKUP(E314,Assign!$C$2:$J$142,8,FALSE),)</f>
        <v>0</v>
      </c>
    </row>
    <row r="315" spans="7:7" hidden="1">
      <c r="G315" s="284">
        <f>IFERROR(VLOOKUP(E315,Assign!$C$2:$J$142,8,FALSE),)</f>
        <v>0</v>
      </c>
    </row>
    <row r="316" spans="7:7" hidden="1">
      <c r="G316" s="284">
        <f>IFERROR(VLOOKUP(E316,Assign!$C$2:$J$142,8,FALSE),)</f>
        <v>0</v>
      </c>
    </row>
    <row r="317" spans="7:7" hidden="1">
      <c r="G317" s="284">
        <f>IFERROR(VLOOKUP(E317,Assign!$C$2:$J$142,8,FALSE),)</f>
        <v>0</v>
      </c>
    </row>
    <row r="318" spans="7:7" hidden="1">
      <c r="G318" s="284">
        <f>IFERROR(VLOOKUP(E318,Assign!$C$2:$J$142,8,FALSE),)</f>
        <v>0</v>
      </c>
    </row>
    <row r="319" spans="7:7" hidden="1">
      <c r="G319" s="284">
        <f>IFERROR(VLOOKUP(E319,Assign!$C$2:$J$142,8,FALSE),)</f>
        <v>0</v>
      </c>
    </row>
    <row r="320" spans="7:7" hidden="1">
      <c r="G320" s="284">
        <f>IFERROR(VLOOKUP(E320,Assign!$C$2:$J$142,8,FALSE),)</f>
        <v>0</v>
      </c>
    </row>
    <row r="321" spans="7:7" hidden="1">
      <c r="G321" s="284">
        <f>IFERROR(VLOOKUP(E321,Assign!$C$2:$J$142,8,FALSE),)</f>
        <v>0</v>
      </c>
    </row>
    <row r="322" spans="7:7" hidden="1">
      <c r="G322" s="284">
        <f>IFERROR(VLOOKUP(E322,Assign!$C$2:$J$142,8,FALSE),)</f>
        <v>0</v>
      </c>
    </row>
    <row r="323" spans="7:7" hidden="1">
      <c r="G323" s="284">
        <f>IFERROR(VLOOKUP(E323,Assign!$C$2:$J$142,8,FALSE),)</f>
        <v>0</v>
      </c>
    </row>
    <row r="324" spans="7:7" hidden="1">
      <c r="G324" s="284">
        <f>IFERROR(VLOOKUP(E324,Assign!$C$2:$J$142,8,FALSE),)</f>
        <v>0</v>
      </c>
    </row>
    <row r="325" spans="7:7" hidden="1">
      <c r="G325" s="284">
        <f>IFERROR(VLOOKUP(E325,Assign!$C$2:$J$142,8,FALSE),)</f>
        <v>0</v>
      </c>
    </row>
    <row r="326" spans="7:7" hidden="1">
      <c r="G326" s="284">
        <f>IFERROR(VLOOKUP(E326,Assign!$C$2:$J$142,8,FALSE),)</f>
        <v>0</v>
      </c>
    </row>
    <row r="327" spans="7:7" hidden="1">
      <c r="G327" s="284">
        <f>IFERROR(VLOOKUP(E327,Assign!$C$2:$J$142,8,FALSE),)</f>
        <v>0</v>
      </c>
    </row>
    <row r="328" spans="7:7" hidden="1">
      <c r="G328" s="284">
        <f>IFERROR(VLOOKUP(E328,Assign!$C$2:$J$142,8,FALSE),)</f>
        <v>0</v>
      </c>
    </row>
    <row r="329" spans="7:7" hidden="1">
      <c r="G329" s="284">
        <f>IFERROR(VLOOKUP(E329,Assign!$C$2:$J$142,8,FALSE),)</f>
        <v>0</v>
      </c>
    </row>
    <row r="330" spans="7:7" hidden="1">
      <c r="G330" s="284">
        <f>IFERROR(VLOOKUP(E330,Assign!$C$2:$J$142,8,FALSE),)</f>
        <v>0</v>
      </c>
    </row>
    <row r="331" spans="7:7" hidden="1">
      <c r="G331" s="284">
        <f>IFERROR(VLOOKUP(E331,Assign!$C$2:$J$142,8,FALSE),)</f>
        <v>0</v>
      </c>
    </row>
    <row r="332" spans="7:7" hidden="1">
      <c r="G332" s="284">
        <f>IFERROR(VLOOKUP(E332,Assign!$C$2:$J$142,8,FALSE),)</f>
        <v>0</v>
      </c>
    </row>
    <row r="333" spans="7:7" hidden="1">
      <c r="G333" s="284">
        <f>IFERROR(VLOOKUP(E333,Assign!$C$2:$J$142,8,FALSE),)</f>
        <v>0</v>
      </c>
    </row>
    <row r="334" spans="7:7" hidden="1">
      <c r="G334" s="284">
        <f>IFERROR(VLOOKUP(E334,Assign!$C$2:$J$142,8,FALSE),)</f>
        <v>0</v>
      </c>
    </row>
    <row r="335" spans="7:7" hidden="1">
      <c r="G335" s="284">
        <f>IFERROR(VLOOKUP(E335,Assign!$C$2:$J$142,8,FALSE),)</f>
        <v>0</v>
      </c>
    </row>
    <row r="336" spans="7:7" hidden="1">
      <c r="G336" s="284">
        <f>IFERROR(VLOOKUP(E336,Assign!$C$2:$J$142,8,FALSE),)</f>
        <v>0</v>
      </c>
    </row>
    <row r="337" spans="7:7" hidden="1">
      <c r="G337" s="284">
        <f>IFERROR(VLOOKUP(E337,Assign!$C$2:$J$142,8,FALSE),)</f>
        <v>0</v>
      </c>
    </row>
    <row r="338" spans="7:7" hidden="1">
      <c r="G338" s="284">
        <f>IFERROR(VLOOKUP(E338,Assign!$C$2:$J$142,8,FALSE),)</f>
        <v>0</v>
      </c>
    </row>
    <row r="339" spans="7:7" hidden="1">
      <c r="G339" s="284">
        <f>IFERROR(VLOOKUP(E339,Assign!$C$2:$J$142,8,FALSE),)</f>
        <v>0</v>
      </c>
    </row>
    <row r="340" spans="7:7" hidden="1">
      <c r="G340" s="284">
        <f>IFERROR(VLOOKUP(E340,Assign!$C$2:$J$142,8,FALSE),)</f>
        <v>0</v>
      </c>
    </row>
    <row r="341" spans="7:7" hidden="1">
      <c r="G341" s="284">
        <f>IFERROR(VLOOKUP(E341,Assign!$C$2:$J$142,8,FALSE),)</f>
        <v>0</v>
      </c>
    </row>
    <row r="342" spans="7:7" hidden="1">
      <c r="G342" s="284">
        <f>IFERROR(VLOOKUP(E342,Assign!$C$2:$J$142,8,FALSE),)</f>
        <v>0</v>
      </c>
    </row>
    <row r="343" spans="7:7" hidden="1">
      <c r="G343" s="284">
        <f>IFERROR(VLOOKUP(E343,Assign!$C$2:$J$142,8,FALSE),)</f>
        <v>0</v>
      </c>
    </row>
    <row r="344" spans="7:7" hidden="1">
      <c r="G344" s="284">
        <f>IFERROR(VLOOKUP(E344,Assign!$C$2:$J$142,8,FALSE),)</f>
        <v>0</v>
      </c>
    </row>
    <row r="345" spans="7:7" hidden="1">
      <c r="G345" s="284">
        <f>IFERROR(VLOOKUP(E345,Assign!$C$2:$J$142,8,FALSE),)</f>
        <v>0</v>
      </c>
    </row>
    <row r="346" spans="7:7" hidden="1">
      <c r="G346" s="284">
        <f>IFERROR(VLOOKUP(E346,Assign!$C$2:$J$142,8,FALSE),)</f>
        <v>0</v>
      </c>
    </row>
    <row r="347" spans="7:7" hidden="1">
      <c r="G347" s="284">
        <f>IFERROR(VLOOKUP(E347,Assign!$C$2:$J$142,8,FALSE),)</f>
        <v>0</v>
      </c>
    </row>
    <row r="348" spans="7:7" hidden="1">
      <c r="G348" s="284">
        <f>IFERROR(VLOOKUP(E348,Assign!$C$2:$J$142,8,FALSE),)</f>
        <v>0</v>
      </c>
    </row>
    <row r="349" spans="7:7" hidden="1">
      <c r="G349" s="284">
        <f>IFERROR(VLOOKUP(E349,Assign!$C$2:$J$142,8,FALSE),)</f>
        <v>0</v>
      </c>
    </row>
    <row r="350" spans="7:7" hidden="1">
      <c r="G350" s="284">
        <f>IFERROR(VLOOKUP(E350,Assign!$C$2:$J$142,8,FALSE),)</f>
        <v>0</v>
      </c>
    </row>
    <row r="351" spans="7:7" hidden="1">
      <c r="G351" s="284">
        <f>IFERROR(VLOOKUP(E351,Assign!$C$2:$J$142,8,FALSE),)</f>
        <v>0</v>
      </c>
    </row>
    <row r="352" spans="7:7" hidden="1">
      <c r="G352" s="284">
        <f>IFERROR(VLOOKUP(E352,Assign!$C$2:$J$142,8,FALSE),)</f>
        <v>0</v>
      </c>
    </row>
    <row r="353" spans="7:7" hidden="1">
      <c r="G353" s="284">
        <f>IFERROR(VLOOKUP(E353,Assign!$C$2:$J$142,8,FALSE),)</f>
        <v>0</v>
      </c>
    </row>
    <row r="354" spans="7:7" hidden="1">
      <c r="G354" s="284">
        <f>IFERROR(VLOOKUP(E354,Assign!$C$2:$J$142,8,FALSE),)</f>
        <v>0</v>
      </c>
    </row>
    <row r="355" spans="7:7" hidden="1">
      <c r="G355" s="284">
        <f>IFERROR(VLOOKUP(E355,Assign!$C$2:$J$142,8,FALSE),)</f>
        <v>0</v>
      </c>
    </row>
    <row r="356" spans="7:7" hidden="1">
      <c r="G356" s="284">
        <f>IFERROR(VLOOKUP(E356,Assign!$C$2:$J$142,8,FALSE),)</f>
        <v>0</v>
      </c>
    </row>
    <row r="357" spans="7:7" hidden="1">
      <c r="G357" s="284">
        <f>IFERROR(VLOOKUP(E357,Assign!$C$2:$J$142,8,FALSE),)</f>
        <v>0</v>
      </c>
    </row>
    <row r="358" spans="7:7" hidden="1">
      <c r="G358" s="284">
        <f>IFERROR(VLOOKUP(E358,Assign!$C$2:$J$142,8,FALSE),)</f>
        <v>0</v>
      </c>
    </row>
    <row r="359" spans="7:7" hidden="1">
      <c r="G359" s="284">
        <f>IFERROR(VLOOKUP(E359,Assign!$C$2:$J$142,8,FALSE),)</f>
        <v>0</v>
      </c>
    </row>
    <row r="360" spans="7:7" hidden="1">
      <c r="G360" s="284">
        <f>IFERROR(VLOOKUP(E360,Assign!$C$2:$J$142,8,FALSE),)</f>
        <v>0</v>
      </c>
    </row>
    <row r="361" spans="7:7" hidden="1">
      <c r="G361" s="284">
        <f>IFERROR(VLOOKUP(E361,Assign!$C$2:$J$142,8,FALSE),)</f>
        <v>0</v>
      </c>
    </row>
    <row r="362" spans="7:7" hidden="1">
      <c r="G362" s="284">
        <f>IFERROR(VLOOKUP(E362,Assign!$C$2:$J$142,8,FALSE),)</f>
        <v>0</v>
      </c>
    </row>
    <row r="363" spans="7:7" hidden="1">
      <c r="G363" s="284">
        <f>IFERROR(VLOOKUP(E363,Assign!$C$2:$J$142,8,FALSE),)</f>
        <v>0</v>
      </c>
    </row>
    <row r="364" spans="7:7" hidden="1">
      <c r="G364" s="284">
        <f>IFERROR(VLOOKUP(E364,Assign!$C$2:$J$142,8,FALSE),)</f>
        <v>0</v>
      </c>
    </row>
    <row r="365" spans="7:7" hidden="1">
      <c r="G365" s="284">
        <f>IFERROR(VLOOKUP(E365,Assign!$C$2:$J$142,8,FALSE),)</f>
        <v>0</v>
      </c>
    </row>
    <row r="366" spans="7:7" hidden="1">
      <c r="G366" s="284">
        <f>IFERROR(VLOOKUP(E366,Assign!$C$2:$J$142,8,FALSE),)</f>
        <v>0</v>
      </c>
    </row>
    <row r="367" spans="7:7" hidden="1">
      <c r="G367" s="284">
        <f>IFERROR(VLOOKUP(E367,Assign!$C$2:$J$142,8,FALSE),)</f>
        <v>0</v>
      </c>
    </row>
    <row r="368" spans="7:7" hidden="1">
      <c r="G368" s="284">
        <f>IFERROR(VLOOKUP(E368,Assign!$C$2:$J$142,8,FALSE),)</f>
        <v>0</v>
      </c>
    </row>
    <row r="369" spans="7:7" hidden="1">
      <c r="G369" s="284">
        <f>IFERROR(VLOOKUP(E369,Assign!$C$2:$J$142,8,FALSE),)</f>
        <v>0</v>
      </c>
    </row>
    <row r="370" spans="7:7" hidden="1">
      <c r="G370" s="284">
        <f>IFERROR(VLOOKUP(E370,Assign!$C$2:$J$142,8,FALSE),)</f>
        <v>0</v>
      </c>
    </row>
    <row r="371" spans="7:7" hidden="1">
      <c r="G371" s="284">
        <f>IFERROR(VLOOKUP(E371,Assign!$C$2:$J$142,8,FALSE),)</f>
        <v>0</v>
      </c>
    </row>
    <row r="372" spans="7:7" hidden="1">
      <c r="G372" s="284">
        <f>IFERROR(VLOOKUP(E372,Assign!$C$2:$J$142,8,FALSE),)</f>
        <v>0</v>
      </c>
    </row>
    <row r="373" spans="7:7" hidden="1">
      <c r="G373" s="284">
        <f>IFERROR(VLOOKUP(E373,Assign!$C$2:$J$142,8,FALSE),)</f>
        <v>0</v>
      </c>
    </row>
    <row r="374" spans="7:7" hidden="1">
      <c r="G374" s="284">
        <f>IFERROR(VLOOKUP(E374,Assign!$C$2:$J$142,8,FALSE),)</f>
        <v>0</v>
      </c>
    </row>
    <row r="375" spans="7:7" hidden="1">
      <c r="G375" s="284">
        <f>IFERROR(VLOOKUP(E375,Assign!$C$2:$J$142,8,FALSE),)</f>
        <v>0</v>
      </c>
    </row>
    <row r="376" spans="7:7" hidden="1">
      <c r="G376" s="284">
        <f>IFERROR(VLOOKUP(E376,Assign!$C$2:$J$142,8,FALSE),)</f>
        <v>0</v>
      </c>
    </row>
    <row r="377" spans="7:7" hidden="1">
      <c r="G377" s="284">
        <f>IFERROR(VLOOKUP(E377,Assign!$C$2:$J$142,8,FALSE),)</f>
        <v>0</v>
      </c>
    </row>
    <row r="378" spans="7:7" hidden="1">
      <c r="G378" s="284">
        <f>IFERROR(VLOOKUP(E378,Assign!$C$2:$J$142,8,FALSE),)</f>
        <v>0</v>
      </c>
    </row>
    <row r="379" spans="7:7" hidden="1">
      <c r="G379" s="284">
        <f>IFERROR(VLOOKUP(E379,Assign!$C$2:$J$142,8,FALSE),)</f>
        <v>0</v>
      </c>
    </row>
    <row r="380" spans="7:7" hidden="1">
      <c r="G380" s="284">
        <f>IFERROR(VLOOKUP(E380,Assign!$C$2:$J$142,8,FALSE),)</f>
        <v>0</v>
      </c>
    </row>
    <row r="381" spans="7:7" hidden="1">
      <c r="G381" s="284">
        <f>IFERROR(VLOOKUP(E381,Assign!$C$2:$J$142,8,FALSE),)</f>
        <v>0</v>
      </c>
    </row>
    <row r="382" spans="7:7" hidden="1">
      <c r="G382" s="284">
        <f>IFERROR(VLOOKUP(E382,Assign!$C$2:$J$142,8,FALSE),)</f>
        <v>0</v>
      </c>
    </row>
    <row r="383" spans="7:7" hidden="1">
      <c r="G383" s="284">
        <f>IFERROR(VLOOKUP(E383,Assign!$C$2:$J$142,8,FALSE),)</f>
        <v>0</v>
      </c>
    </row>
    <row r="384" spans="7:7" hidden="1">
      <c r="G384" s="284">
        <f>IFERROR(VLOOKUP(E384,Assign!$C$2:$J$142,8,FALSE),)</f>
        <v>0</v>
      </c>
    </row>
    <row r="385" spans="7:7" hidden="1">
      <c r="G385" s="284">
        <f>IFERROR(VLOOKUP(E385,Assign!$C$2:$J$142,8,FALSE),)</f>
        <v>0</v>
      </c>
    </row>
    <row r="386" spans="7:7" hidden="1">
      <c r="G386" s="284">
        <f>IFERROR(VLOOKUP(E386,Assign!$C$2:$J$142,8,FALSE),)</f>
        <v>0</v>
      </c>
    </row>
    <row r="387" spans="7:7" hidden="1">
      <c r="G387" s="284">
        <f>IFERROR(VLOOKUP(E387,Assign!$C$2:$J$142,8,FALSE),)</f>
        <v>0</v>
      </c>
    </row>
    <row r="388" spans="7:7" hidden="1">
      <c r="G388" s="284">
        <f>IFERROR(VLOOKUP(E388,Assign!$C$2:$J$142,8,FALSE),)</f>
        <v>0</v>
      </c>
    </row>
    <row r="389" spans="7:7" hidden="1">
      <c r="G389" s="284">
        <f>IFERROR(VLOOKUP(E389,Assign!$C$2:$J$142,8,FALSE),)</f>
        <v>0</v>
      </c>
    </row>
    <row r="390" spans="7:7" hidden="1">
      <c r="G390" s="284">
        <f>IFERROR(VLOOKUP(E390,Assign!$C$2:$J$142,8,FALSE),)</f>
        <v>0</v>
      </c>
    </row>
    <row r="391" spans="7:7" hidden="1">
      <c r="G391" s="284">
        <f>IFERROR(VLOOKUP(E391,Assign!$C$2:$J$142,8,FALSE),)</f>
        <v>0</v>
      </c>
    </row>
    <row r="392" spans="7:7" hidden="1">
      <c r="G392" s="284">
        <f>IFERROR(VLOOKUP(E392,Assign!$C$2:$J$142,8,FALSE),)</f>
        <v>0</v>
      </c>
    </row>
    <row r="393" spans="7:7" hidden="1">
      <c r="G393" s="284">
        <f>IFERROR(VLOOKUP(E393,Assign!$C$2:$J$142,8,FALSE),)</f>
        <v>0</v>
      </c>
    </row>
    <row r="394" spans="7:7" hidden="1">
      <c r="G394" s="284">
        <f>IFERROR(VLOOKUP(E394,Assign!$C$2:$J$142,8,FALSE),)</f>
        <v>0</v>
      </c>
    </row>
    <row r="395" spans="7:7" hidden="1">
      <c r="G395" s="284">
        <f>IFERROR(VLOOKUP(E395,Assign!$C$2:$J$142,8,FALSE),)</f>
        <v>0</v>
      </c>
    </row>
    <row r="396" spans="7:7" hidden="1">
      <c r="G396" s="284">
        <f>IFERROR(VLOOKUP(E396,Assign!$C$2:$J$142,8,FALSE),)</f>
        <v>0</v>
      </c>
    </row>
    <row r="397" spans="7:7" hidden="1">
      <c r="G397" s="284">
        <f>IFERROR(VLOOKUP(E397,Assign!$C$2:$J$142,8,FALSE),)</f>
        <v>0</v>
      </c>
    </row>
    <row r="398" spans="7:7" hidden="1">
      <c r="G398" s="284">
        <f>IFERROR(VLOOKUP(E398,Assign!$C$2:$J$142,8,FALSE),)</f>
        <v>0</v>
      </c>
    </row>
    <row r="399" spans="7:7" hidden="1">
      <c r="G399" s="284">
        <f>IFERROR(VLOOKUP(E399,Assign!$C$2:$J$142,8,FALSE),)</f>
        <v>0</v>
      </c>
    </row>
    <row r="400" spans="7:7" hidden="1">
      <c r="G400" s="284">
        <f>IFERROR(VLOOKUP(E400,Assign!$C$2:$J$142,8,FALSE),)</f>
        <v>0</v>
      </c>
    </row>
    <row r="401" spans="7:7" hidden="1">
      <c r="G401" s="284">
        <f>IFERROR(VLOOKUP(E401,Assign!$C$2:$J$142,8,FALSE),)</f>
        <v>0</v>
      </c>
    </row>
    <row r="402" spans="7:7" hidden="1">
      <c r="G402" s="284">
        <f>IFERROR(VLOOKUP(E402,Assign!$C$2:$J$142,8,FALSE),)</f>
        <v>0</v>
      </c>
    </row>
    <row r="403" spans="7:7" hidden="1">
      <c r="G403" s="284">
        <f>IFERROR(VLOOKUP(E403,Assign!$C$2:$J$142,8,FALSE),)</f>
        <v>0</v>
      </c>
    </row>
    <row r="404" spans="7:7" hidden="1">
      <c r="G404" s="284">
        <f>IFERROR(VLOOKUP(E404,Assign!$C$2:$J$142,8,FALSE),)</f>
        <v>0</v>
      </c>
    </row>
    <row r="405" spans="7:7" hidden="1">
      <c r="G405" s="284">
        <f>IFERROR(VLOOKUP(E405,Assign!$C$2:$J$142,8,FALSE),)</f>
        <v>0</v>
      </c>
    </row>
    <row r="406" spans="7:7" hidden="1">
      <c r="G406" s="284">
        <f>IFERROR(VLOOKUP(E406,Assign!$C$2:$J$142,8,FALSE),)</f>
        <v>0</v>
      </c>
    </row>
    <row r="407" spans="7:7" hidden="1">
      <c r="G407" s="284">
        <f>IFERROR(VLOOKUP(E407,Assign!$C$2:$J$142,8,FALSE),)</f>
        <v>0</v>
      </c>
    </row>
    <row r="408" spans="7:7" hidden="1">
      <c r="G408" s="284">
        <f>IFERROR(VLOOKUP(E408,Assign!$C$2:$J$142,8,FALSE),)</f>
        <v>0</v>
      </c>
    </row>
    <row r="409" spans="7:7" hidden="1">
      <c r="G409" s="284">
        <f>IFERROR(VLOOKUP(E409,Assign!$C$2:$J$142,8,FALSE),)</f>
        <v>0</v>
      </c>
    </row>
    <row r="410" spans="7:7" hidden="1">
      <c r="G410" s="284">
        <f>IFERROR(VLOOKUP(E410,Assign!$C$2:$J$142,8,FALSE),)</f>
        <v>0</v>
      </c>
    </row>
    <row r="411" spans="7:7" hidden="1">
      <c r="G411" s="284">
        <f>IFERROR(VLOOKUP(E411,Assign!$C$2:$J$142,8,FALSE),)</f>
        <v>0</v>
      </c>
    </row>
    <row r="412" spans="7:7" hidden="1">
      <c r="G412" s="284">
        <f>IFERROR(VLOOKUP(E412,Assign!$C$2:$J$142,8,FALSE),)</f>
        <v>0</v>
      </c>
    </row>
    <row r="413" spans="7:7" hidden="1">
      <c r="G413" s="284">
        <f>IFERROR(VLOOKUP(E413,Assign!$C$2:$J$142,8,FALSE),)</f>
        <v>0</v>
      </c>
    </row>
    <row r="414" spans="7:7" hidden="1">
      <c r="G414" s="284">
        <f>IFERROR(VLOOKUP(E414,Assign!$C$2:$J$142,8,FALSE),)</f>
        <v>0</v>
      </c>
    </row>
    <row r="415" spans="7:7" hidden="1">
      <c r="G415" s="284">
        <f>IFERROR(VLOOKUP(E415,Assign!$C$2:$J$142,8,FALSE),)</f>
        <v>0</v>
      </c>
    </row>
    <row r="416" spans="7:7" hidden="1">
      <c r="G416" s="284">
        <f>IFERROR(VLOOKUP(E416,Assign!$C$2:$J$142,8,FALSE),)</f>
        <v>0</v>
      </c>
    </row>
    <row r="417" spans="7:7" hidden="1">
      <c r="G417" s="284">
        <f>IFERROR(VLOOKUP(E417,Assign!$C$2:$J$142,8,FALSE),)</f>
        <v>0</v>
      </c>
    </row>
    <row r="418" spans="7:7" hidden="1">
      <c r="G418" s="284">
        <f>IFERROR(VLOOKUP(E418,Assign!$C$2:$J$142,8,FALSE),)</f>
        <v>0</v>
      </c>
    </row>
    <row r="419" spans="7:7" hidden="1">
      <c r="G419" s="284">
        <f>IFERROR(VLOOKUP(E419,Assign!$C$2:$J$142,8,FALSE),)</f>
        <v>0</v>
      </c>
    </row>
    <row r="420" spans="7:7" hidden="1">
      <c r="G420" s="284">
        <f>IFERROR(VLOOKUP(E420,Assign!$C$2:$J$142,8,FALSE),)</f>
        <v>0</v>
      </c>
    </row>
    <row r="421" spans="7:7" hidden="1">
      <c r="G421" s="284">
        <f>IFERROR(VLOOKUP(E421,Assign!$C$2:$J$142,8,FALSE),)</f>
        <v>0</v>
      </c>
    </row>
    <row r="422" spans="7:7" hidden="1">
      <c r="G422" s="284">
        <f>IFERROR(VLOOKUP(E422,Assign!$C$2:$J$142,8,FALSE),)</f>
        <v>0</v>
      </c>
    </row>
    <row r="423" spans="7:7" hidden="1">
      <c r="G423" s="284">
        <f>IFERROR(VLOOKUP(E423,Assign!$C$2:$J$142,8,FALSE),)</f>
        <v>0</v>
      </c>
    </row>
    <row r="424" spans="7:7" hidden="1">
      <c r="G424" s="284">
        <f>IFERROR(VLOOKUP(E424,Assign!$C$2:$J$142,8,FALSE),)</f>
        <v>0</v>
      </c>
    </row>
    <row r="425" spans="7:7" hidden="1">
      <c r="G425" s="284">
        <f>IFERROR(VLOOKUP(E425,Assign!$C$2:$J$142,8,FALSE),)</f>
        <v>0</v>
      </c>
    </row>
    <row r="426" spans="7:7" hidden="1">
      <c r="G426" s="284">
        <f>IFERROR(VLOOKUP(E426,Assign!$C$2:$J$142,8,FALSE),)</f>
        <v>0</v>
      </c>
    </row>
    <row r="427" spans="7:7" hidden="1">
      <c r="G427" s="284">
        <f>IFERROR(VLOOKUP(E427,Assign!$C$2:$J$142,8,FALSE),)</f>
        <v>0</v>
      </c>
    </row>
    <row r="428" spans="7:7" hidden="1">
      <c r="G428" s="284">
        <f>IFERROR(VLOOKUP(E428,Assign!$C$2:$J$142,8,FALSE),)</f>
        <v>0</v>
      </c>
    </row>
    <row r="429" spans="7:7" hidden="1">
      <c r="G429" s="284">
        <f>IFERROR(VLOOKUP(E429,Assign!$C$2:$J$142,8,FALSE),)</f>
        <v>0</v>
      </c>
    </row>
    <row r="430" spans="7:7" hidden="1">
      <c r="G430" s="284">
        <f>IFERROR(VLOOKUP(E430,Assign!$C$2:$J$142,8,FALSE),)</f>
        <v>0</v>
      </c>
    </row>
    <row r="431" spans="7:7" hidden="1">
      <c r="G431" s="284">
        <f>IFERROR(VLOOKUP(E431,Assign!$C$2:$J$142,8,FALSE),)</f>
        <v>0</v>
      </c>
    </row>
    <row r="432" spans="7:7" hidden="1">
      <c r="G432" s="284">
        <f>IFERROR(VLOOKUP(E432,Assign!$C$2:$J$142,8,FALSE),)</f>
        <v>0</v>
      </c>
    </row>
    <row r="433" spans="7:7" hidden="1">
      <c r="G433" s="284">
        <f>IFERROR(VLOOKUP(E433,Assign!$C$2:$J$142,8,FALSE),)</f>
        <v>0</v>
      </c>
    </row>
    <row r="434" spans="7:7" hidden="1">
      <c r="G434" s="284">
        <f>IFERROR(VLOOKUP(E434,Assign!$C$2:$J$142,8,FALSE),)</f>
        <v>0</v>
      </c>
    </row>
    <row r="435" spans="7:7" hidden="1">
      <c r="G435" s="284">
        <f>IFERROR(VLOOKUP(E435,Assign!$C$2:$J$142,8,FALSE),)</f>
        <v>0</v>
      </c>
    </row>
    <row r="436" spans="7:7" hidden="1">
      <c r="G436" s="284">
        <f>IFERROR(VLOOKUP(E436,Assign!$C$2:$J$142,8,FALSE),)</f>
        <v>0</v>
      </c>
    </row>
    <row r="437" spans="7:7" hidden="1">
      <c r="G437" s="284">
        <f>IFERROR(VLOOKUP(E437,Assign!$C$2:$J$142,8,FALSE),)</f>
        <v>0</v>
      </c>
    </row>
    <row r="438" spans="7:7" hidden="1">
      <c r="G438" s="284">
        <f>IFERROR(VLOOKUP(E438,Assign!$C$2:$J$142,8,FALSE),)</f>
        <v>0</v>
      </c>
    </row>
    <row r="439" spans="7:7" hidden="1">
      <c r="G439" s="284">
        <f>IFERROR(VLOOKUP(E439,Assign!$C$2:$J$142,8,FALSE),)</f>
        <v>0</v>
      </c>
    </row>
    <row r="440" spans="7:7" hidden="1">
      <c r="G440" s="284">
        <f>IFERROR(VLOOKUP(E440,Assign!$C$2:$J$142,8,FALSE),)</f>
        <v>0</v>
      </c>
    </row>
    <row r="441" spans="7:7" hidden="1">
      <c r="G441" s="284">
        <f>IFERROR(VLOOKUP(E441,Assign!$C$2:$J$142,8,FALSE),)</f>
        <v>0</v>
      </c>
    </row>
    <row r="442" spans="7:7" hidden="1">
      <c r="G442" s="284">
        <f>IFERROR(VLOOKUP(E442,Assign!$C$2:$J$142,8,FALSE),)</f>
        <v>0</v>
      </c>
    </row>
    <row r="443" spans="7:7" hidden="1">
      <c r="G443" s="284">
        <f>IFERROR(VLOOKUP(E443,Assign!$C$2:$J$142,8,FALSE),)</f>
        <v>0</v>
      </c>
    </row>
    <row r="444" spans="7:7" hidden="1">
      <c r="G444" s="284">
        <f>IFERROR(VLOOKUP(E444,Assign!$C$2:$J$142,8,FALSE),)</f>
        <v>0</v>
      </c>
    </row>
    <row r="445" spans="7:7" hidden="1">
      <c r="G445" s="284">
        <f>IFERROR(VLOOKUP(E445,Assign!$C$2:$J$142,8,FALSE),)</f>
        <v>0</v>
      </c>
    </row>
    <row r="446" spans="7:7" hidden="1">
      <c r="G446" s="284">
        <f>IFERROR(VLOOKUP(E446,Assign!$C$2:$J$142,8,FALSE),)</f>
        <v>0</v>
      </c>
    </row>
    <row r="447" spans="7:7" hidden="1">
      <c r="G447" s="284">
        <f>IFERROR(VLOOKUP(E447,Assign!$C$2:$J$142,8,FALSE),)</f>
        <v>0</v>
      </c>
    </row>
    <row r="448" spans="7:7" hidden="1">
      <c r="G448" s="284">
        <f>IFERROR(VLOOKUP(E448,Assign!$C$2:$J$142,8,FALSE),)</f>
        <v>0</v>
      </c>
    </row>
    <row r="449" spans="7:7" hidden="1">
      <c r="G449" s="284">
        <f>IFERROR(VLOOKUP(E449,Assign!$C$2:$J$142,8,FALSE),)</f>
        <v>0</v>
      </c>
    </row>
    <row r="450" spans="7:7" hidden="1">
      <c r="G450" s="284">
        <f>IFERROR(VLOOKUP(E450,Assign!$C$2:$J$142,8,FALSE),)</f>
        <v>0</v>
      </c>
    </row>
    <row r="451" spans="7:7" hidden="1">
      <c r="G451" s="284">
        <f>IFERROR(VLOOKUP(E451,Assign!$C$2:$J$142,8,FALSE),)</f>
        <v>0</v>
      </c>
    </row>
    <row r="452" spans="7:7" hidden="1">
      <c r="G452" s="284">
        <f>IFERROR(VLOOKUP(E452,Assign!$C$2:$J$142,8,FALSE),)</f>
        <v>0</v>
      </c>
    </row>
    <row r="453" spans="7:7" hidden="1">
      <c r="G453" s="284">
        <f>IFERROR(VLOOKUP(E453,Assign!$C$2:$J$142,8,FALSE),)</f>
        <v>0</v>
      </c>
    </row>
    <row r="454" spans="7:7" hidden="1">
      <c r="G454" s="284">
        <f>IFERROR(VLOOKUP(E454,Assign!$C$2:$J$142,8,FALSE),)</f>
        <v>0</v>
      </c>
    </row>
    <row r="455" spans="7:7" hidden="1">
      <c r="G455" s="284">
        <f>IFERROR(VLOOKUP(E455,Assign!$C$2:$J$142,8,FALSE),)</f>
        <v>0</v>
      </c>
    </row>
    <row r="456" spans="7:7" hidden="1">
      <c r="G456" s="284">
        <f>IFERROR(VLOOKUP(E456,Assign!$C$2:$J$142,8,FALSE),)</f>
        <v>0</v>
      </c>
    </row>
    <row r="457" spans="7:7" hidden="1">
      <c r="G457" s="284">
        <f>IFERROR(VLOOKUP(E457,Assign!$C$2:$J$142,8,FALSE),)</f>
        <v>0</v>
      </c>
    </row>
    <row r="458" spans="7:7" hidden="1">
      <c r="G458" s="284">
        <f>IFERROR(VLOOKUP(E458,Assign!$C$2:$J$142,8,FALSE),)</f>
        <v>0</v>
      </c>
    </row>
    <row r="459" spans="7:7" hidden="1">
      <c r="G459" s="284">
        <f>IFERROR(VLOOKUP(E459,Assign!$C$2:$J$142,8,FALSE),)</f>
        <v>0</v>
      </c>
    </row>
    <row r="460" spans="7:7" hidden="1">
      <c r="G460" s="284">
        <f>IFERROR(VLOOKUP(E460,Assign!$C$2:$J$142,8,FALSE),)</f>
        <v>0</v>
      </c>
    </row>
    <row r="461" spans="7:7" hidden="1">
      <c r="G461" s="284">
        <f>IFERROR(VLOOKUP(E461,Assign!$C$2:$J$142,8,FALSE),)</f>
        <v>0</v>
      </c>
    </row>
    <row r="462" spans="7:7" hidden="1">
      <c r="G462" s="284">
        <f>IFERROR(VLOOKUP(E462,Assign!$C$2:$J$142,8,FALSE),)</f>
        <v>0</v>
      </c>
    </row>
    <row r="463" spans="7:7" hidden="1">
      <c r="G463" s="284">
        <f>IFERROR(VLOOKUP(E463,Assign!$C$2:$J$142,8,FALSE),)</f>
        <v>0</v>
      </c>
    </row>
    <row r="464" spans="7:7" hidden="1">
      <c r="G464" s="284">
        <f>IFERROR(VLOOKUP(E464,Assign!$C$2:$J$142,8,FALSE),)</f>
        <v>0</v>
      </c>
    </row>
    <row r="465" spans="7:7" hidden="1">
      <c r="G465" s="284">
        <f>IFERROR(VLOOKUP(E465,Assign!$C$2:$J$142,8,FALSE),)</f>
        <v>0</v>
      </c>
    </row>
    <row r="466" spans="7:7" hidden="1">
      <c r="G466" s="284">
        <f>IFERROR(VLOOKUP(E466,Assign!$C$2:$J$142,8,FALSE),)</f>
        <v>0</v>
      </c>
    </row>
    <row r="467" spans="7:7" hidden="1">
      <c r="G467" s="284">
        <f>IFERROR(VLOOKUP(E467,Assign!$C$2:$J$142,8,FALSE),)</f>
        <v>0</v>
      </c>
    </row>
    <row r="468" spans="7:7" hidden="1">
      <c r="G468" s="284">
        <f>IFERROR(VLOOKUP(E468,Assign!$C$2:$J$142,8,FALSE),)</f>
        <v>0</v>
      </c>
    </row>
    <row r="469" spans="7:7" hidden="1">
      <c r="G469" s="284">
        <f>IFERROR(VLOOKUP(E469,Assign!$C$2:$J$142,8,FALSE),)</f>
        <v>0</v>
      </c>
    </row>
    <row r="470" spans="7:7" hidden="1">
      <c r="G470" s="284">
        <f>IFERROR(VLOOKUP(E470,Assign!$C$2:$J$142,8,FALSE),)</f>
        <v>0</v>
      </c>
    </row>
    <row r="471" spans="7:7" hidden="1">
      <c r="G471" s="284">
        <f>IFERROR(VLOOKUP(E471,Assign!$C$2:$J$142,8,FALSE),)</f>
        <v>0</v>
      </c>
    </row>
    <row r="472" spans="7:7" hidden="1">
      <c r="G472" s="284">
        <f>IFERROR(VLOOKUP(E472,Assign!$C$2:$J$142,8,FALSE),)</f>
        <v>0</v>
      </c>
    </row>
    <row r="473" spans="7:7" hidden="1">
      <c r="G473" s="284">
        <f>IFERROR(VLOOKUP(E473,Assign!$C$2:$J$142,8,FALSE),)</f>
        <v>0</v>
      </c>
    </row>
    <row r="474" spans="7:7" hidden="1">
      <c r="G474" s="284">
        <f>IFERROR(VLOOKUP(E474,Assign!$C$2:$J$142,8,FALSE),)</f>
        <v>0</v>
      </c>
    </row>
    <row r="475" spans="7:7" hidden="1">
      <c r="G475" s="284">
        <f>IFERROR(VLOOKUP(E475,Assign!$C$2:$J$142,8,FALSE),)</f>
        <v>0</v>
      </c>
    </row>
    <row r="476" spans="7:7" hidden="1">
      <c r="G476" s="284">
        <f>IFERROR(VLOOKUP(E476,Assign!$C$2:$J$142,8,FALSE),)</f>
        <v>0</v>
      </c>
    </row>
    <row r="477" spans="7:7" hidden="1">
      <c r="G477" s="284">
        <f>IFERROR(VLOOKUP(E477,Assign!$C$2:$J$142,8,FALSE),)</f>
        <v>0</v>
      </c>
    </row>
    <row r="478" spans="7:7" hidden="1">
      <c r="G478" s="284">
        <f>IFERROR(VLOOKUP(E478,Assign!$C$2:$J$142,8,FALSE),)</f>
        <v>0</v>
      </c>
    </row>
    <row r="479" spans="7:7" hidden="1">
      <c r="G479" s="284">
        <f>IFERROR(VLOOKUP(E479,Assign!$C$2:$J$142,8,FALSE),)</f>
        <v>0</v>
      </c>
    </row>
    <row r="480" spans="7:7" hidden="1">
      <c r="G480" s="284">
        <f>IFERROR(VLOOKUP(E480,Assign!$C$2:$J$142,8,FALSE),)</f>
        <v>0</v>
      </c>
    </row>
    <row r="481" spans="7:7" hidden="1">
      <c r="G481" s="284">
        <f>IFERROR(VLOOKUP(E481,Assign!$C$2:$J$142,8,FALSE),)</f>
        <v>0</v>
      </c>
    </row>
    <row r="482" spans="7:7" hidden="1">
      <c r="G482" s="284">
        <f>IFERROR(VLOOKUP(E482,Assign!$C$2:$J$142,8,FALSE),)</f>
        <v>0</v>
      </c>
    </row>
    <row r="483" spans="7:7" hidden="1">
      <c r="G483" s="284">
        <f>IFERROR(VLOOKUP(E483,Assign!$C$2:$J$142,8,FALSE),)</f>
        <v>0</v>
      </c>
    </row>
    <row r="484" spans="7:7" hidden="1">
      <c r="G484" s="284">
        <f>IFERROR(VLOOKUP(E484,Assign!$C$2:$J$142,8,FALSE),)</f>
        <v>0</v>
      </c>
    </row>
    <row r="485" spans="7:7" hidden="1">
      <c r="G485" s="284">
        <f>IFERROR(VLOOKUP(E485,Assign!$C$2:$J$142,8,FALSE),)</f>
        <v>0</v>
      </c>
    </row>
    <row r="486" spans="7:7" hidden="1">
      <c r="G486" s="284">
        <f>IFERROR(VLOOKUP(E486,Assign!$C$2:$J$142,8,FALSE),)</f>
        <v>0</v>
      </c>
    </row>
    <row r="487" spans="7:7" hidden="1">
      <c r="G487" s="284">
        <f>IFERROR(VLOOKUP(E487,Assign!$C$2:$J$142,8,FALSE),)</f>
        <v>0</v>
      </c>
    </row>
    <row r="488" spans="7:7" hidden="1">
      <c r="G488" s="284">
        <f>IFERROR(VLOOKUP(E488,Assign!$C$2:$J$142,8,FALSE),)</f>
        <v>0</v>
      </c>
    </row>
    <row r="489" spans="7:7" hidden="1">
      <c r="G489" s="284">
        <f>IFERROR(VLOOKUP(E489,Assign!$C$2:$J$142,8,FALSE),)</f>
        <v>0</v>
      </c>
    </row>
    <row r="490" spans="7:7" hidden="1">
      <c r="G490" s="284">
        <f>IFERROR(VLOOKUP(E490,Assign!$C$2:$J$142,8,FALSE),)</f>
        <v>0</v>
      </c>
    </row>
    <row r="491" spans="7:7" hidden="1">
      <c r="G491" s="284">
        <f>IFERROR(VLOOKUP(E491,Assign!$C$2:$J$142,8,FALSE),)</f>
        <v>0</v>
      </c>
    </row>
    <row r="492" spans="7:7" hidden="1">
      <c r="G492" s="284">
        <f>IFERROR(VLOOKUP(E492,Assign!$C$2:$J$142,8,FALSE),)</f>
        <v>0</v>
      </c>
    </row>
    <row r="493" spans="7:7" hidden="1">
      <c r="G493" s="284">
        <f>IFERROR(VLOOKUP(E493,Assign!$C$2:$J$142,8,FALSE),)</f>
        <v>0</v>
      </c>
    </row>
    <row r="494" spans="7:7" hidden="1">
      <c r="G494" s="284">
        <f>IFERROR(VLOOKUP(E494,Assign!$C$2:$J$142,8,FALSE),)</f>
        <v>0</v>
      </c>
    </row>
    <row r="495" spans="7:7" hidden="1">
      <c r="G495" s="284">
        <f>IFERROR(VLOOKUP(E495,Assign!$C$2:$J$142,8,FALSE),)</f>
        <v>0</v>
      </c>
    </row>
    <row r="496" spans="7:7" hidden="1">
      <c r="G496" s="284">
        <f>IFERROR(VLOOKUP(E496,Assign!$C$2:$J$142,8,FALSE),)</f>
        <v>0</v>
      </c>
    </row>
    <row r="497" spans="7:7" hidden="1">
      <c r="G497" s="284">
        <f>IFERROR(VLOOKUP(E497,Assign!$C$2:$J$142,8,FALSE),)</f>
        <v>0</v>
      </c>
    </row>
    <row r="498" spans="7:7" hidden="1">
      <c r="G498" s="284">
        <f>IFERROR(VLOOKUP(E498,Assign!$C$2:$J$142,8,FALSE),)</f>
        <v>0</v>
      </c>
    </row>
    <row r="499" spans="7:7" hidden="1">
      <c r="G499" s="284">
        <f>IFERROR(VLOOKUP(E499,Assign!$C$2:$J$142,8,FALSE),)</f>
        <v>0</v>
      </c>
    </row>
    <row r="500" spans="7:7" hidden="1">
      <c r="G500" s="284">
        <f>IFERROR(VLOOKUP(E500,Assign!$C$2:$J$142,8,FALSE),)</f>
        <v>0</v>
      </c>
    </row>
    <row r="501" spans="7:7" hidden="1">
      <c r="G501" s="284">
        <f>IFERROR(VLOOKUP(E501,Assign!$C$2:$J$142,8,FALSE),)</f>
        <v>0</v>
      </c>
    </row>
    <row r="502" spans="7:7" hidden="1">
      <c r="G502" s="284">
        <f>IFERROR(VLOOKUP(E502,Assign!$C$2:$J$142,8,FALSE),)</f>
        <v>0</v>
      </c>
    </row>
    <row r="503" spans="7:7" hidden="1">
      <c r="G503" s="284">
        <f>IFERROR(VLOOKUP(E503,Assign!$C$2:$J$142,8,FALSE),)</f>
        <v>0</v>
      </c>
    </row>
    <row r="504" spans="7:7" hidden="1">
      <c r="G504" s="284">
        <f>IFERROR(VLOOKUP(E504,Assign!$C$2:$J$142,8,FALSE),)</f>
        <v>0</v>
      </c>
    </row>
    <row r="505" spans="7:7" hidden="1">
      <c r="G505" s="284">
        <f>IFERROR(VLOOKUP(E505,Assign!$C$2:$J$142,8,FALSE),)</f>
        <v>0</v>
      </c>
    </row>
    <row r="506" spans="7:7" hidden="1">
      <c r="G506" s="284">
        <f>IFERROR(VLOOKUP(E506,Assign!$C$2:$J$142,8,FALSE),)</f>
        <v>0</v>
      </c>
    </row>
    <row r="507" spans="7:7" hidden="1">
      <c r="G507" s="284">
        <f>IFERROR(VLOOKUP(E507,Assign!$C$2:$J$142,8,FALSE),)</f>
        <v>0</v>
      </c>
    </row>
    <row r="508" spans="7:7" hidden="1">
      <c r="G508" s="284">
        <f>IFERROR(VLOOKUP(E508,Assign!$C$2:$J$142,8,FALSE),)</f>
        <v>0</v>
      </c>
    </row>
    <row r="509" spans="7:7" hidden="1">
      <c r="G509" s="284">
        <f>IFERROR(VLOOKUP(E509,Assign!$C$2:$J$142,8,FALSE),)</f>
        <v>0</v>
      </c>
    </row>
    <row r="510" spans="7:7" hidden="1">
      <c r="G510" s="284">
        <f>IFERROR(VLOOKUP(E510,Assign!$C$2:$J$142,8,FALSE),)</f>
        <v>0</v>
      </c>
    </row>
    <row r="511" spans="7:7" hidden="1">
      <c r="G511" s="284">
        <f>IFERROR(VLOOKUP(E511,Assign!$C$2:$J$142,8,FALSE),)</f>
        <v>0</v>
      </c>
    </row>
    <row r="512" spans="7:7" hidden="1">
      <c r="G512" s="284">
        <f>IFERROR(VLOOKUP(E512,Assign!$C$2:$J$142,8,FALSE),)</f>
        <v>0</v>
      </c>
    </row>
    <row r="513" spans="7:7" hidden="1">
      <c r="G513" s="284">
        <f>IFERROR(VLOOKUP(E513,Assign!$C$2:$J$142,8,FALSE),)</f>
        <v>0</v>
      </c>
    </row>
    <row r="514" spans="7:7" hidden="1">
      <c r="G514" s="284">
        <f>IFERROR(VLOOKUP(E514,Assign!$C$2:$J$142,8,FALSE),)</f>
        <v>0</v>
      </c>
    </row>
    <row r="515" spans="7:7" hidden="1">
      <c r="G515" s="284">
        <f>IFERROR(VLOOKUP(E515,Assign!$C$2:$J$142,8,FALSE),)</f>
        <v>0</v>
      </c>
    </row>
    <row r="516" spans="7:7" hidden="1">
      <c r="G516" s="284">
        <f>IFERROR(VLOOKUP(E516,Assign!$C$2:$J$142,8,FALSE),)</f>
        <v>0</v>
      </c>
    </row>
    <row r="517" spans="7:7" hidden="1">
      <c r="G517" s="284">
        <f>IFERROR(VLOOKUP(E517,Assign!$C$2:$J$142,8,FALSE),)</f>
        <v>0</v>
      </c>
    </row>
    <row r="518" spans="7:7" hidden="1">
      <c r="G518" s="284">
        <f>IFERROR(VLOOKUP(E518,Assign!$C$2:$J$142,8,FALSE),)</f>
        <v>0</v>
      </c>
    </row>
    <row r="519" spans="7:7" hidden="1">
      <c r="G519" s="284">
        <f>IFERROR(VLOOKUP(E519,Assign!$C$2:$J$142,8,FALSE),)</f>
        <v>0</v>
      </c>
    </row>
    <row r="520" spans="7:7" hidden="1">
      <c r="G520" s="284">
        <f>IFERROR(VLOOKUP(E520,Assign!$C$2:$J$142,8,FALSE),)</f>
        <v>0</v>
      </c>
    </row>
    <row r="521" spans="7:7" hidden="1">
      <c r="G521" s="284">
        <f>IFERROR(VLOOKUP(E521,Assign!$C$2:$J$142,8,FALSE),)</f>
        <v>0</v>
      </c>
    </row>
    <row r="522" spans="7:7" hidden="1">
      <c r="G522" s="284">
        <f>IFERROR(VLOOKUP(E522,Assign!$C$2:$J$142,8,FALSE),)</f>
        <v>0</v>
      </c>
    </row>
    <row r="523" spans="7:7" hidden="1">
      <c r="G523" s="284">
        <f>IFERROR(VLOOKUP(E523,Assign!$C$2:$J$142,8,FALSE),)</f>
        <v>0</v>
      </c>
    </row>
    <row r="524" spans="7:7" hidden="1">
      <c r="G524" s="284">
        <f>IFERROR(VLOOKUP(E524,Assign!$C$2:$J$142,8,FALSE),)</f>
        <v>0</v>
      </c>
    </row>
    <row r="525" spans="7:7" hidden="1">
      <c r="G525" s="284">
        <f>IFERROR(VLOOKUP(E525,Assign!$C$2:$J$142,8,FALSE),)</f>
        <v>0</v>
      </c>
    </row>
    <row r="526" spans="7:7" hidden="1">
      <c r="G526" s="284">
        <f>IFERROR(VLOOKUP(E526,Assign!$C$2:$J$142,8,FALSE),)</f>
        <v>0</v>
      </c>
    </row>
    <row r="527" spans="7:7" hidden="1">
      <c r="G527" s="284">
        <f>IFERROR(VLOOKUP(E527,Assign!$C$2:$J$142,8,FALSE),)</f>
        <v>0</v>
      </c>
    </row>
    <row r="528" spans="7:7" hidden="1">
      <c r="G528" s="284">
        <f>IFERROR(VLOOKUP(E528,Assign!$C$2:$J$142,8,FALSE),)</f>
        <v>0</v>
      </c>
    </row>
    <row r="529" spans="7:7" hidden="1">
      <c r="G529" s="284">
        <f>IFERROR(VLOOKUP(E529,Assign!$C$2:$J$142,8,FALSE),)</f>
        <v>0</v>
      </c>
    </row>
    <row r="530" spans="7:7" hidden="1">
      <c r="G530" s="284">
        <f>IFERROR(VLOOKUP(E530,Assign!$C$2:$J$142,8,FALSE),)</f>
        <v>0</v>
      </c>
    </row>
    <row r="531" spans="7:7" hidden="1">
      <c r="G531" s="284">
        <f>IFERROR(VLOOKUP(E531,Assign!$C$2:$J$142,8,FALSE),)</f>
        <v>0</v>
      </c>
    </row>
    <row r="532" spans="7:7" hidden="1">
      <c r="G532" s="284">
        <f>IFERROR(VLOOKUP(E532,Assign!$C$2:$J$142,8,FALSE),)</f>
        <v>0</v>
      </c>
    </row>
    <row r="533" spans="7:7" hidden="1">
      <c r="G533" s="284">
        <f>IFERROR(VLOOKUP(E533,Assign!$C$2:$J$142,8,FALSE),)</f>
        <v>0</v>
      </c>
    </row>
    <row r="534" spans="7:7" hidden="1">
      <c r="G534" s="284">
        <f>IFERROR(VLOOKUP(E534,Assign!$C$2:$J$142,8,FALSE),)</f>
        <v>0</v>
      </c>
    </row>
    <row r="535" spans="7:7" hidden="1">
      <c r="G535" s="284">
        <f>IFERROR(VLOOKUP(E535,Assign!$C$2:$J$142,8,FALSE),)</f>
        <v>0</v>
      </c>
    </row>
    <row r="536" spans="7:7" hidden="1">
      <c r="G536" s="284">
        <f>IFERROR(VLOOKUP(E536,Assign!$C$2:$J$142,8,FALSE),)</f>
        <v>0</v>
      </c>
    </row>
    <row r="537" spans="7:7" hidden="1">
      <c r="G537" s="284">
        <f>IFERROR(VLOOKUP(E537,Assign!$C$2:$J$142,8,FALSE),)</f>
        <v>0</v>
      </c>
    </row>
    <row r="538" spans="7:7" hidden="1">
      <c r="G538" s="284">
        <f>IFERROR(VLOOKUP(E538,Assign!$C$2:$J$142,8,FALSE),)</f>
        <v>0</v>
      </c>
    </row>
    <row r="539" spans="7:7" hidden="1">
      <c r="G539" s="284">
        <f>IFERROR(VLOOKUP(E539,Assign!$C$2:$J$142,8,FALSE),)</f>
        <v>0</v>
      </c>
    </row>
    <row r="540" spans="7:7" hidden="1">
      <c r="G540" s="284">
        <f>IFERROR(VLOOKUP(E540,Assign!$C$2:$J$142,8,FALSE),)</f>
        <v>0</v>
      </c>
    </row>
    <row r="541" spans="7:7" hidden="1">
      <c r="G541" s="284">
        <f>IFERROR(VLOOKUP(E541,Assign!$C$2:$J$142,8,FALSE),)</f>
        <v>0</v>
      </c>
    </row>
    <row r="542" spans="7:7" hidden="1">
      <c r="G542" s="284">
        <f>IFERROR(VLOOKUP(E542,Assign!$C$2:$J$142,8,FALSE),)</f>
        <v>0</v>
      </c>
    </row>
    <row r="543" spans="7:7" hidden="1">
      <c r="G543" s="284">
        <f>IFERROR(VLOOKUP(E543,Assign!$C$2:$J$142,8,FALSE),)</f>
        <v>0</v>
      </c>
    </row>
    <row r="544" spans="7:7" hidden="1">
      <c r="G544" s="284">
        <f>IFERROR(VLOOKUP(E544,Assign!$C$2:$J$142,8,FALSE),)</f>
        <v>0</v>
      </c>
    </row>
    <row r="545" spans="7:7" hidden="1">
      <c r="G545" s="284">
        <f>IFERROR(VLOOKUP(E545,Assign!$C$2:$J$142,8,FALSE),)</f>
        <v>0</v>
      </c>
    </row>
    <row r="546" spans="7:7" hidden="1">
      <c r="G546" s="284">
        <f>IFERROR(VLOOKUP(E546,Assign!$C$2:$J$142,8,FALSE),)</f>
        <v>0</v>
      </c>
    </row>
    <row r="547" spans="7:7" hidden="1">
      <c r="G547" s="284">
        <f>IFERROR(VLOOKUP(E547,Assign!$C$2:$J$142,8,FALSE),)</f>
        <v>0</v>
      </c>
    </row>
    <row r="548" spans="7:7" hidden="1">
      <c r="G548" s="284">
        <f>IFERROR(VLOOKUP(E548,Assign!$C$2:$J$142,8,FALSE),)</f>
        <v>0</v>
      </c>
    </row>
    <row r="549" spans="7:7" hidden="1">
      <c r="G549" s="284">
        <f>IFERROR(VLOOKUP(E549,Assign!$C$2:$J$142,8,FALSE),)</f>
        <v>0</v>
      </c>
    </row>
    <row r="550" spans="7:7" hidden="1">
      <c r="G550" s="284">
        <f>IFERROR(VLOOKUP(E550,Assign!$C$2:$J$142,8,FALSE),)</f>
        <v>0</v>
      </c>
    </row>
    <row r="551" spans="7:7" hidden="1">
      <c r="G551" s="284">
        <f>IFERROR(VLOOKUP(E551,Assign!$C$2:$J$142,8,FALSE),)</f>
        <v>0</v>
      </c>
    </row>
    <row r="552" spans="7:7" hidden="1">
      <c r="G552" s="284">
        <f>IFERROR(VLOOKUP(E552,Assign!$C$2:$J$142,8,FALSE),)</f>
        <v>0</v>
      </c>
    </row>
    <row r="553" spans="7:7" hidden="1">
      <c r="G553" s="284">
        <f>IFERROR(VLOOKUP(E553,Assign!$C$2:$J$142,8,FALSE),)</f>
        <v>0</v>
      </c>
    </row>
    <row r="554" spans="7:7" hidden="1">
      <c r="G554" s="284">
        <f>IFERROR(VLOOKUP(E554,Assign!$C$2:$J$142,8,FALSE),)</f>
        <v>0</v>
      </c>
    </row>
    <row r="555" spans="7:7" hidden="1">
      <c r="G555" s="284">
        <f>IFERROR(VLOOKUP(E555,Assign!$C$2:$J$142,8,FALSE),)</f>
        <v>0</v>
      </c>
    </row>
    <row r="556" spans="7:7" hidden="1">
      <c r="G556" s="284">
        <f>IFERROR(VLOOKUP(E556,Assign!$C$2:$J$142,8,FALSE),)</f>
        <v>0</v>
      </c>
    </row>
    <row r="557" spans="7:7" hidden="1">
      <c r="G557" s="284">
        <f>IFERROR(VLOOKUP(E557,Assign!$C$2:$J$142,8,FALSE),)</f>
        <v>0</v>
      </c>
    </row>
    <row r="558" spans="7:7" hidden="1">
      <c r="G558" s="284">
        <f>IFERROR(VLOOKUP(E558,Assign!$C$2:$J$142,8,FALSE),)</f>
        <v>0</v>
      </c>
    </row>
    <row r="559" spans="7:7" hidden="1">
      <c r="G559" s="284">
        <f>IFERROR(VLOOKUP(E559,Assign!$C$2:$J$142,8,FALSE),)</f>
        <v>0</v>
      </c>
    </row>
    <row r="560" spans="7:7" hidden="1">
      <c r="G560" s="284">
        <f>IFERROR(VLOOKUP(E560,Assign!$C$2:$J$142,8,FALSE),)</f>
        <v>0</v>
      </c>
    </row>
    <row r="561" spans="7:7" hidden="1">
      <c r="G561" s="284">
        <f>IFERROR(VLOOKUP(E561,Assign!$C$2:$J$142,8,FALSE),)</f>
        <v>0</v>
      </c>
    </row>
    <row r="562" spans="7:7" hidden="1">
      <c r="G562" s="284">
        <f>IFERROR(VLOOKUP(E562,Assign!$C$2:$J$142,8,FALSE),)</f>
        <v>0</v>
      </c>
    </row>
    <row r="563" spans="7:7" hidden="1">
      <c r="G563" s="284">
        <f>IFERROR(VLOOKUP(E563,Assign!$C$2:$J$142,8,FALSE),)</f>
        <v>0</v>
      </c>
    </row>
    <row r="564" spans="7:7" hidden="1">
      <c r="G564" s="284">
        <f>IFERROR(VLOOKUP(E564,Assign!$C$2:$J$142,8,FALSE),)</f>
        <v>0</v>
      </c>
    </row>
    <row r="565" spans="7:7" hidden="1">
      <c r="G565" s="284">
        <f>IFERROR(VLOOKUP(E565,Assign!$C$2:$J$142,8,FALSE),)</f>
        <v>0</v>
      </c>
    </row>
    <row r="566" spans="7:7" hidden="1">
      <c r="G566" s="284">
        <f>IFERROR(VLOOKUP(E566,Assign!$C$2:$J$142,8,FALSE),)</f>
        <v>0</v>
      </c>
    </row>
    <row r="567" spans="7:7" hidden="1">
      <c r="G567" s="284">
        <f>IFERROR(VLOOKUP(E567,Assign!$C$2:$J$142,8,FALSE),)</f>
        <v>0</v>
      </c>
    </row>
    <row r="568" spans="7:7" hidden="1">
      <c r="G568" s="284">
        <f>IFERROR(VLOOKUP(E568,Assign!$C$2:$J$142,8,FALSE),)</f>
        <v>0</v>
      </c>
    </row>
    <row r="569" spans="7:7" hidden="1">
      <c r="G569" s="284">
        <f>IFERROR(VLOOKUP(E569,Assign!$C$2:$J$142,8,FALSE),)</f>
        <v>0</v>
      </c>
    </row>
    <row r="570" spans="7:7" hidden="1">
      <c r="G570" s="284">
        <f>IFERROR(VLOOKUP(E570,Assign!$C$2:$J$142,8,FALSE),)</f>
        <v>0</v>
      </c>
    </row>
    <row r="571" spans="7:7" hidden="1">
      <c r="G571" s="284">
        <f>IFERROR(VLOOKUP(E571,Assign!$C$2:$J$142,8,FALSE),)</f>
        <v>0</v>
      </c>
    </row>
    <row r="572" spans="7:7" hidden="1">
      <c r="G572" s="284">
        <f>IFERROR(VLOOKUP(E572,Assign!$C$2:$J$142,8,FALSE),)</f>
        <v>0</v>
      </c>
    </row>
    <row r="573" spans="7:7" hidden="1">
      <c r="G573" s="284">
        <f>IFERROR(VLOOKUP(E573,Assign!$C$2:$J$142,8,FALSE),)</f>
        <v>0</v>
      </c>
    </row>
    <row r="574" spans="7:7" hidden="1">
      <c r="G574" s="284">
        <f>IFERROR(VLOOKUP(E574,Assign!$C$2:$J$142,8,FALSE),)</f>
        <v>0</v>
      </c>
    </row>
    <row r="575" spans="7:7" hidden="1">
      <c r="G575" s="284">
        <f>IFERROR(VLOOKUP(E575,Assign!$C$2:$J$142,8,FALSE),)</f>
        <v>0</v>
      </c>
    </row>
    <row r="576" spans="7:7" hidden="1">
      <c r="G576" s="284">
        <f>IFERROR(VLOOKUP(E576,Assign!$C$2:$J$142,8,FALSE),)</f>
        <v>0</v>
      </c>
    </row>
    <row r="577" spans="7:7" hidden="1">
      <c r="G577" s="284">
        <f>IFERROR(VLOOKUP(E577,Assign!$C$2:$J$142,8,FALSE),)</f>
        <v>0</v>
      </c>
    </row>
    <row r="578" spans="7:7" hidden="1">
      <c r="G578" s="284">
        <f>IFERROR(VLOOKUP(E578,Assign!$C$2:$J$142,8,FALSE),)</f>
        <v>0</v>
      </c>
    </row>
    <row r="579" spans="7:7" hidden="1">
      <c r="G579" s="284">
        <f>IFERROR(VLOOKUP(E579,Assign!$C$2:$J$142,8,FALSE),)</f>
        <v>0</v>
      </c>
    </row>
    <row r="580" spans="7:7" hidden="1">
      <c r="G580" s="284">
        <f>IFERROR(VLOOKUP(E580,Assign!$C$2:$J$142,8,FALSE),)</f>
        <v>0</v>
      </c>
    </row>
    <row r="581" spans="7:7" hidden="1">
      <c r="G581" s="284">
        <f>IFERROR(VLOOKUP(E581,Assign!$C$2:$J$142,8,FALSE),)</f>
        <v>0</v>
      </c>
    </row>
    <row r="582" spans="7:7" hidden="1">
      <c r="G582" s="284">
        <f>IFERROR(VLOOKUP(E582,Assign!$C$2:$J$142,8,FALSE),)</f>
        <v>0</v>
      </c>
    </row>
    <row r="583" spans="7:7" hidden="1">
      <c r="G583" s="284">
        <f>IFERROR(VLOOKUP(E583,Assign!$C$2:$J$142,8,FALSE),)</f>
        <v>0</v>
      </c>
    </row>
    <row r="584" spans="7:7" hidden="1">
      <c r="G584" s="284">
        <f>IFERROR(VLOOKUP(E584,Assign!$C$2:$J$142,8,FALSE),)</f>
        <v>0</v>
      </c>
    </row>
    <row r="585" spans="7:7" hidden="1">
      <c r="G585" s="284">
        <f>IFERROR(VLOOKUP(E585,Assign!$C$2:$J$142,8,FALSE),)</f>
        <v>0</v>
      </c>
    </row>
    <row r="586" spans="7:7" hidden="1">
      <c r="G586" s="284">
        <f>IFERROR(VLOOKUP(E586,Assign!$C$2:$J$142,8,FALSE),)</f>
        <v>0</v>
      </c>
    </row>
    <row r="587" spans="7:7" hidden="1">
      <c r="G587" s="284">
        <f>IFERROR(VLOOKUP(E587,Assign!$C$2:$J$142,8,FALSE),)</f>
        <v>0</v>
      </c>
    </row>
  </sheetData>
  <autoFilter ref="A10:AT587">
    <filterColumn colId="6">
      <filters>
        <filter val="문선영"/>
      </filters>
    </filterColumn>
  </autoFilter>
  <phoneticPr fontId="5" type="noConversion"/>
  <pageMargins left="0.7" right="0.7" top="0.75" bottom="0.75" header="0.3" footer="0.3"/>
  <pageSetup paperSize="9" scale="75" orientation="portrait" r:id="rId1"/>
  <colBreaks count="1" manualBreakCount="1">
    <brk id="13" max="78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3"/>
  <sheetViews>
    <sheetView workbookViewId="0">
      <selection activeCell="B17" sqref="B17"/>
    </sheetView>
  </sheetViews>
  <sheetFormatPr defaultRowHeight="17"/>
  <cols>
    <col min="2" max="7" width="18.08203125" customWidth="1"/>
    <col min="8" max="8" width="16.6640625" customWidth="1"/>
    <col min="9" max="9" width="20.33203125" customWidth="1"/>
  </cols>
  <sheetData>
    <row r="1" spans="1:10">
      <c r="C1">
        <v>1</v>
      </c>
      <c r="D1">
        <f>C1+1</f>
        <v>2</v>
      </c>
      <c r="E1">
        <f t="shared" ref="E1:J1" si="0">D1+1</f>
        <v>3</v>
      </c>
      <c r="F1">
        <f t="shared" si="0"/>
        <v>4</v>
      </c>
      <c r="G1">
        <f t="shared" si="0"/>
        <v>5</v>
      </c>
      <c r="H1">
        <f t="shared" si="0"/>
        <v>6</v>
      </c>
      <c r="I1">
        <f t="shared" si="0"/>
        <v>7</v>
      </c>
      <c r="J1">
        <f t="shared" si="0"/>
        <v>8</v>
      </c>
    </row>
    <row r="2" spans="1:10">
      <c r="A2" s="455" t="s">
        <v>7156</v>
      </c>
      <c r="B2" s="455" t="s">
        <v>7157</v>
      </c>
      <c r="C2" s="456" t="s">
        <v>7158</v>
      </c>
      <c r="D2" s="456" t="s">
        <v>3</v>
      </c>
      <c r="E2" s="457" t="s">
        <v>7159</v>
      </c>
      <c r="F2" s="457" t="s">
        <v>7160</v>
      </c>
      <c r="G2" s="457" t="s">
        <v>7161</v>
      </c>
      <c r="H2" s="458" t="s">
        <v>7162</v>
      </c>
      <c r="I2" s="457" t="s">
        <v>7163</v>
      </c>
      <c r="J2" s="458" t="s">
        <v>7164</v>
      </c>
    </row>
    <row r="3" spans="1:10">
      <c r="A3" s="459" t="s">
        <v>206</v>
      </c>
      <c r="B3" s="460" t="s">
        <v>225</v>
      </c>
      <c r="C3" s="163" t="s">
        <v>659</v>
      </c>
      <c r="D3" s="462" t="s">
        <v>7165</v>
      </c>
      <c r="E3" s="463">
        <v>1610000000</v>
      </c>
      <c r="F3" s="464">
        <v>2</v>
      </c>
      <c r="G3" s="465" t="s">
        <v>7166</v>
      </c>
      <c r="H3" s="459" t="s">
        <v>7167</v>
      </c>
      <c r="I3" s="462" t="s">
        <v>7168</v>
      </c>
      <c r="J3" s="464" t="s">
        <v>7169</v>
      </c>
    </row>
    <row r="4" spans="1:10">
      <c r="A4" s="459" t="s">
        <v>206</v>
      </c>
      <c r="B4" s="460" t="s">
        <v>225</v>
      </c>
      <c r="C4" s="461" t="s">
        <v>661</v>
      </c>
      <c r="D4" s="462" t="s">
        <v>7170</v>
      </c>
      <c r="E4" s="463">
        <v>1520000000</v>
      </c>
      <c r="F4" s="464">
        <v>1</v>
      </c>
      <c r="G4" s="465" t="s">
        <v>7171</v>
      </c>
      <c r="H4" s="459" t="s">
        <v>447</v>
      </c>
      <c r="I4" s="462" t="s">
        <v>7172</v>
      </c>
      <c r="J4" s="464" t="s">
        <v>7173</v>
      </c>
    </row>
    <row r="5" spans="1:10">
      <c r="A5" s="459" t="s">
        <v>206</v>
      </c>
      <c r="B5" s="460" t="s">
        <v>225</v>
      </c>
      <c r="C5" s="461" t="s">
        <v>664</v>
      </c>
      <c r="D5" s="462" t="s">
        <v>7174</v>
      </c>
      <c r="E5" s="463">
        <v>1222499814</v>
      </c>
      <c r="F5" s="464">
        <v>2</v>
      </c>
      <c r="G5" s="465" t="s">
        <v>7171</v>
      </c>
      <c r="H5" s="459" t="s">
        <v>7175</v>
      </c>
      <c r="I5" s="462" t="s">
        <v>7176</v>
      </c>
      <c r="J5" s="464" t="s">
        <v>7177</v>
      </c>
    </row>
    <row r="6" spans="1:10">
      <c r="A6" s="459" t="s">
        <v>206</v>
      </c>
      <c r="B6" s="460" t="s">
        <v>225</v>
      </c>
      <c r="C6" s="461" t="s">
        <v>665</v>
      </c>
      <c r="D6" s="462" t="s">
        <v>7178</v>
      </c>
      <c r="E6" s="463">
        <v>1150000000</v>
      </c>
      <c r="F6" s="464">
        <v>1</v>
      </c>
      <c r="G6" s="465" t="s">
        <v>7179</v>
      </c>
      <c r="H6" s="459" t="s">
        <v>3076</v>
      </c>
      <c r="I6" s="462" t="s">
        <v>7180</v>
      </c>
      <c r="J6" s="464" t="s">
        <v>7177</v>
      </c>
    </row>
    <row r="7" spans="1:10">
      <c r="A7" s="459" t="s">
        <v>206</v>
      </c>
      <c r="B7" s="460" t="s">
        <v>225</v>
      </c>
      <c r="C7" s="461" t="s">
        <v>669</v>
      </c>
      <c r="D7" s="462" t="s">
        <v>7181</v>
      </c>
      <c r="E7" s="463">
        <v>999000000</v>
      </c>
      <c r="F7" s="464">
        <v>1</v>
      </c>
      <c r="G7" s="465" t="s">
        <v>7179</v>
      </c>
      <c r="H7" s="459" t="s">
        <v>3078</v>
      </c>
      <c r="I7" s="462" t="s">
        <v>7182</v>
      </c>
      <c r="J7" s="464" t="s">
        <v>7177</v>
      </c>
    </row>
    <row r="8" spans="1:10">
      <c r="A8" s="459" t="s">
        <v>206</v>
      </c>
      <c r="B8" s="460" t="s">
        <v>225</v>
      </c>
      <c r="C8" s="461" t="s">
        <v>670</v>
      </c>
      <c r="D8" s="462" t="s">
        <v>7183</v>
      </c>
      <c r="E8" s="463">
        <v>992499998</v>
      </c>
      <c r="F8" s="464">
        <v>1</v>
      </c>
      <c r="G8" s="465" t="s">
        <v>7171</v>
      </c>
      <c r="H8" s="459" t="s">
        <v>620</v>
      </c>
      <c r="I8" s="462" t="s">
        <v>7184</v>
      </c>
      <c r="J8" s="464" t="s">
        <v>7177</v>
      </c>
    </row>
    <row r="9" spans="1:10">
      <c r="A9" s="459" t="s">
        <v>206</v>
      </c>
      <c r="B9" s="460" t="s">
        <v>225</v>
      </c>
      <c r="C9" s="461" t="s">
        <v>688</v>
      </c>
      <c r="D9" s="462" t="s">
        <v>7185</v>
      </c>
      <c r="E9" s="463">
        <v>524000000</v>
      </c>
      <c r="F9" s="464">
        <v>1</v>
      </c>
      <c r="G9" s="465" t="s">
        <v>7186</v>
      </c>
      <c r="H9" s="459" t="s">
        <v>207</v>
      </c>
      <c r="I9" s="462" t="s">
        <v>7187</v>
      </c>
      <c r="J9" s="464" t="s">
        <v>7177</v>
      </c>
    </row>
    <row r="10" spans="1:10">
      <c r="A10" s="459" t="s">
        <v>206</v>
      </c>
      <c r="B10" s="460" t="s">
        <v>225</v>
      </c>
      <c r="C10" s="461" t="s">
        <v>694</v>
      </c>
      <c r="D10" s="462" t="s">
        <v>7188</v>
      </c>
      <c r="E10" s="463">
        <v>480000000</v>
      </c>
      <c r="F10" s="464">
        <v>1</v>
      </c>
      <c r="G10" s="465" t="s">
        <v>7171</v>
      </c>
      <c r="H10" s="459" t="s">
        <v>7189</v>
      </c>
      <c r="I10" s="462" t="s">
        <v>7190</v>
      </c>
      <c r="J10" s="464" t="s">
        <v>7177</v>
      </c>
    </row>
    <row r="11" spans="1:10">
      <c r="A11" s="459" t="s">
        <v>206</v>
      </c>
      <c r="B11" s="460" t="s">
        <v>225</v>
      </c>
      <c r="C11" s="461" t="s">
        <v>695</v>
      </c>
      <c r="D11" s="462" t="s">
        <v>7191</v>
      </c>
      <c r="E11" s="463">
        <v>467692296</v>
      </c>
      <c r="F11" s="464">
        <v>1</v>
      </c>
      <c r="G11" s="465" t="s">
        <v>7179</v>
      </c>
      <c r="H11" s="459" t="s">
        <v>207</v>
      </c>
      <c r="I11" s="462" t="s">
        <v>7192</v>
      </c>
      <c r="J11" s="464" t="s">
        <v>7177</v>
      </c>
    </row>
    <row r="12" spans="1:10">
      <c r="A12" s="459" t="s">
        <v>206</v>
      </c>
      <c r="B12" s="460" t="s">
        <v>225</v>
      </c>
      <c r="C12" s="461" t="s">
        <v>698</v>
      </c>
      <c r="D12" s="462" t="s">
        <v>7193</v>
      </c>
      <c r="E12" s="463">
        <v>442000000</v>
      </c>
      <c r="F12" s="464">
        <v>1</v>
      </c>
      <c r="G12" s="465" t="s">
        <v>7194</v>
      </c>
      <c r="H12" s="459" t="s">
        <v>362</v>
      </c>
      <c r="I12" s="462" t="s">
        <v>7195</v>
      </c>
      <c r="J12" s="464" t="s">
        <v>7177</v>
      </c>
    </row>
    <row r="13" spans="1:10">
      <c r="A13" s="459" t="s">
        <v>206</v>
      </c>
      <c r="B13" s="460" t="s">
        <v>225</v>
      </c>
      <c r="C13" s="461" t="s">
        <v>700</v>
      </c>
      <c r="D13" s="462" t="s">
        <v>7196</v>
      </c>
      <c r="E13" s="463">
        <v>429500000</v>
      </c>
      <c r="F13" s="464">
        <v>1</v>
      </c>
      <c r="G13" s="465" t="s">
        <v>7179</v>
      </c>
      <c r="H13" s="459" t="s">
        <v>207</v>
      </c>
      <c r="I13" s="462" t="s">
        <v>7197</v>
      </c>
      <c r="J13" s="464" t="s">
        <v>7177</v>
      </c>
    </row>
    <row r="14" spans="1:10">
      <c r="A14" s="459" t="s">
        <v>206</v>
      </c>
      <c r="B14" s="460" t="s">
        <v>225</v>
      </c>
      <c r="C14" s="461" t="s">
        <v>704</v>
      </c>
      <c r="D14" s="462" t="s">
        <v>7198</v>
      </c>
      <c r="E14" s="463">
        <v>394930494</v>
      </c>
      <c r="F14" s="464">
        <v>1</v>
      </c>
      <c r="G14" s="465" t="s">
        <v>7171</v>
      </c>
      <c r="H14" s="459" t="s">
        <v>396</v>
      </c>
      <c r="I14" s="462" t="s">
        <v>7199</v>
      </c>
      <c r="J14" s="464" t="s">
        <v>7177</v>
      </c>
    </row>
    <row r="15" spans="1:10">
      <c r="A15" s="459" t="s">
        <v>206</v>
      </c>
      <c r="B15" s="460" t="s">
        <v>225</v>
      </c>
      <c r="C15" s="461" t="s">
        <v>705</v>
      </c>
      <c r="D15" s="462" t="s">
        <v>7200</v>
      </c>
      <c r="E15" s="463">
        <v>391708149</v>
      </c>
      <c r="F15" s="464">
        <v>1</v>
      </c>
      <c r="G15" s="465" t="s">
        <v>7179</v>
      </c>
      <c r="H15" s="459" t="s">
        <v>207</v>
      </c>
      <c r="I15" s="462" t="s">
        <v>7201</v>
      </c>
      <c r="J15" s="464" t="s">
        <v>7177</v>
      </c>
    </row>
    <row r="16" spans="1:10">
      <c r="A16" s="459" t="s">
        <v>206</v>
      </c>
      <c r="B16" s="460" t="s">
        <v>225</v>
      </c>
      <c r="C16" s="461" t="s">
        <v>711</v>
      </c>
      <c r="D16" s="462" t="s">
        <v>7202</v>
      </c>
      <c r="E16" s="463">
        <v>339166300</v>
      </c>
      <c r="F16" s="464">
        <v>1</v>
      </c>
      <c r="G16" s="465" t="s">
        <v>7171</v>
      </c>
      <c r="H16" s="459" t="s">
        <v>285</v>
      </c>
      <c r="I16" s="462" t="s">
        <v>7203</v>
      </c>
      <c r="J16" s="464" t="s">
        <v>7177</v>
      </c>
    </row>
    <row r="17" spans="1:10">
      <c r="A17" s="459" t="s">
        <v>206</v>
      </c>
      <c r="B17" s="460" t="s">
        <v>225</v>
      </c>
      <c r="C17" s="461" t="s">
        <v>713</v>
      </c>
      <c r="D17" s="462" t="s">
        <v>7204</v>
      </c>
      <c r="E17" s="463">
        <v>330000000</v>
      </c>
      <c r="F17" s="464">
        <v>1</v>
      </c>
      <c r="G17" s="465" t="s">
        <v>7171</v>
      </c>
      <c r="H17" s="459" t="s">
        <v>620</v>
      </c>
      <c r="I17" s="462" t="s">
        <v>7205</v>
      </c>
      <c r="J17" s="464" t="s">
        <v>7177</v>
      </c>
    </row>
    <row r="18" spans="1:10">
      <c r="A18" s="459" t="s">
        <v>206</v>
      </c>
      <c r="B18" s="460" t="s">
        <v>225</v>
      </c>
      <c r="C18" s="461" t="s">
        <v>714</v>
      </c>
      <c r="D18" s="462" t="s">
        <v>7206</v>
      </c>
      <c r="E18" s="463">
        <v>324219042</v>
      </c>
      <c r="F18" s="464">
        <v>1</v>
      </c>
      <c r="G18" s="465" t="s">
        <v>7179</v>
      </c>
      <c r="H18" s="459" t="s">
        <v>207</v>
      </c>
      <c r="I18" s="462" t="s">
        <v>7207</v>
      </c>
      <c r="J18" s="464" t="s">
        <v>7177</v>
      </c>
    </row>
    <row r="19" spans="1:10">
      <c r="A19" s="459" t="s">
        <v>206</v>
      </c>
      <c r="B19" s="460" t="s">
        <v>225</v>
      </c>
      <c r="C19" s="461" t="s">
        <v>718</v>
      </c>
      <c r="D19" s="462" t="s">
        <v>7208</v>
      </c>
      <c r="E19" s="463">
        <v>310000000</v>
      </c>
      <c r="F19" s="464">
        <v>2</v>
      </c>
      <c r="G19" s="465" t="s">
        <v>7179</v>
      </c>
      <c r="H19" s="459" t="s">
        <v>7209</v>
      </c>
      <c r="I19" s="462" t="s">
        <v>7210</v>
      </c>
      <c r="J19" s="464" t="s">
        <v>7211</v>
      </c>
    </row>
    <row r="20" spans="1:10">
      <c r="A20" s="459" t="s">
        <v>206</v>
      </c>
      <c r="B20" s="460" t="s">
        <v>225</v>
      </c>
      <c r="C20" s="461" t="s">
        <v>719</v>
      </c>
      <c r="D20" s="462" t="s">
        <v>7212</v>
      </c>
      <c r="E20" s="463">
        <v>309000000</v>
      </c>
      <c r="F20" s="464">
        <v>2</v>
      </c>
      <c r="G20" s="465" t="s">
        <v>7194</v>
      </c>
      <c r="H20" s="459" t="s">
        <v>7213</v>
      </c>
      <c r="I20" s="462" t="s">
        <v>7214</v>
      </c>
      <c r="J20" s="464" t="s">
        <v>7211</v>
      </c>
    </row>
    <row r="21" spans="1:10">
      <c r="A21" s="459" t="s">
        <v>206</v>
      </c>
      <c r="B21" s="460" t="s">
        <v>225</v>
      </c>
      <c r="C21" s="461" t="s">
        <v>723</v>
      </c>
      <c r="D21" s="462" t="s">
        <v>7215</v>
      </c>
      <c r="E21" s="463">
        <v>293000000</v>
      </c>
      <c r="F21" s="464">
        <v>1</v>
      </c>
      <c r="G21" s="465" t="s">
        <v>7179</v>
      </c>
      <c r="H21" s="459" t="s">
        <v>207</v>
      </c>
      <c r="I21" s="462" t="s">
        <v>7216</v>
      </c>
      <c r="J21" s="464" t="s">
        <v>7177</v>
      </c>
    </row>
    <row r="22" spans="1:10">
      <c r="A22" s="459" t="s">
        <v>206</v>
      </c>
      <c r="B22" s="460" t="s">
        <v>225</v>
      </c>
      <c r="C22" s="461" t="s">
        <v>725</v>
      </c>
      <c r="D22" s="462" t="s">
        <v>7217</v>
      </c>
      <c r="E22" s="463">
        <v>286719521</v>
      </c>
      <c r="F22" s="464">
        <v>1</v>
      </c>
      <c r="G22" s="465" t="s">
        <v>7179</v>
      </c>
      <c r="H22" s="459" t="s">
        <v>207</v>
      </c>
      <c r="I22" s="462" t="s">
        <v>7218</v>
      </c>
      <c r="J22" s="464" t="s">
        <v>7177</v>
      </c>
    </row>
    <row r="23" spans="1:10">
      <c r="A23" s="459" t="s">
        <v>206</v>
      </c>
      <c r="B23" s="460" t="s">
        <v>225</v>
      </c>
      <c r="C23" s="461" t="s">
        <v>728</v>
      </c>
      <c r="D23" s="462" t="s">
        <v>7219</v>
      </c>
      <c r="E23" s="463">
        <v>270882443</v>
      </c>
      <c r="F23" s="464">
        <v>1</v>
      </c>
      <c r="G23" s="465" t="s">
        <v>7179</v>
      </c>
      <c r="H23" s="459" t="s">
        <v>606</v>
      </c>
      <c r="I23" s="462" t="s">
        <v>7220</v>
      </c>
      <c r="J23" s="464" t="s">
        <v>7177</v>
      </c>
    </row>
    <row r="24" spans="1:10">
      <c r="A24" s="459" t="s">
        <v>206</v>
      </c>
      <c r="B24" s="460" t="s">
        <v>225</v>
      </c>
      <c r="C24" s="461" t="s">
        <v>730</v>
      </c>
      <c r="D24" s="462" t="s">
        <v>7221</v>
      </c>
      <c r="E24" s="463">
        <v>258806984</v>
      </c>
      <c r="F24" s="464">
        <v>1</v>
      </c>
      <c r="G24" s="465" t="s">
        <v>7179</v>
      </c>
      <c r="H24" s="459" t="s">
        <v>207</v>
      </c>
      <c r="I24" s="462" t="s">
        <v>7222</v>
      </c>
      <c r="J24" s="464" t="s">
        <v>7211</v>
      </c>
    </row>
    <row r="25" spans="1:10">
      <c r="A25" s="459" t="s">
        <v>206</v>
      </c>
      <c r="B25" s="460" t="s">
        <v>225</v>
      </c>
      <c r="C25" s="461" t="s">
        <v>737</v>
      </c>
      <c r="D25" s="462" t="s">
        <v>7223</v>
      </c>
      <c r="E25" s="463">
        <v>228000000</v>
      </c>
      <c r="F25" s="464">
        <v>1</v>
      </c>
      <c r="G25" s="465" t="s">
        <v>7171</v>
      </c>
      <c r="H25" s="459" t="s">
        <v>285</v>
      </c>
      <c r="I25" s="462" t="s">
        <v>7224</v>
      </c>
      <c r="J25" s="464" t="s">
        <v>7177</v>
      </c>
    </row>
    <row r="26" spans="1:10">
      <c r="A26" s="459" t="s">
        <v>206</v>
      </c>
      <c r="B26" s="460" t="s">
        <v>225</v>
      </c>
      <c r="C26" s="461" t="s">
        <v>741</v>
      </c>
      <c r="D26" s="462" t="s">
        <v>7225</v>
      </c>
      <c r="E26" s="463">
        <v>212474941</v>
      </c>
      <c r="F26" s="464">
        <v>1</v>
      </c>
      <c r="G26" s="465" t="s">
        <v>7226</v>
      </c>
      <c r="H26" s="459" t="s">
        <v>207</v>
      </c>
      <c r="I26" s="462" t="s">
        <v>7227</v>
      </c>
      <c r="J26" s="464" t="s">
        <v>7177</v>
      </c>
    </row>
    <row r="27" spans="1:10">
      <c r="A27" s="459" t="s">
        <v>206</v>
      </c>
      <c r="B27" s="460" t="s">
        <v>225</v>
      </c>
      <c r="C27" s="461" t="s">
        <v>743</v>
      </c>
      <c r="D27" s="462" t="s">
        <v>7228</v>
      </c>
      <c r="E27" s="463">
        <v>207952816</v>
      </c>
      <c r="F27" s="464">
        <v>1</v>
      </c>
      <c r="G27" s="465" t="s">
        <v>7179</v>
      </c>
      <c r="H27" s="459" t="s">
        <v>3078</v>
      </c>
      <c r="I27" s="462" t="s">
        <v>7229</v>
      </c>
      <c r="J27" s="464" t="s">
        <v>7177</v>
      </c>
    </row>
    <row r="28" spans="1:10">
      <c r="A28" s="459" t="s">
        <v>206</v>
      </c>
      <c r="B28" s="460" t="s">
        <v>225</v>
      </c>
      <c r="C28" s="461" t="s">
        <v>750</v>
      </c>
      <c r="D28" s="462" t="s">
        <v>7230</v>
      </c>
      <c r="E28" s="463">
        <v>193050000</v>
      </c>
      <c r="F28" s="464">
        <v>1</v>
      </c>
      <c r="G28" s="465" t="s">
        <v>7179</v>
      </c>
      <c r="H28" s="459" t="s">
        <v>207</v>
      </c>
      <c r="I28" s="462" t="s">
        <v>7231</v>
      </c>
      <c r="J28" s="464" t="s">
        <v>7177</v>
      </c>
    </row>
    <row r="29" spans="1:10">
      <c r="A29" s="459" t="s">
        <v>206</v>
      </c>
      <c r="B29" s="460" t="s">
        <v>225</v>
      </c>
      <c r="C29" s="461" t="s">
        <v>753</v>
      </c>
      <c r="D29" s="462" t="s">
        <v>7232</v>
      </c>
      <c r="E29" s="463">
        <v>186860870</v>
      </c>
      <c r="F29" s="464">
        <v>1</v>
      </c>
      <c r="G29" s="465" t="s">
        <v>7179</v>
      </c>
      <c r="H29" s="459" t="s">
        <v>207</v>
      </c>
      <c r="I29" s="462" t="s">
        <v>7233</v>
      </c>
      <c r="J29" s="464" t="s">
        <v>7211</v>
      </c>
    </row>
    <row r="30" spans="1:10">
      <c r="A30" s="459" t="s">
        <v>206</v>
      </c>
      <c r="B30" s="460" t="s">
        <v>225</v>
      </c>
      <c r="C30" s="461" t="s">
        <v>755</v>
      </c>
      <c r="D30" s="462" t="s">
        <v>7234</v>
      </c>
      <c r="E30" s="463">
        <v>183035625</v>
      </c>
      <c r="F30" s="464">
        <v>1</v>
      </c>
      <c r="G30" s="465" t="s">
        <v>7226</v>
      </c>
      <c r="H30" s="459" t="s">
        <v>207</v>
      </c>
      <c r="I30" s="462" t="s">
        <v>7235</v>
      </c>
      <c r="J30" s="464" t="s">
        <v>7177</v>
      </c>
    </row>
    <row r="31" spans="1:10">
      <c r="A31" s="459" t="s">
        <v>206</v>
      </c>
      <c r="B31" s="460" t="s">
        <v>225</v>
      </c>
      <c r="C31" s="461" t="s">
        <v>756</v>
      </c>
      <c r="D31" s="462" t="s">
        <v>7236</v>
      </c>
      <c r="E31" s="463">
        <v>182278074</v>
      </c>
      <c r="F31" s="464">
        <v>1</v>
      </c>
      <c r="G31" s="465" t="s">
        <v>7226</v>
      </c>
      <c r="H31" s="459" t="s">
        <v>207</v>
      </c>
      <c r="I31" s="462" t="s">
        <v>7237</v>
      </c>
      <c r="J31" s="464" t="s">
        <v>7211</v>
      </c>
    </row>
    <row r="32" spans="1:10">
      <c r="A32" s="459" t="s">
        <v>206</v>
      </c>
      <c r="B32" s="460" t="s">
        <v>225</v>
      </c>
      <c r="C32" s="461" t="s">
        <v>758</v>
      </c>
      <c r="D32" s="462" t="s">
        <v>7238</v>
      </c>
      <c r="E32" s="463">
        <v>178621051</v>
      </c>
      <c r="F32" s="464">
        <v>1</v>
      </c>
      <c r="G32" s="465" t="s">
        <v>7226</v>
      </c>
      <c r="H32" s="459" t="s">
        <v>3076</v>
      </c>
      <c r="I32" s="462" t="s">
        <v>7239</v>
      </c>
      <c r="J32" s="464" t="s">
        <v>7177</v>
      </c>
    </row>
    <row r="33" spans="1:10">
      <c r="A33" s="459" t="s">
        <v>206</v>
      </c>
      <c r="B33" s="460" t="s">
        <v>225</v>
      </c>
      <c r="C33" s="461" t="s">
        <v>760</v>
      </c>
      <c r="D33" s="462" t="s">
        <v>7240</v>
      </c>
      <c r="E33" s="463">
        <v>173714680</v>
      </c>
      <c r="F33" s="464">
        <v>1</v>
      </c>
      <c r="G33" s="465" t="s">
        <v>7179</v>
      </c>
      <c r="H33" s="459" t="s">
        <v>207</v>
      </c>
      <c r="I33" s="462" t="s">
        <v>7241</v>
      </c>
      <c r="J33" s="464" t="s">
        <v>7177</v>
      </c>
    </row>
    <row r="34" spans="1:10">
      <c r="A34" s="459" t="s">
        <v>206</v>
      </c>
      <c r="B34" s="460" t="s">
        <v>225</v>
      </c>
      <c r="C34" s="461" t="s">
        <v>761</v>
      </c>
      <c r="D34" s="462" t="s">
        <v>7242</v>
      </c>
      <c r="E34" s="463">
        <v>172396800</v>
      </c>
      <c r="F34" s="464">
        <v>1</v>
      </c>
      <c r="G34" s="465" t="s">
        <v>7226</v>
      </c>
      <c r="H34" s="459" t="s">
        <v>207</v>
      </c>
      <c r="I34" s="462" t="s">
        <v>7243</v>
      </c>
      <c r="J34" s="464" t="s">
        <v>7177</v>
      </c>
    </row>
    <row r="35" spans="1:10">
      <c r="A35" s="459" t="s">
        <v>206</v>
      </c>
      <c r="B35" s="460" t="s">
        <v>225</v>
      </c>
      <c r="C35" s="461" t="s">
        <v>765</v>
      </c>
      <c r="D35" s="462" t="s">
        <v>7244</v>
      </c>
      <c r="E35" s="463">
        <v>165224788</v>
      </c>
      <c r="F35" s="464">
        <v>1</v>
      </c>
      <c r="G35" s="465" t="s">
        <v>7179</v>
      </c>
      <c r="H35" s="466" t="s">
        <v>207</v>
      </c>
      <c r="I35" s="467" t="s">
        <v>7245</v>
      </c>
      <c r="J35" s="464" t="s">
        <v>7177</v>
      </c>
    </row>
    <row r="36" spans="1:10">
      <c r="A36" s="459" t="s">
        <v>206</v>
      </c>
      <c r="B36" s="460" t="s">
        <v>225</v>
      </c>
      <c r="C36" s="461" t="s">
        <v>766</v>
      </c>
      <c r="D36" s="462" t="s">
        <v>7246</v>
      </c>
      <c r="E36" s="463">
        <v>161966466</v>
      </c>
      <c r="F36" s="464">
        <v>1</v>
      </c>
      <c r="G36" s="465" t="s">
        <v>7179</v>
      </c>
      <c r="H36" s="459" t="s">
        <v>207</v>
      </c>
      <c r="I36" s="462" t="s">
        <v>7247</v>
      </c>
      <c r="J36" s="464" t="s">
        <v>7177</v>
      </c>
    </row>
    <row r="37" spans="1:10">
      <c r="A37" s="459" t="s">
        <v>206</v>
      </c>
      <c r="B37" s="460" t="s">
        <v>225</v>
      </c>
      <c r="C37" s="461" t="s">
        <v>767</v>
      </c>
      <c r="D37" s="462" t="s">
        <v>7248</v>
      </c>
      <c r="E37" s="463">
        <v>160083258</v>
      </c>
      <c r="F37" s="464">
        <v>1</v>
      </c>
      <c r="G37" s="465" t="s">
        <v>7171</v>
      </c>
      <c r="H37" s="459" t="s">
        <v>396</v>
      </c>
      <c r="I37" s="462" t="s">
        <v>7249</v>
      </c>
      <c r="J37" s="464" t="s">
        <v>7177</v>
      </c>
    </row>
    <row r="38" spans="1:10">
      <c r="A38" s="459" t="s">
        <v>206</v>
      </c>
      <c r="B38" s="460" t="s">
        <v>225</v>
      </c>
      <c r="C38" s="461" t="s">
        <v>772</v>
      </c>
      <c r="D38" s="462" t="s">
        <v>7250</v>
      </c>
      <c r="E38" s="463">
        <v>156183636</v>
      </c>
      <c r="F38" s="464">
        <v>1</v>
      </c>
      <c r="G38" s="465" t="s">
        <v>7179</v>
      </c>
      <c r="H38" s="466" t="s">
        <v>207</v>
      </c>
      <c r="I38" s="467" t="s">
        <v>7251</v>
      </c>
      <c r="J38" s="464" t="s">
        <v>7177</v>
      </c>
    </row>
    <row r="39" spans="1:10">
      <c r="A39" s="459" t="s">
        <v>206</v>
      </c>
      <c r="B39" s="460" t="s">
        <v>225</v>
      </c>
      <c r="C39" s="461" t="s">
        <v>777</v>
      </c>
      <c r="D39" s="462" t="s">
        <v>7252</v>
      </c>
      <c r="E39" s="463">
        <v>149488237</v>
      </c>
      <c r="F39" s="464">
        <v>1</v>
      </c>
      <c r="G39" s="465" t="s">
        <v>7179</v>
      </c>
      <c r="H39" s="459" t="s">
        <v>606</v>
      </c>
      <c r="I39" s="462" t="s">
        <v>7253</v>
      </c>
      <c r="J39" s="464" t="s">
        <v>7177</v>
      </c>
    </row>
    <row r="40" spans="1:10">
      <c r="A40" s="459" t="s">
        <v>206</v>
      </c>
      <c r="B40" s="460" t="s">
        <v>225</v>
      </c>
      <c r="C40" s="461" t="s">
        <v>778</v>
      </c>
      <c r="D40" s="462" t="s">
        <v>7254</v>
      </c>
      <c r="E40" s="463">
        <v>148047429</v>
      </c>
      <c r="F40" s="464">
        <v>1</v>
      </c>
      <c r="G40" s="465" t="s">
        <v>7179</v>
      </c>
      <c r="H40" s="459" t="s">
        <v>606</v>
      </c>
      <c r="I40" s="462" t="s">
        <v>7255</v>
      </c>
      <c r="J40" s="464" t="s">
        <v>7177</v>
      </c>
    </row>
    <row r="41" spans="1:10">
      <c r="A41" s="459" t="s">
        <v>206</v>
      </c>
      <c r="B41" s="460" t="s">
        <v>225</v>
      </c>
      <c r="C41" s="461" t="s">
        <v>779</v>
      </c>
      <c r="D41" s="462" t="s">
        <v>7256</v>
      </c>
      <c r="E41" s="463">
        <v>147667323</v>
      </c>
      <c r="F41" s="464">
        <v>1</v>
      </c>
      <c r="G41" s="465" t="s">
        <v>7179</v>
      </c>
      <c r="H41" s="459" t="s">
        <v>207</v>
      </c>
      <c r="I41" s="462" t="s">
        <v>7257</v>
      </c>
      <c r="J41" s="464" t="s">
        <v>7177</v>
      </c>
    </row>
    <row r="42" spans="1:10">
      <c r="A42" s="459" t="s">
        <v>206</v>
      </c>
      <c r="B42" s="460" t="s">
        <v>225</v>
      </c>
      <c r="C42" s="461" t="s">
        <v>782</v>
      </c>
      <c r="D42" s="462" t="s">
        <v>7258</v>
      </c>
      <c r="E42" s="463">
        <v>143199936</v>
      </c>
      <c r="F42" s="464">
        <v>1</v>
      </c>
      <c r="G42" s="465" t="s">
        <v>7226</v>
      </c>
      <c r="H42" s="459" t="s">
        <v>207</v>
      </c>
      <c r="I42" s="462" t="s">
        <v>7259</v>
      </c>
      <c r="J42" s="464" t="s">
        <v>7211</v>
      </c>
    </row>
    <row r="43" spans="1:10">
      <c r="A43" s="459" t="s">
        <v>206</v>
      </c>
      <c r="B43" s="460" t="s">
        <v>225</v>
      </c>
      <c r="C43" s="461" t="s">
        <v>785</v>
      </c>
      <c r="D43" s="462" t="s">
        <v>7260</v>
      </c>
      <c r="E43" s="463">
        <v>136963731</v>
      </c>
      <c r="F43" s="464">
        <v>1</v>
      </c>
      <c r="G43" s="465" t="s">
        <v>7179</v>
      </c>
      <c r="H43" s="459" t="s">
        <v>207</v>
      </c>
      <c r="I43" s="462" t="s">
        <v>7261</v>
      </c>
      <c r="J43" s="464" t="s">
        <v>7177</v>
      </c>
    </row>
    <row r="44" spans="1:10">
      <c r="A44" s="459" t="s">
        <v>206</v>
      </c>
      <c r="B44" s="460" t="s">
        <v>225</v>
      </c>
      <c r="C44" s="461" t="s">
        <v>790</v>
      </c>
      <c r="D44" s="462" t="s">
        <v>7262</v>
      </c>
      <c r="E44" s="463">
        <v>131182723</v>
      </c>
      <c r="F44" s="464">
        <v>1</v>
      </c>
      <c r="G44" s="465" t="s">
        <v>7179</v>
      </c>
      <c r="H44" s="459" t="s">
        <v>606</v>
      </c>
      <c r="I44" s="462" t="s">
        <v>7263</v>
      </c>
      <c r="J44" s="464" t="s">
        <v>7177</v>
      </c>
    </row>
    <row r="45" spans="1:10">
      <c r="A45" s="459" t="s">
        <v>206</v>
      </c>
      <c r="B45" s="460" t="s">
        <v>225</v>
      </c>
      <c r="C45" s="461" t="s">
        <v>793</v>
      </c>
      <c r="D45" s="462" t="s">
        <v>7264</v>
      </c>
      <c r="E45" s="463">
        <v>128871186</v>
      </c>
      <c r="F45" s="464">
        <v>1</v>
      </c>
      <c r="G45" s="465" t="s">
        <v>7179</v>
      </c>
      <c r="H45" s="459" t="s">
        <v>207</v>
      </c>
      <c r="I45" s="462" t="s">
        <v>7265</v>
      </c>
      <c r="J45" s="464" t="s">
        <v>7177</v>
      </c>
    </row>
    <row r="46" spans="1:10">
      <c r="A46" s="459" t="s">
        <v>206</v>
      </c>
      <c r="B46" s="460" t="s">
        <v>225</v>
      </c>
      <c r="C46" s="461" t="s">
        <v>795</v>
      </c>
      <c r="D46" s="462" t="s">
        <v>7266</v>
      </c>
      <c r="E46" s="463">
        <v>127320640</v>
      </c>
      <c r="F46" s="464">
        <v>1</v>
      </c>
      <c r="G46" s="465" t="s">
        <v>7179</v>
      </c>
      <c r="H46" s="459" t="s">
        <v>605</v>
      </c>
      <c r="I46" s="462" t="s">
        <v>7267</v>
      </c>
      <c r="J46" s="464" t="s">
        <v>7177</v>
      </c>
    </row>
    <row r="47" spans="1:10">
      <c r="A47" s="459" t="s">
        <v>206</v>
      </c>
      <c r="B47" s="460" t="s">
        <v>225</v>
      </c>
      <c r="C47" s="461" t="s">
        <v>798</v>
      </c>
      <c r="D47" s="462" t="s">
        <v>7268</v>
      </c>
      <c r="E47" s="463">
        <v>123485056</v>
      </c>
      <c r="F47" s="464">
        <v>1</v>
      </c>
      <c r="G47" s="465" t="s">
        <v>7226</v>
      </c>
      <c r="H47" s="459" t="s">
        <v>207</v>
      </c>
      <c r="I47" s="462" t="s">
        <v>7269</v>
      </c>
      <c r="J47" s="464" t="s">
        <v>7211</v>
      </c>
    </row>
    <row r="48" spans="1:10">
      <c r="A48" s="459" t="s">
        <v>206</v>
      </c>
      <c r="B48" s="460" t="s">
        <v>225</v>
      </c>
      <c r="C48" s="461" t="s">
        <v>808</v>
      </c>
      <c r="D48" s="462" t="s">
        <v>7270</v>
      </c>
      <c r="E48" s="463">
        <v>114567110</v>
      </c>
      <c r="F48" s="464">
        <v>1</v>
      </c>
      <c r="G48" s="465" t="s">
        <v>7179</v>
      </c>
      <c r="H48" s="459" t="s">
        <v>207</v>
      </c>
      <c r="I48" s="462" t="s">
        <v>7271</v>
      </c>
      <c r="J48" s="464" t="s">
        <v>7177</v>
      </c>
    </row>
    <row r="49" spans="1:10">
      <c r="A49" s="459" t="s">
        <v>206</v>
      </c>
      <c r="B49" s="460" t="s">
        <v>225</v>
      </c>
      <c r="C49" s="461" t="s">
        <v>811</v>
      </c>
      <c r="D49" s="462" t="s">
        <v>7272</v>
      </c>
      <c r="E49" s="463">
        <v>113000000</v>
      </c>
      <c r="F49" s="464">
        <v>1</v>
      </c>
      <c r="G49" s="465" t="s">
        <v>7171</v>
      </c>
      <c r="H49" s="459" t="s">
        <v>352</v>
      </c>
      <c r="I49" s="462" t="s">
        <v>7273</v>
      </c>
      <c r="J49" s="464" t="s">
        <v>7177</v>
      </c>
    </row>
    <row r="50" spans="1:10">
      <c r="A50" s="459" t="s">
        <v>206</v>
      </c>
      <c r="B50" s="460" t="s">
        <v>225</v>
      </c>
      <c r="C50" s="461" t="s">
        <v>815</v>
      </c>
      <c r="D50" s="462" t="s">
        <v>7274</v>
      </c>
      <c r="E50" s="463">
        <v>109141773</v>
      </c>
      <c r="F50" s="464">
        <v>1</v>
      </c>
      <c r="G50" s="465" t="s">
        <v>7179</v>
      </c>
      <c r="H50" s="459" t="s">
        <v>207</v>
      </c>
      <c r="I50" s="462" t="s">
        <v>7275</v>
      </c>
      <c r="J50" s="464" t="s">
        <v>7177</v>
      </c>
    </row>
    <row r="51" spans="1:10">
      <c r="A51" s="459" t="s">
        <v>206</v>
      </c>
      <c r="B51" s="460" t="s">
        <v>225</v>
      </c>
      <c r="C51" s="461" t="s">
        <v>818</v>
      </c>
      <c r="D51" s="462" t="s">
        <v>7276</v>
      </c>
      <c r="E51" s="463">
        <v>104872791</v>
      </c>
      <c r="F51" s="464">
        <v>1</v>
      </c>
      <c r="G51" s="465" t="s">
        <v>7226</v>
      </c>
      <c r="H51" s="459" t="s">
        <v>606</v>
      </c>
      <c r="I51" s="462" t="s">
        <v>7277</v>
      </c>
      <c r="J51" s="464" t="s">
        <v>7211</v>
      </c>
    </row>
    <row r="52" spans="1:10">
      <c r="A52" s="459" t="s">
        <v>206</v>
      </c>
      <c r="B52" s="460" t="s">
        <v>225</v>
      </c>
      <c r="C52" s="461" t="s">
        <v>827</v>
      </c>
      <c r="D52" s="462" t="s">
        <v>7278</v>
      </c>
      <c r="E52" s="463">
        <v>95973252</v>
      </c>
      <c r="F52" s="464">
        <v>1</v>
      </c>
      <c r="G52" s="465" t="s">
        <v>7179</v>
      </c>
      <c r="H52" s="459" t="s">
        <v>3078</v>
      </c>
      <c r="I52" s="462" t="s">
        <v>7279</v>
      </c>
      <c r="J52" s="464" t="s">
        <v>7177</v>
      </c>
    </row>
    <row r="53" spans="1:10">
      <c r="A53" s="459" t="s">
        <v>206</v>
      </c>
      <c r="B53" s="460" t="s">
        <v>225</v>
      </c>
      <c r="C53" s="461" t="s">
        <v>832</v>
      </c>
      <c r="D53" s="462" t="s">
        <v>7280</v>
      </c>
      <c r="E53" s="463">
        <v>93935738</v>
      </c>
      <c r="F53" s="464">
        <v>1</v>
      </c>
      <c r="G53" s="465" t="s">
        <v>7226</v>
      </c>
      <c r="H53" s="459" t="s">
        <v>207</v>
      </c>
      <c r="I53" s="462" t="s">
        <v>7281</v>
      </c>
      <c r="J53" s="464" t="s">
        <v>7211</v>
      </c>
    </row>
    <row r="54" spans="1:10">
      <c r="A54" s="459" t="s">
        <v>206</v>
      </c>
      <c r="B54" s="460" t="s">
        <v>225</v>
      </c>
      <c r="C54" s="461" t="s">
        <v>840</v>
      </c>
      <c r="D54" s="462" t="s">
        <v>7282</v>
      </c>
      <c r="E54" s="463">
        <v>85999944</v>
      </c>
      <c r="F54" s="464">
        <v>1</v>
      </c>
      <c r="G54" s="465" t="s">
        <v>7226</v>
      </c>
      <c r="H54" s="459" t="s">
        <v>207</v>
      </c>
      <c r="I54" s="462" t="s">
        <v>7283</v>
      </c>
      <c r="J54" s="464" t="s">
        <v>7211</v>
      </c>
    </row>
    <row r="55" spans="1:10">
      <c r="A55" s="459" t="s">
        <v>206</v>
      </c>
      <c r="B55" s="460" t="s">
        <v>225</v>
      </c>
      <c r="C55" s="461" t="s">
        <v>841</v>
      </c>
      <c r="D55" s="462" t="s">
        <v>7284</v>
      </c>
      <c r="E55" s="463">
        <v>85500000</v>
      </c>
      <c r="F55" s="464">
        <v>1</v>
      </c>
      <c r="G55" s="465" t="s">
        <v>7226</v>
      </c>
      <c r="H55" s="459" t="s">
        <v>207</v>
      </c>
      <c r="I55" s="462" t="s">
        <v>7285</v>
      </c>
      <c r="J55" s="464" t="s">
        <v>7211</v>
      </c>
    </row>
    <row r="56" spans="1:10">
      <c r="A56" s="459" t="s">
        <v>206</v>
      </c>
      <c r="B56" s="460" t="s">
        <v>225</v>
      </c>
      <c r="C56" s="461" t="s">
        <v>849</v>
      </c>
      <c r="D56" s="462" t="s">
        <v>7286</v>
      </c>
      <c r="E56" s="463">
        <v>77900000</v>
      </c>
      <c r="F56" s="464">
        <v>1</v>
      </c>
      <c r="G56" s="465" t="s">
        <v>7194</v>
      </c>
      <c r="H56" s="459" t="s">
        <v>396</v>
      </c>
      <c r="I56" s="462" t="s">
        <v>7287</v>
      </c>
      <c r="J56" s="464" t="s">
        <v>7211</v>
      </c>
    </row>
    <row r="57" spans="1:10">
      <c r="A57" s="459" t="s">
        <v>206</v>
      </c>
      <c r="B57" s="460" t="s">
        <v>225</v>
      </c>
      <c r="C57" s="461" t="s">
        <v>851</v>
      </c>
      <c r="D57" s="462" t="s">
        <v>7288</v>
      </c>
      <c r="E57" s="463">
        <v>74000000</v>
      </c>
      <c r="F57" s="464">
        <v>2</v>
      </c>
      <c r="G57" s="465" t="s">
        <v>7226</v>
      </c>
      <c r="H57" s="459" t="s">
        <v>7289</v>
      </c>
      <c r="I57" s="462" t="s">
        <v>7290</v>
      </c>
      <c r="J57" s="464" t="s">
        <v>7211</v>
      </c>
    </row>
    <row r="58" spans="1:10">
      <c r="A58" s="459" t="s">
        <v>206</v>
      </c>
      <c r="B58" s="460" t="s">
        <v>225</v>
      </c>
      <c r="C58" s="461" t="s">
        <v>853</v>
      </c>
      <c r="D58" s="462" t="s">
        <v>7291</v>
      </c>
      <c r="E58" s="463">
        <v>71272198</v>
      </c>
      <c r="F58" s="464">
        <v>1</v>
      </c>
      <c r="G58" s="465" t="s">
        <v>7179</v>
      </c>
      <c r="H58" s="459" t="s">
        <v>207</v>
      </c>
      <c r="I58" s="462" t="s">
        <v>7292</v>
      </c>
      <c r="J58" s="464" t="s">
        <v>7177</v>
      </c>
    </row>
    <row r="59" spans="1:10">
      <c r="A59" s="459" t="s">
        <v>206</v>
      </c>
      <c r="B59" s="460" t="s">
        <v>225</v>
      </c>
      <c r="C59" s="461" t="s">
        <v>862</v>
      </c>
      <c r="D59" s="462" t="s">
        <v>7293</v>
      </c>
      <c r="E59" s="463">
        <v>64742832</v>
      </c>
      <c r="F59" s="464">
        <v>1</v>
      </c>
      <c r="G59" s="465" t="s">
        <v>7194</v>
      </c>
      <c r="H59" s="459" t="s">
        <v>357</v>
      </c>
      <c r="I59" s="462" t="s">
        <v>7294</v>
      </c>
      <c r="J59" s="464" t="s">
        <v>7211</v>
      </c>
    </row>
    <row r="60" spans="1:10">
      <c r="A60" s="459" t="s">
        <v>206</v>
      </c>
      <c r="B60" s="460" t="s">
        <v>225</v>
      </c>
      <c r="C60" s="461" t="s">
        <v>863</v>
      </c>
      <c r="D60" s="462" t="s">
        <v>7295</v>
      </c>
      <c r="E60" s="463">
        <v>64400000</v>
      </c>
      <c r="F60" s="464">
        <v>1</v>
      </c>
      <c r="G60" s="465" t="s">
        <v>7226</v>
      </c>
      <c r="H60" s="459" t="s">
        <v>207</v>
      </c>
      <c r="I60" s="462" t="s">
        <v>7296</v>
      </c>
      <c r="J60" s="464" t="s">
        <v>7211</v>
      </c>
    </row>
    <row r="61" spans="1:10">
      <c r="A61" s="459" t="s">
        <v>206</v>
      </c>
      <c r="B61" s="460" t="s">
        <v>225</v>
      </c>
      <c r="C61" s="461" t="s">
        <v>865</v>
      </c>
      <c r="D61" s="462" t="s">
        <v>7297</v>
      </c>
      <c r="E61" s="463">
        <v>60000000</v>
      </c>
      <c r="F61" s="464">
        <v>1</v>
      </c>
      <c r="G61" s="465" t="s">
        <v>7171</v>
      </c>
      <c r="H61" s="459" t="s">
        <v>296</v>
      </c>
      <c r="I61" s="462" t="s">
        <v>7298</v>
      </c>
      <c r="J61" s="464" t="s">
        <v>7177</v>
      </c>
    </row>
    <row r="62" spans="1:10">
      <c r="A62" s="459" t="s">
        <v>206</v>
      </c>
      <c r="B62" s="460" t="s">
        <v>225</v>
      </c>
      <c r="C62" s="461" t="s">
        <v>869</v>
      </c>
      <c r="D62" s="462" t="s">
        <v>7299</v>
      </c>
      <c r="E62" s="463">
        <v>57111054</v>
      </c>
      <c r="F62" s="464">
        <v>1</v>
      </c>
      <c r="G62" s="465" t="s">
        <v>7179</v>
      </c>
      <c r="H62" s="459" t="s">
        <v>207</v>
      </c>
      <c r="I62" s="462" t="s">
        <v>7300</v>
      </c>
      <c r="J62" s="464" t="s">
        <v>7177</v>
      </c>
    </row>
    <row r="63" spans="1:10">
      <c r="A63" s="459" t="s">
        <v>206</v>
      </c>
      <c r="B63" s="460" t="s">
        <v>225</v>
      </c>
      <c r="C63" s="461" t="s">
        <v>884</v>
      </c>
      <c r="D63" s="462" t="s">
        <v>7301</v>
      </c>
      <c r="E63" s="463">
        <v>47819928</v>
      </c>
      <c r="F63" s="464">
        <v>1</v>
      </c>
      <c r="G63" s="465" t="s">
        <v>7179</v>
      </c>
      <c r="H63" s="459" t="s">
        <v>207</v>
      </c>
      <c r="I63" s="462" t="s">
        <v>7302</v>
      </c>
      <c r="J63" s="464" t="s">
        <v>7211</v>
      </c>
    </row>
    <row r="64" spans="1:10">
      <c r="A64" s="459" t="s">
        <v>206</v>
      </c>
      <c r="B64" s="460" t="s">
        <v>225</v>
      </c>
      <c r="C64" s="461" t="s">
        <v>895</v>
      </c>
      <c r="D64" s="462" t="s">
        <v>7303</v>
      </c>
      <c r="E64" s="463">
        <v>37932112</v>
      </c>
      <c r="F64" s="464">
        <v>1</v>
      </c>
      <c r="G64" s="465" t="s">
        <v>7179</v>
      </c>
      <c r="H64" s="459" t="s">
        <v>207</v>
      </c>
      <c r="I64" s="462" t="s">
        <v>7304</v>
      </c>
      <c r="J64" s="464" t="s">
        <v>7177</v>
      </c>
    </row>
    <row r="65" spans="1:10">
      <c r="A65" s="459" t="s">
        <v>206</v>
      </c>
      <c r="B65" s="460" t="s">
        <v>225</v>
      </c>
      <c r="C65" s="461" t="s">
        <v>916</v>
      </c>
      <c r="D65" s="462" t="s">
        <v>7305</v>
      </c>
      <c r="E65" s="463">
        <v>3994180</v>
      </c>
      <c r="F65" s="464">
        <v>1</v>
      </c>
      <c r="G65" s="465" t="s">
        <v>7226</v>
      </c>
      <c r="H65" s="459" t="s">
        <v>207</v>
      </c>
      <c r="I65" s="462" t="s">
        <v>7306</v>
      </c>
      <c r="J65" s="464" t="s">
        <v>7211</v>
      </c>
    </row>
    <row r="66" spans="1:10">
      <c r="A66" s="459" t="s">
        <v>206</v>
      </c>
      <c r="B66" s="460" t="s">
        <v>225</v>
      </c>
      <c r="C66" s="461" t="s">
        <v>917</v>
      </c>
      <c r="D66" s="462" t="s">
        <v>7307</v>
      </c>
      <c r="E66" s="463">
        <v>2744531</v>
      </c>
      <c r="F66" s="464">
        <v>1</v>
      </c>
      <c r="G66" s="465" t="s">
        <v>7194</v>
      </c>
      <c r="H66" s="459" t="s">
        <v>396</v>
      </c>
      <c r="I66" s="462" t="s">
        <v>7308</v>
      </c>
      <c r="J66" s="464" t="s">
        <v>7211</v>
      </c>
    </row>
    <row r="67" spans="1:10">
      <c r="A67" s="459" t="s">
        <v>206</v>
      </c>
      <c r="B67" s="460" t="s">
        <v>359</v>
      </c>
      <c r="C67" s="461" t="s">
        <v>924</v>
      </c>
      <c r="D67" s="462" t="s">
        <v>7309</v>
      </c>
      <c r="E67" s="463">
        <v>970000000</v>
      </c>
      <c r="F67" s="464">
        <v>1</v>
      </c>
      <c r="G67" s="465" t="s">
        <v>7179</v>
      </c>
      <c r="H67" s="459" t="s">
        <v>207</v>
      </c>
      <c r="I67" s="462" t="s">
        <v>7310</v>
      </c>
      <c r="J67" s="464" t="s">
        <v>7177</v>
      </c>
    </row>
    <row r="68" spans="1:10">
      <c r="A68" s="459" t="s">
        <v>206</v>
      </c>
      <c r="B68" s="460" t="s">
        <v>359</v>
      </c>
      <c r="C68" s="461" t="s">
        <v>926</v>
      </c>
      <c r="D68" s="462" t="s">
        <v>7311</v>
      </c>
      <c r="E68" s="463">
        <v>229260115</v>
      </c>
      <c r="F68" s="464">
        <v>1</v>
      </c>
      <c r="G68" s="465" t="s">
        <v>7226</v>
      </c>
      <c r="H68" s="459" t="s">
        <v>207</v>
      </c>
      <c r="I68" s="462" t="s">
        <v>7312</v>
      </c>
      <c r="J68" s="464" t="s">
        <v>7211</v>
      </c>
    </row>
    <row r="69" spans="1:10">
      <c r="A69" s="459" t="s">
        <v>206</v>
      </c>
      <c r="B69" s="460" t="s">
        <v>359</v>
      </c>
      <c r="C69" s="461" t="s">
        <v>7148</v>
      </c>
      <c r="D69" s="462" t="s">
        <v>7313</v>
      </c>
      <c r="E69" s="468">
        <v>1570379100</v>
      </c>
      <c r="F69" s="464">
        <v>2</v>
      </c>
      <c r="G69" s="465" t="s">
        <v>7194</v>
      </c>
      <c r="H69" s="459" t="s">
        <v>7314</v>
      </c>
      <c r="I69" s="469" t="s">
        <v>7315</v>
      </c>
      <c r="J69" s="464" t="s">
        <v>7177</v>
      </c>
    </row>
    <row r="70" spans="1:10">
      <c r="A70" s="459" t="s">
        <v>202</v>
      </c>
      <c r="B70" s="460" t="s">
        <v>225</v>
      </c>
      <c r="C70" s="461" t="s">
        <v>943</v>
      </c>
      <c r="D70" s="462" t="s">
        <v>7316</v>
      </c>
      <c r="E70" s="468">
        <v>1497800000</v>
      </c>
      <c r="F70" s="464">
        <v>1</v>
      </c>
      <c r="G70" s="465" t="s">
        <v>7194</v>
      </c>
      <c r="H70" s="459" t="s">
        <v>285</v>
      </c>
      <c r="I70" s="462" t="s">
        <v>7317</v>
      </c>
      <c r="J70" s="464" t="s">
        <v>7211</v>
      </c>
    </row>
    <row r="71" spans="1:10">
      <c r="A71" s="459" t="s">
        <v>202</v>
      </c>
      <c r="B71" s="460" t="s">
        <v>225</v>
      </c>
      <c r="C71" s="461" t="s">
        <v>949</v>
      </c>
      <c r="D71" s="462" t="s">
        <v>7318</v>
      </c>
      <c r="E71" s="468">
        <v>1153180980</v>
      </c>
      <c r="F71" s="464">
        <v>2</v>
      </c>
      <c r="G71" s="465" t="s">
        <v>7171</v>
      </c>
      <c r="H71" s="459" t="s">
        <v>7319</v>
      </c>
      <c r="I71" s="462" t="s">
        <v>7320</v>
      </c>
      <c r="J71" s="464" t="s">
        <v>7211</v>
      </c>
    </row>
    <row r="72" spans="1:10">
      <c r="A72" s="459" t="s">
        <v>202</v>
      </c>
      <c r="B72" s="460" t="s">
        <v>225</v>
      </c>
      <c r="C72" s="461" t="s">
        <v>950</v>
      </c>
      <c r="D72" s="462" t="s">
        <v>7321</v>
      </c>
      <c r="E72" s="468">
        <v>1108113668</v>
      </c>
      <c r="F72" s="464">
        <v>2</v>
      </c>
      <c r="G72" s="465" t="s">
        <v>7194</v>
      </c>
      <c r="H72" s="459" t="s">
        <v>7322</v>
      </c>
      <c r="I72" s="462" t="s">
        <v>7323</v>
      </c>
      <c r="J72" s="464" t="s">
        <v>7211</v>
      </c>
    </row>
    <row r="73" spans="1:10">
      <c r="A73" s="459" t="s">
        <v>202</v>
      </c>
      <c r="B73" s="460" t="s">
        <v>225</v>
      </c>
      <c r="C73" s="461" t="s">
        <v>954</v>
      </c>
      <c r="D73" s="462" t="s">
        <v>7324</v>
      </c>
      <c r="E73" s="468">
        <v>993632180</v>
      </c>
      <c r="F73" s="464">
        <v>2</v>
      </c>
      <c r="G73" s="465" t="s">
        <v>7171</v>
      </c>
      <c r="H73" s="459" t="s">
        <v>7325</v>
      </c>
      <c r="I73" s="462" t="s">
        <v>7326</v>
      </c>
      <c r="J73" s="464" t="s">
        <v>7177</v>
      </c>
    </row>
    <row r="74" spans="1:10">
      <c r="A74" s="459" t="s">
        <v>202</v>
      </c>
      <c r="B74" s="460" t="s">
        <v>225</v>
      </c>
      <c r="C74" s="461" t="s">
        <v>955</v>
      </c>
      <c r="D74" s="462" t="s">
        <v>7327</v>
      </c>
      <c r="E74" s="468">
        <v>912000000</v>
      </c>
      <c r="F74" s="464">
        <v>2</v>
      </c>
      <c r="G74" s="465" t="s">
        <v>7194</v>
      </c>
      <c r="H74" s="459" t="s">
        <v>7328</v>
      </c>
      <c r="I74" s="462" t="s">
        <v>7329</v>
      </c>
      <c r="J74" s="464" t="s">
        <v>7177</v>
      </c>
    </row>
    <row r="75" spans="1:10">
      <c r="A75" s="459" t="s">
        <v>202</v>
      </c>
      <c r="B75" s="460" t="s">
        <v>225</v>
      </c>
      <c r="C75" s="461" t="s">
        <v>958</v>
      </c>
      <c r="D75" s="462" t="s">
        <v>7330</v>
      </c>
      <c r="E75" s="468">
        <v>827926405</v>
      </c>
      <c r="F75" s="464">
        <v>1</v>
      </c>
      <c r="G75" s="465" t="s">
        <v>7194</v>
      </c>
      <c r="H75" s="459" t="s">
        <v>285</v>
      </c>
      <c r="I75" s="462" t="s">
        <v>7331</v>
      </c>
      <c r="J75" s="464" t="s">
        <v>7211</v>
      </c>
    </row>
    <row r="76" spans="1:10">
      <c r="A76" s="459" t="s">
        <v>202</v>
      </c>
      <c r="B76" s="460" t="s">
        <v>225</v>
      </c>
      <c r="C76" s="461" t="s">
        <v>959</v>
      </c>
      <c r="D76" s="462" t="s">
        <v>7332</v>
      </c>
      <c r="E76" s="468">
        <v>800000000</v>
      </c>
      <c r="F76" s="464">
        <v>1</v>
      </c>
      <c r="G76" s="465" t="s">
        <v>7194</v>
      </c>
      <c r="H76" s="459" t="s">
        <v>362</v>
      </c>
      <c r="I76" s="462" t="s">
        <v>7333</v>
      </c>
      <c r="J76" s="464" t="s">
        <v>7211</v>
      </c>
    </row>
    <row r="77" spans="1:10">
      <c r="A77" s="459" t="s">
        <v>202</v>
      </c>
      <c r="B77" s="460" t="s">
        <v>225</v>
      </c>
      <c r="C77" s="461" t="s">
        <v>960</v>
      </c>
      <c r="D77" s="462" t="s">
        <v>7334</v>
      </c>
      <c r="E77" s="468">
        <v>774600000</v>
      </c>
      <c r="F77" s="464">
        <v>1</v>
      </c>
      <c r="G77" s="465" t="s">
        <v>7194</v>
      </c>
      <c r="H77" s="459" t="s">
        <v>3184</v>
      </c>
      <c r="I77" s="462" t="s">
        <v>7335</v>
      </c>
      <c r="J77" s="464" t="s">
        <v>7177</v>
      </c>
    </row>
    <row r="78" spans="1:10">
      <c r="A78" s="459" t="s">
        <v>202</v>
      </c>
      <c r="B78" s="460" t="s">
        <v>225</v>
      </c>
      <c r="C78" s="461" t="s">
        <v>963</v>
      </c>
      <c r="D78" s="462" t="s">
        <v>7336</v>
      </c>
      <c r="E78" s="468">
        <v>665559104</v>
      </c>
      <c r="F78" s="464">
        <v>1</v>
      </c>
      <c r="G78" s="465" t="s">
        <v>7226</v>
      </c>
      <c r="H78" s="459" t="s">
        <v>207</v>
      </c>
      <c r="I78" s="462" t="s">
        <v>7337</v>
      </c>
      <c r="J78" s="464" t="s">
        <v>7211</v>
      </c>
    </row>
    <row r="79" spans="1:10">
      <c r="A79" s="459" t="s">
        <v>202</v>
      </c>
      <c r="B79" s="460" t="s">
        <v>225</v>
      </c>
      <c r="C79" s="461" t="s">
        <v>964</v>
      </c>
      <c r="D79" s="462" t="s">
        <v>7338</v>
      </c>
      <c r="E79" s="468">
        <v>652365916</v>
      </c>
      <c r="F79" s="464">
        <v>1</v>
      </c>
      <c r="G79" s="465" t="s">
        <v>7226</v>
      </c>
      <c r="H79" s="459" t="s">
        <v>606</v>
      </c>
      <c r="I79" s="462" t="s">
        <v>7339</v>
      </c>
      <c r="J79" s="464" t="s">
        <v>7177</v>
      </c>
    </row>
    <row r="80" spans="1:10">
      <c r="A80" s="459" t="s">
        <v>202</v>
      </c>
      <c r="B80" s="460" t="s">
        <v>225</v>
      </c>
      <c r="C80" s="461" t="s">
        <v>965</v>
      </c>
      <c r="D80" s="462" t="s">
        <v>7340</v>
      </c>
      <c r="E80" s="468">
        <v>645672590</v>
      </c>
      <c r="F80" s="464">
        <v>1</v>
      </c>
      <c r="G80" s="465" t="s">
        <v>7194</v>
      </c>
      <c r="H80" s="459" t="s">
        <v>620</v>
      </c>
      <c r="I80" s="462" t="s">
        <v>7341</v>
      </c>
      <c r="J80" s="464" t="s">
        <v>7211</v>
      </c>
    </row>
    <row r="81" spans="1:10">
      <c r="A81" s="459" t="s">
        <v>202</v>
      </c>
      <c r="B81" s="460" t="s">
        <v>225</v>
      </c>
      <c r="C81" s="461" t="s">
        <v>976</v>
      </c>
      <c r="D81" s="462" t="s">
        <v>7342</v>
      </c>
      <c r="E81" s="468">
        <v>472000000</v>
      </c>
      <c r="F81" s="464">
        <v>1</v>
      </c>
      <c r="G81" s="465" t="s">
        <v>7226</v>
      </c>
      <c r="H81" s="459" t="s">
        <v>207</v>
      </c>
      <c r="I81" s="462" t="s">
        <v>7343</v>
      </c>
      <c r="J81" s="464" t="s">
        <v>7211</v>
      </c>
    </row>
    <row r="82" spans="1:10">
      <c r="A82" s="459" t="s">
        <v>202</v>
      </c>
      <c r="B82" s="460" t="s">
        <v>225</v>
      </c>
      <c r="C82" s="461" t="s">
        <v>988</v>
      </c>
      <c r="D82" s="462" t="s">
        <v>7344</v>
      </c>
      <c r="E82" s="468">
        <v>366002481</v>
      </c>
      <c r="F82" s="464">
        <v>1</v>
      </c>
      <c r="G82" s="465" t="s">
        <v>7226</v>
      </c>
      <c r="H82" s="459" t="s">
        <v>207</v>
      </c>
      <c r="I82" s="462" t="s">
        <v>7345</v>
      </c>
      <c r="J82" s="464" t="s">
        <v>7211</v>
      </c>
    </row>
    <row r="83" spans="1:10">
      <c r="A83" s="459" t="s">
        <v>202</v>
      </c>
      <c r="B83" s="460" t="s">
        <v>225</v>
      </c>
      <c r="C83" s="461" t="s">
        <v>991</v>
      </c>
      <c r="D83" s="462" t="s">
        <v>7346</v>
      </c>
      <c r="E83" s="468">
        <v>340000000</v>
      </c>
      <c r="F83" s="464">
        <v>1</v>
      </c>
      <c r="G83" s="465" t="s">
        <v>7194</v>
      </c>
      <c r="H83" s="459" t="s">
        <v>546</v>
      </c>
      <c r="I83" s="469" t="s">
        <v>7347</v>
      </c>
      <c r="J83" s="464" t="s">
        <v>7211</v>
      </c>
    </row>
    <row r="84" spans="1:10">
      <c r="A84" s="459" t="s">
        <v>202</v>
      </c>
      <c r="B84" s="460" t="s">
        <v>225</v>
      </c>
      <c r="C84" s="461" t="s">
        <v>994</v>
      </c>
      <c r="D84" s="462" t="s">
        <v>7348</v>
      </c>
      <c r="E84" s="468">
        <v>324557633</v>
      </c>
      <c r="F84" s="464">
        <v>1</v>
      </c>
      <c r="G84" s="465" t="s">
        <v>7226</v>
      </c>
      <c r="H84" s="459" t="s">
        <v>207</v>
      </c>
      <c r="I84" s="462" t="s">
        <v>7349</v>
      </c>
      <c r="J84" s="464" t="s">
        <v>7211</v>
      </c>
    </row>
    <row r="85" spans="1:10">
      <c r="A85" s="459" t="s">
        <v>202</v>
      </c>
      <c r="B85" s="460" t="s">
        <v>225</v>
      </c>
      <c r="C85" s="461" t="s">
        <v>996</v>
      </c>
      <c r="D85" s="462" t="s">
        <v>7350</v>
      </c>
      <c r="E85" s="468">
        <v>320000000</v>
      </c>
      <c r="F85" s="464">
        <v>1</v>
      </c>
      <c r="G85" s="465" t="s">
        <v>7226</v>
      </c>
      <c r="H85" s="459" t="s">
        <v>3141</v>
      </c>
      <c r="I85" s="462" t="s">
        <v>7351</v>
      </c>
      <c r="J85" s="464" t="s">
        <v>7211</v>
      </c>
    </row>
    <row r="86" spans="1:10">
      <c r="A86" s="459" t="s">
        <v>202</v>
      </c>
      <c r="B86" s="460" t="s">
        <v>225</v>
      </c>
      <c r="C86" s="461" t="s">
        <v>1000</v>
      </c>
      <c r="D86" s="462" t="s">
        <v>7352</v>
      </c>
      <c r="E86" s="468">
        <v>308000000</v>
      </c>
      <c r="F86" s="464">
        <v>1</v>
      </c>
      <c r="G86" s="465" t="s">
        <v>7171</v>
      </c>
      <c r="H86" s="459" t="s">
        <v>362</v>
      </c>
      <c r="I86" s="462" t="s">
        <v>7353</v>
      </c>
      <c r="J86" s="464" t="s">
        <v>7177</v>
      </c>
    </row>
    <row r="87" spans="1:10">
      <c r="A87" s="459" t="s">
        <v>202</v>
      </c>
      <c r="B87" s="460" t="s">
        <v>225</v>
      </c>
      <c r="C87" s="461" t="s">
        <v>1004</v>
      </c>
      <c r="D87" s="462" t="s">
        <v>7354</v>
      </c>
      <c r="E87" s="468">
        <v>290000000</v>
      </c>
      <c r="F87" s="464">
        <v>1</v>
      </c>
      <c r="G87" s="465" t="s">
        <v>7194</v>
      </c>
      <c r="H87" s="470" t="s">
        <v>362</v>
      </c>
      <c r="I87" s="471" t="s">
        <v>7355</v>
      </c>
      <c r="J87" s="464" t="s">
        <v>7177</v>
      </c>
    </row>
    <row r="88" spans="1:10">
      <c r="A88" s="459" t="s">
        <v>202</v>
      </c>
      <c r="B88" s="460" t="s">
        <v>225</v>
      </c>
      <c r="C88" s="461" t="s">
        <v>1005</v>
      </c>
      <c r="D88" s="462" t="s">
        <v>7356</v>
      </c>
      <c r="E88" s="468">
        <v>289056660</v>
      </c>
      <c r="F88" s="464">
        <v>1</v>
      </c>
      <c r="G88" s="465" t="s">
        <v>7179</v>
      </c>
      <c r="H88" s="459" t="s">
        <v>207</v>
      </c>
      <c r="I88" s="462" t="s">
        <v>7357</v>
      </c>
      <c r="J88" s="464" t="s">
        <v>7177</v>
      </c>
    </row>
    <row r="89" spans="1:10">
      <c r="A89" s="459" t="s">
        <v>202</v>
      </c>
      <c r="B89" s="460" t="s">
        <v>225</v>
      </c>
      <c r="C89" s="461" t="s">
        <v>1006</v>
      </c>
      <c r="D89" s="462" t="s">
        <v>7358</v>
      </c>
      <c r="E89" s="468">
        <v>289000000</v>
      </c>
      <c r="F89" s="464">
        <v>1</v>
      </c>
      <c r="G89" s="465" t="s">
        <v>7226</v>
      </c>
      <c r="H89" s="459" t="s">
        <v>207</v>
      </c>
      <c r="I89" s="462" t="s">
        <v>7359</v>
      </c>
      <c r="J89" s="464" t="s">
        <v>7211</v>
      </c>
    </row>
    <row r="90" spans="1:10">
      <c r="A90" s="459" t="s">
        <v>202</v>
      </c>
      <c r="B90" s="460" t="s">
        <v>225</v>
      </c>
      <c r="C90" s="461" t="s">
        <v>1009</v>
      </c>
      <c r="D90" s="462" t="s">
        <v>7360</v>
      </c>
      <c r="E90" s="468">
        <v>274023609</v>
      </c>
      <c r="F90" s="464">
        <v>1</v>
      </c>
      <c r="G90" s="465" t="s">
        <v>7226</v>
      </c>
      <c r="H90" s="459" t="s">
        <v>207</v>
      </c>
      <c r="I90" s="462" t="s">
        <v>7361</v>
      </c>
      <c r="J90" s="464" t="s">
        <v>7211</v>
      </c>
    </row>
    <row r="91" spans="1:10">
      <c r="A91" s="459" t="s">
        <v>202</v>
      </c>
      <c r="B91" s="460" t="s">
        <v>225</v>
      </c>
      <c r="C91" s="461" t="s">
        <v>1013</v>
      </c>
      <c r="D91" s="462" t="s">
        <v>7362</v>
      </c>
      <c r="E91" s="468">
        <v>248684545</v>
      </c>
      <c r="F91" s="464">
        <v>1</v>
      </c>
      <c r="G91" s="465" t="s">
        <v>7226</v>
      </c>
      <c r="H91" s="459" t="s">
        <v>207</v>
      </c>
      <c r="I91" s="462" t="s">
        <v>7363</v>
      </c>
      <c r="J91" s="464" t="s">
        <v>7177</v>
      </c>
    </row>
    <row r="92" spans="1:10">
      <c r="A92" s="459" t="s">
        <v>202</v>
      </c>
      <c r="B92" s="460" t="s">
        <v>225</v>
      </c>
      <c r="C92" s="461" t="s">
        <v>1014</v>
      </c>
      <c r="D92" s="462" t="s">
        <v>7364</v>
      </c>
      <c r="E92" s="468">
        <v>246645777</v>
      </c>
      <c r="F92" s="464">
        <v>1</v>
      </c>
      <c r="G92" s="465" t="s">
        <v>7179</v>
      </c>
      <c r="H92" s="459" t="s">
        <v>207</v>
      </c>
      <c r="I92" s="462" t="s">
        <v>7365</v>
      </c>
      <c r="J92" s="464" t="s">
        <v>7177</v>
      </c>
    </row>
    <row r="93" spans="1:10">
      <c r="A93" s="459" t="s">
        <v>202</v>
      </c>
      <c r="B93" s="460" t="s">
        <v>225</v>
      </c>
      <c r="C93" s="461" t="s">
        <v>1017</v>
      </c>
      <c r="D93" s="462" t="s">
        <v>7366</v>
      </c>
      <c r="E93" s="468">
        <v>230000000</v>
      </c>
      <c r="F93" s="464">
        <v>1</v>
      </c>
      <c r="G93" s="465" t="s">
        <v>7194</v>
      </c>
      <c r="H93" s="459" t="s">
        <v>531</v>
      </c>
      <c r="I93" s="462" t="s">
        <v>7367</v>
      </c>
      <c r="J93" s="464" t="s">
        <v>7177</v>
      </c>
    </row>
    <row r="94" spans="1:10">
      <c r="A94" s="459" t="s">
        <v>202</v>
      </c>
      <c r="B94" s="460" t="s">
        <v>225</v>
      </c>
      <c r="C94" s="461" t="s">
        <v>1019</v>
      </c>
      <c r="D94" s="462" t="s">
        <v>7368</v>
      </c>
      <c r="E94" s="468">
        <v>228727365</v>
      </c>
      <c r="F94" s="464">
        <v>1</v>
      </c>
      <c r="G94" s="465" t="s">
        <v>7226</v>
      </c>
      <c r="H94" s="459" t="s">
        <v>207</v>
      </c>
      <c r="I94" s="462" t="s">
        <v>7369</v>
      </c>
      <c r="J94" s="464" t="s">
        <v>7177</v>
      </c>
    </row>
    <row r="95" spans="1:10">
      <c r="A95" s="459" t="s">
        <v>202</v>
      </c>
      <c r="B95" s="460" t="s">
        <v>225</v>
      </c>
      <c r="C95" s="461" t="s">
        <v>1028</v>
      </c>
      <c r="D95" s="462" t="s">
        <v>7370</v>
      </c>
      <c r="E95" s="468">
        <v>198490579</v>
      </c>
      <c r="F95" s="464">
        <v>1</v>
      </c>
      <c r="G95" s="465" t="s">
        <v>7179</v>
      </c>
      <c r="H95" s="459" t="s">
        <v>606</v>
      </c>
      <c r="I95" s="462" t="s">
        <v>7371</v>
      </c>
      <c r="J95" s="464" t="s">
        <v>7177</v>
      </c>
    </row>
    <row r="96" spans="1:10">
      <c r="A96" s="459" t="s">
        <v>202</v>
      </c>
      <c r="B96" s="460" t="s">
        <v>225</v>
      </c>
      <c r="C96" s="461" t="s">
        <v>1031</v>
      </c>
      <c r="D96" s="462" t="s">
        <v>7372</v>
      </c>
      <c r="E96" s="468">
        <v>192000000</v>
      </c>
      <c r="F96" s="464">
        <v>2</v>
      </c>
      <c r="G96" s="465" t="s">
        <v>7171</v>
      </c>
      <c r="H96" s="459" t="s">
        <v>7373</v>
      </c>
      <c r="I96" s="462" t="s">
        <v>7374</v>
      </c>
      <c r="J96" s="464" t="s">
        <v>7177</v>
      </c>
    </row>
    <row r="97" spans="1:10">
      <c r="A97" s="459" t="s">
        <v>202</v>
      </c>
      <c r="B97" s="460" t="s">
        <v>225</v>
      </c>
      <c r="C97" s="461" t="s">
        <v>1032</v>
      </c>
      <c r="D97" s="462" t="s">
        <v>7375</v>
      </c>
      <c r="E97" s="468">
        <v>191400000</v>
      </c>
      <c r="F97" s="464">
        <v>2</v>
      </c>
      <c r="G97" s="465" t="s">
        <v>7226</v>
      </c>
      <c r="H97" s="472" t="s">
        <v>7376</v>
      </c>
      <c r="I97" s="473" t="s">
        <v>7377</v>
      </c>
      <c r="J97" s="464" t="s">
        <v>7211</v>
      </c>
    </row>
    <row r="98" spans="1:10">
      <c r="A98" s="459" t="s">
        <v>202</v>
      </c>
      <c r="B98" s="460" t="s">
        <v>225</v>
      </c>
      <c r="C98" s="461" t="s">
        <v>1033</v>
      </c>
      <c r="D98" s="462" t="s">
        <v>7378</v>
      </c>
      <c r="E98" s="468">
        <v>191400000</v>
      </c>
      <c r="F98" s="464">
        <v>2</v>
      </c>
      <c r="G98" s="465" t="s">
        <v>7179</v>
      </c>
      <c r="H98" s="472" t="s">
        <v>7379</v>
      </c>
      <c r="I98" s="473" t="s">
        <v>7380</v>
      </c>
      <c r="J98" s="464" t="s">
        <v>7211</v>
      </c>
    </row>
    <row r="99" spans="1:10">
      <c r="A99" s="459" t="s">
        <v>202</v>
      </c>
      <c r="B99" s="460" t="s">
        <v>225</v>
      </c>
      <c r="C99" s="461" t="s">
        <v>1035</v>
      </c>
      <c r="D99" s="462" t="s">
        <v>7381</v>
      </c>
      <c r="E99" s="468">
        <v>190400000</v>
      </c>
      <c r="F99" s="464">
        <v>2</v>
      </c>
      <c r="G99" s="465" t="s">
        <v>7226</v>
      </c>
      <c r="H99" s="472" t="s">
        <v>7379</v>
      </c>
      <c r="I99" s="473" t="s">
        <v>7382</v>
      </c>
      <c r="J99" s="464" t="s">
        <v>7211</v>
      </c>
    </row>
    <row r="100" spans="1:10">
      <c r="A100" s="459" t="s">
        <v>202</v>
      </c>
      <c r="B100" s="460" t="s">
        <v>225</v>
      </c>
      <c r="C100" s="461" t="s">
        <v>1036</v>
      </c>
      <c r="D100" s="462" t="s">
        <v>7383</v>
      </c>
      <c r="E100" s="468">
        <v>189000000</v>
      </c>
      <c r="F100" s="464">
        <v>2</v>
      </c>
      <c r="G100" s="465" t="s">
        <v>7179</v>
      </c>
      <c r="H100" s="472" t="s">
        <v>7376</v>
      </c>
      <c r="I100" s="473" t="s">
        <v>7384</v>
      </c>
      <c r="J100" s="464" t="s">
        <v>7211</v>
      </c>
    </row>
    <row r="101" spans="1:10">
      <c r="A101" s="459" t="s">
        <v>202</v>
      </c>
      <c r="B101" s="460" t="s">
        <v>225</v>
      </c>
      <c r="C101" s="461" t="s">
        <v>1040</v>
      </c>
      <c r="D101" s="462" t="s">
        <v>7385</v>
      </c>
      <c r="E101" s="468">
        <v>180671604</v>
      </c>
      <c r="F101" s="464">
        <v>1</v>
      </c>
      <c r="G101" s="465" t="s">
        <v>7226</v>
      </c>
      <c r="H101" s="459" t="s">
        <v>207</v>
      </c>
      <c r="I101" s="462" t="s">
        <v>7386</v>
      </c>
      <c r="J101" s="464" t="s">
        <v>7177</v>
      </c>
    </row>
    <row r="102" spans="1:10">
      <c r="A102" s="459" t="s">
        <v>202</v>
      </c>
      <c r="B102" s="460" t="s">
        <v>225</v>
      </c>
      <c r="C102" s="461" t="s">
        <v>1045</v>
      </c>
      <c r="D102" s="462" t="s">
        <v>7387</v>
      </c>
      <c r="E102" s="468">
        <v>173274815</v>
      </c>
      <c r="F102" s="464">
        <v>1</v>
      </c>
      <c r="G102" s="465" t="s">
        <v>7179</v>
      </c>
      <c r="H102" s="459" t="s">
        <v>207</v>
      </c>
      <c r="I102" s="462" t="s">
        <v>7388</v>
      </c>
      <c r="J102" s="464" t="s">
        <v>7211</v>
      </c>
    </row>
    <row r="103" spans="1:10">
      <c r="A103" s="459" t="s">
        <v>202</v>
      </c>
      <c r="B103" s="460" t="s">
        <v>225</v>
      </c>
      <c r="C103" s="461" t="s">
        <v>1052</v>
      </c>
      <c r="D103" s="462" t="s">
        <v>7389</v>
      </c>
      <c r="E103" s="468">
        <v>160826568</v>
      </c>
      <c r="F103" s="464">
        <v>1</v>
      </c>
      <c r="G103" s="465" t="s">
        <v>7179</v>
      </c>
      <c r="H103" s="459" t="s">
        <v>207</v>
      </c>
      <c r="I103" s="462" t="s">
        <v>7390</v>
      </c>
      <c r="J103" s="464" t="s">
        <v>7177</v>
      </c>
    </row>
    <row r="104" spans="1:10">
      <c r="A104" s="459" t="s">
        <v>202</v>
      </c>
      <c r="B104" s="460" t="s">
        <v>225</v>
      </c>
      <c r="C104" s="461" t="s">
        <v>1053</v>
      </c>
      <c r="D104" s="462" t="s">
        <v>7391</v>
      </c>
      <c r="E104" s="468">
        <v>159845672</v>
      </c>
      <c r="F104" s="464">
        <v>1</v>
      </c>
      <c r="G104" s="465" t="s">
        <v>7226</v>
      </c>
      <c r="H104" s="459" t="s">
        <v>207</v>
      </c>
      <c r="I104" s="462" t="s">
        <v>7392</v>
      </c>
      <c r="J104" s="464" t="s">
        <v>7211</v>
      </c>
    </row>
    <row r="105" spans="1:10">
      <c r="A105" s="459" t="s">
        <v>202</v>
      </c>
      <c r="B105" s="460" t="s">
        <v>225</v>
      </c>
      <c r="C105" s="461" t="s">
        <v>1058</v>
      </c>
      <c r="D105" s="462" t="s">
        <v>7393</v>
      </c>
      <c r="E105" s="468">
        <v>154000000</v>
      </c>
      <c r="F105" s="464">
        <v>1</v>
      </c>
      <c r="G105" s="465" t="s">
        <v>7179</v>
      </c>
      <c r="H105" s="459" t="s">
        <v>207</v>
      </c>
      <c r="I105" s="462" t="s">
        <v>7394</v>
      </c>
      <c r="J105" s="464" t="s">
        <v>7177</v>
      </c>
    </row>
    <row r="106" spans="1:10">
      <c r="A106" s="459" t="s">
        <v>202</v>
      </c>
      <c r="B106" s="460" t="s">
        <v>225</v>
      </c>
      <c r="C106" s="461" t="s">
        <v>1062</v>
      </c>
      <c r="D106" s="462" t="s">
        <v>7395</v>
      </c>
      <c r="E106" s="468">
        <v>148739099</v>
      </c>
      <c r="F106" s="464">
        <v>1</v>
      </c>
      <c r="G106" s="465" t="s">
        <v>7179</v>
      </c>
      <c r="H106" s="459" t="s">
        <v>207</v>
      </c>
      <c r="I106" s="462" t="s">
        <v>7396</v>
      </c>
      <c r="J106" s="464" t="s">
        <v>7211</v>
      </c>
    </row>
    <row r="107" spans="1:10">
      <c r="A107" s="459" t="s">
        <v>202</v>
      </c>
      <c r="B107" s="460" t="s">
        <v>225</v>
      </c>
      <c r="C107" s="461" t="s">
        <v>1063</v>
      </c>
      <c r="D107" s="462" t="s">
        <v>7397</v>
      </c>
      <c r="E107" s="468">
        <v>147890976</v>
      </c>
      <c r="F107" s="464">
        <v>1</v>
      </c>
      <c r="G107" s="465" t="s">
        <v>7226</v>
      </c>
      <c r="H107" s="459" t="s">
        <v>207</v>
      </c>
      <c r="I107" s="462" t="s">
        <v>7398</v>
      </c>
      <c r="J107" s="464" t="s">
        <v>7211</v>
      </c>
    </row>
    <row r="108" spans="1:10">
      <c r="A108" s="459" t="s">
        <v>202</v>
      </c>
      <c r="B108" s="460" t="s">
        <v>225</v>
      </c>
      <c r="C108" s="461" t="s">
        <v>1066</v>
      </c>
      <c r="D108" s="462" t="s">
        <v>7399</v>
      </c>
      <c r="E108" s="468">
        <v>141783821</v>
      </c>
      <c r="F108" s="464">
        <v>1</v>
      </c>
      <c r="G108" s="465" t="s">
        <v>7226</v>
      </c>
      <c r="H108" s="459" t="s">
        <v>606</v>
      </c>
      <c r="I108" s="462" t="s">
        <v>7400</v>
      </c>
      <c r="J108" s="464" t="s">
        <v>7177</v>
      </c>
    </row>
    <row r="109" spans="1:10">
      <c r="A109" s="459" t="s">
        <v>202</v>
      </c>
      <c r="B109" s="460" t="s">
        <v>225</v>
      </c>
      <c r="C109" s="461" t="s">
        <v>1072</v>
      </c>
      <c r="D109" s="462" t="s">
        <v>7401</v>
      </c>
      <c r="E109" s="468">
        <v>133871233</v>
      </c>
      <c r="F109" s="464">
        <v>1</v>
      </c>
      <c r="G109" s="465" t="s">
        <v>7179</v>
      </c>
      <c r="H109" s="459" t="s">
        <v>207</v>
      </c>
      <c r="I109" s="462" t="s">
        <v>7402</v>
      </c>
      <c r="J109" s="464" t="s">
        <v>7211</v>
      </c>
    </row>
    <row r="110" spans="1:10">
      <c r="A110" s="459" t="s">
        <v>202</v>
      </c>
      <c r="B110" s="460" t="s">
        <v>225</v>
      </c>
      <c r="C110" s="461" t="s">
        <v>1076</v>
      </c>
      <c r="D110" s="462" t="s">
        <v>7403</v>
      </c>
      <c r="E110" s="468">
        <v>130000000</v>
      </c>
      <c r="F110" s="464">
        <v>1</v>
      </c>
      <c r="G110" s="465" t="s">
        <v>7194</v>
      </c>
      <c r="H110" s="470" t="s">
        <v>362</v>
      </c>
      <c r="I110" s="471" t="s">
        <v>7404</v>
      </c>
      <c r="J110" s="464" t="s">
        <v>7211</v>
      </c>
    </row>
    <row r="111" spans="1:10">
      <c r="A111" s="459" t="s">
        <v>202</v>
      </c>
      <c r="B111" s="460" t="s">
        <v>225</v>
      </c>
      <c r="C111" s="461" t="s">
        <v>1080</v>
      </c>
      <c r="D111" s="462" t="s">
        <v>7405</v>
      </c>
      <c r="E111" s="468">
        <v>124316347</v>
      </c>
      <c r="F111" s="464">
        <v>1</v>
      </c>
      <c r="G111" s="465" t="s">
        <v>7179</v>
      </c>
      <c r="H111" s="459" t="s">
        <v>618</v>
      </c>
      <c r="I111" s="462" t="s">
        <v>7406</v>
      </c>
      <c r="J111" s="464" t="s">
        <v>7211</v>
      </c>
    </row>
    <row r="112" spans="1:10">
      <c r="A112" s="459" t="s">
        <v>202</v>
      </c>
      <c r="B112" s="460" t="s">
        <v>225</v>
      </c>
      <c r="C112" s="461" t="s">
        <v>1090</v>
      </c>
      <c r="D112" s="462" t="s">
        <v>7407</v>
      </c>
      <c r="E112" s="468">
        <v>116900000</v>
      </c>
      <c r="F112" s="464">
        <v>1</v>
      </c>
      <c r="G112" s="465" t="s">
        <v>7179</v>
      </c>
      <c r="H112" s="459" t="s">
        <v>207</v>
      </c>
      <c r="I112" s="462" t="s">
        <v>7408</v>
      </c>
      <c r="J112" s="464" t="s">
        <v>7177</v>
      </c>
    </row>
    <row r="113" spans="1:10">
      <c r="A113" s="459" t="s">
        <v>202</v>
      </c>
      <c r="B113" s="460" t="s">
        <v>225</v>
      </c>
      <c r="C113" s="461" t="s">
        <v>1092</v>
      </c>
      <c r="D113" s="462" t="s">
        <v>7409</v>
      </c>
      <c r="E113" s="468">
        <v>114900000</v>
      </c>
      <c r="F113" s="464">
        <v>1</v>
      </c>
      <c r="G113" s="465" t="s">
        <v>7179</v>
      </c>
      <c r="H113" s="459" t="s">
        <v>7410</v>
      </c>
      <c r="I113" s="462" t="s">
        <v>7411</v>
      </c>
      <c r="J113" s="464" t="s">
        <v>7177</v>
      </c>
    </row>
    <row r="114" spans="1:10">
      <c r="A114" s="459" t="s">
        <v>202</v>
      </c>
      <c r="B114" s="460" t="s">
        <v>225</v>
      </c>
      <c r="C114" s="461" t="s">
        <v>1096</v>
      </c>
      <c r="D114" s="462" t="s">
        <v>7412</v>
      </c>
      <c r="E114" s="468">
        <v>112759537</v>
      </c>
      <c r="F114" s="464">
        <v>1</v>
      </c>
      <c r="G114" s="465" t="s">
        <v>7226</v>
      </c>
      <c r="H114" s="459" t="s">
        <v>618</v>
      </c>
      <c r="I114" s="462" t="s">
        <v>7413</v>
      </c>
      <c r="J114" s="464" t="s">
        <v>7177</v>
      </c>
    </row>
    <row r="115" spans="1:10">
      <c r="A115" s="459" t="s">
        <v>202</v>
      </c>
      <c r="B115" s="460" t="s">
        <v>225</v>
      </c>
      <c r="C115" s="461" t="s">
        <v>1100</v>
      </c>
      <c r="D115" s="462" t="s">
        <v>7414</v>
      </c>
      <c r="E115" s="468">
        <v>110000000</v>
      </c>
      <c r="F115" s="464">
        <v>1</v>
      </c>
      <c r="G115" s="465" t="s">
        <v>7226</v>
      </c>
      <c r="H115" s="459" t="s">
        <v>7410</v>
      </c>
      <c r="I115" s="462" t="s">
        <v>7415</v>
      </c>
      <c r="J115" s="464" t="s">
        <v>7177</v>
      </c>
    </row>
    <row r="116" spans="1:10">
      <c r="A116" s="459" t="s">
        <v>202</v>
      </c>
      <c r="B116" s="460" t="s">
        <v>225</v>
      </c>
      <c r="C116" s="461" t="s">
        <v>1101</v>
      </c>
      <c r="D116" s="462" t="s">
        <v>7416</v>
      </c>
      <c r="E116" s="468">
        <v>110000000</v>
      </c>
      <c r="F116" s="464">
        <v>1</v>
      </c>
      <c r="G116" s="465" t="s">
        <v>7226</v>
      </c>
      <c r="H116" s="459" t="s">
        <v>7410</v>
      </c>
      <c r="I116" s="462" t="s">
        <v>7417</v>
      </c>
      <c r="J116" s="464" t="s">
        <v>7177</v>
      </c>
    </row>
    <row r="117" spans="1:10">
      <c r="A117" s="459" t="s">
        <v>202</v>
      </c>
      <c r="B117" s="460" t="s">
        <v>225</v>
      </c>
      <c r="C117" s="461" t="s">
        <v>1103</v>
      </c>
      <c r="D117" s="462" t="s">
        <v>7418</v>
      </c>
      <c r="E117" s="468">
        <v>107000000</v>
      </c>
      <c r="F117" s="464">
        <v>1</v>
      </c>
      <c r="G117" s="465" t="s">
        <v>7179</v>
      </c>
      <c r="H117" s="459" t="s">
        <v>7410</v>
      </c>
      <c r="I117" s="462" t="s">
        <v>7419</v>
      </c>
      <c r="J117" s="464" t="s">
        <v>7177</v>
      </c>
    </row>
    <row r="118" spans="1:10">
      <c r="A118" s="459" t="s">
        <v>202</v>
      </c>
      <c r="B118" s="460" t="s">
        <v>225</v>
      </c>
      <c r="C118" s="461" t="s">
        <v>1106</v>
      </c>
      <c r="D118" s="462" t="s">
        <v>7420</v>
      </c>
      <c r="E118" s="468">
        <v>102563249</v>
      </c>
      <c r="F118" s="464">
        <v>1</v>
      </c>
      <c r="G118" s="465" t="s">
        <v>7226</v>
      </c>
      <c r="H118" s="459" t="s">
        <v>606</v>
      </c>
      <c r="I118" s="462" t="s">
        <v>7421</v>
      </c>
      <c r="J118" s="464" t="s">
        <v>7211</v>
      </c>
    </row>
    <row r="119" spans="1:10">
      <c r="A119" s="459" t="s">
        <v>202</v>
      </c>
      <c r="B119" s="460" t="s">
        <v>225</v>
      </c>
      <c r="C119" s="461" t="s">
        <v>1110</v>
      </c>
      <c r="D119" s="462" t="s">
        <v>7422</v>
      </c>
      <c r="E119" s="468">
        <v>100000000</v>
      </c>
      <c r="F119" s="464">
        <v>1</v>
      </c>
      <c r="G119" s="465" t="s">
        <v>7226</v>
      </c>
      <c r="H119" s="459" t="s">
        <v>3074</v>
      </c>
      <c r="I119" s="462" t="s">
        <v>7423</v>
      </c>
      <c r="J119" s="464" t="s">
        <v>7211</v>
      </c>
    </row>
    <row r="120" spans="1:10">
      <c r="A120" s="459" t="s">
        <v>202</v>
      </c>
      <c r="B120" s="460" t="s">
        <v>225</v>
      </c>
      <c r="C120" s="461" t="s">
        <v>1117</v>
      </c>
      <c r="D120" s="462" t="s">
        <v>7424</v>
      </c>
      <c r="E120" s="468">
        <v>95624847</v>
      </c>
      <c r="F120" s="464">
        <v>1</v>
      </c>
      <c r="G120" s="465" t="s">
        <v>7226</v>
      </c>
      <c r="H120" s="459" t="s">
        <v>207</v>
      </c>
      <c r="I120" s="462" t="s">
        <v>7425</v>
      </c>
      <c r="J120" s="464" t="s">
        <v>7177</v>
      </c>
    </row>
    <row r="121" spans="1:10">
      <c r="A121" s="459" t="s">
        <v>202</v>
      </c>
      <c r="B121" s="460" t="s">
        <v>225</v>
      </c>
      <c r="C121" s="461" t="s">
        <v>1126</v>
      </c>
      <c r="D121" s="462" t="s">
        <v>7426</v>
      </c>
      <c r="E121" s="468">
        <v>87000000</v>
      </c>
      <c r="F121" s="464">
        <v>1</v>
      </c>
      <c r="G121" s="465" t="s">
        <v>7179</v>
      </c>
      <c r="H121" s="459" t="s">
        <v>207</v>
      </c>
      <c r="I121" s="462" t="s">
        <v>7427</v>
      </c>
      <c r="J121" s="464" t="s">
        <v>7211</v>
      </c>
    </row>
    <row r="122" spans="1:10">
      <c r="A122" s="459" t="s">
        <v>202</v>
      </c>
      <c r="B122" s="460" t="s">
        <v>225</v>
      </c>
      <c r="C122" s="461" t="s">
        <v>1130</v>
      </c>
      <c r="D122" s="462" t="s">
        <v>7428</v>
      </c>
      <c r="E122" s="468">
        <v>83321319</v>
      </c>
      <c r="F122" s="464">
        <v>1</v>
      </c>
      <c r="G122" s="465" t="s">
        <v>7179</v>
      </c>
      <c r="H122" s="459" t="s">
        <v>207</v>
      </c>
      <c r="I122" s="462" t="s">
        <v>7429</v>
      </c>
      <c r="J122" s="464" t="s">
        <v>7177</v>
      </c>
    </row>
    <row r="123" spans="1:10">
      <c r="A123" s="459" t="s">
        <v>202</v>
      </c>
      <c r="B123" s="460" t="s">
        <v>225</v>
      </c>
      <c r="C123" s="461" t="s">
        <v>1131</v>
      </c>
      <c r="D123" s="462" t="s">
        <v>7430</v>
      </c>
      <c r="E123" s="468">
        <v>82972119</v>
      </c>
      <c r="F123" s="464">
        <v>1</v>
      </c>
      <c r="G123" s="465" t="s">
        <v>7179</v>
      </c>
      <c r="H123" s="459" t="s">
        <v>3078</v>
      </c>
      <c r="I123" s="462" t="s">
        <v>7431</v>
      </c>
      <c r="J123" s="464" t="s">
        <v>7211</v>
      </c>
    </row>
    <row r="124" spans="1:10">
      <c r="A124" s="459" t="s">
        <v>202</v>
      </c>
      <c r="B124" s="460" t="s">
        <v>225</v>
      </c>
      <c r="C124" s="461" t="s">
        <v>1136</v>
      </c>
      <c r="D124" s="462" t="s">
        <v>7432</v>
      </c>
      <c r="E124" s="468">
        <v>76200000</v>
      </c>
      <c r="F124" s="464">
        <v>1</v>
      </c>
      <c r="G124" s="465" t="s">
        <v>7226</v>
      </c>
      <c r="H124" s="459" t="s">
        <v>207</v>
      </c>
      <c r="I124" s="462" t="s">
        <v>7433</v>
      </c>
      <c r="J124" s="464" t="s">
        <v>7177</v>
      </c>
    </row>
    <row r="125" spans="1:10">
      <c r="A125" s="459" t="s">
        <v>202</v>
      </c>
      <c r="B125" s="460" t="s">
        <v>225</v>
      </c>
      <c r="C125" s="461" t="s">
        <v>1137</v>
      </c>
      <c r="D125" s="462" t="s">
        <v>7434</v>
      </c>
      <c r="E125" s="468">
        <v>74400000</v>
      </c>
      <c r="F125" s="464">
        <v>3</v>
      </c>
      <c r="G125" s="465" t="s">
        <v>7179</v>
      </c>
      <c r="H125" s="459" t="s">
        <v>7435</v>
      </c>
      <c r="I125" s="462" t="s">
        <v>7436</v>
      </c>
      <c r="J125" s="464" t="s">
        <v>7177</v>
      </c>
    </row>
    <row r="126" spans="1:10">
      <c r="A126" s="459" t="s">
        <v>202</v>
      </c>
      <c r="B126" s="460" t="s">
        <v>225</v>
      </c>
      <c r="C126" s="461" t="s">
        <v>1138</v>
      </c>
      <c r="D126" s="462" t="s">
        <v>7437</v>
      </c>
      <c r="E126" s="468">
        <v>74083291</v>
      </c>
      <c r="F126" s="464">
        <v>1</v>
      </c>
      <c r="G126" s="465" t="s">
        <v>7226</v>
      </c>
      <c r="H126" s="459" t="s">
        <v>3078</v>
      </c>
      <c r="I126" s="462" t="s">
        <v>7438</v>
      </c>
      <c r="J126" s="464" t="s">
        <v>7211</v>
      </c>
    </row>
    <row r="127" spans="1:10">
      <c r="A127" s="459" t="s">
        <v>202</v>
      </c>
      <c r="B127" s="460" t="s">
        <v>225</v>
      </c>
      <c r="C127" s="461" t="s">
        <v>1143</v>
      </c>
      <c r="D127" s="462" t="s">
        <v>7439</v>
      </c>
      <c r="E127" s="468">
        <v>69977439</v>
      </c>
      <c r="F127" s="464">
        <v>1</v>
      </c>
      <c r="G127" s="465" t="s">
        <v>7226</v>
      </c>
      <c r="H127" s="459" t="s">
        <v>207</v>
      </c>
      <c r="I127" s="462" t="s">
        <v>7440</v>
      </c>
      <c r="J127" s="464" t="s">
        <v>7211</v>
      </c>
    </row>
    <row r="128" spans="1:10">
      <c r="A128" s="459" t="s">
        <v>202</v>
      </c>
      <c r="B128" s="460" t="s">
        <v>225</v>
      </c>
      <c r="C128" s="461" t="s">
        <v>1146</v>
      </c>
      <c r="D128" s="462" t="s">
        <v>7441</v>
      </c>
      <c r="E128" s="468">
        <v>67312609</v>
      </c>
      <c r="F128" s="464">
        <v>1</v>
      </c>
      <c r="G128" s="465" t="s">
        <v>7179</v>
      </c>
      <c r="H128" s="459" t="s">
        <v>207</v>
      </c>
      <c r="I128" s="462" t="s">
        <v>7442</v>
      </c>
      <c r="J128" s="464" t="s">
        <v>7211</v>
      </c>
    </row>
    <row r="129" spans="1:10">
      <c r="A129" s="459" t="s">
        <v>202</v>
      </c>
      <c r="B129" s="460" t="s">
        <v>225</v>
      </c>
      <c r="C129" s="461" t="s">
        <v>1148</v>
      </c>
      <c r="D129" s="462" t="s">
        <v>7443</v>
      </c>
      <c r="E129" s="468">
        <v>66000000</v>
      </c>
      <c r="F129" s="464">
        <v>1</v>
      </c>
      <c r="G129" s="465" t="s">
        <v>7179</v>
      </c>
      <c r="H129" s="459" t="s">
        <v>207</v>
      </c>
      <c r="I129" s="462" t="s">
        <v>7444</v>
      </c>
      <c r="J129" s="464" t="s">
        <v>7177</v>
      </c>
    </row>
    <row r="130" spans="1:10">
      <c r="A130" s="459" t="s">
        <v>202</v>
      </c>
      <c r="B130" s="460" t="s">
        <v>225</v>
      </c>
      <c r="C130" s="461" t="s">
        <v>1156</v>
      </c>
      <c r="D130" s="462" t="s">
        <v>7445</v>
      </c>
      <c r="E130" s="468">
        <v>58500000</v>
      </c>
      <c r="F130" s="464">
        <v>1</v>
      </c>
      <c r="G130" s="465" t="s">
        <v>7179</v>
      </c>
      <c r="H130" s="459" t="s">
        <v>7410</v>
      </c>
      <c r="I130" s="462" t="s">
        <v>7446</v>
      </c>
      <c r="J130" s="464" t="s">
        <v>7177</v>
      </c>
    </row>
    <row r="131" spans="1:10">
      <c r="A131" s="459" t="s">
        <v>202</v>
      </c>
      <c r="B131" s="460" t="s">
        <v>225</v>
      </c>
      <c r="C131" s="461" t="s">
        <v>1163</v>
      </c>
      <c r="D131" s="462" t="s">
        <v>7447</v>
      </c>
      <c r="E131" s="468">
        <v>52600000</v>
      </c>
      <c r="F131" s="464">
        <v>1</v>
      </c>
      <c r="G131" s="465" t="s">
        <v>7226</v>
      </c>
      <c r="H131" s="459" t="s">
        <v>7410</v>
      </c>
      <c r="I131" s="462" t="s">
        <v>7448</v>
      </c>
      <c r="J131" s="464" t="s">
        <v>7211</v>
      </c>
    </row>
    <row r="132" spans="1:10">
      <c r="A132" s="459" t="s">
        <v>202</v>
      </c>
      <c r="B132" s="460" t="s">
        <v>225</v>
      </c>
      <c r="C132" s="461" t="s">
        <v>1169</v>
      </c>
      <c r="D132" s="462" t="s">
        <v>7449</v>
      </c>
      <c r="E132" s="468">
        <v>49500000</v>
      </c>
      <c r="F132" s="464">
        <v>1</v>
      </c>
      <c r="G132" s="465" t="s">
        <v>7226</v>
      </c>
      <c r="H132" s="459" t="s">
        <v>207</v>
      </c>
      <c r="I132" s="462" t="s">
        <v>7450</v>
      </c>
      <c r="J132" s="464" t="s">
        <v>7177</v>
      </c>
    </row>
    <row r="133" spans="1:10">
      <c r="A133" s="459" t="s">
        <v>202</v>
      </c>
      <c r="B133" s="460" t="s">
        <v>225</v>
      </c>
      <c r="C133" s="461" t="s">
        <v>1181</v>
      </c>
      <c r="D133" s="462" t="s">
        <v>7451</v>
      </c>
      <c r="E133" s="468">
        <v>39721968</v>
      </c>
      <c r="F133" s="464">
        <v>1</v>
      </c>
      <c r="G133" s="465" t="s">
        <v>7226</v>
      </c>
      <c r="H133" s="459" t="s">
        <v>3078</v>
      </c>
      <c r="I133" s="462" t="s">
        <v>7452</v>
      </c>
      <c r="J133" s="464" t="s">
        <v>7177</v>
      </c>
    </row>
    <row r="134" spans="1:10">
      <c r="A134" s="459" t="s">
        <v>202</v>
      </c>
      <c r="B134" s="460" t="s">
        <v>225</v>
      </c>
      <c r="C134" s="461" t="s">
        <v>1185</v>
      </c>
      <c r="D134" s="462" t="s">
        <v>7453</v>
      </c>
      <c r="E134" s="468">
        <v>36784691</v>
      </c>
      <c r="F134" s="464">
        <v>1</v>
      </c>
      <c r="G134" s="465" t="s">
        <v>7179</v>
      </c>
      <c r="H134" s="459" t="s">
        <v>207</v>
      </c>
      <c r="I134" s="462" t="s">
        <v>7454</v>
      </c>
      <c r="J134" s="464" t="s">
        <v>7177</v>
      </c>
    </row>
    <row r="135" spans="1:10">
      <c r="A135" s="459" t="s">
        <v>202</v>
      </c>
      <c r="B135" s="460" t="s">
        <v>225</v>
      </c>
      <c r="C135" s="461" t="s">
        <v>1186</v>
      </c>
      <c r="D135" s="462" t="s">
        <v>7455</v>
      </c>
      <c r="E135" s="468">
        <v>35841498</v>
      </c>
      <c r="F135" s="464">
        <v>1</v>
      </c>
      <c r="G135" s="465" t="s">
        <v>7179</v>
      </c>
      <c r="H135" s="459" t="s">
        <v>207</v>
      </c>
      <c r="I135" s="462" t="s">
        <v>7456</v>
      </c>
      <c r="J135" s="464" t="s">
        <v>7177</v>
      </c>
    </row>
    <row r="136" spans="1:10">
      <c r="A136" s="459" t="s">
        <v>202</v>
      </c>
      <c r="B136" s="460" t="s">
        <v>225</v>
      </c>
      <c r="C136" s="461" t="s">
        <v>1190</v>
      </c>
      <c r="D136" s="462" t="s">
        <v>7457</v>
      </c>
      <c r="E136" s="468">
        <v>29866592</v>
      </c>
      <c r="F136" s="464">
        <v>1</v>
      </c>
      <c r="G136" s="465" t="s">
        <v>7179</v>
      </c>
      <c r="H136" s="459" t="s">
        <v>3074</v>
      </c>
      <c r="I136" s="462" t="s">
        <v>7458</v>
      </c>
      <c r="J136" s="464" t="s">
        <v>7177</v>
      </c>
    </row>
    <row r="137" spans="1:10">
      <c r="A137" s="459" t="s">
        <v>202</v>
      </c>
      <c r="B137" s="460" t="s">
        <v>225</v>
      </c>
      <c r="C137" s="461" t="s">
        <v>1199</v>
      </c>
      <c r="D137" s="462" t="s">
        <v>7459</v>
      </c>
      <c r="E137" s="468">
        <v>20397943</v>
      </c>
      <c r="F137" s="464">
        <v>1</v>
      </c>
      <c r="G137" s="465" t="s">
        <v>7171</v>
      </c>
      <c r="H137" s="459" t="s">
        <v>362</v>
      </c>
      <c r="I137" s="462" t="s">
        <v>7460</v>
      </c>
      <c r="J137" s="464" t="s">
        <v>7177</v>
      </c>
    </row>
    <row r="138" spans="1:10">
      <c r="A138" s="459" t="s">
        <v>202</v>
      </c>
      <c r="B138" s="460" t="s">
        <v>359</v>
      </c>
      <c r="C138" s="461" t="s">
        <v>1208</v>
      </c>
      <c r="D138" s="462" t="s">
        <v>7461</v>
      </c>
      <c r="E138" s="468">
        <v>1524931475</v>
      </c>
      <c r="F138" s="464">
        <v>6</v>
      </c>
      <c r="G138" s="465" t="s">
        <v>7171</v>
      </c>
      <c r="H138" s="459" t="s">
        <v>7462</v>
      </c>
      <c r="I138" s="462" t="s">
        <v>7463</v>
      </c>
      <c r="J138" s="464" t="s">
        <v>7177</v>
      </c>
    </row>
    <row r="139" spans="1:10">
      <c r="A139" s="459" t="s">
        <v>202</v>
      </c>
      <c r="B139" s="460" t="s">
        <v>359</v>
      </c>
      <c r="C139" s="461" t="s">
        <v>1211</v>
      </c>
      <c r="D139" s="462" t="s">
        <v>7464</v>
      </c>
      <c r="E139" s="468">
        <v>653000000</v>
      </c>
      <c r="F139" s="464">
        <v>1</v>
      </c>
      <c r="G139" s="465" t="s">
        <v>7179</v>
      </c>
      <c r="H139" s="459" t="s">
        <v>207</v>
      </c>
      <c r="I139" s="462" t="s">
        <v>7465</v>
      </c>
      <c r="J139" s="464" t="s">
        <v>7177</v>
      </c>
    </row>
    <row r="140" spans="1:10">
      <c r="A140" s="459" t="s">
        <v>202</v>
      </c>
      <c r="B140" s="460" t="s">
        <v>359</v>
      </c>
      <c r="C140" s="461" t="s">
        <v>1212</v>
      </c>
      <c r="D140" s="462" t="s">
        <v>7466</v>
      </c>
      <c r="E140" s="468">
        <v>373000000</v>
      </c>
      <c r="F140" s="464">
        <v>1</v>
      </c>
      <c r="G140" s="465" t="s">
        <v>7171</v>
      </c>
      <c r="H140" s="459" t="s">
        <v>296</v>
      </c>
      <c r="I140" s="462" t="s">
        <v>7467</v>
      </c>
      <c r="J140" s="464" t="s">
        <v>7177</v>
      </c>
    </row>
    <row r="141" spans="1:10">
      <c r="A141" s="459" t="s">
        <v>202</v>
      </c>
      <c r="B141" s="460" t="s">
        <v>359</v>
      </c>
      <c r="C141" s="461" t="s">
        <v>1213</v>
      </c>
      <c r="D141" s="462" t="s">
        <v>7468</v>
      </c>
      <c r="E141" s="468">
        <v>174597549</v>
      </c>
      <c r="F141" s="464">
        <v>1</v>
      </c>
      <c r="G141" s="465" t="s">
        <v>7226</v>
      </c>
      <c r="H141" s="459" t="s">
        <v>606</v>
      </c>
      <c r="I141" s="462" t="s">
        <v>7469</v>
      </c>
      <c r="J141" s="464" t="s">
        <v>7177</v>
      </c>
    </row>
    <row r="142" spans="1:10">
      <c r="A142" s="459" t="s">
        <v>202</v>
      </c>
      <c r="B142" s="460" t="s">
        <v>359</v>
      </c>
      <c r="C142" s="461" t="s">
        <v>7152</v>
      </c>
      <c r="D142" s="462" t="s">
        <v>7470</v>
      </c>
      <c r="E142" s="468">
        <v>999017848</v>
      </c>
      <c r="F142" s="464">
        <v>2</v>
      </c>
      <c r="G142" s="465" t="s">
        <v>7171</v>
      </c>
      <c r="H142" s="459" t="s">
        <v>7471</v>
      </c>
      <c r="I142" s="462" t="s">
        <v>7472</v>
      </c>
      <c r="J142" s="464" t="s">
        <v>7177</v>
      </c>
    </row>
    <row r="143" spans="1:10">
      <c r="C143">
        <f>COUNTA(C3:C142)</f>
        <v>140</v>
      </c>
    </row>
  </sheetData>
  <phoneticPr fontId="5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7"/>
  <sheetViews>
    <sheetView topLeftCell="A49" workbookViewId="0">
      <selection activeCell="A65" sqref="A65:A67"/>
    </sheetView>
  </sheetViews>
  <sheetFormatPr defaultRowHeight="17"/>
  <sheetData>
    <row r="1" spans="1:1" ht="32.5" thickBot="1">
      <c r="A1" s="509" t="s">
        <v>2</v>
      </c>
    </row>
    <row r="2" spans="1:1">
      <c r="A2" s="510" t="s">
        <v>645</v>
      </c>
    </row>
    <row r="3" spans="1:1">
      <c r="A3" s="511" t="s">
        <v>649</v>
      </c>
    </row>
    <row r="4" spans="1:1">
      <c r="A4" s="512" t="s">
        <v>650</v>
      </c>
    </row>
    <row r="5" spans="1:1">
      <c r="A5" s="512" t="s">
        <v>652</v>
      </c>
    </row>
    <row r="6" spans="1:1">
      <c r="A6" s="510" t="s">
        <v>658</v>
      </c>
    </row>
    <row r="7" spans="1:1">
      <c r="A7" s="510" t="s">
        <v>661</v>
      </c>
    </row>
    <row r="8" spans="1:1">
      <c r="A8" s="510" t="s">
        <v>669</v>
      </c>
    </row>
    <row r="9" spans="1:1">
      <c r="A9" s="512" t="s">
        <v>705</v>
      </c>
    </row>
    <row r="10" spans="1:1">
      <c r="A10" s="512" t="s">
        <v>706</v>
      </c>
    </row>
    <row r="11" spans="1:1">
      <c r="A11" s="511" t="s">
        <v>720</v>
      </c>
    </row>
    <row r="12" spans="1:1">
      <c r="A12" s="512" t="s">
        <v>733</v>
      </c>
    </row>
    <row r="13" spans="1:1">
      <c r="A13" s="511" t="s">
        <v>738</v>
      </c>
    </row>
    <row r="14" spans="1:1">
      <c r="A14" s="512" t="s">
        <v>740</v>
      </c>
    </row>
    <row r="15" spans="1:1">
      <c r="A15" s="510" t="s">
        <v>741</v>
      </c>
    </row>
    <row r="16" spans="1:1">
      <c r="A16" s="510" t="s">
        <v>757</v>
      </c>
    </row>
    <row r="17" spans="1:1">
      <c r="A17" s="510" t="s">
        <v>769</v>
      </c>
    </row>
    <row r="18" spans="1:1">
      <c r="A18" s="510" t="s">
        <v>786</v>
      </c>
    </row>
    <row r="19" spans="1:1">
      <c r="A19" s="511" t="s">
        <v>790</v>
      </c>
    </row>
    <row r="20" spans="1:1">
      <c r="A20" s="511" t="s">
        <v>791</v>
      </c>
    </row>
    <row r="21" spans="1:1">
      <c r="A21" s="510" t="s">
        <v>792</v>
      </c>
    </row>
    <row r="22" spans="1:1">
      <c r="A22" s="511" t="s">
        <v>798</v>
      </c>
    </row>
    <row r="23" spans="1:1">
      <c r="A23" s="512" t="s">
        <v>806</v>
      </c>
    </row>
    <row r="24" spans="1:1">
      <c r="A24" s="512" t="s">
        <v>813</v>
      </c>
    </row>
    <row r="25" spans="1:1">
      <c r="A25" s="510" t="s">
        <v>832</v>
      </c>
    </row>
    <row r="26" spans="1:1">
      <c r="A26" s="512" t="s">
        <v>841</v>
      </c>
    </row>
    <row r="27" spans="1:1">
      <c r="A27" s="512" t="s">
        <v>848</v>
      </c>
    </row>
    <row r="28" spans="1:1">
      <c r="A28" s="511" t="s">
        <v>861</v>
      </c>
    </row>
    <row r="29" spans="1:1">
      <c r="A29" s="511" t="s">
        <v>870</v>
      </c>
    </row>
    <row r="30" spans="1:1">
      <c r="A30" s="511" t="s">
        <v>879</v>
      </c>
    </row>
    <row r="31" spans="1:1">
      <c r="A31" s="511" t="s">
        <v>881</v>
      </c>
    </row>
    <row r="32" spans="1:1">
      <c r="A32" s="510" t="s">
        <v>885</v>
      </c>
    </row>
    <row r="33" spans="1:1">
      <c r="A33" s="512" t="s">
        <v>902</v>
      </c>
    </row>
    <row r="34" spans="1:1">
      <c r="A34" s="510" t="s">
        <v>911</v>
      </c>
    </row>
    <row r="35" spans="1:1">
      <c r="A35" s="510" t="s">
        <v>919</v>
      </c>
    </row>
    <row r="36" spans="1:1">
      <c r="A36" s="513" t="s">
        <v>930</v>
      </c>
    </row>
    <row r="37" spans="1:1">
      <c r="A37" s="513" t="s">
        <v>954</v>
      </c>
    </row>
    <row r="38" spans="1:1">
      <c r="A38" s="513" t="s">
        <v>960</v>
      </c>
    </row>
    <row r="39" spans="1:1">
      <c r="A39" s="514" t="s">
        <v>969</v>
      </c>
    </row>
    <row r="40" spans="1:1">
      <c r="A40" s="514" t="s">
        <v>1000</v>
      </c>
    </row>
    <row r="41" spans="1:1">
      <c r="A41" s="515" t="s">
        <v>1041</v>
      </c>
    </row>
    <row r="42" spans="1:1">
      <c r="A42" s="514" t="s">
        <v>1042</v>
      </c>
    </row>
    <row r="43" spans="1:1">
      <c r="A43" s="515" t="s">
        <v>1046</v>
      </c>
    </row>
    <row r="44" spans="1:1">
      <c r="A44" s="514" t="s">
        <v>1050</v>
      </c>
    </row>
    <row r="45" spans="1:1">
      <c r="A45" s="514" t="s">
        <v>1060</v>
      </c>
    </row>
    <row r="46" spans="1:1">
      <c r="A46" s="515" t="s">
        <v>1061</v>
      </c>
    </row>
    <row r="47" spans="1:1">
      <c r="A47" s="514" t="s">
        <v>1068</v>
      </c>
    </row>
    <row r="48" spans="1:1">
      <c r="A48" s="515" t="s">
        <v>1077</v>
      </c>
    </row>
    <row r="49" spans="1:1">
      <c r="A49" s="514" t="s">
        <v>1079</v>
      </c>
    </row>
    <row r="50" spans="1:1">
      <c r="A50" s="514" t="s">
        <v>1109</v>
      </c>
    </row>
    <row r="51" spans="1:1">
      <c r="A51" s="514" t="s">
        <v>1113</v>
      </c>
    </row>
    <row r="52" spans="1:1">
      <c r="A52" s="515" t="s">
        <v>1119</v>
      </c>
    </row>
    <row r="53" spans="1:1">
      <c r="A53" s="513" t="s">
        <v>1130</v>
      </c>
    </row>
    <row r="54" spans="1:1">
      <c r="A54" s="513" t="s">
        <v>1131</v>
      </c>
    </row>
    <row r="55" spans="1:1">
      <c r="A55" s="513" t="s">
        <v>1154</v>
      </c>
    </row>
    <row r="56" spans="1:1">
      <c r="A56" s="515" t="s">
        <v>1155</v>
      </c>
    </row>
    <row r="57" spans="1:1">
      <c r="A57" s="514" t="s">
        <v>1157</v>
      </c>
    </row>
    <row r="58" spans="1:1">
      <c r="A58" s="514" t="s">
        <v>1170</v>
      </c>
    </row>
    <row r="59" spans="1:1">
      <c r="A59" s="515" t="s">
        <v>1183</v>
      </c>
    </row>
    <row r="60" spans="1:1">
      <c r="A60" s="514" t="s">
        <v>1201</v>
      </c>
    </row>
    <row r="61" spans="1:1">
      <c r="A61" s="515" t="s">
        <v>3647</v>
      </c>
    </row>
    <row r="62" spans="1:1">
      <c r="A62" s="511" t="s">
        <v>752</v>
      </c>
    </row>
    <row r="63" spans="1:1">
      <c r="A63" s="511" t="s">
        <v>865</v>
      </c>
    </row>
    <row r="64" spans="1:1">
      <c r="A64" s="511" t="s">
        <v>892</v>
      </c>
    </row>
    <row r="65" spans="1:1">
      <c r="A65" s="515" t="s">
        <v>928</v>
      </c>
    </row>
    <row r="66" spans="1:1">
      <c r="A66" s="515" t="s">
        <v>929</v>
      </c>
    </row>
    <row r="67" spans="1:1">
      <c r="A67" s="515" t="s">
        <v>1197</v>
      </c>
    </row>
  </sheetData>
  <phoneticPr fontId="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4d2c7d0-0f5e-4676-ae02-e703400ec6bd" xsi:nil="true"/>
    <lcf76f155ced4ddcb4097134ff3c332f xmlns="95ab303a-315d-4d41-96b5-fe4b2ceb320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5A6E81C27824B979DBD8A17CB43C4" ma:contentTypeVersion="10" ma:contentTypeDescription="Create a new document." ma:contentTypeScope="" ma:versionID="72774f2f4c505971d6b8926783138488">
  <xsd:schema xmlns:xsd="http://www.w3.org/2001/XMLSchema" xmlns:xs="http://www.w3.org/2001/XMLSchema" xmlns:p="http://schemas.microsoft.com/office/2006/metadata/properties" xmlns:ns2="95ab303a-315d-4d41-96b5-fe4b2ceb320d" xmlns:ns3="c4d2c7d0-0f5e-4676-ae02-e703400ec6bd" targetNamespace="http://schemas.microsoft.com/office/2006/metadata/properties" ma:root="true" ma:fieldsID="18d4bc76e577438afbe0087beac3b7f3" ns2:_="" ns3:_="">
    <xsd:import namespace="95ab303a-315d-4d41-96b5-fe4b2ceb320d"/>
    <xsd:import namespace="c4d2c7d0-0f5e-4676-ae02-e703400ec6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ab303a-315d-4d41-96b5-fe4b2ceb32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33ef62f9-2e07-484b-bd79-00aec90129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d2c7d0-0f5e-4676-ae02-e703400ec6bd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16654901-d562-41ea-be64-81a1616f323b}" ma:internalName="TaxCatchAll" ma:showField="CatchAllData" ma:web="c4d2c7d0-0f5e-4676-ae02-e703400ec6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CDC1E2-F4C6-4110-A3B5-9B2763BAA1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B61E6AD-B1AC-4C8F-899D-37703BD647BC}">
  <ds:schemaRefs>
    <ds:schemaRef ds:uri="http://purl.org/dc/terms/"/>
    <ds:schemaRef ds:uri="http://www.w3.org/XML/1998/namespace"/>
    <ds:schemaRef ds:uri="95ab303a-315d-4d41-96b5-fe4b2ceb320d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c4d2c7d0-0f5e-4676-ae02-e703400ec6bd"/>
  </ds:schemaRefs>
</ds:datastoreItem>
</file>

<file path=customXml/itemProps3.xml><?xml version="1.0" encoding="utf-8"?>
<ds:datastoreItem xmlns:ds="http://schemas.openxmlformats.org/officeDocument/2006/customXml" ds:itemID="{DD9EACD0-456F-409A-9B6F-9BE3EB04B8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ab303a-315d-4d41-96b5-fe4b2ceb320d"/>
    <ds:schemaRef ds:uri="c4d2c7d0-0f5e-4676-ae02-e703400ec6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Description</vt:lpstr>
      <vt:lpstr>Check List</vt:lpstr>
      <vt:lpstr>Sheet1</vt:lpstr>
      <vt:lpstr>1.차주일반</vt:lpstr>
      <vt:lpstr>2.매각대상채권</vt:lpstr>
      <vt:lpstr>3.담보물건</vt:lpstr>
      <vt:lpstr>3-1.담보지번</vt:lpstr>
      <vt:lpstr>3-2.설정순위</vt:lpstr>
      <vt:lpstr>4.회생차주 추가정보</vt:lpstr>
      <vt:lpstr>Assign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Hyunseok.ahn</dc:creator>
  <cp:keywords/>
  <dc:description/>
  <cp:lastModifiedBy>sunyoung moon</cp:lastModifiedBy>
  <cp:revision/>
  <dcterms:created xsi:type="dcterms:W3CDTF">2021-11-02T05:26:39Z</dcterms:created>
  <dcterms:modified xsi:type="dcterms:W3CDTF">2026-01-12T00:28:21Z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leName">
    <vt:lpwstr/>
  </property>
  <property fmtid="{D5CDD505-2E9C-101B-9397-08002B2CF9AE}" pid="3" name="ContentTypeId">
    <vt:lpwstr>0x0101002D85A6E81C27824B979DBD8A17CB43C4</vt:lpwstr>
  </property>
  <property fmtid="{D5CDD505-2E9C-101B-9397-08002B2CF9AE}" pid="4" name="MediaServiceImageTags">
    <vt:lpwstr/>
  </property>
</Properties>
</file>